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omments1.xml" ContentType="application/vnd.openxmlformats-officedocument.spreadsheetml.comments+xml"/>
  <Override PartName="/xl/drawings/drawing14.xml" ContentType="application/vnd.openxmlformats-officedocument.drawing+xml"/>
  <Override PartName="/xl/drawings/drawing15.xml" ContentType="application/vnd.openxmlformats-officedocument.drawing+xml"/>
  <Override PartName="/xl/comments2.xml" ContentType="application/vnd.openxmlformats-officedocument.spreadsheetml.comments+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현재_통합_문서" defaultThemeVersion="124226"/>
  <mc:AlternateContent xmlns:mc="http://schemas.openxmlformats.org/markup-compatibility/2006">
    <mc:Choice Requires="x15">
      <x15ac:absPath xmlns:x15ac="http://schemas.microsoft.com/office/spreadsheetml/2010/11/ac" url="\\10.224.80.56\재무회계팀\IR\FY2025 Q4\fact sheet 수신자료\"/>
    </mc:Choice>
  </mc:AlternateContent>
  <bookViews>
    <workbookView xWindow="600" yWindow="45" windowWidth="10335" windowHeight="8970" tabRatio="735"/>
  </bookViews>
  <sheets>
    <sheet name="INDEX" sheetId="1" r:id="rId1"/>
    <sheet name="SUMMARY" sheetId="49" r:id="rId2"/>
    <sheet name="KIFRS-BS" sheetId="47" r:id="rId3"/>
    <sheet name="KIFRS-IS" sheetId="48" r:id="rId4"/>
    <sheet name="PROFIT" sheetId="78" r:id="rId5"/>
    <sheet name="CSM" sheetId="76" r:id="rId6"/>
    <sheet name="PREMIUM" sheetId="65" r:id="rId7"/>
    <sheet name="INITIAL" sheetId="66" r:id="rId8"/>
    <sheet name="FIRSTYR" sheetId="67" r:id="rId9"/>
    <sheet name="CHINITYR" sheetId="68" r:id="rId10"/>
    <sheet name="APE" sheetId="75" r:id="rId11"/>
    <sheet name="FEEBIZ" sheetId="46" r:id="rId12"/>
    <sheet name="EFF" sheetId="17" r:id="rId13"/>
    <sheet name="PORT" sheetId="18" r:id="rId14"/>
    <sheet name="YIELD" sheetId="80" r:id="rId15"/>
    <sheet name="QUALITY" sheetId="21" r:id="rId16"/>
    <sheet name="STABLE" sheetId="22" r:id="rId17"/>
    <sheet name="SAP-BS" sheetId="44" r:id="rId18"/>
    <sheet name="SAP-IS" sheetId="45" r:id="rId19"/>
    <sheet name="NB" sheetId="74" r:id="rId20"/>
    <sheet name="SUB" sheetId="52" r:id="rId21"/>
    <sheet name="LIAB" sheetId="79"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s>
  <definedNames>
    <definedName name="_xlnm._FilterDatabase" localSheetId="1" hidden="1">SUMMARY!$B$4:$F$8</definedName>
    <definedName name="language" localSheetId="10">[1]INDEX!$E$103:$E$104</definedName>
    <definedName name="language" localSheetId="5">[2]INDEX!$E$102:$E$103</definedName>
    <definedName name="language" localSheetId="11">[3]INDEX!$E$103:$E$104</definedName>
    <definedName name="language" localSheetId="2">[4]INDEX!$E$102:$E$103</definedName>
    <definedName name="language" localSheetId="3">[4]INDEX!$E$102:$E$103</definedName>
    <definedName name="language" localSheetId="19">[5]INDEX!$E$103:$E$104</definedName>
    <definedName name="language" localSheetId="6">[6]INDEX!$E$103:$E$104</definedName>
    <definedName name="language" localSheetId="4">[7]INDEX!$E$102:$E$103</definedName>
    <definedName name="language" localSheetId="17">[8]INDEX!$E$102:$E$103</definedName>
    <definedName name="language" localSheetId="18">[8]INDEX!$E$102:$E$103</definedName>
    <definedName name="language" localSheetId="1">[9]INDEX!$E$103:$E$104</definedName>
    <definedName name="language" localSheetId="14">[10]INDEX!$E$103:$E$104</definedName>
    <definedName name="language">INDEX!$E$103:$E$104</definedName>
    <definedName name="_xlnm.Print_Area" localSheetId="10">APE!$B$1:$S$41,APE!$B$43:$S$76</definedName>
    <definedName name="_xlnm.Print_Area" localSheetId="9">CHINITYR!$B$1:$S$23</definedName>
    <definedName name="_xlnm.Print_Area" localSheetId="5">CSM!$B$1:$S$43</definedName>
    <definedName name="_xlnm.Print_Area" localSheetId="12">EFF!$B$1:$S$21</definedName>
    <definedName name="_xlnm.Print_Area" localSheetId="11">FEEBIZ!$B$1:$AL$22</definedName>
    <definedName name="_xlnm.Print_Area" localSheetId="8">FIRSTYR!$B$1:$BK$32</definedName>
    <definedName name="_xlnm.Print_Area" localSheetId="0">INDEX!$A$1:$I$30</definedName>
    <definedName name="_xlnm.Print_Area" localSheetId="7">INITIAL!$B$1:$AR$37</definedName>
    <definedName name="_xlnm.Print_Area" localSheetId="2">'KIFRS-BS'!$B$1:$P$41,'KIFRS-BS'!$AA$1:$AO$41</definedName>
    <definedName name="_xlnm.Print_Area" localSheetId="3">'KIFRS-IS'!$B$1:$R$37,'KIFRS-IS'!$AE$1:$AU$37</definedName>
    <definedName name="_xlnm.Print_Area" localSheetId="19">NB!$B$1:$T$33</definedName>
    <definedName name="_xlnm.Print_Area" localSheetId="13">PORT!$B$1:$AE$31</definedName>
    <definedName name="_xlnm.Print_Area" localSheetId="6">PREMIUM!$B$1:$AR$40</definedName>
    <definedName name="_xlnm.Print_Area" localSheetId="4">PROFIT!$B$1:$S$31</definedName>
    <definedName name="_xlnm.Print_Area" localSheetId="15">QUALITY!$B$1:$AE$22</definedName>
    <definedName name="_xlnm.Print_Area" localSheetId="17">'SAP-BS'!$B$1:$AJ$370</definedName>
    <definedName name="_xlnm.Print_Area" localSheetId="18">'SAP-IS'!$B$1:$AE$319</definedName>
    <definedName name="_xlnm.Print_Area" localSheetId="16">STABLE!$B$1:$R$37</definedName>
    <definedName name="_xlnm.Print_Area" localSheetId="20">SUB!$B$1:$P$19</definedName>
    <definedName name="_xlnm.Print_Area" localSheetId="1">SUMMARY!$B$1:$P$38</definedName>
    <definedName name="_xlnm.Print_Area" localSheetId="14">YIELD!$B$1:$AE$28</definedName>
    <definedName name="손익분석" localSheetId="4">[11]INDEX!$G$9</definedName>
  </definedNames>
  <calcPr calcId="162913"/>
</workbook>
</file>

<file path=xl/calcChain.xml><?xml version="1.0" encoding="utf-8"?>
<calcChain xmlns="http://schemas.openxmlformats.org/spreadsheetml/2006/main">
  <c r="AZ22" i="80" l="1"/>
  <c r="AX22" i="80"/>
  <c r="AV22" i="80"/>
  <c r="AT22" i="80"/>
  <c r="AR22" i="80" s="1"/>
  <c r="AN22" i="80"/>
  <c r="AL22" i="80"/>
  <c r="AJ22" i="80"/>
  <c r="AD22" i="80"/>
  <c r="AB22" i="80"/>
  <c r="Z22" i="80"/>
  <c r="X22" i="80"/>
  <c r="V22" i="80" s="1"/>
  <c r="F22" i="80" s="1"/>
  <c r="T22" i="80"/>
  <c r="P22" i="80"/>
  <c r="AZ21" i="80"/>
  <c r="AL21" i="80"/>
  <c r="AD21" i="80"/>
  <c r="Z21" i="80"/>
  <c r="R21" i="80"/>
  <c r="N21" i="80"/>
  <c r="AZ20" i="80"/>
  <c r="AX20" i="80"/>
  <c r="AX21" i="80" s="1"/>
  <c r="AV20" i="80"/>
  <c r="AV21" i="80" s="1"/>
  <c r="AT20" i="80"/>
  <c r="AT21" i="80" s="1"/>
  <c r="AR20" i="80"/>
  <c r="AN20" i="80"/>
  <c r="AN21" i="80" s="1"/>
  <c r="AL20" i="80"/>
  <c r="AJ20" i="80"/>
  <c r="AJ21" i="80" s="1"/>
  <c r="AH20" i="80"/>
  <c r="AH21" i="80" s="1"/>
  <c r="AF20" i="80"/>
  <c r="AD20" i="80"/>
  <c r="AB20" i="80"/>
  <c r="AB21" i="80" s="1"/>
  <c r="Z20" i="80"/>
  <c r="X20" i="80"/>
  <c r="X21" i="80" s="1"/>
  <c r="V20" i="80"/>
  <c r="F20" i="80" s="1"/>
  <c r="T20" i="80"/>
  <c r="T21" i="80" s="1"/>
  <c r="R20" i="80"/>
  <c r="P20" i="80"/>
  <c r="P21" i="80" s="1"/>
  <c r="N20" i="80"/>
  <c r="AR19" i="80"/>
  <c r="AH22" i="80" s="1"/>
  <c r="AF22" i="80" s="1"/>
  <c r="AF19" i="80"/>
  <c r="V19" i="80"/>
  <c r="N22" i="80" s="1"/>
  <c r="L22" i="80" s="1"/>
  <c r="D22" i="80" s="1"/>
  <c r="H22" i="80" s="1"/>
  <c r="L19" i="80"/>
  <c r="D19" i="80" s="1"/>
  <c r="AR18" i="80"/>
  <c r="AF18" i="80"/>
  <c r="AF21" i="80" s="1"/>
  <c r="V18" i="80"/>
  <c r="V21" i="80" s="1"/>
  <c r="F21" i="80" s="1"/>
  <c r="L18" i="80"/>
  <c r="F18" i="80"/>
  <c r="H18" i="80" s="1"/>
  <c r="D18" i="80"/>
  <c r="AF14" i="80"/>
  <c r="I14" i="80"/>
  <c r="F14" i="80"/>
  <c r="D14" i="80"/>
  <c r="H14" i="80" s="1"/>
  <c r="AF13" i="80"/>
  <c r="I13" i="80"/>
  <c r="F13" i="80"/>
  <c r="H13" i="80" s="1"/>
  <c r="D13" i="80"/>
  <c r="AF12" i="80"/>
  <c r="I12" i="80"/>
  <c r="H12" i="80"/>
  <c r="F12" i="80"/>
  <c r="D12" i="80"/>
  <c r="AF11" i="80"/>
  <c r="I11" i="80"/>
  <c r="F11" i="80"/>
  <c r="F7" i="80" s="1"/>
  <c r="D11" i="80"/>
  <c r="AF10" i="80"/>
  <c r="I10" i="80"/>
  <c r="F10" i="80"/>
  <c r="D10" i="80"/>
  <c r="H10" i="80" s="1"/>
  <c r="AF9" i="80"/>
  <c r="I9" i="80"/>
  <c r="F9" i="80"/>
  <c r="H9" i="80" s="1"/>
  <c r="D9" i="80"/>
  <c r="AF8" i="80"/>
  <c r="AF7" i="80" s="1"/>
  <c r="I8" i="80"/>
  <c r="F8" i="80"/>
  <c r="D8" i="80"/>
  <c r="H8" i="80" s="1"/>
  <c r="AL7" i="80"/>
  <c r="AJ7" i="80"/>
  <c r="AD7" i="80"/>
  <c r="AB7" i="80"/>
  <c r="Z7" i="80"/>
  <c r="X7" i="80"/>
  <c r="V7" i="80"/>
  <c r="T7" i="80"/>
  <c r="R7" i="80"/>
  <c r="P7" i="80"/>
  <c r="N7" i="80"/>
  <c r="L7" i="80"/>
  <c r="I7" i="80"/>
  <c r="F5" i="80"/>
  <c r="D5" i="80"/>
  <c r="F4" i="80"/>
  <c r="D4" i="80"/>
  <c r="B1" i="80"/>
  <c r="L20" i="80" l="1"/>
  <c r="D20" i="80" s="1"/>
  <c r="H20" i="80" s="1"/>
  <c r="H11" i="80"/>
  <c r="R22" i="80"/>
  <c r="AR21" i="80"/>
  <c r="D7" i="80"/>
  <c r="H7" i="80" s="1"/>
  <c r="F19" i="80"/>
  <c r="H19" i="80" s="1"/>
  <c r="L21" i="80" l="1"/>
  <c r="D21" i="80" s="1"/>
  <c r="H21" i="80" s="1"/>
  <c r="I318" i="45" l="1"/>
  <c r="I317" i="45"/>
  <c r="I316" i="45"/>
  <c r="I315" i="45"/>
  <c r="I314" i="45"/>
  <c r="I313" i="45"/>
  <c r="I312" i="45"/>
  <c r="I311" i="45"/>
  <c r="I310" i="45"/>
  <c r="I309" i="45"/>
  <c r="I308" i="45"/>
  <c r="I307" i="45"/>
  <c r="I306" i="45"/>
  <c r="I305" i="45"/>
  <c r="I304" i="45"/>
  <c r="I303" i="45"/>
  <c r="I302" i="45"/>
  <c r="I301" i="45"/>
  <c r="I300" i="45"/>
  <c r="I299" i="45"/>
  <c r="I298" i="45"/>
  <c r="I297" i="45"/>
  <c r="I296" i="45"/>
  <c r="I295" i="45"/>
  <c r="I294" i="45"/>
  <c r="I293" i="45"/>
  <c r="I292" i="45"/>
  <c r="I291" i="45"/>
  <c r="I290" i="45"/>
  <c r="I289" i="45"/>
  <c r="I288" i="45"/>
  <c r="I287" i="45"/>
  <c r="I286" i="45"/>
  <c r="I285" i="45"/>
  <c r="I284" i="45"/>
  <c r="I283" i="45"/>
  <c r="I282" i="45"/>
  <c r="I281" i="45"/>
  <c r="I280" i="45"/>
  <c r="I279" i="45"/>
  <c r="I278" i="45"/>
  <c r="I277" i="45"/>
  <c r="I276" i="45"/>
  <c r="I275" i="45"/>
  <c r="I274" i="45"/>
  <c r="I273" i="45"/>
  <c r="I272" i="45"/>
  <c r="I271" i="45"/>
  <c r="I270" i="45"/>
  <c r="I269" i="45"/>
  <c r="I268" i="45"/>
  <c r="I267" i="45"/>
  <c r="I266" i="45"/>
  <c r="I265" i="45"/>
  <c r="I264" i="45"/>
  <c r="I263" i="45"/>
  <c r="I262" i="45"/>
  <c r="I261" i="45"/>
  <c r="I260" i="45"/>
  <c r="I259" i="45"/>
  <c r="I258" i="45"/>
  <c r="I257" i="45"/>
  <c r="I256" i="45"/>
  <c r="I255" i="45"/>
  <c r="I254" i="45"/>
  <c r="I253" i="45"/>
  <c r="I252" i="45"/>
  <c r="I251" i="45"/>
  <c r="I250" i="45"/>
  <c r="I249" i="45"/>
  <c r="I248" i="45"/>
  <c r="I247" i="45"/>
  <c r="I246" i="45"/>
  <c r="I245" i="45"/>
  <c r="I244" i="45"/>
  <c r="I243" i="45"/>
  <c r="I242" i="45"/>
  <c r="I241" i="45"/>
  <c r="I240" i="45"/>
  <c r="I239" i="45"/>
  <c r="I238" i="45"/>
  <c r="I237" i="45"/>
  <c r="I236" i="45"/>
  <c r="I235" i="45"/>
  <c r="I234" i="45"/>
  <c r="I233" i="45"/>
  <c r="I232" i="45"/>
  <c r="I231" i="45"/>
  <c r="I230" i="45"/>
  <c r="I229" i="45"/>
  <c r="I228" i="45"/>
  <c r="I227" i="45"/>
  <c r="I226" i="45"/>
  <c r="I225" i="45"/>
  <c r="I224" i="45"/>
  <c r="I223" i="45"/>
  <c r="I222" i="45"/>
  <c r="I221" i="45"/>
  <c r="I220" i="45"/>
  <c r="I219" i="45"/>
  <c r="I218" i="45"/>
  <c r="I217" i="45"/>
  <c r="I216" i="45"/>
  <c r="I215" i="45"/>
  <c r="I214" i="45"/>
  <c r="I213" i="45"/>
  <c r="I212" i="45"/>
  <c r="I211" i="45"/>
  <c r="I210" i="45"/>
  <c r="I209" i="45"/>
  <c r="I208" i="45"/>
  <c r="I207" i="45"/>
  <c r="I206" i="45"/>
  <c r="I205" i="45"/>
  <c r="I204" i="45"/>
  <c r="I203" i="45"/>
  <c r="I202" i="45"/>
  <c r="I201" i="45"/>
  <c r="I200" i="45"/>
  <c r="I199" i="45"/>
  <c r="I198" i="45"/>
  <c r="I197" i="45"/>
  <c r="I196" i="45"/>
  <c r="I195" i="45"/>
  <c r="I194" i="45"/>
  <c r="I193" i="45"/>
  <c r="I192" i="45"/>
  <c r="I191" i="45"/>
  <c r="I190" i="45"/>
  <c r="I189" i="45"/>
  <c r="I188" i="45"/>
  <c r="I187" i="45"/>
  <c r="I186" i="45"/>
  <c r="I185" i="45"/>
  <c r="I184" i="45"/>
  <c r="I183" i="45"/>
  <c r="I182" i="45"/>
  <c r="I181" i="45"/>
  <c r="I180" i="45"/>
  <c r="I179" i="45"/>
  <c r="I178" i="45"/>
  <c r="I177" i="45"/>
  <c r="I176" i="45"/>
  <c r="I175" i="45"/>
  <c r="I174" i="45"/>
  <c r="I173" i="45"/>
  <c r="I172" i="45"/>
  <c r="I171" i="45"/>
  <c r="I170" i="45"/>
  <c r="I169" i="45"/>
  <c r="I168" i="45"/>
  <c r="I167" i="45"/>
  <c r="I166" i="45"/>
  <c r="I165" i="45"/>
  <c r="I164" i="45"/>
  <c r="I163" i="45"/>
  <c r="I162" i="45"/>
  <c r="I161" i="45"/>
  <c r="I160" i="45"/>
  <c r="I159" i="45"/>
  <c r="I158" i="45"/>
  <c r="I157" i="45"/>
  <c r="I156" i="45"/>
  <c r="I155" i="45"/>
  <c r="I154" i="45"/>
  <c r="I153" i="45"/>
  <c r="I152" i="45"/>
  <c r="I151" i="45"/>
  <c r="I150" i="45"/>
  <c r="I149" i="45"/>
  <c r="I148" i="45"/>
  <c r="I147" i="45"/>
  <c r="I146" i="45"/>
  <c r="I145" i="45"/>
  <c r="I144" i="45"/>
  <c r="I143" i="45"/>
  <c r="I142" i="45"/>
  <c r="I141" i="45"/>
  <c r="I140" i="45"/>
  <c r="I139" i="45"/>
  <c r="I138" i="45"/>
  <c r="I137" i="45"/>
  <c r="I136" i="45"/>
  <c r="I135" i="45"/>
  <c r="I134" i="45"/>
  <c r="I133" i="45"/>
  <c r="I132" i="45"/>
  <c r="I131" i="45"/>
  <c r="I130" i="45"/>
  <c r="I129" i="45"/>
  <c r="I128" i="45"/>
  <c r="I127" i="45"/>
  <c r="I126" i="45"/>
  <c r="I125" i="45"/>
  <c r="I124" i="45"/>
  <c r="I123" i="45"/>
  <c r="I122" i="45"/>
  <c r="I121" i="45"/>
  <c r="I120" i="45"/>
  <c r="I119" i="45"/>
  <c r="I118" i="45"/>
  <c r="I117" i="45"/>
  <c r="I116" i="45"/>
  <c r="I115" i="45"/>
  <c r="I114" i="45"/>
  <c r="I113" i="45"/>
  <c r="I112" i="45"/>
  <c r="I111" i="45"/>
  <c r="I110" i="45"/>
  <c r="I109" i="45"/>
  <c r="I108" i="45"/>
  <c r="I107" i="45"/>
  <c r="I106" i="45"/>
  <c r="I105" i="45"/>
  <c r="I104" i="45"/>
  <c r="I103" i="45"/>
  <c r="I102" i="45"/>
  <c r="I101" i="45"/>
  <c r="I100" i="45"/>
  <c r="I99" i="45"/>
  <c r="I98" i="45"/>
  <c r="I97" i="45"/>
  <c r="I96" i="45"/>
  <c r="I95" i="45"/>
  <c r="I94" i="45"/>
  <c r="I93" i="45"/>
  <c r="I92" i="45"/>
  <c r="I91" i="45"/>
  <c r="I90" i="45"/>
  <c r="I89" i="45"/>
  <c r="I88" i="45"/>
  <c r="I87" i="45"/>
  <c r="I86" i="45"/>
  <c r="I85" i="45"/>
  <c r="I84" i="45"/>
  <c r="I83" i="45"/>
  <c r="I82" i="45"/>
  <c r="I81" i="45"/>
  <c r="I80" i="45"/>
  <c r="I79" i="45"/>
  <c r="I78" i="45"/>
  <c r="I77" i="45"/>
  <c r="I76" i="45"/>
  <c r="I75" i="45"/>
  <c r="I74" i="45"/>
  <c r="I73" i="45"/>
  <c r="I72" i="45"/>
  <c r="I71" i="45"/>
  <c r="I70" i="45"/>
  <c r="I69" i="45"/>
  <c r="I68" i="45"/>
  <c r="I67" i="45"/>
  <c r="I66" i="45"/>
  <c r="I65" i="45"/>
  <c r="I64" i="45"/>
  <c r="I63" i="45"/>
  <c r="I62" i="45"/>
  <c r="I61" i="45"/>
  <c r="I60" i="45"/>
  <c r="I59" i="45"/>
  <c r="I58" i="45"/>
  <c r="I57" i="45"/>
  <c r="I56" i="45"/>
  <c r="I55" i="45"/>
  <c r="I54" i="45"/>
  <c r="I53" i="45"/>
  <c r="I52" i="45"/>
  <c r="I51" i="45"/>
  <c r="I50" i="45"/>
  <c r="I49" i="45"/>
  <c r="I48" i="45"/>
  <c r="I47" i="45"/>
  <c r="I46" i="45"/>
  <c r="I45" i="45"/>
  <c r="I44" i="45"/>
  <c r="I43" i="45"/>
  <c r="I42" i="45"/>
  <c r="I41" i="45"/>
  <c r="I40" i="45"/>
  <c r="I39" i="45"/>
  <c r="I38" i="45"/>
  <c r="I37" i="45"/>
  <c r="I36" i="45"/>
  <c r="I35" i="45"/>
  <c r="I34" i="45"/>
  <c r="I33" i="45"/>
  <c r="I32" i="45"/>
  <c r="I31" i="45"/>
  <c r="I30" i="45"/>
  <c r="I29" i="45"/>
  <c r="I28" i="45"/>
  <c r="I27" i="45"/>
  <c r="I26" i="45"/>
  <c r="I25" i="45"/>
  <c r="I24" i="45"/>
  <c r="I23" i="45"/>
  <c r="I22" i="45"/>
  <c r="I21" i="45"/>
  <c r="I20" i="45"/>
  <c r="I19" i="45"/>
  <c r="I18" i="45"/>
  <c r="I17" i="45"/>
  <c r="I16" i="45"/>
  <c r="I15" i="45"/>
  <c r="I14" i="45"/>
  <c r="I13" i="45"/>
  <c r="I12" i="45"/>
  <c r="I11" i="45"/>
  <c r="I10" i="45"/>
  <c r="I9" i="45"/>
  <c r="I8" i="45"/>
  <c r="I7" i="45"/>
  <c r="E316" i="45"/>
  <c r="E315" i="45"/>
  <c r="E314" i="45"/>
  <c r="E313" i="45"/>
  <c r="E312" i="45"/>
  <c r="E311" i="45"/>
  <c r="E310" i="45"/>
  <c r="E309" i="45"/>
  <c r="E308" i="45"/>
  <c r="E307" i="45"/>
  <c r="E306" i="45"/>
  <c r="E305" i="45"/>
  <c r="E304" i="45"/>
  <c r="E303" i="45"/>
  <c r="E302" i="45"/>
  <c r="E301" i="45"/>
  <c r="E300" i="45"/>
  <c r="E299" i="45"/>
  <c r="E298" i="45"/>
  <c r="E297" i="45"/>
  <c r="E296" i="45"/>
  <c r="E295" i="45"/>
  <c r="E294" i="45"/>
  <c r="E293" i="45"/>
  <c r="E292" i="45"/>
  <c r="E291" i="45"/>
  <c r="E290" i="45"/>
  <c r="E289" i="45"/>
  <c r="E288" i="45"/>
  <c r="E287" i="45"/>
  <c r="E286" i="45"/>
  <c r="E285" i="45"/>
  <c r="E284" i="45"/>
  <c r="E283" i="45"/>
  <c r="E282" i="45"/>
  <c r="E281" i="45"/>
  <c r="E280" i="45"/>
  <c r="E279" i="45"/>
  <c r="E278" i="45"/>
  <c r="E277" i="45"/>
  <c r="E276" i="45"/>
  <c r="E275" i="45"/>
  <c r="E274" i="45"/>
  <c r="E273" i="45"/>
  <c r="E272" i="45"/>
  <c r="E271" i="45"/>
  <c r="E270" i="45"/>
  <c r="E269" i="45"/>
  <c r="E268" i="45"/>
  <c r="E267" i="45"/>
  <c r="E266" i="45"/>
  <c r="E265" i="45"/>
  <c r="E264" i="45"/>
  <c r="E263" i="45"/>
  <c r="E262" i="45"/>
  <c r="E261" i="45"/>
  <c r="E260" i="45"/>
  <c r="E259" i="45"/>
  <c r="E258" i="45"/>
  <c r="E257" i="45"/>
  <c r="E256" i="45"/>
  <c r="E255" i="45"/>
  <c r="E254" i="45"/>
  <c r="E253" i="45"/>
  <c r="E252" i="45"/>
  <c r="E251" i="45"/>
  <c r="E250" i="45"/>
  <c r="E249" i="45"/>
  <c r="E248" i="45"/>
  <c r="E247" i="45"/>
  <c r="E246" i="45"/>
  <c r="E245" i="45"/>
  <c r="E244" i="45"/>
  <c r="E243" i="45"/>
  <c r="E242" i="45"/>
  <c r="E241" i="45"/>
  <c r="E240" i="45"/>
  <c r="E239" i="45"/>
  <c r="E238" i="45"/>
  <c r="E237" i="45"/>
  <c r="E236" i="45"/>
  <c r="E235" i="45"/>
  <c r="E234" i="45"/>
  <c r="E233" i="45"/>
  <c r="E232" i="45"/>
  <c r="E231" i="45"/>
  <c r="E230" i="45"/>
  <c r="E229" i="45"/>
  <c r="E228" i="45"/>
  <c r="E227" i="45"/>
  <c r="E226" i="45"/>
  <c r="E225" i="45"/>
  <c r="E224" i="45"/>
  <c r="E223" i="45"/>
  <c r="E222" i="45"/>
  <c r="E221" i="45"/>
  <c r="E220" i="45"/>
  <c r="E219" i="45"/>
  <c r="E218" i="45"/>
  <c r="E217" i="45"/>
  <c r="E216" i="45"/>
  <c r="E215" i="45"/>
  <c r="E214" i="45"/>
  <c r="E213" i="45"/>
  <c r="E212" i="45"/>
  <c r="E211" i="45"/>
  <c r="E210" i="45"/>
  <c r="E209" i="45"/>
  <c r="E208" i="45"/>
  <c r="E207" i="45"/>
  <c r="E206" i="45"/>
  <c r="E205" i="45"/>
  <c r="E204" i="45"/>
  <c r="E203" i="45"/>
  <c r="E202" i="45"/>
  <c r="E201" i="45"/>
  <c r="E200" i="45"/>
  <c r="E199" i="45"/>
  <c r="E198" i="45"/>
  <c r="E197" i="45"/>
  <c r="E196" i="45"/>
  <c r="E195" i="45"/>
  <c r="E194" i="45"/>
  <c r="E193" i="45"/>
  <c r="E192" i="45"/>
  <c r="E191" i="45"/>
  <c r="E190" i="45"/>
  <c r="E189" i="45"/>
  <c r="E188" i="45"/>
  <c r="E187" i="45"/>
  <c r="E186" i="45"/>
  <c r="E185" i="45"/>
  <c r="E184" i="45"/>
  <c r="E183" i="45"/>
  <c r="E182" i="45"/>
  <c r="E181" i="45"/>
  <c r="E180" i="45"/>
  <c r="E179" i="45"/>
  <c r="E178" i="45"/>
  <c r="E177" i="45"/>
  <c r="E176" i="45"/>
  <c r="E175" i="45"/>
  <c r="E174" i="45"/>
  <c r="E173" i="45"/>
  <c r="E172" i="45"/>
  <c r="E171" i="45"/>
  <c r="E170" i="45"/>
  <c r="E169" i="45"/>
  <c r="E168" i="45"/>
  <c r="E167" i="45"/>
  <c r="E166" i="45"/>
  <c r="E165" i="45"/>
  <c r="E164" i="45"/>
  <c r="E163" i="45"/>
  <c r="E162" i="45"/>
  <c r="E161" i="45"/>
  <c r="E160" i="45"/>
  <c r="E159" i="45"/>
  <c r="E158" i="45"/>
  <c r="E157" i="45"/>
  <c r="E156" i="45"/>
  <c r="E155" i="45"/>
  <c r="E154" i="45"/>
  <c r="E153" i="45"/>
  <c r="E152" i="45"/>
  <c r="E151" i="45"/>
  <c r="E150" i="45"/>
  <c r="E149" i="45"/>
  <c r="E148" i="45"/>
  <c r="E147" i="45"/>
  <c r="E146" i="45"/>
  <c r="E145" i="45"/>
  <c r="E144" i="45"/>
  <c r="E143" i="45"/>
  <c r="E142" i="45"/>
  <c r="E141" i="45"/>
  <c r="E140" i="45"/>
  <c r="E139" i="45"/>
  <c r="E138" i="45"/>
  <c r="E137" i="45"/>
  <c r="E136" i="45"/>
  <c r="E135" i="45"/>
  <c r="E134" i="45"/>
  <c r="E133" i="45"/>
  <c r="E132" i="45"/>
  <c r="E131" i="45"/>
  <c r="E130" i="45"/>
  <c r="E129" i="45"/>
  <c r="E128" i="45"/>
  <c r="E127" i="45"/>
  <c r="E126" i="45"/>
  <c r="E125" i="45"/>
  <c r="E124" i="45"/>
  <c r="E123" i="45"/>
  <c r="E122" i="45"/>
  <c r="E121" i="45"/>
  <c r="E120" i="45"/>
  <c r="E119" i="45"/>
  <c r="E118" i="45"/>
  <c r="E117" i="45"/>
  <c r="E116" i="45"/>
  <c r="E115" i="45"/>
  <c r="E114" i="45"/>
  <c r="E113" i="45"/>
  <c r="E112" i="45"/>
  <c r="E111" i="45"/>
  <c r="E110" i="45"/>
  <c r="E109" i="45"/>
  <c r="E108" i="45"/>
  <c r="E107" i="45"/>
  <c r="E106" i="45"/>
  <c r="E105" i="45"/>
  <c r="E104" i="45"/>
  <c r="E103" i="45"/>
  <c r="E102" i="45"/>
  <c r="E101" i="45"/>
  <c r="E100" i="45"/>
  <c r="E99" i="45"/>
  <c r="E98" i="45"/>
  <c r="E97" i="45"/>
  <c r="E96" i="45"/>
  <c r="E95" i="45"/>
  <c r="E94" i="45"/>
  <c r="E93" i="45"/>
  <c r="E92" i="45"/>
  <c r="E91" i="45"/>
  <c r="E90" i="45"/>
  <c r="E89" i="45"/>
  <c r="E88" i="45"/>
  <c r="E87" i="45"/>
  <c r="E86" i="45"/>
  <c r="E85" i="45"/>
  <c r="E84" i="45"/>
  <c r="E83" i="45"/>
  <c r="E82" i="45"/>
  <c r="E81" i="45"/>
  <c r="E80" i="45"/>
  <c r="E79" i="45"/>
  <c r="E78" i="45"/>
  <c r="E77" i="45"/>
  <c r="E76" i="45"/>
  <c r="E75" i="45"/>
  <c r="E74" i="45"/>
  <c r="E73" i="45"/>
  <c r="E72" i="45"/>
  <c r="E71" i="45"/>
  <c r="E70" i="45"/>
  <c r="E69" i="45"/>
  <c r="E68" i="45"/>
  <c r="E67" i="45"/>
  <c r="E66" i="45"/>
  <c r="E65" i="45"/>
  <c r="E64" i="45"/>
  <c r="E63" i="45"/>
  <c r="E62" i="45"/>
  <c r="E61" i="45"/>
  <c r="E60" i="45"/>
  <c r="E59" i="45"/>
  <c r="E58" i="45"/>
  <c r="E57" i="45"/>
  <c r="E56" i="45"/>
  <c r="E55" i="45"/>
  <c r="E54" i="45"/>
  <c r="E53" i="45"/>
  <c r="E52" i="45"/>
  <c r="E51" i="45"/>
  <c r="E50" i="45"/>
  <c r="E49" i="45"/>
  <c r="E48" i="45"/>
  <c r="E47" i="45"/>
  <c r="E46" i="45"/>
  <c r="E45" i="45"/>
  <c r="E44" i="45"/>
  <c r="E43" i="45"/>
  <c r="E42" i="45"/>
  <c r="E41" i="45"/>
  <c r="E40" i="45"/>
  <c r="E39" i="45"/>
  <c r="E38" i="45"/>
  <c r="E37" i="45"/>
  <c r="E36" i="45"/>
  <c r="E35" i="45"/>
  <c r="E34" i="45"/>
  <c r="E33" i="45"/>
  <c r="E32" i="45"/>
  <c r="E31" i="45"/>
  <c r="E30" i="45"/>
  <c r="E29" i="45"/>
  <c r="E28" i="45"/>
  <c r="E27" i="45"/>
  <c r="E26" i="45"/>
  <c r="E25" i="45"/>
  <c r="E24" i="45"/>
  <c r="E23" i="45"/>
  <c r="E22" i="45"/>
  <c r="E21" i="45"/>
  <c r="E20" i="45"/>
  <c r="E19" i="45"/>
  <c r="E18" i="45"/>
  <c r="E17" i="45"/>
  <c r="E16" i="45"/>
  <c r="E15" i="45"/>
  <c r="E14" i="45"/>
  <c r="E13" i="45"/>
  <c r="E12" i="45"/>
  <c r="E11" i="45"/>
  <c r="E10" i="45"/>
  <c r="E9" i="45"/>
  <c r="E8" i="45"/>
  <c r="E7" i="45"/>
  <c r="H369" i="44"/>
  <c r="H368" i="44"/>
  <c r="H367" i="44"/>
  <c r="H366" i="44"/>
  <c r="H365" i="44"/>
  <c r="H364" i="44"/>
  <c r="H363" i="44"/>
  <c r="H362" i="44"/>
  <c r="H361" i="44"/>
  <c r="H360" i="44"/>
  <c r="H359" i="44"/>
  <c r="H358" i="44"/>
  <c r="H357" i="44"/>
  <c r="H356" i="44"/>
  <c r="H355" i="44"/>
  <c r="H354" i="44"/>
  <c r="H353" i="44"/>
  <c r="H352" i="44"/>
  <c r="H351" i="44"/>
  <c r="H350" i="44"/>
  <c r="H349" i="44"/>
  <c r="H348" i="44"/>
  <c r="H347" i="44"/>
  <c r="H346" i="44"/>
  <c r="H345" i="44"/>
  <c r="H344" i="44"/>
  <c r="H343" i="44"/>
  <c r="H342" i="44"/>
  <c r="H341" i="44"/>
  <c r="H340" i="44"/>
  <c r="H339" i="44"/>
  <c r="H338" i="44"/>
  <c r="H337" i="44"/>
  <c r="H336" i="44"/>
  <c r="H335" i="44"/>
  <c r="H334" i="44"/>
  <c r="H333" i="44"/>
  <c r="H332" i="44"/>
  <c r="H331" i="44"/>
  <c r="H330" i="44"/>
  <c r="H329" i="44"/>
  <c r="H328" i="44"/>
  <c r="H327" i="44"/>
  <c r="H326" i="44"/>
  <c r="H325" i="44"/>
  <c r="H324" i="44"/>
  <c r="H323" i="44"/>
  <c r="H322" i="44"/>
  <c r="H321" i="44"/>
  <c r="H320" i="44"/>
  <c r="H319" i="44"/>
  <c r="H318" i="44"/>
  <c r="H317" i="44"/>
  <c r="H316" i="44"/>
  <c r="H315" i="44"/>
  <c r="H314" i="44"/>
  <c r="H313" i="44"/>
  <c r="H312" i="44"/>
  <c r="H311" i="44"/>
  <c r="H310" i="44"/>
  <c r="H309" i="44"/>
  <c r="H308" i="44"/>
  <c r="H307" i="44"/>
  <c r="H306" i="44"/>
  <c r="H305" i="44"/>
  <c r="H304" i="44"/>
  <c r="H303" i="44"/>
  <c r="H302" i="44"/>
  <c r="H301" i="44"/>
  <c r="H300" i="44"/>
  <c r="H299" i="44"/>
  <c r="H298" i="44"/>
  <c r="H297" i="44"/>
  <c r="H296" i="44"/>
  <c r="H295" i="44"/>
  <c r="H294" i="44"/>
  <c r="H293" i="44"/>
  <c r="H292" i="44"/>
  <c r="H291" i="44"/>
  <c r="H290" i="44"/>
  <c r="H289" i="44"/>
  <c r="H288" i="44"/>
  <c r="H287" i="44"/>
  <c r="H286" i="44"/>
  <c r="H285" i="44"/>
  <c r="H284" i="44"/>
  <c r="H283" i="44"/>
  <c r="H282" i="44"/>
  <c r="H281" i="44"/>
  <c r="H280" i="44"/>
  <c r="H279" i="44"/>
  <c r="H278" i="44"/>
  <c r="H277" i="44"/>
  <c r="H276" i="44"/>
  <c r="H275" i="44"/>
  <c r="H274" i="44"/>
  <c r="H273" i="44"/>
  <c r="H272" i="44"/>
  <c r="H271" i="44"/>
  <c r="H270" i="44"/>
  <c r="H269" i="44"/>
  <c r="H268" i="44"/>
  <c r="H267" i="44"/>
  <c r="H266" i="44"/>
  <c r="H265" i="44"/>
  <c r="H264" i="44"/>
  <c r="H263" i="44"/>
  <c r="H262" i="44"/>
  <c r="H261" i="44"/>
  <c r="H260" i="44"/>
  <c r="H259" i="44"/>
  <c r="H258" i="44"/>
  <c r="H257" i="44"/>
  <c r="H256" i="44"/>
  <c r="H255" i="44"/>
  <c r="H254" i="44"/>
  <c r="H253" i="44"/>
  <c r="H252" i="44"/>
  <c r="H251" i="44"/>
  <c r="H250" i="44"/>
  <c r="H249" i="44"/>
  <c r="H248" i="44"/>
  <c r="H247" i="44"/>
  <c r="H246" i="44"/>
  <c r="H245" i="44"/>
  <c r="H244" i="44"/>
  <c r="H243" i="44"/>
  <c r="H242" i="44"/>
  <c r="H241" i="44"/>
  <c r="H240" i="44"/>
  <c r="H239" i="44"/>
  <c r="H238" i="44"/>
  <c r="H237" i="44"/>
  <c r="H236" i="44"/>
  <c r="H235" i="44"/>
  <c r="H234" i="44"/>
  <c r="H233" i="44"/>
  <c r="H232" i="44"/>
  <c r="H231" i="44"/>
  <c r="H230" i="44"/>
  <c r="H229" i="44"/>
  <c r="H228" i="44"/>
  <c r="H227" i="44"/>
  <c r="H226" i="44"/>
  <c r="H225" i="44"/>
  <c r="H224" i="44"/>
  <c r="H223" i="44"/>
  <c r="H222" i="44"/>
  <c r="H221" i="44"/>
  <c r="H220" i="44"/>
  <c r="H219" i="44"/>
  <c r="H218" i="44"/>
  <c r="H217" i="44"/>
  <c r="H216" i="44"/>
  <c r="H215" i="44"/>
  <c r="H214" i="44"/>
  <c r="H213" i="44"/>
  <c r="H212" i="44"/>
  <c r="H211" i="44"/>
  <c r="H210" i="44"/>
  <c r="H209" i="44"/>
  <c r="H208" i="44"/>
  <c r="H207" i="44"/>
  <c r="H206" i="44"/>
  <c r="H205" i="44"/>
  <c r="H204" i="44"/>
  <c r="H203" i="44"/>
  <c r="H202" i="44"/>
  <c r="H201" i="44"/>
  <c r="H200" i="44"/>
  <c r="H199" i="44"/>
  <c r="H198" i="44"/>
  <c r="H197" i="44"/>
  <c r="H196" i="44"/>
  <c r="H195" i="44"/>
  <c r="H194" i="44"/>
  <c r="H193" i="44"/>
  <c r="H192" i="44"/>
  <c r="H191" i="44"/>
  <c r="H190" i="44"/>
  <c r="H189" i="44"/>
  <c r="H188" i="44"/>
  <c r="H187" i="44"/>
  <c r="H186" i="44"/>
  <c r="H185" i="44"/>
  <c r="H184" i="44"/>
  <c r="H183" i="44"/>
  <c r="H182" i="44"/>
  <c r="H181" i="44"/>
  <c r="H180" i="44"/>
  <c r="H179" i="44"/>
  <c r="H178" i="44"/>
  <c r="H177" i="44"/>
  <c r="H176" i="44"/>
  <c r="H175" i="44"/>
  <c r="H174" i="44"/>
  <c r="H173" i="44"/>
  <c r="H172" i="44"/>
  <c r="H171" i="44"/>
  <c r="H170" i="44"/>
  <c r="H169" i="44"/>
  <c r="H168" i="44"/>
  <c r="H167" i="44"/>
  <c r="H166" i="44"/>
  <c r="H165" i="44"/>
  <c r="H164" i="44"/>
  <c r="H163" i="44"/>
  <c r="H162" i="44"/>
  <c r="H161" i="44"/>
  <c r="H160" i="44"/>
  <c r="H159" i="44"/>
  <c r="H158" i="44"/>
  <c r="H157" i="44"/>
  <c r="H156" i="44"/>
  <c r="H155" i="44"/>
  <c r="H154" i="44"/>
  <c r="H153" i="44"/>
  <c r="H152" i="44"/>
  <c r="H151" i="44"/>
  <c r="H150" i="44"/>
  <c r="H149" i="44"/>
  <c r="H148" i="44"/>
  <c r="H147" i="44"/>
  <c r="H146" i="44"/>
  <c r="H145" i="44"/>
  <c r="H144" i="44"/>
  <c r="H143" i="44"/>
  <c r="H142" i="44"/>
  <c r="H141" i="44"/>
  <c r="H140" i="44"/>
  <c r="H139" i="44"/>
  <c r="H138" i="44"/>
  <c r="H137" i="44"/>
  <c r="H136" i="44"/>
  <c r="H135" i="44"/>
  <c r="H134" i="44"/>
  <c r="H133" i="44"/>
  <c r="H132" i="44"/>
  <c r="H131" i="44"/>
  <c r="H130" i="44"/>
  <c r="H129" i="44"/>
  <c r="H128" i="44"/>
  <c r="H127" i="44"/>
  <c r="H126" i="44"/>
  <c r="H125" i="44"/>
  <c r="H124" i="44"/>
  <c r="H123" i="44"/>
  <c r="H122" i="44"/>
  <c r="H121" i="44"/>
  <c r="H120" i="44"/>
  <c r="H119" i="44"/>
  <c r="H118" i="44"/>
  <c r="H117" i="44"/>
  <c r="H116" i="44"/>
  <c r="H115" i="44"/>
  <c r="H114" i="44"/>
  <c r="H113" i="44"/>
  <c r="H112" i="44"/>
  <c r="H111" i="44"/>
  <c r="H110" i="44"/>
  <c r="H109" i="44"/>
  <c r="H108" i="44"/>
  <c r="H107" i="44"/>
  <c r="H106" i="44"/>
  <c r="H105" i="44"/>
  <c r="H104" i="44"/>
  <c r="H103" i="44"/>
  <c r="H102" i="44"/>
  <c r="H101" i="44"/>
  <c r="H100" i="44"/>
  <c r="H99" i="44"/>
  <c r="H98" i="44"/>
  <c r="H97" i="44"/>
  <c r="H96" i="44"/>
  <c r="H95" i="44"/>
  <c r="H94" i="44"/>
  <c r="H93" i="44"/>
  <c r="H92" i="44"/>
  <c r="H91" i="44"/>
  <c r="H90" i="44"/>
  <c r="H89" i="44"/>
  <c r="H88" i="44"/>
  <c r="H87" i="44"/>
  <c r="H86" i="44"/>
  <c r="H85" i="44"/>
  <c r="H84" i="44"/>
  <c r="H83" i="44"/>
  <c r="H82" i="44"/>
  <c r="H81" i="44"/>
  <c r="H80" i="44"/>
  <c r="H79" i="44"/>
  <c r="H78" i="44"/>
  <c r="H77" i="44"/>
  <c r="H76" i="44"/>
  <c r="H75" i="44"/>
  <c r="H74" i="44"/>
  <c r="H73" i="44"/>
  <c r="H72" i="44"/>
  <c r="H71" i="44"/>
  <c r="H70" i="44"/>
  <c r="H69" i="44"/>
  <c r="H68" i="44"/>
  <c r="H67" i="44"/>
  <c r="H66" i="44"/>
  <c r="H65" i="44"/>
  <c r="H64" i="44"/>
  <c r="H63" i="44"/>
  <c r="H62" i="44"/>
  <c r="H61" i="44"/>
  <c r="H60" i="44"/>
  <c r="H59" i="44"/>
  <c r="H58" i="44"/>
  <c r="H57" i="44"/>
  <c r="H56" i="44"/>
  <c r="H55" i="44"/>
  <c r="H54" i="44"/>
  <c r="H53" i="44"/>
  <c r="H52" i="44"/>
  <c r="H51" i="44"/>
  <c r="H50" i="44"/>
  <c r="H49" i="44"/>
  <c r="H48" i="44"/>
  <c r="H47" i="44"/>
  <c r="H46" i="44"/>
  <c r="H45" i="44"/>
  <c r="H44" i="44"/>
  <c r="H43" i="44"/>
  <c r="H42" i="44"/>
  <c r="H41" i="44"/>
  <c r="H40" i="44"/>
  <c r="H39" i="44"/>
  <c r="H38" i="44"/>
  <c r="H37" i="44"/>
  <c r="H36" i="44"/>
  <c r="H35" i="44"/>
  <c r="H34" i="44"/>
  <c r="H33" i="44"/>
  <c r="H32" i="44"/>
  <c r="H31" i="44"/>
  <c r="H30" i="44"/>
  <c r="H29" i="44"/>
  <c r="H28" i="44"/>
  <c r="H27" i="44"/>
  <c r="H26" i="44"/>
  <c r="H25" i="44"/>
  <c r="H24" i="44"/>
  <c r="H23" i="44"/>
  <c r="H22" i="44"/>
  <c r="H21" i="44"/>
  <c r="H20" i="44"/>
  <c r="H19" i="44"/>
  <c r="H18" i="44"/>
  <c r="H17" i="44"/>
  <c r="H16" i="44"/>
  <c r="H15" i="44"/>
  <c r="H14" i="44"/>
  <c r="H13" i="44"/>
  <c r="H12" i="44"/>
  <c r="H11" i="44"/>
  <c r="H10" i="44"/>
  <c r="H9" i="44"/>
  <c r="H8" i="44"/>
  <c r="H7" i="44"/>
  <c r="I369" i="44"/>
  <c r="I368" i="44"/>
  <c r="I367" i="44"/>
  <c r="I366" i="44"/>
  <c r="I365" i="44"/>
  <c r="I364" i="44"/>
  <c r="I363" i="44"/>
  <c r="I362" i="44"/>
  <c r="I361" i="44"/>
  <c r="I360" i="44"/>
  <c r="I359" i="44"/>
  <c r="I358" i="44"/>
  <c r="I357" i="44"/>
  <c r="I356" i="44"/>
  <c r="I355" i="44"/>
  <c r="I354" i="44"/>
  <c r="I353" i="44"/>
  <c r="I352" i="44"/>
  <c r="I351" i="44"/>
  <c r="I350" i="44"/>
  <c r="I349" i="44"/>
  <c r="I348" i="44"/>
  <c r="I347" i="44"/>
  <c r="I346" i="44"/>
  <c r="I345" i="44"/>
  <c r="I344" i="44"/>
  <c r="I343" i="44"/>
  <c r="I342" i="44"/>
  <c r="I341" i="44"/>
  <c r="I340" i="44"/>
  <c r="I339" i="44"/>
  <c r="I338" i="44"/>
  <c r="I337" i="44"/>
  <c r="I336" i="44"/>
  <c r="I335" i="44"/>
  <c r="I334" i="44"/>
  <c r="I333" i="44"/>
  <c r="I332" i="44"/>
  <c r="I331" i="44"/>
  <c r="I330" i="44"/>
  <c r="I329" i="44"/>
  <c r="I328" i="44"/>
  <c r="I327" i="44"/>
  <c r="I326" i="44"/>
  <c r="I325" i="44"/>
  <c r="I324" i="44"/>
  <c r="I323" i="44"/>
  <c r="I322" i="44"/>
  <c r="I321" i="44"/>
  <c r="I320" i="44"/>
  <c r="I319" i="44"/>
  <c r="I318" i="44"/>
  <c r="I317" i="44"/>
  <c r="I316" i="44"/>
  <c r="I315" i="44"/>
  <c r="I314" i="44"/>
  <c r="I313" i="44"/>
  <c r="I312" i="44"/>
  <c r="I311" i="44"/>
  <c r="I310" i="44"/>
  <c r="I309" i="44"/>
  <c r="I308" i="44"/>
  <c r="I307" i="44"/>
  <c r="I306" i="44"/>
  <c r="I305" i="44"/>
  <c r="I304" i="44"/>
  <c r="I303" i="44"/>
  <c r="I302" i="44"/>
  <c r="I301" i="44"/>
  <c r="I300" i="44"/>
  <c r="I299" i="44"/>
  <c r="I298" i="44"/>
  <c r="I297" i="44"/>
  <c r="I296" i="44"/>
  <c r="I295" i="44"/>
  <c r="I294" i="44"/>
  <c r="I293" i="44"/>
  <c r="I292" i="44"/>
  <c r="I291" i="44"/>
  <c r="I290" i="44"/>
  <c r="I289" i="44"/>
  <c r="I288" i="44"/>
  <c r="I287" i="44"/>
  <c r="I286" i="44"/>
  <c r="I285" i="44"/>
  <c r="I284" i="44"/>
  <c r="I283" i="44"/>
  <c r="I282" i="44"/>
  <c r="I281" i="44"/>
  <c r="I280" i="44"/>
  <c r="I279" i="44"/>
  <c r="I278" i="44"/>
  <c r="I277" i="44"/>
  <c r="I276" i="44"/>
  <c r="I275" i="44"/>
  <c r="I274" i="44"/>
  <c r="I273" i="44"/>
  <c r="I272" i="44"/>
  <c r="I271" i="44"/>
  <c r="I270" i="44"/>
  <c r="I269" i="44"/>
  <c r="I268" i="44"/>
  <c r="I267" i="44"/>
  <c r="I266" i="44"/>
  <c r="I265" i="44"/>
  <c r="I264" i="44"/>
  <c r="I263" i="44"/>
  <c r="I262" i="44"/>
  <c r="I261" i="44"/>
  <c r="I260" i="44"/>
  <c r="I259" i="44"/>
  <c r="I258" i="44"/>
  <c r="I257" i="44"/>
  <c r="I256" i="44"/>
  <c r="I255" i="44"/>
  <c r="I254" i="44"/>
  <c r="I253" i="44"/>
  <c r="I252" i="44"/>
  <c r="I251" i="44"/>
  <c r="I250" i="44"/>
  <c r="I249" i="44"/>
  <c r="I248" i="44"/>
  <c r="I247" i="44"/>
  <c r="I246" i="44"/>
  <c r="I245" i="44"/>
  <c r="I244" i="44"/>
  <c r="I243" i="44"/>
  <c r="I242" i="44"/>
  <c r="I241" i="44"/>
  <c r="I240" i="44"/>
  <c r="I239" i="44"/>
  <c r="I238" i="44"/>
  <c r="I237" i="44"/>
  <c r="I236" i="44"/>
  <c r="I235" i="44"/>
  <c r="I234" i="44"/>
  <c r="I233" i="44"/>
  <c r="I232" i="44"/>
  <c r="I231" i="44"/>
  <c r="I230" i="44"/>
  <c r="I229" i="44"/>
  <c r="I228" i="44"/>
  <c r="I227" i="44"/>
  <c r="I226" i="44"/>
  <c r="I225" i="44"/>
  <c r="I224" i="44"/>
  <c r="I223" i="44"/>
  <c r="I222" i="44"/>
  <c r="I221" i="44"/>
  <c r="I220" i="44"/>
  <c r="I219" i="44"/>
  <c r="I218" i="44"/>
  <c r="I217" i="44"/>
  <c r="I216" i="44"/>
  <c r="I215" i="44"/>
  <c r="I214" i="44"/>
  <c r="I213" i="44"/>
  <c r="I212" i="44"/>
  <c r="I211" i="44"/>
  <c r="I210" i="44"/>
  <c r="I209" i="44"/>
  <c r="I208" i="44"/>
  <c r="I207" i="44"/>
  <c r="I206" i="44"/>
  <c r="I205" i="44"/>
  <c r="I204" i="44"/>
  <c r="I203" i="44"/>
  <c r="I202" i="44"/>
  <c r="I201" i="44"/>
  <c r="I200" i="44"/>
  <c r="I199" i="44"/>
  <c r="I198" i="44"/>
  <c r="I197" i="44"/>
  <c r="I196" i="44"/>
  <c r="I195" i="44"/>
  <c r="I194" i="44"/>
  <c r="I193" i="44"/>
  <c r="I192" i="44"/>
  <c r="I191" i="44"/>
  <c r="I190" i="44"/>
  <c r="I189" i="44"/>
  <c r="I188" i="44"/>
  <c r="I187" i="44"/>
  <c r="I186" i="44"/>
  <c r="I185" i="44"/>
  <c r="I184" i="44"/>
  <c r="I183" i="44"/>
  <c r="I182" i="44"/>
  <c r="I181" i="44"/>
  <c r="I180" i="44"/>
  <c r="I179" i="44"/>
  <c r="I178" i="44"/>
  <c r="I177" i="44"/>
  <c r="I176" i="44"/>
  <c r="I175" i="44"/>
  <c r="I174" i="44"/>
  <c r="I173" i="44"/>
  <c r="I172" i="44"/>
  <c r="I171" i="44"/>
  <c r="I170" i="44"/>
  <c r="I169" i="44"/>
  <c r="I168" i="44"/>
  <c r="I167" i="44"/>
  <c r="I166" i="44"/>
  <c r="I165" i="44"/>
  <c r="I164" i="44"/>
  <c r="I163" i="44"/>
  <c r="I162" i="44"/>
  <c r="I161" i="44"/>
  <c r="I160" i="44"/>
  <c r="I159" i="44"/>
  <c r="I158" i="44"/>
  <c r="I157" i="44"/>
  <c r="I156" i="44"/>
  <c r="I155" i="44"/>
  <c r="I154" i="44"/>
  <c r="I153" i="44"/>
  <c r="I152" i="44"/>
  <c r="I151" i="44"/>
  <c r="I150" i="44"/>
  <c r="I149" i="44"/>
  <c r="I148" i="44"/>
  <c r="I147" i="44"/>
  <c r="I146" i="44"/>
  <c r="I145" i="44"/>
  <c r="I144" i="44"/>
  <c r="I143" i="44"/>
  <c r="I142" i="44"/>
  <c r="I141" i="44"/>
  <c r="I140" i="44"/>
  <c r="I139" i="44"/>
  <c r="I138" i="44"/>
  <c r="I137" i="44"/>
  <c r="I136" i="44"/>
  <c r="I135" i="44"/>
  <c r="I134" i="44"/>
  <c r="I133" i="44"/>
  <c r="I132" i="44"/>
  <c r="I131" i="44"/>
  <c r="I130" i="44"/>
  <c r="I129" i="44"/>
  <c r="I128" i="44"/>
  <c r="I127" i="44"/>
  <c r="I126" i="44"/>
  <c r="I125" i="44"/>
  <c r="I124" i="44"/>
  <c r="I123" i="44"/>
  <c r="I122" i="44"/>
  <c r="I121" i="44"/>
  <c r="I120" i="44"/>
  <c r="I119" i="44"/>
  <c r="I118" i="44"/>
  <c r="I117" i="44"/>
  <c r="I116" i="44"/>
  <c r="I115" i="44"/>
  <c r="I114" i="44"/>
  <c r="I113" i="44"/>
  <c r="I112" i="44"/>
  <c r="I111" i="44"/>
  <c r="I110" i="44"/>
  <c r="I109" i="44"/>
  <c r="I108" i="44"/>
  <c r="I107" i="44"/>
  <c r="I106" i="44"/>
  <c r="I105" i="44"/>
  <c r="I104" i="44"/>
  <c r="I103" i="44"/>
  <c r="I102" i="44"/>
  <c r="I101" i="44"/>
  <c r="I100" i="44"/>
  <c r="I99" i="44"/>
  <c r="I98" i="44"/>
  <c r="I97" i="44"/>
  <c r="I96" i="44"/>
  <c r="I95" i="44"/>
  <c r="I94" i="44"/>
  <c r="I93" i="44"/>
  <c r="I92" i="44"/>
  <c r="I91" i="44"/>
  <c r="I90" i="44"/>
  <c r="I89" i="44"/>
  <c r="I88" i="44"/>
  <c r="I87" i="44"/>
  <c r="I86" i="44"/>
  <c r="I85" i="44"/>
  <c r="I84" i="44"/>
  <c r="I83" i="44"/>
  <c r="I82" i="44"/>
  <c r="I81" i="44"/>
  <c r="I80" i="44"/>
  <c r="I79" i="44"/>
  <c r="I78" i="44"/>
  <c r="I77" i="44"/>
  <c r="I76" i="44"/>
  <c r="I75" i="44"/>
  <c r="I74" i="44"/>
  <c r="I73" i="44"/>
  <c r="I72" i="44"/>
  <c r="I71" i="44"/>
  <c r="I70" i="44"/>
  <c r="I69" i="44"/>
  <c r="I68" i="44"/>
  <c r="I67" i="44"/>
  <c r="I66" i="44"/>
  <c r="I65" i="44"/>
  <c r="I64" i="44"/>
  <c r="I63" i="44"/>
  <c r="I62" i="44"/>
  <c r="I61" i="44"/>
  <c r="I60" i="44"/>
  <c r="I59" i="44"/>
  <c r="I58" i="44"/>
  <c r="I57" i="44"/>
  <c r="I56" i="44"/>
  <c r="I55" i="44"/>
  <c r="I54" i="44"/>
  <c r="I53" i="44"/>
  <c r="I52" i="44"/>
  <c r="I51" i="44"/>
  <c r="I50" i="44"/>
  <c r="I49" i="44"/>
  <c r="I48" i="44"/>
  <c r="I47" i="44"/>
  <c r="I46" i="44"/>
  <c r="I45" i="44"/>
  <c r="I44" i="44"/>
  <c r="I43" i="44"/>
  <c r="I42" i="44"/>
  <c r="I41" i="44"/>
  <c r="I40" i="44"/>
  <c r="I39" i="44"/>
  <c r="I38" i="44"/>
  <c r="I37" i="44"/>
  <c r="I36" i="44"/>
  <c r="I35" i="44"/>
  <c r="I34" i="44"/>
  <c r="I33" i="44"/>
  <c r="I32" i="44"/>
  <c r="I31" i="44"/>
  <c r="I30" i="44"/>
  <c r="I29" i="44"/>
  <c r="I28" i="44"/>
  <c r="I27" i="44"/>
  <c r="I26" i="44"/>
  <c r="I25" i="44"/>
  <c r="I24" i="44"/>
  <c r="I23" i="44"/>
  <c r="I22" i="44"/>
  <c r="I21" i="44"/>
  <c r="I20" i="44"/>
  <c r="I19" i="44"/>
  <c r="I18" i="44"/>
  <c r="I17" i="44"/>
  <c r="I16" i="44"/>
  <c r="I15" i="44"/>
  <c r="I14" i="44"/>
  <c r="I13" i="44"/>
  <c r="I12" i="44"/>
  <c r="I11" i="44"/>
  <c r="I10" i="44"/>
  <c r="I9" i="44"/>
  <c r="I8" i="44"/>
  <c r="I7" i="44"/>
  <c r="E5" i="68" l="1"/>
  <c r="D5" i="68"/>
  <c r="E10" i="68"/>
  <c r="AD38" i="47"/>
  <c r="AD36" i="47"/>
  <c r="AD35" i="47"/>
  <c r="AD34" i="47"/>
  <c r="AD33" i="47"/>
  <c r="AD32" i="47"/>
  <c r="AD31" i="47"/>
  <c r="AD29" i="47"/>
  <c r="AD28" i="47"/>
  <c r="AD27" i="47"/>
  <c r="AD26" i="47"/>
  <c r="AD25" i="47"/>
  <c r="AD24" i="47"/>
  <c r="AD23" i="47"/>
  <c r="AD22" i="47"/>
  <c r="AD21" i="47"/>
  <c r="AD20" i="47"/>
  <c r="AD18" i="47"/>
  <c r="AD17" i="47"/>
  <c r="AD16" i="47"/>
  <c r="AD15" i="47"/>
  <c r="AD14" i="47"/>
  <c r="AD13" i="47"/>
  <c r="AD12" i="47"/>
  <c r="AD11" i="47"/>
  <c r="AD10" i="47"/>
  <c r="AD9" i="47"/>
  <c r="AD8" i="47"/>
  <c r="AD7" i="47"/>
  <c r="AC31" i="47"/>
  <c r="AC20" i="47"/>
  <c r="D8" i="49"/>
  <c r="D7" i="49"/>
  <c r="D6" i="49"/>
  <c r="D36" i="49" l="1"/>
  <c r="J16" i="46" l="1"/>
  <c r="I16" i="46"/>
  <c r="J15" i="46"/>
  <c r="I15" i="46"/>
  <c r="J19" i="76" l="1"/>
  <c r="E27" i="76"/>
  <c r="E33" i="76"/>
  <c r="E32" i="76"/>
  <c r="E31" i="76"/>
  <c r="E30" i="76"/>
  <c r="E29" i="76"/>
  <c r="AL36" i="48"/>
  <c r="AL35" i="48"/>
  <c r="AL34" i="48"/>
  <c r="AL33" i="48"/>
  <c r="AL32" i="48"/>
  <c r="AL31" i="48"/>
  <c r="AL30" i="48"/>
  <c r="AL28" i="48"/>
  <c r="AL27" i="48"/>
  <c r="AL26" i="48"/>
  <c r="AL25" i="48"/>
  <c r="AL24" i="48"/>
  <c r="AL23" i="48"/>
  <c r="AL22" i="48"/>
  <c r="AL20" i="48"/>
  <c r="AL19" i="48"/>
  <c r="AL18" i="48"/>
  <c r="AL17" i="48"/>
  <c r="AL16" i="48"/>
  <c r="AL15" i="48"/>
  <c r="AL13" i="48"/>
  <c r="AL12" i="48"/>
  <c r="AL11" i="48"/>
  <c r="AL10" i="48"/>
  <c r="AL8" i="48"/>
  <c r="AL7" i="48"/>
  <c r="AL6" i="48"/>
  <c r="F17" i="76" l="1"/>
  <c r="E17" i="76"/>
  <c r="I16" i="49" l="1"/>
  <c r="D13" i="21" l="1"/>
  <c r="D12" i="21"/>
  <c r="D11" i="21"/>
  <c r="D10" i="21"/>
  <c r="D9" i="21"/>
  <c r="D8" i="21"/>
  <c r="D15" i="21"/>
  <c r="D14" i="21"/>
  <c r="D5" i="17"/>
  <c r="E5" i="17"/>
  <c r="F6" i="76" l="1"/>
  <c r="E6" i="76"/>
  <c r="F5" i="78"/>
  <c r="E5" i="78"/>
  <c r="E30" i="49" l="1"/>
  <c r="E29" i="49"/>
  <c r="E28" i="49"/>
  <c r="E27" i="49"/>
  <c r="E26" i="49"/>
  <c r="E25" i="49"/>
  <c r="E23" i="49"/>
  <c r="E22" i="49"/>
  <c r="E21" i="49"/>
  <c r="D23" i="49"/>
  <c r="D22" i="49"/>
  <c r="D21" i="49"/>
  <c r="D5" i="49"/>
  <c r="E5" i="49"/>
  <c r="E16" i="49"/>
  <c r="D15" i="49"/>
  <c r="D14" i="49"/>
  <c r="D13" i="49"/>
  <c r="D12" i="49"/>
  <c r="D11" i="49"/>
  <c r="D10" i="49"/>
  <c r="E15" i="49"/>
  <c r="E14" i="49"/>
  <c r="E13" i="49"/>
  <c r="E12" i="49"/>
  <c r="E11" i="49"/>
  <c r="E10" i="49"/>
  <c r="E8" i="49"/>
  <c r="E7" i="49"/>
  <c r="E6" i="49"/>
  <c r="D16" i="49"/>
  <c r="I31" i="49"/>
  <c r="D31" i="49" s="1"/>
  <c r="E31" i="49"/>
  <c r="D30" i="49"/>
  <c r="D29" i="49"/>
  <c r="D28" i="49"/>
  <c r="D27" i="49"/>
  <c r="D26" i="49"/>
  <c r="D25" i="49"/>
  <c r="D35" i="49"/>
  <c r="D34" i="49"/>
  <c r="I33" i="49"/>
  <c r="I32" i="49"/>
  <c r="E5" i="47"/>
  <c r="D5" i="47"/>
  <c r="E38" i="47"/>
  <c r="E36" i="47"/>
  <c r="E35" i="47"/>
  <c r="E34" i="47"/>
  <c r="E33" i="47"/>
  <c r="E32" i="47"/>
  <c r="E31" i="47"/>
  <c r="E20" i="47"/>
  <c r="E29" i="47"/>
  <c r="E28" i="47"/>
  <c r="E27" i="47"/>
  <c r="E26" i="47"/>
  <c r="E25" i="47"/>
  <c r="E24" i="47"/>
  <c r="E23" i="47"/>
  <c r="E22" i="47"/>
  <c r="E21" i="47"/>
  <c r="E18" i="47"/>
  <c r="E17" i="47"/>
  <c r="E16" i="47"/>
  <c r="E15" i="47"/>
  <c r="E14" i="47"/>
  <c r="E13" i="47"/>
  <c r="E12" i="47"/>
  <c r="E11" i="47"/>
  <c r="E10" i="47"/>
  <c r="E9" i="47"/>
  <c r="E8" i="47"/>
  <c r="E7" i="47"/>
  <c r="E6" i="47"/>
  <c r="D38" i="47"/>
  <c r="D36" i="47"/>
  <c r="D35" i="47"/>
  <c r="D34" i="47"/>
  <c r="D33" i="47"/>
  <c r="D32" i="47"/>
  <c r="D29" i="47"/>
  <c r="D28" i="47"/>
  <c r="D27" i="47"/>
  <c r="D26" i="47"/>
  <c r="D25" i="47"/>
  <c r="D24" i="47"/>
  <c r="D23" i="47"/>
  <c r="D22" i="47"/>
  <c r="D21" i="47"/>
  <c r="D18" i="47"/>
  <c r="D17" i="47"/>
  <c r="D16" i="47"/>
  <c r="D15" i="47"/>
  <c r="D14" i="47"/>
  <c r="D13" i="47"/>
  <c r="D12" i="47"/>
  <c r="D11" i="47"/>
  <c r="D10" i="47"/>
  <c r="D9" i="47"/>
  <c r="D8" i="47"/>
  <c r="D7" i="47"/>
  <c r="D6" i="47"/>
  <c r="I31" i="47"/>
  <c r="D31" i="47" s="1"/>
  <c r="I20" i="47"/>
  <c r="D20" i="47" s="1"/>
  <c r="AC38" i="47"/>
  <c r="AC36" i="47"/>
  <c r="AC35" i="47"/>
  <c r="AC34" i="47"/>
  <c r="AC33" i="47"/>
  <c r="AC32" i="47"/>
  <c r="AC29" i="47"/>
  <c r="AC28" i="47"/>
  <c r="AC27" i="47"/>
  <c r="AC26" i="47"/>
  <c r="AC25" i="47"/>
  <c r="AC24" i="47"/>
  <c r="AC23" i="47"/>
  <c r="AC22" i="47"/>
  <c r="AC21" i="47"/>
  <c r="AC18" i="47"/>
  <c r="AC17" i="47"/>
  <c r="AC16" i="47"/>
  <c r="AC15" i="47"/>
  <c r="AC14" i="47"/>
  <c r="AC13" i="47"/>
  <c r="AC12" i="47"/>
  <c r="AC11" i="47"/>
  <c r="AC10" i="47"/>
  <c r="AC9" i="47"/>
  <c r="AC8" i="47"/>
  <c r="AC7" i="47"/>
  <c r="AC6" i="47"/>
  <c r="AD6" i="47"/>
  <c r="D5" i="48"/>
  <c r="E5" i="48"/>
  <c r="D35" i="48"/>
  <c r="D33" i="48"/>
  <c r="D32" i="48"/>
  <c r="D28" i="48"/>
  <c r="D27" i="48"/>
  <c r="D26" i="48"/>
  <c r="D25" i="48"/>
  <c r="D24" i="48"/>
  <c r="D23" i="48"/>
  <c r="D20" i="48"/>
  <c r="D19" i="48"/>
  <c r="D18" i="48"/>
  <c r="D17" i="48"/>
  <c r="D16" i="48"/>
  <c r="D13" i="48"/>
  <c r="D12" i="48"/>
  <c r="D11" i="48"/>
  <c r="D8" i="48"/>
  <c r="D7" i="48"/>
  <c r="E35" i="48"/>
  <c r="E33" i="48"/>
  <c r="E32" i="48"/>
  <c r="E28" i="48"/>
  <c r="E27" i="48"/>
  <c r="E26" i="48"/>
  <c r="E25" i="48"/>
  <c r="E24" i="48"/>
  <c r="E23" i="48"/>
  <c r="E20" i="48"/>
  <c r="E19" i="48"/>
  <c r="E18" i="48"/>
  <c r="E17" i="48"/>
  <c r="E16" i="48"/>
  <c r="E13" i="48"/>
  <c r="E12" i="48"/>
  <c r="E11" i="48"/>
  <c r="E8" i="48"/>
  <c r="E7" i="48"/>
  <c r="AG35" i="48"/>
  <c r="AG33" i="48"/>
  <c r="AG32" i="48"/>
  <c r="AG28" i="48"/>
  <c r="AG27" i="48"/>
  <c r="AG26" i="48"/>
  <c r="AG25" i="48"/>
  <c r="AG24" i="48"/>
  <c r="AG23" i="48"/>
  <c r="AG20" i="48"/>
  <c r="AG19" i="48"/>
  <c r="AG18" i="48"/>
  <c r="AG17" i="48"/>
  <c r="AG16" i="48"/>
  <c r="AG13" i="48"/>
  <c r="AG12" i="48"/>
  <c r="AG11" i="48"/>
  <c r="AG8" i="48"/>
  <c r="AH8" i="48"/>
  <c r="AH7" i="48"/>
  <c r="AH13" i="48"/>
  <c r="AH12" i="48"/>
  <c r="AH11" i="48"/>
  <c r="AH20" i="48"/>
  <c r="AH19" i="48"/>
  <c r="AH18" i="48"/>
  <c r="AH17" i="48"/>
  <c r="AH16" i="48"/>
  <c r="AH28" i="48"/>
  <c r="AH27" i="48"/>
  <c r="AH26" i="48"/>
  <c r="AH25" i="48"/>
  <c r="AH24" i="48"/>
  <c r="AH23" i="48"/>
  <c r="AH32" i="48"/>
  <c r="AH33" i="48"/>
  <c r="AH35" i="48"/>
  <c r="AG7" i="48"/>
  <c r="E25" i="78"/>
  <c r="E24" i="78"/>
  <c r="E18" i="78"/>
  <c r="E12" i="78"/>
  <c r="F29" i="78"/>
  <c r="F28" i="78"/>
  <c r="F27" i="78"/>
  <c r="F26" i="78"/>
  <c r="F25" i="78"/>
  <c r="F24" i="78"/>
  <c r="F23" i="78"/>
  <c r="F22" i="78"/>
  <c r="F21" i="78"/>
  <c r="F20" i="78"/>
  <c r="F19" i="78"/>
  <c r="F18" i="78"/>
  <c r="F17" i="78"/>
  <c r="F16" i="78"/>
  <c r="F15" i="78"/>
  <c r="F14" i="78"/>
  <c r="F13" i="78"/>
  <c r="F12" i="78"/>
  <c r="F11" i="78"/>
  <c r="F10" i="78"/>
  <c r="J30" i="78"/>
  <c r="E30" i="78" s="1"/>
  <c r="J29" i="78"/>
  <c r="E29" i="78" s="1"/>
  <c r="J28" i="78"/>
  <c r="E28" i="78" s="1"/>
  <c r="J26" i="78"/>
  <c r="E26" i="78" s="1"/>
  <c r="J25" i="78"/>
  <c r="J24" i="78"/>
  <c r="J23" i="78"/>
  <c r="E23" i="78" s="1"/>
  <c r="J22" i="78"/>
  <c r="J21" i="78" s="1"/>
  <c r="E21" i="78" s="1"/>
  <c r="J20" i="78"/>
  <c r="E20" i="78" s="1"/>
  <c r="J19" i="78"/>
  <c r="E19" i="78" s="1"/>
  <c r="J18" i="78"/>
  <c r="J17" i="78"/>
  <c r="E17" i="78" s="1"/>
  <c r="J16" i="78"/>
  <c r="E16" i="78" s="1"/>
  <c r="J15" i="78"/>
  <c r="E15" i="78" s="1"/>
  <c r="J14" i="78"/>
  <c r="E14" i="78" s="1"/>
  <c r="J13" i="78"/>
  <c r="E13" i="78" s="1"/>
  <c r="J12" i="78"/>
  <c r="J11" i="78"/>
  <c r="E11" i="78" s="1"/>
  <c r="J10" i="78"/>
  <c r="E10" i="78" s="1"/>
  <c r="O29" i="78"/>
  <c r="O28" i="78"/>
  <c r="O26" i="78"/>
  <c r="O25" i="78"/>
  <c r="O24" i="78"/>
  <c r="O23" i="78"/>
  <c r="O21" i="78" s="1"/>
  <c r="O22" i="78"/>
  <c r="O20" i="78"/>
  <c r="O19" i="78"/>
  <c r="O18" i="78"/>
  <c r="O17" i="78"/>
  <c r="O16" i="78"/>
  <c r="O15" i="78"/>
  <c r="O14" i="78"/>
  <c r="O13" i="78"/>
  <c r="O12" i="78"/>
  <c r="O11" i="78"/>
  <c r="O9" i="78" s="1"/>
  <c r="O10" i="78"/>
  <c r="O30" i="78"/>
  <c r="F30" i="78" s="1"/>
  <c r="O27" i="78"/>
  <c r="K27" i="78"/>
  <c r="K21" i="78"/>
  <c r="K9" i="78"/>
  <c r="E28" i="76"/>
  <c r="E41" i="76"/>
  <c r="E40" i="76"/>
  <c r="E39" i="76"/>
  <c r="E38" i="76"/>
  <c r="E37" i="76"/>
  <c r="E36" i="76"/>
  <c r="F41" i="76"/>
  <c r="F40" i="76"/>
  <c r="F39" i="76"/>
  <c r="F38" i="76"/>
  <c r="F37" i="76"/>
  <c r="F36" i="76"/>
  <c r="F33" i="76"/>
  <c r="F32" i="76"/>
  <c r="F31" i="76"/>
  <c r="F30" i="76"/>
  <c r="F29" i="76"/>
  <c r="F28" i="76"/>
  <c r="E12" i="76"/>
  <c r="E11" i="76"/>
  <c r="E10" i="76"/>
  <c r="E9" i="76"/>
  <c r="E13" i="76"/>
  <c r="E14" i="76"/>
  <c r="E15" i="76"/>
  <c r="F9" i="76"/>
  <c r="F15" i="76"/>
  <c r="F14" i="76"/>
  <c r="F13" i="76"/>
  <c r="F12" i="76"/>
  <c r="F11" i="76"/>
  <c r="F10" i="76"/>
  <c r="J35" i="76"/>
  <c r="J27" i="76"/>
  <c r="K35" i="76"/>
  <c r="K27" i="76"/>
  <c r="G22" i="65"/>
  <c r="G20" i="65"/>
  <c r="G19" i="65"/>
  <c r="G17" i="65"/>
  <c r="G16" i="65"/>
  <c r="G14" i="65"/>
  <c r="G13" i="65"/>
  <c r="G11" i="65"/>
  <c r="G10" i="65"/>
  <c r="G9" i="65"/>
  <c r="D22" i="65"/>
  <c r="D20" i="65"/>
  <c r="D19" i="65"/>
  <c r="D17" i="65"/>
  <c r="D16" i="65"/>
  <c r="D14" i="65"/>
  <c r="D13" i="65"/>
  <c r="D11" i="65"/>
  <c r="D10" i="65"/>
  <c r="D9" i="65"/>
  <c r="E22" i="65"/>
  <c r="E20" i="65"/>
  <c r="E19" i="65"/>
  <c r="E17" i="65"/>
  <c r="E16" i="65"/>
  <c r="E14" i="65"/>
  <c r="E13" i="65"/>
  <c r="E11" i="65"/>
  <c r="E10" i="65"/>
  <c r="E9" i="65"/>
  <c r="H22" i="65"/>
  <c r="H20" i="65"/>
  <c r="H19" i="65"/>
  <c r="H17" i="65"/>
  <c r="H16" i="65"/>
  <c r="H14" i="65"/>
  <c r="H13" i="65"/>
  <c r="H11" i="65"/>
  <c r="H10" i="65"/>
  <c r="H9" i="65"/>
  <c r="G5" i="65"/>
  <c r="D5" i="65"/>
  <c r="P30" i="65"/>
  <c r="O30" i="65"/>
  <c r="P29" i="65"/>
  <c r="O29" i="65"/>
  <c r="P27" i="65"/>
  <c r="O27" i="65"/>
  <c r="P26" i="65"/>
  <c r="O26" i="65"/>
  <c r="Q22" i="65"/>
  <c r="Q20" i="65"/>
  <c r="Q19" i="65"/>
  <c r="Q17" i="65"/>
  <c r="Q16" i="65"/>
  <c r="Q15" i="65"/>
  <c r="Q14" i="65"/>
  <c r="Q13" i="65"/>
  <c r="Q12" i="65"/>
  <c r="Q11" i="65"/>
  <c r="Q10" i="65"/>
  <c r="Q29" i="65" s="1"/>
  <c r="Q9" i="65"/>
  <c r="Q8" i="65"/>
  <c r="S30" i="65"/>
  <c r="R30" i="65"/>
  <c r="S29" i="65"/>
  <c r="R29" i="65"/>
  <c r="S27" i="65"/>
  <c r="R27" i="65"/>
  <c r="S26" i="65"/>
  <c r="R26" i="65"/>
  <c r="T22" i="65"/>
  <c r="T20" i="65"/>
  <c r="T19" i="65"/>
  <c r="T18" i="65"/>
  <c r="T17" i="65"/>
  <c r="T16" i="65"/>
  <c r="T15" i="65"/>
  <c r="T14" i="65"/>
  <c r="T13" i="65"/>
  <c r="T12" i="65"/>
  <c r="T11" i="65"/>
  <c r="T10" i="65"/>
  <c r="T29" i="65" s="1"/>
  <c r="T9" i="65"/>
  <c r="T8" i="65"/>
  <c r="T21" i="65"/>
  <c r="G5" i="67"/>
  <c r="D5" i="67"/>
  <c r="G5" i="66"/>
  <c r="D5" i="66"/>
  <c r="D24" i="66"/>
  <c r="D23" i="66"/>
  <c r="D22" i="66"/>
  <c r="D20" i="66"/>
  <c r="D19" i="66"/>
  <c r="D17" i="66"/>
  <c r="D16" i="66"/>
  <c r="D14" i="66"/>
  <c r="D13" i="66"/>
  <c r="D11" i="66"/>
  <c r="D10" i="66"/>
  <c r="D9" i="66"/>
  <c r="E24" i="66"/>
  <c r="E23" i="66"/>
  <c r="E22" i="66"/>
  <c r="E20" i="66"/>
  <c r="E19" i="66"/>
  <c r="E17" i="66"/>
  <c r="E16" i="66"/>
  <c r="E14" i="66"/>
  <c r="E13" i="66"/>
  <c r="E11" i="66"/>
  <c r="E10" i="66"/>
  <c r="E9" i="66"/>
  <c r="G24" i="66"/>
  <c r="G23" i="66"/>
  <c r="G22" i="66"/>
  <c r="G20" i="66"/>
  <c r="G19" i="66"/>
  <c r="G17" i="66"/>
  <c r="G16" i="66"/>
  <c r="G14" i="66"/>
  <c r="G13" i="66"/>
  <c r="G11" i="66"/>
  <c r="G10" i="66"/>
  <c r="G9" i="66"/>
  <c r="H24" i="66"/>
  <c r="H23" i="66"/>
  <c r="H22" i="66"/>
  <c r="H20" i="66"/>
  <c r="H19" i="66"/>
  <c r="H17" i="66"/>
  <c r="H16" i="66"/>
  <c r="H14" i="66"/>
  <c r="H13" i="66"/>
  <c r="H11" i="66"/>
  <c r="H10" i="66"/>
  <c r="H9" i="66"/>
  <c r="P32" i="66"/>
  <c r="O32" i="66"/>
  <c r="P31" i="66"/>
  <c r="P30" i="66" s="1"/>
  <c r="O31" i="66"/>
  <c r="O30" i="66" s="1"/>
  <c r="P29" i="66"/>
  <c r="O29" i="66"/>
  <c r="P28" i="66"/>
  <c r="O28" i="66"/>
  <c r="O27" i="66" s="1"/>
  <c r="Q24" i="66"/>
  <c r="Q23" i="66"/>
  <c r="Q22" i="66"/>
  <c r="Q20" i="66"/>
  <c r="Q19" i="66"/>
  <c r="Q18" i="66"/>
  <c r="Q17" i="66"/>
  <c r="Q16" i="66"/>
  <c r="Q15" i="66"/>
  <c r="Q14" i="66"/>
  <c r="Q13" i="66"/>
  <c r="Q12" i="66"/>
  <c r="Q11" i="66"/>
  <c r="Q10" i="66"/>
  <c r="Q31" i="66" s="1"/>
  <c r="Q9" i="66"/>
  <c r="Q8" i="66"/>
  <c r="P7" i="66"/>
  <c r="O7" i="66"/>
  <c r="Q7" i="66" s="1"/>
  <c r="S32" i="66"/>
  <c r="R32" i="66"/>
  <c r="S31" i="66"/>
  <c r="R31" i="66"/>
  <c r="R30" i="66" s="1"/>
  <c r="S29" i="66"/>
  <c r="R29" i="66"/>
  <c r="S28" i="66"/>
  <c r="R28" i="66"/>
  <c r="R27" i="66" s="1"/>
  <c r="T24" i="66"/>
  <c r="T23" i="66"/>
  <c r="T22" i="66"/>
  <c r="T20" i="66"/>
  <c r="T19" i="66"/>
  <c r="T18" i="66"/>
  <c r="T17" i="66"/>
  <c r="T16" i="66"/>
  <c r="T15" i="66"/>
  <c r="T14" i="66"/>
  <c r="T13" i="66"/>
  <c r="T12" i="66"/>
  <c r="T11" i="66"/>
  <c r="T10" i="66"/>
  <c r="T31" i="66" s="1"/>
  <c r="T9" i="66"/>
  <c r="T8" i="66"/>
  <c r="S7" i="66"/>
  <c r="R7" i="66"/>
  <c r="T7" i="66" s="1"/>
  <c r="D30" i="67"/>
  <c r="D29" i="67"/>
  <c r="G30" i="67"/>
  <c r="G29" i="67"/>
  <c r="G27" i="67"/>
  <c r="G26" i="67"/>
  <c r="H30" i="67"/>
  <c r="H29" i="67"/>
  <c r="H27" i="67"/>
  <c r="H26" i="67"/>
  <c r="D27" i="67"/>
  <c r="D26" i="67"/>
  <c r="E30" i="67"/>
  <c r="E29" i="67"/>
  <c r="E27" i="67"/>
  <c r="E26" i="67"/>
  <c r="E22" i="67"/>
  <c r="E20" i="67"/>
  <c r="E19" i="67"/>
  <c r="E17" i="67"/>
  <c r="E16" i="67"/>
  <c r="E14" i="67"/>
  <c r="E13" i="67"/>
  <c r="E11" i="67"/>
  <c r="E10" i="67"/>
  <c r="E9" i="67"/>
  <c r="D22" i="67"/>
  <c r="D20" i="67"/>
  <c r="D19" i="67"/>
  <c r="D17" i="67"/>
  <c r="D16" i="67"/>
  <c r="D14" i="67"/>
  <c r="D13" i="67"/>
  <c r="D11" i="67"/>
  <c r="D10" i="67"/>
  <c r="D9" i="67"/>
  <c r="H22" i="67"/>
  <c r="H20" i="67"/>
  <c r="H19" i="67"/>
  <c r="H17" i="67"/>
  <c r="H16" i="67"/>
  <c r="H14" i="67"/>
  <c r="H13" i="67"/>
  <c r="H11" i="67"/>
  <c r="H10" i="67"/>
  <c r="H9" i="67"/>
  <c r="G22" i="67"/>
  <c r="G20" i="67"/>
  <c r="G19" i="67"/>
  <c r="G17" i="67"/>
  <c r="G16" i="67"/>
  <c r="G14" i="67"/>
  <c r="G13" i="67"/>
  <c r="G11" i="67"/>
  <c r="G10" i="67"/>
  <c r="G9" i="67"/>
  <c r="Q22" i="67"/>
  <c r="Q21" i="67"/>
  <c r="Q20" i="67"/>
  <c r="Q19" i="67"/>
  <c r="Q18" i="67"/>
  <c r="Q17" i="67"/>
  <c r="Q16" i="67"/>
  <c r="Q15" i="67"/>
  <c r="Q14" i="67"/>
  <c r="Q13" i="67"/>
  <c r="Q27" i="67" s="1"/>
  <c r="Q12" i="67"/>
  <c r="Q11" i="67"/>
  <c r="Q10" i="67"/>
  <c r="Q29" i="67" s="1"/>
  <c r="Q9" i="67"/>
  <c r="Q26" i="67" s="1"/>
  <c r="Q8" i="67"/>
  <c r="Q7" i="67"/>
  <c r="T22" i="67"/>
  <c r="T21" i="67"/>
  <c r="T20" i="67"/>
  <c r="T19" i="67"/>
  <c r="T18" i="67"/>
  <c r="T17" i="67"/>
  <c r="T16" i="67"/>
  <c r="T15" i="67"/>
  <c r="T14" i="67"/>
  <c r="T13" i="67"/>
  <c r="T12" i="67"/>
  <c r="T11" i="67"/>
  <c r="T10" i="67"/>
  <c r="T29" i="67" s="1"/>
  <c r="T9" i="67"/>
  <c r="T8" i="67"/>
  <c r="T7" i="67"/>
  <c r="E22" i="68"/>
  <c r="D22" i="68"/>
  <c r="D20" i="68"/>
  <c r="D19" i="68"/>
  <c r="D18" i="68"/>
  <c r="E20" i="68"/>
  <c r="E19" i="68"/>
  <c r="E18" i="68"/>
  <c r="D10" i="68"/>
  <c r="D8" i="68"/>
  <c r="D7" i="68"/>
  <c r="D6" i="68"/>
  <c r="E8" i="68"/>
  <c r="E7" i="68"/>
  <c r="E6" i="68"/>
  <c r="J17" i="68"/>
  <c r="K17" i="68"/>
  <c r="D5" i="75"/>
  <c r="E5" i="75"/>
  <c r="E34" i="75"/>
  <c r="E33" i="75"/>
  <c r="E31" i="75"/>
  <c r="E30" i="75"/>
  <c r="D25" i="75"/>
  <c r="D24" i="75"/>
  <c r="D23" i="75"/>
  <c r="D22" i="75"/>
  <c r="D20" i="75"/>
  <c r="D19" i="75"/>
  <c r="D18" i="75"/>
  <c r="D17" i="75"/>
  <c r="E25" i="75"/>
  <c r="E24" i="75"/>
  <c r="E23" i="75"/>
  <c r="E22" i="75"/>
  <c r="E20" i="75"/>
  <c r="E19" i="75"/>
  <c r="E18" i="75"/>
  <c r="E17" i="75"/>
  <c r="J59" i="75"/>
  <c r="J58" i="75"/>
  <c r="J57" i="75"/>
  <c r="J56" i="75"/>
  <c r="J54" i="75"/>
  <c r="J53" i="75"/>
  <c r="J52" i="75"/>
  <c r="J51" i="75"/>
  <c r="J34" i="75"/>
  <c r="J39" i="75" s="1"/>
  <c r="J33" i="75"/>
  <c r="J31" i="75"/>
  <c r="J40" i="75" s="1"/>
  <c r="J30" i="75"/>
  <c r="J38" i="75" s="1"/>
  <c r="J21" i="75"/>
  <c r="J55" i="75" s="1"/>
  <c r="J16" i="75"/>
  <c r="J50" i="75" s="1"/>
  <c r="K59" i="75"/>
  <c r="K58" i="75"/>
  <c r="K57" i="75"/>
  <c r="K56" i="75"/>
  <c r="K54" i="75"/>
  <c r="K53" i="75"/>
  <c r="K70" i="75" s="1"/>
  <c r="K52" i="75"/>
  <c r="K51" i="75"/>
  <c r="K34" i="75"/>
  <c r="K39" i="75" s="1"/>
  <c r="K33" i="75"/>
  <c r="K32" i="75" s="1"/>
  <c r="K31" i="75"/>
  <c r="K40" i="75" s="1"/>
  <c r="K30" i="75"/>
  <c r="D30" i="75" s="1"/>
  <c r="K21" i="75"/>
  <c r="K55" i="75" s="1"/>
  <c r="K16" i="75"/>
  <c r="K50" i="75" s="1"/>
  <c r="E13" i="46"/>
  <c r="E12" i="46"/>
  <c r="D13" i="46"/>
  <c r="D12" i="46"/>
  <c r="D11" i="46"/>
  <c r="E11" i="46"/>
  <c r="E8" i="46"/>
  <c r="D8" i="46"/>
  <c r="E7" i="46"/>
  <c r="D7" i="46"/>
  <c r="E5" i="46"/>
  <c r="D5" i="46"/>
  <c r="J27" i="78" l="1"/>
  <c r="E27" i="78" s="1"/>
  <c r="E22" i="78"/>
  <c r="J9" i="78"/>
  <c r="D34" i="75"/>
  <c r="D31" i="75"/>
  <c r="D33" i="75"/>
  <c r="T26" i="67"/>
  <c r="P27" i="66"/>
  <c r="S30" i="66"/>
  <c r="R33" i="66"/>
  <c r="Q27" i="65"/>
  <c r="T30" i="65"/>
  <c r="T26" i="65"/>
  <c r="S28" i="65"/>
  <c r="R28" i="65"/>
  <c r="J6" i="78"/>
  <c r="O6" i="78"/>
  <c r="K6" i="78"/>
  <c r="T27" i="65"/>
  <c r="T25" i="65" s="1"/>
  <c r="T28" i="65"/>
  <c r="R25" i="65"/>
  <c r="R31" i="65" s="1"/>
  <c r="S25" i="65"/>
  <c r="S31" i="65" s="1"/>
  <c r="Q26" i="65"/>
  <c r="Q25" i="65" s="1"/>
  <c r="Q21" i="65"/>
  <c r="Q18" i="65"/>
  <c r="Q30" i="65"/>
  <c r="Q28" i="65"/>
  <c r="O25" i="65"/>
  <c r="P25" i="65"/>
  <c r="O28" i="65"/>
  <c r="P28" i="65"/>
  <c r="Q7" i="65"/>
  <c r="T7" i="65"/>
  <c r="O33" i="66"/>
  <c r="Q29" i="66"/>
  <c r="P33" i="66"/>
  <c r="Q32" i="66"/>
  <c r="Q30" i="66" s="1"/>
  <c r="Q28" i="66"/>
  <c r="T29" i="66"/>
  <c r="T27" i="66" s="1"/>
  <c r="T28" i="66"/>
  <c r="T32" i="66"/>
  <c r="S27" i="66"/>
  <c r="S33" i="66"/>
  <c r="Q21" i="66"/>
  <c r="T30" i="66"/>
  <c r="T21" i="66"/>
  <c r="Q30" i="67"/>
  <c r="Q28" i="67" s="1"/>
  <c r="T27" i="67"/>
  <c r="T30" i="67"/>
  <c r="Q25" i="67"/>
  <c r="T28" i="67"/>
  <c r="K26" i="75"/>
  <c r="K72" i="75" s="1"/>
  <c r="K38" i="75"/>
  <c r="K29" i="75"/>
  <c r="J26" i="75"/>
  <c r="J67" i="75" s="1"/>
  <c r="J29" i="75"/>
  <c r="J71" i="75"/>
  <c r="J70" i="75"/>
  <c r="J73" i="75"/>
  <c r="J72" i="75"/>
  <c r="J76" i="75"/>
  <c r="J74" i="75"/>
  <c r="J68" i="75"/>
  <c r="J75" i="75"/>
  <c r="J69" i="75"/>
  <c r="J32" i="75"/>
  <c r="K71" i="75"/>
  <c r="K73" i="75"/>
  <c r="K74" i="75"/>
  <c r="K68" i="75"/>
  <c r="K75" i="75"/>
  <c r="K35" i="75"/>
  <c r="K69" i="75"/>
  <c r="K76" i="75"/>
  <c r="I3" i="46"/>
  <c r="I2" i="46"/>
  <c r="J3" i="46"/>
  <c r="J2" i="46"/>
  <c r="E16" i="17"/>
  <c r="D8" i="17"/>
  <c r="D7" i="17"/>
  <c r="E12" i="17"/>
  <c r="E11" i="17"/>
  <c r="D12" i="17"/>
  <c r="D11" i="17"/>
  <c r="D16" i="17"/>
  <c r="D15" i="17"/>
  <c r="D14" i="17"/>
  <c r="E15" i="17"/>
  <c r="E14" i="17"/>
  <c r="E8" i="17"/>
  <c r="E7" i="17"/>
  <c r="I10" i="17"/>
  <c r="I13" i="17" s="1"/>
  <c r="I6" i="17"/>
  <c r="J10" i="17"/>
  <c r="J13" i="17" s="1"/>
  <c r="J6" i="17"/>
  <c r="D22" i="18"/>
  <c r="D21" i="18"/>
  <c r="D20" i="18"/>
  <c r="D19" i="18"/>
  <c r="D18" i="18"/>
  <c r="D17" i="18"/>
  <c r="D16" i="18"/>
  <c r="D15" i="18"/>
  <c r="D14" i="18"/>
  <c r="D13" i="18"/>
  <c r="D12" i="18"/>
  <c r="D11" i="18"/>
  <c r="D10" i="18"/>
  <c r="D9" i="18"/>
  <c r="D8" i="18"/>
  <c r="D7" i="18"/>
  <c r="F22" i="18"/>
  <c r="F21" i="18"/>
  <c r="F20" i="18"/>
  <c r="F19" i="18"/>
  <c r="F18" i="18"/>
  <c r="F17" i="18"/>
  <c r="F16" i="18"/>
  <c r="F15" i="18"/>
  <c r="F14" i="18"/>
  <c r="F13" i="18"/>
  <c r="F12" i="18"/>
  <c r="F11" i="18"/>
  <c r="F10" i="18"/>
  <c r="F9" i="18"/>
  <c r="F8" i="18"/>
  <c r="F7" i="18"/>
  <c r="F5" i="18"/>
  <c r="D5" i="18"/>
  <c r="M19" i="18"/>
  <c r="M18" i="18"/>
  <c r="M17" i="18"/>
  <c r="M16" i="18"/>
  <c r="M15" i="18"/>
  <c r="M14" i="18"/>
  <c r="M13" i="18"/>
  <c r="M12" i="18"/>
  <c r="M11" i="18"/>
  <c r="M10" i="18"/>
  <c r="M9" i="18"/>
  <c r="M8" i="18"/>
  <c r="M7" i="18"/>
  <c r="O19" i="18"/>
  <c r="O18" i="18"/>
  <c r="O17" i="18"/>
  <c r="O16" i="18"/>
  <c r="O15" i="18"/>
  <c r="O14" i="18"/>
  <c r="O13" i="18"/>
  <c r="O12" i="18"/>
  <c r="O11" i="18"/>
  <c r="O10" i="18"/>
  <c r="O9" i="18"/>
  <c r="O8" i="18"/>
  <c r="O7" i="18"/>
  <c r="F15" i="21"/>
  <c r="F14" i="21"/>
  <c r="F13" i="21"/>
  <c r="F12" i="21"/>
  <c r="F11" i="21"/>
  <c r="F10" i="21"/>
  <c r="F9" i="21"/>
  <c r="F8" i="21"/>
  <c r="F5" i="21"/>
  <c r="D5" i="21"/>
  <c r="M13" i="21"/>
  <c r="M12" i="21"/>
  <c r="M11" i="21"/>
  <c r="M10" i="21"/>
  <c r="M9" i="21"/>
  <c r="M8" i="21"/>
  <c r="M7" i="21"/>
  <c r="O13" i="21"/>
  <c r="O12" i="21"/>
  <c r="O11" i="21"/>
  <c r="O10" i="21"/>
  <c r="O9" i="21"/>
  <c r="O8" i="21"/>
  <c r="O7" i="21"/>
  <c r="D34" i="22"/>
  <c r="D33" i="22"/>
  <c r="D32" i="22"/>
  <c r="D31" i="22"/>
  <c r="D26" i="22"/>
  <c r="D25" i="22"/>
  <c r="D24" i="22"/>
  <c r="D20" i="22"/>
  <c r="D19" i="22"/>
  <c r="D18" i="22"/>
  <c r="D17" i="22"/>
  <c r="D14" i="22"/>
  <c r="D13" i="22"/>
  <c r="D10" i="22"/>
  <c r="D9" i="22"/>
  <c r="D8" i="22"/>
  <c r="E34" i="22"/>
  <c r="E33" i="22"/>
  <c r="E32" i="22"/>
  <c r="E31" i="22"/>
  <c r="E26" i="22"/>
  <c r="E25" i="22"/>
  <c r="E24" i="22"/>
  <c r="E20" i="22"/>
  <c r="E19" i="22"/>
  <c r="E18" i="22"/>
  <c r="E17" i="22"/>
  <c r="E14" i="22"/>
  <c r="E13" i="22"/>
  <c r="E10" i="22"/>
  <c r="E9" i="22"/>
  <c r="E8" i="22"/>
  <c r="E5" i="22"/>
  <c r="D5" i="22"/>
  <c r="E5" i="44"/>
  <c r="D5" i="44"/>
  <c r="E5" i="45"/>
  <c r="D5" i="45"/>
  <c r="G13" i="74"/>
  <c r="G12" i="74"/>
  <c r="G8" i="74"/>
  <c r="G9" i="74"/>
  <c r="G10" i="74"/>
  <c r="G7" i="74"/>
  <c r="E12" i="74"/>
  <c r="E8" i="74"/>
  <c r="E9" i="74"/>
  <c r="E10" i="74"/>
  <c r="E7" i="74"/>
  <c r="E13" i="74"/>
  <c r="E27" i="74"/>
  <c r="E28" i="74"/>
  <c r="E26" i="74"/>
  <c r="E22" i="74"/>
  <c r="E23" i="74"/>
  <c r="E24" i="74"/>
  <c r="E21" i="74"/>
  <c r="G27" i="74"/>
  <c r="G28" i="74"/>
  <c r="G26" i="74"/>
  <c r="G22" i="74"/>
  <c r="G23" i="74"/>
  <c r="G24" i="74"/>
  <c r="G21" i="74"/>
  <c r="K25" i="74"/>
  <c r="K20" i="74"/>
  <c r="K19" i="74"/>
  <c r="K11" i="74"/>
  <c r="K6" i="74"/>
  <c r="K14" i="74" s="1"/>
  <c r="K15" i="74" s="1"/>
  <c r="G5" i="74"/>
  <c r="E5" i="74"/>
  <c r="L25" i="74"/>
  <c r="L20" i="74"/>
  <c r="L19" i="74"/>
  <c r="L11" i="74"/>
  <c r="L6" i="74"/>
  <c r="E14" i="52"/>
  <c r="F5" i="52"/>
  <c r="E5" i="52"/>
  <c r="F16" i="52"/>
  <c r="F17" i="52"/>
  <c r="F18" i="52"/>
  <c r="F15" i="52"/>
  <c r="E16" i="52"/>
  <c r="E17" i="52"/>
  <c r="E18" i="52"/>
  <c r="E15" i="52"/>
  <c r="E7" i="52"/>
  <c r="E8" i="52"/>
  <c r="E9" i="52"/>
  <c r="E10" i="52"/>
  <c r="E11" i="52"/>
  <c r="E6" i="52"/>
  <c r="F7" i="52"/>
  <c r="F8" i="52"/>
  <c r="F9" i="52"/>
  <c r="F10" i="52"/>
  <c r="F11" i="52"/>
  <c r="F6" i="52"/>
  <c r="L29" i="74" l="1"/>
  <c r="K29" i="74"/>
  <c r="L14" i="74"/>
  <c r="L15" i="74" s="1"/>
  <c r="K67" i="75"/>
  <c r="T25" i="67"/>
  <c r="T31" i="67" s="1"/>
  <c r="Q27" i="66"/>
  <c r="Q33" i="66" s="1"/>
  <c r="P31" i="65"/>
  <c r="T31" i="65"/>
  <c r="O31" i="65"/>
  <c r="Q31" i="65"/>
  <c r="T33" i="66"/>
  <c r="Q31" i="67"/>
  <c r="J35" i="75"/>
  <c r="J31" i="49" l="1"/>
  <c r="K31" i="49"/>
  <c r="K16" i="49"/>
  <c r="J16" i="49"/>
  <c r="M16" i="49"/>
  <c r="AE30" i="78" l="1"/>
  <c r="AF30" i="78" s="1"/>
  <c r="X30" i="78"/>
  <c r="W30" i="78"/>
  <c r="V30" i="78"/>
  <c r="U30" i="78"/>
  <c r="Q30" i="78"/>
  <c r="G30" i="78" s="1"/>
  <c r="Y29" i="78"/>
  <c r="T29" i="78"/>
  <c r="G29" i="78"/>
  <c r="Y28" i="78"/>
  <c r="Y27" i="78" s="1"/>
  <c r="T28" i="78"/>
  <c r="T27" i="78" s="1"/>
  <c r="G28" i="78"/>
  <c r="AE27" i="78"/>
  <c r="AC27" i="78"/>
  <c r="AB27" i="78"/>
  <c r="AA27" i="78"/>
  <c r="Z27" i="78"/>
  <c r="X27" i="78"/>
  <c r="W27" i="78"/>
  <c r="V27" i="78"/>
  <c r="U27" i="78"/>
  <c r="S27" i="78"/>
  <c r="R27" i="78"/>
  <c r="Q27" i="78"/>
  <c r="P27" i="78"/>
  <c r="N27" i="78"/>
  <c r="M27" i="78"/>
  <c r="L27" i="78"/>
  <c r="G27" i="78"/>
  <c r="Y26" i="78"/>
  <c r="G26" i="78"/>
  <c r="Y25" i="78"/>
  <c r="G25" i="78"/>
  <c r="Y24" i="78"/>
  <c r="Y23" i="78"/>
  <c r="Y22" i="78"/>
  <c r="Y21" i="78" s="1"/>
  <c r="G22" i="78"/>
  <c r="AE21" i="78"/>
  <c r="AC21" i="78"/>
  <c r="AA21" i="78"/>
  <c r="Z21" i="78"/>
  <c r="T21" i="78"/>
  <c r="S21" i="78"/>
  <c r="R21" i="78"/>
  <c r="Q21" i="78"/>
  <c r="P21" i="78"/>
  <c r="N21" i="78"/>
  <c r="M21" i="78"/>
  <c r="L21" i="78"/>
  <c r="Y20" i="78"/>
  <c r="V20" i="78"/>
  <c r="G20" i="78"/>
  <c r="Y19" i="78"/>
  <c r="T19" i="78"/>
  <c r="G19" i="78"/>
  <c r="Y18" i="78"/>
  <c r="T18" i="78"/>
  <c r="G18" i="78"/>
  <c r="Y17" i="78"/>
  <c r="T17" i="78"/>
  <c r="G17" i="78"/>
  <c r="Y16" i="78"/>
  <c r="T16" i="78"/>
  <c r="G16" i="78"/>
  <c r="Y15" i="78"/>
  <c r="T15" i="78"/>
  <c r="G15" i="78"/>
  <c r="Y14" i="78"/>
  <c r="T14" i="78"/>
  <c r="G14" i="78"/>
  <c r="AC13" i="78"/>
  <c r="AC12" i="78" s="1"/>
  <c r="AC9" i="78" s="1"/>
  <c r="AB13" i="78"/>
  <c r="AA13" i="78"/>
  <c r="AA12" i="78" s="1"/>
  <c r="AA9" i="78" s="1"/>
  <c r="Z13" i="78"/>
  <c r="Y13" i="78" s="1"/>
  <c r="X13" i="78"/>
  <c r="W13" i="78"/>
  <c r="W12" i="78" s="1"/>
  <c r="W20" i="78" s="1"/>
  <c r="V13" i="78"/>
  <c r="U13" i="78"/>
  <c r="T13" i="78" s="1"/>
  <c r="G13" i="78"/>
  <c r="AB12" i="78"/>
  <c r="AB9" i="78" s="1"/>
  <c r="AB6" i="78" s="1"/>
  <c r="X12" i="78"/>
  <c r="X20" i="78" s="1"/>
  <c r="V12" i="78"/>
  <c r="G12" i="78"/>
  <c r="Y11" i="78"/>
  <c r="T11" i="78"/>
  <c r="G11" i="78"/>
  <c r="Y10" i="78"/>
  <c r="T10" i="78"/>
  <c r="G10" i="78"/>
  <c r="AE9" i="78"/>
  <c r="AF9" i="78" s="1"/>
  <c r="S9" i="78"/>
  <c r="S6" i="78" s="1"/>
  <c r="R9" i="78"/>
  <c r="Q9" i="78"/>
  <c r="P9" i="78"/>
  <c r="P6" i="78" s="1"/>
  <c r="N9" i="78"/>
  <c r="M9" i="78"/>
  <c r="M6" i="78" s="1"/>
  <c r="L9" i="78"/>
  <c r="L6" i="78" s="1"/>
  <c r="Q6" i="78"/>
  <c r="F4" i="78"/>
  <c r="E4" i="78"/>
  <c r="T30" i="78" l="1"/>
  <c r="R6" i="78"/>
  <c r="V6" i="78"/>
  <c r="W6" i="78"/>
  <c r="N6" i="78"/>
  <c r="X6" i="78"/>
  <c r="AA6" i="78"/>
  <c r="AF27" i="78"/>
  <c r="AF21" i="78"/>
  <c r="AC6" i="78"/>
  <c r="G21" i="78"/>
  <c r="E9" i="78"/>
  <c r="E6" i="78" s="1"/>
  <c r="G24" i="78"/>
  <c r="F9" i="78"/>
  <c r="Z12" i="78"/>
  <c r="U12" i="78"/>
  <c r="G23" i="78"/>
  <c r="U6" i="78"/>
  <c r="U20" i="78" l="1"/>
  <c r="T20" i="78" s="1"/>
  <c r="T12" i="78"/>
  <c r="T9" i="78" s="1"/>
  <c r="T6" i="78" s="1"/>
  <c r="G9" i="78"/>
  <c r="F6" i="78"/>
  <c r="G6" i="78" s="1"/>
  <c r="Y12" i="78"/>
  <c r="Y9" i="78" s="1"/>
  <c r="Y6" i="78" s="1"/>
  <c r="Z9" i="78"/>
  <c r="Z6" i="78" s="1"/>
  <c r="M18" i="49" l="1"/>
  <c r="AD29" i="76"/>
  <c r="AD30" i="76"/>
  <c r="AD31" i="76"/>
  <c r="AD32" i="76"/>
  <c r="AD33" i="76"/>
  <c r="AD28" i="76"/>
  <c r="Z8" i="52" l="1"/>
  <c r="Z7" i="52"/>
  <c r="Z6" i="52"/>
  <c r="AI20" i="47" l="1"/>
  <c r="AI31" i="47"/>
  <c r="AL39" i="47" l="1"/>
  <c r="M3" i="46" l="1"/>
  <c r="L3" i="46"/>
  <c r="K3" i="46"/>
  <c r="K2" i="46"/>
  <c r="O24" i="76" l="1"/>
  <c r="K15" i="46" l="1"/>
  <c r="K16" i="46" l="1"/>
  <c r="Z9" i="52" l="1"/>
  <c r="Z10" i="52"/>
  <c r="Z11" i="52"/>
  <c r="K33" i="49" l="1"/>
  <c r="M25" i="74" l="1"/>
  <c r="M20" i="74"/>
  <c r="M19" i="74"/>
  <c r="M11" i="74"/>
  <c r="M6" i="74"/>
  <c r="Q12" i="21"/>
  <c r="Q19" i="18"/>
  <c r="Q18" i="18"/>
  <c r="Q17" i="18"/>
  <c r="Q16" i="18"/>
  <c r="Q15" i="18"/>
  <c r="Q14" i="18"/>
  <c r="Q13" i="18"/>
  <c r="Q12" i="18"/>
  <c r="Q11" i="18"/>
  <c r="Q10" i="18"/>
  <c r="Q9" i="18"/>
  <c r="Q8" i="18"/>
  <c r="Q7" i="18"/>
  <c r="K10" i="17"/>
  <c r="K13" i="17" s="1"/>
  <c r="K6" i="17"/>
  <c r="D3" i="46"/>
  <c r="L59" i="75"/>
  <c r="L58" i="75"/>
  <c r="L57" i="75"/>
  <c r="L56" i="75"/>
  <c r="L54" i="75"/>
  <c r="L53" i="75"/>
  <c r="L52" i="75"/>
  <c r="L51" i="75"/>
  <c r="L34" i="75"/>
  <c r="L39" i="75" s="1"/>
  <c r="L33" i="75"/>
  <c r="L32" i="75" s="1"/>
  <c r="L31" i="75"/>
  <c r="L40" i="75" s="1"/>
  <c r="L30" i="75"/>
  <c r="L21" i="75"/>
  <c r="L55" i="75" s="1"/>
  <c r="L16" i="75"/>
  <c r="L26" i="75" s="1"/>
  <c r="L21" i="68"/>
  <c r="L17" i="68"/>
  <c r="L9" i="68"/>
  <c r="W22" i="67"/>
  <c r="W20" i="67"/>
  <c r="W19" i="67"/>
  <c r="W18" i="67"/>
  <c r="W17" i="67"/>
  <c r="W16" i="67"/>
  <c r="W15" i="67"/>
  <c r="W14" i="67"/>
  <c r="W30" i="67" s="1"/>
  <c r="W13" i="67"/>
  <c r="W12" i="67"/>
  <c r="W11" i="67"/>
  <c r="W10" i="67"/>
  <c r="W29" i="67" s="1"/>
  <c r="W9" i="67"/>
  <c r="W26" i="67" s="1"/>
  <c r="V32" i="66"/>
  <c r="U32" i="66"/>
  <c r="U30" i="66" s="1"/>
  <c r="V31" i="66"/>
  <c r="V30" i="66" s="1"/>
  <c r="U31" i="66"/>
  <c r="V29" i="66"/>
  <c r="U29" i="66"/>
  <c r="V28" i="66"/>
  <c r="U28" i="66"/>
  <c r="U27" i="66" s="1"/>
  <c r="W24" i="66"/>
  <c r="W23" i="66"/>
  <c r="W22" i="66"/>
  <c r="W20" i="66"/>
  <c r="W19" i="66"/>
  <c r="W18" i="66"/>
  <c r="V18" i="66"/>
  <c r="U18" i="66"/>
  <c r="W17" i="66"/>
  <c r="W16" i="66"/>
  <c r="W14" i="66"/>
  <c r="W13" i="66"/>
  <c r="W29" i="66" s="1"/>
  <c r="W12" i="66"/>
  <c r="W11" i="66"/>
  <c r="W10" i="66"/>
  <c r="W31" i="66" s="1"/>
  <c r="W9" i="66"/>
  <c r="W28" i="66" s="1"/>
  <c r="V30" i="65"/>
  <c r="U30" i="65"/>
  <c r="V29" i="65"/>
  <c r="V28" i="65" s="1"/>
  <c r="U29" i="65"/>
  <c r="U28" i="65" s="1"/>
  <c r="V27" i="65"/>
  <c r="U27" i="65"/>
  <c r="V26" i="65"/>
  <c r="U26" i="65"/>
  <c r="U25" i="65" s="1"/>
  <c r="W22" i="65"/>
  <c r="W20" i="65"/>
  <c r="W19" i="65"/>
  <c r="V18" i="65"/>
  <c r="U18" i="65"/>
  <c r="W18" i="65" s="1"/>
  <c r="W17" i="65"/>
  <c r="W16" i="65"/>
  <c r="W15" i="65"/>
  <c r="W14" i="65"/>
  <c r="W13" i="65"/>
  <c r="W12" i="65"/>
  <c r="W11" i="65"/>
  <c r="W10" i="65"/>
  <c r="W29" i="65" s="1"/>
  <c r="W9" i="65"/>
  <c r="W8" i="65"/>
  <c r="V7" i="65"/>
  <c r="V21" i="65" s="1"/>
  <c r="U7" i="65"/>
  <c r="L35" i="76"/>
  <c r="L27" i="76"/>
  <c r="L17" i="76"/>
  <c r="E31" i="48"/>
  <c r="E22" i="48"/>
  <c r="E15" i="48"/>
  <c r="E30" i="48" s="1"/>
  <c r="E34" i="48" s="1"/>
  <c r="E36" i="48" s="1"/>
  <c r="E10" i="48"/>
  <c r="E6" i="48"/>
  <c r="AL40" i="47"/>
  <c r="M29" i="74" l="1"/>
  <c r="M14" i="74"/>
  <c r="M15" i="74" s="1"/>
  <c r="W27" i="67"/>
  <c r="W25" i="67" s="1"/>
  <c r="Q7" i="21"/>
  <c r="Q13" i="21"/>
  <c r="Q8" i="21"/>
  <c r="Q9" i="21"/>
  <c r="Q10" i="21"/>
  <c r="Q11" i="21"/>
  <c r="L38" i="75"/>
  <c r="L74" i="75"/>
  <c r="L72" i="75"/>
  <c r="L73" i="75"/>
  <c r="L75" i="75"/>
  <c r="L76" i="75"/>
  <c r="L29" i="75"/>
  <c r="L35" i="75" s="1"/>
  <c r="L50" i="75"/>
  <c r="W21" i="67"/>
  <c r="W7" i="67"/>
  <c r="W28" i="67"/>
  <c r="W8" i="67"/>
  <c r="V7" i="66"/>
  <c r="V21" i="66" s="1"/>
  <c r="W15" i="66"/>
  <c r="V27" i="66"/>
  <c r="V33" i="66" s="1"/>
  <c r="U7" i="66"/>
  <c r="W7" i="66" s="1"/>
  <c r="W32" i="66"/>
  <c r="W30" i="66" s="1"/>
  <c r="U33" i="66"/>
  <c r="W27" i="66"/>
  <c r="W8" i="66"/>
  <c r="W26" i="65"/>
  <c r="W27" i="65"/>
  <c r="V25" i="65"/>
  <c r="V31" i="65"/>
  <c r="W30" i="65"/>
  <c r="W28" i="65" s="1"/>
  <c r="U21" i="65"/>
  <c r="W21" i="65" s="1"/>
  <c r="W7" i="65"/>
  <c r="U31" i="65"/>
  <c r="L18" i="76"/>
  <c r="J33" i="49"/>
  <c r="J32" i="49"/>
  <c r="I36" i="49" l="1"/>
  <c r="J36" i="49"/>
  <c r="W31" i="67"/>
  <c r="W25" i="65"/>
  <c r="L68" i="75"/>
  <c r="L67" i="75"/>
  <c r="L70" i="75"/>
  <c r="L69" i="75"/>
  <c r="L71" i="75"/>
  <c r="W33" i="66"/>
  <c r="U21" i="66"/>
  <c r="W21" i="66" s="1"/>
  <c r="W31" i="65"/>
  <c r="AE371" i="44"/>
  <c r="D36" i="44"/>
  <c r="E36" i="44"/>
  <c r="F36" i="44"/>
  <c r="J36" i="44"/>
  <c r="G41" i="76" l="1"/>
  <c r="G40" i="76"/>
  <c r="G39" i="76"/>
  <c r="G38" i="76"/>
  <c r="G37" i="76"/>
  <c r="G36" i="76"/>
  <c r="AC35" i="76"/>
  <c r="AB35" i="76"/>
  <c r="Z35" i="76"/>
  <c r="Y35" i="76"/>
  <c r="X35" i="76"/>
  <c r="W35" i="76"/>
  <c r="U35" i="76"/>
  <c r="T35" i="76"/>
  <c r="S35" i="76"/>
  <c r="R35" i="76"/>
  <c r="Q35" i="76"/>
  <c r="P35" i="76"/>
  <c r="O35" i="76"/>
  <c r="N35" i="76"/>
  <c r="M35" i="76"/>
  <c r="F35" i="76"/>
  <c r="E35" i="76"/>
  <c r="G33" i="76"/>
  <c r="G32" i="76"/>
  <c r="G31" i="76"/>
  <c r="G30" i="76"/>
  <c r="G29" i="76"/>
  <c r="G28" i="76"/>
  <c r="AC27" i="76"/>
  <c r="AB27" i="76"/>
  <c r="Z27" i="76"/>
  <c r="Y27" i="76"/>
  <c r="X27" i="76"/>
  <c r="W27" i="76"/>
  <c r="U27" i="76"/>
  <c r="T27" i="76"/>
  <c r="S27" i="76"/>
  <c r="R27" i="76"/>
  <c r="Q27" i="76"/>
  <c r="P27" i="76"/>
  <c r="O27" i="76"/>
  <c r="N27" i="76"/>
  <c r="M27" i="76"/>
  <c r="F27" i="76"/>
  <c r="G27" i="76" s="1"/>
  <c r="F25" i="76"/>
  <c r="E25" i="76"/>
  <c r="AC18" i="76"/>
  <c r="AB18" i="76"/>
  <c r="AA18" i="76"/>
  <c r="Z18" i="76"/>
  <c r="Y18" i="76"/>
  <c r="X18" i="76"/>
  <c r="AC17" i="76"/>
  <c r="AB17" i="76"/>
  <c r="AA17" i="76"/>
  <c r="Z17" i="76"/>
  <c r="Y17" i="76"/>
  <c r="X17" i="76"/>
  <c r="W17" i="76"/>
  <c r="V17" i="76"/>
  <c r="U17" i="76"/>
  <c r="T17" i="76"/>
  <c r="N17" i="76"/>
  <c r="X16" i="76"/>
  <c r="W16" i="76"/>
  <c r="W18" i="76" s="1"/>
  <c r="V16" i="76"/>
  <c r="V18" i="76" s="1"/>
  <c r="U16" i="76"/>
  <c r="U18" i="76" s="1"/>
  <c r="T16" i="76"/>
  <c r="T18" i="76" s="1"/>
  <c r="Q16" i="76"/>
  <c r="Q18" i="76" s="1"/>
  <c r="O15" i="76"/>
  <c r="O14" i="76"/>
  <c r="G14" i="76"/>
  <c r="O13" i="76"/>
  <c r="G13" i="76"/>
  <c r="O11" i="76"/>
  <c r="G11" i="76"/>
  <c r="O10" i="76"/>
  <c r="O9" i="76"/>
  <c r="O8" i="76" s="1"/>
  <c r="G9" i="76"/>
  <c r="S8" i="76"/>
  <c r="S16" i="76" s="1"/>
  <c r="S18" i="76" s="1"/>
  <c r="R8" i="76"/>
  <c r="R17" i="76" s="1"/>
  <c r="Q8" i="76"/>
  <c r="Q17" i="76" s="1"/>
  <c r="P8" i="76"/>
  <c r="P17" i="76" s="1"/>
  <c r="N8" i="76"/>
  <c r="N16" i="76" s="1"/>
  <c r="N18" i="76" s="1"/>
  <c r="M8" i="76"/>
  <c r="M16" i="76" s="1"/>
  <c r="M18" i="76" s="1"/>
  <c r="F7" i="76"/>
  <c r="G7" i="76" s="1"/>
  <c r="E7" i="76"/>
  <c r="F26" i="76"/>
  <c r="E26" i="76"/>
  <c r="I72" i="75"/>
  <c r="I67" i="75"/>
  <c r="S59" i="75"/>
  <c r="R59" i="75"/>
  <c r="Q59" i="75"/>
  <c r="P59" i="75"/>
  <c r="N59" i="75"/>
  <c r="M59" i="75"/>
  <c r="S58" i="75"/>
  <c r="R58" i="75"/>
  <c r="Q58" i="75"/>
  <c r="P58" i="75"/>
  <c r="N58" i="75"/>
  <c r="M58" i="75"/>
  <c r="S57" i="75"/>
  <c r="R57" i="75"/>
  <c r="Q57" i="75"/>
  <c r="P57" i="75"/>
  <c r="N57" i="75"/>
  <c r="M57" i="75"/>
  <c r="S56" i="75"/>
  <c r="R56" i="75"/>
  <c r="Q56" i="75"/>
  <c r="P56" i="75"/>
  <c r="N56" i="75"/>
  <c r="M56" i="75"/>
  <c r="S55" i="75"/>
  <c r="I55" i="75"/>
  <c r="I62" i="75" s="1"/>
  <c r="S54" i="75"/>
  <c r="R54" i="75"/>
  <c r="Q54" i="75"/>
  <c r="P54" i="75"/>
  <c r="N54" i="75"/>
  <c r="M54" i="75"/>
  <c r="S53" i="75"/>
  <c r="R53" i="75"/>
  <c r="Q53" i="75"/>
  <c r="P53" i="75"/>
  <c r="N53" i="75"/>
  <c r="M53" i="75"/>
  <c r="S52" i="75"/>
  <c r="R52" i="75"/>
  <c r="Q52" i="75"/>
  <c r="P52" i="75"/>
  <c r="N52" i="75"/>
  <c r="M52" i="75"/>
  <c r="S51" i="75"/>
  <c r="R51" i="75"/>
  <c r="Q51" i="75"/>
  <c r="P51" i="75"/>
  <c r="N51" i="75"/>
  <c r="M51" i="75"/>
  <c r="S50" i="75"/>
  <c r="S71" i="75" s="1"/>
  <c r="S34" i="75"/>
  <c r="S39" i="75" s="1"/>
  <c r="R34" i="75"/>
  <c r="R39" i="75" s="1"/>
  <c r="Q34" i="75"/>
  <c r="P34" i="75"/>
  <c r="P39" i="75" s="1"/>
  <c r="N34" i="75"/>
  <c r="N39" i="75" s="1"/>
  <c r="M34" i="75"/>
  <c r="I34" i="75"/>
  <c r="I39" i="75" s="1"/>
  <c r="I45" i="75" s="1"/>
  <c r="S33" i="75"/>
  <c r="R33" i="75"/>
  <c r="Q33" i="75"/>
  <c r="P33" i="75"/>
  <c r="N33" i="75"/>
  <c r="M33" i="75"/>
  <c r="I33" i="75"/>
  <c r="S31" i="75"/>
  <c r="S40" i="75" s="1"/>
  <c r="R31" i="75"/>
  <c r="R40" i="75" s="1"/>
  <c r="Q31" i="75"/>
  <c r="P31" i="75"/>
  <c r="P40" i="75" s="1"/>
  <c r="N31" i="75"/>
  <c r="N40" i="75" s="1"/>
  <c r="M31" i="75"/>
  <c r="I31" i="75"/>
  <c r="I40" i="75" s="1"/>
  <c r="I50" i="75" s="1"/>
  <c r="S30" i="75"/>
  <c r="R30" i="75"/>
  <c r="Q30" i="75"/>
  <c r="P30" i="75"/>
  <c r="P38" i="75" s="1"/>
  <c r="N30" i="75"/>
  <c r="M30" i="75"/>
  <c r="I30" i="75"/>
  <c r="I29" i="75" s="1"/>
  <c r="S26" i="75"/>
  <c r="O25" i="75"/>
  <c r="O59" i="75" s="1"/>
  <c r="D59" i="75"/>
  <c r="O24" i="75"/>
  <c r="O58" i="75" s="1"/>
  <c r="D58" i="75"/>
  <c r="O23" i="75"/>
  <c r="O57" i="75" s="1"/>
  <c r="D57" i="75"/>
  <c r="O22" i="75"/>
  <c r="D56" i="75"/>
  <c r="R21" i="75"/>
  <c r="R55" i="75" s="1"/>
  <c r="Q21" i="75"/>
  <c r="Q55" i="75" s="1"/>
  <c r="P21" i="75"/>
  <c r="P55" i="75" s="1"/>
  <c r="N21" i="75"/>
  <c r="N55" i="75" s="1"/>
  <c r="M21" i="75"/>
  <c r="M55" i="75" s="1"/>
  <c r="I21" i="75"/>
  <c r="O20" i="75"/>
  <c r="O54" i="75" s="1"/>
  <c r="D54" i="75"/>
  <c r="O19" i="75"/>
  <c r="E53" i="75"/>
  <c r="D53" i="75"/>
  <c r="O18" i="75"/>
  <c r="D52" i="75"/>
  <c r="O17" i="75"/>
  <c r="D51" i="75"/>
  <c r="R16" i="75"/>
  <c r="R50" i="75" s="1"/>
  <c r="Q16" i="75"/>
  <c r="Q50" i="75" s="1"/>
  <c r="P16" i="75"/>
  <c r="P50" i="75" s="1"/>
  <c r="N16" i="75"/>
  <c r="M16" i="75"/>
  <c r="I16" i="75"/>
  <c r="I11" i="75"/>
  <c r="I6" i="75"/>
  <c r="E44" i="75"/>
  <c r="D44" i="75"/>
  <c r="E4" i="75"/>
  <c r="E43" i="75" s="1"/>
  <c r="D4" i="75"/>
  <c r="D43" i="75" s="1"/>
  <c r="B1" i="75"/>
  <c r="Z28" i="74"/>
  <c r="U28" i="74"/>
  <c r="I28" i="74"/>
  <c r="Z27" i="74"/>
  <c r="U27" i="74"/>
  <c r="I27" i="74"/>
  <c r="Z26" i="74"/>
  <c r="U26" i="74"/>
  <c r="U25" i="74" s="1"/>
  <c r="I26" i="74"/>
  <c r="AD25" i="74"/>
  <c r="AC25" i="74"/>
  <c r="AB25" i="74"/>
  <c r="AA25" i="74"/>
  <c r="Y25" i="74"/>
  <c r="X25" i="74"/>
  <c r="X29" i="74" s="1"/>
  <c r="W25" i="74"/>
  <c r="V25" i="74"/>
  <c r="T25" i="74"/>
  <c r="S25" i="74"/>
  <c r="R25" i="74"/>
  <c r="Q25" i="74"/>
  <c r="P25" i="74"/>
  <c r="O25" i="74"/>
  <c r="N25" i="74"/>
  <c r="Z24" i="74"/>
  <c r="U24" i="74"/>
  <c r="I24" i="74"/>
  <c r="Z23" i="74"/>
  <c r="U23" i="74"/>
  <c r="Z22" i="74"/>
  <c r="U22" i="74"/>
  <c r="Z21" i="74"/>
  <c r="U21" i="74"/>
  <c r="I21" i="74"/>
  <c r="AD20" i="74"/>
  <c r="AD29" i="74" s="1"/>
  <c r="AC20" i="74"/>
  <c r="AB20" i="74"/>
  <c r="AB29" i="74" s="1"/>
  <c r="AA20" i="74"/>
  <c r="Y20" i="74"/>
  <c r="W20" i="74"/>
  <c r="W29" i="74" s="1"/>
  <c r="V20" i="74"/>
  <c r="T20" i="74"/>
  <c r="T29" i="74" s="1"/>
  <c r="S20" i="74"/>
  <c r="S29" i="74" s="1"/>
  <c r="R20" i="74"/>
  <c r="R29" i="74" s="1"/>
  <c r="Q20" i="74"/>
  <c r="Q29" i="74" s="1"/>
  <c r="P20" i="74"/>
  <c r="P29" i="74" s="1"/>
  <c r="O20" i="74"/>
  <c r="O29" i="74" s="1"/>
  <c r="N20" i="74"/>
  <c r="N29" i="74" s="1"/>
  <c r="AD19" i="74"/>
  <c r="AC19" i="74"/>
  <c r="AB19" i="74"/>
  <c r="AA19" i="74"/>
  <c r="Z19" i="74"/>
  <c r="Y19" i="74"/>
  <c r="X19" i="74"/>
  <c r="W19" i="74"/>
  <c r="V19" i="74"/>
  <c r="U19" i="74"/>
  <c r="T19" i="74"/>
  <c r="S19" i="74"/>
  <c r="R19" i="74"/>
  <c r="Q19" i="74"/>
  <c r="P19" i="74"/>
  <c r="O19" i="74"/>
  <c r="N19" i="74"/>
  <c r="S18" i="74"/>
  <c r="Z13" i="74"/>
  <c r="U13" i="74"/>
  <c r="Z12" i="74"/>
  <c r="U12" i="74"/>
  <c r="I12" i="74"/>
  <c r="AD11" i="74"/>
  <c r="AC11" i="74"/>
  <c r="AB11" i="74"/>
  <c r="AA11" i="74"/>
  <c r="Y11" i="74"/>
  <c r="Y14" i="74" s="1"/>
  <c r="X11" i="74"/>
  <c r="W11" i="74"/>
  <c r="V11" i="74"/>
  <c r="V14" i="74" s="1"/>
  <c r="T11" i="74"/>
  <c r="S11" i="74"/>
  <c r="R11" i="74"/>
  <c r="Q11" i="74"/>
  <c r="P11" i="74"/>
  <c r="O11" i="74"/>
  <c r="N11" i="74"/>
  <c r="Z10" i="74"/>
  <c r="U10" i="74"/>
  <c r="Z9" i="74"/>
  <c r="U9" i="74"/>
  <c r="Z8" i="74"/>
  <c r="U8" i="74"/>
  <c r="I8" i="74"/>
  <c r="Z7" i="74"/>
  <c r="U7" i="74"/>
  <c r="AD6" i="74"/>
  <c r="AD14" i="74" s="1"/>
  <c r="AC6" i="74"/>
  <c r="AB6" i="74"/>
  <c r="AA6" i="74"/>
  <c r="AA14" i="74" s="1"/>
  <c r="Y6" i="74"/>
  <c r="X6" i="74"/>
  <c r="X14" i="74" s="1"/>
  <c r="W6" i="74"/>
  <c r="W14" i="74" s="1"/>
  <c r="V6" i="74"/>
  <c r="T6" i="74"/>
  <c r="T14" i="74" s="1"/>
  <c r="T15" i="74" s="1"/>
  <c r="S6" i="74"/>
  <c r="R6" i="74"/>
  <c r="Q6" i="74"/>
  <c r="Q14" i="74" s="1"/>
  <c r="Q15" i="74" s="1"/>
  <c r="P6" i="74"/>
  <c r="O6" i="74"/>
  <c r="N6" i="74"/>
  <c r="N14" i="74" s="1"/>
  <c r="N15" i="74" s="1"/>
  <c r="G19" i="74"/>
  <c r="E19" i="74"/>
  <c r="G4" i="74"/>
  <c r="G18" i="74" s="1"/>
  <c r="E4" i="74"/>
  <c r="E18" i="74" s="1"/>
  <c r="E38" i="75" l="1"/>
  <c r="Q39" i="75"/>
  <c r="M40" i="75"/>
  <c r="M39" i="75"/>
  <c r="D39" i="75"/>
  <c r="Q40" i="75"/>
  <c r="P29" i="75"/>
  <c r="M38" i="75"/>
  <c r="G35" i="76"/>
  <c r="S29" i="75"/>
  <c r="F17" i="75"/>
  <c r="F53" i="75"/>
  <c r="F24" i="75"/>
  <c r="M29" i="75"/>
  <c r="I32" i="75"/>
  <c r="I35" i="75" s="1"/>
  <c r="S32" i="75"/>
  <c r="S35" i="75" s="1"/>
  <c r="R29" i="75"/>
  <c r="Q38" i="75"/>
  <c r="N38" i="75"/>
  <c r="N32" i="75"/>
  <c r="R32" i="75"/>
  <c r="Q29" i="75"/>
  <c r="S72" i="75"/>
  <c r="S74" i="75"/>
  <c r="D16" i="75"/>
  <c r="D50" i="75" s="1"/>
  <c r="D70" i="75" s="1"/>
  <c r="R26" i="75"/>
  <c r="R72" i="75" s="1"/>
  <c r="O21" i="75"/>
  <c r="O55" i="75" s="1"/>
  <c r="O75" i="75" s="1"/>
  <c r="P26" i="75"/>
  <c r="P67" i="75" s="1"/>
  <c r="E39" i="75"/>
  <c r="M26" i="75"/>
  <c r="M72" i="75" s="1"/>
  <c r="F20" i="75"/>
  <c r="D40" i="75"/>
  <c r="N29" i="75"/>
  <c r="E25" i="74"/>
  <c r="F27" i="74" s="1"/>
  <c r="P14" i="74"/>
  <c r="P15" i="74" s="1"/>
  <c r="R14" i="74"/>
  <c r="R15" i="74" s="1"/>
  <c r="I7" i="74"/>
  <c r="E11" i="74"/>
  <c r="F12" i="74" s="1"/>
  <c r="AA29" i="74"/>
  <c r="I9" i="74"/>
  <c r="S14" i="74"/>
  <c r="S15" i="74" s="1"/>
  <c r="AC29" i="74"/>
  <c r="Z20" i="74"/>
  <c r="Z29" i="74" s="1"/>
  <c r="O14" i="74"/>
  <c r="O15" i="74" s="1"/>
  <c r="AC14" i="74"/>
  <c r="AB14" i="74"/>
  <c r="Z11" i="74"/>
  <c r="V29" i="74"/>
  <c r="Z25" i="74"/>
  <c r="Y29" i="74"/>
  <c r="S70" i="75"/>
  <c r="I23" i="74"/>
  <c r="Z6" i="74"/>
  <c r="Z14" i="74" s="1"/>
  <c r="U20" i="74"/>
  <c r="U29" i="74" s="1"/>
  <c r="S73" i="75"/>
  <c r="I22" i="74"/>
  <c r="R38" i="75"/>
  <c r="P32" i="75"/>
  <c r="P35" i="75" s="1"/>
  <c r="S75" i="75"/>
  <c r="S76" i="75"/>
  <c r="U6" i="74"/>
  <c r="U11" i="74"/>
  <c r="I38" i="75"/>
  <c r="S38" i="75"/>
  <c r="G10" i="76"/>
  <c r="F18" i="75"/>
  <c r="Q32" i="75"/>
  <c r="S69" i="75"/>
  <c r="S67" i="75"/>
  <c r="G12" i="76"/>
  <c r="E8" i="76"/>
  <c r="O16" i="76"/>
  <c r="O18" i="76" s="1"/>
  <c r="O17" i="76"/>
  <c r="F8" i="76"/>
  <c r="P16" i="76"/>
  <c r="P18" i="76" s="1"/>
  <c r="M17" i="76"/>
  <c r="S17" i="76"/>
  <c r="R16" i="76"/>
  <c r="R18" i="76" s="1"/>
  <c r="G15" i="76"/>
  <c r="N75" i="75"/>
  <c r="N73" i="75"/>
  <c r="N76" i="75"/>
  <c r="I26" i="75"/>
  <c r="Q69" i="75"/>
  <c r="Q71" i="75"/>
  <c r="Q68" i="75"/>
  <c r="O34" i="75"/>
  <c r="O39" i="75" s="1"/>
  <c r="O53" i="75"/>
  <c r="E57" i="75"/>
  <c r="F23" i="75"/>
  <c r="O31" i="75"/>
  <c r="O40" i="75" s="1"/>
  <c r="R67" i="75"/>
  <c r="R71" i="75"/>
  <c r="M73" i="75"/>
  <c r="M74" i="75"/>
  <c r="R76" i="75"/>
  <c r="E59" i="75"/>
  <c r="F25" i="75"/>
  <c r="O33" i="75"/>
  <c r="O52" i="75"/>
  <c r="R74" i="75"/>
  <c r="R75" i="75"/>
  <c r="E56" i="75"/>
  <c r="E21" i="75"/>
  <c r="F22" i="75"/>
  <c r="M32" i="75"/>
  <c r="P68" i="75"/>
  <c r="P70" i="75"/>
  <c r="N74" i="75"/>
  <c r="E58" i="75"/>
  <c r="O51" i="75"/>
  <c r="O30" i="75"/>
  <c r="O16" i="75"/>
  <c r="Q70" i="75"/>
  <c r="M75" i="75"/>
  <c r="M76" i="75"/>
  <c r="R68" i="75"/>
  <c r="P69" i="75"/>
  <c r="R70" i="75"/>
  <c r="Q73" i="75"/>
  <c r="P71" i="75"/>
  <c r="R73" i="75"/>
  <c r="Q74" i="75"/>
  <c r="P75" i="75"/>
  <c r="N26" i="75"/>
  <c r="N72" i="75" s="1"/>
  <c r="N50" i="75"/>
  <c r="N69" i="75" s="1"/>
  <c r="P74" i="75"/>
  <c r="P76" i="75"/>
  <c r="P73" i="75"/>
  <c r="R69" i="75"/>
  <c r="Q75" i="75"/>
  <c r="Q76" i="75"/>
  <c r="Q26" i="75"/>
  <c r="Q67" i="75" s="1"/>
  <c r="F30" i="75"/>
  <c r="M50" i="75"/>
  <c r="M69" i="75" s="1"/>
  <c r="E51" i="75"/>
  <c r="E54" i="75"/>
  <c r="E16" i="75"/>
  <c r="O56" i="75"/>
  <c r="S68" i="75"/>
  <c r="D21" i="75"/>
  <c r="E52" i="75"/>
  <c r="F19" i="75"/>
  <c r="I10" i="74"/>
  <c r="I13" i="74"/>
  <c r="E20" i="74"/>
  <c r="AE23" i="74" s="1"/>
  <c r="E6" i="74"/>
  <c r="F9" i="74" s="1"/>
  <c r="G20" i="74"/>
  <c r="H23" i="74" s="1"/>
  <c r="G6" i="74"/>
  <c r="G25" i="74"/>
  <c r="G11" i="74"/>
  <c r="H13" i="74" s="1"/>
  <c r="D69" i="75" l="1"/>
  <c r="O74" i="75"/>
  <c r="N35" i="75"/>
  <c r="F28" i="74"/>
  <c r="F26" i="74"/>
  <c r="F13" i="74"/>
  <c r="D71" i="75"/>
  <c r="R35" i="75"/>
  <c r="P72" i="75"/>
  <c r="O73" i="75"/>
  <c r="O76" i="75"/>
  <c r="D68" i="75"/>
  <c r="M35" i="75"/>
  <c r="Q35" i="75"/>
  <c r="Q72" i="75"/>
  <c r="E16" i="76"/>
  <c r="E18" i="76" s="1"/>
  <c r="N68" i="75"/>
  <c r="U14" i="74"/>
  <c r="G8" i="76"/>
  <c r="F16" i="76"/>
  <c r="G17" i="76"/>
  <c r="F51" i="75"/>
  <c r="F33" i="75"/>
  <c r="E32" i="75"/>
  <c r="O26" i="75"/>
  <c r="O72" i="75" s="1"/>
  <c r="O50" i="75"/>
  <c r="O68" i="75" s="1"/>
  <c r="F58" i="75"/>
  <c r="F56" i="75"/>
  <c r="O32" i="75"/>
  <c r="M67" i="75"/>
  <c r="M71" i="75"/>
  <c r="M68" i="75"/>
  <c r="M70" i="75"/>
  <c r="F34" i="75"/>
  <c r="O29" i="75"/>
  <c r="O38" i="75"/>
  <c r="D32" i="75"/>
  <c r="O70" i="75"/>
  <c r="E29" i="75"/>
  <c r="F31" i="75"/>
  <c r="E40" i="75"/>
  <c r="F40" i="75" s="1"/>
  <c r="F39" i="75"/>
  <c r="F52" i="75"/>
  <c r="D29" i="75"/>
  <c r="D38" i="75"/>
  <c r="F38" i="75" s="1"/>
  <c r="N67" i="75"/>
  <c r="F59" i="75"/>
  <c r="D26" i="75"/>
  <c r="D67" i="75" s="1"/>
  <c r="D55" i="75"/>
  <c r="F57" i="75"/>
  <c r="E50" i="75"/>
  <c r="E69" i="75" s="1"/>
  <c r="F16" i="75"/>
  <c r="F54" i="75"/>
  <c r="N71" i="75"/>
  <c r="E55" i="75"/>
  <c r="E73" i="75" s="1"/>
  <c r="F21" i="75"/>
  <c r="E26" i="75"/>
  <c r="N70" i="75"/>
  <c r="F24" i="74"/>
  <c r="E29" i="74"/>
  <c r="F23" i="74"/>
  <c r="F21" i="74"/>
  <c r="F22" i="74"/>
  <c r="I25" i="74"/>
  <c r="H28" i="74"/>
  <c r="H27" i="74"/>
  <c r="G29" i="74"/>
  <c r="H20" i="74"/>
  <c r="H22" i="74"/>
  <c r="H21" i="74"/>
  <c r="I20" i="74"/>
  <c r="G14" i="74"/>
  <c r="H11" i="74" s="1"/>
  <c r="I6" i="74"/>
  <c r="H9" i="74"/>
  <c r="H7" i="74"/>
  <c r="H8" i="74"/>
  <c r="H26" i="74"/>
  <c r="E14" i="74"/>
  <c r="F11" i="74" s="1"/>
  <c r="F10" i="74"/>
  <c r="F7" i="74"/>
  <c r="F8" i="74"/>
  <c r="H24" i="74"/>
  <c r="H12" i="74"/>
  <c r="I11" i="74"/>
  <c r="H10" i="74"/>
  <c r="F69" i="75" l="1"/>
  <c r="F25" i="74"/>
  <c r="AF23" i="74"/>
  <c r="I29" i="74"/>
  <c r="O35" i="75"/>
  <c r="F26" i="75"/>
  <c r="O69" i="75"/>
  <c r="F32" i="75"/>
  <c r="E76" i="75"/>
  <c r="F18" i="76"/>
  <c r="G18" i="76" s="1"/>
  <c r="G16" i="76"/>
  <c r="E72" i="75"/>
  <c r="F55" i="75"/>
  <c r="F50" i="75"/>
  <c r="E67" i="75"/>
  <c r="F67" i="75" s="1"/>
  <c r="E70" i="75"/>
  <c r="F70" i="75" s="1"/>
  <c r="E35" i="75"/>
  <c r="F29" i="75"/>
  <c r="E74" i="75"/>
  <c r="E68" i="75"/>
  <c r="F68" i="75" s="1"/>
  <c r="E75" i="75"/>
  <c r="E71" i="75"/>
  <c r="F71" i="75" s="1"/>
  <c r="D72" i="75"/>
  <c r="D73" i="75"/>
  <c r="F73" i="75" s="1"/>
  <c r="D75" i="75"/>
  <c r="D74" i="75"/>
  <c r="D76" i="75"/>
  <c r="F76" i="75" s="1"/>
  <c r="D35" i="75"/>
  <c r="O67" i="75"/>
  <c r="O71" i="75"/>
  <c r="I14" i="74"/>
  <c r="H25" i="74"/>
  <c r="H29" i="74" s="1"/>
  <c r="F20" i="74"/>
  <c r="F29" i="74" s="1"/>
  <c r="F6" i="74"/>
  <c r="F14" i="74" s="1"/>
  <c r="H6" i="74"/>
  <c r="H14" i="74" s="1"/>
  <c r="F74" i="75" l="1"/>
  <c r="F75" i="75"/>
  <c r="F72" i="75"/>
  <c r="F35" i="75"/>
  <c r="K9" i="49" l="1"/>
  <c r="AG31" i="48" l="1"/>
  <c r="AG22" i="48"/>
  <c r="AH15" i="48"/>
  <c r="AG15" i="48"/>
  <c r="AH10" i="48"/>
  <c r="AG10" i="48"/>
  <c r="AG6" i="48"/>
  <c r="AG40" i="48" l="1"/>
  <c r="AG30" i="48"/>
  <c r="AG34" i="48" s="1"/>
  <c r="AG36" i="48" s="1"/>
  <c r="D4" i="68" l="1"/>
  <c r="D4" i="67"/>
  <c r="D4" i="65"/>
  <c r="J6" i="45" l="1"/>
  <c r="J7" i="45"/>
  <c r="J8" i="45"/>
  <c r="J9" i="45"/>
  <c r="J10" i="45"/>
  <c r="J11" i="45"/>
  <c r="J12" i="45"/>
  <c r="J13" i="45"/>
  <c r="J14" i="45"/>
  <c r="J15" i="45"/>
  <c r="J16" i="45"/>
  <c r="J17" i="45"/>
  <c r="J18" i="45"/>
  <c r="J19" i="45"/>
  <c r="J20" i="45"/>
  <c r="J21" i="45"/>
  <c r="J22" i="45"/>
  <c r="J23" i="45"/>
  <c r="J24" i="45"/>
  <c r="J25" i="45"/>
  <c r="J26" i="45"/>
  <c r="J27" i="45"/>
  <c r="J28" i="45"/>
  <c r="J29" i="45"/>
  <c r="J30" i="45"/>
  <c r="J31" i="45"/>
  <c r="J32" i="45"/>
  <c r="J33" i="45"/>
  <c r="J34" i="45"/>
  <c r="J35" i="45"/>
  <c r="J36" i="45"/>
  <c r="J37" i="45"/>
  <c r="J38" i="45"/>
  <c r="J39" i="45"/>
  <c r="J40" i="45"/>
  <c r="J41" i="45"/>
  <c r="J42" i="45"/>
  <c r="J43" i="45"/>
  <c r="J44" i="45"/>
  <c r="J45" i="45"/>
  <c r="J46" i="45"/>
  <c r="J47" i="45"/>
  <c r="J48" i="45"/>
  <c r="J49" i="45"/>
  <c r="J50" i="45"/>
  <c r="J51" i="45"/>
  <c r="J52" i="45"/>
  <c r="J53" i="45"/>
  <c r="J54" i="45"/>
  <c r="J55" i="45"/>
  <c r="J56" i="45"/>
  <c r="J57" i="45"/>
  <c r="J58" i="45"/>
  <c r="J59" i="45"/>
  <c r="J60" i="45"/>
  <c r="J61" i="45"/>
  <c r="J62" i="45"/>
  <c r="J63" i="45"/>
  <c r="J64" i="45"/>
  <c r="J65" i="45"/>
  <c r="J66" i="45"/>
  <c r="J67" i="45"/>
  <c r="J68" i="45"/>
  <c r="J69" i="45"/>
  <c r="J70" i="45"/>
  <c r="J71" i="45"/>
  <c r="J72" i="45"/>
  <c r="J73" i="45"/>
  <c r="J74" i="45"/>
  <c r="J75" i="45"/>
  <c r="J76" i="45"/>
  <c r="J77" i="45"/>
  <c r="J78" i="45"/>
  <c r="J79" i="45"/>
  <c r="J80" i="45"/>
  <c r="J81" i="45"/>
  <c r="J82" i="45"/>
  <c r="J83" i="45"/>
  <c r="J84" i="45"/>
  <c r="J85" i="45"/>
  <c r="J86" i="45"/>
  <c r="J87" i="45"/>
  <c r="J88" i="45"/>
  <c r="J89" i="45"/>
  <c r="J90" i="45"/>
  <c r="J91" i="45"/>
  <c r="J92" i="45"/>
  <c r="J93" i="45"/>
  <c r="J94" i="45"/>
  <c r="J95" i="45"/>
  <c r="J96" i="45"/>
  <c r="J97" i="45"/>
  <c r="J98" i="45"/>
  <c r="J99" i="45"/>
  <c r="J100" i="45"/>
  <c r="J101" i="45"/>
  <c r="J102" i="45"/>
  <c r="J103" i="45"/>
  <c r="J104" i="45"/>
  <c r="J105" i="45"/>
  <c r="J106" i="45"/>
  <c r="J107" i="45"/>
  <c r="J108" i="45"/>
  <c r="J109" i="45"/>
  <c r="J110" i="45"/>
  <c r="J111" i="45"/>
  <c r="J112" i="45"/>
  <c r="J113" i="45"/>
  <c r="J114" i="45"/>
  <c r="J115" i="45"/>
  <c r="J116" i="45"/>
  <c r="J117" i="45"/>
  <c r="J118" i="45"/>
  <c r="J119" i="45"/>
  <c r="J120" i="45"/>
  <c r="J121" i="45"/>
  <c r="J122" i="45"/>
  <c r="J123" i="45"/>
  <c r="J124" i="45"/>
  <c r="J125" i="45"/>
  <c r="J126" i="45"/>
  <c r="J127" i="45"/>
  <c r="J128" i="45"/>
  <c r="J129" i="45"/>
  <c r="J130" i="45"/>
  <c r="J131" i="45"/>
  <c r="J132" i="45"/>
  <c r="J133" i="45"/>
  <c r="J134" i="45"/>
  <c r="J135" i="45"/>
  <c r="J136" i="45"/>
  <c r="J137" i="45"/>
  <c r="J138" i="45"/>
  <c r="J139" i="45"/>
  <c r="J140" i="45"/>
  <c r="J141" i="45"/>
  <c r="J142" i="45"/>
  <c r="J143" i="45"/>
  <c r="J144" i="45"/>
  <c r="J145" i="45"/>
  <c r="J146" i="45"/>
  <c r="J147" i="45"/>
  <c r="J148" i="45"/>
  <c r="J149" i="45"/>
  <c r="J150" i="45"/>
  <c r="J151" i="45"/>
  <c r="J152" i="45"/>
  <c r="J153" i="45"/>
  <c r="J154" i="45"/>
  <c r="J155" i="45"/>
  <c r="J156" i="45"/>
  <c r="J157" i="45"/>
  <c r="J158" i="45"/>
  <c r="J159" i="45"/>
  <c r="J160" i="45"/>
  <c r="J161" i="45"/>
  <c r="J162" i="45"/>
  <c r="J163" i="45"/>
  <c r="J164" i="45"/>
  <c r="J165" i="45"/>
  <c r="J166" i="45"/>
  <c r="J167" i="45"/>
  <c r="J168" i="45"/>
  <c r="J169" i="45"/>
  <c r="J170" i="45"/>
  <c r="J171" i="45"/>
  <c r="J172" i="45"/>
  <c r="J173" i="45"/>
  <c r="J174" i="45"/>
  <c r="J175" i="45"/>
  <c r="J176" i="45"/>
  <c r="J177" i="45"/>
  <c r="J178" i="45"/>
  <c r="J179" i="45"/>
  <c r="J180" i="45"/>
  <c r="J181" i="45"/>
  <c r="J182" i="45"/>
  <c r="J183" i="45"/>
  <c r="J184" i="45"/>
  <c r="J185" i="45"/>
  <c r="J186" i="45"/>
  <c r="J187" i="45"/>
  <c r="J188" i="45"/>
  <c r="J189" i="45"/>
  <c r="J190" i="45"/>
  <c r="J191" i="45"/>
  <c r="J192" i="45"/>
  <c r="J193" i="45"/>
  <c r="J194" i="45"/>
  <c r="J195" i="45"/>
  <c r="J196" i="45"/>
  <c r="J197" i="45"/>
  <c r="J198" i="45"/>
  <c r="J199" i="45"/>
  <c r="J200" i="45"/>
  <c r="J201" i="45"/>
  <c r="J202" i="45"/>
  <c r="J203" i="45"/>
  <c r="J204" i="45"/>
  <c r="J205" i="45"/>
  <c r="J206" i="45"/>
  <c r="J207" i="45"/>
  <c r="J208" i="45"/>
  <c r="J209" i="45"/>
  <c r="J210" i="45"/>
  <c r="J211" i="45"/>
  <c r="J212" i="45"/>
  <c r="J213" i="45"/>
  <c r="J214" i="45"/>
  <c r="J215" i="45"/>
  <c r="J216" i="45"/>
  <c r="J217" i="45"/>
  <c r="J218" i="45"/>
  <c r="J219" i="45"/>
  <c r="J220" i="45"/>
  <c r="J221" i="45"/>
  <c r="J222" i="45"/>
  <c r="J223" i="45"/>
  <c r="J224" i="45"/>
  <c r="J225" i="45"/>
  <c r="J226" i="45"/>
  <c r="J227" i="45"/>
  <c r="J228" i="45"/>
  <c r="J229" i="45"/>
  <c r="J230" i="45"/>
  <c r="J231" i="45"/>
  <c r="J232" i="45"/>
  <c r="J233" i="45"/>
  <c r="J234" i="45"/>
  <c r="J235" i="45"/>
  <c r="J236" i="45"/>
  <c r="J237" i="45"/>
  <c r="J238" i="45"/>
  <c r="J239" i="45"/>
  <c r="J240" i="45"/>
  <c r="J241" i="45"/>
  <c r="J242" i="45"/>
  <c r="J243" i="45"/>
  <c r="J244" i="45"/>
  <c r="J245" i="45"/>
  <c r="J246" i="45"/>
  <c r="J247" i="45"/>
  <c r="J248" i="45"/>
  <c r="J249" i="45"/>
  <c r="J250" i="45"/>
  <c r="J251" i="45"/>
  <c r="J252" i="45"/>
  <c r="J253" i="45"/>
  <c r="J254" i="45"/>
  <c r="J255" i="45"/>
  <c r="J256" i="45"/>
  <c r="J257" i="45"/>
  <c r="J258" i="45"/>
  <c r="J259" i="45"/>
  <c r="J260" i="45"/>
  <c r="J261" i="45"/>
  <c r="J262" i="45"/>
  <c r="J263" i="45"/>
  <c r="J264" i="45"/>
  <c r="J265" i="45"/>
  <c r="J266" i="45"/>
  <c r="J267" i="45"/>
  <c r="J268" i="45"/>
  <c r="J269" i="45"/>
  <c r="J270" i="45"/>
  <c r="J271" i="45"/>
  <c r="J272" i="45"/>
  <c r="J273" i="45"/>
  <c r="J274" i="45"/>
  <c r="J275" i="45"/>
  <c r="J276" i="45"/>
  <c r="J277" i="45"/>
  <c r="J278" i="45"/>
  <c r="J279" i="45"/>
  <c r="J280" i="45"/>
  <c r="J281" i="45"/>
  <c r="J282" i="45"/>
  <c r="J283" i="45"/>
  <c r="J284" i="45"/>
  <c r="J285" i="45"/>
  <c r="J286" i="45"/>
  <c r="J287" i="45"/>
  <c r="J288" i="45"/>
  <c r="J289" i="45"/>
  <c r="J290" i="45"/>
  <c r="J291" i="45"/>
  <c r="J292" i="45"/>
  <c r="J293" i="45"/>
  <c r="J294" i="45"/>
  <c r="J295" i="45"/>
  <c r="J296" i="45"/>
  <c r="J297" i="45"/>
  <c r="J298" i="45"/>
  <c r="J299" i="45"/>
  <c r="J300" i="45"/>
  <c r="J301" i="45"/>
  <c r="J302" i="45"/>
  <c r="J303" i="45"/>
  <c r="J304" i="45"/>
  <c r="J305" i="45"/>
  <c r="J306" i="45"/>
  <c r="J307" i="45"/>
  <c r="J308" i="45"/>
  <c r="J309" i="45"/>
  <c r="J310" i="45"/>
  <c r="J311" i="45"/>
  <c r="J312" i="45"/>
  <c r="J313" i="45"/>
  <c r="J314" i="45"/>
  <c r="J315" i="45"/>
  <c r="J316" i="45"/>
  <c r="J317" i="45"/>
  <c r="J318" i="45"/>
  <c r="D4" i="49" l="1"/>
  <c r="J13" i="52" l="1"/>
  <c r="R7" i="21" l="1"/>
  <c r="S9" i="21" s="1"/>
  <c r="S19" i="18"/>
  <c r="S18" i="18"/>
  <c r="S17" i="18"/>
  <c r="S16" i="18"/>
  <c r="S15" i="18"/>
  <c r="S14" i="18"/>
  <c r="S13" i="18"/>
  <c r="S12" i="18"/>
  <c r="S11" i="18"/>
  <c r="S10" i="18"/>
  <c r="S9" i="18"/>
  <c r="S8" i="18"/>
  <c r="S7" i="18"/>
  <c r="S10" i="21" l="1"/>
  <c r="S11" i="21"/>
  <c r="S12" i="21"/>
  <c r="S7" i="21"/>
  <c r="S13" i="21"/>
  <c r="S8" i="21"/>
  <c r="L10" i="17"/>
  <c r="L13" i="17" s="1"/>
  <c r="L6" i="17"/>
  <c r="L16" i="46"/>
  <c r="L15" i="46"/>
  <c r="M21" i="68"/>
  <c r="M17" i="68"/>
  <c r="M16" i="68"/>
  <c r="M9" i="68"/>
  <c r="Y30" i="67"/>
  <c r="X30" i="67"/>
  <c r="Y29" i="67"/>
  <c r="X29" i="67"/>
  <c r="Y27" i="67"/>
  <c r="X27" i="67"/>
  <c r="Y26" i="67"/>
  <c r="X26" i="67"/>
  <c r="Z22" i="67"/>
  <c r="Z20" i="67"/>
  <c r="Z19" i="67"/>
  <c r="Y18" i="67"/>
  <c r="X18" i="67"/>
  <c r="Z17" i="67"/>
  <c r="Z16" i="67"/>
  <c r="Y15" i="67"/>
  <c r="X15" i="67"/>
  <c r="Z15" i="67" s="1"/>
  <c r="Z14" i="67"/>
  <c r="Z13" i="67"/>
  <c r="Y12" i="67"/>
  <c r="X12" i="67"/>
  <c r="Z12" i="67" s="1"/>
  <c r="Z11" i="67"/>
  <c r="Z10" i="67"/>
  <c r="Z29" i="67" s="1"/>
  <c r="Z9" i="67"/>
  <c r="Y8" i="67"/>
  <c r="X8" i="67"/>
  <c r="D4" i="66"/>
  <c r="Y32" i="66"/>
  <c r="X32" i="66"/>
  <c r="Y31" i="66"/>
  <c r="X31" i="66"/>
  <c r="Y29" i="66"/>
  <c r="X29" i="66"/>
  <c r="Y28" i="66"/>
  <c r="X28" i="66"/>
  <c r="Z24" i="66"/>
  <c r="Z23" i="66"/>
  <c r="Z22" i="66"/>
  <c r="Z20" i="66"/>
  <c r="Z19" i="66"/>
  <c r="Z18" i="66"/>
  <c r="Y18" i="66"/>
  <c r="X18" i="66"/>
  <c r="Z17" i="66"/>
  <c r="Z32" i="66" s="1"/>
  <c r="Z16" i="66"/>
  <c r="Y15" i="66"/>
  <c r="Z15" i="66" s="1"/>
  <c r="X15" i="66"/>
  <c r="Z14" i="66"/>
  <c r="Z13" i="66"/>
  <c r="Y12" i="66"/>
  <c r="X12" i="66"/>
  <c r="Z12" i="66" s="1"/>
  <c r="Z11" i="66"/>
  <c r="Z10" i="66"/>
  <c r="Z31" i="66" s="1"/>
  <c r="Z9" i="66"/>
  <c r="Y8" i="66"/>
  <c r="X8" i="66"/>
  <c r="Z8" i="66" s="1"/>
  <c r="Y30" i="65"/>
  <c r="X30" i="65"/>
  <c r="Y29" i="65"/>
  <c r="X29" i="65"/>
  <c r="Y27" i="65"/>
  <c r="X27" i="65"/>
  <c r="Y26" i="65"/>
  <c r="X26" i="65"/>
  <c r="Z22" i="65"/>
  <c r="Z20" i="65"/>
  <c r="Z19" i="65"/>
  <c r="Y18" i="65"/>
  <c r="X18" i="65"/>
  <c r="Z17" i="65"/>
  <c r="Z16" i="65"/>
  <c r="Y15" i="65"/>
  <c r="X15" i="65"/>
  <c r="Z15" i="65" s="1"/>
  <c r="Z14" i="65"/>
  <c r="Z13" i="65"/>
  <c r="Y12" i="65"/>
  <c r="X12" i="65"/>
  <c r="Z11" i="65"/>
  <c r="Z10" i="65"/>
  <c r="Z29" i="65" s="1"/>
  <c r="Z9" i="65"/>
  <c r="Y8" i="65"/>
  <c r="X8" i="65"/>
  <c r="D4" i="48"/>
  <c r="Z30" i="67" l="1"/>
  <c r="Y28" i="67"/>
  <c r="Z26" i="67"/>
  <c r="Y7" i="66"/>
  <c r="Y21" i="66" s="1"/>
  <c r="X30" i="66"/>
  <c r="Y7" i="65"/>
  <c r="Z12" i="65"/>
  <c r="Y28" i="65"/>
  <c r="Z29" i="66"/>
  <c r="Z30" i="66"/>
  <c r="X27" i="66"/>
  <c r="X33" i="66" s="1"/>
  <c r="Y30" i="66"/>
  <c r="Y27" i="66"/>
  <c r="Z28" i="66"/>
  <c r="Z27" i="67"/>
  <c r="Z18" i="67"/>
  <c r="X7" i="67"/>
  <c r="X21" i="67" s="1"/>
  <c r="X25" i="67"/>
  <c r="Y7" i="67"/>
  <c r="Y21" i="67" s="1"/>
  <c r="Y25" i="67"/>
  <c r="X28" i="67"/>
  <c r="Z28" i="67"/>
  <c r="Z8" i="67"/>
  <c r="X7" i="66"/>
  <c r="Z26" i="65"/>
  <c r="Y21" i="65"/>
  <c r="Z18" i="65"/>
  <c r="X25" i="65"/>
  <c r="Z27" i="65"/>
  <c r="Z30" i="65"/>
  <c r="Z28" i="65" s="1"/>
  <c r="Y25" i="65"/>
  <c r="Y31" i="65" s="1"/>
  <c r="X7" i="65"/>
  <c r="Z7" i="65" s="1"/>
  <c r="X28" i="65"/>
  <c r="Z8" i="65"/>
  <c r="K32" i="49"/>
  <c r="Z25" i="67" l="1"/>
  <c r="X31" i="67"/>
  <c r="Y31" i="67"/>
  <c r="Z7" i="67"/>
  <c r="Y33" i="66"/>
  <c r="Z27" i="66"/>
  <c r="Z33" i="66" s="1"/>
  <c r="X21" i="65"/>
  <c r="Z21" i="65" s="1"/>
  <c r="Z25" i="65"/>
  <c r="Z31" i="65" s="1"/>
  <c r="Z21" i="67"/>
  <c r="Z31" i="67"/>
  <c r="Z7" i="66"/>
  <c r="X21" i="66"/>
  <c r="Z21" i="66" s="1"/>
  <c r="X31" i="65"/>
  <c r="E35" i="49" l="1"/>
  <c r="E34" i="49"/>
  <c r="F11" i="47" l="1"/>
  <c r="L31" i="49" l="1"/>
  <c r="F15" i="17" l="1"/>
  <c r="F14" i="17"/>
  <c r="M8" i="17"/>
  <c r="M7" i="17"/>
  <c r="N20" i="47" l="1"/>
  <c r="G4" i="66" l="1"/>
  <c r="G4" i="67"/>
  <c r="L16" i="49" l="1"/>
  <c r="L14" i="52" l="1"/>
  <c r="T7" i="21"/>
  <c r="U10" i="21" s="1"/>
  <c r="U19" i="18"/>
  <c r="U18" i="18"/>
  <c r="U17" i="18"/>
  <c r="U16" i="18"/>
  <c r="U15" i="18"/>
  <c r="U14" i="18"/>
  <c r="U13" i="18"/>
  <c r="U12" i="18"/>
  <c r="U11" i="18"/>
  <c r="U10" i="18"/>
  <c r="U9" i="18"/>
  <c r="U8" i="18"/>
  <c r="U7" i="18"/>
  <c r="U11" i="21" l="1"/>
  <c r="U12" i="21"/>
  <c r="U7" i="21"/>
  <c r="U13" i="21"/>
  <c r="U8" i="21"/>
  <c r="U9" i="21"/>
  <c r="M10" i="17"/>
  <c r="M13" i="17" s="1"/>
  <c r="M6" i="17"/>
  <c r="M16" i="46"/>
  <c r="M15" i="46"/>
  <c r="E4" i="68"/>
  <c r="N21" i="68"/>
  <c r="N17" i="68"/>
  <c r="N9" i="68"/>
  <c r="AA26" i="67"/>
  <c r="AC22" i="67"/>
  <c r="AC20" i="67"/>
  <c r="AC19" i="67"/>
  <c r="AB18" i="67"/>
  <c r="AA18" i="67"/>
  <c r="AC17" i="67"/>
  <c r="AB15" i="67"/>
  <c r="AC16" i="67"/>
  <c r="AB30" i="67"/>
  <c r="AC14" i="67"/>
  <c r="AB27" i="67"/>
  <c r="AC13" i="67"/>
  <c r="AB12" i="67"/>
  <c r="AC11" i="67"/>
  <c r="AB29" i="67"/>
  <c r="AB28" i="67" s="1"/>
  <c r="AA29" i="67"/>
  <c r="AB26" i="67"/>
  <c r="AC9" i="67"/>
  <c r="AB8" i="67"/>
  <c r="AA8" i="67"/>
  <c r="AA28" i="66"/>
  <c r="AC24" i="66"/>
  <c r="AC23" i="66"/>
  <c r="AC22" i="66"/>
  <c r="AA18" i="66"/>
  <c r="AC19" i="66"/>
  <c r="AB18" i="66"/>
  <c r="AC17" i="66"/>
  <c r="AB15" i="66"/>
  <c r="AA15" i="66"/>
  <c r="AB32" i="66"/>
  <c r="AA12" i="66"/>
  <c r="AB29" i="66"/>
  <c r="AC13" i="66"/>
  <c r="AB12" i="66"/>
  <c r="AC11" i="66"/>
  <c r="AB31" i="66"/>
  <c r="AB30" i="66" s="1"/>
  <c r="AA31" i="66"/>
  <c r="AB28" i="66"/>
  <c r="AC9" i="66"/>
  <c r="AB8" i="66"/>
  <c r="AB7" i="66" s="1"/>
  <c r="AA8" i="66"/>
  <c r="G4" i="65"/>
  <c r="AA26" i="65"/>
  <c r="AC22" i="65"/>
  <c r="AC20" i="65"/>
  <c r="AB18" i="65"/>
  <c r="AC19" i="65"/>
  <c r="AA18" i="65"/>
  <c r="AC17" i="65"/>
  <c r="AC16" i="65"/>
  <c r="AB15" i="65"/>
  <c r="AB30" i="65"/>
  <c r="AC14" i="65"/>
  <c r="AB27" i="65"/>
  <c r="AC13" i="65"/>
  <c r="AA12" i="65"/>
  <c r="AC11" i="65"/>
  <c r="AB29" i="65"/>
  <c r="AB28" i="65" s="1"/>
  <c r="AA29" i="65"/>
  <c r="AB26" i="65"/>
  <c r="AB25" i="65" s="1"/>
  <c r="AC9" i="65"/>
  <c r="AA8" i="65"/>
  <c r="AH31" i="48"/>
  <c r="AH22" i="48"/>
  <c r="AH6" i="48"/>
  <c r="E4" i="48"/>
  <c r="D31" i="48"/>
  <c r="D6" i="48"/>
  <c r="E4" i="49"/>
  <c r="E19" i="49" s="1"/>
  <c r="D19" i="49"/>
  <c r="L33" i="49"/>
  <c r="L32" i="49"/>
  <c r="I17" i="46" l="1"/>
  <c r="AH30" i="48"/>
  <c r="AH34" i="48" s="1"/>
  <c r="AH36" i="48" s="1"/>
  <c r="D22" i="48"/>
  <c r="D15" i="48"/>
  <c r="D10" i="48"/>
  <c r="AB25" i="67"/>
  <c r="AC15" i="66"/>
  <c r="AC12" i="66"/>
  <c r="AB21" i="66"/>
  <c r="AC18" i="66"/>
  <c r="AC26" i="67"/>
  <c r="AC18" i="67"/>
  <c r="AC27" i="67"/>
  <c r="AC25" i="67" s="1"/>
  <c r="AC30" i="67"/>
  <c r="AB31" i="67"/>
  <c r="AC8" i="67"/>
  <c r="AB7" i="67"/>
  <c r="AB21" i="67" s="1"/>
  <c r="AA30" i="67"/>
  <c r="AA28" i="67" s="1"/>
  <c r="AC10" i="67"/>
  <c r="AC29" i="67" s="1"/>
  <c r="AA15" i="67"/>
  <c r="AC15" i="67" s="1"/>
  <c r="AA27" i="67"/>
  <c r="AA25" i="67" s="1"/>
  <c r="AA12" i="67"/>
  <c r="AC12" i="67" s="1"/>
  <c r="AB27" i="66"/>
  <c r="AB33" i="66" s="1"/>
  <c r="AA7" i="66"/>
  <c r="AC28" i="66"/>
  <c r="AA32" i="66"/>
  <c r="AA30" i="66" s="1"/>
  <c r="AC8" i="66"/>
  <c r="AC10" i="66"/>
  <c r="AC31" i="66" s="1"/>
  <c r="AC14" i="66"/>
  <c r="AC32" i="66" s="1"/>
  <c r="AC16" i="66"/>
  <c r="AC20" i="66"/>
  <c r="AA29" i="66"/>
  <c r="AA27" i="66" s="1"/>
  <c r="AC26" i="65"/>
  <c r="AB31" i="65"/>
  <c r="AC27" i="65"/>
  <c r="AC30" i="65"/>
  <c r="AC18" i="65"/>
  <c r="AA30" i="65"/>
  <c r="AA28" i="65" s="1"/>
  <c r="AB8" i="65"/>
  <c r="AC8" i="65" s="1"/>
  <c r="AB12" i="65"/>
  <c r="AC12" i="65" s="1"/>
  <c r="AC10" i="65"/>
  <c r="AC29" i="65" s="1"/>
  <c r="AA15" i="65"/>
  <c r="AC15" i="65" s="1"/>
  <c r="AA27" i="65"/>
  <c r="AA25" i="65" s="1"/>
  <c r="D30" i="48" l="1"/>
  <c r="D34" i="48" s="1"/>
  <c r="D36" i="48" s="1"/>
  <c r="AC28" i="67"/>
  <c r="AC31" i="67" s="1"/>
  <c r="AC29" i="66"/>
  <c r="AA31" i="67"/>
  <c r="AA7" i="67"/>
  <c r="AC30" i="66"/>
  <c r="AA33" i="66"/>
  <c r="AC27" i="66"/>
  <c r="AC7" i="66"/>
  <c r="AA21" i="66"/>
  <c r="AC21" i="66" s="1"/>
  <c r="AC25" i="65"/>
  <c r="AC31" i="65" s="1"/>
  <c r="AC28" i="65"/>
  <c r="AB7" i="65"/>
  <c r="AB21" i="65" s="1"/>
  <c r="AA31" i="65"/>
  <c r="AA7" i="65"/>
  <c r="Y22" i="68"/>
  <c r="T22" i="68"/>
  <c r="O22" i="68"/>
  <c r="F22" i="68"/>
  <c r="AC21" i="68"/>
  <c r="AB21" i="68"/>
  <c r="AA21" i="68"/>
  <c r="Z21" i="68"/>
  <c r="X21" i="68"/>
  <c r="W21" i="68"/>
  <c r="V21" i="68"/>
  <c r="U21" i="68"/>
  <c r="S21" i="68"/>
  <c r="R21" i="68"/>
  <c r="Q21" i="68"/>
  <c r="P21" i="68"/>
  <c r="O21" i="68"/>
  <c r="I21" i="68"/>
  <c r="D21" i="68"/>
  <c r="Y20" i="68"/>
  <c r="T20" i="68"/>
  <c r="O20" i="68"/>
  <c r="Y19" i="68"/>
  <c r="T19" i="68"/>
  <c r="O19" i="68"/>
  <c r="F19" i="68"/>
  <c r="Y18" i="68"/>
  <c r="T18" i="68"/>
  <c r="O18" i="68"/>
  <c r="P17" i="68"/>
  <c r="O17" i="68"/>
  <c r="B13" i="68"/>
  <c r="Y10" i="68"/>
  <c r="T10" i="68"/>
  <c r="O10" i="68"/>
  <c r="F10" i="68"/>
  <c r="AC9" i="68"/>
  <c r="AB9" i="68"/>
  <c r="AA9" i="68"/>
  <c r="Z9" i="68"/>
  <c r="Y9" i="68"/>
  <c r="X9" i="68"/>
  <c r="T9" i="68" s="1"/>
  <c r="W9" i="68"/>
  <c r="V9" i="68"/>
  <c r="U9" i="68"/>
  <c r="S9" i="68"/>
  <c r="R9" i="68"/>
  <c r="Q9" i="68"/>
  <c r="P9" i="68"/>
  <c r="I9" i="68"/>
  <c r="E9" i="68"/>
  <c r="Y8" i="68"/>
  <c r="T8" i="68"/>
  <c r="O8" i="68"/>
  <c r="F8" i="68"/>
  <c r="Y7" i="68"/>
  <c r="T7" i="68"/>
  <c r="O7" i="68"/>
  <c r="F7" i="68"/>
  <c r="Y6" i="68"/>
  <c r="T6" i="68"/>
  <c r="O6" i="68"/>
  <c r="O9" i="68" s="1"/>
  <c r="F6" i="68"/>
  <c r="D9" i="68"/>
  <c r="E17" i="68"/>
  <c r="D17" i="68"/>
  <c r="E16" i="68"/>
  <c r="D16" i="68"/>
  <c r="B1" i="68"/>
  <c r="BU30" i="67"/>
  <c r="BT30" i="67"/>
  <c r="BR30" i="67"/>
  <c r="BQ30" i="67"/>
  <c r="BO30" i="67"/>
  <c r="BN30" i="67"/>
  <c r="BL30" i="67"/>
  <c r="BK30" i="67"/>
  <c r="BF30" i="67"/>
  <c r="BE30" i="67"/>
  <c r="BC30" i="67"/>
  <c r="BB30" i="67"/>
  <c r="AZ30" i="67"/>
  <c r="AY30" i="67"/>
  <c r="AW30" i="67"/>
  <c r="AV30" i="67"/>
  <c r="AV28" i="67" s="1"/>
  <c r="AQ30" i="67"/>
  <c r="AP30" i="67"/>
  <c r="AN30" i="67"/>
  <c r="AM30" i="67"/>
  <c r="AK30" i="67"/>
  <c r="AK28" i="67" s="1"/>
  <c r="AJ30" i="67"/>
  <c r="AH30" i="67"/>
  <c r="AG30" i="67"/>
  <c r="AG28" i="67" s="1"/>
  <c r="BU29" i="67"/>
  <c r="BU28" i="67" s="1"/>
  <c r="BT29" i="67"/>
  <c r="BR29" i="67"/>
  <c r="BQ29" i="67"/>
  <c r="BO29" i="67"/>
  <c r="BN29" i="67"/>
  <c r="BN28" i="67" s="1"/>
  <c r="BL29" i="67"/>
  <c r="BK29" i="67"/>
  <c r="BF29" i="67"/>
  <c r="BE29" i="67"/>
  <c r="BC29" i="67"/>
  <c r="BC28" i="67" s="1"/>
  <c r="BB29" i="67"/>
  <c r="BB28" i="67" s="1"/>
  <c r="AZ29" i="67"/>
  <c r="AY29" i="67"/>
  <c r="AY28" i="67" s="1"/>
  <c r="AW29" i="67"/>
  <c r="AV29" i="67"/>
  <c r="AQ29" i="67"/>
  <c r="AQ28" i="67" s="1"/>
  <c r="AP29" i="67"/>
  <c r="AN29" i="67"/>
  <c r="AN28" i="67" s="1"/>
  <c r="AM29" i="67"/>
  <c r="AK29" i="67"/>
  <c r="AJ29" i="67"/>
  <c r="AH29" i="67"/>
  <c r="AH28" i="67" s="1"/>
  <c r="AG29" i="67"/>
  <c r="BT28" i="67"/>
  <c r="BQ28" i="67"/>
  <c r="BO28" i="67"/>
  <c r="BL28" i="67"/>
  <c r="AW28" i="67"/>
  <c r="AP28" i="67"/>
  <c r="AM28" i="67"/>
  <c r="AJ28" i="67"/>
  <c r="BU27" i="67"/>
  <c r="BT27" i="67"/>
  <c r="BR27" i="67"/>
  <c r="BQ27" i="67"/>
  <c r="BO27" i="67"/>
  <c r="BN27" i="67"/>
  <c r="BL27" i="67"/>
  <c r="BK27" i="67"/>
  <c r="BF27" i="67"/>
  <c r="BE27" i="67"/>
  <c r="BC27" i="67"/>
  <c r="BB27" i="67"/>
  <c r="AZ27" i="67"/>
  <c r="AY27" i="67"/>
  <c r="AW27" i="67"/>
  <c r="AV27" i="67"/>
  <c r="AQ27" i="67"/>
  <c r="AP27" i="67"/>
  <c r="AN27" i="67"/>
  <c r="AM27" i="67"/>
  <c r="AM25" i="67" s="1"/>
  <c r="AK27" i="67"/>
  <c r="AJ27" i="67"/>
  <c r="AH27" i="67"/>
  <c r="AG27" i="67"/>
  <c r="BU26" i="67"/>
  <c r="BU25" i="67" s="1"/>
  <c r="BU31" i="67" s="1"/>
  <c r="BT26" i="67"/>
  <c r="BT25" i="67" s="1"/>
  <c r="BT31" i="67" s="1"/>
  <c r="BR26" i="67"/>
  <c r="BR25" i="67" s="1"/>
  <c r="BQ26" i="67"/>
  <c r="BQ25" i="67" s="1"/>
  <c r="BQ31" i="67" s="1"/>
  <c r="BO26" i="67"/>
  <c r="BN26" i="67"/>
  <c r="BL26" i="67"/>
  <c r="BK26" i="67"/>
  <c r="BK25" i="67" s="1"/>
  <c r="BF26" i="67"/>
  <c r="BF25" i="67" s="1"/>
  <c r="BE26" i="67"/>
  <c r="BC26" i="67"/>
  <c r="BC25" i="67" s="1"/>
  <c r="BB26" i="67"/>
  <c r="BB25" i="67" s="1"/>
  <c r="BB31" i="67" s="1"/>
  <c r="AZ26" i="67"/>
  <c r="AY26" i="67"/>
  <c r="AY25" i="67" s="1"/>
  <c r="AY31" i="67" s="1"/>
  <c r="AW26" i="67"/>
  <c r="AV26" i="67"/>
  <c r="AQ26" i="67"/>
  <c r="AP26" i="67"/>
  <c r="AP25" i="67" s="1"/>
  <c r="AP31" i="67" s="1"/>
  <c r="AN26" i="67"/>
  <c r="AM26" i="67"/>
  <c r="AK26" i="67"/>
  <c r="AK25" i="67" s="1"/>
  <c r="AJ26" i="67"/>
  <c r="AJ25" i="67" s="1"/>
  <c r="AJ31" i="67" s="1"/>
  <c r="AH26" i="67"/>
  <c r="AG26" i="67"/>
  <c r="BN25" i="67"/>
  <c r="BE25" i="67"/>
  <c r="AZ25" i="67"/>
  <c r="AV25" i="67"/>
  <c r="AN25" i="67"/>
  <c r="AN31" i="67" s="1"/>
  <c r="BV22" i="67"/>
  <c r="BS22" i="67"/>
  <c r="BP22" i="67"/>
  <c r="BM22" i="67"/>
  <c r="BI22" i="67"/>
  <c r="BH22" i="67"/>
  <c r="BJ22" i="67" s="1"/>
  <c r="BG22" i="67"/>
  <c r="BD22" i="67"/>
  <c r="BA22" i="67"/>
  <c r="AX22" i="67"/>
  <c r="AT22" i="67"/>
  <c r="AS22" i="67"/>
  <c r="AR22" i="67"/>
  <c r="AO22" i="67"/>
  <c r="AL22" i="67"/>
  <c r="AI22" i="67"/>
  <c r="AE22" i="67"/>
  <c r="AD22" i="67"/>
  <c r="AF22" i="67" s="1"/>
  <c r="K22" i="67"/>
  <c r="F22" i="67"/>
  <c r="BV20" i="67"/>
  <c r="BS20" i="67"/>
  <c r="BP20" i="67"/>
  <c r="BM20" i="67"/>
  <c r="BI20" i="67"/>
  <c r="BH20" i="67"/>
  <c r="BG20" i="67"/>
  <c r="BD20" i="67"/>
  <c r="BA20" i="67"/>
  <c r="AX20" i="67"/>
  <c r="AT20" i="67"/>
  <c r="AS20" i="67"/>
  <c r="AR20" i="67"/>
  <c r="AO20" i="67"/>
  <c r="AL20" i="67"/>
  <c r="AI20" i="67"/>
  <c r="AE20" i="67"/>
  <c r="AF20" i="67" s="1"/>
  <c r="AD20" i="67"/>
  <c r="I20" i="67"/>
  <c r="J20" i="67"/>
  <c r="F20" i="67"/>
  <c r="BV19" i="67"/>
  <c r="BS19" i="67"/>
  <c r="BP19" i="67"/>
  <c r="BM19" i="67"/>
  <c r="BI19" i="67"/>
  <c r="BI18" i="67" s="1"/>
  <c r="BH19" i="67"/>
  <c r="BG19" i="67"/>
  <c r="BD19" i="67"/>
  <c r="BA19" i="67"/>
  <c r="AX19" i="67"/>
  <c r="AT19" i="67"/>
  <c r="AS19" i="67"/>
  <c r="AR19" i="67"/>
  <c r="AO19" i="67"/>
  <c r="AL19" i="67"/>
  <c r="AI19" i="67"/>
  <c r="AE19" i="67"/>
  <c r="AD19" i="67"/>
  <c r="D18" i="67"/>
  <c r="BU18" i="67"/>
  <c r="BV18" i="67" s="1"/>
  <c r="BT18" i="67"/>
  <c r="BR18" i="67"/>
  <c r="BQ18" i="67"/>
  <c r="BS18" i="67" s="1"/>
  <c r="BO18" i="67"/>
  <c r="BN18" i="67"/>
  <c r="BL18" i="67"/>
  <c r="BK18" i="67"/>
  <c r="BF18" i="67"/>
  <c r="BE18" i="67"/>
  <c r="BC18" i="67"/>
  <c r="BD18" i="67" s="1"/>
  <c r="BB18" i="67"/>
  <c r="AZ18" i="67"/>
  <c r="AY18" i="67"/>
  <c r="AW18" i="67"/>
  <c r="AV18" i="67"/>
  <c r="AX18" i="67" s="1"/>
  <c r="AQ18" i="67"/>
  <c r="AP18" i="67"/>
  <c r="AN18" i="67"/>
  <c r="AM18" i="67"/>
  <c r="AK18" i="67"/>
  <c r="AJ18" i="67"/>
  <c r="AH18" i="67"/>
  <c r="AG18" i="67"/>
  <c r="BV17" i="67"/>
  <c r="BS17" i="67"/>
  <c r="BP17" i="67"/>
  <c r="BM17" i="67"/>
  <c r="BI17" i="67"/>
  <c r="BI15" i="67" s="1"/>
  <c r="BH17" i="67"/>
  <c r="BG17" i="67"/>
  <c r="BD17" i="67"/>
  <c r="BA17" i="67"/>
  <c r="AX17" i="67"/>
  <c r="AT17" i="67"/>
  <c r="AS17" i="67"/>
  <c r="AR17" i="67"/>
  <c r="AO17" i="67"/>
  <c r="AL17" i="67"/>
  <c r="AI17" i="67"/>
  <c r="AE17" i="67"/>
  <c r="AE15" i="67" s="1"/>
  <c r="AD17" i="67"/>
  <c r="K17" i="67"/>
  <c r="BV16" i="67"/>
  <c r="BS16" i="67"/>
  <c r="BP16" i="67"/>
  <c r="BM16" i="67"/>
  <c r="BI16" i="67"/>
  <c r="BH16" i="67"/>
  <c r="BJ16" i="67" s="1"/>
  <c r="BG16" i="67"/>
  <c r="BD16" i="67"/>
  <c r="BA16" i="67"/>
  <c r="AX16" i="67"/>
  <c r="AT16" i="67"/>
  <c r="AS16" i="67"/>
  <c r="AR16" i="67"/>
  <c r="AO16" i="67"/>
  <c r="AL16" i="67"/>
  <c r="AI16" i="67"/>
  <c r="AE16" i="67"/>
  <c r="AD16" i="67"/>
  <c r="K16" i="67"/>
  <c r="I16" i="67"/>
  <c r="E15" i="67"/>
  <c r="BU15" i="67"/>
  <c r="BT15" i="67"/>
  <c r="BR15" i="67"/>
  <c r="BQ15" i="67"/>
  <c r="BO15" i="67"/>
  <c r="BN15" i="67"/>
  <c r="BP15" i="67" s="1"/>
  <c r="BL15" i="67"/>
  <c r="BK15" i="67"/>
  <c r="BF15" i="67"/>
  <c r="BE15" i="67"/>
  <c r="BG15" i="67" s="1"/>
  <c r="BC15" i="67"/>
  <c r="BC7" i="67" s="1"/>
  <c r="BC21" i="67" s="1"/>
  <c r="BB15" i="67"/>
  <c r="AZ15" i="67"/>
  <c r="AY15" i="67"/>
  <c r="AW15" i="67"/>
  <c r="AV15" i="67"/>
  <c r="AT15" i="67"/>
  <c r="AQ15" i="67"/>
  <c r="AP15" i="67"/>
  <c r="AN15" i="67"/>
  <c r="AM15" i="67"/>
  <c r="AK15" i="67"/>
  <c r="AJ15" i="67"/>
  <c r="AH15" i="67"/>
  <c r="AG15" i="67"/>
  <c r="H15" i="67"/>
  <c r="D15" i="67"/>
  <c r="BV14" i="67"/>
  <c r="BS14" i="67"/>
  <c r="BS30" i="67" s="1"/>
  <c r="BP14" i="67"/>
  <c r="BP30" i="67" s="1"/>
  <c r="BM14" i="67"/>
  <c r="BM30" i="67" s="1"/>
  <c r="BI14" i="67"/>
  <c r="BH14" i="67"/>
  <c r="BG14" i="67"/>
  <c r="BD14" i="67"/>
  <c r="BD30" i="67" s="1"/>
  <c r="BA14" i="67"/>
  <c r="BA30" i="67" s="1"/>
  <c r="AX14" i="67"/>
  <c r="AT14" i="67"/>
  <c r="AS14" i="67"/>
  <c r="AU14" i="67" s="1"/>
  <c r="AR14" i="67"/>
  <c r="AO14" i="67"/>
  <c r="AO30" i="67" s="1"/>
  <c r="AL14" i="67"/>
  <c r="AI14" i="67"/>
  <c r="AI30" i="67" s="1"/>
  <c r="AE14" i="67"/>
  <c r="AD14" i="67"/>
  <c r="K14" i="67"/>
  <c r="BV13" i="67"/>
  <c r="BS13" i="67"/>
  <c r="BS27" i="67" s="1"/>
  <c r="BP13" i="67"/>
  <c r="BM13" i="67"/>
  <c r="BI13" i="67"/>
  <c r="BI27" i="67" s="1"/>
  <c r="BH13" i="67"/>
  <c r="BH12" i="67" s="1"/>
  <c r="BG13" i="67"/>
  <c r="BG27" i="67" s="1"/>
  <c r="BD13" i="67"/>
  <c r="BD27" i="67" s="1"/>
  <c r="BA13" i="67"/>
  <c r="BA27" i="67" s="1"/>
  <c r="AX13" i="67"/>
  <c r="AX27" i="67" s="1"/>
  <c r="AT13" i="67"/>
  <c r="AS13" i="67"/>
  <c r="AR13" i="67"/>
  <c r="AO13" i="67"/>
  <c r="AO27" i="67" s="1"/>
  <c r="AL13" i="67"/>
  <c r="AL27" i="67" s="1"/>
  <c r="AI13" i="67"/>
  <c r="AI27" i="67" s="1"/>
  <c r="AE13" i="67"/>
  <c r="AD13" i="67"/>
  <c r="K13" i="67"/>
  <c r="BU12" i="67"/>
  <c r="BT12" i="67"/>
  <c r="BV12" i="67" s="1"/>
  <c r="BR12" i="67"/>
  <c r="BQ12" i="67"/>
  <c r="BO12" i="67"/>
  <c r="BN12" i="67"/>
  <c r="BL12" i="67"/>
  <c r="BK12" i="67"/>
  <c r="BF12" i="67"/>
  <c r="BG12" i="67" s="1"/>
  <c r="BE12" i="67"/>
  <c r="BC12" i="67"/>
  <c r="BB12" i="67"/>
  <c r="BD12" i="67" s="1"/>
  <c r="AZ12" i="67"/>
  <c r="AY12" i="67"/>
  <c r="AW12" i="67"/>
  <c r="AV12" i="67"/>
  <c r="AT12" i="67"/>
  <c r="AQ12" i="67"/>
  <c r="AP12" i="67"/>
  <c r="AP7" i="67" s="1"/>
  <c r="AN12" i="67"/>
  <c r="AM12" i="67"/>
  <c r="AK12" i="67"/>
  <c r="AJ12" i="67"/>
  <c r="AH12" i="67"/>
  <c r="AG12" i="67"/>
  <c r="AE12" i="67"/>
  <c r="E12" i="67"/>
  <c r="BV11" i="67"/>
  <c r="BS11" i="67"/>
  <c r="BP11" i="67"/>
  <c r="BM11" i="67"/>
  <c r="BI11" i="67"/>
  <c r="BH11" i="67"/>
  <c r="BJ11" i="67" s="1"/>
  <c r="BG11" i="67"/>
  <c r="BD11" i="67"/>
  <c r="BA11" i="67"/>
  <c r="AX11" i="67"/>
  <c r="AT11" i="67"/>
  <c r="AS11" i="67"/>
  <c r="AR11" i="67"/>
  <c r="AO11" i="67"/>
  <c r="AL11" i="67"/>
  <c r="AI11" i="67"/>
  <c r="AE11" i="67"/>
  <c r="AF11" i="67" s="1"/>
  <c r="AD11" i="67"/>
  <c r="H8" i="67"/>
  <c r="J11" i="67"/>
  <c r="F11" i="67"/>
  <c r="BV10" i="67"/>
  <c r="BV29" i="67" s="1"/>
  <c r="BS10" i="67"/>
  <c r="BS29" i="67" s="1"/>
  <c r="BP10" i="67"/>
  <c r="BP29" i="67" s="1"/>
  <c r="BM10" i="67"/>
  <c r="BM29" i="67" s="1"/>
  <c r="BM28" i="67" s="1"/>
  <c r="BI10" i="67"/>
  <c r="BI29" i="67" s="1"/>
  <c r="BH10" i="67"/>
  <c r="BH29" i="67" s="1"/>
  <c r="BG10" i="67"/>
  <c r="BG29" i="67" s="1"/>
  <c r="BD10" i="67"/>
  <c r="BD29" i="67" s="1"/>
  <c r="BA10" i="67"/>
  <c r="BA29" i="67" s="1"/>
  <c r="AX10" i="67"/>
  <c r="AX29" i="67" s="1"/>
  <c r="AT10" i="67"/>
  <c r="AT29" i="67" s="1"/>
  <c r="AS10" i="67"/>
  <c r="AR10" i="67"/>
  <c r="AR29" i="67" s="1"/>
  <c r="AO10" i="67"/>
  <c r="AO29" i="67" s="1"/>
  <c r="AL10" i="67"/>
  <c r="AL29" i="67" s="1"/>
  <c r="AI10" i="67"/>
  <c r="AI29" i="67" s="1"/>
  <c r="AE10" i="67"/>
  <c r="AE29" i="67" s="1"/>
  <c r="AD10" i="67"/>
  <c r="AD29" i="67" s="1"/>
  <c r="K10" i="67"/>
  <c r="I10" i="67"/>
  <c r="BV9" i="67"/>
  <c r="BS9" i="67"/>
  <c r="BP9" i="67"/>
  <c r="BM9" i="67"/>
  <c r="BM26" i="67" s="1"/>
  <c r="BI9" i="67"/>
  <c r="BI26" i="67" s="1"/>
  <c r="BI25" i="67" s="1"/>
  <c r="BH9" i="67"/>
  <c r="BG9" i="67"/>
  <c r="BG26" i="67" s="1"/>
  <c r="BG25" i="67" s="1"/>
  <c r="BD9" i="67"/>
  <c r="BA9" i="67"/>
  <c r="BA26" i="67" s="1"/>
  <c r="BA25" i="67" s="1"/>
  <c r="AX9" i="67"/>
  <c r="AT9" i="67"/>
  <c r="AS9" i="67"/>
  <c r="AR9" i="67"/>
  <c r="AR26" i="67" s="1"/>
  <c r="AO9" i="67"/>
  <c r="AO26" i="67" s="1"/>
  <c r="AO25" i="67" s="1"/>
  <c r="AL9" i="67"/>
  <c r="AL26" i="67" s="1"/>
  <c r="AI9" i="67"/>
  <c r="AI26" i="67" s="1"/>
  <c r="AE9" i="67"/>
  <c r="AE26" i="67" s="1"/>
  <c r="AD9" i="67"/>
  <c r="J9" i="67"/>
  <c r="BU8" i="67"/>
  <c r="BV8" i="67" s="1"/>
  <c r="BT8" i="67"/>
  <c r="BR8" i="67"/>
  <c r="BQ8" i="67"/>
  <c r="BO8" i="67"/>
  <c r="BN8" i="67"/>
  <c r="BP8" i="67" s="1"/>
  <c r="BL8" i="67"/>
  <c r="BL7" i="67" s="1"/>
  <c r="BK8" i="67"/>
  <c r="BK7" i="67" s="1"/>
  <c r="BF8" i="67"/>
  <c r="BF7" i="67" s="1"/>
  <c r="BF21" i="67" s="1"/>
  <c r="BE8" i="67"/>
  <c r="BC8" i="67"/>
  <c r="BB8" i="67"/>
  <c r="BD8" i="67" s="1"/>
  <c r="AZ8" i="67"/>
  <c r="AY8" i="67"/>
  <c r="AW8" i="67"/>
  <c r="AV8" i="67"/>
  <c r="AQ8" i="67"/>
  <c r="AR8" i="67" s="1"/>
  <c r="AP8" i="67"/>
  <c r="AN8" i="67"/>
  <c r="AN7" i="67" s="1"/>
  <c r="AM8" i="67"/>
  <c r="AK8" i="67"/>
  <c r="AL8" i="67" s="1"/>
  <c r="AJ8" i="67"/>
  <c r="AH8" i="67"/>
  <c r="AG8" i="67"/>
  <c r="AD8" i="67"/>
  <c r="G8" i="67"/>
  <c r="E8" i="67"/>
  <c r="D8" i="67"/>
  <c r="BO7" i="67"/>
  <c r="BO21" i="67" s="1"/>
  <c r="AY7" i="67"/>
  <c r="B1" i="67"/>
  <c r="BU32" i="66"/>
  <c r="BT32" i="66"/>
  <c r="BR32" i="66"/>
  <c r="BQ32" i="66"/>
  <c r="BO32" i="66"/>
  <c r="BN32" i="66"/>
  <c r="BL32" i="66"/>
  <c r="BK32" i="66"/>
  <c r="BI32" i="66"/>
  <c r="BF32" i="66"/>
  <c r="BE32" i="66"/>
  <c r="BC32" i="66"/>
  <c r="BB32" i="66"/>
  <c r="AZ32" i="66"/>
  <c r="AY32" i="66"/>
  <c r="AW32" i="66"/>
  <c r="AV32" i="66"/>
  <c r="AQ32" i="66"/>
  <c r="AP32" i="66"/>
  <c r="AN32" i="66"/>
  <c r="AM32" i="66"/>
  <c r="AK32" i="66"/>
  <c r="AJ32" i="66"/>
  <c r="AH32" i="66"/>
  <c r="AG32" i="66"/>
  <c r="D32" i="66"/>
  <c r="BU31" i="66"/>
  <c r="BU30" i="66" s="1"/>
  <c r="BT31" i="66"/>
  <c r="BR31" i="66"/>
  <c r="BQ31" i="66"/>
  <c r="BO31" i="66"/>
  <c r="BO30" i="66" s="1"/>
  <c r="BN31" i="66"/>
  <c r="BN30" i="66" s="1"/>
  <c r="BL31" i="66"/>
  <c r="BK31" i="66"/>
  <c r="BI31" i="66"/>
  <c r="BF31" i="66"/>
  <c r="BE31" i="66"/>
  <c r="BE30" i="66" s="1"/>
  <c r="BC31" i="66"/>
  <c r="BC30" i="66" s="1"/>
  <c r="BB31" i="66"/>
  <c r="AZ31" i="66"/>
  <c r="AY31" i="66"/>
  <c r="AW31" i="66"/>
  <c r="AW30" i="66" s="1"/>
  <c r="AV31" i="66"/>
  <c r="AV30" i="66" s="1"/>
  <c r="AQ31" i="66"/>
  <c r="AP31" i="66"/>
  <c r="AN31" i="66"/>
  <c r="AM31" i="66"/>
  <c r="AM30" i="66" s="1"/>
  <c r="AM33" i="66" s="1"/>
  <c r="AK31" i="66"/>
  <c r="AK30" i="66" s="1"/>
  <c r="AJ31" i="66"/>
  <c r="AJ30" i="66" s="1"/>
  <c r="AH31" i="66"/>
  <c r="AG31" i="66"/>
  <c r="AD31" i="66"/>
  <c r="AD30" i="66" s="1"/>
  <c r="D31" i="66"/>
  <c r="BT30" i="66"/>
  <c r="BR30" i="66"/>
  <c r="BQ30" i="66"/>
  <c r="BL30" i="66"/>
  <c r="BK30" i="66"/>
  <c r="BI30" i="66"/>
  <c r="BF30" i="66"/>
  <c r="BB30" i="66"/>
  <c r="AZ30" i="66"/>
  <c r="AY30" i="66"/>
  <c r="AQ30" i="66"/>
  <c r="AP30" i="66"/>
  <c r="AN30" i="66"/>
  <c r="AH30" i="66"/>
  <c r="AG30" i="66"/>
  <c r="BU29" i="66"/>
  <c r="BT29" i="66"/>
  <c r="BR29" i="66"/>
  <c r="BQ29" i="66"/>
  <c r="BO29" i="66"/>
  <c r="BN29" i="66"/>
  <c r="BL29" i="66"/>
  <c r="BK29" i="66"/>
  <c r="BF29" i="66"/>
  <c r="BE29" i="66"/>
  <c r="BC29" i="66"/>
  <c r="BB29" i="66"/>
  <c r="AZ29" i="66"/>
  <c r="AY29" i="66"/>
  <c r="AW29" i="66"/>
  <c r="AV29" i="66"/>
  <c r="AQ29" i="66"/>
  <c r="AP29" i="66"/>
  <c r="AN29" i="66"/>
  <c r="AM29" i="66"/>
  <c r="AK29" i="66"/>
  <c r="AJ29" i="66"/>
  <c r="AH29" i="66"/>
  <c r="AG29" i="66"/>
  <c r="AD29" i="66"/>
  <c r="BU28" i="66"/>
  <c r="BT28" i="66"/>
  <c r="BT27" i="66" s="1"/>
  <c r="BT33" i="66" s="1"/>
  <c r="BR28" i="66"/>
  <c r="BQ28" i="66"/>
  <c r="BQ27" i="66" s="1"/>
  <c r="BQ33" i="66" s="1"/>
  <c r="BO28" i="66"/>
  <c r="BN28" i="66"/>
  <c r="BL28" i="66"/>
  <c r="BK28" i="66"/>
  <c r="BK27" i="66" s="1"/>
  <c r="BK33" i="66" s="1"/>
  <c r="BI28" i="66"/>
  <c r="BF28" i="66"/>
  <c r="BE28" i="66"/>
  <c r="BC28" i="66"/>
  <c r="BB28" i="66"/>
  <c r="BB27" i="66" s="1"/>
  <c r="BB33" i="66" s="1"/>
  <c r="AZ28" i="66"/>
  <c r="AY28" i="66"/>
  <c r="AY27" i="66" s="1"/>
  <c r="AY33" i="66" s="1"/>
  <c r="AW28" i="66"/>
  <c r="AV28" i="66"/>
  <c r="AQ28" i="66"/>
  <c r="AQ27" i="66" s="1"/>
  <c r="AQ33" i="66" s="1"/>
  <c r="AP28" i="66"/>
  <c r="AP27" i="66" s="1"/>
  <c r="AP33" i="66" s="1"/>
  <c r="AN28" i="66"/>
  <c r="AM28" i="66"/>
  <c r="AK28" i="66"/>
  <c r="AJ28" i="66"/>
  <c r="AH28" i="66"/>
  <c r="AG28" i="66"/>
  <c r="AG27" i="66" s="1"/>
  <c r="AG33" i="66" s="1"/>
  <c r="G28" i="66"/>
  <c r="D28" i="66"/>
  <c r="BU27" i="66"/>
  <c r="BU33" i="66" s="1"/>
  <c r="BR27" i="66"/>
  <c r="BR33" i="66" s="1"/>
  <c r="BO27" i="66"/>
  <c r="BN27" i="66"/>
  <c r="BL27" i="66"/>
  <c r="BL33" i="66" s="1"/>
  <c r="BF27" i="66"/>
  <c r="BF33" i="66" s="1"/>
  <c r="BE27" i="66"/>
  <c r="BE33" i="66" s="1"/>
  <c r="BC27" i="66"/>
  <c r="BC33" i="66" s="1"/>
  <c r="AZ27" i="66"/>
  <c r="AZ33" i="66" s="1"/>
  <c r="AW27" i="66"/>
  <c r="AW33" i="66" s="1"/>
  <c r="AV27" i="66"/>
  <c r="AV33" i="66" s="1"/>
  <c r="AN27" i="66"/>
  <c r="AN33" i="66" s="1"/>
  <c r="AM27" i="66"/>
  <c r="AK27" i="66"/>
  <c r="AK33" i="66" s="1"/>
  <c r="AJ27" i="66"/>
  <c r="AH27" i="66"/>
  <c r="AH33" i="66" s="1"/>
  <c r="BV24" i="66"/>
  <c r="BS24" i="66"/>
  <c r="BP24" i="66"/>
  <c r="BM24" i="66"/>
  <c r="BI24" i="66"/>
  <c r="BH24" i="66"/>
  <c r="BJ24" i="66" s="1"/>
  <c r="BG24" i="66"/>
  <c r="BD24" i="66"/>
  <c r="BA24" i="66"/>
  <c r="AX24" i="66"/>
  <c r="AU24" i="66"/>
  <c r="AT24" i="66"/>
  <c r="AS24" i="66"/>
  <c r="AR24" i="66"/>
  <c r="AO24" i="66"/>
  <c r="AL24" i="66"/>
  <c r="AI24" i="66"/>
  <c r="AE24" i="66"/>
  <c r="AD24" i="66"/>
  <c r="J24" i="66"/>
  <c r="K24" i="66"/>
  <c r="F24" i="66"/>
  <c r="BV23" i="66"/>
  <c r="BS23" i="66"/>
  <c r="BP23" i="66"/>
  <c r="BM23" i="66"/>
  <c r="BI23" i="66"/>
  <c r="BH23" i="66"/>
  <c r="BJ23" i="66" s="1"/>
  <c r="BG23" i="66"/>
  <c r="BD23" i="66"/>
  <c r="BA23" i="66"/>
  <c r="AX23" i="66"/>
  <c r="AU23" i="66"/>
  <c r="AT23" i="66"/>
  <c r="AS23" i="66"/>
  <c r="AR23" i="66"/>
  <c r="AO23" i="66"/>
  <c r="AL23" i="66"/>
  <c r="AI23" i="66"/>
  <c r="AE23" i="66"/>
  <c r="AD23" i="66"/>
  <c r="J23" i="66"/>
  <c r="K23" i="66"/>
  <c r="F23" i="66"/>
  <c r="BV22" i="66"/>
  <c r="BS22" i="66"/>
  <c r="BP22" i="66"/>
  <c r="BM22" i="66"/>
  <c r="BI22" i="66"/>
  <c r="BH22" i="66"/>
  <c r="BJ22" i="66" s="1"/>
  <c r="BG22" i="66"/>
  <c r="BD22" i="66"/>
  <c r="BA22" i="66"/>
  <c r="AX22" i="66"/>
  <c r="AU22" i="66"/>
  <c r="AT22" i="66"/>
  <c r="AS22" i="66"/>
  <c r="AR22" i="66"/>
  <c r="AO22" i="66"/>
  <c r="AL22" i="66"/>
  <c r="AI22" i="66"/>
  <c r="AE22" i="66"/>
  <c r="AD22" i="66"/>
  <c r="J22" i="66"/>
  <c r="K22" i="66"/>
  <c r="F22" i="66"/>
  <c r="BQ21" i="66"/>
  <c r="BS21" i="66" s="1"/>
  <c r="BK21" i="66"/>
  <c r="AV21" i="66"/>
  <c r="AG21" i="66"/>
  <c r="AI21" i="66" s="1"/>
  <c r="BV20" i="66"/>
  <c r="BS20" i="66"/>
  <c r="BP20" i="66"/>
  <c r="BM20" i="66"/>
  <c r="BI20" i="66"/>
  <c r="BH20" i="66"/>
  <c r="BJ20" i="66" s="1"/>
  <c r="BG20" i="66"/>
  <c r="BD20" i="66"/>
  <c r="BA20" i="66"/>
  <c r="AX20" i="66"/>
  <c r="AT20" i="66"/>
  <c r="AU20" i="66" s="1"/>
  <c r="AS20" i="66"/>
  <c r="AR20" i="66"/>
  <c r="AO20" i="66"/>
  <c r="AL20" i="66"/>
  <c r="AI20" i="66"/>
  <c r="AF20" i="66"/>
  <c r="AE20" i="66"/>
  <c r="AD20" i="66"/>
  <c r="K20" i="66"/>
  <c r="G18" i="66"/>
  <c r="F20" i="66"/>
  <c r="BV19" i="66"/>
  <c r="BS19" i="66"/>
  <c r="BP19" i="66"/>
  <c r="BM19" i="66"/>
  <c r="BI19" i="66"/>
  <c r="BI18" i="66" s="1"/>
  <c r="BH19" i="66"/>
  <c r="BJ19" i="66" s="1"/>
  <c r="BG19" i="66"/>
  <c r="BD19" i="66"/>
  <c r="BA19" i="66"/>
  <c r="AX19" i="66"/>
  <c r="AT19" i="66"/>
  <c r="AS19" i="66"/>
  <c r="AU19" i="66" s="1"/>
  <c r="AR19" i="66"/>
  <c r="AO19" i="66"/>
  <c r="AL19" i="66"/>
  <c r="AI19" i="66"/>
  <c r="AE19" i="66"/>
  <c r="AF19" i="66" s="1"/>
  <c r="AD19" i="66"/>
  <c r="J19" i="66"/>
  <c r="I19" i="66"/>
  <c r="K19" i="66"/>
  <c r="F19" i="66"/>
  <c r="BU18" i="66"/>
  <c r="BV18" i="66" s="1"/>
  <c r="BT18" i="66"/>
  <c r="BR18" i="66"/>
  <c r="BQ18" i="66"/>
  <c r="BS18" i="66" s="1"/>
  <c r="BO18" i="66"/>
  <c r="BN18" i="66"/>
  <c r="BP18" i="66" s="1"/>
  <c r="BL18" i="66"/>
  <c r="BK18" i="66"/>
  <c r="BM18" i="66" s="1"/>
  <c r="BH18" i="66"/>
  <c r="BF18" i="66"/>
  <c r="BE18" i="66"/>
  <c r="BG18" i="66" s="1"/>
  <c r="BC18" i="66"/>
  <c r="BD18" i="66" s="1"/>
  <c r="BB18" i="66"/>
  <c r="AZ18" i="66"/>
  <c r="AY18" i="66"/>
  <c r="BA18" i="66" s="1"/>
  <c r="AW18" i="66"/>
  <c r="AV18" i="66"/>
  <c r="AX18" i="66" s="1"/>
  <c r="AQ18" i="66"/>
  <c r="AR18" i="66" s="1"/>
  <c r="AP18" i="66"/>
  <c r="AN18" i="66"/>
  <c r="AM18" i="66"/>
  <c r="AO18" i="66" s="1"/>
  <c r="AK18" i="66"/>
  <c r="AJ18" i="66"/>
  <c r="AL18" i="66" s="1"/>
  <c r="AH18" i="66"/>
  <c r="AG18" i="66"/>
  <c r="AI18" i="66" s="1"/>
  <c r="AD18" i="66"/>
  <c r="E18" i="66"/>
  <c r="D18" i="66"/>
  <c r="BV17" i="66"/>
  <c r="BS17" i="66"/>
  <c r="BP17" i="66"/>
  <c r="BM17" i="66"/>
  <c r="BI17" i="66"/>
  <c r="BH17" i="66"/>
  <c r="BJ17" i="66" s="1"/>
  <c r="BG17" i="66"/>
  <c r="BD17" i="66"/>
  <c r="BA17" i="66"/>
  <c r="AX17" i="66"/>
  <c r="AT17" i="66"/>
  <c r="AT15" i="66" s="1"/>
  <c r="AS17" i="66"/>
  <c r="AU17" i="66" s="1"/>
  <c r="AR17" i="66"/>
  <c r="AO17" i="66"/>
  <c r="AL17" i="66"/>
  <c r="AI17" i="66"/>
  <c r="AE17" i="66"/>
  <c r="AF17" i="66" s="1"/>
  <c r="AD17" i="66"/>
  <c r="K17" i="66"/>
  <c r="G15" i="66"/>
  <c r="F17" i="66"/>
  <c r="BV16" i="66"/>
  <c r="BS16" i="66"/>
  <c r="BP16" i="66"/>
  <c r="BM16" i="66"/>
  <c r="BI16" i="66"/>
  <c r="BI29" i="66" s="1"/>
  <c r="BH16" i="66"/>
  <c r="BH15" i="66" s="1"/>
  <c r="BG16" i="66"/>
  <c r="BD16" i="66"/>
  <c r="BA16" i="66"/>
  <c r="AX16" i="66"/>
  <c r="AU16" i="66"/>
  <c r="AT16" i="66"/>
  <c r="AS16" i="66"/>
  <c r="AS15" i="66" s="1"/>
  <c r="AU15" i="66" s="1"/>
  <c r="AR16" i="66"/>
  <c r="AO16" i="66"/>
  <c r="AL16" i="66"/>
  <c r="AI16" i="66"/>
  <c r="AE16" i="66"/>
  <c r="AD16" i="66"/>
  <c r="AF16" i="66" s="1"/>
  <c r="K16" i="66"/>
  <c r="J16" i="66"/>
  <c r="F16" i="66"/>
  <c r="BU15" i="66"/>
  <c r="BT15" i="66"/>
  <c r="BT7" i="66" s="1"/>
  <c r="BR15" i="66"/>
  <c r="BQ15" i="66"/>
  <c r="BS15" i="66" s="1"/>
  <c r="BO15" i="66"/>
  <c r="BN15" i="66"/>
  <c r="BN7" i="66" s="1"/>
  <c r="BL15" i="66"/>
  <c r="BK15" i="66"/>
  <c r="BM15" i="66" s="1"/>
  <c r="BF15" i="66"/>
  <c r="BF7" i="66" s="1"/>
  <c r="BF21" i="66" s="1"/>
  <c r="BE15" i="66"/>
  <c r="BC15" i="66"/>
  <c r="BB15" i="66"/>
  <c r="BD15" i="66" s="1"/>
  <c r="AZ15" i="66"/>
  <c r="AY15" i="66"/>
  <c r="BA15" i="66" s="1"/>
  <c r="AX15" i="66"/>
  <c r="AW15" i="66"/>
  <c r="AV15" i="66"/>
  <c r="AQ15" i="66"/>
  <c r="AR15" i="66" s="1"/>
  <c r="AP15" i="66"/>
  <c r="AN15" i="66"/>
  <c r="AO15" i="66" s="1"/>
  <c r="AM15" i="66"/>
  <c r="AK15" i="66"/>
  <c r="AL15" i="66" s="1"/>
  <c r="AJ15" i="66"/>
  <c r="AH15" i="66"/>
  <c r="AI15" i="66" s="1"/>
  <c r="AG15" i="66"/>
  <c r="AE15" i="66"/>
  <c r="H15" i="66"/>
  <c r="E15" i="66"/>
  <c r="BV14" i="66"/>
  <c r="BS14" i="66"/>
  <c r="BS32" i="66" s="1"/>
  <c r="BP14" i="66"/>
  <c r="BP32" i="66" s="1"/>
  <c r="BM14" i="66"/>
  <c r="BM32" i="66" s="1"/>
  <c r="BI14" i="66"/>
  <c r="BH14" i="66"/>
  <c r="BH32" i="66" s="1"/>
  <c r="BG14" i="66"/>
  <c r="BG32" i="66" s="1"/>
  <c r="BD14" i="66"/>
  <c r="BD32" i="66" s="1"/>
  <c r="BA14" i="66"/>
  <c r="BA32" i="66" s="1"/>
  <c r="AX14" i="66"/>
  <c r="AX32" i="66" s="1"/>
  <c r="AT14" i="66"/>
  <c r="AT32" i="66" s="1"/>
  <c r="AS14" i="66"/>
  <c r="AS32" i="66" s="1"/>
  <c r="AR14" i="66"/>
  <c r="AR32" i="66" s="1"/>
  <c r="AO14" i="66"/>
  <c r="AO32" i="66" s="1"/>
  <c r="AL14" i="66"/>
  <c r="AL32" i="66" s="1"/>
  <c r="AI14" i="66"/>
  <c r="AI32" i="66" s="1"/>
  <c r="AE14" i="66"/>
  <c r="AE32" i="66" s="1"/>
  <c r="AD14" i="66"/>
  <c r="AD32" i="66" s="1"/>
  <c r="K14" i="66"/>
  <c r="J14" i="66"/>
  <c r="E32" i="66"/>
  <c r="BV13" i="66"/>
  <c r="BV29" i="66" s="1"/>
  <c r="BS13" i="66"/>
  <c r="BS29" i="66" s="1"/>
  <c r="BP13" i="66"/>
  <c r="BM13" i="66"/>
  <c r="BM29" i="66" s="1"/>
  <c r="BI13" i="66"/>
  <c r="BH13" i="66"/>
  <c r="BH12" i="66" s="1"/>
  <c r="BJ12" i="66" s="1"/>
  <c r="BG13" i="66"/>
  <c r="BG29" i="66" s="1"/>
  <c r="BD13" i="66"/>
  <c r="BA13" i="66"/>
  <c r="BA29" i="66" s="1"/>
  <c r="AX13" i="66"/>
  <c r="AX29" i="66" s="1"/>
  <c r="AT13" i="66"/>
  <c r="AS13" i="66"/>
  <c r="AS29" i="66" s="1"/>
  <c r="AR13" i="66"/>
  <c r="AO13" i="66"/>
  <c r="AO29" i="66" s="1"/>
  <c r="AL13" i="66"/>
  <c r="AL29" i="66" s="1"/>
  <c r="AI13" i="66"/>
  <c r="AE13" i="66"/>
  <c r="AF13" i="66" s="1"/>
  <c r="AF29" i="66" s="1"/>
  <c r="AD13" i="66"/>
  <c r="H29" i="66"/>
  <c r="G29" i="66"/>
  <c r="E29" i="66"/>
  <c r="BU12" i="66"/>
  <c r="BV12" i="66" s="1"/>
  <c r="BT12" i="66"/>
  <c r="BR12" i="66"/>
  <c r="BS12" i="66" s="1"/>
  <c r="BQ12" i="66"/>
  <c r="BO12" i="66"/>
  <c r="BP12" i="66" s="1"/>
  <c r="BN12" i="66"/>
  <c r="BL12" i="66"/>
  <c r="BM12" i="66" s="1"/>
  <c r="BK12" i="66"/>
  <c r="BI12" i="66"/>
  <c r="BF12" i="66"/>
  <c r="BG12" i="66" s="1"/>
  <c r="BE12" i="66"/>
  <c r="BC12" i="66"/>
  <c r="BD12" i="66" s="1"/>
  <c r="BB12" i="66"/>
  <c r="AZ12" i="66"/>
  <c r="BA12" i="66" s="1"/>
  <c r="AY12" i="66"/>
  <c r="AW12" i="66"/>
  <c r="AX12" i="66" s="1"/>
  <c r="AV12" i="66"/>
  <c r="AQ12" i="66"/>
  <c r="AR12" i="66" s="1"/>
  <c r="AP12" i="66"/>
  <c r="AN12" i="66"/>
  <c r="AO12" i="66" s="1"/>
  <c r="AM12" i="66"/>
  <c r="AK12" i="66"/>
  <c r="AL12" i="66" s="1"/>
  <c r="AJ12" i="66"/>
  <c r="AH12" i="66"/>
  <c r="AI12" i="66" s="1"/>
  <c r="AG12" i="66"/>
  <c r="AE12" i="66"/>
  <c r="AF12" i="66" s="1"/>
  <c r="AD12" i="66"/>
  <c r="H12" i="66"/>
  <c r="G12" i="66"/>
  <c r="E12" i="66"/>
  <c r="D12" i="66"/>
  <c r="D29" i="66" s="1"/>
  <c r="BV11" i="66"/>
  <c r="BS11" i="66"/>
  <c r="BP11" i="66"/>
  <c r="BM11" i="66"/>
  <c r="BI11" i="66"/>
  <c r="BH11" i="66"/>
  <c r="BJ11" i="66" s="1"/>
  <c r="BG11" i="66"/>
  <c r="BD11" i="66"/>
  <c r="BA11" i="66"/>
  <c r="AX11" i="66"/>
  <c r="AT11" i="66"/>
  <c r="AS11" i="66"/>
  <c r="AU11" i="66" s="1"/>
  <c r="AR11" i="66"/>
  <c r="AO11" i="66"/>
  <c r="AL11" i="66"/>
  <c r="AI11" i="66"/>
  <c r="AE11" i="66"/>
  <c r="AF11" i="66" s="1"/>
  <c r="AD11" i="66"/>
  <c r="K11" i="66"/>
  <c r="J11" i="66"/>
  <c r="F11" i="66"/>
  <c r="BV10" i="66"/>
  <c r="BV31" i="66" s="1"/>
  <c r="BS10" i="66"/>
  <c r="BS31" i="66" s="1"/>
  <c r="BS30" i="66" s="1"/>
  <c r="BP10" i="66"/>
  <c r="BP31" i="66" s="1"/>
  <c r="BP30" i="66" s="1"/>
  <c r="BM10" i="66"/>
  <c r="BM31" i="66" s="1"/>
  <c r="BM30" i="66" s="1"/>
  <c r="BI10" i="66"/>
  <c r="BH10" i="66"/>
  <c r="BJ10" i="66" s="1"/>
  <c r="BJ31" i="66" s="1"/>
  <c r="BG10" i="66"/>
  <c r="BG31" i="66" s="1"/>
  <c r="BG30" i="66" s="1"/>
  <c r="BD10" i="66"/>
  <c r="BD31" i="66" s="1"/>
  <c r="BD30" i="66" s="1"/>
  <c r="BA10" i="66"/>
  <c r="BA31" i="66" s="1"/>
  <c r="BA30" i="66" s="1"/>
  <c r="AX10" i="66"/>
  <c r="AX31" i="66" s="1"/>
  <c r="AX30" i="66" s="1"/>
  <c r="AT10" i="66"/>
  <c r="AT31" i="66" s="1"/>
  <c r="AT30" i="66" s="1"/>
  <c r="AS10" i="66"/>
  <c r="AS31" i="66" s="1"/>
  <c r="AS30" i="66" s="1"/>
  <c r="AR10" i="66"/>
  <c r="AR31" i="66" s="1"/>
  <c r="AR30" i="66" s="1"/>
  <c r="AO10" i="66"/>
  <c r="AO31" i="66" s="1"/>
  <c r="AO30" i="66" s="1"/>
  <c r="AL10" i="66"/>
  <c r="AL31" i="66" s="1"/>
  <c r="AL30" i="66" s="1"/>
  <c r="AI10" i="66"/>
  <c r="AI31" i="66" s="1"/>
  <c r="AI30" i="66" s="1"/>
  <c r="AE10" i="66"/>
  <c r="AF10" i="66" s="1"/>
  <c r="AF31" i="66" s="1"/>
  <c r="AD10" i="66"/>
  <c r="H31" i="66"/>
  <c r="G31" i="66"/>
  <c r="E31" i="66"/>
  <c r="BV9" i="66"/>
  <c r="BV28" i="66" s="1"/>
  <c r="BV27" i="66" s="1"/>
  <c r="BS9" i="66"/>
  <c r="BS28" i="66" s="1"/>
  <c r="BS27" i="66" s="1"/>
  <c r="BS33" i="66" s="1"/>
  <c r="BP9" i="66"/>
  <c r="BM9" i="66"/>
  <c r="BM28" i="66" s="1"/>
  <c r="BM27" i="66" s="1"/>
  <c r="BM33" i="66" s="1"/>
  <c r="BI9" i="66"/>
  <c r="BH9" i="66"/>
  <c r="BH28" i="66" s="1"/>
  <c r="BG9" i="66"/>
  <c r="BG28" i="66" s="1"/>
  <c r="BG27" i="66" s="1"/>
  <c r="BG33" i="66" s="1"/>
  <c r="BD9" i="66"/>
  <c r="BD28" i="66" s="1"/>
  <c r="BA9" i="66"/>
  <c r="BA28" i="66" s="1"/>
  <c r="BA27" i="66" s="1"/>
  <c r="BA33" i="66" s="1"/>
  <c r="AX9" i="66"/>
  <c r="AX28" i="66" s="1"/>
  <c r="AX27" i="66" s="1"/>
  <c r="AX33" i="66" s="1"/>
  <c r="AT9" i="66"/>
  <c r="AT28" i="66" s="1"/>
  <c r="AS9" i="66"/>
  <c r="AS28" i="66" s="1"/>
  <c r="AS27" i="66" s="1"/>
  <c r="AR9" i="66"/>
  <c r="AR28" i="66" s="1"/>
  <c r="AO9" i="66"/>
  <c r="AO28" i="66" s="1"/>
  <c r="AO27" i="66" s="1"/>
  <c r="AO33" i="66" s="1"/>
  <c r="AL9" i="66"/>
  <c r="AL28" i="66" s="1"/>
  <c r="AL27" i="66" s="1"/>
  <c r="AL33" i="66" s="1"/>
  <c r="AI9" i="66"/>
  <c r="AI28" i="66" s="1"/>
  <c r="AE9" i="66"/>
  <c r="AE28" i="66" s="1"/>
  <c r="AD9" i="66"/>
  <c r="AD28" i="66" s="1"/>
  <c r="AD27" i="66" s="1"/>
  <c r="AD33" i="66" s="1"/>
  <c r="I9" i="66"/>
  <c r="J9" i="66"/>
  <c r="E28" i="66"/>
  <c r="BU8" i="66"/>
  <c r="BV8" i="66" s="1"/>
  <c r="BT8" i="66"/>
  <c r="BR8" i="66"/>
  <c r="BS8" i="66" s="1"/>
  <c r="BQ8" i="66"/>
  <c r="BO8" i="66"/>
  <c r="BP8" i="66" s="1"/>
  <c r="BN8" i="66"/>
  <c r="BL8" i="66"/>
  <c r="BM8" i="66" s="1"/>
  <c r="BK8" i="66"/>
  <c r="BI8" i="66"/>
  <c r="BF8" i="66"/>
  <c r="BG8" i="66" s="1"/>
  <c r="BE8" i="66"/>
  <c r="BC8" i="66"/>
  <c r="BD8" i="66" s="1"/>
  <c r="BB8" i="66"/>
  <c r="AZ8" i="66"/>
  <c r="BA8" i="66" s="1"/>
  <c r="AY8" i="66"/>
  <c r="AW8" i="66"/>
  <c r="AX8" i="66" s="1"/>
  <c r="AV8" i="66"/>
  <c r="AQ8" i="66"/>
  <c r="AR8" i="66" s="1"/>
  <c r="AP8" i="66"/>
  <c r="AN8" i="66"/>
  <c r="AO8" i="66" s="1"/>
  <c r="AM8" i="66"/>
  <c r="AK8" i="66"/>
  <c r="AL8" i="66" s="1"/>
  <c r="AJ8" i="66"/>
  <c r="AH8" i="66"/>
  <c r="AI8" i="66" s="1"/>
  <c r="AG8" i="66"/>
  <c r="AE8" i="66"/>
  <c r="AF8" i="66" s="1"/>
  <c r="AD8" i="66"/>
  <c r="H8" i="66"/>
  <c r="G8" i="66"/>
  <c r="E8" i="66"/>
  <c r="D8" i="66"/>
  <c r="BU7" i="66"/>
  <c r="BU21" i="66" s="1"/>
  <c r="BR7" i="66"/>
  <c r="BR21" i="66" s="1"/>
  <c r="BQ7" i="66"/>
  <c r="BO7" i="66"/>
  <c r="BO21" i="66" s="1"/>
  <c r="BL7" i="66"/>
  <c r="BL21" i="66" s="1"/>
  <c r="BK7" i="66"/>
  <c r="BC7" i="66"/>
  <c r="BC21" i="66" s="1"/>
  <c r="AZ7" i="66"/>
  <c r="AZ21" i="66" s="1"/>
  <c r="AV7" i="66"/>
  <c r="AQ7" i="66"/>
  <c r="AQ21" i="66" s="1"/>
  <c r="AP7" i="66"/>
  <c r="AP21" i="66" s="1"/>
  <c r="AN7" i="66"/>
  <c r="AN21" i="66" s="1"/>
  <c r="AM7" i="66"/>
  <c r="AK7" i="66"/>
  <c r="AL7" i="66" s="1"/>
  <c r="AJ7" i="66"/>
  <c r="AH7" i="66"/>
  <c r="AH21" i="66" s="1"/>
  <c r="AG7" i="66"/>
  <c r="AE7" i="66"/>
  <c r="B1" i="66"/>
  <c r="J33" i="65"/>
  <c r="BU30" i="65"/>
  <c r="BT30" i="65"/>
  <c r="BR30" i="65"/>
  <c r="BQ30" i="65"/>
  <c r="BO30" i="65"/>
  <c r="BN30" i="65"/>
  <c r="BL30" i="65"/>
  <c r="BK30" i="65"/>
  <c r="BF30" i="65"/>
  <c r="BE30" i="65"/>
  <c r="BC30" i="65"/>
  <c r="BB30" i="65"/>
  <c r="AZ30" i="65"/>
  <c r="AY30" i="65"/>
  <c r="AW30" i="65"/>
  <c r="AV30" i="65"/>
  <c r="AT30" i="65"/>
  <c r="AS30" i="65"/>
  <c r="AQ30" i="65"/>
  <c r="AP30" i="65"/>
  <c r="AN30" i="65"/>
  <c r="AM30" i="65"/>
  <c r="AK30" i="65"/>
  <c r="AJ30" i="65"/>
  <c r="AH30" i="65"/>
  <c r="AG30" i="65"/>
  <c r="H30" i="65"/>
  <c r="BU29" i="65"/>
  <c r="BT29" i="65"/>
  <c r="BT28" i="65" s="1"/>
  <c r="BR29" i="65"/>
  <c r="BQ29" i="65"/>
  <c r="BO29" i="65"/>
  <c r="BN29" i="65"/>
  <c r="BN28" i="65" s="1"/>
  <c r="BL29" i="65"/>
  <c r="BK29" i="65"/>
  <c r="BK28" i="65" s="1"/>
  <c r="BF29" i="65"/>
  <c r="BF28" i="65" s="1"/>
  <c r="BE29" i="65"/>
  <c r="BC29" i="65"/>
  <c r="H29" i="65" s="1"/>
  <c r="H28" i="65" s="1"/>
  <c r="BB29" i="65"/>
  <c r="AZ29" i="65"/>
  <c r="AZ28" i="65" s="1"/>
  <c r="AY29" i="65"/>
  <c r="AW29" i="65"/>
  <c r="AV29" i="65"/>
  <c r="AT29" i="65"/>
  <c r="AS29" i="65"/>
  <c r="AQ29" i="65"/>
  <c r="AQ28" i="65" s="1"/>
  <c r="AP29" i="65"/>
  <c r="AN29" i="65"/>
  <c r="AM29" i="65"/>
  <c r="AK29" i="65"/>
  <c r="AK28" i="65" s="1"/>
  <c r="AJ29" i="65"/>
  <c r="AH29" i="65"/>
  <c r="AH28" i="65" s="1"/>
  <c r="AG29" i="65"/>
  <c r="G29" i="65"/>
  <c r="BU28" i="65"/>
  <c r="BR28" i="65"/>
  <c r="BQ28" i="65"/>
  <c r="BL28" i="65"/>
  <c r="BE28" i="65"/>
  <c r="AY28" i="65"/>
  <c r="AV28" i="65"/>
  <c r="AT28" i="65"/>
  <c r="AS28" i="65"/>
  <c r="AN28" i="65"/>
  <c r="AG28" i="65"/>
  <c r="BU27" i="65"/>
  <c r="BT27" i="65"/>
  <c r="BR27" i="65"/>
  <c r="BQ27" i="65"/>
  <c r="BO27" i="65"/>
  <c r="BN27" i="65"/>
  <c r="BL27" i="65"/>
  <c r="BK27" i="65"/>
  <c r="BF27" i="65"/>
  <c r="H27" i="65" s="1"/>
  <c r="BE27" i="65"/>
  <c r="BC27" i="65"/>
  <c r="BB27" i="65"/>
  <c r="AZ27" i="65"/>
  <c r="AZ25" i="65" s="1"/>
  <c r="AY27" i="65"/>
  <c r="AW27" i="65"/>
  <c r="AV27" i="65"/>
  <c r="AT27" i="65"/>
  <c r="AS27" i="65"/>
  <c r="AQ27" i="65"/>
  <c r="AP27" i="65"/>
  <c r="AN27" i="65"/>
  <c r="AM27" i="65"/>
  <c r="AK27" i="65"/>
  <c r="AJ27" i="65"/>
  <c r="AH27" i="65"/>
  <c r="AH25" i="65" s="1"/>
  <c r="AG27" i="65"/>
  <c r="BU26" i="65"/>
  <c r="BT26" i="65"/>
  <c r="BR26" i="65"/>
  <c r="BR25" i="65" s="1"/>
  <c r="BR31" i="65" s="1"/>
  <c r="BQ26" i="65"/>
  <c r="BO26" i="65"/>
  <c r="BN26" i="65"/>
  <c r="BL26" i="65"/>
  <c r="BL25" i="65" s="1"/>
  <c r="BL31" i="65" s="1"/>
  <c r="BK26" i="65"/>
  <c r="BF26" i="65"/>
  <c r="BE26" i="65"/>
  <c r="BE25" i="65" s="1"/>
  <c r="BE31" i="65" s="1"/>
  <c r="BC26" i="65"/>
  <c r="BB26" i="65"/>
  <c r="BB25" i="65" s="1"/>
  <c r="AZ26" i="65"/>
  <c r="AY26" i="65"/>
  <c r="AW26" i="65"/>
  <c r="AV26" i="65"/>
  <c r="AV25" i="65" s="1"/>
  <c r="AV31" i="65" s="1"/>
  <c r="AT26" i="65"/>
  <c r="AS26" i="65"/>
  <c r="AS25" i="65" s="1"/>
  <c r="AS31" i="65" s="1"/>
  <c r="AQ26" i="65"/>
  <c r="AP26" i="65"/>
  <c r="AN26" i="65"/>
  <c r="AM26" i="65"/>
  <c r="AM25" i="65" s="1"/>
  <c r="AK26" i="65"/>
  <c r="AJ26" i="65"/>
  <c r="AJ25" i="65" s="1"/>
  <c r="AH26" i="65"/>
  <c r="AG26" i="65"/>
  <c r="H26" i="65"/>
  <c r="BU25" i="65"/>
  <c r="BU31" i="65" s="1"/>
  <c r="BQ25" i="65"/>
  <c r="BQ31" i="65" s="1"/>
  <c r="BN25" i="65"/>
  <c r="BN31" i="65" s="1"/>
  <c r="BK25" i="65"/>
  <c r="BF25" i="65"/>
  <c r="BC25" i="65"/>
  <c r="AY25" i="65"/>
  <c r="AY31" i="65" s="1"/>
  <c r="AT25" i="65"/>
  <c r="AT31" i="65" s="1"/>
  <c r="AK25" i="65"/>
  <c r="AG25" i="65"/>
  <c r="AG31" i="65" s="1"/>
  <c r="BV22" i="65"/>
  <c r="BS22" i="65"/>
  <c r="BP22" i="65"/>
  <c r="BM22" i="65"/>
  <c r="BI22" i="65"/>
  <c r="BH22" i="65"/>
  <c r="BJ22" i="65" s="1"/>
  <c r="BG22" i="65"/>
  <c r="BD22" i="65"/>
  <c r="BA22" i="65"/>
  <c r="AX22" i="65"/>
  <c r="AU22" i="65"/>
  <c r="AR22" i="65"/>
  <c r="AO22" i="65"/>
  <c r="AL22" i="65"/>
  <c r="AI22" i="65"/>
  <c r="AE22" i="65"/>
  <c r="AD22" i="65"/>
  <c r="AF22" i="65" s="1"/>
  <c r="K22" i="65"/>
  <c r="I22" i="65"/>
  <c r="J22" i="65"/>
  <c r="F22" i="65"/>
  <c r="BV20" i="65"/>
  <c r="BS20" i="65"/>
  <c r="BP20" i="65"/>
  <c r="BM20" i="65"/>
  <c r="BI20" i="65"/>
  <c r="BH20" i="65"/>
  <c r="BJ20" i="65" s="1"/>
  <c r="BG20" i="65"/>
  <c r="BD20" i="65"/>
  <c r="BA20" i="65"/>
  <c r="AX20" i="65"/>
  <c r="AU20" i="65"/>
  <c r="AR20" i="65"/>
  <c r="AO20" i="65"/>
  <c r="AL20" i="65"/>
  <c r="AI20" i="65"/>
  <c r="AE20" i="65"/>
  <c r="AD20" i="65"/>
  <c r="I20" i="65"/>
  <c r="K20" i="65"/>
  <c r="F20" i="65"/>
  <c r="BV19" i="65"/>
  <c r="BS19" i="65"/>
  <c r="BP19" i="65"/>
  <c r="BM19" i="65"/>
  <c r="BI19" i="65"/>
  <c r="BI18" i="65" s="1"/>
  <c r="BH19" i="65"/>
  <c r="BH18" i="65" s="1"/>
  <c r="BG19" i="65"/>
  <c r="BD19" i="65"/>
  <c r="BA19" i="65"/>
  <c r="AX19" i="65"/>
  <c r="AU19" i="65"/>
  <c r="AR19" i="65"/>
  <c r="AO19" i="65"/>
  <c r="AL19" i="65"/>
  <c r="AI19" i="65"/>
  <c r="AE19" i="65"/>
  <c r="AE18" i="65" s="1"/>
  <c r="AD19" i="65"/>
  <c r="AD18" i="65" s="1"/>
  <c r="K19" i="65"/>
  <c r="H18" i="65"/>
  <c r="E18" i="65"/>
  <c r="F19" i="65"/>
  <c r="BU18" i="65"/>
  <c r="BT18" i="65"/>
  <c r="BV18" i="65" s="1"/>
  <c r="BR18" i="65"/>
  <c r="BQ18" i="65"/>
  <c r="BP18" i="65"/>
  <c r="BO18" i="65"/>
  <c r="BN18" i="65"/>
  <c r="BL18" i="65"/>
  <c r="BK18" i="65"/>
  <c r="BM18" i="65" s="1"/>
  <c r="BF18" i="65"/>
  <c r="BE18" i="65"/>
  <c r="BG18" i="65" s="1"/>
  <c r="BC18" i="65"/>
  <c r="BB18" i="65"/>
  <c r="BD18" i="65" s="1"/>
  <c r="AZ18" i="65"/>
  <c r="AY18" i="65"/>
  <c r="AX18" i="65"/>
  <c r="AW18" i="65"/>
  <c r="AV18" i="65"/>
  <c r="AT18" i="65"/>
  <c r="AS18" i="65"/>
  <c r="AU18" i="65" s="1"/>
  <c r="AQ18" i="65"/>
  <c r="AP18" i="65"/>
  <c r="AR18" i="65" s="1"/>
  <c r="AN18" i="65"/>
  <c r="AM18" i="65"/>
  <c r="AO18" i="65" s="1"/>
  <c r="AK18" i="65"/>
  <c r="AJ18" i="65"/>
  <c r="AL18" i="65" s="1"/>
  <c r="AH18" i="65"/>
  <c r="AG18" i="65"/>
  <c r="BV17" i="65"/>
  <c r="BS17" i="65"/>
  <c r="BP17" i="65"/>
  <c r="BM17" i="65"/>
  <c r="BI17" i="65"/>
  <c r="BI15" i="65" s="1"/>
  <c r="BH17" i="65"/>
  <c r="BJ17" i="65" s="1"/>
  <c r="BG17" i="65"/>
  <c r="BD17" i="65"/>
  <c r="BA17" i="65"/>
  <c r="AX17" i="65"/>
  <c r="AU17" i="65"/>
  <c r="AR17" i="65"/>
  <c r="AO17" i="65"/>
  <c r="AL17" i="65"/>
  <c r="AI17" i="65"/>
  <c r="AE17" i="65"/>
  <c r="AE15" i="65" s="1"/>
  <c r="AD17" i="65"/>
  <c r="K17" i="65"/>
  <c r="J17" i="65"/>
  <c r="F17" i="65"/>
  <c r="BV16" i="65"/>
  <c r="BS16" i="65"/>
  <c r="BP16" i="65"/>
  <c r="BM16" i="65"/>
  <c r="BI16" i="65"/>
  <c r="BH16" i="65"/>
  <c r="BJ16" i="65" s="1"/>
  <c r="BG16" i="65"/>
  <c r="BD16" i="65"/>
  <c r="BA16" i="65"/>
  <c r="AX16" i="65"/>
  <c r="AU16" i="65"/>
  <c r="AR16" i="65"/>
  <c r="AO16" i="65"/>
  <c r="AL16" i="65"/>
  <c r="AI16" i="65"/>
  <c r="AE16" i="65"/>
  <c r="AD16" i="65"/>
  <c r="J16" i="65"/>
  <c r="E15" i="65"/>
  <c r="BU15" i="65"/>
  <c r="BT15" i="65"/>
  <c r="BR15" i="65"/>
  <c r="BQ15" i="65"/>
  <c r="BO15" i="65"/>
  <c r="BN15" i="65"/>
  <c r="BP15" i="65" s="1"/>
  <c r="BL15" i="65"/>
  <c r="BM15" i="65" s="1"/>
  <c r="BK15" i="65"/>
  <c r="BF15" i="65"/>
  <c r="BE15" i="65"/>
  <c r="BC15" i="65"/>
  <c r="BB15" i="65"/>
  <c r="BD15" i="65" s="1"/>
  <c r="AZ15" i="65"/>
  <c r="AY15" i="65"/>
  <c r="AW15" i="65"/>
  <c r="AV15" i="65"/>
  <c r="AT15" i="65"/>
  <c r="AS15" i="65"/>
  <c r="AQ15" i="65"/>
  <c r="AP15" i="65"/>
  <c r="AN15" i="65"/>
  <c r="AM15" i="65"/>
  <c r="AK15" i="65"/>
  <c r="AJ15" i="65"/>
  <c r="AH15" i="65"/>
  <c r="AG15" i="65"/>
  <c r="BV14" i="65"/>
  <c r="BS14" i="65"/>
  <c r="BP14" i="65"/>
  <c r="BP30" i="65" s="1"/>
  <c r="BM14" i="65"/>
  <c r="BM30" i="65" s="1"/>
  <c r="BJ14" i="65"/>
  <c r="BI14" i="65"/>
  <c r="BI30" i="65" s="1"/>
  <c r="BH14" i="65"/>
  <c r="BG14" i="65"/>
  <c r="BG30" i="65" s="1"/>
  <c r="BD14" i="65"/>
  <c r="BD30" i="65" s="1"/>
  <c r="BA14" i="65"/>
  <c r="BA30" i="65" s="1"/>
  <c r="AX14" i="65"/>
  <c r="AX30" i="65" s="1"/>
  <c r="AU14" i="65"/>
  <c r="AR14" i="65"/>
  <c r="AO14" i="65"/>
  <c r="AO30" i="65" s="1"/>
  <c r="AL14" i="65"/>
  <c r="AL30" i="65" s="1"/>
  <c r="AI14" i="65"/>
  <c r="AI30" i="65" s="1"/>
  <c r="AF14" i="65"/>
  <c r="AE14" i="65"/>
  <c r="AE30" i="65" s="1"/>
  <c r="AD14" i="65"/>
  <c r="AD30" i="65" s="1"/>
  <c r="I14" i="65"/>
  <c r="G30" i="65"/>
  <c r="E30" i="65"/>
  <c r="D30" i="65"/>
  <c r="BV13" i="65"/>
  <c r="BV27" i="65" s="1"/>
  <c r="BS13" i="65"/>
  <c r="BP13" i="65"/>
  <c r="BM13" i="65"/>
  <c r="BM27" i="65" s="1"/>
  <c r="BI13" i="65"/>
  <c r="BI27" i="65" s="1"/>
  <c r="BH13" i="65"/>
  <c r="BH12" i="65" s="1"/>
  <c r="BG13" i="65"/>
  <c r="BD13" i="65"/>
  <c r="BA13" i="65"/>
  <c r="AX13" i="65"/>
  <c r="AX27" i="65" s="1"/>
  <c r="AU13" i="65"/>
  <c r="AU27" i="65" s="1"/>
  <c r="AR13" i="65"/>
  <c r="AR27" i="65" s="1"/>
  <c r="AO13" i="65"/>
  <c r="AL13" i="65"/>
  <c r="AI13" i="65"/>
  <c r="AE13" i="65"/>
  <c r="AE27" i="65" s="1"/>
  <c r="AD13" i="65"/>
  <c r="AD27" i="65" s="1"/>
  <c r="G27" i="65"/>
  <c r="BU12" i="65"/>
  <c r="BU7" i="65" s="1"/>
  <c r="BU21" i="65" s="1"/>
  <c r="BT12" i="65"/>
  <c r="BV12" i="65" s="1"/>
  <c r="BR12" i="65"/>
  <c r="BQ12" i="65"/>
  <c r="BS12" i="65" s="1"/>
  <c r="BO12" i="65"/>
  <c r="BN12" i="65"/>
  <c r="BP12" i="65" s="1"/>
  <c r="BL12" i="65"/>
  <c r="BK12" i="65"/>
  <c r="BM12" i="65" s="1"/>
  <c r="BF12" i="65"/>
  <c r="BE12" i="65"/>
  <c r="BG12" i="65" s="1"/>
  <c r="BC12" i="65"/>
  <c r="BB12" i="65"/>
  <c r="AZ12" i="65"/>
  <c r="AY12" i="65"/>
  <c r="AW12" i="65"/>
  <c r="AV12" i="65"/>
  <c r="AX12" i="65" s="1"/>
  <c r="AT12" i="65"/>
  <c r="AS12" i="65"/>
  <c r="AQ12" i="65"/>
  <c r="AP12" i="65"/>
  <c r="AN12" i="65"/>
  <c r="AM12" i="65"/>
  <c r="AO12" i="65" s="1"/>
  <c r="AK12" i="65"/>
  <c r="AJ12" i="65"/>
  <c r="AH12" i="65"/>
  <c r="AG12" i="65"/>
  <c r="AE12" i="65"/>
  <c r="AD12" i="65"/>
  <c r="AF12" i="65" s="1"/>
  <c r="H12" i="65"/>
  <c r="G12" i="65"/>
  <c r="BV11" i="65"/>
  <c r="BS11" i="65"/>
  <c r="BP11" i="65"/>
  <c r="BM11" i="65"/>
  <c r="BI11" i="65"/>
  <c r="BH11" i="65"/>
  <c r="BG11" i="65"/>
  <c r="BD11" i="65"/>
  <c r="BA11" i="65"/>
  <c r="AX11" i="65"/>
  <c r="AU11" i="65"/>
  <c r="AR11" i="65"/>
  <c r="AO11" i="65"/>
  <c r="AL11" i="65"/>
  <c r="AI11" i="65"/>
  <c r="AE11" i="65"/>
  <c r="AD11" i="65"/>
  <c r="F11" i="65"/>
  <c r="BV10" i="65"/>
  <c r="BV29" i="65" s="1"/>
  <c r="BS10" i="65"/>
  <c r="BS29" i="65" s="1"/>
  <c r="BP10" i="65"/>
  <c r="BP29" i="65" s="1"/>
  <c r="BP28" i="65" s="1"/>
  <c r="BM10" i="65"/>
  <c r="BM29" i="65" s="1"/>
  <c r="BI10" i="65"/>
  <c r="BI29" i="65" s="1"/>
  <c r="BH10" i="65"/>
  <c r="BH29" i="65" s="1"/>
  <c r="BG10" i="65"/>
  <c r="BG29" i="65" s="1"/>
  <c r="BD10" i="65"/>
  <c r="BD29" i="65" s="1"/>
  <c r="BD28" i="65" s="1"/>
  <c r="BA10" i="65"/>
  <c r="BA29" i="65" s="1"/>
  <c r="AX10" i="65"/>
  <c r="AX29" i="65" s="1"/>
  <c r="AX28" i="65" s="1"/>
  <c r="AU10" i="65"/>
  <c r="AU29" i="65" s="1"/>
  <c r="AR10" i="65"/>
  <c r="AR29" i="65" s="1"/>
  <c r="AO10" i="65"/>
  <c r="AO29" i="65" s="1"/>
  <c r="AL10" i="65"/>
  <c r="AL29" i="65" s="1"/>
  <c r="AL28" i="65" s="1"/>
  <c r="AI10" i="65"/>
  <c r="AI29" i="65" s="1"/>
  <c r="AE10" i="65"/>
  <c r="AE29" i="65" s="1"/>
  <c r="AD10" i="65"/>
  <c r="AD29" i="65" s="1"/>
  <c r="I10" i="65"/>
  <c r="J10" i="65"/>
  <c r="BV9" i="65"/>
  <c r="BS9" i="65"/>
  <c r="BP9" i="65"/>
  <c r="BM9" i="65"/>
  <c r="BI9" i="65"/>
  <c r="BI26" i="65" s="1"/>
  <c r="BH9" i="65"/>
  <c r="BG9" i="65"/>
  <c r="BD9" i="65"/>
  <c r="BA9" i="65"/>
  <c r="BA26" i="65" s="1"/>
  <c r="AX9" i="65"/>
  <c r="AU9" i="65"/>
  <c r="AU26" i="65" s="1"/>
  <c r="AU25" i="65" s="1"/>
  <c r="AR9" i="65"/>
  <c r="AO9" i="65"/>
  <c r="AL9" i="65"/>
  <c r="AI9" i="65"/>
  <c r="AI26" i="65" s="1"/>
  <c r="AE9" i="65"/>
  <c r="AD9" i="65"/>
  <c r="BU8" i="65"/>
  <c r="BT8" i="65"/>
  <c r="BV8" i="65" s="1"/>
  <c r="BR8" i="65"/>
  <c r="BQ8" i="65"/>
  <c r="BS8" i="65" s="1"/>
  <c r="BO8" i="65"/>
  <c r="BN8" i="65"/>
  <c r="BP8" i="65" s="1"/>
  <c r="BL8" i="65"/>
  <c r="BK8" i="65"/>
  <c r="BM8" i="65" s="1"/>
  <c r="BH8" i="65"/>
  <c r="BF8" i="65"/>
  <c r="BE8" i="65"/>
  <c r="BG8" i="65" s="1"/>
  <c r="BC8" i="65"/>
  <c r="BB8" i="65"/>
  <c r="BD8" i="65" s="1"/>
  <c r="AZ8" i="65"/>
  <c r="AY8" i="65"/>
  <c r="BA8" i="65" s="1"/>
  <c r="AW8" i="65"/>
  <c r="AV8" i="65"/>
  <c r="AX8" i="65" s="1"/>
  <c r="AT8" i="65"/>
  <c r="AS8" i="65"/>
  <c r="AU8" i="65" s="1"/>
  <c r="AQ8" i="65"/>
  <c r="AQ7" i="65" s="1"/>
  <c r="AQ21" i="65" s="1"/>
  <c r="AP8" i="65"/>
  <c r="AR8" i="65" s="1"/>
  <c r="AN8" i="65"/>
  <c r="AM8" i="65"/>
  <c r="AO8" i="65" s="1"/>
  <c r="AK8" i="65"/>
  <c r="AJ8" i="65"/>
  <c r="AL8" i="65" s="1"/>
  <c r="AH8" i="65"/>
  <c r="AG8" i="65"/>
  <c r="AI8" i="65" s="1"/>
  <c r="H8" i="65"/>
  <c r="BT7" i="65"/>
  <c r="BO7" i="65"/>
  <c r="BO21" i="65" s="1"/>
  <c r="BK7" i="65"/>
  <c r="BC7" i="65"/>
  <c r="BC21" i="65" s="1"/>
  <c r="BB7" i="65"/>
  <c r="AY7" i="65"/>
  <c r="AW7" i="65"/>
  <c r="AW21" i="65" s="1"/>
  <c r="AS7" i="65"/>
  <c r="AK7" i="65"/>
  <c r="AK21" i="65" s="1"/>
  <c r="AG7" i="65"/>
  <c r="G33" i="65"/>
  <c r="B1" i="65"/>
  <c r="D30" i="66" l="1"/>
  <c r="D27" i="66"/>
  <c r="D33" i="66" s="1"/>
  <c r="E7" i="67"/>
  <c r="K8" i="66"/>
  <c r="BF31" i="67"/>
  <c r="AR12" i="67"/>
  <c r="AI25" i="67"/>
  <c r="BJ13" i="67"/>
  <c r="AR30" i="67"/>
  <c r="AV31" i="67"/>
  <c r="BN31" i="67"/>
  <c r="BK31" i="67"/>
  <c r="AK7" i="67"/>
  <c r="AK21" i="67" s="1"/>
  <c r="BN7" i="67"/>
  <c r="BN21" i="67" s="1"/>
  <c r="BP21" i="67" s="1"/>
  <c r="AX8" i="67"/>
  <c r="BG8" i="67"/>
  <c r="BS26" i="67"/>
  <c r="BS25" i="67" s="1"/>
  <c r="AT8" i="67"/>
  <c r="AT7" i="67" s="1"/>
  <c r="AL12" i="67"/>
  <c r="BM12" i="67"/>
  <c r="BM27" i="67"/>
  <c r="BM25" i="67" s="1"/>
  <c r="BG30" i="67"/>
  <c r="BG28" i="67" s="1"/>
  <c r="BG31" i="67" s="1"/>
  <c r="AE18" i="67"/>
  <c r="AQ25" i="67"/>
  <c r="AQ31" i="67" s="1"/>
  <c r="BK28" i="67"/>
  <c r="BR28" i="67"/>
  <c r="AE8" i="67"/>
  <c r="AE7" i="67" s="1"/>
  <c r="AN21" i="67"/>
  <c r="BV26" i="67"/>
  <c r="H12" i="67"/>
  <c r="K12" i="67" s="1"/>
  <c r="AL18" i="67"/>
  <c r="L20" i="67"/>
  <c r="BC31" i="67"/>
  <c r="AG25" i="67"/>
  <c r="AG31" i="67" s="1"/>
  <c r="AQ7" i="67"/>
  <c r="BU7" i="67"/>
  <c r="BU21" i="67" s="1"/>
  <c r="AI8" i="67"/>
  <c r="AZ7" i="67"/>
  <c r="AZ21" i="67" s="1"/>
  <c r="BI8" i="67"/>
  <c r="BS8" i="67"/>
  <c r="AO12" i="67"/>
  <c r="AX12" i="67"/>
  <c r="BP12" i="67"/>
  <c r="BA18" i="67"/>
  <c r="BM18" i="67"/>
  <c r="BP26" i="67"/>
  <c r="BP25" i="67" s="1"/>
  <c r="BP31" i="67" s="1"/>
  <c r="AW25" i="67"/>
  <c r="AW31" i="67" s="1"/>
  <c r="BO25" i="67"/>
  <c r="BO31" i="67" s="1"/>
  <c r="AH25" i="67"/>
  <c r="BF28" i="67"/>
  <c r="BD26" i="67"/>
  <c r="BD25" i="67" s="1"/>
  <c r="BL21" i="67"/>
  <c r="BA28" i="67"/>
  <c r="BA31" i="67" s="1"/>
  <c r="AI12" i="67"/>
  <c r="BA12" i="67"/>
  <c r="BR7" i="67"/>
  <c r="BR21" i="67" s="1"/>
  <c r="AR15" i="67"/>
  <c r="BV15" i="67"/>
  <c r="AU16" i="67"/>
  <c r="BJ17" i="67"/>
  <c r="AR18" i="67"/>
  <c r="BP18" i="67"/>
  <c r="AT18" i="67"/>
  <c r="BR31" i="67"/>
  <c r="AZ28" i="67"/>
  <c r="AZ31" i="67" s="1"/>
  <c r="AP7" i="65"/>
  <c r="BE7" i="65"/>
  <c r="AR26" i="65"/>
  <c r="AR25" i="65" s="1"/>
  <c r="AI12" i="65"/>
  <c r="AR12" i="65"/>
  <c r="BA12" i="65"/>
  <c r="BI12" i="65"/>
  <c r="AI27" i="65"/>
  <c r="BA27" i="65"/>
  <c r="BA25" i="65" s="1"/>
  <c r="BS30" i="65"/>
  <c r="AX15" i="65"/>
  <c r="AF16" i="65"/>
  <c r="AF20" i="65"/>
  <c r="BT25" i="65"/>
  <c r="BO25" i="65"/>
  <c r="BC28" i="65"/>
  <c r="AM28" i="65"/>
  <c r="BF7" i="65"/>
  <c r="BF21" i="65" s="1"/>
  <c r="BR7" i="65"/>
  <c r="BR21" i="65" s="1"/>
  <c r="AP28" i="65"/>
  <c r="BN7" i="65"/>
  <c r="AE8" i="65"/>
  <c r="AX26" i="65"/>
  <c r="AX25" i="65" s="1"/>
  <c r="AX31" i="65" s="1"/>
  <c r="BM26" i="65"/>
  <c r="BJ11" i="65"/>
  <c r="AL12" i="65"/>
  <c r="AU12" i="65"/>
  <c r="BD12" i="65"/>
  <c r="BV15" i="65"/>
  <c r="AF17" i="65"/>
  <c r="BA18" i="65"/>
  <c r="BS18" i="65"/>
  <c r="AN25" i="65"/>
  <c r="AN31" i="65" s="1"/>
  <c r="AW25" i="65"/>
  <c r="AI25" i="65"/>
  <c r="AE28" i="65"/>
  <c r="BJ10" i="65"/>
  <c r="BJ29" i="65" s="1"/>
  <c r="BJ12" i="65"/>
  <c r="AZ7" i="65"/>
  <c r="AZ21" i="65" s="1"/>
  <c r="BC31" i="65"/>
  <c r="BI8" i="65"/>
  <c r="BI7" i="65" s="1"/>
  <c r="BI21" i="65" s="1"/>
  <c r="BJ8" i="65"/>
  <c r="BQ7" i="65"/>
  <c r="BV26" i="65"/>
  <c r="BV25" i="65" s="1"/>
  <c r="AT7" i="65"/>
  <c r="AT21" i="65" s="1"/>
  <c r="AK31" i="65"/>
  <c r="AC33" i="66"/>
  <c r="L19" i="66"/>
  <c r="J28" i="66"/>
  <c r="E30" i="66"/>
  <c r="E7" i="66"/>
  <c r="E21" i="66" s="1"/>
  <c r="E27" i="66"/>
  <c r="K12" i="66"/>
  <c r="K29" i="66"/>
  <c r="F12" i="66"/>
  <c r="J12" i="66"/>
  <c r="J29" i="66"/>
  <c r="K15" i="67"/>
  <c r="F8" i="67"/>
  <c r="J8" i="67"/>
  <c r="AC7" i="67"/>
  <c r="AA21" i="67"/>
  <c r="AC21" i="67" s="1"/>
  <c r="H7" i="66"/>
  <c r="K15" i="66"/>
  <c r="F18" i="66"/>
  <c r="F8" i="66"/>
  <c r="J8" i="66"/>
  <c r="J30" i="65"/>
  <c r="L22" i="65"/>
  <c r="AC7" i="65"/>
  <c r="AA21" i="65"/>
  <c r="AC21" i="65" s="1"/>
  <c r="AM31" i="65"/>
  <c r="AH31" i="65"/>
  <c r="AZ31" i="65"/>
  <c r="BF31" i="65"/>
  <c r="AM7" i="65"/>
  <c r="AO28" i="65"/>
  <c r="BG28" i="65"/>
  <c r="BS28" i="65"/>
  <c r="AF11" i="65"/>
  <c r="D27" i="65"/>
  <c r="J27" i="65" s="1"/>
  <c r="AL15" i="65"/>
  <c r="AI18" i="65"/>
  <c r="AF18" i="65"/>
  <c r="BK31" i="65"/>
  <c r="AP25" i="65"/>
  <c r="AP31" i="65" s="1"/>
  <c r="AE7" i="65"/>
  <c r="AQ25" i="65"/>
  <c r="AQ31" i="65" s="1"/>
  <c r="AJ28" i="65"/>
  <c r="BB28" i="65"/>
  <c r="BO28" i="65"/>
  <c r="BO31" i="65" s="1"/>
  <c r="AE26" i="65"/>
  <c r="AE25" i="65" s="1"/>
  <c r="AE31" i="65" s="1"/>
  <c r="BM25" i="65"/>
  <c r="AF10" i="65"/>
  <c r="AF29" i="65" s="1"/>
  <c r="AO15" i="65"/>
  <c r="J19" i="65"/>
  <c r="L20" i="65"/>
  <c r="AJ31" i="65"/>
  <c r="BB31" i="65"/>
  <c r="AD8" i="65"/>
  <c r="AF8" i="65" s="1"/>
  <c r="AI28" i="65"/>
  <c r="BA28" i="65"/>
  <c r="BM28" i="65"/>
  <c r="J11" i="65"/>
  <c r="AR15" i="65"/>
  <c r="K18" i="65"/>
  <c r="J20" i="65"/>
  <c r="AW28" i="65"/>
  <c r="AW31" i="65" s="1"/>
  <c r="K31" i="66"/>
  <c r="BP7" i="66"/>
  <c r="BN21" i="66"/>
  <c r="BP21" i="66" s="1"/>
  <c r="G7" i="66"/>
  <c r="G21" i="66" s="1"/>
  <c r="I15" i="66"/>
  <c r="BI27" i="66"/>
  <c r="BI33" i="66" s="1"/>
  <c r="AT28" i="67"/>
  <c r="AS33" i="66"/>
  <c r="J18" i="66"/>
  <c r="AE21" i="66"/>
  <c r="BV7" i="66"/>
  <c r="BT21" i="66"/>
  <c r="BV21" i="66" s="1"/>
  <c r="BJ18" i="66"/>
  <c r="BN33" i="66"/>
  <c r="K8" i="67"/>
  <c r="I8" i="67"/>
  <c r="AR21" i="66"/>
  <c r="J31" i="66"/>
  <c r="BJ15" i="66"/>
  <c r="AJ33" i="66"/>
  <c r="BO33" i="66"/>
  <c r="BM31" i="67"/>
  <c r="BG15" i="66"/>
  <c r="I29" i="67"/>
  <c r="I13" i="67"/>
  <c r="G12" i="67"/>
  <c r="BI30" i="67"/>
  <c r="BJ14" i="67"/>
  <c r="BJ30" i="67" s="1"/>
  <c r="AL15" i="67"/>
  <c r="AJ7" i="67"/>
  <c r="AS15" i="67"/>
  <c r="AU15" i="67" s="1"/>
  <c r="AU17" i="67"/>
  <c r="AU30" i="67" s="1"/>
  <c r="J19" i="67"/>
  <c r="G18" i="67"/>
  <c r="I19" i="67"/>
  <c r="I16" i="66"/>
  <c r="L16" i="66" s="1"/>
  <c r="AJ21" i="66"/>
  <c r="AL21" i="66" s="1"/>
  <c r="G32" i="66"/>
  <c r="J32" i="66" s="1"/>
  <c r="AW7" i="67"/>
  <c r="AW21" i="67" s="1"/>
  <c r="F9" i="67"/>
  <c r="AS26" i="67"/>
  <c r="AU9" i="67"/>
  <c r="AS8" i="67"/>
  <c r="BH26" i="67"/>
  <c r="BH8" i="67"/>
  <c r="J14" i="67"/>
  <c r="AV7" i="67"/>
  <c r="AX15" i="67"/>
  <c r="AD15" i="67"/>
  <c r="AF15" i="67" s="1"/>
  <c r="AF16" i="67"/>
  <c r="AF17" i="67"/>
  <c r="E28" i="67"/>
  <c r="AY7" i="66"/>
  <c r="BE7" i="66"/>
  <c r="AS8" i="66"/>
  <c r="AU9" i="66"/>
  <c r="AU28" i="66" s="1"/>
  <c r="J10" i="66"/>
  <c r="AU10" i="66"/>
  <c r="AU31" i="66" s="1"/>
  <c r="AS12" i="66"/>
  <c r="J13" i="66"/>
  <c r="AI29" i="66"/>
  <c r="AI27" i="66" s="1"/>
  <c r="AI33" i="66" s="1"/>
  <c r="AU13" i="66"/>
  <c r="AU29" i="66" s="1"/>
  <c r="AU14" i="66"/>
  <c r="AU32" i="66" s="1"/>
  <c r="D15" i="66"/>
  <c r="BV15" i="66"/>
  <c r="AE18" i="66"/>
  <c r="AF18" i="66" s="1"/>
  <c r="AS18" i="66"/>
  <c r="I20" i="66"/>
  <c r="L20" i="66" s="1"/>
  <c r="AK21" i="66"/>
  <c r="AF22" i="66"/>
  <c r="AF23" i="66"/>
  <c r="AF24" i="66"/>
  <c r="H28" i="66"/>
  <c r="AE29" i="66"/>
  <c r="AE27" i="66" s="1"/>
  <c r="AE33" i="66" s="1"/>
  <c r="BH29" i="66"/>
  <c r="BH27" i="66" s="1"/>
  <c r="BH33" i="66" s="1"/>
  <c r="AE31" i="66"/>
  <c r="AE30" i="66" s="1"/>
  <c r="BH31" i="66"/>
  <c r="BH30" i="66" s="1"/>
  <c r="H32" i="66"/>
  <c r="K32" i="66" s="1"/>
  <c r="BP7" i="67"/>
  <c r="AF8" i="67"/>
  <c r="AO8" i="67"/>
  <c r="BM8" i="67"/>
  <c r="AF9" i="67"/>
  <c r="AT26" i="67"/>
  <c r="AT25" i="67" s="1"/>
  <c r="AT31" i="67" s="1"/>
  <c r="F10" i="67"/>
  <c r="F29" i="67" s="1"/>
  <c r="BS28" i="67"/>
  <c r="BS31" i="67" s="1"/>
  <c r="I11" i="67"/>
  <c r="L11" i="67" s="1"/>
  <c r="J13" i="67"/>
  <c r="AO15" i="67"/>
  <c r="AM7" i="67"/>
  <c r="F16" i="67"/>
  <c r="L16" i="67" s="1"/>
  <c r="J16" i="67"/>
  <c r="AI18" i="67"/>
  <c r="AD18" i="67"/>
  <c r="AF18" i="67" s="1"/>
  <c r="AF19" i="67"/>
  <c r="AS18" i="67"/>
  <c r="AU19" i="67"/>
  <c r="AP21" i="67"/>
  <c r="BK21" i="67"/>
  <c r="BM21" i="67" s="1"/>
  <c r="J22" i="67"/>
  <c r="I22" i="67"/>
  <c r="L22" i="67" s="1"/>
  <c r="BL25" i="67"/>
  <c r="BL31" i="67" s="1"/>
  <c r="BE28" i="67"/>
  <c r="BE31" i="67" s="1"/>
  <c r="AW7" i="66"/>
  <c r="I8" i="66"/>
  <c r="AF9" i="66"/>
  <c r="AF28" i="66" s="1"/>
  <c r="AF27" i="66" s="1"/>
  <c r="I11" i="66"/>
  <c r="L11" i="66" s="1"/>
  <c r="I12" i="66"/>
  <c r="I13" i="66"/>
  <c r="I14" i="66"/>
  <c r="AF14" i="66"/>
  <c r="AF32" i="66" s="1"/>
  <c r="AF30" i="66" s="1"/>
  <c r="BV32" i="66"/>
  <c r="BV30" i="66" s="1"/>
  <c r="BV33" i="66" s="1"/>
  <c r="AT8" i="66"/>
  <c r="K9" i="66"/>
  <c r="BJ9" i="66"/>
  <c r="BJ28" i="66" s="1"/>
  <c r="K10" i="66"/>
  <c r="BI15" i="66"/>
  <c r="BI7" i="66" s="1"/>
  <c r="BI21" i="66" s="1"/>
  <c r="BP15" i="66"/>
  <c r="I17" i="66"/>
  <c r="L17" i="66" s="1"/>
  <c r="J20" i="66"/>
  <c r="BA7" i="67"/>
  <c r="K11" i="67"/>
  <c r="I14" i="67"/>
  <c r="G15" i="67"/>
  <c r="J17" i="67"/>
  <c r="I17" i="67"/>
  <c r="BH18" i="67"/>
  <c r="BJ18" i="67" s="1"/>
  <c r="BJ20" i="67"/>
  <c r="BJ27" i="67" s="1"/>
  <c r="AH31" i="67"/>
  <c r="AI7" i="66"/>
  <c r="AO7" i="66"/>
  <c r="BM7" i="66"/>
  <c r="BS7" i="66"/>
  <c r="F9" i="66"/>
  <c r="F28" i="66" s="1"/>
  <c r="F10" i="66"/>
  <c r="F31" i="66" s="1"/>
  <c r="F13" i="66"/>
  <c r="F29" i="66" s="1"/>
  <c r="F14" i="66"/>
  <c r="F32" i="66" s="1"/>
  <c r="J17" i="66"/>
  <c r="H18" i="66"/>
  <c r="K18" i="66" s="1"/>
  <c r="AT18" i="66"/>
  <c r="G27" i="66"/>
  <c r="BM7" i="67"/>
  <c r="I9" i="67"/>
  <c r="AL25" i="67"/>
  <c r="AF10" i="67"/>
  <c r="AF29" i="67" s="1"/>
  <c r="BI12" i="67"/>
  <c r="BJ12" i="67" s="1"/>
  <c r="F13" i="67"/>
  <c r="D12" i="67"/>
  <c r="AU13" i="67"/>
  <c r="AS27" i="67"/>
  <c r="AS12" i="67"/>
  <c r="AU12" i="67" s="1"/>
  <c r="AD30" i="67"/>
  <c r="AD28" i="67" s="1"/>
  <c r="AD12" i="67"/>
  <c r="AF14" i="67"/>
  <c r="AS30" i="67"/>
  <c r="AI15" i="67"/>
  <c r="AG7" i="67"/>
  <c r="BS15" i="67"/>
  <c r="BQ7" i="67"/>
  <c r="AU20" i="67"/>
  <c r="AR7" i="66"/>
  <c r="I10" i="66"/>
  <c r="AT29" i="66"/>
  <c r="AT27" i="66" s="1"/>
  <c r="AT33" i="66" s="1"/>
  <c r="AT12" i="66"/>
  <c r="K13" i="66"/>
  <c r="BJ13" i="66"/>
  <c r="BJ14" i="66"/>
  <c r="BJ32" i="66" s="1"/>
  <c r="BJ30" i="66" s="1"/>
  <c r="AM21" i="66"/>
  <c r="AO21" i="66" s="1"/>
  <c r="BM21" i="66"/>
  <c r="AX26" i="67"/>
  <c r="AX25" i="67" s="1"/>
  <c r="BJ9" i="67"/>
  <c r="AS29" i="67"/>
  <c r="AU10" i="67"/>
  <c r="AU29" i="67" s="1"/>
  <c r="AR27" i="67"/>
  <c r="AR25" i="67" s="1"/>
  <c r="BB7" i="66"/>
  <c r="BH8" i="66"/>
  <c r="BD27" i="66"/>
  <c r="BD33" i="66" s="1"/>
  <c r="BP28" i="66"/>
  <c r="BP27" i="66" s="1"/>
  <c r="BP33" i="66" s="1"/>
  <c r="AR29" i="66"/>
  <c r="AR27" i="66" s="1"/>
  <c r="AR33" i="66" s="1"/>
  <c r="BD29" i="66"/>
  <c r="BP29" i="66"/>
  <c r="AD15" i="66"/>
  <c r="BJ16" i="66"/>
  <c r="I22" i="66"/>
  <c r="L22" i="66" s="1"/>
  <c r="I23" i="66"/>
  <c r="L23" i="66" s="1"/>
  <c r="I24" i="66"/>
  <c r="L24" i="66" s="1"/>
  <c r="AH7" i="67"/>
  <c r="AH21" i="67" s="1"/>
  <c r="BA8" i="67"/>
  <c r="K9" i="67"/>
  <c r="K29" i="67"/>
  <c r="AI28" i="67"/>
  <c r="AI31" i="67" s="1"/>
  <c r="BJ10" i="67"/>
  <c r="BJ29" i="67" s="1"/>
  <c r="AU11" i="67"/>
  <c r="AE27" i="67"/>
  <c r="AE25" i="67" s="1"/>
  <c r="AF13" i="67"/>
  <c r="AE30" i="67"/>
  <c r="AE28" i="67" s="1"/>
  <c r="AT30" i="67"/>
  <c r="F15" i="67"/>
  <c r="BB7" i="67"/>
  <c r="BD15" i="67"/>
  <c r="K19" i="67"/>
  <c r="E18" i="67"/>
  <c r="F18" i="67" s="1"/>
  <c r="H18" i="67"/>
  <c r="K20" i="67"/>
  <c r="AU22" i="67"/>
  <c r="D25" i="67"/>
  <c r="AO28" i="67"/>
  <c r="AO31" i="67" s="1"/>
  <c r="F18" i="68"/>
  <c r="E21" i="68"/>
  <c r="F21" i="68" s="1"/>
  <c r="BE7" i="67"/>
  <c r="J10" i="67"/>
  <c r="BI28" i="67"/>
  <c r="BI31" i="67" s="1"/>
  <c r="BS12" i="67"/>
  <c r="AD27" i="67"/>
  <c r="BP27" i="67"/>
  <c r="BH30" i="67"/>
  <c r="BH28" i="67" s="1"/>
  <c r="BV30" i="67"/>
  <c r="BV28" i="67" s="1"/>
  <c r="BM15" i="67"/>
  <c r="BG18" i="67"/>
  <c r="AY21" i="67"/>
  <c r="BA21" i="67" s="1"/>
  <c r="AM31" i="67"/>
  <c r="AK31" i="67"/>
  <c r="AT27" i="67"/>
  <c r="BH27" i="67"/>
  <c r="BV27" i="67"/>
  <c r="BV25" i="67" s="1"/>
  <c r="BV31" i="67" s="1"/>
  <c r="AL30" i="67"/>
  <c r="AL28" i="67" s="1"/>
  <c r="AX30" i="67"/>
  <c r="AX28" i="67" s="1"/>
  <c r="BA15" i="67"/>
  <c r="F17" i="67"/>
  <c r="BJ19" i="67"/>
  <c r="BT7" i="67"/>
  <c r="AD26" i="67"/>
  <c r="J29" i="67"/>
  <c r="AR28" i="67"/>
  <c r="BD28" i="67"/>
  <c r="BD31" i="67" s="1"/>
  <c r="BP28" i="67"/>
  <c r="D28" i="67"/>
  <c r="F14" i="67"/>
  <c r="BH15" i="67"/>
  <c r="BJ15" i="67" s="1"/>
  <c r="AO18" i="67"/>
  <c r="F19" i="67"/>
  <c r="F9" i="68"/>
  <c r="T21" i="68"/>
  <c r="Y21" i="68"/>
  <c r="F20" i="68"/>
  <c r="AH7" i="65"/>
  <c r="AH21" i="65" s="1"/>
  <c r="AI15" i="65"/>
  <c r="BJ18" i="65"/>
  <c r="AP21" i="65"/>
  <c r="AR21" i="65" s="1"/>
  <c r="AR7" i="65"/>
  <c r="J9" i="65"/>
  <c r="I9" i="65"/>
  <c r="G26" i="65"/>
  <c r="AJ7" i="65"/>
  <c r="AV7" i="65"/>
  <c r="BH26" i="65"/>
  <c r="BJ9" i="65"/>
  <c r="AD28" i="65"/>
  <c r="BI25" i="65"/>
  <c r="BN21" i="65"/>
  <c r="BP21" i="65" s="1"/>
  <c r="BP7" i="65"/>
  <c r="BB21" i="65"/>
  <c r="BD21" i="65" s="1"/>
  <c r="BD7" i="65"/>
  <c r="BT21" i="65"/>
  <c r="BV21" i="65" s="1"/>
  <c r="BV7" i="65"/>
  <c r="BI28" i="65"/>
  <c r="G8" i="65"/>
  <c r="AD26" i="65"/>
  <c r="AD25" i="65" s="1"/>
  <c r="AF9" i="65"/>
  <c r="AE21" i="65"/>
  <c r="BT31" i="65"/>
  <c r="AU15" i="65"/>
  <c r="BS15" i="65"/>
  <c r="D18" i="65"/>
  <c r="F18" i="65" s="1"/>
  <c r="BH27" i="65"/>
  <c r="BH30" i="65"/>
  <c r="BH28" i="65" s="1"/>
  <c r="E29" i="65"/>
  <c r="E28" i="65" s="1"/>
  <c r="K28" i="65" s="1"/>
  <c r="K10" i="65"/>
  <c r="I12" i="65"/>
  <c r="I13" i="65"/>
  <c r="AF13" i="65"/>
  <c r="AF27" i="65" s="1"/>
  <c r="BJ13" i="65"/>
  <c r="BJ27" i="65" s="1"/>
  <c r="K14" i="65"/>
  <c r="G15" i="65"/>
  <c r="AD15" i="65"/>
  <c r="AF15" i="65" s="1"/>
  <c r="BH15" i="65"/>
  <c r="BJ15" i="65" s="1"/>
  <c r="I17" i="65"/>
  <c r="L17" i="65" s="1"/>
  <c r="K11" i="65"/>
  <c r="BJ30" i="65"/>
  <c r="BJ28" i="65" s="1"/>
  <c r="D29" i="65"/>
  <c r="D28" i="65" s="1"/>
  <c r="BG15" i="65"/>
  <c r="AG21" i="65"/>
  <c r="AM21" i="65"/>
  <c r="AS21" i="65"/>
  <c r="AU21" i="65" s="1"/>
  <c r="AY21" i="65"/>
  <c r="BA21" i="65" s="1"/>
  <c r="BE21" i="65"/>
  <c r="BG21" i="65" s="1"/>
  <c r="BK21" i="65"/>
  <c r="BQ21" i="65"/>
  <c r="BS21" i="65" s="1"/>
  <c r="D8" i="65"/>
  <c r="D26" i="65"/>
  <c r="AI31" i="65"/>
  <c r="BM31" i="65"/>
  <c r="F10" i="65"/>
  <c r="D12" i="65"/>
  <c r="J12" i="65" s="1"/>
  <c r="J13" i="65"/>
  <c r="F14" i="65"/>
  <c r="F30" i="65" s="1"/>
  <c r="H15" i="65"/>
  <c r="AF19" i="65"/>
  <c r="BJ19" i="65"/>
  <c r="I29" i="65"/>
  <c r="AF30" i="65"/>
  <c r="AF28" i="65" s="1"/>
  <c r="K16" i="65"/>
  <c r="J14" i="65"/>
  <c r="BA15" i="65"/>
  <c r="AN7" i="65"/>
  <c r="AN21" i="65" s="1"/>
  <c r="BL7" i="65"/>
  <c r="BL21" i="65" s="1"/>
  <c r="E8" i="65"/>
  <c r="E26" i="65"/>
  <c r="K26" i="65" s="1"/>
  <c r="K9" i="65"/>
  <c r="AL26" i="65"/>
  <c r="AL25" i="65" s="1"/>
  <c r="AL31" i="65" s="1"/>
  <c r="BD26" i="65"/>
  <c r="BP26" i="65"/>
  <c r="I11" i="65"/>
  <c r="L11" i="65" s="1"/>
  <c r="E12" i="65"/>
  <c r="K12" i="65" s="1"/>
  <c r="E27" i="65"/>
  <c r="K27" i="65" s="1"/>
  <c r="K13" i="65"/>
  <c r="AL27" i="65"/>
  <c r="BD27" i="65"/>
  <c r="BP27" i="65"/>
  <c r="AR30" i="65"/>
  <c r="AR28" i="65" s="1"/>
  <c r="AR31" i="65" s="1"/>
  <c r="BV30" i="65"/>
  <c r="BV28" i="65" s="1"/>
  <c r="BV31" i="65" s="1"/>
  <c r="I16" i="65"/>
  <c r="G18" i="65"/>
  <c r="I19" i="65"/>
  <c r="L19" i="65" s="1"/>
  <c r="K30" i="65"/>
  <c r="F16" i="65"/>
  <c r="D33" i="65"/>
  <c r="AO7" i="65"/>
  <c r="AU7" i="65"/>
  <c r="BA7" i="65"/>
  <c r="BG7" i="65"/>
  <c r="BS7" i="65"/>
  <c r="F9" i="65"/>
  <c r="AO26" i="65"/>
  <c r="AO25" i="65" s="1"/>
  <c r="BG26" i="65"/>
  <c r="BS26" i="65"/>
  <c r="F13" i="65"/>
  <c r="AO27" i="65"/>
  <c r="BG27" i="65"/>
  <c r="BS27" i="65"/>
  <c r="AU30" i="65"/>
  <c r="AU28" i="65" s="1"/>
  <c r="AU31" i="65" s="1"/>
  <c r="D15" i="65"/>
  <c r="H25" i="65"/>
  <c r="G28" i="65"/>
  <c r="H7" i="67" l="1"/>
  <c r="H21" i="67" s="1"/>
  <c r="K18" i="67"/>
  <c r="L12" i="66"/>
  <c r="BJ28" i="67"/>
  <c r="AR31" i="67"/>
  <c r="AE21" i="67"/>
  <c r="AF27" i="67"/>
  <c r="AR21" i="67"/>
  <c r="AR7" i="67"/>
  <c r="AQ21" i="67"/>
  <c r="AT21" i="67"/>
  <c r="AU18" i="67"/>
  <c r="E33" i="66"/>
  <c r="BA31" i="65"/>
  <c r="BG25" i="65"/>
  <c r="BG31" i="65" s="1"/>
  <c r="F30" i="67"/>
  <c r="F28" i="67" s="1"/>
  <c r="K7" i="66"/>
  <c r="J28" i="65"/>
  <c r="J29" i="65"/>
  <c r="I28" i="66"/>
  <c r="L28" i="66" s="1"/>
  <c r="F27" i="66"/>
  <c r="L8" i="66"/>
  <c r="E21" i="67"/>
  <c r="K30" i="67"/>
  <c r="J30" i="67"/>
  <c r="D31" i="67"/>
  <c r="K27" i="67"/>
  <c r="L8" i="67"/>
  <c r="L10" i="67"/>
  <c r="I18" i="66"/>
  <c r="L18" i="66" s="1"/>
  <c r="H21" i="66"/>
  <c r="K21" i="66" s="1"/>
  <c r="L14" i="65"/>
  <c r="K29" i="65"/>
  <c r="I30" i="65"/>
  <c r="L30" i="65" s="1"/>
  <c r="BI31" i="65"/>
  <c r="AO31" i="65"/>
  <c r="BP25" i="65"/>
  <c r="BP31" i="65" s="1"/>
  <c r="BD25" i="65"/>
  <c r="BD31" i="65" s="1"/>
  <c r="D25" i="65"/>
  <c r="D31" i="65" s="1"/>
  <c r="AE31" i="67"/>
  <c r="G25" i="67"/>
  <c r="J26" i="67"/>
  <c r="BD7" i="66"/>
  <c r="BB21" i="66"/>
  <c r="BD21" i="66" s="1"/>
  <c r="AX31" i="67"/>
  <c r="AU27" i="67"/>
  <c r="L9" i="67"/>
  <c r="I26" i="67"/>
  <c r="J15" i="67"/>
  <c r="I15" i="67"/>
  <c r="L15" i="67" s="1"/>
  <c r="I29" i="66"/>
  <c r="L29" i="66" s="1"/>
  <c r="L13" i="66"/>
  <c r="AX7" i="66"/>
  <c r="AW21" i="66"/>
  <c r="AX21" i="66" s="1"/>
  <c r="F15" i="66"/>
  <c r="L15" i="66" s="1"/>
  <c r="D7" i="66"/>
  <c r="AU30" i="66"/>
  <c r="BA7" i="66"/>
  <c r="AY21" i="66"/>
  <c r="BA21" i="66" s="1"/>
  <c r="AU8" i="67"/>
  <c r="AS7" i="67"/>
  <c r="BT21" i="67"/>
  <c r="BV21" i="67" s="1"/>
  <c r="BV7" i="67"/>
  <c r="BG7" i="67"/>
  <c r="BE21" i="67"/>
  <c r="BG21" i="67" s="1"/>
  <c r="H28" i="67"/>
  <c r="K28" i="67" s="1"/>
  <c r="AF30" i="67"/>
  <c r="F12" i="67"/>
  <c r="D7" i="67"/>
  <c r="I30" i="67"/>
  <c r="L14" i="67"/>
  <c r="AV21" i="67"/>
  <c r="AX21" i="67" s="1"/>
  <c r="AX7" i="67"/>
  <c r="AU26" i="67"/>
  <c r="L29" i="67"/>
  <c r="G30" i="66"/>
  <c r="J30" i="66" s="1"/>
  <c r="J15" i="66"/>
  <c r="BB21" i="67"/>
  <c r="BD21" i="67" s="1"/>
  <c r="BD7" i="67"/>
  <c r="BQ21" i="67"/>
  <c r="BS21" i="67" s="1"/>
  <c r="BS7" i="67"/>
  <c r="AD7" i="67"/>
  <c r="AF12" i="67"/>
  <c r="F27" i="67"/>
  <c r="J27" i="66"/>
  <c r="F30" i="66"/>
  <c r="AT7" i="66"/>
  <c r="AT21" i="66" s="1"/>
  <c r="AM21" i="67"/>
  <c r="AO21" i="67" s="1"/>
  <c r="AO7" i="67"/>
  <c r="K28" i="66"/>
  <c r="H27" i="66"/>
  <c r="AU27" i="66"/>
  <c r="AU33" i="66" s="1"/>
  <c r="AS25" i="67"/>
  <c r="AS31" i="67" s="1"/>
  <c r="AJ21" i="67"/>
  <c r="AL21" i="67" s="1"/>
  <c r="AL7" i="67"/>
  <c r="G7" i="67"/>
  <c r="J12" i="67"/>
  <c r="I12" i="67"/>
  <c r="BI7" i="67"/>
  <c r="BI21" i="67" s="1"/>
  <c r="AU28" i="67"/>
  <c r="I31" i="66"/>
  <c r="L10" i="66"/>
  <c r="AU18" i="66"/>
  <c r="L19" i="67"/>
  <c r="L13" i="67"/>
  <c r="I27" i="67"/>
  <c r="I7" i="66"/>
  <c r="G28" i="67"/>
  <c r="J28" i="67" s="1"/>
  <c r="AD7" i="66"/>
  <c r="AF15" i="66"/>
  <c r="AS28" i="67"/>
  <c r="BJ29" i="66"/>
  <c r="BJ27" i="66" s="1"/>
  <c r="BJ33" i="66" s="1"/>
  <c r="AG21" i="67"/>
  <c r="AI21" i="67" s="1"/>
  <c r="AI7" i="67"/>
  <c r="AF28" i="67"/>
  <c r="L17" i="67"/>
  <c r="AF33" i="66"/>
  <c r="AF26" i="67"/>
  <c r="AF25" i="67" s="1"/>
  <c r="AU8" i="66"/>
  <c r="AS7" i="66"/>
  <c r="BH7" i="67"/>
  <c r="BJ8" i="67"/>
  <c r="E25" i="67"/>
  <c r="E31" i="67" s="1"/>
  <c r="J18" i="67"/>
  <c r="I18" i="67"/>
  <c r="L18" i="67" s="1"/>
  <c r="J27" i="67"/>
  <c r="H30" i="66"/>
  <c r="K30" i="66" s="1"/>
  <c r="AD25" i="67"/>
  <c r="AD31" i="67" s="1"/>
  <c r="BH7" i="66"/>
  <c r="BJ8" i="66"/>
  <c r="BJ26" i="67"/>
  <c r="BJ25" i="67" s="1"/>
  <c r="BJ31" i="67" s="1"/>
  <c r="AL31" i="67"/>
  <c r="H25" i="67"/>
  <c r="K26" i="67"/>
  <c r="I32" i="66"/>
  <c r="L32" i="66" s="1"/>
  <c r="L14" i="66"/>
  <c r="AU12" i="66"/>
  <c r="BG7" i="66"/>
  <c r="BE21" i="66"/>
  <c r="BG21" i="66" s="1"/>
  <c r="BH25" i="67"/>
  <c r="BH31" i="67" s="1"/>
  <c r="F26" i="67"/>
  <c r="L9" i="66"/>
  <c r="E7" i="65"/>
  <c r="E21" i="65" s="1"/>
  <c r="E36" i="65" s="1"/>
  <c r="BJ26" i="65"/>
  <c r="BJ25" i="65" s="1"/>
  <c r="BJ31" i="65" s="1"/>
  <c r="F26" i="65"/>
  <c r="K15" i="65"/>
  <c r="H7" i="65"/>
  <c r="F29" i="65"/>
  <c r="F28" i="65" s="1"/>
  <c r="F8" i="65"/>
  <c r="D7" i="65"/>
  <c r="AO21" i="65"/>
  <c r="AD31" i="65"/>
  <c r="BH25" i="65"/>
  <c r="BH31" i="65" s="1"/>
  <c r="J26" i="65"/>
  <c r="G25" i="65"/>
  <c r="F12" i="65"/>
  <c r="L12" i="65" s="1"/>
  <c r="J15" i="65"/>
  <c r="I15" i="65"/>
  <c r="AF26" i="65"/>
  <c r="AF25" i="65" s="1"/>
  <c r="AF31" i="65" s="1"/>
  <c r="AJ21" i="65"/>
  <c r="AL21" i="65" s="1"/>
  <c r="AL7" i="65"/>
  <c r="AI21" i="65"/>
  <c r="J8" i="65"/>
  <c r="I8" i="65"/>
  <c r="G7" i="65"/>
  <c r="I26" i="65"/>
  <c r="L9" i="65"/>
  <c r="K8" i="65"/>
  <c r="L10" i="65"/>
  <c r="L16" i="65"/>
  <c r="AV21" i="65"/>
  <c r="AX21" i="65" s="1"/>
  <c r="AX7" i="65"/>
  <c r="AI7" i="65"/>
  <c r="F15" i="65"/>
  <c r="BM7" i="65"/>
  <c r="BM21" i="65"/>
  <c r="AD7" i="65"/>
  <c r="H31" i="65"/>
  <c r="F27" i="65"/>
  <c r="BS25" i="65"/>
  <c r="BS31" i="65" s="1"/>
  <c r="I18" i="65"/>
  <c r="L18" i="65" s="1"/>
  <c r="J18" i="65"/>
  <c r="E25" i="65"/>
  <c r="E31" i="65" s="1"/>
  <c r="I27" i="65"/>
  <c r="L13" i="65"/>
  <c r="BH7" i="65"/>
  <c r="I28" i="65" l="1"/>
  <c r="L28" i="65" s="1"/>
  <c r="K7" i="67"/>
  <c r="J7" i="66"/>
  <c r="D21" i="66"/>
  <c r="F21" i="66" s="1"/>
  <c r="G33" i="66"/>
  <c r="J33" i="66" s="1"/>
  <c r="K21" i="67"/>
  <c r="L30" i="67"/>
  <c r="F33" i="66"/>
  <c r="I27" i="66"/>
  <c r="L27" i="66" s="1"/>
  <c r="F25" i="67"/>
  <c r="F31" i="67" s="1"/>
  <c r="L12" i="67"/>
  <c r="L27" i="67"/>
  <c r="E35" i="65"/>
  <c r="L29" i="65"/>
  <c r="BH21" i="67"/>
  <c r="BJ21" i="67" s="1"/>
  <c r="BJ7" i="67"/>
  <c r="AF7" i="66"/>
  <c r="AD21" i="66"/>
  <c r="AF21" i="66" s="1"/>
  <c r="AD21" i="67"/>
  <c r="AF21" i="67" s="1"/>
  <c r="AF7" i="67"/>
  <c r="AU7" i="66"/>
  <c r="AS21" i="66"/>
  <c r="AU21" i="66" s="1"/>
  <c r="K27" i="66"/>
  <c r="H33" i="66"/>
  <c r="K33" i="66" s="1"/>
  <c r="I28" i="67"/>
  <c r="L28" i="67" s="1"/>
  <c r="F7" i="67"/>
  <c r="D21" i="67"/>
  <c r="F21" i="67" s="1"/>
  <c r="L31" i="66"/>
  <c r="I30" i="66"/>
  <c r="L30" i="66" s="1"/>
  <c r="G21" i="67"/>
  <c r="J7" i="67"/>
  <c r="I7" i="67"/>
  <c r="AU25" i="67"/>
  <c r="AU31" i="67" s="1"/>
  <c r="F7" i="66"/>
  <c r="L7" i="66" s="1"/>
  <c r="BJ7" i="66"/>
  <c r="BH21" i="66"/>
  <c r="BJ21" i="66" s="1"/>
  <c r="AF31" i="67"/>
  <c r="AU7" i="67"/>
  <c r="AS21" i="67"/>
  <c r="AU21" i="67" s="1"/>
  <c r="H31" i="67"/>
  <c r="K31" i="67" s="1"/>
  <c r="K25" i="67"/>
  <c r="G31" i="67"/>
  <c r="J31" i="67" s="1"/>
  <c r="J25" i="67"/>
  <c r="I21" i="66"/>
  <c r="I25" i="67"/>
  <c r="L26" i="67"/>
  <c r="BH21" i="65"/>
  <c r="BJ21" i="65" s="1"/>
  <c r="BJ7" i="65"/>
  <c r="K31" i="65"/>
  <c r="D21" i="65"/>
  <c r="F7" i="65"/>
  <c r="K25" i="65"/>
  <c r="L26" i="65"/>
  <c r="I25" i="65"/>
  <c r="H21" i="65"/>
  <c r="K7" i="65"/>
  <c r="AD21" i="65"/>
  <c r="AF21" i="65" s="1"/>
  <c r="AF7" i="65"/>
  <c r="L8" i="65"/>
  <c r="J25" i="65"/>
  <c r="G31" i="65"/>
  <c r="J31" i="65" s="1"/>
  <c r="L15" i="65"/>
  <c r="F25" i="65"/>
  <c r="F31" i="65" s="1"/>
  <c r="L27" i="65"/>
  <c r="G21" i="65"/>
  <c r="J7" i="65"/>
  <c r="I7" i="65"/>
  <c r="E37" i="65"/>
  <c r="E38" i="65"/>
  <c r="E39" i="65"/>
  <c r="E40" i="65"/>
  <c r="L21" i="66" l="1"/>
  <c r="J21" i="66"/>
  <c r="L7" i="65"/>
  <c r="I21" i="67"/>
  <c r="L21" i="67" s="1"/>
  <c r="J21" i="67"/>
  <c r="L7" i="67"/>
  <c r="I33" i="66"/>
  <c r="L33" i="66" s="1"/>
  <c r="I31" i="67"/>
  <c r="L31" i="67" s="1"/>
  <c r="L25" i="67"/>
  <c r="K21" i="65"/>
  <c r="H40" i="65"/>
  <c r="K40" i="65" s="1"/>
  <c r="H36" i="65"/>
  <c r="K36" i="65" s="1"/>
  <c r="H39" i="65"/>
  <c r="K39" i="65" s="1"/>
  <c r="H38" i="65"/>
  <c r="K38" i="65" s="1"/>
  <c r="H35" i="65"/>
  <c r="K35" i="65" s="1"/>
  <c r="H37" i="65"/>
  <c r="K37" i="65" s="1"/>
  <c r="F21" i="65"/>
  <c r="D39" i="65"/>
  <c r="D40" i="65"/>
  <c r="D38" i="65"/>
  <c r="D35" i="65"/>
  <c r="D36" i="65"/>
  <c r="D37" i="65"/>
  <c r="J21" i="65"/>
  <c r="I21" i="65"/>
  <c r="G38" i="65"/>
  <c r="G39" i="65"/>
  <c r="G36" i="65"/>
  <c r="G40" i="65"/>
  <c r="G37" i="65"/>
  <c r="G35" i="65"/>
  <c r="L25" i="65"/>
  <c r="I31" i="65"/>
  <c r="L31" i="65" s="1"/>
  <c r="J39" i="65" l="1"/>
  <c r="J35" i="65"/>
  <c r="J36" i="65"/>
  <c r="J40" i="65"/>
  <c r="F40" i="65"/>
  <c r="F39" i="65"/>
  <c r="F38" i="65"/>
  <c r="F37" i="65"/>
  <c r="F35" i="65"/>
  <c r="F36" i="65"/>
  <c r="J37" i="65"/>
  <c r="L21" i="65"/>
  <c r="I36" i="65"/>
  <c r="I39" i="65"/>
  <c r="I38" i="65"/>
  <c r="I40" i="65"/>
  <c r="I37" i="65"/>
  <c r="I35" i="65"/>
  <c r="J38" i="65"/>
  <c r="L37" i="65" l="1"/>
  <c r="L36" i="65"/>
  <c r="L35" i="65"/>
  <c r="L38" i="65"/>
  <c r="L39" i="65"/>
  <c r="L40" i="65"/>
  <c r="X16" i="49" l="1"/>
  <c r="M31" i="49" l="1"/>
  <c r="M33" i="49"/>
  <c r="M32" i="49"/>
  <c r="V7" i="21"/>
  <c r="W13" i="21" s="1"/>
  <c r="X7" i="21"/>
  <c r="Y13" i="21" s="1"/>
  <c r="W19" i="18"/>
  <c r="W18" i="18"/>
  <c r="W17" i="18"/>
  <c r="W16" i="18"/>
  <c r="W15" i="18"/>
  <c r="W14" i="18"/>
  <c r="W13" i="18"/>
  <c r="W12" i="18"/>
  <c r="W11" i="18"/>
  <c r="W10" i="18"/>
  <c r="W9" i="18"/>
  <c r="W8" i="18"/>
  <c r="W7" i="18"/>
  <c r="Y19" i="18"/>
  <c r="Y18" i="18"/>
  <c r="Y17" i="18"/>
  <c r="Y16" i="18"/>
  <c r="Y15" i="18"/>
  <c r="Y14" i="18"/>
  <c r="Y13" i="18"/>
  <c r="Y12" i="18"/>
  <c r="Y11" i="18"/>
  <c r="Y10" i="18"/>
  <c r="Y9" i="18"/>
  <c r="Y8" i="18"/>
  <c r="Y7" i="18"/>
  <c r="N10" i="17"/>
  <c r="N13" i="17" s="1"/>
  <c r="N6" i="17"/>
  <c r="O10" i="17"/>
  <c r="O13" i="17" s="1"/>
  <c r="O6" i="17"/>
  <c r="N16" i="46"/>
  <c r="N15" i="46"/>
  <c r="O16" i="46"/>
  <c r="O15" i="46"/>
  <c r="K17" i="46" l="1"/>
  <c r="J17" i="46"/>
  <c r="Y8" i="21"/>
  <c r="W8" i="21"/>
  <c r="W10" i="21"/>
  <c r="W9" i="21"/>
  <c r="W11" i="21"/>
  <c r="W12" i="21"/>
  <c r="W7" i="21"/>
  <c r="Y9" i="21"/>
  <c r="Y10" i="21"/>
  <c r="Y11" i="21"/>
  <c r="Y12" i="21"/>
  <c r="Y7" i="21"/>
  <c r="E33" i="49" l="1"/>
  <c r="AY39" i="48"/>
  <c r="AZ39" i="48"/>
  <c r="F24" i="22" l="1"/>
  <c r="F25" i="22"/>
  <c r="F26" i="22"/>
  <c r="P15" i="46" l="1"/>
  <c r="P16" i="46" l="1"/>
  <c r="N31" i="49" l="1"/>
  <c r="G19" i="18" l="1"/>
  <c r="G18" i="18"/>
  <c r="G17" i="18"/>
  <c r="G16" i="18"/>
  <c r="G15" i="18"/>
  <c r="G14" i="18"/>
  <c r="G13" i="18"/>
  <c r="G12" i="18"/>
  <c r="G11" i="18"/>
  <c r="G10" i="18"/>
  <c r="G9" i="18"/>
  <c r="G8" i="18"/>
  <c r="H5" i="44" l="1"/>
  <c r="Z7" i="21"/>
  <c r="AA12" i="21" s="1"/>
  <c r="E7" i="18"/>
  <c r="AA19" i="18"/>
  <c r="AA18" i="18"/>
  <c r="AA17" i="18"/>
  <c r="AA16" i="18"/>
  <c r="AA15" i="18"/>
  <c r="AA14" i="18"/>
  <c r="AA13" i="18"/>
  <c r="AA12" i="18"/>
  <c r="AA11" i="18"/>
  <c r="AA10" i="18"/>
  <c r="AA9" i="18"/>
  <c r="AA8" i="18"/>
  <c r="AA7" i="18"/>
  <c r="P13" i="17"/>
  <c r="F13" i="17"/>
  <c r="AB10" i="17"/>
  <c r="AA10" i="17"/>
  <c r="Z10" i="17"/>
  <c r="Y10" i="17"/>
  <c r="X10" i="17"/>
  <c r="W10" i="17"/>
  <c r="V10" i="17"/>
  <c r="U10" i="17"/>
  <c r="T10" i="17"/>
  <c r="S10" i="17"/>
  <c r="R10" i="17"/>
  <c r="Q10" i="17"/>
  <c r="P10" i="17"/>
  <c r="P6" i="17"/>
  <c r="AA7" i="21" l="1"/>
  <c r="AA8" i="21"/>
  <c r="AA9" i="21"/>
  <c r="AA10" i="21"/>
  <c r="AA13" i="21"/>
  <c r="AA11" i="21"/>
  <c r="N38" i="47" l="1"/>
  <c r="N31" i="47"/>
  <c r="D9" i="49" l="1"/>
  <c r="N16" i="49"/>
  <c r="N33" i="49"/>
  <c r="N32" i="49"/>
  <c r="O31" i="49" l="1"/>
  <c r="O16" i="49" l="1"/>
  <c r="N13" i="52" l="1"/>
  <c r="AB7" i="21"/>
  <c r="AC13" i="21" s="1"/>
  <c r="AC19" i="18"/>
  <c r="AC18" i="18"/>
  <c r="AC17" i="18"/>
  <c r="AC16" i="18"/>
  <c r="AC15" i="18"/>
  <c r="AC14" i="18"/>
  <c r="AC13" i="18"/>
  <c r="AC12" i="18"/>
  <c r="AC11" i="18"/>
  <c r="AC10" i="18"/>
  <c r="AC9" i="18"/>
  <c r="AC8" i="18"/>
  <c r="AC7" i="18"/>
  <c r="Q6" i="17"/>
  <c r="Q16" i="46"/>
  <c r="Q15" i="46"/>
  <c r="AC8" i="21" l="1"/>
  <c r="AC9" i="21"/>
  <c r="AC10" i="21"/>
  <c r="AC11" i="21"/>
  <c r="AC12" i="21"/>
  <c r="AC7" i="21"/>
  <c r="O33" i="49" l="1"/>
  <c r="O32" i="49"/>
  <c r="I23" i="1" l="1"/>
  <c r="I22" i="1"/>
  <c r="F12" i="47" l="1"/>
  <c r="F15" i="47"/>
  <c r="F29" i="47"/>
  <c r="F28" i="47"/>
  <c r="F27" i="47"/>
  <c r="F26" i="47"/>
  <c r="F25" i="47"/>
  <c r="F23" i="47"/>
  <c r="F22" i="47"/>
  <c r="F21" i="47"/>
  <c r="F36" i="47"/>
  <c r="F35" i="47"/>
  <c r="F34" i="47"/>
  <c r="F33" i="47"/>
  <c r="F32" i="47"/>
  <c r="AE36" i="47"/>
  <c r="AE35" i="47"/>
  <c r="AE34" i="47"/>
  <c r="AE33" i="47"/>
  <c r="AE32" i="47"/>
  <c r="AE25" i="47"/>
  <c r="AE10" i="47"/>
  <c r="AE9" i="47"/>
  <c r="AE8" i="47"/>
  <c r="AE7" i="47"/>
  <c r="F10" i="47"/>
  <c r="F9" i="47"/>
  <c r="F8" i="47"/>
  <c r="F7" i="47"/>
  <c r="X13" i="46" l="1"/>
  <c r="P16" i="49" l="1"/>
  <c r="E9" i="49"/>
  <c r="P32" i="49" l="1"/>
  <c r="I6" i="1" l="1"/>
  <c r="I3" i="1"/>
  <c r="P31" i="49" l="1"/>
  <c r="Q13" i="52" l="1"/>
  <c r="T14" i="52" l="1"/>
  <c r="P14" i="52"/>
  <c r="F4" i="52"/>
  <c r="F13" i="52" s="1"/>
  <c r="E4" i="52"/>
  <c r="I5" i="45"/>
  <c r="I6" i="45" s="1"/>
  <c r="H5" i="45"/>
  <c r="H6" i="45" s="1"/>
  <c r="I5" i="44"/>
  <c r="F7" i="21"/>
  <c r="D7" i="21"/>
  <c r="AD7" i="21"/>
  <c r="AE19" i="18"/>
  <c r="AE18" i="18"/>
  <c r="AE17" i="18"/>
  <c r="AE16" i="18"/>
  <c r="AE15" i="18"/>
  <c r="AE14" i="18"/>
  <c r="AE13" i="18"/>
  <c r="AE12" i="18"/>
  <c r="AE11" i="18"/>
  <c r="AE10" i="18"/>
  <c r="AE9" i="18"/>
  <c r="AE8" i="18"/>
  <c r="AE7" i="18"/>
  <c r="R6" i="17"/>
  <c r="D15" i="46"/>
  <c r="E4" i="46"/>
  <c r="D4" i="46"/>
  <c r="R16" i="46"/>
  <c r="R15" i="46"/>
  <c r="BA35" i="48"/>
  <c r="BA33" i="48"/>
  <c r="BA32" i="48"/>
  <c r="BA29" i="48"/>
  <c r="BA28" i="48"/>
  <c r="BA27" i="48"/>
  <c r="BA26" i="48"/>
  <c r="BA25" i="48"/>
  <c r="BA24" i="48"/>
  <c r="BA23" i="48"/>
  <c r="BA21" i="48"/>
  <c r="BA20" i="48"/>
  <c r="BA19" i="48"/>
  <c r="BA18" i="48"/>
  <c r="BA17" i="48"/>
  <c r="BA16" i="48"/>
  <c r="BA14" i="48"/>
  <c r="BA13" i="48"/>
  <c r="BA12" i="48"/>
  <c r="BA11" i="48"/>
  <c r="BA9" i="48"/>
  <c r="BA8" i="48"/>
  <c r="BA7" i="48"/>
  <c r="U6" i="48"/>
  <c r="U30" i="48" s="1"/>
  <c r="U34" i="48" s="1"/>
  <c r="U36" i="48" s="1"/>
  <c r="V6" i="48"/>
  <c r="U10" i="48"/>
  <c r="V10" i="48"/>
  <c r="U15" i="48"/>
  <c r="V15" i="48"/>
  <c r="U22" i="48"/>
  <c r="V22" i="48"/>
  <c r="V30" i="48"/>
  <c r="U31" i="48"/>
  <c r="V31" i="48"/>
  <c r="V34" i="48"/>
  <c r="V36" i="48" s="1"/>
  <c r="X35" i="48"/>
  <c r="X33" i="48"/>
  <c r="X32" i="48"/>
  <c r="X28" i="48"/>
  <c r="X27" i="48"/>
  <c r="X26" i="48"/>
  <c r="X25" i="48"/>
  <c r="X24" i="48"/>
  <c r="X23" i="48"/>
  <c r="X13" i="48"/>
  <c r="X12" i="48"/>
  <c r="X11" i="48"/>
  <c r="X8" i="48"/>
  <c r="X7" i="48"/>
  <c r="E4" i="47"/>
  <c r="D4" i="47"/>
  <c r="D20" i="49"/>
  <c r="D24" i="49" s="1"/>
  <c r="E20" i="49"/>
  <c r="E24" i="49" s="1"/>
  <c r="P33" i="49"/>
  <c r="E13" i="52" l="1"/>
  <c r="D16" i="46"/>
  <c r="AE13" i="21"/>
  <c r="AE8" i="21"/>
  <c r="AE12" i="21"/>
  <c r="AE7" i="21"/>
  <c r="AE11" i="21"/>
  <c r="AE9" i="21"/>
  <c r="AE10" i="21"/>
  <c r="Q16" i="49"/>
  <c r="I20" i="1" l="1"/>
  <c r="I19" i="1"/>
  <c r="G8" i="1"/>
  <c r="G10" i="1"/>
  <c r="AI9" i="18" l="1"/>
  <c r="AI10" i="18"/>
  <c r="AI11" i="18"/>
  <c r="AI12" i="18"/>
  <c r="AI13" i="18"/>
  <c r="AI14" i="18"/>
  <c r="AI15" i="18"/>
  <c r="AI16" i="18"/>
  <c r="AI17" i="18"/>
  <c r="AI18" i="18"/>
  <c r="AI19" i="18"/>
  <c r="AI8" i="18"/>
  <c r="Q31" i="49" l="1"/>
  <c r="Q33" i="49"/>
  <c r="V33" i="49" l="1"/>
  <c r="V31" i="49"/>
  <c r="V16" i="49"/>
  <c r="AF15" i="21"/>
  <c r="AF14" i="21"/>
  <c r="AF13" i="21"/>
  <c r="AF12" i="21"/>
  <c r="AF11" i="21"/>
  <c r="AF9" i="21"/>
  <c r="AF8" i="21"/>
  <c r="T31" i="22"/>
  <c r="S31" i="22"/>
  <c r="H6" i="44"/>
  <c r="G18" i="52"/>
  <c r="G17" i="52"/>
  <c r="G16" i="52"/>
  <c r="G15" i="52"/>
  <c r="G7" i="52"/>
  <c r="G8" i="52"/>
  <c r="G9" i="52"/>
  <c r="G10" i="52"/>
  <c r="G11" i="52"/>
  <c r="G6" i="52"/>
  <c r="AF22" i="18"/>
  <c r="AF21" i="18"/>
  <c r="AF20" i="18"/>
  <c r="AF19" i="18"/>
  <c r="AF18" i="18"/>
  <c r="AF17" i="18"/>
  <c r="AF16" i="18"/>
  <c r="AF15" i="18"/>
  <c r="AF14" i="18"/>
  <c r="AF13" i="18"/>
  <c r="AF12" i="18"/>
  <c r="AF11" i="18"/>
  <c r="AF10" i="18"/>
  <c r="AF9" i="18"/>
  <c r="AF8" i="18"/>
  <c r="AF7" i="18"/>
  <c r="AG7" i="18" s="1"/>
  <c r="AI7" i="18"/>
  <c r="S8" i="17"/>
  <c r="S7" i="17"/>
  <c r="S6" i="17" s="1"/>
  <c r="T6" i="17"/>
  <c r="S7" i="46"/>
  <c r="S8" i="46"/>
  <c r="T16" i="46"/>
  <c r="T15" i="46"/>
  <c r="S13" i="46"/>
  <c r="S12" i="46"/>
  <c r="S11" i="46"/>
  <c r="E16" i="46" l="1"/>
  <c r="E15" i="46"/>
  <c r="AG12" i="18"/>
  <c r="AG18" i="18"/>
  <c r="AG13" i="18"/>
  <c r="AG19" i="18"/>
  <c r="AG8" i="18"/>
  <c r="AG14" i="18"/>
  <c r="AG9" i="18"/>
  <c r="AG15" i="18"/>
  <c r="AG10" i="18"/>
  <c r="AG16" i="18"/>
  <c r="AG11" i="18"/>
  <c r="AG17" i="18"/>
  <c r="S15" i="46"/>
  <c r="S16" i="46"/>
  <c r="AI8" i="21"/>
  <c r="AF10" i="21"/>
  <c r="AI12" i="21"/>
  <c r="AI10" i="21"/>
  <c r="AF7" i="21"/>
  <c r="AG13" i="21" s="1"/>
  <c r="AI7" i="21"/>
  <c r="AI9" i="21"/>
  <c r="AI11" i="21"/>
  <c r="AI13" i="21"/>
  <c r="AG9" i="21" l="1"/>
  <c r="AG12" i="21"/>
  <c r="AG11" i="21"/>
  <c r="AG10" i="21"/>
  <c r="AG8" i="21"/>
  <c r="AG7" i="21"/>
  <c r="AA6" i="48" l="1"/>
  <c r="AB6" i="48"/>
  <c r="AA10" i="48"/>
  <c r="AB10" i="48"/>
  <c r="AB15" i="48"/>
  <c r="AA16" i="48"/>
  <c r="AA17" i="48"/>
  <c r="AA18" i="48"/>
  <c r="AA19" i="48"/>
  <c r="AA20" i="48"/>
  <c r="AA22" i="48"/>
  <c r="AB22" i="48"/>
  <c r="AA31" i="48"/>
  <c r="AB31" i="48"/>
  <c r="AW38" i="47"/>
  <c r="X17" i="48" l="1"/>
  <c r="X20" i="48"/>
  <c r="X18" i="48"/>
  <c r="X16" i="48"/>
  <c r="X19" i="48"/>
  <c r="AB30" i="48"/>
  <c r="AB34" i="48" s="1"/>
  <c r="AB36" i="48" s="1"/>
  <c r="AA15" i="48"/>
  <c r="AA30" i="48" l="1"/>
  <c r="AA34" i="48" l="1"/>
  <c r="BC31" i="48"/>
  <c r="BA31" i="48" s="1"/>
  <c r="BC22" i="48"/>
  <c r="BA22" i="48" s="1"/>
  <c r="BC15" i="48"/>
  <c r="BA15" i="48" s="1"/>
  <c r="BC10" i="48"/>
  <c r="BA10" i="48" s="1"/>
  <c r="AX31" i="48"/>
  <c r="AX22" i="48"/>
  <c r="AX15" i="48"/>
  <c r="AX10" i="48"/>
  <c r="AU38" i="47"/>
  <c r="AU31" i="47"/>
  <c r="AU20" i="47"/>
  <c r="AQ38" i="47"/>
  <c r="AQ31" i="47"/>
  <c r="AQ20" i="47"/>
  <c r="AX39" i="48" l="1"/>
  <c r="AA36" i="48"/>
  <c r="E359" i="44"/>
  <c r="E360" i="44"/>
  <c r="E361" i="44"/>
  <c r="E362" i="44"/>
  <c r="E363" i="44"/>
  <c r="E364" i="44"/>
  <c r="E365" i="44"/>
  <c r="E366" i="44"/>
  <c r="E367" i="44"/>
  <c r="E368" i="44"/>
  <c r="E369" i="44"/>
  <c r="BC6" i="48" l="1"/>
  <c r="AX6" i="48"/>
  <c r="X31" i="49"/>
  <c r="S31" i="49"/>
  <c r="AX30" i="48" l="1"/>
  <c r="BC30" i="48"/>
  <c r="BA6" i="48"/>
  <c r="F7" i="44"/>
  <c r="BC34" i="48" l="1"/>
  <c r="BA30" i="48"/>
  <c r="AX34" i="48"/>
  <c r="E319" i="45"/>
  <c r="E6" i="45"/>
  <c r="I6" i="44"/>
  <c r="E358" i="44"/>
  <c r="E357" i="44"/>
  <c r="E356" i="44"/>
  <c r="E355" i="44"/>
  <c r="E354" i="44"/>
  <c r="E353" i="44"/>
  <c r="E352" i="44"/>
  <c r="E351" i="44"/>
  <c r="E350" i="44"/>
  <c r="E349" i="44"/>
  <c r="E348" i="44"/>
  <c r="E347" i="44"/>
  <c r="E346" i="44"/>
  <c r="E345" i="44"/>
  <c r="E344" i="44"/>
  <c r="E343" i="44"/>
  <c r="E342" i="44"/>
  <c r="E341" i="44"/>
  <c r="E340" i="44"/>
  <c r="E339" i="44"/>
  <c r="E338" i="44"/>
  <c r="E337" i="44"/>
  <c r="E336" i="44"/>
  <c r="E335" i="44"/>
  <c r="E334" i="44"/>
  <c r="E333" i="44"/>
  <c r="E332" i="44"/>
  <c r="E331" i="44"/>
  <c r="E330" i="44"/>
  <c r="E329" i="44"/>
  <c r="E328" i="44"/>
  <c r="E327" i="44"/>
  <c r="E326" i="44"/>
  <c r="E325" i="44"/>
  <c r="E324" i="44"/>
  <c r="E323" i="44"/>
  <c r="E322" i="44"/>
  <c r="E321" i="44"/>
  <c r="E320" i="44"/>
  <c r="E319" i="44"/>
  <c r="E318" i="44"/>
  <c r="E317" i="44"/>
  <c r="E316" i="44"/>
  <c r="E315" i="44"/>
  <c r="E314" i="44"/>
  <c r="E313" i="44"/>
  <c r="E312" i="44"/>
  <c r="E311" i="44"/>
  <c r="E310" i="44"/>
  <c r="E309" i="44"/>
  <c r="E308" i="44"/>
  <c r="E307" i="44"/>
  <c r="E306" i="44"/>
  <c r="E305" i="44"/>
  <c r="E304" i="44"/>
  <c r="E303" i="44"/>
  <c r="E302" i="44"/>
  <c r="E301" i="44"/>
  <c r="E300" i="44"/>
  <c r="E299" i="44"/>
  <c r="E298" i="44"/>
  <c r="E297" i="44"/>
  <c r="E296" i="44"/>
  <c r="E295" i="44"/>
  <c r="E294" i="44"/>
  <c r="E293" i="44"/>
  <c r="E292" i="44"/>
  <c r="E291" i="44"/>
  <c r="E290" i="44"/>
  <c r="E289" i="44"/>
  <c r="E288" i="44"/>
  <c r="E287" i="44"/>
  <c r="E286" i="44"/>
  <c r="E285" i="44"/>
  <c r="E284" i="44"/>
  <c r="E283" i="44"/>
  <c r="E282" i="44"/>
  <c r="E281" i="44"/>
  <c r="E280" i="44"/>
  <c r="E279" i="44"/>
  <c r="E278" i="44"/>
  <c r="E277" i="44"/>
  <c r="E276" i="44"/>
  <c r="E275" i="44"/>
  <c r="E274" i="44"/>
  <c r="E273" i="44"/>
  <c r="E272" i="44"/>
  <c r="E271" i="44"/>
  <c r="E270" i="44"/>
  <c r="E269" i="44"/>
  <c r="E268" i="44"/>
  <c r="E267" i="44"/>
  <c r="E266" i="44"/>
  <c r="E265" i="44"/>
  <c r="E264" i="44"/>
  <c r="E263" i="44"/>
  <c r="E262" i="44"/>
  <c r="E261" i="44"/>
  <c r="E260" i="44"/>
  <c r="E259" i="44"/>
  <c r="E258" i="44"/>
  <c r="E257" i="44"/>
  <c r="E256" i="44"/>
  <c r="E255" i="44"/>
  <c r="E254" i="44"/>
  <c r="E253" i="44"/>
  <c r="E252" i="44"/>
  <c r="E251" i="44"/>
  <c r="E250" i="44"/>
  <c r="E249" i="44"/>
  <c r="E248" i="44"/>
  <c r="E247" i="44"/>
  <c r="E246" i="44"/>
  <c r="E245" i="44"/>
  <c r="E244" i="44"/>
  <c r="E243" i="44"/>
  <c r="E242" i="44"/>
  <c r="E241" i="44"/>
  <c r="E240" i="44"/>
  <c r="E239" i="44"/>
  <c r="E238" i="44"/>
  <c r="E237" i="44"/>
  <c r="E236" i="44"/>
  <c r="E235" i="44"/>
  <c r="E234" i="44"/>
  <c r="E233" i="44"/>
  <c r="E232" i="44"/>
  <c r="E231" i="44"/>
  <c r="E230" i="44"/>
  <c r="E229" i="44"/>
  <c r="E228" i="44"/>
  <c r="E227" i="44"/>
  <c r="E226" i="44"/>
  <c r="E225" i="44"/>
  <c r="E224" i="44"/>
  <c r="E223" i="44"/>
  <c r="E222" i="44"/>
  <c r="E221" i="44"/>
  <c r="E220" i="44"/>
  <c r="E219" i="44"/>
  <c r="E218" i="44"/>
  <c r="E217" i="44"/>
  <c r="E216" i="44"/>
  <c r="E215" i="44"/>
  <c r="E214" i="44"/>
  <c r="E213" i="44"/>
  <c r="E212" i="44"/>
  <c r="E211" i="44"/>
  <c r="E210" i="44"/>
  <c r="E209" i="44"/>
  <c r="E208" i="44"/>
  <c r="E207" i="44"/>
  <c r="E206" i="44"/>
  <c r="E205" i="44"/>
  <c r="E204" i="44"/>
  <c r="E203" i="44"/>
  <c r="E202" i="44"/>
  <c r="E201" i="44"/>
  <c r="E200" i="44"/>
  <c r="E199" i="44"/>
  <c r="E198" i="44"/>
  <c r="E197" i="44"/>
  <c r="E196" i="44"/>
  <c r="E195" i="44"/>
  <c r="E194" i="44"/>
  <c r="E193" i="44"/>
  <c r="E192" i="44"/>
  <c r="E191" i="44"/>
  <c r="E190" i="44"/>
  <c r="E189" i="44"/>
  <c r="E188" i="44"/>
  <c r="E187" i="44"/>
  <c r="E186" i="44"/>
  <c r="E185" i="44"/>
  <c r="E184" i="44"/>
  <c r="E183" i="44"/>
  <c r="E182" i="44"/>
  <c r="E181" i="44"/>
  <c r="E180" i="44"/>
  <c r="E179" i="44"/>
  <c r="E178" i="44"/>
  <c r="E177" i="44"/>
  <c r="E176" i="44"/>
  <c r="E175" i="44"/>
  <c r="E174" i="44"/>
  <c r="E173" i="44"/>
  <c r="E172" i="44"/>
  <c r="E171" i="44"/>
  <c r="E170" i="44"/>
  <c r="E169" i="44"/>
  <c r="E168" i="44"/>
  <c r="E167" i="44"/>
  <c r="E166" i="44"/>
  <c r="E165" i="44"/>
  <c r="E164" i="44"/>
  <c r="E163" i="44"/>
  <c r="E162" i="44"/>
  <c r="E161" i="44"/>
  <c r="E160" i="44"/>
  <c r="E159" i="44"/>
  <c r="E158" i="44"/>
  <c r="E157" i="44"/>
  <c r="E156" i="44"/>
  <c r="E155" i="44"/>
  <c r="E154" i="44"/>
  <c r="E153" i="44"/>
  <c r="E152" i="44"/>
  <c r="E151" i="44"/>
  <c r="E150" i="44"/>
  <c r="E149" i="44"/>
  <c r="E148" i="44"/>
  <c r="E147" i="44"/>
  <c r="E146" i="44"/>
  <c r="E145" i="44"/>
  <c r="E144" i="44"/>
  <c r="E143" i="44"/>
  <c r="E142" i="44"/>
  <c r="E141" i="44"/>
  <c r="E140" i="44"/>
  <c r="E139" i="44"/>
  <c r="E138" i="44"/>
  <c r="E137" i="44"/>
  <c r="E136" i="44"/>
  <c r="E135" i="44"/>
  <c r="E134" i="44"/>
  <c r="E133" i="44"/>
  <c r="E132" i="44"/>
  <c r="E131" i="44"/>
  <c r="E130" i="44"/>
  <c r="E129" i="44"/>
  <c r="E128" i="44"/>
  <c r="E127" i="44"/>
  <c r="E126" i="44"/>
  <c r="E125" i="44"/>
  <c r="E124" i="44"/>
  <c r="E123" i="44"/>
  <c r="E122" i="44"/>
  <c r="E121" i="44"/>
  <c r="E120" i="44"/>
  <c r="E119" i="44"/>
  <c r="E118" i="44"/>
  <c r="E117" i="44"/>
  <c r="E116" i="44"/>
  <c r="E115" i="44"/>
  <c r="E114" i="44"/>
  <c r="E113" i="44"/>
  <c r="E112" i="44"/>
  <c r="E111" i="44"/>
  <c r="E110" i="44"/>
  <c r="E109" i="44"/>
  <c r="E108" i="44"/>
  <c r="E107" i="44"/>
  <c r="E106" i="44"/>
  <c r="E105" i="44"/>
  <c r="E104" i="44"/>
  <c r="E103" i="44"/>
  <c r="E102" i="44"/>
  <c r="E101" i="44"/>
  <c r="E100" i="44"/>
  <c r="E99" i="44"/>
  <c r="E98" i="44"/>
  <c r="E97" i="44"/>
  <c r="E96" i="44"/>
  <c r="E95" i="44"/>
  <c r="E94" i="44"/>
  <c r="E93" i="44"/>
  <c r="E92" i="44"/>
  <c r="E91" i="44"/>
  <c r="E90" i="44"/>
  <c r="E89" i="44"/>
  <c r="E88" i="44"/>
  <c r="E87" i="44"/>
  <c r="E86" i="44"/>
  <c r="E85" i="44"/>
  <c r="E84" i="44"/>
  <c r="E83" i="44"/>
  <c r="E82" i="44"/>
  <c r="E81" i="44"/>
  <c r="E80" i="44"/>
  <c r="E79" i="44"/>
  <c r="E78" i="44"/>
  <c r="E77" i="44"/>
  <c r="E76" i="44"/>
  <c r="E75" i="44"/>
  <c r="E74" i="44"/>
  <c r="E73" i="44"/>
  <c r="E72" i="44"/>
  <c r="E71" i="44"/>
  <c r="E70" i="44"/>
  <c r="E69" i="44"/>
  <c r="E68" i="44"/>
  <c r="E67" i="44"/>
  <c r="E66" i="44"/>
  <c r="E65" i="44"/>
  <c r="E64" i="44"/>
  <c r="E63" i="44"/>
  <c r="E62" i="44"/>
  <c r="E61" i="44"/>
  <c r="E60" i="44"/>
  <c r="E59" i="44"/>
  <c r="E58" i="44"/>
  <c r="E57" i="44"/>
  <c r="E56" i="44"/>
  <c r="E55" i="44"/>
  <c r="E54" i="44"/>
  <c r="E53" i="44"/>
  <c r="E52" i="44"/>
  <c r="E51" i="44"/>
  <c r="E50" i="44"/>
  <c r="E49" i="44"/>
  <c r="E48" i="44"/>
  <c r="E47" i="44"/>
  <c r="E46" i="44"/>
  <c r="E45" i="44"/>
  <c r="E44" i="44"/>
  <c r="E43" i="44"/>
  <c r="E42" i="44"/>
  <c r="E41" i="44"/>
  <c r="E40" i="44"/>
  <c r="E39" i="44"/>
  <c r="E38" i="44"/>
  <c r="E37" i="44"/>
  <c r="E35" i="44"/>
  <c r="E34" i="44"/>
  <c r="E33" i="44"/>
  <c r="E32" i="44"/>
  <c r="E31" i="44"/>
  <c r="E30" i="44"/>
  <c r="E29" i="44"/>
  <c r="E28" i="44"/>
  <c r="E27" i="44"/>
  <c r="E26" i="44"/>
  <c r="E25" i="44"/>
  <c r="E24" i="44"/>
  <c r="E23" i="44"/>
  <c r="E22" i="44"/>
  <c r="E21" i="44"/>
  <c r="E20" i="44"/>
  <c r="E19" i="44"/>
  <c r="E18" i="44"/>
  <c r="E17" i="44"/>
  <c r="E16" i="44"/>
  <c r="E15" i="44"/>
  <c r="E14" i="44"/>
  <c r="E13" i="44"/>
  <c r="E12" i="44"/>
  <c r="E11" i="44"/>
  <c r="E10" i="44"/>
  <c r="E9" i="44"/>
  <c r="E8" i="44"/>
  <c r="E7" i="44"/>
  <c r="E6" i="44"/>
  <c r="AL10" i="21"/>
  <c r="AL7" i="21" s="1"/>
  <c r="AM19" i="18"/>
  <c r="AM18" i="18"/>
  <c r="AM17" i="18"/>
  <c r="AM16" i="18"/>
  <c r="AM15" i="18"/>
  <c r="AM14" i="18"/>
  <c r="AM13" i="18"/>
  <c r="AM12" i="18"/>
  <c r="AM11" i="18"/>
  <c r="AM10" i="18"/>
  <c r="AM9" i="18"/>
  <c r="AM8" i="18"/>
  <c r="AM7" i="18"/>
  <c r="V6" i="17"/>
  <c r="V16" i="46"/>
  <c r="V15" i="46"/>
  <c r="I371" i="44" l="1"/>
  <c r="AX36" i="48"/>
  <c r="BC36" i="48"/>
  <c r="BA36" i="48" s="1"/>
  <c r="BA34" i="48"/>
  <c r="AM11" i="21"/>
  <c r="AM7" i="21"/>
  <c r="AM9" i="21"/>
  <c r="AM13" i="21"/>
  <c r="AM8" i="21"/>
  <c r="AM12" i="21"/>
  <c r="AM10" i="21"/>
  <c r="AR38" i="47"/>
  <c r="AR31" i="47"/>
  <c r="AR20" i="47"/>
  <c r="AV38" i="47"/>
  <c r="AV31" i="47"/>
  <c r="AV20" i="47"/>
  <c r="W36" i="47"/>
  <c r="W35" i="47"/>
  <c r="W34" i="47"/>
  <c r="W33" i="47"/>
  <c r="W32" i="47"/>
  <c r="W29" i="47"/>
  <c r="W28" i="47"/>
  <c r="W27" i="47"/>
  <c r="W26" i="47"/>
  <c r="W25" i="47"/>
  <c r="W23" i="47"/>
  <c r="W22" i="47"/>
  <c r="W21" i="47"/>
  <c r="W18" i="47"/>
  <c r="W17" i="47"/>
  <c r="W16" i="47"/>
  <c r="W15" i="47"/>
  <c r="W14" i="47"/>
  <c r="W13" i="47"/>
  <c r="W12" i="47"/>
  <c r="W6" i="47"/>
  <c r="S38" i="47"/>
  <c r="S31" i="47"/>
  <c r="S20" i="47"/>
  <c r="X33" i="49"/>
  <c r="W38" i="47" l="1"/>
  <c r="W20" i="47"/>
  <c r="W31" i="47"/>
  <c r="Y31" i="49" l="1"/>
  <c r="W31" i="49"/>
  <c r="R31" i="49"/>
  <c r="T31" i="49"/>
  <c r="S16" i="49" l="1"/>
  <c r="Y16" i="49"/>
  <c r="W16" i="49"/>
  <c r="T16" i="49"/>
  <c r="R16" i="49"/>
  <c r="E4" i="22" l="1"/>
  <c r="D4" i="22"/>
  <c r="F4" i="21"/>
  <c r="D4" i="21"/>
  <c r="F4" i="18"/>
  <c r="E4" i="17"/>
  <c r="D4" i="18"/>
  <c r="D4" i="17"/>
  <c r="AB6" i="17" l="1"/>
  <c r="AA6" i="17"/>
  <c r="Z6" i="17"/>
  <c r="Y6" i="17"/>
  <c r="X6" i="17"/>
  <c r="W6" i="17"/>
  <c r="U6" i="17" l="1"/>
  <c r="F35" i="49" l="1"/>
  <c r="Y33" i="49"/>
  <c r="W33" i="49"/>
  <c r="F31" i="49"/>
  <c r="F29" i="49"/>
  <c r="F13" i="49"/>
  <c r="B1" i="49"/>
  <c r="F23" i="49" l="1"/>
  <c r="F10" i="49"/>
  <c r="F26" i="49"/>
  <c r="F14" i="49"/>
  <c r="F7" i="49"/>
  <c r="F12" i="49"/>
  <c r="F27" i="49"/>
  <c r="F15" i="49"/>
  <c r="F22" i="49"/>
  <c r="F30" i="49"/>
  <c r="F11" i="49"/>
  <c r="F28" i="49"/>
  <c r="F6" i="49"/>
  <c r="F16" i="49"/>
  <c r="D33" i="49"/>
  <c r="F33" i="49" s="1"/>
  <c r="F21" i="49"/>
  <c r="F25" i="49"/>
  <c r="F34" i="49"/>
  <c r="F8" i="49" l="1"/>
  <c r="Z31" i="48" l="1"/>
  <c r="X31" i="48" s="1"/>
  <c r="AI21" i="48"/>
  <c r="F21" i="48"/>
  <c r="AI17" i="48"/>
  <c r="AH5" i="48"/>
  <c r="AG5" i="48"/>
  <c r="AH4" i="48"/>
  <c r="AG4" i="48"/>
  <c r="B1" i="48"/>
  <c r="AE1" i="48" s="1"/>
  <c r="AT38" i="47"/>
  <c r="AS38" i="47"/>
  <c r="U38" i="47"/>
  <c r="T38" i="47"/>
  <c r="R38" i="47"/>
  <c r="AT31" i="47"/>
  <c r="AS31" i="47"/>
  <c r="R31" i="47"/>
  <c r="AE29" i="47"/>
  <c r="U29" i="47"/>
  <c r="T29" i="47"/>
  <c r="AE27" i="47"/>
  <c r="AE23" i="47"/>
  <c r="AE21" i="47"/>
  <c r="AT20" i="47"/>
  <c r="AS20" i="47"/>
  <c r="U20" i="47"/>
  <c r="T20" i="47"/>
  <c r="R20" i="47"/>
  <c r="AE18" i="47"/>
  <c r="AE17" i="47"/>
  <c r="AE16" i="47"/>
  <c r="AE15" i="47"/>
  <c r="AE13" i="47"/>
  <c r="AE12" i="47"/>
  <c r="AE6" i="47"/>
  <c r="AD5" i="47"/>
  <c r="AC5" i="47"/>
  <c r="AD4" i="47"/>
  <c r="AC4" i="47"/>
  <c r="B1" i="47"/>
  <c r="AA1" i="47" s="1"/>
  <c r="T31" i="47" l="1"/>
  <c r="U31" i="47"/>
  <c r="AE26" i="47"/>
  <c r="AE28" i="47"/>
  <c r="AE14" i="47"/>
  <c r="AE22" i="47"/>
  <c r="AI27" i="48"/>
  <c r="AI19" i="48"/>
  <c r="AI8" i="48"/>
  <c r="AI18" i="48"/>
  <c r="AI23" i="48"/>
  <c r="AI26" i="48"/>
  <c r="AI12" i="48"/>
  <c r="AI16" i="48"/>
  <c r="AI7" i="48"/>
  <c r="AI11" i="48"/>
  <c r="AI13" i="48"/>
  <c r="AI33" i="48"/>
  <c r="AI25" i="48"/>
  <c r="AI28" i="48"/>
  <c r="AI32" i="48"/>
  <c r="AI20" i="48"/>
  <c r="AI35" i="48"/>
  <c r="F18" i="47"/>
  <c r="F14" i="47"/>
  <c r="F17" i="47"/>
  <c r="F13" i="47"/>
  <c r="F16" i="47"/>
  <c r="V31" i="47"/>
  <c r="V38" i="47"/>
  <c r="V20" i="47"/>
  <c r="F26" i="48"/>
  <c r="F27" i="48"/>
  <c r="F28" i="48"/>
  <c r="F8" i="48"/>
  <c r="Z15" i="48"/>
  <c r="X15" i="48" s="1"/>
  <c r="F12" i="48"/>
  <c r="F24" i="48"/>
  <c r="F16" i="48"/>
  <c r="F17" i="48"/>
  <c r="F19" i="48"/>
  <c r="F13" i="48"/>
  <c r="F35" i="48"/>
  <c r="F18" i="48"/>
  <c r="F23" i="48"/>
  <c r="F7" i="48"/>
  <c r="F33" i="48"/>
  <c r="Z6" i="48"/>
  <c r="X6" i="48" s="1"/>
  <c r="Z10" i="48"/>
  <c r="X10" i="48" s="1"/>
  <c r="Z22" i="48"/>
  <c r="X22" i="48" s="1"/>
  <c r="AI24" i="48"/>
  <c r="F11" i="48"/>
  <c r="AE31" i="47" l="1"/>
  <c r="AI10" i="48"/>
  <c r="AI31" i="48"/>
  <c r="AE38" i="47"/>
  <c r="AE20" i="47"/>
  <c r="AI22" i="48"/>
  <c r="AI15" i="48"/>
  <c r="F38" i="47"/>
  <c r="F31" i="47"/>
  <c r="F20" i="47"/>
  <c r="F6" i="47"/>
  <c r="F22" i="48"/>
  <c r="F31" i="48"/>
  <c r="F32" i="48"/>
  <c r="F25" i="48"/>
  <c r="F20" i="48"/>
  <c r="F10" i="48"/>
  <c r="AI6" i="48"/>
  <c r="Z30" i="48"/>
  <c r="F6" i="48"/>
  <c r="U16" i="46"/>
  <c r="U15" i="46"/>
  <c r="Z34" i="48" l="1"/>
  <c r="X30" i="48"/>
  <c r="F15" i="48"/>
  <c r="AI30" i="48"/>
  <c r="AB16" i="46"/>
  <c r="AA16" i="46"/>
  <c r="Z16" i="46"/>
  <c r="Y16" i="46"/>
  <c r="W16" i="46"/>
  <c r="AB15" i="46"/>
  <c r="AA15" i="46"/>
  <c r="Z15" i="46"/>
  <c r="Y15" i="46"/>
  <c r="W15" i="46"/>
  <c r="F13" i="46"/>
  <c r="X12" i="46"/>
  <c r="X11" i="46"/>
  <c r="X8" i="46"/>
  <c r="F8" i="46"/>
  <c r="X7" i="46"/>
  <c r="B1" i="46"/>
  <c r="Z36" i="48" l="1"/>
  <c r="X36" i="48" s="1"/>
  <c r="X34" i="48"/>
  <c r="X16" i="46"/>
  <c r="X15" i="46"/>
  <c r="F30" i="48"/>
  <c r="F36" i="48"/>
  <c r="AI36" i="48"/>
  <c r="AI34" i="48"/>
  <c r="F7" i="46"/>
  <c r="F12" i="46"/>
  <c r="F11" i="46"/>
  <c r="F16" i="46" l="1"/>
  <c r="F15" i="46"/>
  <c r="F34" i="48"/>
  <c r="AK19" i="18" l="1"/>
  <c r="AK18" i="18"/>
  <c r="AK17" i="18"/>
  <c r="AK16" i="18"/>
  <c r="AK15" i="18"/>
  <c r="AK14" i="18"/>
  <c r="AK13" i="18"/>
  <c r="AK12" i="18"/>
  <c r="AK11" i="18"/>
  <c r="AK10" i="18"/>
  <c r="AK9" i="18"/>
  <c r="AK8" i="18"/>
  <c r="AK7" i="18"/>
  <c r="AJ7" i="21" l="1"/>
  <c r="D370" i="44"/>
  <c r="D369" i="44"/>
  <c r="D368" i="44"/>
  <c r="D367" i="44"/>
  <c r="D366" i="44"/>
  <c r="D365" i="44"/>
  <c r="D364" i="44"/>
  <c r="D363" i="44"/>
  <c r="D362" i="44"/>
  <c r="D361" i="44"/>
  <c r="D359" i="44"/>
  <c r="D358" i="44"/>
  <c r="D357" i="44"/>
  <c r="D356" i="44"/>
  <c r="D355" i="44"/>
  <c r="D354" i="44"/>
  <c r="D353" i="44"/>
  <c r="D352" i="44"/>
  <c r="D351" i="44"/>
  <c r="D350" i="44"/>
  <c r="D349" i="44"/>
  <c r="D348" i="44"/>
  <c r="D347" i="44"/>
  <c r="D346" i="44"/>
  <c r="D345" i="44"/>
  <c r="D344" i="44"/>
  <c r="D343" i="44"/>
  <c r="D342" i="44"/>
  <c r="D341" i="44"/>
  <c r="D340" i="44"/>
  <c r="D339" i="44"/>
  <c r="D338" i="44"/>
  <c r="D337" i="44"/>
  <c r="D336" i="44"/>
  <c r="D335" i="44"/>
  <c r="D334" i="44"/>
  <c r="D333" i="44"/>
  <c r="D332" i="44"/>
  <c r="D331" i="44"/>
  <c r="D330" i="44"/>
  <c r="D329" i="44"/>
  <c r="D328" i="44"/>
  <c r="D327" i="44"/>
  <c r="D326" i="44"/>
  <c r="D325" i="44"/>
  <c r="D324" i="44"/>
  <c r="D323" i="44"/>
  <c r="D322" i="44"/>
  <c r="D321" i="44"/>
  <c r="D320" i="44"/>
  <c r="D319" i="44"/>
  <c r="D318" i="44"/>
  <c r="D317" i="44"/>
  <c r="D316" i="44"/>
  <c r="D315" i="44"/>
  <c r="D314" i="44"/>
  <c r="D313" i="44"/>
  <c r="D312" i="44"/>
  <c r="D311" i="44"/>
  <c r="D310" i="44"/>
  <c r="D309" i="44"/>
  <c r="D308" i="44"/>
  <c r="D307" i="44"/>
  <c r="D306" i="44"/>
  <c r="D305" i="44"/>
  <c r="D304" i="44"/>
  <c r="D303" i="44"/>
  <c r="D302" i="44"/>
  <c r="D301" i="44"/>
  <c r="D300" i="44"/>
  <c r="D299" i="44"/>
  <c r="D298" i="44"/>
  <c r="D297" i="44"/>
  <c r="D296" i="44"/>
  <c r="D295" i="44"/>
  <c r="D294" i="44"/>
  <c r="D293" i="44"/>
  <c r="D292" i="44"/>
  <c r="D291" i="44"/>
  <c r="D290" i="44"/>
  <c r="D289" i="44"/>
  <c r="D288" i="44"/>
  <c r="D287" i="44"/>
  <c r="D286" i="44"/>
  <c r="D285" i="44"/>
  <c r="D284" i="44"/>
  <c r="D283" i="44"/>
  <c r="D282" i="44"/>
  <c r="D281" i="44"/>
  <c r="D280" i="44"/>
  <c r="D279" i="44"/>
  <c r="D278" i="44"/>
  <c r="D277" i="44"/>
  <c r="D276" i="44"/>
  <c r="D275" i="44"/>
  <c r="D274" i="44"/>
  <c r="D273" i="44"/>
  <c r="D272" i="44"/>
  <c r="D271" i="44"/>
  <c r="D270" i="44"/>
  <c r="D269" i="44"/>
  <c r="D268" i="44"/>
  <c r="D267" i="44"/>
  <c r="D266" i="44"/>
  <c r="D265" i="44"/>
  <c r="D264" i="44"/>
  <c r="D263" i="44"/>
  <c r="D262" i="44"/>
  <c r="D261" i="44"/>
  <c r="D260" i="44"/>
  <c r="D259" i="44"/>
  <c r="D258" i="44"/>
  <c r="D257" i="44"/>
  <c r="D256" i="44"/>
  <c r="D255" i="44"/>
  <c r="D254" i="44"/>
  <c r="D253" i="44"/>
  <c r="D252" i="44"/>
  <c r="D251" i="44"/>
  <c r="D250" i="44"/>
  <c r="D249" i="44"/>
  <c r="D248" i="44"/>
  <c r="D247" i="44"/>
  <c r="D246" i="44"/>
  <c r="D245" i="44"/>
  <c r="D244" i="44"/>
  <c r="D243" i="44"/>
  <c r="D242" i="44"/>
  <c r="D241" i="44"/>
  <c r="D240" i="44"/>
  <c r="D239" i="44"/>
  <c r="D238" i="44"/>
  <c r="D237" i="44"/>
  <c r="D236" i="44"/>
  <c r="D235" i="44"/>
  <c r="D234" i="44"/>
  <c r="D233" i="44"/>
  <c r="D232" i="44"/>
  <c r="D231" i="44"/>
  <c r="D230" i="44"/>
  <c r="D229" i="44"/>
  <c r="D228" i="44"/>
  <c r="D227" i="44"/>
  <c r="D226" i="44"/>
  <c r="D225" i="44"/>
  <c r="D224" i="44"/>
  <c r="D223" i="44"/>
  <c r="D222" i="44"/>
  <c r="D221" i="44"/>
  <c r="D220" i="44"/>
  <c r="D219" i="44"/>
  <c r="D218" i="44"/>
  <c r="D217" i="44"/>
  <c r="D216" i="44"/>
  <c r="D215" i="44"/>
  <c r="D214" i="44"/>
  <c r="D213" i="44"/>
  <c r="D212" i="44"/>
  <c r="D211" i="44"/>
  <c r="D210" i="44"/>
  <c r="D209" i="44"/>
  <c r="D208" i="44"/>
  <c r="D207" i="44"/>
  <c r="D206" i="44"/>
  <c r="D205" i="44"/>
  <c r="D204" i="44"/>
  <c r="D203" i="44"/>
  <c r="D202" i="44"/>
  <c r="D201" i="44"/>
  <c r="D200" i="44"/>
  <c r="D199" i="44"/>
  <c r="D198" i="44"/>
  <c r="D197" i="44"/>
  <c r="D196" i="44"/>
  <c r="D195" i="44"/>
  <c r="D194" i="44"/>
  <c r="D193" i="44"/>
  <c r="D192" i="44"/>
  <c r="D191" i="44"/>
  <c r="D190" i="44"/>
  <c r="D189" i="44"/>
  <c r="D188" i="44"/>
  <c r="D187" i="44"/>
  <c r="D186" i="44"/>
  <c r="D185" i="44"/>
  <c r="D184" i="44"/>
  <c r="D183" i="44"/>
  <c r="D182" i="44"/>
  <c r="D181" i="44"/>
  <c r="D180" i="44"/>
  <c r="D179" i="44"/>
  <c r="D178" i="44"/>
  <c r="D177" i="44"/>
  <c r="D176" i="44"/>
  <c r="D175" i="44"/>
  <c r="D174" i="44"/>
  <c r="D173" i="44"/>
  <c r="D172" i="44"/>
  <c r="D171" i="44"/>
  <c r="D170" i="44"/>
  <c r="D169" i="44"/>
  <c r="D168" i="44"/>
  <c r="D167" i="44"/>
  <c r="D166" i="44"/>
  <c r="D165" i="44"/>
  <c r="D164" i="44"/>
  <c r="D163" i="44"/>
  <c r="D162" i="44"/>
  <c r="D161" i="44"/>
  <c r="D160" i="44"/>
  <c r="D159" i="44"/>
  <c r="D158" i="44"/>
  <c r="D157" i="44"/>
  <c r="D156" i="44"/>
  <c r="D155" i="44"/>
  <c r="D154" i="44"/>
  <c r="D153" i="44"/>
  <c r="D152" i="44"/>
  <c r="D151" i="44"/>
  <c r="D150" i="44"/>
  <c r="D149" i="44"/>
  <c r="D148" i="44"/>
  <c r="D147" i="44"/>
  <c r="D146" i="44"/>
  <c r="D145" i="44"/>
  <c r="D144" i="44"/>
  <c r="D143" i="44"/>
  <c r="D142" i="44"/>
  <c r="D141" i="44"/>
  <c r="D140" i="44"/>
  <c r="D139" i="44"/>
  <c r="D138" i="44"/>
  <c r="D137" i="44"/>
  <c r="D136" i="44"/>
  <c r="D135" i="44"/>
  <c r="D134" i="44"/>
  <c r="D133" i="44"/>
  <c r="D132" i="44"/>
  <c r="D131" i="44"/>
  <c r="D130" i="44"/>
  <c r="D129" i="44"/>
  <c r="D128" i="44"/>
  <c r="D127" i="44"/>
  <c r="D126" i="44"/>
  <c r="D125" i="44"/>
  <c r="D124" i="44"/>
  <c r="D123" i="44"/>
  <c r="D122" i="44"/>
  <c r="D121" i="44"/>
  <c r="D120" i="44"/>
  <c r="D119" i="44"/>
  <c r="D118" i="44"/>
  <c r="D117" i="44"/>
  <c r="D116" i="44"/>
  <c r="D115" i="44"/>
  <c r="D114" i="44"/>
  <c r="D113" i="44"/>
  <c r="D112" i="44"/>
  <c r="D111" i="44"/>
  <c r="D110" i="44"/>
  <c r="D109" i="44"/>
  <c r="D108" i="44"/>
  <c r="D107" i="44"/>
  <c r="D106" i="44"/>
  <c r="D105" i="44"/>
  <c r="D104" i="44"/>
  <c r="D103" i="44"/>
  <c r="D102" i="44"/>
  <c r="D101" i="44"/>
  <c r="D100" i="44"/>
  <c r="D99" i="44"/>
  <c r="D98" i="44"/>
  <c r="D97" i="44"/>
  <c r="D96" i="44"/>
  <c r="D95" i="44"/>
  <c r="D94" i="44"/>
  <c r="D93" i="44"/>
  <c r="D92" i="44"/>
  <c r="D91" i="44"/>
  <c r="D90" i="44"/>
  <c r="D89" i="44"/>
  <c r="D88" i="44"/>
  <c r="D87" i="44"/>
  <c r="D86" i="44"/>
  <c r="D85" i="44"/>
  <c r="D84" i="44"/>
  <c r="D83" i="44"/>
  <c r="D82" i="44"/>
  <c r="D81" i="44"/>
  <c r="D80" i="44"/>
  <c r="D79" i="44"/>
  <c r="D78" i="44"/>
  <c r="D77" i="44"/>
  <c r="D76" i="44"/>
  <c r="D75" i="44"/>
  <c r="D74" i="44"/>
  <c r="D73" i="44"/>
  <c r="D72" i="44"/>
  <c r="D71" i="44"/>
  <c r="D70" i="44"/>
  <c r="D69" i="44"/>
  <c r="D68" i="44"/>
  <c r="D67" i="44"/>
  <c r="D66" i="44"/>
  <c r="D65" i="44"/>
  <c r="D64" i="44"/>
  <c r="D63" i="44"/>
  <c r="D62" i="44"/>
  <c r="D61" i="44"/>
  <c r="D60" i="44"/>
  <c r="D59" i="44"/>
  <c r="D58" i="44"/>
  <c r="D57" i="44"/>
  <c r="D56" i="44"/>
  <c r="D55" i="44"/>
  <c r="D54" i="44"/>
  <c r="D53" i="44"/>
  <c r="D52" i="44"/>
  <c r="D51" i="44"/>
  <c r="D50" i="44"/>
  <c r="D49" i="44"/>
  <c r="D48" i="44"/>
  <c r="D47" i="44"/>
  <c r="D46" i="44"/>
  <c r="D45" i="44"/>
  <c r="D44" i="44"/>
  <c r="D43" i="44"/>
  <c r="D42" i="44"/>
  <c r="D41" i="44"/>
  <c r="D40" i="44"/>
  <c r="D39" i="44"/>
  <c r="D38" i="44"/>
  <c r="D37" i="44"/>
  <c r="D35" i="44"/>
  <c r="D34" i="44"/>
  <c r="D33" i="44"/>
  <c r="D32" i="44"/>
  <c r="D31" i="44"/>
  <c r="D30" i="44"/>
  <c r="D29" i="44"/>
  <c r="D28" i="44"/>
  <c r="D27" i="44"/>
  <c r="D26" i="44"/>
  <c r="D25" i="44"/>
  <c r="D24" i="44"/>
  <c r="D23" i="44"/>
  <c r="D22" i="44"/>
  <c r="D21" i="44"/>
  <c r="D20" i="44"/>
  <c r="D19" i="44"/>
  <c r="D18" i="44"/>
  <c r="D17" i="44"/>
  <c r="D16" i="44"/>
  <c r="D15" i="44"/>
  <c r="D14" i="44"/>
  <c r="D13" i="44"/>
  <c r="D12" i="44"/>
  <c r="D11" i="44"/>
  <c r="D10" i="44"/>
  <c r="D9" i="44"/>
  <c r="D8" i="44"/>
  <c r="D7" i="44"/>
  <c r="D6" i="44"/>
  <c r="H371" i="44"/>
  <c r="AK13" i="21" l="1"/>
  <c r="AK8" i="21"/>
  <c r="AK9" i="21"/>
  <c r="AK12" i="21"/>
  <c r="AK7" i="21"/>
  <c r="AK11" i="21"/>
  <c r="AK10" i="21"/>
  <c r="D319" i="45" l="1"/>
  <c r="D316" i="45"/>
  <c r="D315" i="45"/>
  <c r="D314" i="45"/>
  <c r="D313" i="45"/>
  <c r="D312" i="45"/>
  <c r="D311" i="45"/>
  <c r="D310" i="45"/>
  <c r="D309" i="45"/>
  <c r="D308" i="45"/>
  <c r="D307" i="45"/>
  <c r="D306" i="45"/>
  <c r="D305" i="45"/>
  <c r="D304" i="45"/>
  <c r="D303" i="45"/>
  <c r="D302" i="45"/>
  <c r="D301" i="45"/>
  <c r="D300" i="45"/>
  <c r="D299" i="45"/>
  <c r="D298" i="45"/>
  <c r="D295" i="45"/>
  <c r="D294" i="45"/>
  <c r="D293" i="45"/>
  <c r="D292" i="45"/>
  <c r="D291" i="45"/>
  <c r="D290" i="45"/>
  <c r="D289" i="45"/>
  <c r="D288" i="45"/>
  <c r="D287" i="45"/>
  <c r="D286" i="45"/>
  <c r="D285" i="45"/>
  <c r="D284" i="45"/>
  <c r="D283" i="45"/>
  <c r="D282" i="45"/>
  <c r="D281" i="45"/>
  <c r="D280" i="45"/>
  <c r="D279" i="45"/>
  <c r="D278" i="45"/>
  <c r="D277" i="45"/>
  <c r="D276" i="45"/>
  <c r="D275" i="45"/>
  <c r="D274" i="45"/>
  <c r="D273" i="45"/>
  <c r="D272" i="45"/>
  <c r="D271" i="45"/>
  <c r="D270" i="45"/>
  <c r="D269" i="45"/>
  <c r="D268" i="45"/>
  <c r="D267" i="45"/>
  <c r="D266" i="45"/>
  <c r="D265" i="45"/>
  <c r="D264" i="45"/>
  <c r="D263" i="45"/>
  <c r="D262" i="45"/>
  <c r="D261" i="45"/>
  <c r="D260" i="45"/>
  <c r="D259" i="45"/>
  <c r="D258" i="45"/>
  <c r="D257" i="45"/>
  <c r="D256" i="45"/>
  <c r="D255" i="45"/>
  <c r="D254" i="45"/>
  <c r="D253" i="45"/>
  <c r="D252" i="45"/>
  <c r="D251" i="45"/>
  <c r="D250" i="45"/>
  <c r="D249" i="45"/>
  <c r="D248" i="45"/>
  <c r="D247" i="45"/>
  <c r="D246" i="45"/>
  <c r="D245" i="45"/>
  <c r="D244" i="45"/>
  <c r="D243" i="45"/>
  <c r="D242" i="45"/>
  <c r="D241" i="45"/>
  <c r="D240" i="45"/>
  <c r="D239" i="45"/>
  <c r="D238" i="45"/>
  <c r="D237" i="45"/>
  <c r="D236" i="45"/>
  <c r="D235" i="45"/>
  <c r="D234" i="45"/>
  <c r="D233" i="45"/>
  <c r="D232" i="45"/>
  <c r="D231" i="45"/>
  <c r="D230" i="45"/>
  <c r="D229" i="45"/>
  <c r="D228" i="45"/>
  <c r="D227" i="45"/>
  <c r="D226" i="45"/>
  <c r="D225" i="45"/>
  <c r="D224" i="45"/>
  <c r="D223" i="45"/>
  <c r="D222" i="45"/>
  <c r="D221" i="45"/>
  <c r="D220" i="45"/>
  <c r="D219" i="45"/>
  <c r="D218" i="45"/>
  <c r="D217" i="45"/>
  <c r="D216" i="45"/>
  <c r="D215" i="45"/>
  <c r="D214" i="45"/>
  <c r="D213" i="45"/>
  <c r="D212" i="45"/>
  <c r="D211" i="45"/>
  <c r="D210" i="45"/>
  <c r="D209" i="45"/>
  <c r="D208" i="45"/>
  <c r="D207" i="45"/>
  <c r="D206" i="45"/>
  <c r="D205" i="45"/>
  <c r="D204" i="45"/>
  <c r="D203" i="45"/>
  <c r="D202" i="45"/>
  <c r="D201" i="45"/>
  <c r="D200" i="45"/>
  <c r="D199" i="45"/>
  <c r="D198" i="45"/>
  <c r="D197" i="45"/>
  <c r="D196" i="45"/>
  <c r="D195" i="45"/>
  <c r="D194" i="45"/>
  <c r="D193" i="45"/>
  <c r="D192" i="45"/>
  <c r="D191" i="45"/>
  <c r="D190" i="45"/>
  <c r="D189" i="45"/>
  <c r="D188" i="45"/>
  <c r="D187" i="45"/>
  <c r="D186" i="45"/>
  <c r="D185" i="45"/>
  <c r="D184" i="45"/>
  <c r="D183" i="45"/>
  <c r="D182" i="45"/>
  <c r="D181" i="45"/>
  <c r="D180" i="45"/>
  <c r="D179" i="45"/>
  <c r="D178" i="45"/>
  <c r="D177" i="45"/>
  <c r="D176" i="45"/>
  <c r="D175" i="45"/>
  <c r="D174" i="45"/>
  <c r="D173" i="45"/>
  <c r="D172" i="45"/>
  <c r="D171" i="45"/>
  <c r="D170" i="45"/>
  <c r="D169" i="45"/>
  <c r="D168" i="45"/>
  <c r="D167" i="45"/>
  <c r="D166" i="45"/>
  <c r="D165" i="45"/>
  <c r="D164" i="45"/>
  <c r="D163" i="45"/>
  <c r="D162" i="45"/>
  <c r="D161" i="45"/>
  <c r="D160" i="45"/>
  <c r="D159" i="45"/>
  <c r="D158" i="45"/>
  <c r="D157" i="45"/>
  <c r="D156" i="45"/>
  <c r="D155" i="45"/>
  <c r="D154" i="45"/>
  <c r="D153" i="45"/>
  <c r="D152" i="45"/>
  <c r="D151" i="45"/>
  <c r="D150" i="45"/>
  <c r="D149" i="45"/>
  <c r="D148" i="45"/>
  <c r="D147" i="45"/>
  <c r="D146" i="45"/>
  <c r="D145" i="45"/>
  <c r="D144" i="45"/>
  <c r="D143" i="45"/>
  <c r="D142" i="45"/>
  <c r="D141" i="45"/>
  <c r="D140" i="45"/>
  <c r="D139" i="45"/>
  <c r="D138" i="45"/>
  <c r="D137" i="45"/>
  <c r="D136" i="45"/>
  <c r="D135" i="45"/>
  <c r="D134" i="45"/>
  <c r="D133" i="45"/>
  <c r="D132" i="45"/>
  <c r="D131" i="45"/>
  <c r="D130" i="45"/>
  <c r="D129" i="45"/>
  <c r="D128" i="45"/>
  <c r="D127" i="45"/>
  <c r="D126" i="45"/>
  <c r="D125" i="45"/>
  <c r="D124" i="45"/>
  <c r="D123" i="45"/>
  <c r="D122" i="45"/>
  <c r="D121" i="45"/>
  <c r="D120" i="45"/>
  <c r="D119" i="45"/>
  <c r="D118" i="45"/>
  <c r="D117" i="45"/>
  <c r="D116" i="45"/>
  <c r="D115" i="45"/>
  <c r="D114" i="45"/>
  <c r="D113" i="45"/>
  <c r="D112" i="45"/>
  <c r="D111" i="45"/>
  <c r="D110" i="45"/>
  <c r="D109" i="45"/>
  <c r="D108" i="45"/>
  <c r="D107" i="45"/>
  <c r="D106" i="45"/>
  <c r="D105" i="45"/>
  <c r="D104" i="45"/>
  <c r="D103" i="45"/>
  <c r="D102" i="45"/>
  <c r="D101" i="45"/>
  <c r="D100" i="45"/>
  <c r="D99" i="45"/>
  <c r="D98" i="45"/>
  <c r="D97" i="45"/>
  <c r="D96" i="45"/>
  <c r="D95" i="45"/>
  <c r="D94" i="45"/>
  <c r="D93" i="45"/>
  <c r="D92" i="45"/>
  <c r="D91" i="45"/>
  <c r="D90" i="45"/>
  <c r="D89" i="45"/>
  <c r="D88" i="45"/>
  <c r="D87" i="45"/>
  <c r="D86" i="45"/>
  <c r="D85" i="45"/>
  <c r="D84" i="45"/>
  <c r="D83" i="45"/>
  <c r="D82" i="45"/>
  <c r="D81" i="45"/>
  <c r="D80" i="45"/>
  <c r="D79" i="45"/>
  <c r="D78" i="45"/>
  <c r="D77" i="45"/>
  <c r="D76" i="45"/>
  <c r="D75" i="45"/>
  <c r="D74" i="45"/>
  <c r="D73" i="45"/>
  <c r="D72" i="45"/>
  <c r="D71" i="45"/>
  <c r="D70" i="45"/>
  <c r="D69" i="45"/>
  <c r="D68" i="45"/>
  <c r="D67" i="45"/>
  <c r="D66" i="45"/>
  <c r="D65" i="45"/>
  <c r="D64" i="45"/>
  <c r="D63" i="45"/>
  <c r="D62" i="45"/>
  <c r="D61" i="45"/>
  <c r="D60" i="45"/>
  <c r="D59" i="45"/>
  <c r="D58" i="45"/>
  <c r="D57" i="45"/>
  <c r="D56" i="45"/>
  <c r="D55" i="45"/>
  <c r="D54" i="45"/>
  <c r="D53" i="45"/>
  <c r="D52" i="45"/>
  <c r="D51" i="45"/>
  <c r="D50" i="45"/>
  <c r="D49" i="45"/>
  <c r="D48" i="45"/>
  <c r="D47" i="45"/>
  <c r="D46" i="45"/>
  <c r="D45" i="45"/>
  <c r="D44" i="45"/>
  <c r="D43" i="45"/>
  <c r="D42" i="45"/>
  <c r="D41" i="45"/>
  <c r="D40" i="45"/>
  <c r="D39" i="45"/>
  <c r="D38" i="45"/>
  <c r="D37" i="45"/>
  <c r="D36" i="45"/>
  <c r="D35" i="45"/>
  <c r="D34" i="45"/>
  <c r="D33" i="45"/>
  <c r="D32" i="45"/>
  <c r="D31" i="45"/>
  <c r="D30" i="45"/>
  <c r="D29" i="45"/>
  <c r="D28" i="45"/>
  <c r="D27" i="45"/>
  <c r="D26" i="45"/>
  <c r="D25" i="45"/>
  <c r="D24" i="45"/>
  <c r="D23" i="45"/>
  <c r="D22" i="45"/>
  <c r="D21" i="45"/>
  <c r="D20" i="45"/>
  <c r="D19" i="45"/>
  <c r="D18" i="45"/>
  <c r="D17" i="45"/>
  <c r="D16" i="45"/>
  <c r="D15" i="45"/>
  <c r="D14" i="45"/>
  <c r="D13" i="45"/>
  <c r="D12" i="45"/>
  <c r="D11" i="45"/>
  <c r="D10" i="45"/>
  <c r="D9" i="45"/>
  <c r="D8" i="45"/>
  <c r="D7" i="45"/>
  <c r="D6" i="45"/>
  <c r="H318" i="45"/>
  <c r="H317" i="45"/>
  <c r="H316" i="45"/>
  <c r="H315" i="45"/>
  <c r="H314" i="45"/>
  <c r="H313" i="45"/>
  <c r="H312" i="45"/>
  <c r="H311" i="45"/>
  <c r="H310" i="45"/>
  <c r="H309" i="45"/>
  <c r="H308" i="45"/>
  <c r="H307" i="45"/>
  <c r="H306" i="45"/>
  <c r="H305" i="45"/>
  <c r="H304" i="45"/>
  <c r="H303" i="45"/>
  <c r="H302" i="45"/>
  <c r="H301" i="45"/>
  <c r="H300" i="45"/>
  <c r="H299" i="45"/>
  <c r="H298" i="45"/>
  <c r="H297" i="45"/>
  <c r="H296" i="45"/>
  <c r="H295" i="45"/>
  <c r="H294" i="45"/>
  <c r="H293" i="45"/>
  <c r="H292" i="45"/>
  <c r="H291" i="45"/>
  <c r="H290" i="45"/>
  <c r="H289" i="45"/>
  <c r="H288" i="45"/>
  <c r="H287" i="45"/>
  <c r="H286" i="45"/>
  <c r="H285" i="45"/>
  <c r="H284" i="45"/>
  <c r="H283" i="45"/>
  <c r="H282" i="45"/>
  <c r="H281" i="45"/>
  <c r="H280" i="45"/>
  <c r="H279" i="45"/>
  <c r="H278" i="45"/>
  <c r="H277" i="45"/>
  <c r="H276" i="45"/>
  <c r="H275" i="45"/>
  <c r="H274" i="45"/>
  <c r="H273" i="45"/>
  <c r="H272" i="45"/>
  <c r="H271" i="45"/>
  <c r="H270" i="45"/>
  <c r="H269" i="45"/>
  <c r="H268" i="45"/>
  <c r="H267" i="45"/>
  <c r="H266" i="45"/>
  <c r="H265" i="45"/>
  <c r="H264" i="45"/>
  <c r="H263" i="45"/>
  <c r="H262" i="45"/>
  <c r="H261" i="45"/>
  <c r="H260" i="45"/>
  <c r="H259" i="45"/>
  <c r="H258" i="45"/>
  <c r="H257" i="45"/>
  <c r="H256" i="45"/>
  <c r="H255" i="45"/>
  <c r="H254" i="45"/>
  <c r="H253" i="45"/>
  <c r="H252" i="45"/>
  <c r="H251" i="45"/>
  <c r="H250" i="45"/>
  <c r="H249" i="45"/>
  <c r="H248" i="45"/>
  <c r="H247" i="45"/>
  <c r="H246" i="45"/>
  <c r="H245" i="45"/>
  <c r="H244" i="45"/>
  <c r="H243" i="45"/>
  <c r="H242" i="45"/>
  <c r="H241" i="45"/>
  <c r="H240" i="45"/>
  <c r="H239" i="45"/>
  <c r="H238" i="45"/>
  <c r="H237" i="45"/>
  <c r="H236" i="45"/>
  <c r="H235" i="45"/>
  <c r="H234" i="45"/>
  <c r="H233" i="45"/>
  <c r="H232" i="45"/>
  <c r="H231" i="45"/>
  <c r="H230" i="45"/>
  <c r="H229" i="45"/>
  <c r="H228" i="45"/>
  <c r="H227" i="45"/>
  <c r="H226" i="45"/>
  <c r="H225" i="45"/>
  <c r="H224" i="45"/>
  <c r="H223" i="45"/>
  <c r="H222" i="45"/>
  <c r="H221" i="45"/>
  <c r="H220" i="45"/>
  <c r="H219" i="45"/>
  <c r="H218" i="45"/>
  <c r="H217" i="45"/>
  <c r="H216" i="45"/>
  <c r="H215" i="45"/>
  <c r="H214" i="45"/>
  <c r="H213" i="45"/>
  <c r="H212" i="45"/>
  <c r="H211" i="45"/>
  <c r="H210" i="45"/>
  <c r="H209" i="45"/>
  <c r="H208" i="45"/>
  <c r="H207" i="45"/>
  <c r="H206" i="45"/>
  <c r="H205" i="45"/>
  <c r="H204" i="45"/>
  <c r="H203" i="45"/>
  <c r="H202" i="45"/>
  <c r="H201" i="45"/>
  <c r="H200" i="45"/>
  <c r="H199" i="45"/>
  <c r="H198" i="45"/>
  <c r="H197" i="45"/>
  <c r="H196" i="45"/>
  <c r="H195" i="45"/>
  <c r="H194" i="45"/>
  <c r="H193" i="45"/>
  <c r="H192" i="45"/>
  <c r="H191" i="45"/>
  <c r="H190" i="45"/>
  <c r="H189" i="45"/>
  <c r="H188" i="45"/>
  <c r="H187" i="45"/>
  <c r="H186" i="45"/>
  <c r="H185" i="45"/>
  <c r="H184" i="45"/>
  <c r="H183" i="45"/>
  <c r="H182" i="45"/>
  <c r="H181" i="45"/>
  <c r="H180" i="45"/>
  <c r="H179" i="45"/>
  <c r="H178" i="45"/>
  <c r="H177" i="45"/>
  <c r="H176" i="45"/>
  <c r="H175" i="45"/>
  <c r="H174" i="45"/>
  <c r="H173" i="45"/>
  <c r="H172" i="45"/>
  <c r="H171" i="45"/>
  <c r="H170" i="45"/>
  <c r="H169" i="45"/>
  <c r="H168" i="45"/>
  <c r="H167" i="45"/>
  <c r="H166" i="45"/>
  <c r="H165" i="45"/>
  <c r="H164" i="45"/>
  <c r="H163" i="45"/>
  <c r="H162" i="45"/>
  <c r="H161" i="45"/>
  <c r="H160" i="45"/>
  <c r="H159" i="45"/>
  <c r="H158" i="45"/>
  <c r="H157" i="45"/>
  <c r="H156" i="45"/>
  <c r="H155" i="45"/>
  <c r="H154" i="45"/>
  <c r="H153" i="45"/>
  <c r="H152" i="45"/>
  <c r="H151" i="45"/>
  <c r="H150" i="45"/>
  <c r="H149" i="45"/>
  <c r="H148" i="45"/>
  <c r="H147" i="45"/>
  <c r="H146" i="45"/>
  <c r="H145" i="45"/>
  <c r="H144" i="45"/>
  <c r="H143" i="45"/>
  <c r="H142" i="45"/>
  <c r="H141" i="45"/>
  <c r="H140" i="45"/>
  <c r="H139" i="45"/>
  <c r="H138" i="45"/>
  <c r="H137" i="45"/>
  <c r="H136" i="45"/>
  <c r="H135" i="45"/>
  <c r="H134" i="45"/>
  <c r="H133" i="45"/>
  <c r="H132" i="45"/>
  <c r="H131" i="45"/>
  <c r="H130" i="45"/>
  <c r="H129" i="45"/>
  <c r="H128" i="45"/>
  <c r="H127" i="45"/>
  <c r="H126" i="45"/>
  <c r="H125" i="45"/>
  <c r="H124" i="45"/>
  <c r="H123" i="45"/>
  <c r="H122" i="45"/>
  <c r="H121" i="45"/>
  <c r="H120" i="45"/>
  <c r="H119" i="45"/>
  <c r="H118" i="45"/>
  <c r="H117" i="45"/>
  <c r="H116" i="45"/>
  <c r="H115" i="45"/>
  <c r="H114" i="45"/>
  <c r="H113" i="45"/>
  <c r="H112" i="45"/>
  <c r="H111" i="45"/>
  <c r="H110" i="45"/>
  <c r="H109" i="45"/>
  <c r="H108" i="45"/>
  <c r="H107" i="45"/>
  <c r="H106" i="45"/>
  <c r="H105" i="45"/>
  <c r="H104" i="45"/>
  <c r="H103" i="45"/>
  <c r="H102" i="45"/>
  <c r="H101" i="45"/>
  <c r="H100" i="45"/>
  <c r="H99" i="45"/>
  <c r="H98" i="45"/>
  <c r="H97" i="45"/>
  <c r="H96" i="45"/>
  <c r="H95" i="45"/>
  <c r="H94" i="45"/>
  <c r="H93" i="45"/>
  <c r="H92" i="45"/>
  <c r="H91" i="45"/>
  <c r="H90" i="45"/>
  <c r="H89" i="45"/>
  <c r="H88" i="45"/>
  <c r="H87" i="45"/>
  <c r="H86" i="45"/>
  <c r="H85" i="45"/>
  <c r="H84" i="45"/>
  <c r="H83" i="45"/>
  <c r="H82" i="45"/>
  <c r="H81" i="45"/>
  <c r="H80" i="45"/>
  <c r="H79" i="45"/>
  <c r="H78" i="45"/>
  <c r="H77" i="45"/>
  <c r="H76" i="45"/>
  <c r="H75" i="45"/>
  <c r="H74" i="45"/>
  <c r="H73" i="45"/>
  <c r="H72" i="45"/>
  <c r="H71" i="45"/>
  <c r="H70" i="45"/>
  <c r="H69" i="45"/>
  <c r="H68" i="45"/>
  <c r="H67" i="45"/>
  <c r="H66" i="45"/>
  <c r="H65" i="45"/>
  <c r="H64" i="45"/>
  <c r="H63" i="45"/>
  <c r="H62" i="45"/>
  <c r="H61" i="45"/>
  <c r="H60" i="45"/>
  <c r="H59" i="45"/>
  <c r="H58" i="45"/>
  <c r="H57" i="45"/>
  <c r="H56" i="45"/>
  <c r="H55" i="45"/>
  <c r="H54" i="45"/>
  <c r="H53" i="45"/>
  <c r="H52" i="45"/>
  <c r="H51" i="45"/>
  <c r="H50" i="45"/>
  <c r="H49" i="45"/>
  <c r="H48" i="45"/>
  <c r="H47" i="45"/>
  <c r="H46" i="45"/>
  <c r="H45" i="45"/>
  <c r="H44" i="45"/>
  <c r="H43" i="45"/>
  <c r="H42" i="45"/>
  <c r="H41" i="45"/>
  <c r="H40" i="45"/>
  <c r="H39" i="45"/>
  <c r="H38" i="45"/>
  <c r="H37" i="45"/>
  <c r="H36" i="45"/>
  <c r="H35" i="45"/>
  <c r="H34" i="45"/>
  <c r="H33" i="45"/>
  <c r="H32" i="45"/>
  <c r="H31" i="45"/>
  <c r="H30" i="45"/>
  <c r="H29" i="45"/>
  <c r="H28" i="45"/>
  <c r="H27" i="45"/>
  <c r="H26" i="45"/>
  <c r="H25" i="45"/>
  <c r="H24" i="45"/>
  <c r="H23" i="45"/>
  <c r="H22" i="45"/>
  <c r="H21" i="45"/>
  <c r="H20" i="45"/>
  <c r="H19" i="45"/>
  <c r="H18" i="45"/>
  <c r="H17" i="45"/>
  <c r="H16" i="45"/>
  <c r="H15" i="45"/>
  <c r="H14" i="45"/>
  <c r="H13" i="45"/>
  <c r="H12" i="45"/>
  <c r="H11" i="45"/>
  <c r="H10" i="45"/>
  <c r="H9" i="45"/>
  <c r="H8" i="45"/>
  <c r="H7" i="45"/>
  <c r="F20" i="22" l="1"/>
  <c r="F19" i="22"/>
  <c r="F18" i="22"/>
  <c r="F17" i="22"/>
  <c r="F14" i="22"/>
  <c r="F13" i="22"/>
  <c r="X10" i="22"/>
  <c r="F10" i="22"/>
  <c r="X9" i="22"/>
  <c r="F9" i="22"/>
  <c r="X8" i="22"/>
  <c r="W31" i="22"/>
  <c r="X31" i="22"/>
  <c r="Y31" i="22"/>
  <c r="Z31" i="22"/>
  <c r="AA31" i="22"/>
  <c r="AB31" i="22"/>
  <c r="F31" i="22" l="1"/>
  <c r="F8" i="22"/>
  <c r="F319" i="45" l="1"/>
  <c r="F316" i="45"/>
  <c r="F315" i="45"/>
  <c r="F314" i="45"/>
  <c r="F313" i="45"/>
  <c r="F312" i="45"/>
  <c r="F311" i="45"/>
  <c r="F310" i="45"/>
  <c r="F309" i="45"/>
  <c r="F308" i="45"/>
  <c r="F307" i="45"/>
  <c r="F306" i="45"/>
  <c r="F305" i="45"/>
  <c r="F304" i="45"/>
  <c r="F303" i="45"/>
  <c r="F302" i="45"/>
  <c r="F301" i="45"/>
  <c r="F300" i="45"/>
  <c r="F299" i="45"/>
  <c r="F298" i="45"/>
  <c r="F295" i="45"/>
  <c r="F294" i="45"/>
  <c r="F293" i="45"/>
  <c r="F292" i="45"/>
  <c r="F291" i="45"/>
  <c r="F290" i="45"/>
  <c r="F289" i="45"/>
  <c r="F288" i="45"/>
  <c r="F287" i="45"/>
  <c r="F286" i="45"/>
  <c r="F285" i="45"/>
  <c r="F284" i="45"/>
  <c r="F283" i="45"/>
  <c r="F282" i="45"/>
  <c r="F281" i="45"/>
  <c r="F280" i="45"/>
  <c r="F279" i="45"/>
  <c r="F278" i="45"/>
  <c r="F277" i="45"/>
  <c r="F276" i="45"/>
  <c r="F275" i="45"/>
  <c r="F274" i="45"/>
  <c r="F273" i="45"/>
  <c r="F272" i="45"/>
  <c r="F271" i="45"/>
  <c r="F270" i="45"/>
  <c r="F269" i="45"/>
  <c r="F268" i="45"/>
  <c r="F267" i="45"/>
  <c r="F266" i="45"/>
  <c r="F265" i="45"/>
  <c r="F264" i="45"/>
  <c r="F263" i="45"/>
  <c r="F262" i="45"/>
  <c r="F261" i="45"/>
  <c r="F260" i="45"/>
  <c r="F259" i="45"/>
  <c r="F258" i="45"/>
  <c r="F257" i="45"/>
  <c r="F256" i="45"/>
  <c r="F255" i="45"/>
  <c r="F254" i="45"/>
  <c r="F253" i="45"/>
  <c r="F252" i="45"/>
  <c r="F251" i="45"/>
  <c r="F250" i="45"/>
  <c r="F249" i="45"/>
  <c r="F248" i="45"/>
  <c r="F247" i="45"/>
  <c r="F246" i="45"/>
  <c r="F245" i="45"/>
  <c r="F244" i="45"/>
  <c r="F243" i="45"/>
  <c r="F242" i="45"/>
  <c r="F241" i="45"/>
  <c r="F240" i="45"/>
  <c r="F239" i="45"/>
  <c r="F238" i="45"/>
  <c r="F237" i="45"/>
  <c r="F236" i="45"/>
  <c r="F235" i="45"/>
  <c r="F234" i="45"/>
  <c r="F233" i="45"/>
  <c r="F232" i="45"/>
  <c r="F231" i="45"/>
  <c r="F230" i="45"/>
  <c r="F229" i="45"/>
  <c r="F228" i="45"/>
  <c r="F227" i="45"/>
  <c r="F226" i="45"/>
  <c r="F225" i="45"/>
  <c r="F224" i="45"/>
  <c r="F223" i="45"/>
  <c r="F222" i="45"/>
  <c r="F221" i="45"/>
  <c r="F220" i="45"/>
  <c r="F219" i="45"/>
  <c r="F218" i="45"/>
  <c r="F217" i="45"/>
  <c r="F216" i="45"/>
  <c r="F215" i="45"/>
  <c r="F214" i="45"/>
  <c r="F213" i="45"/>
  <c r="F212" i="45"/>
  <c r="F211" i="45"/>
  <c r="F210" i="45"/>
  <c r="F209" i="45"/>
  <c r="F208" i="45"/>
  <c r="F207" i="45"/>
  <c r="F206" i="45"/>
  <c r="F205" i="45"/>
  <c r="F204" i="45"/>
  <c r="F203" i="45"/>
  <c r="F202" i="45"/>
  <c r="F201" i="45"/>
  <c r="F200" i="45"/>
  <c r="F199" i="45"/>
  <c r="F198" i="45"/>
  <c r="F197" i="45"/>
  <c r="F196" i="45"/>
  <c r="F195" i="45"/>
  <c r="F194" i="45"/>
  <c r="F193" i="45"/>
  <c r="F192" i="45"/>
  <c r="F191" i="45"/>
  <c r="F190" i="45"/>
  <c r="F189" i="45"/>
  <c r="F188" i="45"/>
  <c r="F187" i="45"/>
  <c r="F186" i="45"/>
  <c r="F185" i="45"/>
  <c r="F184" i="45"/>
  <c r="F183" i="45"/>
  <c r="F182" i="45"/>
  <c r="F181" i="45"/>
  <c r="F180" i="45"/>
  <c r="F179" i="45"/>
  <c r="F178" i="45"/>
  <c r="F177" i="45"/>
  <c r="F176" i="45"/>
  <c r="F175" i="45"/>
  <c r="F174" i="45"/>
  <c r="F173" i="45"/>
  <c r="F172" i="45"/>
  <c r="F171" i="45"/>
  <c r="F170" i="45"/>
  <c r="F169" i="45"/>
  <c r="F168" i="45"/>
  <c r="F167" i="45"/>
  <c r="F166" i="45"/>
  <c r="F165" i="45"/>
  <c r="F164" i="45"/>
  <c r="F163" i="45"/>
  <c r="F162" i="45"/>
  <c r="F161" i="45"/>
  <c r="F160" i="45"/>
  <c r="F159" i="45"/>
  <c r="F158" i="45"/>
  <c r="F157" i="45"/>
  <c r="F156" i="45"/>
  <c r="F155" i="45"/>
  <c r="F154" i="45"/>
  <c r="F153" i="45"/>
  <c r="F152" i="45"/>
  <c r="F151" i="45"/>
  <c r="F150" i="45"/>
  <c r="F149" i="45"/>
  <c r="F148" i="45"/>
  <c r="F147" i="45"/>
  <c r="F146" i="45"/>
  <c r="F145" i="45"/>
  <c r="F144" i="45"/>
  <c r="F143" i="45"/>
  <c r="F142" i="45"/>
  <c r="F141" i="45"/>
  <c r="F140" i="45"/>
  <c r="F139" i="45"/>
  <c r="F138" i="45"/>
  <c r="F137" i="45"/>
  <c r="F136" i="45"/>
  <c r="F135" i="45"/>
  <c r="F134" i="45"/>
  <c r="F133" i="45"/>
  <c r="F132" i="45"/>
  <c r="F131" i="45"/>
  <c r="F130" i="45"/>
  <c r="F129" i="45"/>
  <c r="F128" i="45"/>
  <c r="F127" i="45"/>
  <c r="F126" i="45"/>
  <c r="F125" i="45"/>
  <c r="F124" i="45"/>
  <c r="F123" i="45"/>
  <c r="F122" i="45"/>
  <c r="F121" i="45"/>
  <c r="F120" i="45"/>
  <c r="F119" i="45"/>
  <c r="F118" i="45"/>
  <c r="F117" i="45"/>
  <c r="F116" i="45"/>
  <c r="F115" i="45"/>
  <c r="F114" i="45"/>
  <c r="F113" i="45"/>
  <c r="F112" i="45"/>
  <c r="F111" i="45"/>
  <c r="F110" i="45"/>
  <c r="F109" i="45"/>
  <c r="F108" i="45"/>
  <c r="F107" i="45"/>
  <c r="F106" i="45"/>
  <c r="F105" i="45"/>
  <c r="F104" i="45"/>
  <c r="F103" i="45"/>
  <c r="F102" i="45"/>
  <c r="F101" i="45"/>
  <c r="F100" i="45"/>
  <c r="F99" i="45"/>
  <c r="F98" i="45"/>
  <c r="F97" i="45"/>
  <c r="F96" i="45"/>
  <c r="F95" i="45"/>
  <c r="F94" i="45"/>
  <c r="F93" i="45"/>
  <c r="F92" i="45"/>
  <c r="F91" i="45"/>
  <c r="F90" i="45"/>
  <c r="F89" i="45"/>
  <c r="F88" i="45"/>
  <c r="F87" i="45"/>
  <c r="F86" i="45"/>
  <c r="F85" i="45"/>
  <c r="F84" i="45"/>
  <c r="F83" i="45"/>
  <c r="F82" i="45"/>
  <c r="F81" i="45"/>
  <c r="F80" i="45"/>
  <c r="F79" i="45"/>
  <c r="F78" i="45"/>
  <c r="F77" i="45"/>
  <c r="F76" i="45"/>
  <c r="F75" i="45"/>
  <c r="F74" i="45"/>
  <c r="F73" i="45"/>
  <c r="F72" i="45"/>
  <c r="F71" i="45"/>
  <c r="F70" i="45"/>
  <c r="F69" i="45"/>
  <c r="F68" i="45"/>
  <c r="F67" i="45"/>
  <c r="F66" i="45"/>
  <c r="F65" i="45"/>
  <c r="F64" i="45"/>
  <c r="F63" i="45"/>
  <c r="F62" i="45"/>
  <c r="F61" i="45"/>
  <c r="F60" i="45"/>
  <c r="F59" i="45"/>
  <c r="F58" i="45"/>
  <c r="F57" i="45"/>
  <c r="F56" i="45"/>
  <c r="F55" i="45"/>
  <c r="F54" i="45"/>
  <c r="F53" i="45"/>
  <c r="F52" i="45"/>
  <c r="F51" i="45"/>
  <c r="F50" i="45"/>
  <c r="F49" i="45"/>
  <c r="F48" i="45"/>
  <c r="F47" i="45"/>
  <c r="F46" i="45"/>
  <c r="F45" i="45"/>
  <c r="F44" i="45"/>
  <c r="F43" i="45"/>
  <c r="F42" i="45"/>
  <c r="F41" i="45"/>
  <c r="F40" i="45"/>
  <c r="F39" i="45"/>
  <c r="F38" i="45"/>
  <c r="F37" i="45"/>
  <c r="F36" i="45"/>
  <c r="F35" i="45"/>
  <c r="F34" i="45"/>
  <c r="F33" i="45"/>
  <c r="F32" i="45"/>
  <c r="F31" i="45"/>
  <c r="F30" i="45"/>
  <c r="F29" i="45"/>
  <c r="F28" i="45"/>
  <c r="F27" i="45"/>
  <c r="F26" i="45"/>
  <c r="F25" i="45"/>
  <c r="F24" i="45"/>
  <c r="F23" i="45"/>
  <c r="F22" i="45"/>
  <c r="F21" i="45"/>
  <c r="F20" i="45"/>
  <c r="F19" i="45"/>
  <c r="F18" i="45"/>
  <c r="F17" i="45"/>
  <c r="F16" i="45"/>
  <c r="F15" i="45"/>
  <c r="F14" i="45"/>
  <c r="F13" i="45"/>
  <c r="F12" i="45"/>
  <c r="F11" i="45"/>
  <c r="F10" i="45"/>
  <c r="F9" i="45"/>
  <c r="F8" i="45"/>
  <c r="F7" i="45"/>
  <c r="F6" i="45"/>
  <c r="AA4" i="45"/>
  <c r="M4" i="45"/>
  <c r="B1" i="45"/>
  <c r="F370" i="44"/>
  <c r="J369" i="44"/>
  <c r="F369" i="44"/>
  <c r="J368" i="44"/>
  <c r="F368" i="44"/>
  <c r="J367" i="44"/>
  <c r="F367" i="44"/>
  <c r="J366" i="44"/>
  <c r="F366" i="44"/>
  <c r="J365" i="44"/>
  <c r="F365" i="44"/>
  <c r="J364" i="44"/>
  <c r="F364" i="44"/>
  <c r="J363" i="44"/>
  <c r="F363" i="44"/>
  <c r="J362" i="44"/>
  <c r="F362" i="44"/>
  <c r="J361" i="44"/>
  <c r="F361" i="44"/>
  <c r="J359" i="44"/>
  <c r="F359" i="44"/>
  <c r="J358" i="44"/>
  <c r="F358" i="44"/>
  <c r="J357" i="44"/>
  <c r="F357" i="44"/>
  <c r="J356" i="44"/>
  <c r="F356" i="44"/>
  <c r="J355" i="44"/>
  <c r="F355" i="44"/>
  <c r="J354" i="44"/>
  <c r="F354" i="44"/>
  <c r="J353" i="44"/>
  <c r="F353" i="44"/>
  <c r="J352" i="44"/>
  <c r="F352" i="44"/>
  <c r="J351" i="44"/>
  <c r="F351" i="44"/>
  <c r="J350" i="44"/>
  <c r="F350" i="44"/>
  <c r="J349" i="44"/>
  <c r="F349" i="44"/>
  <c r="J348" i="44"/>
  <c r="F348" i="44"/>
  <c r="F347" i="44"/>
  <c r="F346" i="44"/>
  <c r="F345" i="44"/>
  <c r="J344" i="44"/>
  <c r="F344" i="44"/>
  <c r="J343" i="44"/>
  <c r="F343" i="44"/>
  <c r="J342" i="44"/>
  <c r="F342" i="44"/>
  <c r="J341" i="44"/>
  <c r="F341" i="44"/>
  <c r="J340" i="44"/>
  <c r="F340" i="44"/>
  <c r="J339" i="44"/>
  <c r="F339" i="44"/>
  <c r="J338" i="44"/>
  <c r="F338" i="44"/>
  <c r="J337" i="44"/>
  <c r="F337" i="44"/>
  <c r="J336" i="44"/>
  <c r="F336" i="44"/>
  <c r="J335" i="44"/>
  <c r="F335" i="44"/>
  <c r="J334" i="44"/>
  <c r="F334" i="44"/>
  <c r="J333" i="44"/>
  <c r="F333" i="44"/>
  <c r="J332" i="44"/>
  <c r="F332" i="44"/>
  <c r="J331" i="44"/>
  <c r="F331" i="44"/>
  <c r="J330" i="44"/>
  <c r="F330" i="44"/>
  <c r="J329" i="44"/>
  <c r="F329" i="44"/>
  <c r="J328" i="44"/>
  <c r="F328" i="44"/>
  <c r="J327" i="44"/>
  <c r="F327" i="44"/>
  <c r="J326" i="44"/>
  <c r="F326" i="44"/>
  <c r="J325" i="44"/>
  <c r="F325" i="44"/>
  <c r="J324" i="44"/>
  <c r="F324" i="44"/>
  <c r="J323" i="44"/>
  <c r="F323" i="44"/>
  <c r="J322" i="44"/>
  <c r="F322" i="44"/>
  <c r="J321" i="44"/>
  <c r="F321" i="44"/>
  <c r="J320" i="44"/>
  <c r="F320" i="44"/>
  <c r="J319" i="44"/>
  <c r="F319" i="44"/>
  <c r="J318" i="44"/>
  <c r="F318" i="44"/>
  <c r="J317" i="44"/>
  <c r="F317" i="44"/>
  <c r="J316" i="44"/>
  <c r="F316" i="44"/>
  <c r="J315" i="44"/>
  <c r="F315" i="44"/>
  <c r="J314" i="44"/>
  <c r="F314" i="44"/>
  <c r="J313" i="44"/>
  <c r="F313" i="44"/>
  <c r="J312" i="44"/>
  <c r="F312" i="44"/>
  <c r="J311" i="44"/>
  <c r="F311" i="44"/>
  <c r="J310" i="44"/>
  <c r="F310" i="44"/>
  <c r="J309" i="44"/>
  <c r="F309" i="44"/>
  <c r="J308" i="44"/>
  <c r="F308" i="44"/>
  <c r="J307" i="44"/>
  <c r="F307" i="44"/>
  <c r="J306" i="44"/>
  <c r="F306" i="44"/>
  <c r="J305" i="44"/>
  <c r="F305" i="44"/>
  <c r="J304" i="44"/>
  <c r="F304" i="44"/>
  <c r="J303" i="44"/>
  <c r="F303" i="44"/>
  <c r="J302" i="44"/>
  <c r="F302" i="44"/>
  <c r="J301" i="44"/>
  <c r="F301" i="44"/>
  <c r="J300" i="44"/>
  <c r="F300" i="44"/>
  <c r="J299" i="44"/>
  <c r="F299" i="44"/>
  <c r="J298" i="44"/>
  <c r="F298" i="44"/>
  <c r="J297" i="44"/>
  <c r="F297" i="44"/>
  <c r="J296" i="44"/>
  <c r="F296" i="44"/>
  <c r="J295" i="44"/>
  <c r="F295" i="44"/>
  <c r="J294" i="44"/>
  <c r="F294" i="44"/>
  <c r="J293" i="44"/>
  <c r="F293" i="44"/>
  <c r="J292" i="44"/>
  <c r="F292" i="44"/>
  <c r="J291" i="44"/>
  <c r="F291" i="44"/>
  <c r="J290" i="44"/>
  <c r="F290" i="44"/>
  <c r="J289" i="44"/>
  <c r="F289" i="44"/>
  <c r="J288" i="44"/>
  <c r="F288" i="44"/>
  <c r="J287" i="44"/>
  <c r="F287" i="44"/>
  <c r="J286" i="44"/>
  <c r="F286" i="44"/>
  <c r="J285" i="44"/>
  <c r="F285" i="44"/>
  <c r="J284" i="44"/>
  <c r="F284" i="44"/>
  <c r="J283" i="44"/>
  <c r="F283" i="44"/>
  <c r="J282" i="44"/>
  <c r="F282" i="44"/>
  <c r="J281" i="44"/>
  <c r="F281" i="44"/>
  <c r="J280" i="44"/>
  <c r="F280" i="44"/>
  <c r="J279" i="44"/>
  <c r="F279" i="44"/>
  <c r="J278" i="44"/>
  <c r="F278" i="44"/>
  <c r="J277" i="44"/>
  <c r="F277" i="44"/>
  <c r="J276" i="44"/>
  <c r="F276" i="44"/>
  <c r="J275" i="44"/>
  <c r="F275" i="44"/>
  <c r="J274" i="44"/>
  <c r="F274" i="44"/>
  <c r="J273" i="44"/>
  <c r="F273" i="44"/>
  <c r="J272" i="44"/>
  <c r="F272" i="44"/>
  <c r="J271" i="44"/>
  <c r="F271" i="44"/>
  <c r="J270" i="44"/>
  <c r="F270" i="44"/>
  <c r="J269" i="44"/>
  <c r="F269" i="44"/>
  <c r="J268" i="44"/>
  <c r="F268" i="44"/>
  <c r="J267" i="44"/>
  <c r="F267" i="44"/>
  <c r="J266" i="44"/>
  <c r="F266" i="44"/>
  <c r="J265" i="44"/>
  <c r="F265" i="44"/>
  <c r="J264" i="44"/>
  <c r="F264" i="44"/>
  <c r="J263" i="44"/>
  <c r="F263" i="44"/>
  <c r="J262" i="44"/>
  <c r="F262" i="44"/>
  <c r="J261" i="44"/>
  <c r="F261" i="44"/>
  <c r="J260" i="44"/>
  <c r="F260" i="44"/>
  <c r="J259" i="44"/>
  <c r="F259" i="44"/>
  <c r="J258" i="44"/>
  <c r="F258" i="44"/>
  <c r="J257" i="44"/>
  <c r="F257" i="44"/>
  <c r="J256" i="44"/>
  <c r="F256" i="44"/>
  <c r="J255" i="44"/>
  <c r="F255" i="44"/>
  <c r="J254" i="44"/>
  <c r="F254" i="44"/>
  <c r="J253" i="44"/>
  <c r="F253" i="44"/>
  <c r="J252" i="44"/>
  <c r="F252" i="44"/>
  <c r="J251" i="44"/>
  <c r="F251" i="44"/>
  <c r="J250" i="44"/>
  <c r="F250" i="44"/>
  <c r="J249" i="44"/>
  <c r="F249" i="44"/>
  <c r="J248" i="44"/>
  <c r="F248" i="44"/>
  <c r="J247" i="44"/>
  <c r="F247" i="44"/>
  <c r="J246" i="44"/>
  <c r="F246" i="44"/>
  <c r="J245" i="44"/>
  <c r="F245" i="44"/>
  <c r="J244" i="44"/>
  <c r="F244" i="44"/>
  <c r="J243" i="44"/>
  <c r="F243" i="44"/>
  <c r="J242" i="44"/>
  <c r="F242" i="44"/>
  <c r="J241" i="44"/>
  <c r="F241" i="44"/>
  <c r="J240" i="44"/>
  <c r="F240" i="44"/>
  <c r="J239" i="44"/>
  <c r="F239" i="44"/>
  <c r="J238" i="44"/>
  <c r="F238" i="44"/>
  <c r="J237" i="44"/>
  <c r="F237" i="44"/>
  <c r="J236" i="44"/>
  <c r="F236" i="44"/>
  <c r="J235" i="44"/>
  <c r="F235" i="44"/>
  <c r="J234" i="44"/>
  <c r="F234" i="44"/>
  <c r="J233" i="44"/>
  <c r="F233" i="44"/>
  <c r="J232" i="44"/>
  <c r="F232" i="44"/>
  <c r="J231" i="44"/>
  <c r="F231" i="44"/>
  <c r="J230" i="44"/>
  <c r="F230" i="44"/>
  <c r="J229" i="44"/>
  <c r="F229" i="44"/>
  <c r="J228" i="44"/>
  <c r="F228" i="44"/>
  <c r="J227" i="44"/>
  <c r="F227" i="44"/>
  <c r="J226" i="44"/>
  <c r="F226" i="44"/>
  <c r="J225" i="44"/>
  <c r="F225" i="44"/>
  <c r="J224" i="44"/>
  <c r="F224" i="44"/>
  <c r="J223" i="44"/>
  <c r="F223" i="44"/>
  <c r="J222" i="44"/>
  <c r="F222" i="44"/>
  <c r="J221" i="44"/>
  <c r="F221" i="44"/>
  <c r="J220" i="44"/>
  <c r="F220" i="44"/>
  <c r="J219" i="44"/>
  <c r="F219" i="44"/>
  <c r="J218" i="44"/>
  <c r="F218" i="44"/>
  <c r="J217" i="44"/>
  <c r="F217" i="44"/>
  <c r="J216" i="44"/>
  <c r="F216" i="44"/>
  <c r="F215" i="44"/>
  <c r="J214" i="44"/>
  <c r="F214" i="44"/>
  <c r="J213" i="44"/>
  <c r="F213" i="44"/>
  <c r="J212" i="44"/>
  <c r="F212" i="44"/>
  <c r="J211" i="44"/>
  <c r="F211" i="44"/>
  <c r="J210" i="44"/>
  <c r="F210" i="44"/>
  <c r="J209" i="44"/>
  <c r="F209" i="44"/>
  <c r="J208" i="44"/>
  <c r="F208" i="44"/>
  <c r="J207" i="44"/>
  <c r="F207" i="44"/>
  <c r="J206" i="44"/>
  <c r="F206" i="44"/>
  <c r="J205" i="44"/>
  <c r="F205" i="44"/>
  <c r="J204" i="44"/>
  <c r="F204" i="44"/>
  <c r="J203" i="44"/>
  <c r="F203" i="44"/>
  <c r="J202" i="44"/>
  <c r="F202" i="44"/>
  <c r="J201" i="44"/>
  <c r="F201" i="44"/>
  <c r="J200" i="44"/>
  <c r="F200" i="44"/>
  <c r="J199" i="44"/>
  <c r="F199" i="44"/>
  <c r="J198" i="44"/>
  <c r="F198" i="44"/>
  <c r="J197" i="44"/>
  <c r="F197" i="44"/>
  <c r="J196" i="44"/>
  <c r="F196" i="44"/>
  <c r="J195" i="44"/>
  <c r="F195" i="44"/>
  <c r="J194" i="44"/>
  <c r="F194" i="44"/>
  <c r="J193" i="44"/>
  <c r="F193" i="44"/>
  <c r="J192" i="44"/>
  <c r="F192" i="44"/>
  <c r="J191" i="44"/>
  <c r="F191" i="44"/>
  <c r="J190" i="44"/>
  <c r="F190" i="44"/>
  <c r="J189" i="44"/>
  <c r="F189" i="44"/>
  <c r="J188" i="44"/>
  <c r="F188" i="44"/>
  <c r="J187" i="44"/>
  <c r="F187" i="44"/>
  <c r="J186" i="44"/>
  <c r="F186" i="44"/>
  <c r="J185" i="44"/>
  <c r="F185" i="44"/>
  <c r="J184" i="44"/>
  <c r="F184" i="44"/>
  <c r="J183" i="44"/>
  <c r="F183" i="44"/>
  <c r="J182" i="44"/>
  <c r="F182" i="44"/>
  <c r="J181" i="44"/>
  <c r="F181" i="44"/>
  <c r="J180" i="44"/>
  <c r="F180" i="44"/>
  <c r="J179" i="44"/>
  <c r="F179" i="44"/>
  <c r="J178" i="44"/>
  <c r="F178" i="44"/>
  <c r="J177" i="44"/>
  <c r="F177" i="44"/>
  <c r="J176" i="44"/>
  <c r="F176" i="44"/>
  <c r="J175" i="44"/>
  <c r="F175" i="44"/>
  <c r="J174" i="44"/>
  <c r="F174" i="44"/>
  <c r="J173" i="44"/>
  <c r="F173" i="44"/>
  <c r="J172" i="44"/>
  <c r="F172" i="44"/>
  <c r="J171" i="44"/>
  <c r="F171" i="44"/>
  <c r="J170" i="44"/>
  <c r="F170" i="44"/>
  <c r="J169" i="44"/>
  <c r="F169" i="44"/>
  <c r="J168" i="44"/>
  <c r="F168" i="44"/>
  <c r="J167" i="44"/>
  <c r="F167" i="44"/>
  <c r="J166" i="44"/>
  <c r="F166" i="44"/>
  <c r="J165" i="44"/>
  <c r="F165" i="44"/>
  <c r="J164" i="44"/>
  <c r="F164" i="44"/>
  <c r="J163" i="44"/>
  <c r="F163" i="44"/>
  <c r="J162" i="44"/>
  <c r="F162" i="44"/>
  <c r="J161" i="44"/>
  <c r="F161" i="44"/>
  <c r="J160" i="44"/>
  <c r="F160" i="44"/>
  <c r="J159" i="44"/>
  <c r="F159" i="44"/>
  <c r="J158" i="44"/>
  <c r="F158" i="44"/>
  <c r="J157" i="44"/>
  <c r="F157" i="44"/>
  <c r="J156" i="44"/>
  <c r="F156" i="44"/>
  <c r="J155" i="44"/>
  <c r="F155" i="44"/>
  <c r="J154" i="44"/>
  <c r="F154" i="44"/>
  <c r="J153" i="44"/>
  <c r="F153" i="44"/>
  <c r="J152" i="44"/>
  <c r="F152" i="44"/>
  <c r="J151" i="44"/>
  <c r="F151" i="44"/>
  <c r="J150" i="44"/>
  <c r="F150" i="44"/>
  <c r="J149" i="44"/>
  <c r="F149" i="44"/>
  <c r="J148" i="44"/>
  <c r="F148" i="44"/>
  <c r="J147" i="44"/>
  <c r="F147" i="44"/>
  <c r="J146" i="44"/>
  <c r="F146" i="44"/>
  <c r="J145" i="44"/>
  <c r="F145" i="44"/>
  <c r="J144" i="44"/>
  <c r="F144" i="44"/>
  <c r="J143" i="44"/>
  <c r="F143" i="44"/>
  <c r="J142" i="44"/>
  <c r="F142" i="44"/>
  <c r="J141" i="44"/>
  <c r="F141" i="44"/>
  <c r="J140" i="44"/>
  <c r="F140" i="44"/>
  <c r="J139" i="44"/>
  <c r="F139" i="44"/>
  <c r="J138" i="44"/>
  <c r="F138" i="44"/>
  <c r="J137" i="44"/>
  <c r="F137" i="44"/>
  <c r="J136" i="44"/>
  <c r="F136" i="44"/>
  <c r="J135" i="44"/>
  <c r="F135" i="44"/>
  <c r="J134" i="44"/>
  <c r="F134" i="44"/>
  <c r="J133" i="44"/>
  <c r="F133" i="44"/>
  <c r="J132" i="44"/>
  <c r="F132" i="44"/>
  <c r="J131" i="44"/>
  <c r="F131" i="44"/>
  <c r="J130" i="44"/>
  <c r="F130" i="44"/>
  <c r="J129" i="44"/>
  <c r="F129" i="44"/>
  <c r="J128" i="44"/>
  <c r="F128" i="44"/>
  <c r="J127" i="44"/>
  <c r="F127" i="44"/>
  <c r="J126" i="44"/>
  <c r="F126" i="44"/>
  <c r="J125" i="44"/>
  <c r="F125" i="44"/>
  <c r="J124" i="44"/>
  <c r="F124" i="44"/>
  <c r="J123" i="44"/>
  <c r="F123" i="44"/>
  <c r="J122" i="44"/>
  <c r="F122" i="44"/>
  <c r="J121" i="44"/>
  <c r="F121" i="44"/>
  <c r="J120" i="44"/>
  <c r="F120" i="44"/>
  <c r="J119" i="44"/>
  <c r="F119" i="44"/>
  <c r="J118" i="44"/>
  <c r="F118" i="44"/>
  <c r="J117" i="44"/>
  <c r="F117" i="44"/>
  <c r="J116" i="44"/>
  <c r="F116" i="44"/>
  <c r="J115" i="44"/>
  <c r="F115" i="44"/>
  <c r="J114" i="44"/>
  <c r="F114" i="44"/>
  <c r="J113" i="44"/>
  <c r="F113" i="44"/>
  <c r="J112" i="44"/>
  <c r="F112" i="44"/>
  <c r="J111" i="44"/>
  <c r="F111" i="44"/>
  <c r="J110" i="44"/>
  <c r="F110" i="44"/>
  <c r="J109" i="44"/>
  <c r="F109" i="44"/>
  <c r="J108" i="44"/>
  <c r="F108" i="44"/>
  <c r="J107" i="44"/>
  <c r="F107" i="44"/>
  <c r="J106" i="44"/>
  <c r="F106" i="44"/>
  <c r="J105" i="44"/>
  <c r="F105" i="44"/>
  <c r="J104" i="44"/>
  <c r="F104" i="44"/>
  <c r="J103" i="44"/>
  <c r="F103" i="44"/>
  <c r="J102" i="44"/>
  <c r="F102" i="44"/>
  <c r="J101" i="44"/>
  <c r="F101" i="44"/>
  <c r="J100" i="44"/>
  <c r="F100" i="44"/>
  <c r="J99" i="44"/>
  <c r="F99" i="44"/>
  <c r="J98" i="44"/>
  <c r="F98" i="44"/>
  <c r="J97" i="44"/>
  <c r="F97" i="44"/>
  <c r="J96" i="44"/>
  <c r="F96" i="44"/>
  <c r="J95" i="44"/>
  <c r="F95" i="44"/>
  <c r="J94" i="44"/>
  <c r="F94" i="44"/>
  <c r="J93" i="44"/>
  <c r="F93" i="44"/>
  <c r="J92" i="44"/>
  <c r="F92" i="44"/>
  <c r="J91" i="44"/>
  <c r="F91" i="44"/>
  <c r="J90" i="44"/>
  <c r="F90" i="44"/>
  <c r="J89" i="44"/>
  <c r="F89" i="44"/>
  <c r="J88" i="44"/>
  <c r="F88" i="44"/>
  <c r="J87" i="44"/>
  <c r="F87" i="44"/>
  <c r="J86" i="44"/>
  <c r="F86" i="44"/>
  <c r="J85" i="44"/>
  <c r="F85" i="44"/>
  <c r="J84" i="44"/>
  <c r="F84" i="44"/>
  <c r="J83" i="44"/>
  <c r="F83" i="44"/>
  <c r="J82" i="44"/>
  <c r="F82" i="44"/>
  <c r="J81" i="44"/>
  <c r="F81" i="44"/>
  <c r="J80" i="44"/>
  <c r="F80" i="44"/>
  <c r="J79" i="44"/>
  <c r="F79" i="44"/>
  <c r="J78" i="44"/>
  <c r="F78" i="44"/>
  <c r="J77" i="44"/>
  <c r="F77" i="44"/>
  <c r="J76" i="44"/>
  <c r="F76" i="44"/>
  <c r="J75" i="44"/>
  <c r="F75" i="44"/>
  <c r="J74" i="44"/>
  <c r="F74" i="44"/>
  <c r="J73" i="44"/>
  <c r="F73" i="44"/>
  <c r="J72" i="44"/>
  <c r="F72" i="44"/>
  <c r="J71" i="44"/>
  <c r="F71" i="44"/>
  <c r="J70" i="44"/>
  <c r="F70" i="44"/>
  <c r="J69" i="44"/>
  <c r="F69" i="44"/>
  <c r="J68" i="44"/>
  <c r="F68" i="44"/>
  <c r="J67" i="44"/>
  <c r="F67" i="44"/>
  <c r="J66" i="44"/>
  <c r="F66" i="44"/>
  <c r="J65" i="44"/>
  <c r="F65" i="44"/>
  <c r="J64" i="44"/>
  <c r="F64" i="44"/>
  <c r="J63" i="44"/>
  <c r="F63" i="44"/>
  <c r="J62" i="44"/>
  <c r="F62" i="44"/>
  <c r="J61" i="44"/>
  <c r="F61" i="44"/>
  <c r="J60" i="44"/>
  <c r="F60" i="44"/>
  <c r="J59" i="44"/>
  <c r="F59" i="44"/>
  <c r="J58" i="44"/>
  <c r="F58" i="44"/>
  <c r="J57" i="44"/>
  <c r="F57" i="44"/>
  <c r="J56" i="44"/>
  <c r="F56" i="44"/>
  <c r="J55" i="44"/>
  <c r="F55" i="44"/>
  <c r="J54" i="44"/>
  <c r="F54" i="44"/>
  <c r="J53" i="44"/>
  <c r="F53" i="44"/>
  <c r="J52" i="44"/>
  <c r="F52" i="44"/>
  <c r="J51" i="44"/>
  <c r="F51" i="44"/>
  <c r="J50" i="44"/>
  <c r="F50" i="44"/>
  <c r="J49" i="44"/>
  <c r="F49" i="44"/>
  <c r="J48" i="44"/>
  <c r="F48" i="44"/>
  <c r="J47" i="44"/>
  <c r="F47" i="44"/>
  <c r="J46" i="44"/>
  <c r="F46" i="44"/>
  <c r="J45" i="44"/>
  <c r="F45" i="44"/>
  <c r="J44" i="44"/>
  <c r="F44" i="44"/>
  <c r="J43" i="44"/>
  <c r="F43" i="44"/>
  <c r="J42" i="44"/>
  <c r="F42" i="44"/>
  <c r="J41" i="44"/>
  <c r="F41" i="44"/>
  <c r="J40" i="44"/>
  <c r="F40" i="44"/>
  <c r="J39" i="44"/>
  <c r="F39" i="44"/>
  <c r="J38" i="44"/>
  <c r="F38" i="44"/>
  <c r="J37" i="44"/>
  <c r="F37" i="44"/>
  <c r="J35" i="44"/>
  <c r="F35" i="44"/>
  <c r="J34" i="44"/>
  <c r="F34" i="44"/>
  <c r="J33" i="44"/>
  <c r="F33" i="44"/>
  <c r="J32" i="44"/>
  <c r="F32" i="44"/>
  <c r="J31" i="44"/>
  <c r="F31" i="44"/>
  <c r="J30" i="44"/>
  <c r="F30" i="44"/>
  <c r="J29" i="44"/>
  <c r="F29" i="44"/>
  <c r="J28" i="44"/>
  <c r="F28" i="44"/>
  <c r="J27" i="44"/>
  <c r="F27" i="44"/>
  <c r="J26" i="44"/>
  <c r="F26" i="44"/>
  <c r="J25" i="44"/>
  <c r="F25" i="44"/>
  <c r="J24" i="44"/>
  <c r="F24" i="44"/>
  <c r="J23" i="44"/>
  <c r="F23" i="44"/>
  <c r="J22" i="44"/>
  <c r="F22" i="44"/>
  <c r="J21" i="44"/>
  <c r="F21" i="44"/>
  <c r="J20" i="44"/>
  <c r="F20" i="44"/>
  <c r="J19" i="44"/>
  <c r="F19" i="44"/>
  <c r="J18" i="44"/>
  <c r="F18" i="44"/>
  <c r="J17" i="44"/>
  <c r="F17" i="44"/>
  <c r="J16" i="44"/>
  <c r="F16" i="44"/>
  <c r="J15" i="44"/>
  <c r="F15" i="44"/>
  <c r="J14" i="44"/>
  <c r="F14" i="44"/>
  <c r="J13" i="44"/>
  <c r="F13" i="44"/>
  <c r="J12" i="44"/>
  <c r="F12" i="44"/>
  <c r="J11" i="44"/>
  <c r="F11" i="44"/>
  <c r="J10" i="44"/>
  <c r="F10" i="44"/>
  <c r="J9" i="44"/>
  <c r="F9" i="44"/>
  <c r="J8" i="44"/>
  <c r="F8" i="44"/>
  <c r="J7" i="44"/>
  <c r="J6" i="44"/>
  <c r="F6" i="44"/>
  <c r="AB4" i="44"/>
  <c r="M4" i="44"/>
  <c r="B1" i="44"/>
  <c r="D6" i="17" l="1"/>
  <c r="F8" i="17" l="1"/>
  <c r="E6" i="17"/>
  <c r="F6" i="17" s="1"/>
  <c r="F7" i="17"/>
  <c r="AO19" i="18" l="1"/>
  <c r="AO18" i="18"/>
  <c r="AO17" i="18"/>
  <c r="AO16" i="18"/>
  <c r="AO15" i="18"/>
  <c r="AO14" i="18"/>
  <c r="AO13" i="18"/>
  <c r="AO12" i="18"/>
  <c r="AO11" i="18"/>
  <c r="AO10" i="18"/>
  <c r="AO9" i="18"/>
  <c r="AO8" i="18"/>
  <c r="AO7" i="18"/>
  <c r="AN10" i="21"/>
  <c r="AN7" i="21" s="1"/>
  <c r="AO9" i="21" l="1"/>
  <c r="AO13" i="21"/>
  <c r="AO8" i="21"/>
  <c r="AO12" i="21"/>
  <c r="AO7" i="21"/>
  <c r="AO11" i="21"/>
  <c r="AO10" i="21"/>
  <c r="X16" i="17" l="1"/>
  <c r="AR22" i="18"/>
  <c r="AR21" i="18"/>
  <c r="AR20" i="18"/>
  <c r="AR19" i="18"/>
  <c r="AR18" i="18"/>
  <c r="AR17" i="18"/>
  <c r="AR16" i="18"/>
  <c r="AR15" i="18"/>
  <c r="AR14" i="18"/>
  <c r="AR13" i="18"/>
  <c r="AR12" i="18"/>
  <c r="AR11" i="18"/>
  <c r="AR10" i="18"/>
  <c r="AR9" i="18"/>
  <c r="AR8" i="18"/>
  <c r="AR7" i="18"/>
  <c r="AU19" i="18"/>
  <c r="AU18" i="18"/>
  <c r="AU17" i="18"/>
  <c r="AU16" i="18"/>
  <c r="AU15" i="18"/>
  <c r="AU14" i="18"/>
  <c r="AU13" i="18"/>
  <c r="AU12" i="18"/>
  <c r="AU11" i="18"/>
  <c r="AU10" i="18"/>
  <c r="AU9" i="18"/>
  <c r="AU8" i="18"/>
  <c r="AU7" i="18"/>
  <c r="AP15" i="21"/>
  <c r="AP14" i="21"/>
  <c r="AP13" i="21"/>
  <c r="AP12" i="21"/>
  <c r="AP11" i="21"/>
  <c r="AP10" i="21" s="1"/>
  <c r="AP9" i="21"/>
  <c r="AP8" i="21"/>
  <c r="AR10" i="21"/>
  <c r="AS18" i="18" l="1"/>
  <c r="AS10" i="18"/>
  <c r="AS9" i="18"/>
  <c r="AS15" i="18"/>
  <c r="AS13" i="18"/>
  <c r="AR7" i="21"/>
  <c r="AS7" i="21" s="1"/>
  <c r="AS17" i="18"/>
  <c r="AS12" i="18"/>
  <c r="AS19" i="18"/>
  <c r="AS16" i="18"/>
  <c r="AS7" i="18"/>
  <c r="AS8" i="18"/>
  <c r="AS11" i="18"/>
  <c r="AS14" i="18"/>
  <c r="AP7" i="21"/>
  <c r="AQ11" i="21" s="1"/>
  <c r="AQ7" i="21"/>
  <c r="AS13" i="21"/>
  <c r="AS12" i="21"/>
  <c r="AS8" i="21" l="1"/>
  <c r="AQ8" i="21"/>
  <c r="AS9" i="21"/>
  <c r="AS10" i="21"/>
  <c r="AQ10" i="21"/>
  <c r="AS11" i="21"/>
  <c r="AQ9" i="21"/>
  <c r="AQ12" i="21"/>
  <c r="AQ13" i="21"/>
  <c r="AT10" i="21" l="1"/>
  <c r="AW19" i="18"/>
  <c r="AW18" i="18"/>
  <c r="AW17" i="18"/>
  <c r="AW16" i="18"/>
  <c r="AW15" i="18"/>
  <c r="AW14" i="18"/>
  <c r="AW13" i="18"/>
  <c r="AW12" i="18"/>
  <c r="AW11" i="18"/>
  <c r="AW10" i="18"/>
  <c r="AW9" i="18"/>
  <c r="AW8" i="18"/>
  <c r="AW7" i="18"/>
  <c r="AT7" i="21" l="1"/>
  <c r="AU13" i="21"/>
  <c r="AU9" i="21"/>
  <c r="AU10" i="21"/>
  <c r="AU11" i="21"/>
  <c r="AU7" i="21"/>
  <c r="AU12" i="21"/>
  <c r="AU8" i="21"/>
  <c r="AV10" i="21" l="1"/>
  <c r="AV7" i="21" s="1"/>
  <c r="AY7" i="18"/>
  <c r="AY8" i="18"/>
  <c r="AY9" i="18"/>
  <c r="AY10" i="18"/>
  <c r="AY11" i="18"/>
  <c r="AY12" i="18"/>
  <c r="AY13" i="18"/>
  <c r="AY14" i="18"/>
  <c r="AY15" i="18"/>
  <c r="AY16" i="18"/>
  <c r="AY17" i="18"/>
  <c r="AY18" i="18"/>
  <c r="AY19" i="18"/>
  <c r="AW11" i="21" l="1"/>
  <c r="AW10" i="21"/>
  <c r="AW7" i="21"/>
  <c r="AW12" i="21"/>
  <c r="AW8" i="21"/>
  <c r="AW13" i="21"/>
  <c r="AW9" i="21"/>
  <c r="AX10" i="21" l="1"/>
  <c r="BA19" i="18"/>
  <c r="BA18" i="18"/>
  <c r="BA17" i="18"/>
  <c r="BA16" i="18"/>
  <c r="BA15" i="18"/>
  <c r="BA14" i="18"/>
  <c r="BA13" i="18"/>
  <c r="BA12" i="18"/>
  <c r="BA11" i="18"/>
  <c r="BA10" i="18"/>
  <c r="BA9" i="18"/>
  <c r="BA8" i="18"/>
  <c r="BA7" i="18"/>
  <c r="AX7" i="21" l="1"/>
  <c r="AY11" i="21" s="1"/>
  <c r="AY7" i="21"/>
  <c r="AY10" i="21"/>
  <c r="AY8" i="21"/>
  <c r="AY12" i="21"/>
  <c r="AY9" i="21" l="1"/>
  <c r="AY13" i="21"/>
  <c r="E12" i="21" l="1"/>
  <c r="E10" i="21"/>
  <c r="E13" i="21"/>
  <c r="E7" i="21"/>
  <c r="E11" i="21"/>
  <c r="E9" i="21"/>
  <c r="E8" i="21"/>
  <c r="H14" i="21" l="1"/>
  <c r="H15" i="21"/>
  <c r="G8" i="21" l="1"/>
  <c r="G12" i="21"/>
  <c r="G9" i="21"/>
  <c r="G13" i="21"/>
  <c r="G7" i="21"/>
  <c r="G11" i="21"/>
  <c r="G10" i="21"/>
  <c r="H9" i="18" l="1"/>
  <c r="H11" i="18"/>
  <c r="H13" i="18"/>
  <c r="H15" i="18"/>
  <c r="H17" i="18"/>
  <c r="H19" i="18"/>
  <c r="H21" i="18"/>
  <c r="H7" i="18"/>
  <c r="H8" i="18"/>
  <c r="H10" i="18"/>
  <c r="H12" i="18"/>
  <c r="H14" i="18"/>
  <c r="H16" i="18"/>
  <c r="H18" i="18"/>
  <c r="H20" i="18"/>
  <c r="H22" i="18"/>
  <c r="F12" i="17"/>
  <c r="F11" i="17"/>
  <c r="F34" i="22" l="1"/>
  <c r="F32" i="22"/>
  <c r="F33" i="22"/>
  <c r="I13" i="21" l="1"/>
  <c r="H13" i="21"/>
  <c r="I12" i="21"/>
  <c r="H12" i="21"/>
  <c r="I11" i="21"/>
  <c r="H11" i="21"/>
  <c r="I10" i="21"/>
  <c r="H10" i="21"/>
  <c r="I9" i="21"/>
  <c r="H9" i="21"/>
  <c r="I8" i="21"/>
  <c r="H8" i="21"/>
  <c r="I7" i="21"/>
  <c r="H7" i="21"/>
  <c r="E19" i="18" l="1"/>
  <c r="E18" i="18"/>
  <c r="E17" i="18"/>
  <c r="E16" i="18"/>
  <c r="E15" i="18"/>
  <c r="E14" i="18"/>
  <c r="E13" i="18"/>
  <c r="E12" i="18"/>
  <c r="E11" i="18"/>
  <c r="E10" i="18"/>
  <c r="E9" i="18"/>
  <c r="E8" i="18"/>
  <c r="G7" i="18"/>
  <c r="I9" i="18" l="1"/>
  <c r="I13" i="18"/>
  <c r="I17" i="18"/>
  <c r="I7" i="18"/>
  <c r="I11" i="18"/>
  <c r="I15" i="18"/>
  <c r="I19" i="18"/>
  <c r="I8" i="18"/>
  <c r="I10" i="18"/>
  <c r="I12" i="18"/>
  <c r="I14" i="18"/>
  <c r="I16" i="18"/>
  <c r="I18" i="18"/>
  <c r="F16" i="17"/>
  <c r="G3" i="1" l="1"/>
  <c r="G4" i="1"/>
  <c r="G5" i="1"/>
  <c r="G6" i="1"/>
  <c r="G7" i="1"/>
  <c r="G9" i="1"/>
  <c r="G12" i="1"/>
  <c r="G13" i="1"/>
  <c r="G14" i="1"/>
  <c r="G15" i="1"/>
  <c r="G16" i="1"/>
  <c r="G17" i="1"/>
  <c r="G18" i="1"/>
  <c r="G20" i="1"/>
  <c r="G21" i="1"/>
  <c r="G22" i="1"/>
  <c r="G2" i="1"/>
  <c r="I4" i="1"/>
  <c r="I5" i="1"/>
  <c r="I8" i="1"/>
  <c r="I9" i="1"/>
  <c r="I10" i="1"/>
  <c r="I11" i="1"/>
  <c r="B1" i="21" s="1"/>
  <c r="I13" i="1"/>
  <c r="B1" i="22" s="1"/>
  <c r="I14" i="1"/>
  <c r="I15" i="1"/>
  <c r="I16" i="1"/>
  <c r="I17" i="1"/>
  <c r="I2" i="1"/>
  <c r="B1" i="17" s="1"/>
  <c r="B1" i="18" l="1"/>
</calcChain>
</file>

<file path=xl/comments1.xml><?xml version="1.0" encoding="utf-8"?>
<comments xmlns="http://schemas.openxmlformats.org/spreadsheetml/2006/main">
  <authors>
    <author>master</author>
  </authors>
  <commentList>
    <comment ref="D5" authorId="0" shapeId="0">
      <text>
        <r>
          <rPr>
            <b/>
            <sz val="9"/>
            <color indexed="81"/>
            <rFont val="Tahoma"/>
            <family val="2"/>
          </rPr>
          <t>master:
YTD basis</t>
        </r>
      </text>
    </comment>
    <comment ref="E5" authorId="0" shapeId="0">
      <text>
        <r>
          <rPr>
            <b/>
            <sz val="9"/>
            <color indexed="81"/>
            <rFont val="Tahoma"/>
            <family val="2"/>
          </rPr>
          <t>master:</t>
        </r>
        <r>
          <rPr>
            <sz val="9"/>
            <color indexed="81"/>
            <rFont val="Tahoma"/>
            <family val="2"/>
          </rPr>
          <t xml:space="preserve">
YTD basis</t>
        </r>
      </text>
    </comment>
    <comment ref="D10" authorId="0" shapeId="0">
      <text>
        <r>
          <rPr>
            <b/>
            <sz val="9"/>
            <color indexed="81"/>
            <rFont val="Tahoma"/>
            <family val="2"/>
          </rPr>
          <t>master:</t>
        </r>
        <r>
          <rPr>
            <sz val="9"/>
            <color indexed="81"/>
            <rFont val="Tahoma"/>
            <family val="2"/>
          </rPr>
          <t xml:space="preserve">
YTD  basis</t>
        </r>
      </text>
    </comment>
    <comment ref="E10" authorId="0" shapeId="0">
      <text>
        <r>
          <rPr>
            <b/>
            <sz val="9"/>
            <color indexed="81"/>
            <rFont val="Tahoma"/>
            <family val="2"/>
          </rPr>
          <t>master:</t>
        </r>
        <r>
          <rPr>
            <sz val="9"/>
            <color indexed="81"/>
            <rFont val="Tahoma"/>
            <family val="2"/>
          </rPr>
          <t xml:space="preserve">
YTD basis</t>
        </r>
      </text>
    </comment>
    <comment ref="D13" authorId="0" shapeId="0">
      <text>
        <r>
          <rPr>
            <b/>
            <sz val="9"/>
            <color indexed="81"/>
            <rFont val="Tahoma"/>
            <family val="2"/>
          </rPr>
          <t>master:</t>
        </r>
        <r>
          <rPr>
            <sz val="9"/>
            <color indexed="81"/>
            <rFont val="Tahoma"/>
            <family val="2"/>
          </rPr>
          <t xml:space="preserve">
YTD basis</t>
        </r>
      </text>
    </comment>
    <comment ref="E13" authorId="0" shapeId="0">
      <text>
        <r>
          <rPr>
            <b/>
            <sz val="9"/>
            <color indexed="81"/>
            <rFont val="Tahoma"/>
            <family val="2"/>
          </rPr>
          <t>master:</t>
        </r>
        <r>
          <rPr>
            <sz val="9"/>
            <color indexed="81"/>
            <rFont val="Tahoma"/>
            <family val="2"/>
          </rPr>
          <t xml:space="preserve">
YTD basis</t>
        </r>
      </text>
    </comment>
  </commentList>
</comments>
</file>

<file path=xl/comments2.xml><?xml version="1.0" encoding="utf-8"?>
<comments xmlns="http://schemas.openxmlformats.org/spreadsheetml/2006/main">
  <authors>
    <author>master</author>
  </authors>
  <commentList>
    <comment ref="E6" authorId="0" shapeId="0">
      <text>
        <r>
          <rPr>
            <b/>
            <sz val="9"/>
            <color indexed="81"/>
            <rFont val="Tahoma"/>
            <family val="2"/>
          </rPr>
          <t>master:</t>
        </r>
        <r>
          <rPr>
            <sz val="9"/>
            <color indexed="81"/>
            <rFont val="Tahoma"/>
            <family val="2"/>
          </rPr>
          <t xml:space="preserve">
YTD basis</t>
        </r>
      </text>
    </comment>
    <comment ref="G6" authorId="0" shapeId="0">
      <text>
        <r>
          <rPr>
            <b/>
            <sz val="9"/>
            <color indexed="81"/>
            <rFont val="Tahoma"/>
            <family val="2"/>
          </rPr>
          <t>master:</t>
        </r>
        <r>
          <rPr>
            <sz val="9"/>
            <color indexed="81"/>
            <rFont val="Tahoma"/>
            <family val="2"/>
          </rPr>
          <t xml:space="preserve">
YTD basis</t>
        </r>
      </text>
    </comment>
  </commentList>
</comments>
</file>

<file path=xl/sharedStrings.xml><?xml version="1.0" encoding="utf-8"?>
<sst xmlns="http://schemas.openxmlformats.org/spreadsheetml/2006/main" count="3717" uniqueCount="1990">
  <si>
    <t>수입보험료 실적</t>
    <phoneticPr fontId="1" type="noConversion"/>
  </si>
  <si>
    <t>초회보험료</t>
    <phoneticPr fontId="1" type="noConversion"/>
  </si>
  <si>
    <t>초년도보험료</t>
    <phoneticPr fontId="1" type="noConversion"/>
  </si>
  <si>
    <t>채널별 초년도보험료</t>
    <phoneticPr fontId="1" type="noConversion"/>
  </si>
  <si>
    <t>상품/채널별 APE</t>
    <phoneticPr fontId="1" type="noConversion"/>
  </si>
  <si>
    <t>변액보험</t>
    <phoneticPr fontId="1" type="noConversion"/>
  </si>
  <si>
    <t>퇴직연금</t>
    <phoneticPr fontId="1" type="noConversion"/>
  </si>
  <si>
    <t>경영효율성</t>
    <phoneticPr fontId="1" type="noConversion"/>
  </si>
  <si>
    <t>손해율</t>
    <phoneticPr fontId="1" type="noConversion"/>
  </si>
  <si>
    <t>유지율</t>
    <phoneticPr fontId="1" type="noConversion"/>
  </si>
  <si>
    <t>보유고객</t>
    <phoneticPr fontId="1" type="noConversion"/>
  </si>
  <si>
    <t>자산 포트폴리오</t>
    <phoneticPr fontId="1" type="noConversion"/>
  </si>
  <si>
    <t>자산별 투자성과</t>
    <phoneticPr fontId="1" type="noConversion"/>
  </si>
  <si>
    <t>자산건전성</t>
    <phoneticPr fontId="1" type="noConversion"/>
  </si>
  <si>
    <t>적립금비중</t>
    <phoneticPr fontId="1" type="noConversion"/>
  </si>
  <si>
    <t>평균부담금리</t>
    <phoneticPr fontId="1" type="noConversion"/>
  </si>
  <si>
    <t>자산운용</t>
    <phoneticPr fontId="1" type="noConversion"/>
  </si>
  <si>
    <t>재무안정성</t>
    <phoneticPr fontId="1" type="noConversion"/>
  </si>
  <si>
    <t>(BN KRW, %, %p)</t>
    <phoneticPr fontId="1" type="noConversion"/>
  </si>
  <si>
    <t>Solvency Capital</t>
    <phoneticPr fontId="1" type="noConversion"/>
  </si>
  <si>
    <t>Required Capital</t>
    <phoneticPr fontId="1" type="noConversion"/>
  </si>
  <si>
    <t>Total Assets</t>
    <phoneticPr fontId="1" type="noConversion"/>
  </si>
  <si>
    <t>Total Liabilities</t>
    <phoneticPr fontId="1" type="noConversion"/>
  </si>
  <si>
    <t>Total Equity</t>
    <phoneticPr fontId="1" type="noConversion"/>
  </si>
  <si>
    <t>Non-Operating Income</t>
    <phoneticPr fontId="1" type="noConversion"/>
  </si>
  <si>
    <t>Income Tax Expenses</t>
    <phoneticPr fontId="1" type="noConversion"/>
  </si>
  <si>
    <t>Net Income</t>
    <phoneticPr fontId="1" type="noConversion"/>
  </si>
  <si>
    <t>Q2</t>
    <phoneticPr fontId="1" type="noConversion"/>
  </si>
  <si>
    <t>Q4</t>
    <phoneticPr fontId="1" type="noConversion"/>
  </si>
  <si>
    <t>Q1</t>
    <phoneticPr fontId="1" type="noConversion"/>
  </si>
  <si>
    <t>Q3</t>
    <phoneticPr fontId="1" type="noConversion"/>
  </si>
  <si>
    <t>FY</t>
    <phoneticPr fontId="1" type="noConversion"/>
  </si>
  <si>
    <t>YoY</t>
    <phoneticPr fontId="1" type="noConversion"/>
  </si>
  <si>
    <t>현금및현금성자산</t>
  </si>
  <si>
    <t>종속기업투자주식</t>
  </si>
  <si>
    <t>유형자산</t>
  </si>
  <si>
    <t>투자부동산</t>
  </si>
  <si>
    <t>무형자산</t>
  </si>
  <si>
    <t>당기/이연법인세자산</t>
  </si>
  <si>
    <t>기타자산</t>
  </si>
  <si>
    <t>자산계</t>
  </si>
  <si>
    <t>보험계약부채</t>
  </si>
  <si>
    <t>차입부채</t>
  </si>
  <si>
    <t>확정급여부채</t>
  </si>
  <si>
    <t>충당부채</t>
  </si>
  <si>
    <t>당기/이연법인세부채</t>
  </si>
  <si>
    <t>기타부채</t>
  </si>
  <si>
    <t>부채계</t>
  </si>
  <si>
    <t>자본금</t>
  </si>
  <si>
    <t>자본잉여금</t>
  </si>
  <si>
    <t>이익잉여금</t>
  </si>
  <si>
    <t>자본조정</t>
  </si>
  <si>
    <t>기타포괄손익누계액</t>
  </si>
  <si>
    <t>자본계</t>
    <phoneticPr fontId="1" type="noConversion"/>
  </si>
  <si>
    <t>Cash and cash equivalents</t>
  </si>
  <si>
    <t>Investments in subsidiaries</t>
  </si>
  <si>
    <t>Tangible assets</t>
  </si>
  <si>
    <t>Investment in real estate</t>
  </si>
  <si>
    <t>Intangible assets</t>
  </si>
  <si>
    <t>Current/Deferred tax assets</t>
  </si>
  <si>
    <t>Other assets</t>
  </si>
  <si>
    <t>Total assets</t>
  </si>
  <si>
    <t>Borrowings</t>
  </si>
  <si>
    <t>Defined benefit liabilities</t>
  </si>
  <si>
    <t>Provisions</t>
  </si>
  <si>
    <t>Current/Deferred tax liabilities</t>
  </si>
  <si>
    <t>Other liabilities</t>
  </si>
  <si>
    <t>Total liabilities</t>
  </si>
  <si>
    <t>Capital stock</t>
  </si>
  <si>
    <t>Capital surplus</t>
  </si>
  <si>
    <t>Retained earnings</t>
  </si>
  <si>
    <t>Capital adjustment</t>
  </si>
  <si>
    <t>Other comprehensive income</t>
  </si>
  <si>
    <t>Total equity</t>
  </si>
  <si>
    <t>Unconsolidated B/S</t>
    <phoneticPr fontId="1" type="noConversion"/>
  </si>
  <si>
    <t>별도 재무상태표</t>
    <phoneticPr fontId="1" type="noConversion"/>
  </si>
  <si>
    <t>연결 재무상태표</t>
    <phoneticPr fontId="1" type="noConversion"/>
  </si>
  <si>
    <t>Consolidated B/S</t>
    <phoneticPr fontId="1" type="noConversion"/>
  </si>
  <si>
    <t>별도 손익계산서</t>
    <phoneticPr fontId="1" type="noConversion"/>
  </si>
  <si>
    <t>연결 손익계산서</t>
    <phoneticPr fontId="1" type="noConversion"/>
  </si>
  <si>
    <t>Consolidated I/S</t>
    <phoneticPr fontId="1" type="noConversion"/>
  </si>
  <si>
    <t>Unconsolidated I/S</t>
    <phoneticPr fontId="1" type="noConversion"/>
  </si>
  <si>
    <t>영업손익</t>
  </si>
  <si>
    <t>영업외손익</t>
  </si>
  <si>
    <t>영업외수익</t>
  </si>
  <si>
    <t>영업외비용</t>
  </si>
  <si>
    <t>세전이익</t>
  </si>
  <si>
    <t>법인세비용</t>
  </si>
  <si>
    <t>당기순이익</t>
  </si>
  <si>
    <t>Other expenses</t>
  </si>
  <si>
    <t>Earnings before tax</t>
  </si>
  <si>
    <t>수입보험료</t>
    <phoneticPr fontId="1" type="noConversion"/>
  </si>
  <si>
    <t>보장성보험</t>
  </si>
  <si>
    <t xml:space="preserve">   일반종신/CI</t>
  </si>
  <si>
    <t xml:space="preserve">   변액종신/CI</t>
  </si>
  <si>
    <t xml:space="preserve">   기타보장</t>
  </si>
  <si>
    <t>연금보험</t>
  </si>
  <si>
    <t xml:space="preserve">   일반연금</t>
  </si>
  <si>
    <t xml:space="preserve">   변액연금</t>
  </si>
  <si>
    <t>저축보험</t>
  </si>
  <si>
    <t xml:space="preserve">   일반저축</t>
  </si>
  <si>
    <t xml:space="preserve">   변액저축</t>
  </si>
  <si>
    <t>개인보험</t>
    <phoneticPr fontId="1" type="noConversion"/>
  </si>
  <si>
    <t>단체보험</t>
    <phoneticPr fontId="1" type="noConversion"/>
  </si>
  <si>
    <t>보장성</t>
    <phoneticPr fontId="1" type="noConversion"/>
  </si>
  <si>
    <t>저축성</t>
    <phoneticPr fontId="1" type="noConversion"/>
  </si>
  <si>
    <t>퇴직</t>
    <phoneticPr fontId="1" type="noConversion"/>
  </si>
  <si>
    <t>General Protections</t>
    <phoneticPr fontId="1" type="noConversion"/>
  </si>
  <si>
    <t>General Savings</t>
    <phoneticPr fontId="1" type="noConversion"/>
  </si>
  <si>
    <t>Variable Protections</t>
    <phoneticPr fontId="1" type="noConversion"/>
  </si>
  <si>
    <t>Variable Investments</t>
    <phoneticPr fontId="1" type="noConversion"/>
  </si>
  <si>
    <t>일반저축성</t>
    <phoneticPr fontId="1" type="noConversion"/>
  </si>
  <si>
    <t>합계</t>
    <phoneticPr fontId="1" type="noConversion"/>
  </si>
  <si>
    <t>일반보험</t>
    <phoneticPr fontId="1" type="noConversion"/>
  </si>
  <si>
    <t>일반보장성</t>
    <phoneticPr fontId="1" type="noConversion"/>
  </si>
  <si>
    <t>General Types</t>
    <phoneticPr fontId="1" type="noConversion"/>
  </si>
  <si>
    <t>Variable Types</t>
    <phoneticPr fontId="1" type="noConversion"/>
  </si>
  <si>
    <t>General whole life</t>
    <phoneticPr fontId="1" type="noConversion"/>
  </si>
  <si>
    <t>Variable whole life</t>
    <phoneticPr fontId="1" type="noConversion"/>
  </si>
  <si>
    <t>Annuities</t>
    <phoneticPr fontId="1" type="noConversion"/>
  </si>
  <si>
    <t>Savings / Investments</t>
    <phoneticPr fontId="1" type="noConversion"/>
  </si>
  <si>
    <t>General annuities</t>
    <phoneticPr fontId="1" type="noConversion"/>
  </si>
  <si>
    <t>Variable annuities</t>
    <phoneticPr fontId="1" type="noConversion"/>
  </si>
  <si>
    <t>General savings</t>
    <phoneticPr fontId="1" type="noConversion"/>
  </si>
  <si>
    <t>Variable investments</t>
    <phoneticPr fontId="1" type="noConversion"/>
  </si>
  <si>
    <t>Protections</t>
    <phoneticPr fontId="1" type="noConversion"/>
  </si>
  <si>
    <t>Individual</t>
    <phoneticPr fontId="1" type="noConversion"/>
  </si>
  <si>
    <t>Groups</t>
    <phoneticPr fontId="1" type="noConversion"/>
  </si>
  <si>
    <t>Savings</t>
    <phoneticPr fontId="1" type="noConversion"/>
  </si>
  <si>
    <t>Total</t>
    <phoneticPr fontId="1" type="noConversion"/>
  </si>
  <si>
    <t>Premium Income</t>
    <phoneticPr fontId="1" type="noConversion"/>
  </si>
  <si>
    <t>계정별 분류</t>
    <phoneticPr fontId="1" type="noConversion"/>
  </si>
  <si>
    <t>Others</t>
    <phoneticPr fontId="1" type="noConversion"/>
  </si>
  <si>
    <t>Retirement pensions</t>
    <phoneticPr fontId="1" type="noConversion"/>
  </si>
  <si>
    <t>재무 실적</t>
    <phoneticPr fontId="1" type="noConversion"/>
  </si>
  <si>
    <t>위험기준지급여력금액</t>
    <phoneticPr fontId="1" type="noConversion"/>
  </si>
  <si>
    <t>K-IFRS 재무상태표</t>
    <phoneticPr fontId="1" type="noConversion"/>
  </si>
  <si>
    <t>K-IFRS 손익계산서</t>
    <phoneticPr fontId="1" type="noConversion"/>
  </si>
  <si>
    <t>수입보험료</t>
    <phoneticPr fontId="1" type="noConversion"/>
  </si>
  <si>
    <t>Financial Results</t>
    <phoneticPr fontId="1" type="noConversion"/>
  </si>
  <si>
    <t>K-IFRS Balance Sheet</t>
    <phoneticPr fontId="1" type="noConversion"/>
  </si>
  <si>
    <t>K-IFRS Income Statement</t>
    <phoneticPr fontId="1" type="noConversion"/>
  </si>
  <si>
    <t>SAP Balance Sheet</t>
    <phoneticPr fontId="1" type="noConversion"/>
  </si>
  <si>
    <t>SAP Income Statement</t>
    <phoneticPr fontId="1" type="noConversion"/>
  </si>
  <si>
    <t>Premium Income</t>
    <phoneticPr fontId="1" type="noConversion"/>
  </si>
  <si>
    <t>Initial Premium</t>
    <phoneticPr fontId="1" type="noConversion"/>
  </si>
  <si>
    <t>First Year Premium</t>
    <phoneticPr fontId="1" type="noConversion"/>
  </si>
  <si>
    <t>APE Breakdown</t>
    <phoneticPr fontId="1" type="noConversion"/>
  </si>
  <si>
    <t>Variable Insurance</t>
    <phoneticPr fontId="1" type="noConversion"/>
  </si>
  <si>
    <t>Retirement Pension</t>
    <phoneticPr fontId="1" type="noConversion"/>
  </si>
  <si>
    <t>Efficiencies</t>
    <phoneticPr fontId="1" type="noConversion"/>
  </si>
  <si>
    <t>Loss Ratio</t>
    <phoneticPr fontId="1" type="noConversion"/>
  </si>
  <si>
    <t>Asset Management</t>
    <phoneticPr fontId="1" type="noConversion"/>
  </si>
  <si>
    <t>Asset Quality</t>
    <phoneticPr fontId="1" type="noConversion"/>
  </si>
  <si>
    <t>Reserves Breakdown</t>
    <phoneticPr fontId="1" type="noConversion"/>
  </si>
  <si>
    <t>Financial Stability</t>
    <phoneticPr fontId="1" type="noConversion"/>
  </si>
  <si>
    <t>Crediting Rates</t>
    <phoneticPr fontId="1" type="noConversion"/>
  </si>
  <si>
    <t>Asset-Liability Duration</t>
    <phoneticPr fontId="1" type="noConversion"/>
  </si>
  <si>
    <t>Asset-Liability Interest</t>
    <phoneticPr fontId="1" type="noConversion"/>
  </si>
  <si>
    <t>ENGLISH</t>
    <phoneticPr fontId="1" type="noConversion"/>
  </si>
  <si>
    <t>KOREAN</t>
    <phoneticPr fontId="1" type="noConversion"/>
  </si>
  <si>
    <t>LANGUAGE SELECTOR</t>
    <phoneticPr fontId="1" type="noConversion"/>
  </si>
  <si>
    <t>Condensed F/S</t>
    <phoneticPr fontId="1" type="noConversion"/>
  </si>
  <si>
    <t>재무실적 요약</t>
    <phoneticPr fontId="1" type="noConversion"/>
  </si>
  <si>
    <t>보험회계기준 (SAP) 재무상태표</t>
    <phoneticPr fontId="1" type="noConversion"/>
  </si>
  <si>
    <t>보험회계기준 (SAP) 손익계산서</t>
    <phoneticPr fontId="1" type="noConversion"/>
  </si>
  <si>
    <t>자산부채 듀레이션</t>
    <phoneticPr fontId="1" type="noConversion"/>
  </si>
  <si>
    <t>자산부채 금리</t>
    <phoneticPr fontId="1" type="noConversion"/>
  </si>
  <si>
    <t>별도기준</t>
    <phoneticPr fontId="1" type="noConversion"/>
  </si>
  <si>
    <t>자산총계</t>
    <phoneticPr fontId="1" type="noConversion"/>
  </si>
  <si>
    <t>부채총계</t>
    <phoneticPr fontId="1" type="noConversion"/>
  </si>
  <si>
    <t>자본총계</t>
    <phoneticPr fontId="1" type="noConversion"/>
  </si>
  <si>
    <t>영업외손익</t>
    <phoneticPr fontId="1" type="noConversion"/>
  </si>
  <si>
    <t xml:space="preserve">법인세비용 </t>
    <phoneticPr fontId="1" type="noConversion"/>
  </si>
  <si>
    <t>당기순이익</t>
    <phoneticPr fontId="1" type="noConversion"/>
  </si>
  <si>
    <t>지급여력금액</t>
    <phoneticPr fontId="1" type="noConversion"/>
  </si>
  <si>
    <t>연결기준</t>
    <phoneticPr fontId="1" type="noConversion"/>
  </si>
  <si>
    <t>Initial Premiums</t>
    <phoneticPr fontId="1" type="noConversion"/>
  </si>
  <si>
    <t>일시납</t>
    <phoneticPr fontId="1" type="noConversion"/>
  </si>
  <si>
    <t>비일시납</t>
    <phoneticPr fontId="1" type="noConversion"/>
  </si>
  <si>
    <t>Installments</t>
    <phoneticPr fontId="1" type="noConversion"/>
  </si>
  <si>
    <t>Lumpsum payments</t>
    <phoneticPr fontId="1" type="noConversion"/>
  </si>
  <si>
    <t>First Year Premiums</t>
    <phoneticPr fontId="1" type="noConversion"/>
  </si>
  <si>
    <t>Consolidated Basis</t>
    <phoneticPr fontId="1" type="noConversion"/>
  </si>
  <si>
    <t>Unconsolidated Basis</t>
    <phoneticPr fontId="1" type="noConversion"/>
  </si>
  <si>
    <t>방카슈랑스</t>
  </si>
  <si>
    <t>기타</t>
  </si>
  <si>
    <t>Premium Breakdown</t>
    <phoneticPr fontId="1" type="noConversion"/>
  </si>
  <si>
    <t>GA</t>
    <phoneticPr fontId="1" type="noConversion"/>
  </si>
  <si>
    <t>채널별 초회보험료</t>
    <phoneticPr fontId="1" type="noConversion"/>
  </si>
  <si>
    <t>변액투자형</t>
    <phoneticPr fontId="1" type="noConversion"/>
  </si>
  <si>
    <t>변액보장형</t>
    <phoneticPr fontId="1" type="noConversion"/>
  </si>
  <si>
    <t>Breakdown by Account Types</t>
    <phoneticPr fontId="1" type="noConversion"/>
  </si>
  <si>
    <t>Fee-Biz</t>
    <phoneticPr fontId="1" type="noConversion"/>
  </si>
  <si>
    <t>Fee-Based Business</t>
    <phoneticPr fontId="1" type="noConversion"/>
  </si>
  <si>
    <t>적립금</t>
    <phoneticPr fontId="1" type="noConversion"/>
  </si>
  <si>
    <t>자산관리계약</t>
    <phoneticPr fontId="1" type="noConversion"/>
  </si>
  <si>
    <t>운용관리계약</t>
    <phoneticPr fontId="1" type="noConversion"/>
  </si>
  <si>
    <t>수수료수입</t>
    <phoneticPr fontId="1" type="noConversion"/>
  </si>
  <si>
    <t>Fee-Biz 합계</t>
    <phoneticPr fontId="1" type="noConversion"/>
  </si>
  <si>
    <t>Reserves</t>
    <phoneticPr fontId="1" type="noConversion"/>
  </si>
  <si>
    <t>General protections</t>
    <phoneticPr fontId="1" type="noConversion"/>
  </si>
  <si>
    <t>General types</t>
    <phoneticPr fontId="1" type="noConversion"/>
  </si>
  <si>
    <t>Variable types</t>
    <phoneticPr fontId="1" type="noConversion"/>
  </si>
  <si>
    <t>Variable protections</t>
    <phoneticPr fontId="1" type="noConversion"/>
  </si>
  <si>
    <t>Variable insurance</t>
    <phoneticPr fontId="1" type="noConversion"/>
  </si>
  <si>
    <t>Fee income</t>
    <phoneticPr fontId="1" type="noConversion"/>
  </si>
  <si>
    <t>Retirement pension</t>
    <phoneticPr fontId="1" type="noConversion"/>
  </si>
  <si>
    <t>Asset mgmt. contracts</t>
    <phoneticPr fontId="1" type="noConversion"/>
  </si>
  <si>
    <t>Operation mgmt. contracts</t>
    <phoneticPr fontId="1" type="noConversion"/>
  </si>
  <si>
    <t>Fee-Biz total</t>
    <phoneticPr fontId="1" type="noConversion"/>
  </si>
  <si>
    <t>Policy Persistency</t>
    <phoneticPr fontId="1" type="noConversion"/>
  </si>
  <si>
    <t>보험금</t>
    <phoneticPr fontId="1" type="noConversion"/>
  </si>
  <si>
    <t>위험보험료</t>
    <phoneticPr fontId="1" type="noConversion"/>
  </si>
  <si>
    <t>Benefits paid</t>
    <phoneticPr fontId="1" type="noConversion"/>
  </si>
  <si>
    <t>Risk premiums</t>
    <phoneticPr fontId="1" type="noConversion"/>
  </si>
  <si>
    <t>계약유지율</t>
    <phoneticPr fontId="1" type="noConversion"/>
  </si>
  <si>
    <t>보유고객 수</t>
    <phoneticPr fontId="1" type="noConversion"/>
  </si>
  <si>
    <t>13회차</t>
    <phoneticPr fontId="1" type="noConversion"/>
  </si>
  <si>
    <t>25회차</t>
    <phoneticPr fontId="1" type="noConversion"/>
  </si>
  <si>
    <t>13th Month</t>
    <phoneticPr fontId="1" type="noConversion"/>
  </si>
  <si>
    <t>25th Month</t>
    <phoneticPr fontId="1" type="noConversion"/>
  </si>
  <si>
    <t>No. of policy holders</t>
    <phoneticPr fontId="1" type="noConversion"/>
  </si>
  <si>
    <t>Investment Yield</t>
    <phoneticPr fontId="1" type="noConversion"/>
  </si>
  <si>
    <t>운용자산</t>
  </si>
  <si>
    <t>대출채권</t>
    <phoneticPr fontId="1" type="noConversion"/>
  </si>
  <si>
    <t>현금및예금</t>
    <phoneticPr fontId="1" type="noConversion"/>
  </si>
  <si>
    <t>채권</t>
    <phoneticPr fontId="1" type="noConversion"/>
  </si>
  <si>
    <t>주식</t>
    <phoneticPr fontId="1" type="noConversion"/>
  </si>
  <si>
    <t>수익증권</t>
    <phoneticPr fontId="1" type="noConversion"/>
  </si>
  <si>
    <t>해외증권</t>
    <phoneticPr fontId="1" type="noConversion"/>
  </si>
  <si>
    <t>부동산</t>
    <phoneticPr fontId="1" type="noConversion"/>
  </si>
  <si>
    <t>비운용자산</t>
    <phoneticPr fontId="1" type="noConversion"/>
  </si>
  <si>
    <t>Asset Portfolio</t>
    <phoneticPr fontId="1" type="noConversion"/>
  </si>
  <si>
    <t>약관대출</t>
    <phoneticPr fontId="1" type="noConversion"/>
  </si>
  <si>
    <t>신용대출</t>
    <phoneticPr fontId="1" type="noConversion"/>
  </si>
  <si>
    <t>담보대출</t>
    <phoneticPr fontId="1" type="noConversion"/>
  </si>
  <si>
    <t>충당금등</t>
    <phoneticPr fontId="1" type="noConversion"/>
  </si>
  <si>
    <t>외화채권</t>
    <phoneticPr fontId="1" type="noConversion"/>
  </si>
  <si>
    <t>특별계정자산</t>
    <phoneticPr fontId="1" type="noConversion"/>
  </si>
  <si>
    <t>자산계</t>
    <phoneticPr fontId="1" type="noConversion"/>
  </si>
  <si>
    <t>Cash and deposits</t>
    <phoneticPr fontId="1" type="noConversion"/>
  </si>
  <si>
    <t>Loans</t>
    <phoneticPr fontId="1" type="noConversion"/>
  </si>
  <si>
    <t>Bonds</t>
  </si>
  <si>
    <t>Stocks</t>
  </si>
  <si>
    <t>Overseas securities</t>
    <phoneticPr fontId="1" type="noConversion"/>
  </si>
  <si>
    <t>Real estate</t>
    <phoneticPr fontId="1" type="noConversion"/>
  </si>
  <si>
    <t>Investment funds</t>
    <phoneticPr fontId="1" type="noConversion"/>
  </si>
  <si>
    <t>Investment income</t>
    <phoneticPr fontId="1" type="noConversion"/>
  </si>
  <si>
    <t>연체율</t>
  </si>
  <si>
    <t>Normal</t>
    <phoneticPr fontId="1" type="noConversion"/>
  </si>
  <si>
    <t>Precautionary</t>
    <phoneticPr fontId="1" type="noConversion"/>
  </si>
  <si>
    <t>Substandard or worse</t>
    <phoneticPr fontId="1" type="noConversion"/>
  </si>
  <si>
    <t>(Substandard)</t>
    <phoneticPr fontId="1" type="noConversion"/>
  </si>
  <si>
    <t>(Doubtful)</t>
    <phoneticPr fontId="1" type="noConversion"/>
  </si>
  <si>
    <t>(Presumed loss)</t>
    <phoneticPr fontId="1" type="noConversion"/>
  </si>
  <si>
    <t>Non-performing loans (NPL) ratio</t>
    <phoneticPr fontId="1" type="noConversion"/>
  </si>
  <si>
    <t>Delinquency ratio</t>
    <phoneticPr fontId="1" type="noConversion"/>
  </si>
  <si>
    <t>대출채권</t>
    <phoneticPr fontId="1" type="noConversion"/>
  </si>
  <si>
    <t>정상</t>
    <phoneticPr fontId="1" type="noConversion"/>
  </si>
  <si>
    <t>요주의</t>
    <phoneticPr fontId="1" type="noConversion"/>
  </si>
  <si>
    <t>고정이하</t>
    <phoneticPr fontId="1" type="noConversion"/>
  </si>
  <si>
    <t>(고정)</t>
    <phoneticPr fontId="1" type="noConversion"/>
  </si>
  <si>
    <t>(회수의문)</t>
    <phoneticPr fontId="1" type="noConversion"/>
  </si>
  <si>
    <t>(추정손실)</t>
    <phoneticPr fontId="1" type="noConversion"/>
  </si>
  <si>
    <t>부실대출비율(NPL)</t>
    <phoneticPr fontId="1" type="noConversion"/>
  </si>
  <si>
    <t>Loans</t>
    <phoneticPr fontId="1" type="noConversion"/>
  </si>
  <si>
    <t>자산 듀레이션</t>
    <phoneticPr fontId="1" type="noConversion"/>
  </si>
  <si>
    <t>부채 듀레이션</t>
    <phoneticPr fontId="1" type="noConversion"/>
  </si>
  <si>
    <t>금리부자산 보유금리</t>
    <phoneticPr fontId="1" type="noConversion"/>
  </si>
  <si>
    <t>준비금 부담금리</t>
    <phoneticPr fontId="1" type="noConversion"/>
  </si>
  <si>
    <t>평균 부담금리</t>
    <phoneticPr fontId="1" type="noConversion"/>
  </si>
  <si>
    <t>금리 스프레드</t>
    <phoneticPr fontId="1" type="noConversion"/>
  </si>
  <si>
    <t>Average Crediting Rates</t>
    <phoneticPr fontId="1" type="noConversion"/>
  </si>
  <si>
    <t>Interest Spread</t>
    <phoneticPr fontId="1" type="noConversion"/>
  </si>
  <si>
    <t>Floating rate</t>
  </si>
  <si>
    <t>Fixed rate</t>
  </si>
  <si>
    <t>Total</t>
  </si>
  <si>
    <t>Asset duration</t>
    <phoneticPr fontId="1" type="noConversion"/>
  </si>
  <si>
    <t>Liability duration</t>
    <phoneticPr fontId="1" type="noConversion"/>
  </si>
  <si>
    <t>Asset yield rate</t>
    <phoneticPr fontId="1" type="noConversion"/>
  </si>
  <si>
    <t>Crediting rate for reserves</t>
    <phoneticPr fontId="1" type="noConversion"/>
  </si>
  <si>
    <t>조정 금리 갭</t>
    <phoneticPr fontId="1" type="noConversion"/>
  </si>
  <si>
    <t xml:space="preserve">조정 듀레이션 갭 </t>
    <phoneticPr fontId="1" type="noConversion"/>
  </si>
  <si>
    <t>Adjusted duration gap</t>
    <phoneticPr fontId="1" type="noConversion"/>
  </si>
  <si>
    <t>단순 금리 갭</t>
    <phoneticPr fontId="1" type="noConversion"/>
  </si>
  <si>
    <t>Interest spread</t>
    <phoneticPr fontId="1" type="noConversion"/>
  </si>
  <si>
    <t>Adjusted interest spread</t>
    <phoneticPr fontId="1" type="noConversion"/>
  </si>
  <si>
    <t xml:space="preserve">(현금및현금성자산) </t>
  </si>
  <si>
    <t xml:space="preserve">(관계·종속기업 투자주식) </t>
  </si>
  <si>
    <t>(위험회피회계적용파생상품자산)</t>
  </si>
  <si>
    <t>(비금융자산)</t>
  </si>
  <si>
    <t>(매각예정 처분자산집단에 포함된 자산)</t>
  </si>
  <si>
    <t>(특별계정자산)</t>
  </si>
  <si>
    <t xml:space="preserve">       (1) 국 채</t>
  </si>
  <si>
    <t xml:space="preserve">       (2) 공 채</t>
  </si>
  <si>
    <t xml:space="preserve">       (3) 수익증권</t>
  </si>
  <si>
    <t xml:space="preserve">       (4) 신종유가증권</t>
  </si>
  <si>
    <t xml:space="preserve">       (5) 기타유가증권</t>
  </si>
  <si>
    <t xml:space="preserve">       (2) 수익증권</t>
  </si>
  <si>
    <t xml:space="preserve">       (3) 신종유가증권</t>
  </si>
  <si>
    <t xml:space="preserve">       (4) 기타유가증권</t>
  </si>
  <si>
    <t xml:space="preserve">     [투자부동산]</t>
  </si>
  <si>
    <t>(보험계약부채)</t>
  </si>
  <si>
    <t>(위험회피회계적용파생상품부채)</t>
  </si>
  <si>
    <t>(비금융부채)</t>
  </si>
  <si>
    <t>(매각예정 처분자산집단에 포함된 부채)</t>
  </si>
  <si>
    <t>(특별계정부채)</t>
  </si>
  <si>
    <t xml:space="preserve"> </t>
  </si>
  <si>
    <t xml:space="preserve">       가. 현금흐름위험회피평가이익</t>
  </si>
  <si>
    <t xml:space="preserve">       나. 현금흐름위험회피평가손실</t>
  </si>
  <si>
    <t>Assets</t>
  </si>
  <si>
    <t>(Cash and cash equivalents)</t>
  </si>
  <si>
    <t>(Investments in associates, subsidiaries)</t>
  </si>
  <si>
    <t>(Risk hedging accounting derivative assets)</t>
  </si>
  <si>
    <t>(Non-financial assets)</t>
  </si>
  <si>
    <t>(Assets classified as held-for-sale disposal groups)</t>
  </si>
  <si>
    <t>(Separate account assets)</t>
  </si>
  <si>
    <t xml:space="preserve"> I. Invested assets</t>
  </si>
  <si>
    <t xml:space="preserve">  1. Cash and deposits</t>
  </si>
  <si>
    <t xml:space="preserve">    A. Cash and bank deposits</t>
  </si>
  <si>
    <t xml:space="preserve">       (2) Current deposits</t>
  </si>
  <si>
    <t xml:space="preserve">       (3) Pass-book deposits</t>
  </si>
  <si>
    <t xml:space="preserve">       (4) Time deposits</t>
  </si>
  <si>
    <t xml:space="preserve">       (5) Installment savings accounts</t>
  </si>
  <si>
    <t xml:space="preserve">       (6) Overseas bank deposits</t>
  </si>
  <si>
    <t xml:space="preserve">       (7) Other bank deposits</t>
  </si>
  <si>
    <t xml:space="preserve">    B. Money trust</t>
  </si>
  <si>
    <t xml:space="preserve">    C. Deposit for futures exchange</t>
  </si>
  <si>
    <t xml:space="preserve">    D. Other deposits</t>
  </si>
  <si>
    <t xml:space="preserve">  2. Securities</t>
  </si>
  <si>
    <t xml:space="preserve">   2-1. Financial assets at fair value through profit or loss</t>
  </si>
  <si>
    <t xml:space="preserve">       (1) Listed stocks</t>
  </si>
  <si>
    <t xml:space="preserve">       (2) Others</t>
  </si>
  <si>
    <t xml:space="preserve">       (1) Government bonds</t>
  </si>
  <si>
    <t xml:space="preserve">       (2) Public bonds</t>
  </si>
  <si>
    <t xml:space="preserve">       (1) Guaranteed bonds</t>
  </si>
  <si>
    <t xml:space="preserve">       (2) Unguaranteed bonds</t>
  </si>
  <si>
    <t xml:space="preserve">       (1) Stocks</t>
  </si>
  <si>
    <t xml:space="preserve">       (2) Bonds</t>
  </si>
  <si>
    <t xml:space="preserve">       (3) Beneficiary certificates</t>
  </si>
  <si>
    <t xml:space="preserve">       (4) Structured securities</t>
  </si>
  <si>
    <t xml:space="preserve">       (5) Other securities</t>
  </si>
  <si>
    <t xml:space="preserve">    C. Government and public bonds</t>
  </si>
  <si>
    <t xml:space="preserve">    D. Other public bonds</t>
  </si>
  <si>
    <t xml:space="preserve">    E. Finance debentures</t>
  </si>
  <si>
    <t xml:space="preserve">    F. Corporate bonds</t>
  </si>
  <si>
    <t xml:space="preserve">    G. Beneficiary certificates</t>
  </si>
  <si>
    <t xml:space="preserve">    H. Securities-foreign currencies</t>
  </si>
  <si>
    <t xml:space="preserve">    I. Other securities</t>
  </si>
  <si>
    <t xml:space="preserve">    A. Government and public bonds</t>
  </si>
  <si>
    <t xml:space="preserve">    B. Other public bonds</t>
  </si>
  <si>
    <t xml:space="preserve">    C. Finance debentures</t>
  </si>
  <si>
    <t xml:space="preserve">    D. Corporate bonds</t>
  </si>
  <si>
    <t xml:space="preserve">    E. Beneficiary certificates</t>
  </si>
  <si>
    <t xml:space="preserve">    F. Securities-foreign currencies</t>
  </si>
  <si>
    <t xml:space="preserve">       (1) Bonds</t>
  </si>
  <si>
    <t xml:space="preserve">       (2) Beneficiary certificates</t>
  </si>
  <si>
    <t xml:space="preserve">       (3) Structured securities</t>
  </si>
  <si>
    <t xml:space="preserve">       (4) Other securities</t>
  </si>
  <si>
    <t xml:space="preserve">    G. Other securities</t>
  </si>
  <si>
    <t xml:space="preserve">   2-4. Investments in associates, subsidiaries</t>
  </si>
  <si>
    <t xml:space="preserve">    (Investments in subsidiaries)</t>
  </si>
  <si>
    <t xml:space="preserve">    (Investments in associates)</t>
  </si>
  <si>
    <t xml:space="preserve">    C. Others</t>
  </si>
  <si>
    <t xml:space="preserve">  3. Loans</t>
  </si>
  <si>
    <t xml:space="preserve">      (Present value discount)</t>
  </si>
  <si>
    <t xml:space="preserve">      (Allowance for doubtful accounts)</t>
  </si>
  <si>
    <t xml:space="preserve">      (Deferred subsidiary earnings/expenses for loan)</t>
  </si>
  <si>
    <t xml:space="preserve">    A. Call loans</t>
  </si>
  <si>
    <t xml:space="preserve">       (1) Commercial bills discounted</t>
  </si>
  <si>
    <t xml:space="preserve">       (2) Trade bills discounted</t>
  </si>
  <si>
    <t xml:space="preserve">       (3) Others</t>
  </si>
  <si>
    <t xml:space="preserve">    G. Loan secured by third party guarantees</t>
  </si>
  <si>
    <t xml:space="preserve">    H. Other loans</t>
  </si>
  <si>
    <t xml:space="preserve">       (4) Others</t>
  </si>
  <si>
    <t xml:space="preserve">  4. Properties</t>
  </si>
  <si>
    <t xml:space="preserve">      (Accumulated impairment losses)</t>
  </si>
  <si>
    <t xml:space="preserve">     [Investment in properties]</t>
  </si>
  <si>
    <t xml:space="preserve">     - Land</t>
  </si>
  <si>
    <t xml:space="preserve">     - Buildings</t>
  </si>
  <si>
    <t xml:space="preserve">     - Overseas properties</t>
  </si>
  <si>
    <t xml:space="preserve">     - Others</t>
  </si>
  <si>
    <t xml:space="preserve">    A. Land</t>
  </si>
  <si>
    <t xml:space="preserve">    B. Buildings</t>
  </si>
  <si>
    <t xml:space="preserve">        (Accumulated depreciation)</t>
  </si>
  <si>
    <t xml:space="preserve">    C. Structures</t>
  </si>
  <si>
    <t xml:space="preserve">    D. Overseas properties</t>
  </si>
  <si>
    <t xml:space="preserve">        (1) Land</t>
  </si>
  <si>
    <t xml:space="preserve">        (2) Buildings</t>
  </si>
  <si>
    <t xml:space="preserve">        (3) Structures</t>
  </si>
  <si>
    <t xml:space="preserve">        (4) Construction in progress</t>
  </si>
  <si>
    <t xml:space="preserve">    E. Construction in progress</t>
  </si>
  <si>
    <t xml:space="preserve">    F. Other properties</t>
  </si>
  <si>
    <t xml:space="preserve"> Ⅱ. Non invested assets</t>
  </si>
  <si>
    <t xml:space="preserve">   3. Other receivables</t>
  </si>
  <si>
    <t xml:space="preserve">   4. Deposits</t>
  </si>
  <si>
    <t xml:space="preserve">       A. Deposit money</t>
  </si>
  <si>
    <t xml:space="preserve">       B. Guarantee deposits</t>
  </si>
  <si>
    <t xml:space="preserve">       C. Leasehold deposits</t>
  </si>
  <si>
    <t xml:space="preserve">       D. Other deposits</t>
  </si>
  <si>
    <t xml:space="preserve">   5. Accrued income</t>
  </si>
  <si>
    <t xml:space="preserve">   6. Prepaid expenses</t>
  </si>
  <si>
    <t xml:space="preserve">   7. Prepaid corporate income tax</t>
  </si>
  <si>
    <t xml:space="preserve">   8. Prepaid value added tax</t>
  </si>
  <si>
    <t xml:space="preserve">   9. Advance payments</t>
  </si>
  <si>
    <t xml:space="preserve">       A. General advance payments</t>
  </si>
  <si>
    <t xml:space="preserve">       B. Advance payments for property purchase</t>
  </si>
  <si>
    <t xml:space="preserve">  10. Suspense payments</t>
  </si>
  <si>
    <t xml:space="preserve">      A. General suspense payments</t>
  </si>
  <si>
    <t xml:space="preserve">      B. Suspense payments for property purchase</t>
  </si>
  <si>
    <t xml:space="preserve">  11. Suspense claim payments</t>
  </si>
  <si>
    <t xml:space="preserve">  12. Borrowings from inter-office account</t>
  </si>
  <si>
    <t xml:space="preserve">  13. Motor vehicles</t>
  </si>
  <si>
    <t xml:space="preserve">      (Accumulated depreciation)</t>
  </si>
  <si>
    <t xml:space="preserve">  14. Equipment</t>
  </si>
  <si>
    <t xml:space="preserve">  15. Leasehold facilities</t>
  </si>
  <si>
    <t xml:space="preserve">  17. Deferred tax assets</t>
  </si>
  <si>
    <t xml:space="preserve">  18. Derivatives assets</t>
  </si>
  <si>
    <t xml:space="preserve">      (Derivatives for trading)</t>
  </si>
  <si>
    <t xml:space="preserve">      (Derivatives for hedge)</t>
  </si>
  <si>
    <t xml:space="preserve">      A. Interest rate</t>
  </si>
  <si>
    <t xml:space="preserve">      B. Foreign currency</t>
  </si>
  <si>
    <t xml:space="preserve">      C. Stocks</t>
  </si>
  <si>
    <t xml:space="preserve">      D. Credit</t>
  </si>
  <si>
    <t xml:space="preserve">       E. Others</t>
  </si>
  <si>
    <t xml:space="preserve"> 19. Intangible assets</t>
  </si>
  <si>
    <t xml:space="preserve">       (Accumulated impairment losses)</t>
  </si>
  <si>
    <t xml:space="preserve">       A. Goodwill</t>
  </si>
  <si>
    <t xml:space="preserve">       B. Softwares</t>
  </si>
  <si>
    <t xml:space="preserve">       C. R&amp;D</t>
  </si>
  <si>
    <t xml:space="preserve">       D. Other intangible assets</t>
  </si>
  <si>
    <t xml:space="preserve">  20. Other tangible assets</t>
  </si>
  <si>
    <t xml:space="preserve">  22. Other non-AUM</t>
  </si>
  <si>
    <t xml:space="preserve"> Ⅲ. Separate account assets</t>
  </si>
  <si>
    <t>Liabilities</t>
  </si>
  <si>
    <t>(Insurance contract liabilities)</t>
  </si>
  <si>
    <t>(Derivative liabilities for hedge)</t>
  </si>
  <si>
    <t>(Non-financial liabilities)</t>
  </si>
  <si>
    <t>(Liabilities classified as held-for-sale disposal groups)</t>
  </si>
  <si>
    <t>(Separate account liabilities)</t>
  </si>
  <si>
    <t xml:space="preserve"> Ⅰ. Policy reserve</t>
  </si>
  <si>
    <t xml:space="preserve">    1. Premium reserves</t>
  </si>
  <si>
    <t xml:space="preserve"> Ⅱ. Policyholder equity adjustment</t>
  </si>
  <si>
    <t xml:space="preserve"> Ⅲ. Other liabilities</t>
  </si>
  <si>
    <t xml:space="preserve">       A. Call money</t>
  </si>
  <si>
    <t xml:space="preserve">       B. RP sale</t>
  </si>
  <si>
    <t xml:space="preserve">       C. Subordinated borrowings</t>
  </si>
  <si>
    <t xml:space="preserve">       D. The issue of commercial paper</t>
  </si>
  <si>
    <t xml:space="preserve">       A. Subordinated bonds</t>
  </si>
  <si>
    <t xml:space="preserve">       B. General bonds</t>
  </si>
  <si>
    <t xml:space="preserve">       A. Redeemable preferred stock</t>
  </si>
  <si>
    <t xml:space="preserve">       B. Others</t>
  </si>
  <si>
    <t xml:space="preserve"> Ⅳ. Separate account liabilities</t>
  </si>
  <si>
    <t>Equity</t>
  </si>
  <si>
    <t xml:space="preserve"> Ⅰ. Capital stock</t>
  </si>
  <si>
    <t xml:space="preserve">     1. Common stock</t>
  </si>
  <si>
    <t xml:space="preserve">     2. Preferred stock</t>
  </si>
  <si>
    <t xml:space="preserve">     1.Paid-in capital in excess of par value</t>
  </si>
  <si>
    <t xml:space="preserve">     2.Gains from capital reduction</t>
  </si>
  <si>
    <t xml:space="preserve">     3.Assets revaluations reserves</t>
  </si>
  <si>
    <t xml:space="preserve">     4.Other capital surplus</t>
  </si>
  <si>
    <t xml:space="preserve">     1. Legal reserve</t>
  </si>
  <si>
    <t xml:space="preserve">     2. Other legal reserves</t>
  </si>
  <si>
    <t xml:space="preserve">       A. Reserve for business stabilisation</t>
  </si>
  <si>
    <t xml:space="preserve">     3. Reserve for bad loan</t>
  </si>
  <si>
    <t xml:space="preserve">     1. Discounts on stock issue</t>
  </si>
  <si>
    <t xml:space="preserve">     2. Treasury stock</t>
  </si>
  <si>
    <t xml:space="preserve">     3. Others</t>
  </si>
  <si>
    <t xml:space="preserve">       B. Losses on valuation of cash flow hedge derivatives</t>
  </si>
  <si>
    <t>Total liabilities and equity</t>
  </si>
  <si>
    <r>
      <rPr>
        <sz val="11"/>
        <color theme="1"/>
        <rFont val="돋움"/>
        <family val="3"/>
        <charset val="129"/>
      </rPr>
      <t>별도</t>
    </r>
    <r>
      <rPr>
        <sz val="11"/>
        <color theme="1"/>
        <rFont val="Arial Narrow"/>
        <family val="2"/>
      </rPr>
      <t xml:space="preserve"> Standalone</t>
    </r>
    <phoneticPr fontId="1" type="noConversion"/>
  </si>
  <si>
    <t>자산</t>
    <phoneticPr fontId="1" type="noConversion"/>
  </si>
  <si>
    <t xml:space="preserve"> I. 운용자산</t>
    <phoneticPr fontId="1" type="noConversion"/>
  </si>
  <si>
    <t xml:space="preserve">    가. 현금과예금</t>
    <phoneticPr fontId="1" type="noConversion"/>
  </si>
  <si>
    <t xml:space="preserve">  1. 현금및예치금</t>
    <phoneticPr fontId="1" type="noConversion"/>
  </si>
  <si>
    <t xml:space="preserve">       (2) 당좌예금</t>
    <phoneticPr fontId="1" type="noConversion"/>
  </si>
  <si>
    <t xml:space="preserve">       (1) 현금</t>
    <phoneticPr fontId="1" type="noConversion"/>
  </si>
  <si>
    <t xml:space="preserve">       (3) 보통예금</t>
    <phoneticPr fontId="1" type="noConversion"/>
  </si>
  <si>
    <t xml:space="preserve">       (4) 정기예금</t>
    <phoneticPr fontId="1" type="noConversion"/>
  </si>
  <si>
    <t xml:space="preserve">       (5) 정기적금</t>
    <phoneticPr fontId="1" type="noConversion"/>
  </si>
  <si>
    <t xml:space="preserve">       (6) 해외제예금    </t>
    <phoneticPr fontId="1" type="noConversion"/>
  </si>
  <si>
    <t xml:space="preserve">       (7) 기타예금 </t>
    <phoneticPr fontId="1" type="noConversion"/>
  </si>
  <si>
    <t xml:space="preserve">    나. 금전신탁</t>
    <phoneticPr fontId="1" type="noConversion"/>
  </si>
  <si>
    <t xml:space="preserve">    다. 선물거래예치금</t>
    <phoneticPr fontId="1" type="noConversion"/>
  </si>
  <si>
    <t xml:space="preserve">    라. 기타예치금</t>
    <phoneticPr fontId="1" type="noConversion"/>
  </si>
  <si>
    <t xml:space="preserve">  2. 유가증권</t>
    <phoneticPr fontId="1" type="noConversion"/>
  </si>
  <si>
    <t xml:space="preserve">       (1) 상장주식</t>
    <phoneticPr fontId="1" type="noConversion"/>
  </si>
  <si>
    <t xml:space="preserve">       (2) 기타</t>
    <phoneticPr fontId="1" type="noConversion"/>
  </si>
  <si>
    <t xml:space="preserve">       (1) 국채</t>
    <phoneticPr fontId="1" type="noConversion"/>
  </si>
  <si>
    <t xml:space="preserve">       (2) 공채</t>
    <phoneticPr fontId="1" type="noConversion"/>
  </si>
  <si>
    <t xml:space="preserve">       (1) 보증사채</t>
    <phoneticPr fontId="1" type="noConversion"/>
  </si>
  <si>
    <t xml:space="preserve">       (2) 무보증사채</t>
    <phoneticPr fontId="1" type="noConversion"/>
  </si>
  <si>
    <t xml:space="preserve">       (1) 주식</t>
    <phoneticPr fontId="1" type="noConversion"/>
  </si>
  <si>
    <t xml:space="preserve">       (2) 채권</t>
    <phoneticPr fontId="1" type="noConversion"/>
  </si>
  <si>
    <t xml:space="preserve">    다. 국공채</t>
    <phoneticPr fontId="1" type="noConversion"/>
  </si>
  <si>
    <t xml:space="preserve">    가. 주식</t>
    <phoneticPr fontId="1" type="noConversion"/>
  </si>
  <si>
    <t xml:space="preserve">    나. 출자금</t>
    <phoneticPr fontId="1" type="noConversion"/>
  </si>
  <si>
    <t xml:space="preserve">    라. 특수채</t>
    <phoneticPr fontId="1" type="noConversion"/>
  </si>
  <si>
    <t xml:space="preserve">    마. 금융채</t>
    <phoneticPr fontId="1" type="noConversion"/>
  </si>
  <si>
    <t xml:space="preserve">    바. 회사채</t>
    <phoneticPr fontId="1" type="noConversion"/>
  </si>
  <si>
    <t xml:space="preserve">    사. 수익증권</t>
    <phoneticPr fontId="1" type="noConversion"/>
  </si>
  <si>
    <t xml:space="preserve">       (1) 주식 </t>
    <phoneticPr fontId="1" type="noConversion"/>
  </si>
  <si>
    <t xml:space="preserve">    자. 기타유가증권</t>
    <phoneticPr fontId="1" type="noConversion"/>
  </si>
  <si>
    <t xml:space="preserve">    가. 국공채</t>
    <phoneticPr fontId="1" type="noConversion"/>
  </si>
  <si>
    <t xml:space="preserve">    나. 특수채</t>
    <phoneticPr fontId="1" type="noConversion"/>
  </si>
  <si>
    <t xml:space="preserve">    다. 금융채</t>
    <phoneticPr fontId="1" type="noConversion"/>
  </si>
  <si>
    <t xml:space="preserve">    라. 회사채</t>
    <phoneticPr fontId="1" type="noConversion"/>
  </si>
  <si>
    <t xml:space="preserve">    마. 수익증권</t>
    <phoneticPr fontId="1" type="noConversion"/>
  </si>
  <si>
    <t xml:space="preserve">       (1) 채권</t>
    <phoneticPr fontId="1" type="noConversion"/>
  </si>
  <si>
    <t xml:space="preserve">    사. 기타유가증권</t>
    <phoneticPr fontId="1" type="noConversion"/>
  </si>
  <si>
    <t xml:space="preserve">   2-4. 관계종속기업투자주식</t>
    <phoneticPr fontId="1" type="noConversion"/>
  </si>
  <si>
    <t xml:space="preserve">    (종속기업투자자산)</t>
    <phoneticPr fontId="1" type="noConversion"/>
  </si>
  <si>
    <t xml:space="preserve">    (관계기업투자자산)</t>
    <phoneticPr fontId="1" type="noConversion"/>
  </si>
  <si>
    <t xml:space="preserve">    다. 기타</t>
    <phoneticPr fontId="1" type="noConversion"/>
  </si>
  <si>
    <t xml:space="preserve">  3. 대출채권</t>
    <phoneticPr fontId="1" type="noConversion"/>
  </si>
  <si>
    <t xml:space="preserve">      (현재가치할인차금)</t>
    <phoneticPr fontId="1" type="noConversion"/>
  </si>
  <si>
    <t xml:space="preserve">      (대손충당금)</t>
    <phoneticPr fontId="1" type="noConversion"/>
  </si>
  <si>
    <t xml:space="preserve">      (이연대출부대손익)</t>
    <phoneticPr fontId="1" type="noConversion"/>
  </si>
  <si>
    <t xml:space="preserve">    가. 콜론</t>
    <phoneticPr fontId="1" type="noConversion"/>
  </si>
  <si>
    <t xml:space="preserve">       (1) 상업어음할인</t>
    <phoneticPr fontId="1" type="noConversion"/>
  </si>
  <si>
    <t xml:space="preserve">       (2) 무역어음할인</t>
    <phoneticPr fontId="1" type="noConversion"/>
  </si>
  <si>
    <t xml:space="preserve">       (3) 기타</t>
    <phoneticPr fontId="1" type="noConversion"/>
  </si>
  <si>
    <t xml:space="preserve">    A. Stocks</t>
    <phoneticPr fontId="1" type="noConversion"/>
  </si>
  <si>
    <t xml:space="preserve">    B. Private equity investments</t>
    <phoneticPr fontId="1" type="noConversion"/>
  </si>
  <si>
    <t xml:space="preserve">       (1) Cash</t>
    <phoneticPr fontId="1" type="noConversion"/>
  </si>
  <si>
    <t xml:space="preserve">       (4) 기타 </t>
    <phoneticPr fontId="1" type="noConversion"/>
  </si>
  <si>
    <t xml:space="preserve">  4. 부동산</t>
    <phoneticPr fontId="1" type="noConversion"/>
  </si>
  <si>
    <t xml:space="preserve">      (손상차손누계액)</t>
    <phoneticPr fontId="1" type="noConversion"/>
  </si>
  <si>
    <t xml:space="preserve">     - 투자부동산(토지)</t>
    <phoneticPr fontId="1" type="noConversion"/>
  </si>
  <si>
    <t xml:space="preserve">     - 투자부동산(건물)</t>
    <phoneticPr fontId="1" type="noConversion"/>
  </si>
  <si>
    <t xml:space="preserve">     - 투자부동산(해외부동산)</t>
    <phoneticPr fontId="1" type="noConversion"/>
  </si>
  <si>
    <t xml:space="preserve">     - 투자부동산(기타)</t>
    <phoneticPr fontId="1" type="noConversion"/>
  </si>
  <si>
    <t xml:space="preserve">    가. 토지</t>
    <phoneticPr fontId="1" type="noConversion"/>
  </si>
  <si>
    <t xml:space="preserve">    나. 건물</t>
    <phoneticPr fontId="1" type="noConversion"/>
  </si>
  <si>
    <t xml:space="preserve">        (감가상각누계액)</t>
    <phoneticPr fontId="1" type="noConversion"/>
  </si>
  <si>
    <t xml:space="preserve">    다. 구축물</t>
    <phoneticPr fontId="1" type="noConversion"/>
  </si>
  <si>
    <t xml:space="preserve">    라. 해외부동산</t>
    <phoneticPr fontId="1" type="noConversion"/>
  </si>
  <si>
    <t xml:space="preserve">        (1) 토지</t>
    <phoneticPr fontId="1" type="noConversion"/>
  </si>
  <si>
    <t xml:space="preserve">        (2) 건물</t>
    <phoneticPr fontId="1" type="noConversion"/>
  </si>
  <si>
    <t xml:space="preserve">        (3) 구축물</t>
    <phoneticPr fontId="1" type="noConversion"/>
  </si>
  <si>
    <t xml:space="preserve">        (4) 건설중인자산</t>
    <phoneticPr fontId="1" type="noConversion"/>
  </si>
  <si>
    <t xml:space="preserve">    마. 건설중인자산</t>
    <phoneticPr fontId="1" type="noConversion"/>
  </si>
  <si>
    <t xml:space="preserve">    바. 기타부동산</t>
    <phoneticPr fontId="1" type="noConversion"/>
  </si>
  <si>
    <t xml:space="preserve"> Ⅱ. 비운용자산</t>
    <phoneticPr fontId="1" type="noConversion"/>
  </si>
  <si>
    <t xml:space="preserve">   3. 미수금</t>
    <phoneticPr fontId="1" type="noConversion"/>
  </si>
  <si>
    <t xml:space="preserve">   4. 보증금</t>
    <phoneticPr fontId="1" type="noConversion"/>
  </si>
  <si>
    <t xml:space="preserve">       가. 공탁금</t>
    <phoneticPr fontId="1" type="noConversion"/>
  </si>
  <si>
    <t xml:space="preserve">       나. 예탁보증금</t>
    <phoneticPr fontId="1" type="noConversion"/>
  </si>
  <si>
    <t xml:space="preserve">       다. 임차보증금</t>
    <phoneticPr fontId="1" type="noConversion"/>
  </si>
  <si>
    <t xml:space="preserve">       라. 기타보증금</t>
    <phoneticPr fontId="1" type="noConversion"/>
  </si>
  <si>
    <t xml:space="preserve">   5. 미수수익</t>
    <phoneticPr fontId="1" type="noConversion"/>
  </si>
  <si>
    <t xml:space="preserve">   6. 선급비용</t>
    <phoneticPr fontId="1" type="noConversion"/>
  </si>
  <si>
    <t xml:space="preserve">   7. 선급법인세</t>
    <phoneticPr fontId="1" type="noConversion"/>
  </si>
  <si>
    <t xml:space="preserve">   8. 선급부가세</t>
    <phoneticPr fontId="1" type="noConversion"/>
  </si>
  <si>
    <t xml:space="preserve">   9. 선급금</t>
    <phoneticPr fontId="1" type="noConversion"/>
  </si>
  <si>
    <t xml:space="preserve">       가. 일반선급금</t>
    <phoneticPr fontId="1" type="noConversion"/>
  </si>
  <si>
    <t xml:space="preserve">       나. 부동산매입선급금</t>
    <phoneticPr fontId="1" type="noConversion"/>
  </si>
  <si>
    <t xml:space="preserve">  10. 가지급금</t>
    <phoneticPr fontId="1" type="noConversion"/>
  </si>
  <si>
    <t xml:space="preserve">      가. 일반가지급금</t>
    <phoneticPr fontId="1" type="noConversion"/>
  </si>
  <si>
    <t xml:space="preserve">      나. 부동산매입가지급금</t>
    <phoneticPr fontId="1" type="noConversion"/>
  </si>
  <si>
    <t xml:space="preserve">  11. 가지급보험금</t>
    <phoneticPr fontId="1" type="noConversion"/>
  </si>
  <si>
    <t xml:space="preserve">  12. 본지점계정차</t>
    <phoneticPr fontId="1" type="noConversion"/>
  </si>
  <si>
    <t xml:space="preserve">  13. 차량운반구</t>
    <phoneticPr fontId="1" type="noConversion"/>
  </si>
  <si>
    <t xml:space="preserve">      (감가상각누계액)</t>
    <phoneticPr fontId="1" type="noConversion"/>
  </si>
  <si>
    <t xml:space="preserve">  14. 비품</t>
    <phoneticPr fontId="1" type="noConversion"/>
  </si>
  <si>
    <t xml:space="preserve">  15. 임차점포시설물</t>
    <phoneticPr fontId="1" type="noConversion"/>
  </si>
  <si>
    <t xml:space="preserve">  17. 이연법인세자산</t>
    <phoneticPr fontId="1" type="noConversion"/>
  </si>
  <si>
    <t xml:space="preserve">  18. 파생상품자산</t>
    <phoneticPr fontId="1" type="noConversion"/>
  </si>
  <si>
    <t xml:space="preserve">      (매매목적파생상품)</t>
    <phoneticPr fontId="1" type="noConversion"/>
  </si>
  <si>
    <t xml:space="preserve">      (헤지목적파생상품)</t>
    <phoneticPr fontId="1" type="noConversion"/>
  </si>
  <si>
    <t xml:space="preserve">      가. 이자율관련</t>
    <phoneticPr fontId="1" type="noConversion"/>
  </si>
  <si>
    <t xml:space="preserve">      나. 통화관련</t>
    <phoneticPr fontId="1" type="noConversion"/>
  </si>
  <si>
    <t xml:space="preserve">      다. 주식관련</t>
    <phoneticPr fontId="1" type="noConversion"/>
  </si>
  <si>
    <t xml:space="preserve">      라. 신용관련</t>
    <phoneticPr fontId="1" type="noConversion"/>
  </si>
  <si>
    <t xml:space="preserve">       마. 기타</t>
    <phoneticPr fontId="1" type="noConversion"/>
  </si>
  <si>
    <t xml:space="preserve">      마. 기타</t>
    <phoneticPr fontId="1" type="noConversion"/>
  </si>
  <si>
    <t xml:space="preserve">  19. 무형자산</t>
    <phoneticPr fontId="1" type="noConversion"/>
  </si>
  <si>
    <t xml:space="preserve">      가. 영업권</t>
    <phoneticPr fontId="1" type="noConversion"/>
  </si>
  <si>
    <t xml:space="preserve">      나. 소프트웨어</t>
    <phoneticPr fontId="1" type="noConversion"/>
  </si>
  <si>
    <t xml:space="preserve">      다. 개발비</t>
    <phoneticPr fontId="1" type="noConversion"/>
  </si>
  <si>
    <t xml:space="preserve">      라. 기타의무형자산</t>
    <phoneticPr fontId="1" type="noConversion"/>
  </si>
  <si>
    <t xml:space="preserve">  22. 기타의비운용자산</t>
    <phoneticPr fontId="1" type="noConversion"/>
  </si>
  <si>
    <t xml:space="preserve"> Ⅲ. 특별계정자산</t>
    <phoneticPr fontId="1" type="noConversion"/>
  </si>
  <si>
    <t>부채</t>
    <phoneticPr fontId="1" type="noConversion"/>
  </si>
  <si>
    <t xml:space="preserve"> Ⅰ. 책임준비금</t>
    <phoneticPr fontId="1" type="noConversion"/>
  </si>
  <si>
    <t xml:space="preserve"> Ⅱ. 계약자지분조정</t>
    <phoneticPr fontId="1" type="noConversion"/>
  </si>
  <si>
    <t xml:space="preserve"> Ⅲ. 기타부채</t>
    <phoneticPr fontId="1" type="noConversion"/>
  </si>
  <si>
    <t xml:space="preserve">       가. 콜머니</t>
    <phoneticPr fontId="1" type="noConversion"/>
  </si>
  <si>
    <t xml:space="preserve">       다. 후순위차입</t>
    <phoneticPr fontId="1" type="noConversion"/>
  </si>
  <si>
    <t xml:space="preserve">       나. RP 매도</t>
    <phoneticPr fontId="1" type="noConversion"/>
  </si>
  <si>
    <t xml:space="preserve">       라. 기업어음의발행</t>
    <phoneticPr fontId="1" type="noConversion"/>
  </si>
  <si>
    <t xml:space="preserve">       가. 후순위채권</t>
    <phoneticPr fontId="1" type="noConversion"/>
  </si>
  <si>
    <t xml:space="preserve">       나. 일반채권</t>
    <phoneticPr fontId="1" type="noConversion"/>
  </si>
  <si>
    <t xml:space="preserve">       (현재가치할인차금)</t>
    <phoneticPr fontId="1" type="noConversion"/>
  </si>
  <si>
    <t xml:space="preserve">       (Present value discount)</t>
    <phoneticPr fontId="1" type="noConversion"/>
  </si>
  <si>
    <t xml:space="preserve">      E. Others</t>
    <phoneticPr fontId="1" type="noConversion"/>
  </si>
  <si>
    <t xml:space="preserve">       가. 상환우선주</t>
    <phoneticPr fontId="1" type="noConversion"/>
  </si>
  <si>
    <t xml:space="preserve">       나. 기타</t>
    <phoneticPr fontId="1" type="noConversion"/>
  </si>
  <si>
    <t xml:space="preserve"> Ⅳ. 특별계정부채</t>
    <phoneticPr fontId="1" type="noConversion"/>
  </si>
  <si>
    <t>자본</t>
    <phoneticPr fontId="1" type="noConversion"/>
  </si>
  <si>
    <t xml:space="preserve"> Ⅰ. 자본금</t>
    <phoneticPr fontId="1" type="noConversion"/>
  </si>
  <si>
    <t xml:space="preserve">     1. 보통주자본금</t>
    <phoneticPr fontId="1" type="noConversion"/>
  </si>
  <si>
    <t xml:space="preserve">     2. 우선주자본금</t>
    <phoneticPr fontId="1" type="noConversion"/>
  </si>
  <si>
    <t xml:space="preserve">     1. 주식발행초과금</t>
    <phoneticPr fontId="1" type="noConversion"/>
  </si>
  <si>
    <t xml:space="preserve">     2. 감자차익</t>
    <phoneticPr fontId="1" type="noConversion"/>
  </si>
  <si>
    <t xml:space="preserve">     3. 재평가적립금</t>
    <phoneticPr fontId="1" type="noConversion"/>
  </si>
  <si>
    <t xml:space="preserve">     4. 기타자본잉여금</t>
    <phoneticPr fontId="1" type="noConversion"/>
  </si>
  <si>
    <t xml:space="preserve">           (장외채권중개수수료)</t>
  </si>
  <si>
    <t xml:space="preserve">    (법인세차감후 중단사업손익)</t>
  </si>
  <si>
    <t xml:space="preserve">    (대손준비금 적립액)</t>
  </si>
  <si>
    <t xml:space="preserve"> I. Insurance income</t>
  </si>
  <si>
    <t xml:space="preserve">      A.Interest income</t>
  </si>
  <si>
    <t xml:space="preserve">       (1) Interest on deposits</t>
  </si>
  <si>
    <t xml:space="preserve">       (5) Interest on loans</t>
  </si>
  <si>
    <t xml:space="preserve">      B. Dividend income</t>
  </si>
  <si>
    <t xml:space="preserve">       (4) Other dividend income</t>
  </si>
  <si>
    <t xml:space="preserve">      C. Rental income</t>
  </si>
  <si>
    <t xml:space="preserve">      D. Commission income</t>
  </si>
  <si>
    <t xml:space="preserve">       (3) Disposition income of held to maturity securities</t>
  </si>
  <si>
    <t xml:space="preserve">       (5) Loans</t>
  </si>
  <si>
    <t xml:space="preserve">       (6) Others</t>
  </si>
  <si>
    <t xml:space="preserve">         - Others</t>
  </si>
  <si>
    <t xml:space="preserve">         - Borrowings</t>
  </si>
  <si>
    <t xml:space="preserve">         - Share capital repayable on demand</t>
  </si>
  <si>
    <t xml:space="preserve">       (1) Reversal of securities impairment losses</t>
  </si>
  <si>
    <t xml:space="preserve">       (3) Reversal of derivatives impairment losses</t>
  </si>
  <si>
    <t xml:space="preserve">        (Gains on derivatives transactions for trading)</t>
  </si>
  <si>
    <t xml:space="preserve">        (Gains on derivatives transactions for hedge)</t>
  </si>
  <si>
    <t xml:space="preserve">       (1) Interest rate</t>
  </si>
  <si>
    <t xml:space="preserve">       (2) Foreign currency</t>
  </si>
  <si>
    <t xml:space="preserve">       (3) Stocks</t>
  </si>
  <si>
    <t xml:space="preserve">       (4) Credit</t>
  </si>
  <si>
    <t xml:space="preserve">       (5) Others</t>
  </si>
  <si>
    <t xml:space="preserve">        (Gains on derivatives valuations for trading)</t>
  </si>
  <si>
    <t xml:space="preserve">        (Gains on derivatives valuations for hedge)</t>
  </si>
  <si>
    <t xml:space="preserve">       (Gains on disposition of investment properties)</t>
  </si>
  <si>
    <t xml:space="preserve">   2. Investment expenses</t>
  </si>
  <si>
    <t xml:space="preserve">       (1) Losses on disposition of securities at fair value through profit or loss</t>
  </si>
  <si>
    <t xml:space="preserve">           (Off-board bonds brokerage)</t>
  </si>
  <si>
    <t xml:space="preserve">       (2) Losses on disposition of available-for-sale securities</t>
  </si>
  <si>
    <t xml:space="preserve">       (3) Losses on disposition of held to maturity securities</t>
  </si>
  <si>
    <t xml:space="preserve">       (4) Losses on disposition of associates or subsidiaries investment stocks</t>
  </si>
  <si>
    <t xml:space="preserve">       (1) Losses on valuation of financial assets at fair value through profit or loss</t>
  </si>
  <si>
    <t xml:space="preserve">        - Losses on valuation of short-term trading securities</t>
  </si>
  <si>
    <t xml:space="preserve">        - Losses on valuation of designated securities at fair value through profit or loss</t>
  </si>
  <si>
    <t xml:space="preserve">        - Others</t>
  </si>
  <si>
    <t xml:space="preserve">       (2) Losses on valuation of financial liabilities at fair value through profit or loss</t>
  </si>
  <si>
    <t xml:space="preserve">        - Borrowings liabilities</t>
  </si>
  <si>
    <t xml:space="preserve">        - Share capital repayable on demand</t>
  </si>
  <si>
    <t xml:space="preserve">         (1) Interest on overdrafts with banks</t>
  </si>
  <si>
    <t xml:space="preserve">         (2) Borrowings interest</t>
  </si>
  <si>
    <t xml:space="preserve">             - Call money interest</t>
  </si>
  <si>
    <t xml:space="preserve">             - Subordinated borrowings interest</t>
  </si>
  <si>
    <t xml:space="preserve">             - Others</t>
  </si>
  <si>
    <t xml:space="preserve">         (3) Debentures interest</t>
  </si>
  <si>
    <t xml:space="preserve">         (4) Interest on borrowings from trust account</t>
  </si>
  <si>
    <t xml:space="preserve">         (5) Interest on share capital repayable on demand</t>
  </si>
  <si>
    <t xml:space="preserve">         (6) Other interest expenses</t>
  </si>
  <si>
    <t xml:space="preserve">         (1) Impairment losses of securities</t>
  </si>
  <si>
    <t xml:space="preserve">             -  Impairment losses of available-for-sale securities</t>
  </si>
  <si>
    <t xml:space="preserve">             -  Impairment losses of held to maturity securities</t>
  </si>
  <si>
    <t xml:space="preserve">             -  Impairment losses of investment stocks in associates and subsidiaries</t>
  </si>
  <si>
    <t xml:space="preserve">         (2) Impairment losses of non-financial assets</t>
  </si>
  <si>
    <t xml:space="preserve">             -  Impairment losses of properties</t>
  </si>
  <si>
    <t xml:space="preserve">             -  Impairment losses of intangible assets</t>
  </si>
  <si>
    <t xml:space="preserve">         (3) Impairment losses of derivatives</t>
  </si>
  <si>
    <t xml:space="preserve">         (4) Others</t>
  </si>
  <si>
    <t xml:space="preserve">         (Losses on derivatives transactions for trading)</t>
  </si>
  <si>
    <t xml:space="preserve">         (Losses on derivatives transactions for hedge)</t>
  </si>
  <si>
    <t xml:space="preserve">         (Losses on valuation of derivatives for trading)</t>
  </si>
  <si>
    <t xml:space="preserve">         (Losses on valuation of derivatives for hedge)</t>
  </si>
  <si>
    <t xml:space="preserve">         (Losses on disposition of investment properties)</t>
  </si>
  <si>
    <t xml:space="preserve">     1. Non-operating revenues</t>
  </si>
  <si>
    <t xml:space="preserve">     A. Gains on disposition of tangible assets</t>
  </si>
  <si>
    <t xml:space="preserve">      C. Gains on prior period error corrections</t>
  </si>
  <si>
    <t xml:space="preserve">      D. Gains on foreign currency transaction</t>
  </si>
  <si>
    <t xml:space="preserve">      E. Gains on foreign currency translation</t>
  </si>
  <si>
    <t xml:space="preserve">      F. Gains from assets contributed</t>
  </si>
  <si>
    <t xml:space="preserve">      G. Gains on exemption of debts</t>
  </si>
  <si>
    <t xml:space="preserve">      H. Gains on insurance settlements</t>
  </si>
  <si>
    <t xml:space="preserve">      I. Miscellaneous revenues</t>
  </si>
  <si>
    <t xml:space="preserve">     2. Non-operating expenses</t>
  </si>
  <si>
    <t xml:space="preserve">      B. Losses on disposition of tangible assets</t>
  </si>
  <si>
    <t xml:space="preserve">      C. Donations</t>
  </si>
  <si>
    <t xml:space="preserve">      E. Losses on prior period error corrections</t>
  </si>
  <si>
    <t xml:space="preserve">      F. Losses on foreign currency transaction</t>
  </si>
  <si>
    <t xml:space="preserve">      G. Losses on foreign currency translation</t>
  </si>
  <si>
    <t xml:space="preserve">      H. Calamity losses</t>
  </si>
  <si>
    <t xml:space="preserve">      I. Fines</t>
  </si>
  <si>
    <t xml:space="preserve">      J. Miscellaneous losses</t>
  </si>
  <si>
    <t xml:space="preserve">    (Discontinued operating income or loss after income taxes)</t>
  </si>
  <si>
    <t xml:space="preserve">    (Provision for bad loan reserve)</t>
  </si>
  <si>
    <t xml:space="preserve">    (Adjusted income after provision for bad loan reserve)</t>
  </si>
  <si>
    <t xml:space="preserve"> I. 보험손익</t>
    <phoneticPr fontId="1" type="noConversion"/>
  </si>
  <si>
    <t>Ⅱ. 투자손익</t>
    <phoneticPr fontId="1" type="noConversion"/>
  </si>
  <si>
    <t xml:space="preserve">       (1) 예금이자</t>
    <phoneticPr fontId="1" type="noConversion"/>
  </si>
  <si>
    <t xml:space="preserve">       (5) 대출채권이자</t>
    <phoneticPr fontId="1" type="noConversion"/>
  </si>
  <si>
    <t xml:space="preserve">       (3) 관계·종속기업투자주식배당수익</t>
    <phoneticPr fontId="1" type="noConversion"/>
  </si>
  <si>
    <t xml:space="preserve">       (4) 기타배당수익</t>
    <phoneticPr fontId="1" type="noConversion"/>
  </si>
  <si>
    <t xml:space="preserve">       (6) 기타</t>
    <phoneticPr fontId="1" type="noConversion"/>
  </si>
  <si>
    <t xml:space="preserve">       (4) 기타</t>
    <phoneticPr fontId="1" type="noConversion"/>
  </si>
  <si>
    <t xml:space="preserve">       (1) 이자율관련</t>
    <phoneticPr fontId="1" type="noConversion"/>
  </si>
  <si>
    <t xml:space="preserve">       (2) 통화관련</t>
    <phoneticPr fontId="1" type="noConversion"/>
  </si>
  <si>
    <t xml:space="preserve">       (3) 주식관련</t>
    <phoneticPr fontId="1" type="noConversion"/>
  </si>
  <si>
    <t xml:space="preserve">       (4) 신용관련</t>
    <phoneticPr fontId="1" type="noConversion"/>
  </si>
  <si>
    <t xml:space="preserve">       (5) 기타</t>
    <phoneticPr fontId="1" type="noConversion"/>
  </si>
  <si>
    <t xml:space="preserve">           (장외채권중개수수료)</t>
    <phoneticPr fontId="1" type="noConversion"/>
  </si>
  <si>
    <t xml:space="preserve">       (4) 관계·종속기업투자주식처분손실</t>
    <phoneticPr fontId="1" type="noConversion"/>
  </si>
  <si>
    <t xml:space="preserve">             - RP sale interest</t>
    <phoneticPr fontId="1" type="noConversion"/>
  </si>
  <si>
    <t xml:space="preserve">         (3) 파생상품손상차손</t>
    <phoneticPr fontId="1" type="noConversion"/>
  </si>
  <si>
    <t xml:space="preserve">         (4) 기타</t>
    <phoneticPr fontId="1" type="noConversion"/>
  </si>
  <si>
    <t xml:space="preserve">     1. 영업외수익</t>
    <phoneticPr fontId="1" type="noConversion"/>
  </si>
  <si>
    <t xml:space="preserve">     2. 영업외비용</t>
    <phoneticPr fontId="1" type="noConversion"/>
  </si>
  <si>
    <t xml:space="preserve"> Ⅱ. 자본잉여금</t>
    <phoneticPr fontId="1" type="noConversion"/>
  </si>
  <si>
    <t>Cash &amp; Deposits</t>
    <phoneticPr fontId="1" type="noConversion"/>
  </si>
  <si>
    <t>Loans</t>
    <phoneticPr fontId="1" type="noConversion"/>
  </si>
  <si>
    <t>Policy loans</t>
    <phoneticPr fontId="1" type="noConversion"/>
  </si>
  <si>
    <t>Credit loans</t>
    <phoneticPr fontId="1" type="noConversion"/>
  </si>
  <si>
    <t>Secured loans</t>
    <phoneticPr fontId="1" type="noConversion"/>
  </si>
  <si>
    <t>Allowances</t>
    <phoneticPr fontId="1" type="noConversion"/>
  </si>
  <si>
    <t>Bonds</t>
    <phoneticPr fontId="1" type="noConversion"/>
  </si>
  <si>
    <t>Stocks</t>
    <phoneticPr fontId="1" type="noConversion"/>
  </si>
  <si>
    <t>Securities</t>
    <phoneticPr fontId="1" type="noConversion"/>
  </si>
  <si>
    <t>Overseas securities</t>
    <phoneticPr fontId="1" type="noConversion"/>
  </si>
  <si>
    <t>Bonds in foreign currency</t>
    <phoneticPr fontId="1" type="noConversion"/>
  </si>
  <si>
    <t>Real Estates</t>
    <phoneticPr fontId="1" type="noConversion"/>
  </si>
  <si>
    <t>Non invested assets</t>
    <phoneticPr fontId="1" type="noConversion"/>
  </si>
  <si>
    <t>Separate account assets</t>
    <phoneticPr fontId="1" type="noConversion"/>
  </si>
  <si>
    <t>Total assets</t>
    <phoneticPr fontId="1" type="noConversion"/>
  </si>
  <si>
    <t>Invested assets</t>
    <phoneticPr fontId="1" type="noConversion"/>
  </si>
  <si>
    <t xml:space="preserve">    Loans : Including loans in the separate account</t>
    <phoneticPr fontId="1" type="noConversion"/>
  </si>
  <si>
    <t>세전이익</t>
    <phoneticPr fontId="1" type="noConversion"/>
  </si>
  <si>
    <r>
      <rPr>
        <sz val="11"/>
        <color theme="1"/>
        <rFont val="돋움"/>
        <family val="3"/>
        <charset val="129"/>
      </rPr>
      <t xml:space="preserve">금액
</t>
    </r>
    <r>
      <rPr>
        <sz val="11"/>
        <color theme="1"/>
        <rFont val="Arial Narrow"/>
        <family val="2"/>
      </rPr>
      <t>Amount</t>
    </r>
    <phoneticPr fontId="1" type="noConversion"/>
  </si>
  <si>
    <r>
      <rPr>
        <sz val="11"/>
        <color theme="1"/>
        <rFont val="돋움"/>
        <family val="3"/>
        <charset val="129"/>
      </rPr>
      <t xml:space="preserve">비중
</t>
    </r>
    <r>
      <rPr>
        <sz val="11"/>
        <color theme="1"/>
        <rFont val="Arial Narrow"/>
        <family val="2"/>
      </rPr>
      <t>Weight</t>
    </r>
    <phoneticPr fontId="1" type="noConversion"/>
  </si>
  <si>
    <r>
      <rPr>
        <sz val="11"/>
        <color theme="1"/>
        <rFont val="돋움"/>
        <family val="3"/>
        <charset val="129"/>
      </rPr>
      <t xml:space="preserve">금액
</t>
    </r>
    <r>
      <rPr>
        <sz val="11"/>
        <color theme="1"/>
        <rFont val="Arial Narrow"/>
        <family val="2"/>
      </rPr>
      <t>Amount</t>
    </r>
    <phoneticPr fontId="1" type="noConversion"/>
  </si>
  <si>
    <r>
      <rPr>
        <sz val="11"/>
        <color theme="1"/>
        <rFont val="돋움"/>
        <family val="3"/>
        <charset val="129"/>
      </rPr>
      <t xml:space="preserve">비중
</t>
    </r>
    <r>
      <rPr>
        <sz val="11"/>
        <color theme="1"/>
        <rFont val="Arial Narrow"/>
        <family val="2"/>
      </rPr>
      <t>Weight</t>
    </r>
    <phoneticPr fontId="1" type="noConversion"/>
  </si>
  <si>
    <t>(MN KRW)</t>
    <phoneticPr fontId="1" type="noConversion"/>
  </si>
  <si>
    <t>Fee-Biz 실적</t>
    <phoneticPr fontId="1" type="noConversion"/>
  </si>
  <si>
    <t>Fee-Biz Results</t>
    <phoneticPr fontId="1" type="noConversion"/>
  </si>
  <si>
    <t>▷</t>
    <phoneticPr fontId="1" type="noConversion"/>
  </si>
  <si>
    <r>
      <rPr>
        <sz val="11"/>
        <color rgb="FF0070C0"/>
        <rFont val="돋움"/>
        <family val="3"/>
        <charset val="129"/>
      </rPr>
      <t>연결</t>
    </r>
    <r>
      <rPr>
        <sz val="11"/>
        <color rgb="FF0070C0"/>
        <rFont val="Arial Narrow"/>
        <family val="2"/>
      </rPr>
      <t xml:space="preserve"> Consolidated</t>
    </r>
    <phoneticPr fontId="1" type="noConversion"/>
  </si>
  <si>
    <t>연금</t>
    <phoneticPr fontId="1" type="noConversion"/>
  </si>
  <si>
    <t>변액</t>
    <phoneticPr fontId="1" type="noConversion"/>
  </si>
  <si>
    <t>※ 구성비</t>
    <phoneticPr fontId="1" type="noConversion"/>
  </si>
  <si>
    <t xml:space="preserve">      (Discount on)</t>
  </si>
  <si>
    <t xml:space="preserve">      (Premium on)</t>
  </si>
  <si>
    <t xml:space="preserve"> Ⅲ. 신종자본증권</t>
    <phoneticPr fontId="1" type="noConversion"/>
  </si>
  <si>
    <t xml:space="preserve">     (할인발행차금)(-)</t>
    <phoneticPr fontId="1" type="noConversion"/>
  </si>
  <si>
    <t xml:space="preserve">     (할증발행차금)(+)</t>
    <phoneticPr fontId="1" type="noConversion"/>
  </si>
  <si>
    <t xml:space="preserve"> Ⅳ. 이익잉여금</t>
    <phoneticPr fontId="1" type="noConversion"/>
  </si>
  <si>
    <t xml:space="preserve">     1. 이익준비금</t>
    <phoneticPr fontId="1" type="noConversion"/>
  </si>
  <si>
    <t xml:space="preserve">     2. 기타법정적립금</t>
    <phoneticPr fontId="1" type="noConversion"/>
  </si>
  <si>
    <t xml:space="preserve">       가. 기업합리화적립금</t>
    <phoneticPr fontId="1" type="noConversion"/>
  </si>
  <si>
    <t xml:space="preserve">     3. 대손준비금</t>
    <phoneticPr fontId="1" type="noConversion"/>
  </si>
  <si>
    <t xml:space="preserve">        (Controlling consolidated net profit or loss)</t>
    <phoneticPr fontId="1" type="noConversion"/>
  </si>
  <si>
    <t xml:space="preserve"> Ⅴ. 자본조정</t>
    <phoneticPr fontId="1" type="noConversion"/>
  </si>
  <si>
    <t xml:space="preserve">     1. 주식할인발행차금</t>
    <phoneticPr fontId="1" type="noConversion"/>
  </si>
  <si>
    <t xml:space="preserve">     2. 자기주식</t>
    <phoneticPr fontId="1" type="noConversion"/>
  </si>
  <si>
    <t xml:space="preserve">     3. 기타자본조정</t>
    <phoneticPr fontId="1" type="noConversion"/>
  </si>
  <si>
    <t xml:space="preserve"> Ⅵ. 기타포괄손익누계액</t>
    <phoneticPr fontId="1" type="noConversion"/>
  </si>
  <si>
    <t>부채와자본총계</t>
    <phoneticPr fontId="1" type="noConversion"/>
  </si>
  <si>
    <t>ROE (YTD)</t>
    <phoneticPr fontId="1" type="noConversion"/>
  </si>
  <si>
    <t>운용자산수익</t>
    <phoneticPr fontId="1" type="noConversion"/>
  </si>
  <si>
    <t>Bancassurance</t>
  </si>
  <si>
    <t>Q1</t>
    <phoneticPr fontId="1" type="noConversion"/>
  </si>
  <si>
    <t>Q1</t>
    <phoneticPr fontId="1" type="noConversion"/>
  </si>
  <si>
    <t>Q1</t>
    <phoneticPr fontId="1" type="noConversion"/>
  </si>
  <si>
    <t>Q2</t>
    <phoneticPr fontId="1" type="noConversion"/>
  </si>
  <si>
    <t>Earnings Before Tax</t>
    <phoneticPr fontId="1" type="noConversion"/>
  </si>
  <si>
    <t>Q3</t>
    <phoneticPr fontId="1" type="noConversion"/>
  </si>
  <si>
    <t>Q3</t>
    <phoneticPr fontId="1" type="noConversion"/>
  </si>
  <si>
    <t>22FY</t>
    <phoneticPr fontId="1" type="noConversion"/>
  </si>
  <si>
    <t>일반
General</t>
  </si>
  <si>
    <t>특별
Separate</t>
  </si>
  <si>
    <t>합계
Total</t>
  </si>
  <si>
    <t>2023 Q1</t>
    <phoneticPr fontId="1" type="noConversion"/>
  </si>
  <si>
    <t>금액
Amount</t>
  </si>
  <si>
    <t>이익율
Yield</t>
  </si>
  <si>
    <t>이자비용</t>
    <phoneticPr fontId="1" type="noConversion"/>
  </si>
  <si>
    <t>▶ 회계기준 변경 관련 사항(IAS39 / IFRS4 -&gt; IFRS9 / IFRS17)</t>
    <phoneticPr fontId="1" type="noConversion"/>
  </si>
  <si>
    <t xml:space="preserve">    - 2022년 12월 31일까지는 보험계약대출에 대해 대출채권으로 분류되었으나, 2023년 1월 1일부터는 제외됨.</t>
    <phoneticPr fontId="1" type="noConversion"/>
  </si>
  <si>
    <t xml:space="preserve">   1) 2023년부터 원리금보장형 특별계정 자산이 운용자산 내 포함됨.</t>
    <phoneticPr fontId="1" type="noConversion"/>
  </si>
  <si>
    <t xml:space="preserve">   2) 2022년 12월 31일까지는 보험계약대출에 대해 대출채권으로 분류되었으나, 2023년 1월 1일부터는 제외됨.</t>
    <phoneticPr fontId="1" type="noConversion"/>
  </si>
  <si>
    <t>IFRS 17 &amp; IFRS 9 ◀</t>
    <phoneticPr fontId="1" type="noConversion"/>
  </si>
  <si>
    <t xml:space="preserve">   Changes due to the new accounting standards (IFRS 9 &amp; IFRS 17 introduced Jan '23)</t>
    <phoneticPr fontId="1" type="noConversion"/>
  </si>
  <si>
    <t xml:space="preserve">   - Policy loans excluded from Loans (effective 1 Jan 2023)</t>
    <phoneticPr fontId="1" type="noConversion"/>
  </si>
  <si>
    <t xml:space="preserve">   2) Policy loans excluded from Invested Assets</t>
    <phoneticPr fontId="1" type="noConversion"/>
  </si>
  <si>
    <t xml:space="preserve">   1) Principal-guarantee type assets in the separate account newly included in the Invested Assets</t>
    <phoneticPr fontId="1" type="noConversion"/>
  </si>
  <si>
    <t>17+9</t>
    <phoneticPr fontId="1" type="noConversion"/>
  </si>
  <si>
    <t>당기손익-공정가치측정금융자산</t>
    <phoneticPr fontId="1" type="noConversion"/>
  </si>
  <si>
    <t>기타포괄손익-공정가치측정금융자산</t>
    <phoneticPr fontId="1" type="noConversion"/>
  </si>
  <si>
    <t>Fair value other comprehensive income financial assets</t>
    <phoneticPr fontId="1" type="noConversion"/>
  </si>
  <si>
    <t>상각후원가측정금융자산</t>
    <phoneticPr fontId="1" type="noConversion"/>
  </si>
  <si>
    <t>Amortized cost financial assets</t>
    <phoneticPr fontId="1" type="noConversion"/>
  </si>
  <si>
    <t>상각후원가측정대여금및수취채권</t>
    <phoneticPr fontId="1" type="noConversion"/>
  </si>
  <si>
    <t>Amortized cost loans and receivables</t>
    <phoneticPr fontId="1" type="noConversion"/>
  </si>
  <si>
    <t>재보험계약자산</t>
    <phoneticPr fontId="1" type="noConversion"/>
  </si>
  <si>
    <t>Reinsurance contract assets</t>
    <phoneticPr fontId="1" type="noConversion"/>
  </si>
  <si>
    <t>Insurance contract liabilities</t>
    <phoneticPr fontId="1" type="noConversion"/>
  </si>
  <si>
    <t>재보험계약부채</t>
    <phoneticPr fontId="1" type="noConversion"/>
  </si>
  <si>
    <t>Reinsurance contract liabilities</t>
    <phoneticPr fontId="1" type="noConversion"/>
  </si>
  <si>
    <t>보험금융수익</t>
    <phoneticPr fontId="1" type="noConversion"/>
  </si>
  <si>
    <t>재보험금융수익</t>
    <phoneticPr fontId="1" type="noConversion"/>
  </si>
  <si>
    <t>보험서비스비용</t>
    <phoneticPr fontId="1" type="noConversion"/>
  </si>
  <si>
    <t>보험금융비용</t>
    <phoneticPr fontId="1" type="noConversion"/>
  </si>
  <si>
    <t>재보험금융비용</t>
    <phoneticPr fontId="1" type="noConversion"/>
  </si>
  <si>
    <t>(당기손익-공정가치측정금융자산)</t>
    <phoneticPr fontId="1" type="noConversion"/>
  </si>
  <si>
    <t>(Fair value profit or loss financial assets)</t>
    <phoneticPr fontId="1" type="noConversion"/>
  </si>
  <si>
    <t>(기타포괄손익-공정가치측정금융자산)</t>
    <phoneticPr fontId="1" type="noConversion"/>
  </si>
  <si>
    <t>(Fair value other comprehensive income financial assets)</t>
    <phoneticPr fontId="1" type="noConversion"/>
  </si>
  <si>
    <t>(상각후원가측정금융자산)</t>
    <phoneticPr fontId="1" type="noConversion"/>
  </si>
  <si>
    <t>(Amortized cost financial assets)</t>
    <phoneticPr fontId="1" type="noConversion"/>
  </si>
  <si>
    <t>(기타금융자산)</t>
    <phoneticPr fontId="1" type="noConversion"/>
  </si>
  <si>
    <t>(Other financial assets)</t>
    <phoneticPr fontId="1" type="noConversion"/>
  </si>
  <si>
    <t xml:space="preserve">   2-1. 당기손익-공정가치측정유가증권</t>
    <phoneticPr fontId="1" type="noConversion"/>
  </si>
  <si>
    <t xml:space="preserve">   (당기손익-공정가치측정지정금융자산)</t>
    <phoneticPr fontId="1" type="noConversion"/>
  </si>
  <si>
    <t xml:space="preserve">   (Designated financial assets at fair value through profit or loss)</t>
    <phoneticPr fontId="1" type="noConversion"/>
  </si>
  <si>
    <t xml:space="preserve">    C. Government and public bonds</t>
    <phoneticPr fontId="1" type="noConversion"/>
  </si>
  <si>
    <t xml:space="preserve">    D. Other public bonds</t>
    <phoneticPr fontId="1" type="noConversion"/>
  </si>
  <si>
    <t xml:space="preserve">    E. Finance debentures</t>
    <phoneticPr fontId="1" type="noConversion"/>
  </si>
  <si>
    <t xml:space="preserve">    F. Corporate bonds</t>
    <phoneticPr fontId="1" type="noConversion"/>
  </si>
  <si>
    <t xml:space="preserve">    G. Beneficiary Certificates</t>
    <phoneticPr fontId="1" type="noConversion"/>
  </si>
  <si>
    <t xml:space="preserve">    아. 외화표시유가증권</t>
    <phoneticPr fontId="1" type="noConversion"/>
  </si>
  <si>
    <t xml:space="preserve">    H. Securities-foreign currencies</t>
    <phoneticPr fontId="1" type="noConversion"/>
  </si>
  <si>
    <t xml:space="preserve">    I. Other securities</t>
    <phoneticPr fontId="1" type="noConversion"/>
  </si>
  <si>
    <t xml:space="preserve">   2-2. 기타포괄손익-공정가치측정유가증권</t>
    <phoneticPr fontId="1" type="noConversion"/>
  </si>
  <si>
    <t xml:space="preserve">   2-2. Financial assets at fair value other comprehensive income</t>
    <phoneticPr fontId="1" type="noConversion"/>
  </si>
  <si>
    <t xml:space="preserve">   2-3. 상각후원가측정유가증권</t>
    <phoneticPr fontId="1" type="noConversion"/>
  </si>
  <si>
    <t xml:space="preserve">   2-3. Amortized cost financial assets</t>
    <phoneticPr fontId="1" type="noConversion"/>
  </si>
  <si>
    <t xml:space="preserve">   (손실충당금)</t>
    <phoneticPr fontId="1" type="noConversion"/>
  </si>
  <si>
    <t xml:space="preserve">      (Allowance for doubtful accounts)</t>
    <phoneticPr fontId="1" type="noConversion"/>
  </si>
  <si>
    <t xml:space="preserve">    바. 외화표시유가증권</t>
    <phoneticPr fontId="1" type="noConversion"/>
  </si>
  <si>
    <t xml:space="preserve">      (당기손익-공정가치측정대출채권)</t>
    <phoneticPr fontId="1" type="noConversion"/>
  </si>
  <si>
    <t xml:space="preserve">   (Loans at fair value through profit or loss)</t>
    <phoneticPr fontId="1" type="noConversion"/>
  </si>
  <si>
    <t xml:space="preserve">      (기타포괄손익-공정가치측정대출채권)</t>
    <phoneticPr fontId="1" type="noConversion"/>
  </si>
  <si>
    <t xml:space="preserve">   (Loans at fair value other comprehensive income)</t>
    <phoneticPr fontId="1" type="noConversion"/>
  </si>
  <si>
    <t xml:space="preserve">      (상각후원가측정대출채권)</t>
    <phoneticPr fontId="1" type="noConversion"/>
  </si>
  <si>
    <t xml:space="preserve">   (Amortized cost loans)</t>
    <phoneticPr fontId="1" type="noConversion"/>
  </si>
  <si>
    <t xml:space="preserve">    나. 유가증권담보대출금</t>
    <phoneticPr fontId="1" type="noConversion"/>
  </si>
  <si>
    <t xml:space="preserve">    B. Loan secured by securities</t>
    <phoneticPr fontId="1" type="noConversion"/>
  </si>
  <si>
    <t xml:space="preserve">    다. 부동산담보대출금</t>
    <phoneticPr fontId="1" type="noConversion"/>
  </si>
  <si>
    <t xml:space="preserve">    C. Loan secured by real estate</t>
    <phoneticPr fontId="1" type="noConversion"/>
  </si>
  <si>
    <t xml:space="preserve">    라. 신용대출금</t>
    <phoneticPr fontId="1" type="noConversion"/>
  </si>
  <si>
    <t xml:space="preserve">    D. Unsecured loans</t>
    <phoneticPr fontId="1" type="noConversion"/>
  </si>
  <si>
    <t xml:space="preserve">    마. 어음할인대출금</t>
    <phoneticPr fontId="1" type="noConversion"/>
  </si>
  <si>
    <t xml:space="preserve">    E. Discounted note loans</t>
    <phoneticPr fontId="1" type="noConversion"/>
  </si>
  <si>
    <t xml:space="preserve">    바. 지급보증대출금</t>
    <phoneticPr fontId="1" type="noConversion"/>
  </si>
  <si>
    <t xml:space="preserve">    사. 기타대출금</t>
    <phoneticPr fontId="1" type="noConversion"/>
  </si>
  <si>
    <t xml:space="preserve">       (1) 사모사채</t>
    <phoneticPr fontId="1" type="noConversion"/>
  </si>
  <si>
    <t xml:space="preserve">       (1) Private placement corporate bonds</t>
    <phoneticPr fontId="1" type="noConversion"/>
  </si>
  <si>
    <t xml:space="preserve">       (2) CP</t>
    <phoneticPr fontId="1" type="noConversion"/>
  </si>
  <si>
    <t xml:space="preserve">       (2) C  P</t>
    <phoneticPr fontId="1" type="noConversion"/>
  </si>
  <si>
    <t xml:space="preserve">       (3) 투자계약 보험계약대출</t>
    <phoneticPr fontId="1" type="noConversion"/>
  </si>
  <si>
    <t xml:space="preserve">       (3) Investment contract policy loans</t>
    <phoneticPr fontId="1" type="noConversion"/>
  </si>
  <si>
    <t xml:space="preserve">   1. 보험계약자산</t>
    <phoneticPr fontId="1" type="noConversion"/>
  </si>
  <si>
    <t xml:space="preserve">   1. Insurance assets</t>
    <phoneticPr fontId="1" type="noConversion"/>
  </si>
  <si>
    <t xml:space="preserve">       가. 잔여보장요소</t>
    <phoneticPr fontId="1" type="noConversion"/>
  </si>
  <si>
    <t xml:space="preserve">    A. Residual guarantee element</t>
    <phoneticPr fontId="1" type="noConversion"/>
  </si>
  <si>
    <t xml:space="preserve">        (1) 최선추정</t>
    <phoneticPr fontId="1" type="noConversion"/>
  </si>
  <si>
    <t xml:space="preserve">        (1) BEL</t>
    <phoneticPr fontId="1" type="noConversion"/>
  </si>
  <si>
    <t xml:space="preserve">        (2) 위험조정</t>
    <phoneticPr fontId="1" type="noConversion"/>
  </si>
  <si>
    <t xml:space="preserve">        (2) RA</t>
    <phoneticPr fontId="1" type="noConversion"/>
  </si>
  <si>
    <t xml:space="preserve">        (3) 보험계약마진</t>
    <phoneticPr fontId="1" type="noConversion"/>
  </si>
  <si>
    <t xml:space="preserve">        (3) CSM</t>
    <phoneticPr fontId="1" type="noConversion"/>
  </si>
  <si>
    <t xml:space="preserve">        (4) 보험료배분접근법적용</t>
    <phoneticPr fontId="1" type="noConversion"/>
  </si>
  <si>
    <t xml:space="preserve">        (4) VFA</t>
    <phoneticPr fontId="1" type="noConversion"/>
  </si>
  <si>
    <t xml:space="preserve">       나. 발생사고요소</t>
    <phoneticPr fontId="1" type="noConversion"/>
  </si>
  <si>
    <t xml:space="preserve">    B. Occurrence accident factor</t>
    <phoneticPr fontId="1" type="noConversion"/>
  </si>
  <si>
    <t xml:space="preserve">       다. 사전인식 보험취득현금흐름</t>
    <phoneticPr fontId="1" type="noConversion"/>
  </si>
  <si>
    <t xml:space="preserve">    C. Pre-recognition insurance acquisition cash-flow</t>
    <phoneticPr fontId="1" type="noConversion"/>
  </si>
  <si>
    <t xml:space="preserve">        (손상차손누계액)</t>
    <phoneticPr fontId="1" type="noConversion"/>
  </si>
  <si>
    <t xml:space="preserve">   2. 재보험계약자산</t>
    <phoneticPr fontId="1" type="noConversion"/>
  </si>
  <si>
    <t xml:space="preserve">   2. Reinsurance assets</t>
    <phoneticPr fontId="1" type="noConversion"/>
  </si>
  <si>
    <t xml:space="preserve">  16. 기타의유형자산</t>
    <phoneticPr fontId="1" type="noConversion"/>
  </si>
  <si>
    <t xml:space="preserve">  20. 어음</t>
    <phoneticPr fontId="1" type="noConversion"/>
  </si>
  <si>
    <t xml:space="preserve">  20. Promissory note</t>
    <phoneticPr fontId="1" type="noConversion"/>
  </si>
  <si>
    <t xml:space="preserve">      가. 받을어음</t>
    <phoneticPr fontId="1" type="noConversion"/>
  </si>
  <si>
    <t xml:space="preserve">       A. Bills receivable</t>
    <phoneticPr fontId="1" type="noConversion"/>
  </si>
  <si>
    <t xml:space="preserve">      나. 부도어음</t>
    <phoneticPr fontId="1" type="noConversion"/>
  </si>
  <si>
    <t xml:space="preserve">       B. Dishonored bill</t>
    <phoneticPr fontId="1" type="noConversion"/>
  </si>
  <si>
    <t xml:space="preserve">  21. 순확정급여자산</t>
    <phoneticPr fontId="1" type="noConversion"/>
  </si>
  <si>
    <t xml:space="preserve">  21. Net defined benefit assets</t>
    <phoneticPr fontId="1" type="noConversion"/>
  </si>
  <si>
    <t xml:space="preserve">   (특별계정미지급금-실적배당형퇴직연금)</t>
    <phoneticPr fontId="1" type="noConversion"/>
  </si>
  <si>
    <t xml:space="preserve">   (Payable to separate account-retirement pension plan of dividends by results type)</t>
    <phoneticPr fontId="1" type="noConversion"/>
  </si>
  <si>
    <t xml:space="preserve">   (특별계정미지급금-변액보험)</t>
    <phoneticPr fontId="1" type="noConversion"/>
  </si>
  <si>
    <t xml:space="preserve">   (Payable to separate account-variable products)</t>
    <phoneticPr fontId="1" type="noConversion"/>
  </si>
  <si>
    <t xml:space="preserve">    1. 실적배당형퇴직연금</t>
    <phoneticPr fontId="1" type="noConversion"/>
  </si>
  <si>
    <t xml:space="preserve">    1. Retirement pension plan of dividends by results type</t>
    <phoneticPr fontId="1" type="noConversion"/>
  </si>
  <si>
    <t xml:space="preserve">    2. 변액보험</t>
    <phoneticPr fontId="1" type="noConversion"/>
  </si>
  <si>
    <t xml:space="preserve">    2. Variable products</t>
    <phoneticPr fontId="1" type="noConversion"/>
  </si>
  <si>
    <t>(재보험계약부채)</t>
    <phoneticPr fontId="1" type="noConversion"/>
  </si>
  <si>
    <t>(Reinsurance contract liabilities)</t>
    <phoneticPr fontId="1" type="noConversion"/>
  </si>
  <si>
    <t>(투자계약부채)</t>
    <phoneticPr fontId="1" type="noConversion"/>
  </si>
  <si>
    <t>(Investment liabilities)</t>
    <phoneticPr fontId="1" type="noConversion"/>
  </si>
  <si>
    <t>(당기손익-공정가치측정금융부채)</t>
    <phoneticPr fontId="1" type="noConversion"/>
  </si>
  <si>
    <t>(Fair value profit or loss financial liabilities)</t>
    <phoneticPr fontId="1" type="noConversion"/>
  </si>
  <si>
    <t>(상각후원가측정금융부채)</t>
    <phoneticPr fontId="1" type="noConversion"/>
  </si>
  <si>
    <t>(Amortized cost financial liabilities)</t>
    <phoneticPr fontId="1" type="noConversion"/>
  </si>
  <si>
    <t xml:space="preserve">    1. 보험계약부채</t>
    <phoneticPr fontId="1" type="noConversion"/>
  </si>
  <si>
    <t xml:space="preserve">       [보험계약대출]</t>
    <phoneticPr fontId="1" type="noConversion"/>
  </si>
  <si>
    <t xml:space="preserve">       [계약자배당부채]</t>
    <phoneticPr fontId="1" type="noConversion"/>
  </si>
  <si>
    <t xml:space="preserve">        - 계약자배당준비금</t>
    <phoneticPr fontId="1" type="noConversion"/>
  </si>
  <si>
    <t xml:space="preserve">        - 계약자이익배당준비금</t>
    <phoneticPr fontId="1" type="noConversion"/>
  </si>
  <si>
    <t xml:space="preserve">        - 배당보험손실보전준비금</t>
    <phoneticPr fontId="1" type="noConversion"/>
  </si>
  <si>
    <t xml:space="preserve">        - 계약자배당안정화준비금</t>
    <phoneticPr fontId="1" type="noConversion"/>
  </si>
  <si>
    <t xml:space="preserve">       [보증부채]</t>
    <phoneticPr fontId="1" type="noConversion"/>
  </si>
  <si>
    <t xml:space="preserve">    2. 재보험계약부채</t>
    <phoneticPr fontId="1" type="noConversion"/>
  </si>
  <si>
    <t xml:space="preserve">    3. 투자계약부채</t>
    <phoneticPr fontId="1" type="noConversion"/>
  </si>
  <si>
    <t xml:space="preserve">     1. 공익사업출연기금</t>
    <phoneticPr fontId="1" type="noConversion"/>
  </si>
  <si>
    <t xml:space="preserve">     1. Fund for public projects</t>
    <phoneticPr fontId="1" type="noConversion"/>
  </si>
  <si>
    <t xml:space="preserve">     2. 매도가능금융자산평가손익</t>
    <phoneticPr fontId="1" type="noConversion"/>
  </si>
  <si>
    <t xml:space="preserve">     2. Profit on valuation of available-for-sale financial assets</t>
    <phoneticPr fontId="1" type="noConversion"/>
  </si>
  <si>
    <t xml:space="preserve">     3. 관계·종속기업투자주식평가손익</t>
    <phoneticPr fontId="1" type="noConversion"/>
  </si>
  <si>
    <t xml:space="preserve">     3. Profit on valuation of associates, subsidiaries assets</t>
    <phoneticPr fontId="1" type="noConversion"/>
  </si>
  <si>
    <t xml:space="preserve">     4. 재평가적립금</t>
    <phoneticPr fontId="1" type="noConversion"/>
  </si>
  <si>
    <t xml:space="preserve">     4. Assets revaluations reserves</t>
    <phoneticPr fontId="1" type="noConversion"/>
  </si>
  <si>
    <t xml:space="preserve">     5. 재평가잉여금</t>
    <phoneticPr fontId="1" type="noConversion"/>
  </si>
  <si>
    <t xml:space="preserve">     5. Revaluation surplus</t>
    <phoneticPr fontId="1" type="noConversion"/>
  </si>
  <si>
    <t xml:space="preserve">    [당기손익-공정가치측정금융부채]</t>
    <phoneticPr fontId="1" type="noConversion"/>
  </si>
  <si>
    <t xml:space="preserve">    [Fair value profit or loss financial liabilities]</t>
    <phoneticPr fontId="1" type="noConversion"/>
  </si>
  <si>
    <t xml:space="preserve">    1. 미지급금</t>
    <phoneticPr fontId="1" type="noConversion"/>
  </si>
  <si>
    <t xml:space="preserve">    1. Other payables</t>
    <phoneticPr fontId="1" type="noConversion"/>
  </si>
  <si>
    <t xml:space="preserve">    2. 미지급비용</t>
    <phoneticPr fontId="1" type="noConversion"/>
  </si>
  <si>
    <t xml:space="preserve">    2. Accrued expenses</t>
    <phoneticPr fontId="1" type="noConversion"/>
  </si>
  <si>
    <t xml:space="preserve">    3. 미지급법인세</t>
    <phoneticPr fontId="1" type="noConversion"/>
  </si>
  <si>
    <t xml:space="preserve">    3. Accured income tax</t>
    <phoneticPr fontId="1" type="noConversion"/>
  </si>
  <si>
    <t xml:space="preserve">    4. 당좌차월</t>
    <phoneticPr fontId="1" type="noConversion"/>
  </si>
  <si>
    <t xml:space="preserve">    4. Bank overdrafts</t>
    <phoneticPr fontId="1" type="noConversion"/>
  </si>
  <si>
    <t xml:space="preserve">    5. 차입금</t>
    <phoneticPr fontId="1" type="noConversion"/>
  </si>
  <si>
    <t xml:space="preserve">    5. Borrowings</t>
    <phoneticPr fontId="1" type="noConversion"/>
  </si>
  <si>
    <t xml:space="preserve">    6. 사채</t>
    <phoneticPr fontId="1" type="noConversion"/>
  </si>
  <si>
    <t xml:space="preserve">    6. Short-term bonds</t>
    <phoneticPr fontId="1" type="noConversion"/>
  </si>
  <si>
    <t xml:space="preserve">    7. 선수금</t>
    <phoneticPr fontId="1" type="noConversion"/>
  </si>
  <si>
    <t xml:space="preserve">    7. Advance from customers</t>
    <phoneticPr fontId="1" type="noConversion"/>
  </si>
  <si>
    <t xml:space="preserve">    8. 선수수익</t>
    <phoneticPr fontId="1" type="noConversion"/>
  </si>
  <si>
    <t xml:space="preserve">    8. Unearned income</t>
    <phoneticPr fontId="1" type="noConversion"/>
  </si>
  <si>
    <t xml:space="preserve">    9. 예수금</t>
    <phoneticPr fontId="1" type="noConversion"/>
  </si>
  <si>
    <t xml:space="preserve">   9. Withholdings</t>
    <phoneticPr fontId="1" type="noConversion"/>
  </si>
  <si>
    <t xml:space="preserve">   10. 미지급부가세</t>
    <phoneticPr fontId="1" type="noConversion"/>
  </si>
  <si>
    <t xml:space="preserve">   10. Accrued value added tax</t>
    <phoneticPr fontId="1" type="noConversion"/>
  </si>
  <si>
    <t xml:space="preserve">   11. 가수금</t>
    <phoneticPr fontId="1" type="noConversion"/>
  </si>
  <si>
    <t xml:space="preserve">   11. Suspense payables</t>
    <phoneticPr fontId="1" type="noConversion"/>
  </si>
  <si>
    <t xml:space="preserve">   12. 가수보험료</t>
    <phoneticPr fontId="1" type="noConversion"/>
  </si>
  <si>
    <t xml:space="preserve">   12. Premium received in suspense</t>
    <phoneticPr fontId="1" type="noConversion"/>
  </si>
  <si>
    <t xml:space="preserve">   13. 본지점계정대</t>
    <phoneticPr fontId="1" type="noConversion"/>
  </si>
  <si>
    <t xml:space="preserve">   13. Inter-office account credits</t>
    <phoneticPr fontId="1" type="noConversion"/>
  </si>
  <si>
    <t xml:space="preserve">   14. 이연법인세부채</t>
    <phoneticPr fontId="1" type="noConversion"/>
  </si>
  <si>
    <t xml:space="preserve">   14. Deferred tax liabilities</t>
    <phoneticPr fontId="1" type="noConversion"/>
  </si>
  <si>
    <t xml:space="preserve">   15. 임대보증금</t>
    <phoneticPr fontId="1" type="noConversion"/>
  </si>
  <si>
    <t xml:space="preserve">   15. Leasehold deposits received</t>
    <phoneticPr fontId="1" type="noConversion"/>
  </si>
  <si>
    <t xml:space="preserve">   16. 순확정급여채무</t>
    <phoneticPr fontId="1" type="noConversion"/>
  </si>
  <si>
    <t xml:space="preserve">   16. Net defined benefit liabilities</t>
    <phoneticPr fontId="1" type="noConversion"/>
  </si>
  <si>
    <t xml:space="preserve">       가. 확정급여채무</t>
    <phoneticPr fontId="1" type="noConversion"/>
  </si>
  <si>
    <t xml:space="preserve">       A. Defined benefit obligation</t>
    <phoneticPr fontId="1" type="noConversion"/>
  </si>
  <si>
    <t xml:space="preserve">       나. 미인식보험수리적손익</t>
    <phoneticPr fontId="1" type="noConversion"/>
  </si>
  <si>
    <t xml:space="preserve">       B. Not recognised actuarial gains or losses</t>
    <phoneticPr fontId="1" type="noConversion"/>
  </si>
  <si>
    <t xml:space="preserve">       다. 미인식과거근무원가</t>
    <phoneticPr fontId="1" type="noConversion"/>
  </si>
  <si>
    <t xml:space="preserve">      C. Not recognised past service cost</t>
    <phoneticPr fontId="1" type="noConversion"/>
  </si>
  <si>
    <t xml:space="preserve">       라. 사외적립자산</t>
    <phoneticPr fontId="1" type="noConversion"/>
  </si>
  <si>
    <t xml:space="preserve">      D. Plan assets</t>
    <phoneticPr fontId="1" type="noConversion"/>
  </si>
  <si>
    <t>           (1) 퇴직연금운용자산</t>
    <phoneticPr fontId="1" type="noConversion"/>
  </si>
  <si>
    <t xml:space="preserve">           (2) 기타사외적립자산</t>
    <phoneticPr fontId="1" type="noConversion"/>
  </si>
  <si>
    <t xml:space="preserve">        (2) Others</t>
    <phoneticPr fontId="1" type="noConversion"/>
  </si>
  <si>
    <t xml:space="preserve">   17. 파생상품부채</t>
    <phoneticPr fontId="1" type="noConversion"/>
  </si>
  <si>
    <t xml:space="preserve">   17. Derivative liabilities</t>
    <phoneticPr fontId="1" type="noConversion"/>
  </si>
  <si>
    <t xml:space="preserve">       [매매목적파생상품]</t>
    <phoneticPr fontId="1" type="noConversion"/>
  </si>
  <si>
    <t xml:space="preserve">       [Derivative for trading]</t>
    <phoneticPr fontId="1" type="noConversion"/>
  </si>
  <si>
    <t xml:space="preserve">       [헤지목적파생상품]</t>
    <phoneticPr fontId="1" type="noConversion"/>
  </si>
  <si>
    <t xml:space="preserve">       [Derivative for hedge]</t>
    <phoneticPr fontId="1" type="noConversion"/>
  </si>
  <si>
    <t xml:space="preserve">   18. 신탁계정차</t>
    <phoneticPr fontId="1" type="noConversion"/>
  </si>
  <si>
    <t xml:space="preserve">   18. Borrowings from trust accounts</t>
    <phoneticPr fontId="1" type="noConversion"/>
  </si>
  <si>
    <t xml:space="preserve">   19. 복구충당부채</t>
    <phoneticPr fontId="1" type="noConversion"/>
  </si>
  <si>
    <t xml:space="preserve">   19. Provisions for restoration costs</t>
    <phoneticPr fontId="1" type="noConversion"/>
  </si>
  <si>
    <t xml:space="preserve">   20. 채무보증충당부채</t>
    <phoneticPr fontId="1" type="noConversion"/>
  </si>
  <si>
    <t xml:space="preserve">   20. Provisions for debt guarantees</t>
    <phoneticPr fontId="1" type="noConversion"/>
  </si>
  <si>
    <t xml:space="preserve">   21. 요구불상환지분</t>
    <phoneticPr fontId="1" type="noConversion"/>
  </si>
  <si>
    <t xml:space="preserve">   21. Share capital repayable on demand</t>
    <phoneticPr fontId="1" type="noConversion"/>
  </si>
  <si>
    <t xml:space="preserve">   22. 지급어음</t>
    <phoneticPr fontId="1" type="noConversion"/>
  </si>
  <si>
    <t xml:space="preserve">   22. Bills payable</t>
    <phoneticPr fontId="1" type="noConversion"/>
  </si>
  <si>
    <t xml:space="preserve">   23. 그밖의기타부채</t>
    <phoneticPr fontId="1" type="noConversion"/>
  </si>
  <si>
    <t xml:space="preserve">   23. Other liabilities</t>
    <phoneticPr fontId="1" type="noConversion"/>
  </si>
  <si>
    <t xml:space="preserve">       (특별계정미수금-실적배당형퇴직연금)</t>
    <phoneticPr fontId="1" type="noConversion"/>
  </si>
  <si>
    <t xml:space="preserve">       (Separate account debits-retirement pension plan of dividends by results type)</t>
    <phoneticPr fontId="1" type="noConversion"/>
  </si>
  <si>
    <t xml:space="preserve">       (특별계정미수금-변액보험)</t>
    <phoneticPr fontId="1" type="noConversion"/>
  </si>
  <si>
    <t xml:space="preserve">       (Separate account debits-variable products)</t>
    <phoneticPr fontId="1" type="noConversion"/>
  </si>
  <si>
    <t xml:space="preserve">       [수권주식수]</t>
    <phoneticPr fontId="1" type="noConversion"/>
  </si>
  <si>
    <t xml:space="preserve">       [Shares authorised]</t>
    <phoneticPr fontId="1" type="noConversion"/>
  </si>
  <si>
    <t xml:space="preserve">       [발행주식수]</t>
    <phoneticPr fontId="1" type="noConversion"/>
  </si>
  <si>
    <t xml:space="preserve">       [Outstanding shares]</t>
    <phoneticPr fontId="1" type="noConversion"/>
  </si>
  <si>
    <t xml:space="preserve">       [발행보통주식수]</t>
    <phoneticPr fontId="1" type="noConversion"/>
  </si>
  <si>
    <t xml:space="preserve">        [Outstanding common stock]</t>
    <phoneticPr fontId="1" type="noConversion"/>
  </si>
  <si>
    <t xml:space="preserve">       [발행우선주식수]</t>
    <phoneticPr fontId="1" type="noConversion"/>
  </si>
  <si>
    <t xml:space="preserve">       [Outstanding preferred stock]</t>
    <phoneticPr fontId="1" type="noConversion"/>
  </si>
  <si>
    <t xml:space="preserve">     4. 임의적립금</t>
    <phoneticPr fontId="1" type="noConversion"/>
  </si>
  <si>
    <t xml:space="preserve">     4. Voluntary reserves</t>
    <phoneticPr fontId="1" type="noConversion"/>
  </si>
  <si>
    <t xml:space="preserve">     5. 처분전이익잉여금(처리전결손금)</t>
    <phoneticPr fontId="1" type="noConversion"/>
  </si>
  <si>
    <t xml:space="preserve">     5. Retained earnings(deficit) before appropriations</t>
    <phoneticPr fontId="1" type="noConversion"/>
  </si>
  <si>
    <t xml:space="preserve">        (당기순이익또는당기순손실)</t>
    <phoneticPr fontId="1" type="noConversion"/>
  </si>
  <si>
    <t xml:space="preserve">     6. 해약환급금준비금</t>
    <phoneticPr fontId="1" type="noConversion"/>
  </si>
  <si>
    <t xml:space="preserve">     7. 보증준비금</t>
    <phoneticPr fontId="1" type="noConversion"/>
  </si>
  <si>
    <t xml:space="preserve">     8. 비상위험준비금</t>
    <phoneticPr fontId="1" type="noConversion"/>
  </si>
  <si>
    <t xml:space="preserve">     1. 기타포괄손익-공정가치측정금융상품평가손익</t>
    <phoneticPr fontId="1" type="noConversion"/>
  </si>
  <si>
    <t xml:space="preserve">     1. Gains(Losses) on fair value other comprehensive income financial assets</t>
    <phoneticPr fontId="1" type="noConversion"/>
  </si>
  <si>
    <t xml:space="preserve">       [지분상품평가손익]</t>
    <phoneticPr fontId="1" type="noConversion"/>
  </si>
  <si>
    <t xml:space="preserve">     2. 기타포괄손익-공정가치측정채무상품손실충당금</t>
    <phoneticPr fontId="1" type="noConversion"/>
  </si>
  <si>
    <t xml:space="preserve">     2. Allowance for doubtful accounts on fair value other comprehensive income liabilities</t>
    <phoneticPr fontId="1" type="noConversion"/>
  </si>
  <si>
    <t xml:space="preserve">     3. Gains(Losses) on valuation of associates, subsidiaries</t>
    <phoneticPr fontId="1" type="noConversion"/>
  </si>
  <si>
    <t xml:space="preserve">     4. 보험계약자산(부채)순금융손익</t>
    <phoneticPr fontId="1" type="noConversion"/>
  </si>
  <si>
    <t xml:space="preserve">     5. 재보험계약자산(부채)순금융손익</t>
    <phoneticPr fontId="1" type="noConversion"/>
  </si>
  <si>
    <t xml:space="preserve">       다. 공정가치위험회피평가이익</t>
    <phoneticPr fontId="1" type="noConversion"/>
  </si>
  <si>
    <t xml:space="preserve">       라. 공정가치위험회피평가손실</t>
    <phoneticPr fontId="1" type="noConversion"/>
  </si>
  <si>
    <t xml:space="preserve">    1. 보험수익</t>
    <phoneticPr fontId="1" type="noConversion"/>
  </si>
  <si>
    <t xml:space="preserve">    1. Insurance revenues</t>
    <phoneticPr fontId="1" type="noConversion"/>
  </si>
  <si>
    <t xml:space="preserve">       1-1. 일반모형/변동수수료접근법 보험수익</t>
    <phoneticPr fontId="1" type="noConversion"/>
  </si>
  <si>
    <t xml:space="preserve">            가. 예상보험금</t>
    <phoneticPr fontId="1" type="noConversion"/>
  </si>
  <si>
    <t xml:space="preserve">            나. 예상손해조사비</t>
    <phoneticPr fontId="1" type="noConversion"/>
  </si>
  <si>
    <t xml:space="preserve">            다. 예상계약유지비</t>
    <phoneticPr fontId="1" type="noConversion"/>
  </si>
  <si>
    <t xml:space="preserve">            라. 예상투자관리비</t>
    <phoneticPr fontId="1" type="noConversion"/>
  </si>
  <si>
    <t xml:space="preserve">            마. 위험조정변동</t>
    <phoneticPr fontId="1" type="noConversion"/>
  </si>
  <si>
    <t xml:space="preserve">            바. 보험계약마진상각</t>
    <phoneticPr fontId="1" type="noConversion"/>
  </si>
  <si>
    <t xml:space="preserve">            사. 보험취득현금흐름 상각</t>
    <phoneticPr fontId="1" type="noConversion"/>
  </si>
  <si>
    <t xml:space="preserve">            아. 손실요소 배분액</t>
    <phoneticPr fontId="1" type="noConversion"/>
  </si>
  <si>
    <t xml:space="preserve">                 (1) 최선추정 수익인식 배분</t>
    <phoneticPr fontId="1" type="noConversion"/>
  </si>
  <si>
    <t xml:space="preserve">                 (2) 위험조정 수익인식 배분</t>
    <phoneticPr fontId="1" type="noConversion"/>
  </si>
  <si>
    <t xml:space="preserve">            자. 기타보험수익</t>
    <phoneticPr fontId="1" type="noConversion"/>
  </si>
  <si>
    <t xml:space="preserve">                 (1) 보험취득현금흐름 경험조정</t>
    <phoneticPr fontId="1" type="noConversion"/>
  </si>
  <si>
    <t xml:space="preserve">                 (2) 수취보험료 경험조정</t>
    <phoneticPr fontId="1" type="noConversion"/>
  </si>
  <si>
    <t xml:space="preserve">                 (3) 기타</t>
    <phoneticPr fontId="1" type="noConversion"/>
  </si>
  <si>
    <t xml:space="preserve">       1-2. 보험료배분접근법 보험수익</t>
    <phoneticPr fontId="1" type="noConversion"/>
  </si>
  <si>
    <t xml:space="preserve">    2. 보험서비스비용</t>
    <phoneticPr fontId="1" type="noConversion"/>
  </si>
  <si>
    <t xml:space="preserve">       2-1. 일반모형/변동수수료접근법 보험서비스비용</t>
    <phoneticPr fontId="1" type="noConversion"/>
  </si>
  <si>
    <t xml:space="preserve">            가. 발생보험금</t>
    <phoneticPr fontId="1" type="noConversion"/>
  </si>
  <si>
    <t xml:space="preserve">                 (1) 발생사고요소 최선추정 인식액</t>
    <phoneticPr fontId="1" type="noConversion"/>
  </si>
  <si>
    <t xml:space="preserve">                 (2) 발생사고요소 위험조정 인식액</t>
    <phoneticPr fontId="1" type="noConversion"/>
  </si>
  <si>
    <t xml:space="preserve">            나. 발생손해조사비</t>
    <phoneticPr fontId="1" type="noConversion"/>
  </si>
  <si>
    <t xml:space="preserve">            다. 발생계약유지비</t>
    <phoneticPr fontId="1" type="noConversion"/>
  </si>
  <si>
    <t xml:space="preserve">            라. 발생투자관리비</t>
    <phoneticPr fontId="1" type="noConversion"/>
  </si>
  <si>
    <t xml:space="preserve">            마. 손실부담계약관련비용(환입)</t>
    <phoneticPr fontId="1" type="noConversion"/>
  </si>
  <si>
    <t xml:space="preserve">            바. 발생사고요소조정</t>
    <phoneticPr fontId="1" type="noConversion"/>
  </si>
  <si>
    <t xml:space="preserve">                 (1) 발생사고요소 최선추정 변동액</t>
    <phoneticPr fontId="1" type="noConversion"/>
  </si>
  <si>
    <t xml:space="preserve">                 (2) 발생사고요소 위험조정 변동액</t>
    <phoneticPr fontId="1" type="noConversion"/>
  </si>
  <si>
    <t xml:space="preserve">            자. 기타보험서비스비용</t>
    <phoneticPr fontId="1" type="noConversion"/>
  </si>
  <si>
    <t xml:space="preserve">                 (2) 보험취득현금흐름자산 손상차손(환입)</t>
    <phoneticPr fontId="1" type="noConversion"/>
  </si>
  <si>
    <t xml:space="preserve">       2-2. 보험료배분접근법 보험서비스비용</t>
    <phoneticPr fontId="1" type="noConversion"/>
  </si>
  <si>
    <t xml:space="preserve">            다. 손실부담계약관련비용(환입)</t>
    <phoneticPr fontId="1" type="noConversion"/>
  </si>
  <si>
    <t xml:space="preserve">            라. 발생사고요소조정</t>
    <phoneticPr fontId="1" type="noConversion"/>
  </si>
  <si>
    <t xml:space="preserve">            마. 보험취득현금흐름 즉시인식액</t>
    <phoneticPr fontId="1" type="noConversion"/>
  </si>
  <si>
    <t xml:space="preserve">            바. 보험취득현금흐름 상각</t>
    <phoneticPr fontId="1" type="noConversion"/>
  </si>
  <si>
    <t xml:space="preserve">            사. 기타보험서비스비용</t>
    <phoneticPr fontId="1" type="noConversion"/>
  </si>
  <si>
    <t xml:space="preserve">    3. 재보험수익</t>
    <phoneticPr fontId="1" type="noConversion"/>
  </si>
  <si>
    <t xml:space="preserve">       3-1. 일반모형 재보험수익</t>
    <phoneticPr fontId="1" type="noConversion"/>
  </si>
  <si>
    <t xml:space="preserve">            가. 발생재보험금</t>
    <phoneticPr fontId="1" type="noConversion"/>
  </si>
  <si>
    <t xml:space="preserve">            다. 손실회수요소관련수익</t>
    <phoneticPr fontId="1" type="noConversion"/>
  </si>
  <si>
    <t xml:space="preserve">            마. 손실회수요소 배분액</t>
    <phoneticPr fontId="1" type="noConversion"/>
  </si>
  <si>
    <t xml:space="preserve">            바. 기타재보험수익</t>
    <phoneticPr fontId="1" type="noConversion"/>
  </si>
  <si>
    <t xml:space="preserve">       3-2. 보험료배분접근법 재보험수익</t>
    <phoneticPr fontId="1" type="noConversion"/>
  </si>
  <si>
    <t xml:space="preserve">            마. 기타재보험수익</t>
    <phoneticPr fontId="1" type="noConversion"/>
  </si>
  <si>
    <t xml:space="preserve">    4. 재보험서비스비용</t>
    <phoneticPr fontId="1" type="noConversion"/>
  </si>
  <si>
    <t xml:space="preserve">       4-1. 일반모형 재보험서비스비용</t>
    <phoneticPr fontId="1" type="noConversion"/>
  </si>
  <si>
    <t xml:space="preserve">            가. 예상재보험금</t>
    <phoneticPr fontId="1" type="noConversion"/>
  </si>
  <si>
    <t xml:space="preserve">            다. 위험조정변동</t>
    <phoneticPr fontId="1" type="noConversion"/>
  </si>
  <si>
    <t xml:space="preserve">            라. 보험계약마진상각</t>
    <phoneticPr fontId="1" type="noConversion"/>
  </si>
  <si>
    <t xml:space="preserve">                 (1) 최선추정부채 비용인식 배분</t>
    <phoneticPr fontId="1" type="noConversion"/>
  </si>
  <si>
    <t xml:space="preserve">                 (2) 위험조정 비용인식 배분</t>
    <phoneticPr fontId="1" type="noConversion"/>
  </si>
  <si>
    <t xml:space="preserve">            바. 기타재보험서비스비용</t>
    <phoneticPr fontId="1" type="noConversion"/>
  </si>
  <si>
    <t xml:space="preserve">                 (1) 재보험료 경험조정</t>
    <phoneticPr fontId="1" type="noConversion"/>
  </si>
  <si>
    <t xml:space="preserve">                 (2) 기타</t>
    <phoneticPr fontId="1" type="noConversion"/>
  </si>
  <si>
    <t xml:space="preserve">       4-2. 보험료배분접근법 재보험서비스비용</t>
    <phoneticPr fontId="1" type="noConversion"/>
  </si>
  <si>
    <t xml:space="preserve">    5. 기타사업비용</t>
    <phoneticPr fontId="1" type="noConversion"/>
  </si>
  <si>
    <t xml:space="preserve">   1. 투자수익</t>
    <phoneticPr fontId="1" type="noConversion"/>
  </si>
  <si>
    <t xml:space="preserve">   1. Investment revenues</t>
    <phoneticPr fontId="1" type="noConversion"/>
  </si>
  <si>
    <t xml:space="preserve">      가. 보험금융수익</t>
    <phoneticPr fontId="1" type="noConversion"/>
  </si>
  <si>
    <t xml:space="preserve">       (1) 보험계약보험금융수익</t>
    <phoneticPr fontId="1" type="noConversion"/>
  </si>
  <si>
    <t xml:space="preserve">            ① 보험금융이자수익</t>
    <phoneticPr fontId="1" type="noConversion"/>
  </si>
  <si>
    <t xml:space="preserve">            ② 환율변동수익</t>
    <phoneticPr fontId="1" type="noConversion"/>
  </si>
  <si>
    <t xml:space="preserve">            ③ 할인율변동수익</t>
    <phoneticPr fontId="1" type="noConversion"/>
  </si>
  <si>
    <t xml:space="preserve">            ④ 기타</t>
    <phoneticPr fontId="1" type="noConversion"/>
  </si>
  <si>
    <t xml:space="preserve">       (2) 재보험계약보험금융수익</t>
    <phoneticPr fontId="1" type="noConversion"/>
  </si>
  <si>
    <t xml:space="preserve">            ④ 재보험자불이행위험변동액</t>
    <phoneticPr fontId="1" type="noConversion"/>
  </si>
  <si>
    <t xml:space="preserve">            ⑤ 기타</t>
    <phoneticPr fontId="1" type="noConversion"/>
  </si>
  <si>
    <t xml:space="preserve">      나. 이자수익</t>
    <phoneticPr fontId="1" type="noConversion"/>
  </si>
  <si>
    <t xml:space="preserve">       (2) 당기손익-공정가치측정유가증권이자</t>
    <phoneticPr fontId="1" type="noConversion"/>
  </si>
  <si>
    <t xml:space="preserve">       (3) 기타포괄손익-공정가치측정유가증권이자</t>
    <phoneticPr fontId="1" type="noConversion"/>
  </si>
  <si>
    <t xml:space="preserve">       (4) 상각후원가측정유가증권이자</t>
    <phoneticPr fontId="1" type="noConversion"/>
  </si>
  <si>
    <t xml:space="preserve">       (6) 기타이자수익</t>
    <phoneticPr fontId="1" type="noConversion"/>
  </si>
  <si>
    <t xml:space="preserve">      다. 배당수익</t>
    <phoneticPr fontId="1" type="noConversion"/>
  </si>
  <si>
    <t xml:space="preserve">       (1) 당기손익-공정가치측정유가증권배당수익</t>
    <phoneticPr fontId="1" type="noConversion"/>
  </si>
  <si>
    <t xml:space="preserve">       (2) 기타포괄손익-공정가치측정유가증권배당수익</t>
    <phoneticPr fontId="1" type="noConversion"/>
  </si>
  <si>
    <t xml:space="preserve">      라. 임대료수익</t>
    <phoneticPr fontId="1" type="noConversion"/>
  </si>
  <si>
    <t xml:space="preserve">      마. 수수료수익</t>
    <phoneticPr fontId="1" type="noConversion"/>
  </si>
  <si>
    <t xml:space="preserve">      바. 금융상품처분이익</t>
    <phoneticPr fontId="1" type="noConversion"/>
  </si>
  <si>
    <t xml:space="preserve">       (1) 당기손익-공정가치측정유가증권처분이익</t>
    <phoneticPr fontId="1" type="noConversion"/>
  </si>
  <si>
    <t xml:space="preserve">       (2) 기타포괄손익-공정가치측정유가증권처분이익</t>
    <phoneticPr fontId="1" type="noConversion"/>
  </si>
  <si>
    <t xml:space="preserve">       (3) 상각후원가측정유가증권처분이익</t>
    <phoneticPr fontId="1" type="noConversion"/>
  </si>
  <si>
    <t xml:space="preserve">       (4) 대출채권처분이익</t>
    <phoneticPr fontId="1" type="noConversion"/>
  </si>
  <si>
    <t xml:space="preserve">       (4) Loans</t>
    <phoneticPr fontId="1" type="noConversion"/>
  </si>
  <si>
    <t xml:space="preserve">       (5) 관계·종속기업투자주식처분이익</t>
    <phoneticPr fontId="1" type="noConversion"/>
  </si>
  <si>
    <t xml:space="preserve">       (5) Disposition income of associates and subsidiaries investments</t>
    <phoneticPr fontId="1" type="noConversion"/>
  </si>
  <si>
    <t xml:space="preserve">      사. 금융상품재분류이익</t>
    <phoneticPr fontId="1" type="noConversion"/>
  </si>
  <si>
    <t xml:space="preserve">      아. 당기손익-공정가치측정금융상품평가이익</t>
    <phoneticPr fontId="1" type="noConversion"/>
  </si>
  <si>
    <t xml:space="preserve">       (1) 당기손익-공정가치측정금융자산평가이익</t>
    <phoneticPr fontId="1" type="noConversion"/>
  </si>
  <si>
    <t xml:space="preserve">           ① 유가증권</t>
    <phoneticPr fontId="1" type="noConversion"/>
  </si>
  <si>
    <t xml:space="preserve">           ② 대출채권</t>
    <phoneticPr fontId="1" type="noConversion"/>
  </si>
  <si>
    <t xml:space="preserve">           ③ 기타</t>
    <phoneticPr fontId="1" type="noConversion"/>
  </si>
  <si>
    <t xml:space="preserve">       (2) 당기손익-공정가치측정금융부채평가이익</t>
    <phoneticPr fontId="1" type="noConversion"/>
  </si>
  <si>
    <t xml:space="preserve">           ① 차입부채</t>
    <phoneticPr fontId="1" type="noConversion"/>
  </si>
  <si>
    <t xml:space="preserve">           ② 요구불상환지분</t>
    <phoneticPr fontId="1" type="noConversion"/>
  </si>
  <si>
    <t xml:space="preserve">      자. 금전신탁이익</t>
    <phoneticPr fontId="1" type="noConversion"/>
  </si>
  <si>
    <t xml:space="preserve">      차. 금융상품손상차손환입</t>
    <phoneticPr fontId="1" type="noConversion"/>
  </si>
  <si>
    <t xml:space="preserve">       (1) 대손충당금환입</t>
    <phoneticPr fontId="1" type="noConversion"/>
  </si>
  <si>
    <t xml:space="preserve">       (2) 유가증권손상차손환입</t>
    <phoneticPr fontId="1" type="noConversion"/>
  </si>
  <si>
    <t xml:space="preserve">           ① 상각후원가측정유가증권 손상차손환입</t>
    <phoneticPr fontId="1" type="noConversion"/>
  </si>
  <si>
    <t xml:space="preserve">           ② 기타포괄손익-공정가치측정유가증권 손상차손환입</t>
    <phoneticPr fontId="1" type="noConversion"/>
  </si>
  <si>
    <t xml:space="preserve">       (3) 파생상품손상차손환입</t>
    <phoneticPr fontId="1" type="noConversion"/>
  </si>
  <si>
    <t xml:space="preserve">      카. 관계·종속기업투자주식손상차손환입</t>
    <phoneticPr fontId="1" type="noConversion"/>
  </si>
  <si>
    <t xml:space="preserve">      타. 비금융자산손상차손환입</t>
    <phoneticPr fontId="1" type="noConversion"/>
  </si>
  <si>
    <t xml:space="preserve">       (1) 부동산손상차손환입</t>
    <phoneticPr fontId="1" type="noConversion"/>
  </si>
  <si>
    <t xml:space="preserve">       (2) 무형자산손상차손환입</t>
    <phoneticPr fontId="1" type="noConversion"/>
  </si>
  <si>
    <t xml:space="preserve">      파. 지분법평가이익</t>
    <phoneticPr fontId="1" type="noConversion"/>
  </si>
  <si>
    <t xml:space="preserve">      하. 파생상품거래이익</t>
    <phoneticPr fontId="1" type="noConversion"/>
  </si>
  <si>
    <t xml:space="preserve">        [매매목적파생상품거래이익]</t>
    <phoneticPr fontId="1" type="noConversion"/>
  </si>
  <si>
    <t xml:space="preserve">        [헤지목적파생상품거래이익]</t>
    <phoneticPr fontId="1" type="noConversion"/>
  </si>
  <si>
    <t xml:space="preserve">      거. 파생상품평가이익</t>
    <phoneticPr fontId="1" type="noConversion"/>
  </si>
  <si>
    <t xml:space="preserve">        [매매목적파생상품평가이익)]</t>
    <phoneticPr fontId="1" type="noConversion"/>
  </si>
  <si>
    <t xml:space="preserve">        [헤지목적파생상품평가이익]</t>
    <phoneticPr fontId="1" type="noConversion"/>
  </si>
  <si>
    <t xml:space="preserve">      너. 외환차익</t>
    <phoneticPr fontId="1" type="noConversion"/>
  </si>
  <si>
    <t xml:space="preserve">      더. 외화환산이익</t>
    <phoneticPr fontId="1" type="noConversion"/>
  </si>
  <si>
    <t xml:space="preserve">      러. 부동산처분이익</t>
    <phoneticPr fontId="1" type="noConversion"/>
  </si>
  <si>
    <t xml:space="preserve">       [투자부동산 처분이익]</t>
    <phoneticPr fontId="1" type="noConversion"/>
  </si>
  <si>
    <t xml:space="preserve">      머. 재평가손실환입</t>
    <phoneticPr fontId="1" type="noConversion"/>
  </si>
  <si>
    <t xml:space="preserve">      버. 신탁보수</t>
    <phoneticPr fontId="1" type="noConversion"/>
  </si>
  <si>
    <t xml:space="preserve">      서. 금융부채상환이익</t>
    <phoneticPr fontId="1" type="noConversion"/>
  </si>
  <si>
    <t xml:space="preserve">       (1) 발행채권</t>
    <phoneticPr fontId="1" type="noConversion"/>
  </si>
  <si>
    <t xml:space="preserve">       (2) 요구불상환지분</t>
    <phoneticPr fontId="1" type="noConversion"/>
  </si>
  <si>
    <t xml:space="preserve">      어. 염가매수차익</t>
    <phoneticPr fontId="1" type="noConversion"/>
  </si>
  <si>
    <t xml:space="preserve">      저. 기타투자수익</t>
    <phoneticPr fontId="1" type="noConversion"/>
  </si>
  <si>
    <t xml:space="preserve">   2. 투자비용</t>
    <phoneticPr fontId="1" type="noConversion"/>
  </si>
  <si>
    <t xml:space="preserve">      가. 보험금융비용</t>
    <phoneticPr fontId="1" type="noConversion"/>
  </si>
  <si>
    <t xml:space="preserve">       (1) 보험계약보험금융비용</t>
    <phoneticPr fontId="1" type="noConversion"/>
  </si>
  <si>
    <t xml:space="preserve">           ① 보험금융이자비용</t>
    <phoneticPr fontId="1" type="noConversion"/>
  </si>
  <si>
    <t xml:space="preserve">           ② 환율변동비용</t>
    <phoneticPr fontId="1" type="noConversion"/>
  </si>
  <si>
    <t xml:space="preserve">           ③ 할인율변동비용</t>
    <phoneticPr fontId="1" type="noConversion"/>
  </si>
  <si>
    <t xml:space="preserve">           ④ 기타</t>
    <phoneticPr fontId="1" type="noConversion"/>
  </si>
  <si>
    <t xml:space="preserve">       (2) 재보험계약보험금융비용</t>
    <phoneticPr fontId="1" type="noConversion"/>
  </si>
  <si>
    <t xml:space="preserve">           ④ 재보험자불이행위험변동액</t>
    <phoneticPr fontId="1" type="noConversion"/>
  </si>
  <si>
    <t xml:space="preserve">           ⑤ 기타</t>
    <phoneticPr fontId="1" type="noConversion"/>
  </si>
  <si>
    <t xml:space="preserve">      나. 이자비용</t>
    <phoneticPr fontId="1" type="noConversion"/>
  </si>
  <si>
    <t xml:space="preserve">        (1) 당좌차월이자</t>
    <phoneticPr fontId="1" type="noConversion"/>
  </si>
  <si>
    <t xml:space="preserve">        (2) 차입금이자</t>
    <phoneticPr fontId="1" type="noConversion"/>
  </si>
  <si>
    <t xml:space="preserve">           ① 콜머니이자</t>
    <phoneticPr fontId="1" type="noConversion"/>
  </si>
  <si>
    <t xml:space="preserve">           ② RP매도이자</t>
    <phoneticPr fontId="1" type="noConversion"/>
  </si>
  <si>
    <t xml:space="preserve">             - RP sale interest</t>
  </si>
  <si>
    <t xml:space="preserve">           ③ 후순위차입금이자</t>
    <phoneticPr fontId="1" type="noConversion"/>
  </si>
  <si>
    <t xml:space="preserve">        (3) 발행채권이자</t>
    <phoneticPr fontId="1" type="noConversion"/>
  </si>
  <si>
    <t xml:space="preserve">        (4) 신탁계정차이자</t>
    <phoneticPr fontId="1" type="noConversion"/>
  </si>
  <si>
    <t xml:space="preserve">        (5) 요구불상환증권이자</t>
    <phoneticPr fontId="1" type="noConversion"/>
  </si>
  <si>
    <t xml:space="preserve">        (6) 리스부채이자</t>
    <phoneticPr fontId="1" type="noConversion"/>
  </si>
  <si>
    <t xml:space="preserve">        (7) 기타이자비용</t>
    <phoneticPr fontId="1" type="noConversion"/>
  </si>
  <si>
    <t xml:space="preserve">         (7) Other interest expenses</t>
    <phoneticPr fontId="1" type="noConversion"/>
  </si>
  <si>
    <t xml:space="preserve">      다. 재산관리비</t>
    <phoneticPr fontId="1" type="noConversion"/>
  </si>
  <si>
    <t xml:space="preserve">      라. 부동산관리비</t>
    <phoneticPr fontId="1" type="noConversion"/>
  </si>
  <si>
    <t xml:space="preserve">      마. 지분법평가손실</t>
    <phoneticPr fontId="1" type="noConversion"/>
  </si>
  <si>
    <t xml:space="preserve">      바. 금융상품처분손실</t>
    <phoneticPr fontId="1" type="noConversion"/>
  </si>
  <si>
    <t xml:space="preserve">       (1) 당기손익-공정가치측정유가증권처분손실</t>
    <phoneticPr fontId="1" type="noConversion"/>
  </si>
  <si>
    <t xml:space="preserve">       (2) 기타포괄손익-공정가치측정유가증권처분손실</t>
    <phoneticPr fontId="1" type="noConversion"/>
  </si>
  <si>
    <t xml:space="preserve">       (3) 상각후원가측정유가증권처분손실</t>
    <phoneticPr fontId="1" type="noConversion"/>
  </si>
  <si>
    <t xml:space="preserve">       (5) 대출채권처분손실</t>
    <phoneticPr fontId="1" type="noConversion"/>
  </si>
  <si>
    <t xml:space="preserve">      사. 금융상품재분류손실</t>
    <phoneticPr fontId="1" type="noConversion"/>
  </si>
  <si>
    <t xml:space="preserve">      아. 당기손익-공정가치측정금융상품평가손실</t>
    <phoneticPr fontId="1" type="noConversion"/>
  </si>
  <si>
    <t xml:space="preserve">       (1) 당기손익-공정가치측정금융자산평가손실</t>
    <phoneticPr fontId="1" type="noConversion"/>
  </si>
  <si>
    <t xml:space="preserve">       (2) 당기손익-공정가치측정금융부채평가손실</t>
    <phoneticPr fontId="1" type="noConversion"/>
  </si>
  <si>
    <t xml:space="preserve">      자. 금전신탁손실</t>
    <phoneticPr fontId="1" type="noConversion"/>
  </si>
  <si>
    <t xml:space="preserve">      차. 금융상품손상차손</t>
    <phoneticPr fontId="1" type="noConversion"/>
  </si>
  <si>
    <t xml:space="preserve">         (1) 대손상각비</t>
    <phoneticPr fontId="1" type="noConversion"/>
  </si>
  <si>
    <t xml:space="preserve">         (2) 유가증권손상차손</t>
    <phoneticPr fontId="1" type="noConversion"/>
  </si>
  <si>
    <t xml:space="preserve">             ① 상각후원가측정유가증권 손상차손</t>
    <phoneticPr fontId="1" type="noConversion"/>
  </si>
  <si>
    <t xml:space="preserve">             ② 기타포괄손익-공정가치측정유가증권 손상차손</t>
    <phoneticPr fontId="1" type="noConversion"/>
  </si>
  <si>
    <t xml:space="preserve">      카. 관계·종속기업투자주식손상차손</t>
    <phoneticPr fontId="1" type="noConversion"/>
  </si>
  <si>
    <t xml:space="preserve">      타. 비금융자산손상차손</t>
    <phoneticPr fontId="1" type="noConversion"/>
  </si>
  <si>
    <t xml:space="preserve">         (1) 부동산손상차손</t>
    <phoneticPr fontId="1" type="noConversion"/>
  </si>
  <si>
    <t xml:space="preserve">         (2) 무형자산손상차손</t>
    <phoneticPr fontId="1" type="noConversion"/>
  </si>
  <si>
    <t xml:space="preserve">         (3) 기타</t>
    <phoneticPr fontId="1" type="noConversion"/>
  </si>
  <si>
    <t xml:space="preserve">      파. 파생상품거래손실</t>
    <phoneticPr fontId="1" type="noConversion"/>
  </si>
  <si>
    <t xml:space="preserve">      [매매목적파생상품거래손실]</t>
    <phoneticPr fontId="1" type="noConversion"/>
  </si>
  <si>
    <t xml:space="preserve">      [헤지목적파생상품거래손실]</t>
    <phoneticPr fontId="1" type="noConversion"/>
  </si>
  <si>
    <t xml:space="preserve">         (1) 이자율관련</t>
    <phoneticPr fontId="1" type="noConversion"/>
  </si>
  <si>
    <t xml:space="preserve">         (2) 통화관련</t>
    <phoneticPr fontId="1" type="noConversion"/>
  </si>
  <si>
    <t xml:space="preserve">         (3) 주식관련</t>
    <phoneticPr fontId="1" type="noConversion"/>
  </si>
  <si>
    <t xml:space="preserve">         (4) 신용관련</t>
    <phoneticPr fontId="1" type="noConversion"/>
  </si>
  <si>
    <t xml:space="preserve">         (5) 기타</t>
    <phoneticPr fontId="1" type="noConversion"/>
  </si>
  <si>
    <t xml:space="preserve">      하. 파생상품평가손실</t>
    <phoneticPr fontId="1" type="noConversion"/>
  </si>
  <si>
    <t xml:space="preserve">      [매매목적파생상품평가손실]</t>
    <phoneticPr fontId="1" type="noConversion"/>
  </si>
  <si>
    <t xml:space="preserve">      [헤지목적파생상품평가손실]</t>
    <phoneticPr fontId="1" type="noConversion"/>
  </si>
  <si>
    <t xml:space="preserve">        (1) 이자율관련</t>
    <phoneticPr fontId="1" type="noConversion"/>
  </si>
  <si>
    <t xml:space="preserve">        (2) 통화관련</t>
    <phoneticPr fontId="1" type="noConversion"/>
  </si>
  <si>
    <t xml:space="preserve">        (3) 주식관련</t>
    <phoneticPr fontId="1" type="noConversion"/>
  </si>
  <si>
    <t xml:space="preserve">        (4) 신용관련</t>
    <phoneticPr fontId="1" type="noConversion"/>
  </si>
  <si>
    <t xml:space="preserve">        (5) 기타</t>
    <phoneticPr fontId="1" type="noConversion"/>
  </si>
  <si>
    <t xml:space="preserve">     거. 외환차손</t>
    <phoneticPr fontId="1" type="noConversion"/>
  </si>
  <si>
    <t xml:space="preserve">     너. 외화환산손실</t>
    <phoneticPr fontId="1" type="noConversion"/>
  </si>
  <si>
    <t xml:space="preserve">     더. 부동산처분손실</t>
    <phoneticPr fontId="1" type="noConversion"/>
  </si>
  <si>
    <t xml:space="preserve">     [투자부동산처분손실]</t>
    <phoneticPr fontId="1" type="noConversion"/>
  </si>
  <si>
    <t xml:space="preserve">     러. 재평가손실</t>
    <phoneticPr fontId="1" type="noConversion"/>
  </si>
  <si>
    <t xml:space="preserve">     머. 부동산감가상각비</t>
    <phoneticPr fontId="1" type="noConversion"/>
  </si>
  <si>
    <t xml:space="preserve">     버. 무형자산상각비</t>
    <phoneticPr fontId="1" type="noConversion"/>
  </si>
  <si>
    <t xml:space="preserve">     서. 사용권자산감가상각비</t>
    <phoneticPr fontId="1" type="noConversion"/>
  </si>
  <si>
    <t xml:space="preserve">     어. 금융부채상환손실</t>
    <phoneticPr fontId="1" type="noConversion"/>
  </si>
  <si>
    <t xml:space="preserve">     저. 기타투자비용</t>
    <phoneticPr fontId="1" type="noConversion"/>
  </si>
  <si>
    <t xml:space="preserve"> III. 영업이익(또는영업손실) </t>
    <phoneticPr fontId="1" type="noConversion"/>
  </si>
  <si>
    <t xml:space="preserve"> IV. 영업외손익</t>
    <phoneticPr fontId="1" type="noConversion"/>
  </si>
  <si>
    <t xml:space="preserve">      가. 유형자산처분이익</t>
    <phoneticPr fontId="1" type="noConversion"/>
  </si>
  <si>
    <t xml:space="preserve">      나. 전기오류수정이익</t>
    <phoneticPr fontId="1" type="noConversion"/>
  </si>
  <si>
    <t xml:space="preserve">      다. 외환차익</t>
    <phoneticPr fontId="1" type="noConversion"/>
  </si>
  <si>
    <t xml:space="preserve">      라. 외화환산이익</t>
    <phoneticPr fontId="1" type="noConversion"/>
  </si>
  <si>
    <t xml:space="preserve">      마. 자산수증이익</t>
    <phoneticPr fontId="1" type="noConversion"/>
  </si>
  <si>
    <t xml:space="preserve">      바. 채무면제이익</t>
    <phoneticPr fontId="1" type="noConversion"/>
  </si>
  <si>
    <t xml:space="preserve">      사. 보험차익</t>
    <phoneticPr fontId="1" type="noConversion"/>
  </si>
  <si>
    <t xml:space="preserve">      아. 잡이익</t>
    <phoneticPr fontId="1" type="noConversion"/>
  </si>
  <si>
    <t xml:space="preserve">      가. 유형자산처분손실</t>
    <phoneticPr fontId="1" type="noConversion"/>
  </si>
  <si>
    <t xml:space="preserve">      나. 기부금</t>
    <phoneticPr fontId="1" type="noConversion"/>
  </si>
  <si>
    <t xml:space="preserve">      다. 전기오류수정손실</t>
    <phoneticPr fontId="1" type="noConversion"/>
  </si>
  <si>
    <t xml:space="preserve">      라. 외환차손</t>
    <phoneticPr fontId="1" type="noConversion"/>
  </si>
  <si>
    <t xml:space="preserve">      마. 외화환산손실</t>
    <phoneticPr fontId="1" type="noConversion"/>
  </si>
  <si>
    <t xml:space="preserve">      바. 재해손실</t>
    <phoneticPr fontId="1" type="noConversion"/>
  </si>
  <si>
    <t xml:space="preserve">      사. 과징금,과태료,벌과금등</t>
    <phoneticPr fontId="1" type="noConversion"/>
  </si>
  <si>
    <t xml:space="preserve">      아. 잡손실</t>
    <phoneticPr fontId="1" type="noConversion"/>
  </si>
  <si>
    <t xml:space="preserve"> V. 법인세비용차감전순이익(또는법인세비용차감전순손실) </t>
    <phoneticPr fontId="1" type="noConversion"/>
  </si>
  <si>
    <t xml:space="preserve"> VI. 법인세비용</t>
    <phoneticPr fontId="1" type="noConversion"/>
  </si>
  <si>
    <t xml:space="preserve"> VII. 당기순이익(또는당기순손실) </t>
    <phoneticPr fontId="1" type="noConversion"/>
  </si>
  <si>
    <t xml:space="preserve">    (비상위험준비금 적립액)</t>
    <phoneticPr fontId="1" type="noConversion"/>
  </si>
  <si>
    <t xml:space="preserve">    (해약환급금준비금 적립액)</t>
    <phoneticPr fontId="1" type="noConversion"/>
  </si>
  <si>
    <t xml:space="preserve">    (보증준비금 적립액)</t>
    <phoneticPr fontId="1" type="noConversion"/>
  </si>
  <si>
    <t xml:space="preserve">    (비상위험준비금 및 해약환급금준비금 및 보증준비금 및 대손준비금 적립후 당기순이익) </t>
    <phoneticPr fontId="1" type="noConversion"/>
  </si>
  <si>
    <t xml:space="preserve"> VIII. 기타포괄손익</t>
    <phoneticPr fontId="1" type="noConversion"/>
  </si>
  <si>
    <t xml:space="preserve">   1. 기타포괄손익-공정가치측정금융상품평가손익</t>
    <phoneticPr fontId="1" type="noConversion"/>
  </si>
  <si>
    <t xml:space="preserve">      [지분상품평가손익]</t>
    <phoneticPr fontId="1" type="noConversion"/>
  </si>
  <si>
    <t xml:space="preserve">   2. 기타포괄손익-공정가치측정채무상품손실충당금</t>
    <phoneticPr fontId="1" type="noConversion"/>
  </si>
  <si>
    <t xml:space="preserve">   3. 보험계약자산(부채) 순금융손익</t>
    <phoneticPr fontId="1" type="noConversion"/>
  </si>
  <si>
    <t xml:space="preserve">      (1) 할인율 변경효과</t>
    <phoneticPr fontId="1" type="noConversion"/>
  </si>
  <si>
    <t xml:space="preserve">      (2) 환율 변경효과</t>
    <phoneticPr fontId="1" type="noConversion"/>
  </si>
  <si>
    <t xml:space="preserve">      (3) 기타</t>
    <phoneticPr fontId="1" type="noConversion"/>
  </si>
  <si>
    <t xml:space="preserve">   4. 재보험계약자산(부채) 순금융손익  </t>
    <phoneticPr fontId="1" type="noConversion"/>
  </si>
  <si>
    <t xml:space="preserve">   5. 관계·종속기업투자주식평가손익</t>
    <phoneticPr fontId="1" type="noConversion"/>
  </si>
  <si>
    <t xml:space="preserve">   6. 해외사업환산손익</t>
    <phoneticPr fontId="1" type="noConversion"/>
  </si>
  <si>
    <t xml:space="preserve">   7. 위험회피파생상품평가손익</t>
    <phoneticPr fontId="1" type="noConversion"/>
  </si>
  <si>
    <t xml:space="preserve">   8. 재평가잉여금</t>
    <phoneticPr fontId="1" type="noConversion"/>
  </si>
  <si>
    <t xml:space="preserve">   9. 보험수리적손익</t>
    <phoneticPr fontId="1" type="noConversion"/>
  </si>
  <si>
    <t xml:space="preserve">   10. 기타</t>
    <phoneticPr fontId="1" type="noConversion"/>
  </si>
  <si>
    <t xml:space="preserve"> IX. 총포괄손익</t>
    <phoneticPr fontId="1" type="noConversion"/>
  </si>
  <si>
    <t>▶ 자산별 투자성과 및 운용자산이익율 : 연환산 기준</t>
    <phoneticPr fontId="1" type="noConversion"/>
  </si>
  <si>
    <t>▶ 운용자산 : 관계종속기업 포함 안됨</t>
    <phoneticPr fontId="1" type="noConversion"/>
  </si>
  <si>
    <t>▶ 대출채권 : 특별계정 포함</t>
    <phoneticPr fontId="1" type="noConversion"/>
  </si>
  <si>
    <t>▶ IFRS 4 및 IAS 39 기준 수수료 수입 작성</t>
    <phoneticPr fontId="1" type="noConversion"/>
  </si>
  <si>
    <t>당기손익-공정가치측정금융자산</t>
  </si>
  <si>
    <t>Fair value profit or loss financial assets</t>
  </si>
  <si>
    <t>기타포괄손익-공정가치측정금융자산</t>
  </si>
  <si>
    <t>Fair value other comprehensive income financial assets</t>
  </si>
  <si>
    <t>상각후원가측정금융자산</t>
  </si>
  <si>
    <t>Amortized cost financial assets</t>
  </si>
  <si>
    <t>상각후원가측정대여금및수취채권</t>
  </si>
  <si>
    <t>Amortized cost loans and receivables</t>
  </si>
  <si>
    <t>재보험계약자산</t>
  </si>
  <si>
    <t>Reinsurance contract assets</t>
  </si>
  <si>
    <t>Insurance contract liabilities</t>
  </si>
  <si>
    <t>재보험계약부채</t>
  </si>
  <si>
    <t>Reinsurance contract liabilities</t>
  </si>
  <si>
    <t>보험금융수익</t>
  </si>
  <si>
    <t>재보험금융수익</t>
  </si>
  <si>
    <t>보험서비스비용</t>
  </si>
  <si>
    <t>손익 세부</t>
    <phoneticPr fontId="1" type="noConversion"/>
  </si>
  <si>
    <t xml:space="preserve">   CSM상각</t>
    <phoneticPr fontId="1" type="noConversion"/>
  </si>
  <si>
    <t xml:space="preserve">   RA변동</t>
    <phoneticPr fontId="1" type="noConversion"/>
  </si>
  <si>
    <t xml:space="preserve">   예실차</t>
    <phoneticPr fontId="1" type="noConversion"/>
  </si>
  <si>
    <t xml:space="preserve">      보험금차</t>
    <phoneticPr fontId="1" type="noConversion"/>
  </si>
  <si>
    <t xml:space="preserve">  예상보험금</t>
    <phoneticPr fontId="1" type="noConversion"/>
  </si>
  <si>
    <t xml:space="preserve">  실제보험금</t>
    <phoneticPr fontId="1" type="noConversion"/>
  </si>
  <si>
    <t xml:space="preserve">      사업비차</t>
    <phoneticPr fontId="1" type="noConversion"/>
  </si>
  <si>
    <t xml:space="preserve">  예상사업비</t>
    <phoneticPr fontId="1" type="noConversion"/>
  </si>
  <si>
    <t xml:space="preserve">  실제사업비</t>
    <phoneticPr fontId="1" type="noConversion"/>
  </si>
  <si>
    <t xml:space="preserve">   간접사업비</t>
    <phoneticPr fontId="1" type="noConversion"/>
  </si>
  <si>
    <t xml:space="preserve">   기타</t>
    <phoneticPr fontId="1" type="noConversion"/>
  </si>
  <si>
    <t>투자손익</t>
    <phoneticPr fontId="1" type="noConversion"/>
  </si>
  <si>
    <t xml:space="preserve">   보험금융수익</t>
    <phoneticPr fontId="1" type="noConversion"/>
  </si>
  <si>
    <t xml:space="preserve">   금융수익</t>
    <phoneticPr fontId="1" type="noConversion"/>
  </si>
  <si>
    <t xml:space="preserve">   보험금융비용</t>
    <phoneticPr fontId="1" type="noConversion"/>
  </si>
  <si>
    <t xml:space="preserve">   금융비용</t>
    <phoneticPr fontId="1" type="noConversion"/>
  </si>
  <si>
    <t xml:space="preserve">   영업외수익</t>
    <phoneticPr fontId="1" type="noConversion"/>
  </si>
  <si>
    <t xml:space="preserve">   영업외비용</t>
    <phoneticPr fontId="1" type="noConversion"/>
  </si>
  <si>
    <t>K-ICS 비율*</t>
  </si>
  <si>
    <t>K-ICS 기준 듀레이션*</t>
    <phoneticPr fontId="1" type="noConversion"/>
  </si>
  <si>
    <t>관계기업투자주식</t>
    <phoneticPr fontId="1" type="noConversion"/>
  </si>
  <si>
    <t/>
  </si>
  <si>
    <t>비지배분순이익</t>
  </si>
  <si>
    <t xml:space="preserve"> XⅠ.연결총포괄손익</t>
  </si>
  <si>
    <t>K-ICS Ratio</t>
    <phoneticPr fontId="1" type="noConversion"/>
  </si>
  <si>
    <t>BEL 비중</t>
    <phoneticPr fontId="1" type="noConversion"/>
  </si>
  <si>
    <t>일반  고정금리</t>
    <phoneticPr fontId="1" type="noConversion"/>
  </si>
  <si>
    <t xml:space="preserve">        변동금리</t>
    <phoneticPr fontId="1" type="noConversion"/>
  </si>
  <si>
    <t>특별</t>
    <phoneticPr fontId="1" type="noConversion"/>
  </si>
  <si>
    <t>일반  고정금리</t>
  </si>
  <si>
    <t xml:space="preserve">        변동금리</t>
  </si>
  <si>
    <t>일반 BEL 비중</t>
    <phoneticPr fontId="1" type="noConversion"/>
  </si>
  <si>
    <t>General Account BEL Composition</t>
    <phoneticPr fontId="1" type="noConversion"/>
  </si>
  <si>
    <t>BEL Composition</t>
    <phoneticPr fontId="1" type="noConversion"/>
  </si>
  <si>
    <t>▶ 평균 부담금리는 순보식 기준, 금리 스프레드의 준비금 부담금리는 해약식 기준으로 다소 차이가 있음</t>
    <phoneticPr fontId="1" type="noConversion"/>
  </si>
  <si>
    <t>손익현황</t>
    <phoneticPr fontId="1" type="noConversion"/>
  </si>
  <si>
    <t>Earnings Results</t>
    <phoneticPr fontId="1" type="noConversion"/>
  </si>
  <si>
    <t>CSM 현황</t>
    <phoneticPr fontId="1" type="noConversion"/>
  </si>
  <si>
    <t>CSM Movement</t>
    <phoneticPr fontId="1" type="noConversion"/>
  </si>
  <si>
    <t xml:space="preserve">       1-1. General measurement model/variable fee approach insurance revenues</t>
    <phoneticPr fontId="1" type="noConversion"/>
  </si>
  <si>
    <t xml:space="preserve">       (6) Other interest revenues</t>
    <phoneticPr fontId="1" type="noConversion"/>
  </si>
  <si>
    <t xml:space="preserve">       (3) Dividend income on investments in associates and subsidiaries </t>
    <phoneticPr fontId="1" type="noConversion"/>
  </si>
  <si>
    <t>CSM amortization</t>
    <phoneticPr fontId="1" type="noConversion"/>
  </si>
  <si>
    <t>RA change</t>
    <phoneticPr fontId="1" type="noConversion"/>
  </si>
  <si>
    <t>Expected vs. actual variance</t>
    <phoneticPr fontId="1" type="noConversion"/>
  </si>
  <si>
    <t>Claims variance</t>
    <phoneticPr fontId="1" type="noConversion"/>
  </si>
  <si>
    <t>Expected claims</t>
    <phoneticPr fontId="1" type="noConversion"/>
  </si>
  <si>
    <t>Actual claims</t>
    <phoneticPr fontId="1" type="noConversion"/>
  </si>
  <si>
    <t>Expences variance</t>
    <phoneticPr fontId="1" type="noConversion"/>
  </si>
  <si>
    <t>Expected expenses</t>
    <phoneticPr fontId="1" type="noConversion"/>
  </si>
  <si>
    <t>Actual expenses</t>
    <phoneticPr fontId="1" type="noConversion"/>
  </si>
  <si>
    <t>Indirect expenses</t>
    <phoneticPr fontId="1" type="noConversion"/>
  </si>
  <si>
    <t>Insurance financial revenues</t>
    <phoneticPr fontId="1" type="noConversion"/>
  </si>
  <si>
    <t>Financial revenues</t>
    <phoneticPr fontId="1" type="noConversion"/>
  </si>
  <si>
    <t>Non-operating income</t>
    <phoneticPr fontId="1" type="noConversion"/>
  </si>
  <si>
    <t>Non-operating revenues</t>
    <phoneticPr fontId="1" type="noConversion"/>
  </si>
  <si>
    <t>Non-operating cost</t>
    <phoneticPr fontId="1" type="noConversion"/>
  </si>
  <si>
    <t>Financial cost</t>
    <phoneticPr fontId="1" type="noConversion"/>
  </si>
  <si>
    <t>Insurance financial cost</t>
    <phoneticPr fontId="1" type="noConversion"/>
  </si>
  <si>
    <t>Remaining CSM</t>
    <phoneticPr fontId="1" type="noConversion"/>
  </si>
  <si>
    <t>New business CSM</t>
    <phoneticPr fontId="1" type="noConversion"/>
  </si>
  <si>
    <t>Protection types</t>
    <phoneticPr fontId="1" type="noConversion"/>
  </si>
  <si>
    <t>Interest expeses</t>
    <phoneticPr fontId="1" type="noConversion"/>
  </si>
  <si>
    <t>Assumptions change, etc</t>
    <phoneticPr fontId="1" type="noConversion"/>
  </si>
  <si>
    <t>Ending CSM</t>
    <phoneticPr fontId="1" type="noConversion"/>
  </si>
  <si>
    <t>CSM net increase</t>
    <phoneticPr fontId="1" type="noConversion"/>
  </si>
  <si>
    <t>Death</t>
    <phoneticPr fontId="1" type="noConversion"/>
  </si>
  <si>
    <t>Health</t>
    <phoneticPr fontId="1" type="noConversion"/>
  </si>
  <si>
    <t>Financial assets measured at fair value through profit or loss</t>
    <phoneticPr fontId="1" type="noConversion"/>
  </si>
  <si>
    <t xml:space="preserve">  Death</t>
    <phoneticPr fontId="1" type="noConversion"/>
  </si>
  <si>
    <t xml:space="preserve">  Health</t>
    <phoneticPr fontId="1" type="noConversion"/>
  </si>
  <si>
    <t xml:space="preserve">  Variable death</t>
    <phoneticPr fontId="1" type="noConversion"/>
  </si>
  <si>
    <t xml:space="preserve">  Others</t>
    <phoneticPr fontId="1" type="noConversion"/>
  </si>
  <si>
    <t>Non-unit-linked savings types</t>
    <phoneticPr fontId="1" type="noConversion"/>
  </si>
  <si>
    <t>Unit-linked savings types</t>
    <phoneticPr fontId="1" type="noConversion"/>
  </si>
  <si>
    <t>Annuity</t>
    <phoneticPr fontId="1" type="noConversion"/>
  </si>
  <si>
    <t>Non-unit-linked protection types</t>
    <phoneticPr fontId="1" type="noConversion"/>
  </si>
  <si>
    <t>Uni-linked types</t>
    <phoneticPr fontId="1" type="noConversion"/>
  </si>
  <si>
    <t>Non-unit-linked savings</t>
    <phoneticPr fontId="1" type="noConversion"/>
  </si>
  <si>
    <t>Unit-linked savings</t>
    <phoneticPr fontId="1" type="noConversion"/>
  </si>
  <si>
    <t>Unit-linked death</t>
    <phoneticPr fontId="1" type="noConversion"/>
  </si>
  <si>
    <t xml:space="preserve">  Non-unit-linked savings</t>
    <phoneticPr fontId="1" type="noConversion"/>
  </si>
  <si>
    <t xml:space="preserve">  Unit-linked savings</t>
    <phoneticPr fontId="1" type="noConversion"/>
  </si>
  <si>
    <t xml:space="preserve">            A. Expected claims</t>
    <phoneticPr fontId="1" type="noConversion"/>
  </si>
  <si>
    <t xml:space="preserve">            B. Expected claims investigation cost</t>
    <phoneticPr fontId="1" type="noConversion"/>
  </si>
  <si>
    <t xml:space="preserve">            C. Expected contract maintenance cost</t>
    <phoneticPr fontId="1" type="noConversion"/>
  </si>
  <si>
    <t xml:space="preserve">            D. Expected investment management cost</t>
    <phoneticPr fontId="1" type="noConversion"/>
  </si>
  <si>
    <t xml:space="preserve">            E. Risk adjustment</t>
    <phoneticPr fontId="1" type="noConversion"/>
  </si>
  <si>
    <t xml:space="preserve">            F. Insurance contract service margin amortization</t>
    <phoneticPr fontId="1" type="noConversion"/>
  </si>
  <si>
    <t xml:space="preserve">            G. Insurance acquisition cashflow amortization</t>
    <phoneticPr fontId="1" type="noConversion"/>
  </si>
  <si>
    <t>CSM</t>
    <phoneticPr fontId="1" type="noConversion"/>
  </si>
  <si>
    <t xml:space="preserve">                 (1) Best estimate liabilities profit recognition allocation</t>
    <phoneticPr fontId="1" type="noConversion"/>
  </si>
  <si>
    <t xml:space="preserve">                 (2) Risk adjustment profit recognition allocation</t>
    <phoneticPr fontId="1" type="noConversion"/>
  </si>
  <si>
    <t xml:space="preserve">            I. Other insurance revenues</t>
    <phoneticPr fontId="1" type="noConversion"/>
  </si>
  <si>
    <t xml:space="preserve">                 (1) Insurance acquisition cashflow experience adjustment</t>
    <phoneticPr fontId="1" type="noConversion"/>
  </si>
  <si>
    <t xml:space="preserve">                 (2) Collected premium experience adjustment</t>
    <phoneticPr fontId="1" type="noConversion"/>
  </si>
  <si>
    <t xml:space="preserve">                 (3) Others</t>
    <phoneticPr fontId="1" type="noConversion"/>
  </si>
  <si>
    <t xml:space="preserve">       1-2.  Premium allocation approach insurance revenues</t>
    <phoneticPr fontId="1" type="noConversion"/>
  </si>
  <si>
    <t xml:space="preserve">    2. Insurance service cost</t>
    <phoneticPr fontId="1" type="noConversion"/>
  </si>
  <si>
    <t xml:space="preserve">       2-1. General measurement model/variable fee approach insurance service cost</t>
    <phoneticPr fontId="1" type="noConversion"/>
  </si>
  <si>
    <t xml:space="preserve">            A.  Incurred claims</t>
    <phoneticPr fontId="1" type="noConversion"/>
  </si>
  <si>
    <t xml:space="preserve">                 (1) Incurred incident component best estimate recognition amount</t>
    <phoneticPr fontId="1" type="noConversion"/>
  </si>
  <si>
    <t xml:space="preserve">                 (2) Incurred incident component risk adjustment recognition amount</t>
    <phoneticPr fontId="1" type="noConversion"/>
  </si>
  <si>
    <t xml:space="preserve">                 (1)  Incurred incident component best estimate variance</t>
    <phoneticPr fontId="1" type="noConversion"/>
  </si>
  <si>
    <t xml:space="preserve">            B. Incurred claims loss investigation cost</t>
    <phoneticPr fontId="1" type="noConversion"/>
  </si>
  <si>
    <t xml:space="preserve">            C. Incurred contract maintenance cost</t>
    <phoneticPr fontId="1" type="noConversion"/>
  </si>
  <si>
    <t xml:space="preserve">            D. Incurred investment management cost</t>
    <phoneticPr fontId="1" type="noConversion"/>
  </si>
  <si>
    <t xml:space="preserve">            E. Loss bearing contract related cost (reversal)</t>
    <phoneticPr fontId="1" type="noConversion"/>
  </si>
  <si>
    <t xml:space="preserve">            F. Incurred incident component adjustment</t>
    <phoneticPr fontId="1" type="noConversion"/>
  </si>
  <si>
    <t xml:space="preserve">                 (2)  Incurred incident component risk adjustment variance</t>
    <phoneticPr fontId="1" type="noConversion"/>
  </si>
  <si>
    <t xml:space="preserve">            H. Loss component allocation</t>
    <phoneticPr fontId="1" type="noConversion"/>
  </si>
  <si>
    <t xml:space="preserve">            I.  Other insurance service cost</t>
    <phoneticPr fontId="1" type="noConversion"/>
  </si>
  <si>
    <t xml:space="preserve">                 (1)  Insurance acquisition cashflow experience adjustment</t>
    <phoneticPr fontId="1" type="noConversion"/>
  </si>
  <si>
    <t xml:space="preserve">                 (2) Insurance acquisition cashflow asset impairment loss (reversal)</t>
    <phoneticPr fontId="1" type="noConversion"/>
  </si>
  <si>
    <t xml:space="preserve">       2-2.  Premium allocation approach insurance service cost</t>
    <phoneticPr fontId="1" type="noConversion"/>
  </si>
  <si>
    <t xml:space="preserve">            A. Incurred claims</t>
    <phoneticPr fontId="1" type="noConversion"/>
  </si>
  <si>
    <t xml:space="preserve">                 (1) Incurred component best estimate recognition amount</t>
    <phoneticPr fontId="1" type="noConversion"/>
  </si>
  <si>
    <t xml:space="preserve">                 (2) Incurred component risk adjustment recognition amount</t>
    <phoneticPr fontId="1" type="noConversion"/>
  </si>
  <si>
    <t xml:space="preserve">            C. Loss bearing contract related cost (reversal)</t>
    <phoneticPr fontId="1" type="noConversion"/>
  </si>
  <si>
    <t xml:space="preserve">            D. Incurred incident component adjustment</t>
    <phoneticPr fontId="1" type="noConversion"/>
  </si>
  <si>
    <t xml:space="preserve">                 (1) Incurred incident component best estimate variance</t>
    <phoneticPr fontId="1" type="noConversion"/>
  </si>
  <si>
    <t xml:space="preserve">                 (2) Incurred incident component risk adjustment variance</t>
    <phoneticPr fontId="1" type="noConversion"/>
  </si>
  <si>
    <t xml:space="preserve">            D. Insurance acquisition cashflow immediate recognition amount</t>
    <phoneticPr fontId="1" type="noConversion"/>
  </si>
  <si>
    <t xml:space="preserve">            E. Insurance acquisition cashflow amortization</t>
    <phoneticPr fontId="1" type="noConversion"/>
  </si>
  <si>
    <t xml:space="preserve">            F. Other insurnace service cost</t>
    <phoneticPr fontId="1" type="noConversion"/>
  </si>
  <si>
    <t xml:space="preserve">    3. Reinsurance revenues</t>
    <phoneticPr fontId="1" type="noConversion"/>
  </si>
  <si>
    <t xml:space="preserve">       3-1. General measurement model reinsurance revenues</t>
    <phoneticPr fontId="1" type="noConversion"/>
  </si>
  <si>
    <t xml:space="preserve">            A. Incurred reinsurance claim</t>
    <phoneticPr fontId="1" type="noConversion"/>
  </si>
  <si>
    <t xml:space="preserve">            C. Loss recovery component related revenues</t>
    <phoneticPr fontId="1" type="noConversion"/>
  </si>
  <si>
    <t xml:space="preserve">            D. Incurred incident component adjustment</t>
    <phoneticPr fontId="1" type="noConversion"/>
  </si>
  <si>
    <t xml:space="preserve">                 (1) Incurred incident component best estimate variance</t>
    <phoneticPr fontId="1" type="noConversion"/>
  </si>
  <si>
    <t xml:space="preserve">                 (2) Incurred incident component risk adjustment variance</t>
    <phoneticPr fontId="1" type="noConversion"/>
  </si>
  <si>
    <t xml:space="preserve">            E. Loss recovery component allocation amount</t>
    <phoneticPr fontId="1" type="noConversion"/>
  </si>
  <si>
    <t xml:space="preserve">            F. Other reinsurance revenues</t>
    <phoneticPr fontId="1" type="noConversion"/>
  </si>
  <si>
    <t xml:space="preserve">       3-2. Premium allocation approach reinsurance revenues</t>
    <phoneticPr fontId="1" type="noConversion"/>
  </si>
  <si>
    <t xml:space="preserve">            A. Incurred reinsurance claim</t>
    <phoneticPr fontId="1" type="noConversion"/>
  </si>
  <si>
    <t xml:space="preserve">                 (1) Incurred incident component best estimate recognition amount</t>
    <phoneticPr fontId="1" type="noConversion"/>
  </si>
  <si>
    <t xml:space="preserve">                 (2) Incurred incident component risk adjustment recognition amount</t>
    <phoneticPr fontId="1" type="noConversion"/>
  </si>
  <si>
    <t xml:space="preserve">            B. Incurred claims loss investigation cost</t>
    <phoneticPr fontId="1" type="noConversion"/>
  </si>
  <si>
    <t xml:space="preserve">      (3)  Others</t>
    <phoneticPr fontId="1" type="noConversion"/>
  </si>
  <si>
    <t xml:space="preserve">      (2)  Exchange rate change effect</t>
    <phoneticPr fontId="1" type="noConversion"/>
  </si>
  <si>
    <t xml:space="preserve">      (1)  Discount rate change effect</t>
    <phoneticPr fontId="1" type="noConversion"/>
  </si>
  <si>
    <t xml:space="preserve">      (1) Discount rate change effect</t>
    <phoneticPr fontId="1" type="noConversion"/>
  </si>
  <si>
    <t xml:space="preserve">   (Guarantee reserve)</t>
    <phoneticPr fontId="1" type="noConversion"/>
  </si>
  <si>
    <t xml:space="preserve">   (Cash surrender value reserve)</t>
    <phoneticPr fontId="1" type="noConversion"/>
  </si>
  <si>
    <t xml:space="preserve">   (Contingency risk reserve)</t>
    <phoneticPr fontId="1" type="noConversion"/>
  </si>
  <si>
    <t xml:space="preserve">                 (1) Incurred incident component best estimate variance </t>
    <phoneticPr fontId="1" type="noConversion"/>
  </si>
  <si>
    <t xml:space="preserve">            E. Other reinsurance revenues</t>
    <phoneticPr fontId="1" type="noConversion"/>
  </si>
  <si>
    <t xml:space="preserve">    4. Reinsurance service cost</t>
    <phoneticPr fontId="1" type="noConversion"/>
  </si>
  <si>
    <t xml:space="preserve">       4-1. General measurement model reinsurance service cost</t>
    <phoneticPr fontId="1" type="noConversion"/>
  </si>
  <si>
    <t xml:space="preserve">            A.  Expected reinsurance claims</t>
    <phoneticPr fontId="1" type="noConversion"/>
  </si>
  <si>
    <t xml:space="preserve">            B.  Expected claims loss investigation cost</t>
    <phoneticPr fontId="1" type="noConversion"/>
  </si>
  <si>
    <t xml:space="preserve">            C.  Risk adjustment change</t>
    <phoneticPr fontId="1" type="noConversion"/>
  </si>
  <si>
    <t xml:space="preserve">            D. Insurance contract service margin amortization</t>
    <phoneticPr fontId="1" type="noConversion"/>
  </si>
  <si>
    <t xml:space="preserve">            E.  Loss recovery component allocation amount</t>
    <phoneticPr fontId="1" type="noConversion"/>
  </si>
  <si>
    <t xml:space="preserve">                 (1) Best estimate liability cost recognition allocation</t>
    <phoneticPr fontId="1" type="noConversion"/>
  </si>
  <si>
    <t xml:space="preserve">                 (2) Risk adjustment cost recognition allocation</t>
    <phoneticPr fontId="1" type="noConversion"/>
  </si>
  <si>
    <t xml:space="preserve">            F. Other reinsurance service cost</t>
    <phoneticPr fontId="1" type="noConversion"/>
  </si>
  <si>
    <t xml:space="preserve">                 (1) Reinsurance premium experience adjustment</t>
    <phoneticPr fontId="1" type="noConversion"/>
  </si>
  <si>
    <t xml:space="preserve">                 (2) Others</t>
    <phoneticPr fontId="1" type="noConversion"/>
  </si>
  <si>
    <t xml:space="preserve">       4-2. Premium allocation approach reinsurance service cost</t>
    <phoneticPr fontId="1" type="noConversion"/>
  </si>
  <si>
    <t xml:space="preserve">    5. Other expenses cost</t>
    <phoneticPr fontId="1" type="noConversion"/>
  </si>
  <si>
    <t xml:space="preserve">      A. Insurance financial revenues</t>
    <phoneticPr fontId="1" type="noConversion"/>
  </si>
  <si>
    <t xml:space="preserve">       (1) Insurance policy insurance financial revenues</t>
    <phoneticPr fontId="1" type="noConversion"/>
  </si>
  <si>
    <t xml:space="preserve">       (2) Reinsurance contract insurance financial revenues</t>
    <phoneticPr fontId="1" type="noConversion"/>
  </si>
  <si>
    <t xml:space="preserve">       (2) Interest from securities measured at fair value through profit or loss</t>
    <phoneticPr fontId="1" type="noConversion"/>
  </si>
  <si>
    <t xml:space="preserve">       (3) Interest from securities measured at fair value through other comprehensive income</t>
    <phoneticPr fontId="1" type="noConversion"/>
  </si>
  <si>
    <t xml:space="preserve">       (4) Interest from securities measured at amortization cost</t>
    <phoneticPr fontId="1" type="noConversion"/>
  </si>
  <si>
    <t xml:space="preserve">       (1) Dividend revenues from securities measured at fair value profit or loss</t>
    <phoneticPr fontId="1" type="noConversion"/>
  </si>
  <si>
    <t xml:space="preserve">       (2) Dividend revenues from securities measured at fair value through other comprehensive income</t>
    <phoneticPr fontId="1" type="noConversion"/>
  </si>
  <si>
    <t xml:space="preserve">       (1) Issued bonds</t>
    <phoneticPr fontId="1" type="noConversion"/>
  </si>
  <si>
    <t xml:space="preserve">       (2) On-demand repayment stake</t>
    <phoneticPr fontId="1" type="noConversion"/>
  </si>
  <si>
    <t xml:space="preserve">       (3) Others</t>
    <phoneticPr fontId="1" type="noConversion"/>
  </si>
  <si>
    <t xml:space="preserve">    E. Financial product disposal profit or loss</t>
    <phoneticPr fontId="1" type="noConversion"/>
  </si>
  <si>
    <t xml:space="preserve">       (1) Securities disposal gain or loss measured at fair value through profit or loss</t>
    <phoneticPr fontId="1" type="noConversion"/>
  </si>
  <si>
    <t xml:space="preserve">      A. Insurance financial cost</t>
    <phoneticPr fontId="1" type="noConversion"/>
  </si>
  <si>
    <t xml:space="preserve">       (1) Insurance contract insurance financial cost</t>
    <phoneticPr fontId="1" type="noConversion"/>
  </si>
  <si>
    <t xml:space="preserve">       (2) Reinsurnace contract insurance financial cost</t>
    <phoneticPr fontId="1" type="noConversion"/>
  </si>
  <si>
    <t xml:space="preserve">        (6) Lease liabilities interest payment</t>
    <phoneticPr fontId="1" type="noConversion"/>
  </si>
  <si>
    <t xml:space="preserve">       (2) Reversal of intangible assets impairment losses</t>
    <phoneticPr fontId="1" type="noConversion"/>
  </si>
  <si>
    <t xml:space="preserve">       (1) Reversal of real estate impairment losses</t>
    <phoneticPr fontId="1" type="noConversion"/>
  </si>
  <si>
    <t xml:space="preserve">       (2) Securities disposal gain or loss measured at fair value through other comprehensive income</t>
    <phoneticPr fontId="1" type="noConversion"/>
  </si>
  <si>
    <t xml:space="preserve">       (1) Valuation gain from financial assets measured at fair value through profit or loss</t>
    <phoneticPr fontId="1" type="noConversion"/>
  </si>
  <si>
    <t xml:space="preserve">       (2) Valuation gain from financial liabilities measured at fair value profit or loss</t>
    <phoneticPr fontId="1" type="noConversion"/>
  </si>
  <si>
    <t xml:space="preserve">       [Insurance policy loans]</t>
    <phoneticPr fontId="1" type="noConversion"/>
  </si>
  <si>
    <t xml:space="preserve">       [Policyholder dividend liabilities]</t>
    <phoneticPr fontId="1" type="noConversion"/>
  </si>
  <si>
    <t xml:space="preserve">        - Policyholder dividend reserve</t>
    <phoneticPr fontId="1" type="noConversion"/>
  </si>
  <si>
    <t xml:space="preserve">        -  Policyholder earnings dividend reserve</t>
    <phoneticPr fontId="1" type="noConversion"/>
  </si>
  <si>
    <t xml:space="preserve">     6. Cash surrender value reserve</t>
    <phoneticPr fontId="1" type="noConversion"/>
  </si>
  <si>
    <t xml:space="preserve">     7. Guarantee reserve</t>
    <phoneticPr fontId="1" type="noConversion"/>
  </si>
  <si>
    <t xml:space="preserve">     8. Contingency risk reserve</t>
    <phoneticPr fontId="1" type="noConversion"/>
  </si>
  <si>
    <t xml:space="preserve">        [Stake-method product valuation gain or loss]</t>
    <phoneticPr fontId="1" type="noConversion"/>
  </si>
  <si>
    <t xml:space="preserve">     4. Insurance contract asset (liabilities) net financial income</t>
    <phoneticPr fontId="1" type="noConversion"/>
  </si>
  <si>
    <t xml:space="preserve">     5. Reinsurance contract asset (liabilities) net financial income</t>
    <phoneticPr fontId="1" type="noConversion"/>
  </si>
  <si>
    <t xml:space="preserve">    3. Investment contract liabilities</t>
    <phoneticPr fontId="1" type="noConversion"/>
  </si>
  <si>
    <t xml:space="preserve">        (2) Risk adjustment</t>
    <phoneticPr fontId="1" type="noConversion"/>
  </si>
  <si>
    <t xml:space="preserve">       A. Residual protection components</t>
    <phoneticPr fontId="1" type="noConversion"/>
  </si>
  <si>
    <t xml:space="preserve">        (1) Best estimate liabilities</t>
    <phoneticPr fontId="1" type="noConversion"/>
  </si>
  <si>
    <t xml:space="preserve">        (3) Contract service margin</t>
    <phoneticPr fontId="1" type="noConversion"/>
  </si>
  <si>
    <t xml:space="preserve">        (4) Premium allocation approach</t>
    <phoneticPr fontId="1" type="noConversion"/>
  </si>
  <si>
    <t xml:space="preserve">       B.  Incurred incident component</t>
    <phoneticPr fontId="1" type="noConversion"/>
  </si>
  <si>
    <t xml:space="preserve">    2. Reinsurance contract liabilities</t>
    <phoneticPr fontId="1" type="noConversion"/>
  </si>
  <si>
    <t xml:space="preserve">       C. Pre-recognized insurance acuiqisition cashflow</t>
    <phoneticPr fontId="1" type="noConversion"/>
  </si>
  <si>
    <t xml:space="preserve">       B. Incurred incident component</t>
    <phoneticPr fontId="1" type="noConversion"/>
  </si>
  <si>
    <t xml:space="preserve">        -  Policyholder dividend stabilization reserve</t>
    <phoneticPr fontId="1" type="noConversion"/>
  </si>
  <si>
    <t xml:space="preserve">        -  Dividend insurance loss preserving reserve</t>
    <phoneticPr fontId="1" type="noConversion"/>
  </si>
  <si>
    <t xml:space="preserve">       [Guarantee liabilities]</t>
    <phoneticPr fontId="1" type="noConversion"/>
  </si>
  <si>
    <t xml:space="preserve">      [Stake-method product valuation profit or loss]</t>
    <phoneticPr fontId="1" type="noConversion"/>
  </si>
  <si>
    <t xml:space="preserve">      F. Gain from financial instrument reclassification</t>
    <phoneticPr fontId="1" type="noConversion"/>
  </si>
  <si>
    <t xml:space="preserve">      G. Valuation gain from financial instruments measured at fair value through profit or loss</t>
    <phoneticPr fontId="1" type="noConversion"/>
  </si>
  <si>
    <t xml:space="preserve">      H. Income from trust deposits</t>
    <phoneticPr fontId="1" type="noConversion"/>
  </si>
  <si>
    <t xml:space="preserve">     I. Reversal of financial instrument impairment losses</t>
    <phoneticPr fontId="1" type="noConversion"/>
  </si>
  <si>
    <t xml:space="preserve">      J. Reversal of allowance for doutful accounts</t>
    <phoneticPr fontId="1" type="noConversion"/>
  </si>
  <si>
    <t xml:space="preserve">    K.  Reversal of impairment losses from shares of related or affiliated entity</t>
    <phoneticPr fontId="1" type="noConversion"/>
  </si>
  <si>
    <t xml:space="preserve">    L. Reversal of non-financial asset impairment losses</t>
    <phoneticPr fontId="1" type="noConversion"/>
  </si>
  <si>
    <t xml:space="preserve">       (1) Interest rate</t>
    <phoneticPr fontId="1" type="noConversion"/>
  </si>
  <si>
    <t xml:space="preserve">      M. Gains on valuations of equity method</t>
    <phoneticPr fontId="1" type="noConversion"/>
  </si>
  <si>
    <t xml:space="preserve">      N. Gains on derivatives transactions</t>
    <phoneticPr fontId="1" type="noConversion"/>
  </si>
  <si>
    <t xml:space="preserve">     O. Gains on valuations of derivatives</t>
    <phoneticPr fontId="1" type="noConversion"/>
  </si>
  <si>
    <t xml:space="preserve">      P. Gains on foreign currency transactions</t>
    <phoneticPr fontId="1" type="noConversion"/>
  </si>
  <si>
    <t xml:space="preserve">     Q. Gains on foreign currency translation</t>
    <phoneticPr fontId="1" type="noConversion"/>
  </si>
  <si>
    <t xml:space="preserve">     R. Gains on disposition of properties</t>
    <phoneticPr fontId="1" type="noConversion"/>
  </si>
  <si>
    <t xml:space="preserve">     S. Reversal of revaluation losses</t>
    <phoneticPr fontId="1" type="noConversion"/>
  </si>
  <si>
    <t xml:space="preserve">     T. Trust fees</t>
    <phoneticPr fontId="1" type="noConversion"/>
  </si>
  <si>
    <t xml:space="preserve">     U. Gains on redemption of financial liabilities</t>
    <phoneticPr fontId="1" type="noConversion"/>
  </si>
  <si>
    <t xml:space="preserve">     V.Gains from bargain purchase</t>
    <phoneticPr fontId="1" type="noConversion"/>
  </si>
  <si>
    <t xml:space="preserve">     W. Other investment income</t>
    <phoneticPr fontId="1" type="noConversion"/>
  </si>
  <si>
    <t xml:space="preserve">      B. Interest expenses</t>
    <phoneticPr fontId="1" type="noConversion"/>
  </si>
  <si>
    <t xml:space="preserve">      C. Investment administrative expenses</t>
    <phoneticPr fontId="1" type="noConversion"/>
  </si>
  <si>
    <t xml:space="preserve">     D. Real estate management cost</t>
    <phoneticPr fontId="1" type="noConversion"/>
  </si>
  <si>
    <t xml:space="preserve">       E. Losses on valuations of equity method</t>
    <phoneticPr fontId="1" type="noConversion"/>
  </si>
  <si>
    <t xml:space="preserve">       F. Losses on disposition of financial assets</t>
    <phoneticPr fontId="1" type="noConversion"/>
  </si>
  <si>
    <t xml:space="preserve">    G. Financial assets reclassification losses</t>
    <phoneticPr fontId="1" type="noConversion"/>
  </si>
  <si>
    <t xml:space="preserve">      H. Losses on valuation of financial products at fair value through profit or loss</t>
    <phoneticPr fontId="1" type="noConversion"/>
  </si>
  <si>
    <t xml:space="preserve">     I. Losses on trust deposits</t>
    <phoneticPr fontId="1" type="noConversion"/>
  </si>
  <si>
    <t xml:space="preserve">     J. Interest expenses</t>
    <phoneticPr fontId="1" type="noConversion"/>
  </si>
  <si>
    <t xml:space="preserve">      K. Expenses of allowance for doubtful accounts</t>
    <phoneticPr fontId="1" type="noConversion"/>
  </si>
  <si>
    <t xml:space="preserve">      L. Impairment losses</t>
    <phoneticPr fontId="1" type="noConversion"/>
  </si>
  <si>
    <t xml:space="preserve">      M. Losses on trading of derivatives</t>
    <phoneticPr fontId="1" type="noConversion"/>
  </si>
  <si>
    <t xml:space="preserve">      N. Losses on valuation of derivatives</t>
    <phoneticPr fontId="1" type="noConversion"/>
  </si>
  <si>
    <t xml:space="preserve">      Q. Losses on disposition of properties</t>
    <phoneticPr fontId="1" type="noConversion"/>
  </si>
  <si>
    <t xml:space="preserve">      R. Losses on assets revaluations</t>
    <phoneticPr fontId="1" type="noConversion"/>
  </si>
  <si>
    <t>Non-controlled company stake net profit</t>
    <phoneticPr fontId="1" type="noConversion"/>
  </si>
  <si>
    <t>Controlled company stake consolidated net profit (loss)</t>
    <phoneticPr fontId="1" type="noConversion"/>
  </si>
  <si>
    <t xml:space="preserve">       A. Gains on valuation of cash flow hedge derivatives</t>
    <phoneticPr fontId="1" type="noConversion"/>
  </si>
  <si>
    <t xml:space="preserve">       C. Valuation gain measured at fair value risk hedging</t>
    <phoneticPr fontId="1" type="noConversion"/>
  </si>
  <si>
    <t xml:space="preserve">       D. Valuation loss measured at fair value risk hedging</t>
    <phoneticPr fontId="1" type="noConversion"/>
  </si>
  <si>
    <t>        (1) Retirement pension management assets</t>
    <phoneticPr fontId="1" type="noConversion"/>
  </si>
  <si>
    <r>
      <t xml:space="preserve"> </t>
    </r>
    <r>
      <rPr>
        <sz val="11"/>
        <rFont val="돋움"/>
        <family val="3"/>
        <charset val="129"/>
      </rPr>
      <t>Ⅱ</t>
    </r>
    <r>
      <rPr>
        <sz val="11"/>
        <rFont val="Arial Narrow"/>
        <family val="2"/>
      </rPr>
      <t>. Capital surplus</t>
    </r>
    <phoneticPr fontId="1" type="noConversion"/>
  </si>
  <si>
    <r>
      <t xml:space="preserve"> </t>
    </r>
    <r>
      <rPr>
        <sz val="11"/>
        <rFont val="돋움"/>
        <family val="3"/>
        <charset val="129"/>
      </rPr>
      <t>Ⅲ</t>
    </r>
    <r>
      <rPr>
        <sz val="11"/>
        <rFont val="Arial Narrow"/>
        <family val="2"/>
      </rPr>
      <t>. Hybrid bond</t>
    </r>
    <phoneticPr fontId="1" type="noConversion"/>
  </si>
  <si>
    <r>
      <t xml:space="preserve"> </t>
    </r>
    <r>
      <rPr>
        <sz val="11"/>
        <rFont val="돋움"/>
        <family val="3"/>
        <charset val="129"/>
      </rPr>
      <t>Ⅳ</t>
    </r>
    <r>
      <rPr>
        <sz val="11"/>
        <rFont val="Arial Narrow"/>
        <family val="2"/>
      </rPr>
      <t>. Retained earnings</t>
    </r>
    <phoneticPr fontId="1" type="noConversion"/>
  </si>
  <si>
    <r>
      <t xml:space="preserve"> </t>
    </r>
    <r>
      <rPr>
        <sz val="11"/>
        <rFont val="돋움"/>
        <family val="3"/>
        <charset val="129"/>
      </rPr>
      <t>Ⅴ</t>
    </r>
    <r>
      <rPr>
        <sz val="11"/>
        <rFont val="Arial Narrow"/>
        <family val="2"/>
      </rPr>
      <t>. Capital adjustment</t>
    </r>
    <phoneticPr fontId="1" type="noConversion"/>
  </si>
  <si>
    <r>
      <t xml:space="preserve"> </t>
    </r>
    <r>
      <rPr>
        <sz val="11"/>
        <rFont val="돋움"/>
        <family val="3"/>
        <charset val="129"/>
      </rPr>
      <t>Ⅵ</t>
    </r>
    <r>
      <rPr>
        <sz val="11"/>
        <rFont val="Arial Narrow"/>
        <family val="2"/>
      </rPr>
      <t>. Accumulated other comprehensive income</t>
    </r>
    <phoneticPr fontId="1" type="noConversion"/>
  </si>
  <si>
    <r>
      <t xml:space="preserve">            </t>
    </r>
    <r>
      <rPr>
        <sz val="11"/>
        <rFont val="맑은 고딕"/>
        <family val="3"/>
        <charset val="129"/>
      </rPr>
      <t>①</t>
    </r>
    <r>
      <rPr>
        <sz val="11"/>
        <rFont val="Arial Narrow"/>
        <family val="2"/>
      </rPr>
      <t xml:space="preserve"> Insurance financial interest revenues</t>
    </r>
    <phoneticPr fontId="1" type="noConversion"/>
  </si>
  <si>
    <r>
      <t xml:space="preserve">            </t>
    </r>
    <r>
      <rPr>
        <sz val="11"/>
        <rFont val="맑은 고딕"/>
        <family val="3"/>
        <charset val="129"/>
      </rPr>
      <t>②</t>
    </r>
    <r>
      <rPr>
        <sz val="11"/>
        <rFont val="Arial Narrow"/>
        <family val="2"/>
      </rPr>
      <t xml:space="preserve"> Exchange rate change revenues</t>
    </r>
    <phoneticPr fontId="1" type="noConversion"/>
  </si>
  <si>
    <r>
      <t xml:space="preserve">            </t>
    </r>
    <r>
      <rPr>
        <sz val="11"/>
        <rFont val="맑은 고딕"/>
        <family val="3"/>
        <charset val="129"/>
      </rPr>
      <t>③</t>
    </r>
    <r>
      <rPr>
        <sz val="11"/>
        <rFont val="Arial Narrow"/>
        <family val="2"/>
      </rPr>
      <t xml:space="preserve"> Discount rate change revenues</t>
    </r>
    <phoneticPr fontId="1" type="noConversion"/>
  </si>
  <si>
    <r>
      <t xml:space="preserve">            </t>
    </r>
    <r>
      <rPr>
        <sz val="11"/>
        <rFont val="맑은 고딕"/>
        <family val="3"/>
        <charset val="129"/>
      </rPr>
      <t>④</t>
    </r>
    <r>
      <rPr>
        <sz val="11"/>
        <rFont val="Arial Narrow"/>
        <family val="2"/>
      </rPr>
      <t xml:space="preserve"> Others</t>
    </r>
    <phoneticPr fontId="1" type="noConversion"/>
  </si>
  <si>
    <r>
      <t xml:space="preserve">            </t>
    </r>
    <r>
      <rPr>
        <sz val="11"/>
        <rFont val="맑은 고딕"/>
        <family val="3"/>
        <charset val="129"/>
      </rPr>
      <t>④</t>
    </r>
    <r>
      <rPr>
        <sz val="11"/>
        <rFont val="Arial Narrow"/>
        <family val="2"/>
      </rPr>
      <t xml:space="preserve"> Reinsurer default risk change amount</t>
    </r>
    <phoneticPr fontId="1" type="noConversion"/>
  </si>
  <si>
    <r>
      <t xml:space="preserve">            </t>
    </r>
    <r>
      <rPr>
        <sz val="11"/>
        <rFont val="맑은 고딕"/>
        <family val="3"/>
        <charset val="129"/>
      </rPr>
      <t>⑤</t>
    </r>
    <r>
      <rPr>
        <sz val="11"/>
        <rFont val="Arial Narrow"/>
        <family val="2"/>
      </rPr>
      <t xml:space="preserve"> Others</t>
    </r>
    <phoneticPr fontId="1" type="noConversion"/>
  </si>
  <si>
    <r>
      <t xml:space="preserve">           </t>
    </r>
    <r>
      <rPr>
        <sz val="11"/>
        <rFont val="맑은 고딕"/>
        <family val="3"/>
        <charset val="129"/>
      </rPr>
      <t>①</t>
    </r>
    <r>
      <rPr>
        <sz val="11"/>
        <rFont val="Arial Narrow"/>
        <family val="2"/>
      </rPr>
      <t xml:space="preserve"> Securities</t>
    </r>
    <phoneticPr fontId="1" type="noConversion"/>
  </si>
  <si>
    <r>
      <t xml:space="preserve">           </t>
    </r>
    <r>
      <rPr>
        <sz val="11"/>
        <rFont val="맑은 고딕"/>
        <family val="3"/>
        <charset val="129"/>
      </rPr>
      <t>②</t>
    </r>
    <r>
      <rPr>
        <sz val="11"/>
        <rFont val="Arial Narrow"/>
        <family val="2"/>
      </rPr>
      <t xml:space="preserve">  Loans</t>
    </r>
    <phoneticPr fontId="1" type="noConversion"/>
  </si>
  <si>
    <r>
      <t xml:space="preserve">           </t>
    </r>
    <r>
      <rPr>
        <sz val="11"/>
        <rFont val="맑은 고딕"/>
        <family val="3"/>
        <charset val="129"/>
      </rPr>
      <t>③</t>
    </r>
    <r>
      <rPr>
        <sz val="11"/>
        <rFont val="Arial Narrow"/>
        <family val="2"/>
      </rPr>
      <t xml:space="preserve"> Others</t>
    </r>
    <phoneticPr fontId="1" type="noConversion"/>
  </si>
  <si>
    <r>
      <t xml:space="preserve">           </t>
    </r>
    <r>
      <rPr>
        <sz val="11"/>
        <rFont val="맑은 고딕"/>
        <family val="3"/>
        <charset val="129"/>
      </rPr>
      <t>①</t>
    </r>
    <r>
      <rPr>
        <sz val="11"/>
        <rFont val="Arial Narrow"/>
        <family val="2"/>
      </rPr>
      <t xml:space="preserve"> Reversal of impairment losses from securities measured at amortization cost</t>
    </r>
    <phoneticPr fontId="1" type="noConversion"/>
  </si>
  <si>
    <r>
      <t xml:space="preserve">           </t>
    </r>
    <r>
      <rPr>
        <sz val="11"/>
        <rFont val="맑은 고딕"/>
        <family val="3"/>
        <charset val="129"/>
      </rPr>
      <t>②</t>
    </r>
    <r>
      <rPr>
        <sz val="11"/>
        <rFont val="Arial Narrow"/>
        <family val="2"/>
      </rPr>
      <t xml:space="preserve"> Reversal of impairment losses from securities measured at other comprehensive income</t>
    </r>
    <phoneticPr fontId="1" type="noConversion"/>
  </si>
  <si>
    <r>
      <t xml:space="preserve">           </t>
    </r>
    <r>
      <rPr>
        <sz val="11"/>
        <rFont val="맑은 고딕"/>
        <family val="3"/>
        <charset val="129"/>
      </rPr>
      <t>①</t>
    </r>
    <r>
      <rPr>
        <sz val="11"/>
        <rFont val="Arial Narrow"/>
        <family val="2"/>
      </rPr>
      <t xml:space="preserve"> Insurance financial interest cost</t>
    </r>
    <phoneticPr fontId="1" type="noConversion"/>
  </si>
  <si>
    <r>
      <t xml:space="preserve">           </t>
    </r>
    <r>
      <rPr>
        <sz val="11"/>
        <rFont val="맑은 고딕"/>
        <family val="3"/>
        <charset val="129"/>
      </rPr>
      <t>②</t>
    </r>
    <r>
      <rPr>
        <sz val="11"/>
        <rFont val="Arial Narrow"/>
        <family val="2"/>
      </rPr>
      <t xml:space="preserve">  Exchange rate change cost</t>
    </r>
    <phoneticPr fontId="1" type="noConversion"/>
  </si>
  <si>
    <r>
      <t xml:space="preserve">           </t>
    </r>
    <r>
      <rPr>
        <sz val="11"/>
        <rFont val="맑은 고딕"/>
        <family val="3"/>
        <charset val="129"/>
      </rPr>
      <t>③</t>
    </r>
    <r>
      <rPr>
        <sz val="11"/>
        <rFont val="Arial Narrow"/>
        <family val="2"/>
      </rPr>
      <t xml:space="preserve"> Discount rate change cost</t>
    </r>
    <phoneticPr fontId="1" type="noConversion"/>
  </si>
  <si>
    <r>
      <t xml:space="preserve">           </t>
    </r>
    <r>
      <rPr>
        <sz val="11"/>
        <rFont val="맑은 고딕"/>
        <family val="3"/>
        <charset val="129"/>
      </rPr>
      <t>④</t>
    </r>
    <r>
      <rPr>
        <sz val="11"/>
        <rFont val="Arial Narrow"/>
        <family val="2"/>
      </rPr>
      <t xml:space="preserve"> Others</t>
    </r>
    <phoneticPr fontId="1" type="noConversion"/>
  </si>
  <si>
    <r>
      <t xml:space="preserve">           </t>
    </r>
    <r>
      <rPr>
        <sz val="11"/>
        <rFont val="맑은 고딕"/>
        <family val="3"/>
        <charset val="129"/>
      </rPr>
      <t>①</t>
    </r>
    <r>
      <rPr>
        <sz val="11"/>
        <rFont val="Arial Narrow"/>
        <family val="2"/>
      </rPr>
      <t xml:space="preserve"> Insurance financial interst cost</t>
    </r>
    <phoneticPr fontId="1" type="noConversion"/>
  </si>
  <si>
    <r>
      <t xml:space="preserve">           </t>
    </r>
    <r>
      <rPr>
        <sz val="11"/>
        <rFont val="맑은 고딕"/>
        <family val="3"/>
        <charset val="129"/>
      </rPr>
      <t>②</t>
    </r>
    <r>
      <rPr>
        <sz val="11"/>
        <rFont val="Arial Narrow"/>
        <family val="2"/>
      </rPr>
      <t xml:space="preserve"> Exchange rate change cost</t>
    </r>
    <phoneticPr fontId="1" type="noConversion"/>
  </si>
  <si>
    <r>
      <t xml:space="preserve">           </t>
    </r>
    <r>
      <rPr>
        <sz val="11"/>
        <rFont val="맑은 고딕"/>
        <family val="3"/>
        <charset val="129"/>
      </rPr>
      <t>④</t>
    </r>
    <r>
      <rPr>
        <sz val="11"/>
        <rFont val="Arial Narrow"/>
        <family val="2"/>
      </rPr>
      <t xml:space="preserve"> Reinsurer default risk change amount</t>
    </r>
    <phoneticPr fontId="1" type="noConversion"/>
  </si>
  <si>
    <r>
      <t xml:space="preserve">           </t>
    </r>
    <r>
      <rPr>
        <sz val="11"/>
        <rFont val="맑은 고딕"/>
        <family val="3"/>
        <charset val="129"/>
      </rPr>
      <t>⑤</t>
    </r>
    <r>
      <rPr>
        <sz val="11"/>
        <rFont val="Arial Narrow"/>
        <family val="2"/>
      </rPr>
      <t xml:space="preserve"> Others</t>
    </r>
    <phoneticPr fontId="1" type="noConversion"/>
  </si>
  <si>
    <r>
      <rPr>
        <sz val="11"/>
        <rFont val="돋움"/>
        <family val="3"/>
        <charset val="129"/>
      </rPr>
      <t>　</t>
    </r>
    <r>
      <rPr>
        <sz val="11"/>
        <rFont val="Arial Narrow"/>
        <family val="2"/>
      </rPr>
      <t xml:space="preserve">  O. Losses on foreign currency transactions</t>
    </r>
    <phoneticPr fontId="1" type="noConversion"/>
  </si>
  <si>
    <r>
      <t xml:space="preserve">  </t>
    </r>
    <r>
      <rPr>
        <sz val="11"/>
        <rFont val="돋움"/>
        <family val="3"/>
        <charset val="129"/>
      </rPr>
      <t>　</t>
    </r>
    <r>
      <rPr>
        <sz val="11"/>
        <rFont val="Arial Narrow"/>
        <family val="2"/>
      </rPr>
      <t>P. Losses on foreign currency translation</t>
    </r>
    <phoneticPr fontId="1" type="noConversion"/>
  </si>
  <si>
    <t xml:space="preserve">   Fee income calculated based upon IFRS 4 and IAS 39</t>
    <phoneticPr fontId="1" type="noConversion"/>
  </si>
  <si>
    <t>Separate account</t>
  </si>
  <si>
    <t>Separate account</t>
    <phoneticPr fontId="1" type="noConversion"/>
  </si>
  <si>
    <t>General account Floating rate</t>
  </si>
  <si>
    <t>General account Floating rate</t>
    <phoneticPr fontId="1" type="noConversion"/>
  </si>
  <si>
    <t>General account Fixed rate</t>
  </si>
  <si>
    <t>General account Fixed rate</t>
    <phoneticPr fontId="1" type="noConversion"/>
  </si>
  <si>
    <t>CSM Composition</t>
    <phoneticPr fontId="1" type="noConversion"/>
  </si>
  <si>
    <t>▶ 손해율 : IBNR 및 재보 손익 제외</t>
    <phoneticPr fontId="1" type="noConversion"/>
  </si>
  <si>
    <t xml:space="preserve">    Loss ratio : excluding IBNR and reinsurance G/L</t>
    <phoneticPr fontId="1" type="noConversion"/>
  </si>
  <si>
    <t>Q2</t>
  </si>
  <si>
    <t>2023 Q2</t>
    <phoneticPr fontId="1" type="noConversion"/>
  </si>
  <si>
    <t>Investment yield (YTD)</t>
    <phoneticPr fontId="1" type="noConversion"/>
  </si>
  <si>
    <t>비운용자산수익</t>
    <phoneticPr fontId="1" type="noConversion"/>
  </si>
  <si>
    <r>
      <rPr>
        <sz val="8"/>
        <rFont val="돋움"/>
        <family val="3"/>
        <charset val="129"/>
      </rPr>
      <t>▶</t>
    </r>
    <r>
      <rPr>
        <sz val="8"/>
        <rFont val="Arial Narrow"/>
        <family val="2"/>
      </rPr>
      <t>IFRS 4 &amp; IAS 39</t>
    </r>
    <phoneticPr fontId="1" type="noConversion"/>
  </si>
  <si>
    <t>▶IFRS 4 &amp; IAS 39</t>
  </si>
  <si>
    <t>▶IFRS 4 &amp; IAS 39</t>
    <phoneticPr fontId="1" type="noConversion"/>
  </si>
  <si>
    <t>투자계약부채</t>
    <phoneticPr fontId="1" type="noConversion"/>
  </si>
  <si>
    <t>투자계약부채</t>
  </si>
  <si>
    <t>보험서비스수익</t>
    <phoneticPr fontId="1" type="noConversion"/>
  </si>
  <si>
    <t>보험서비스수익</t>
  </si>
  <si>
    <t>일반보험서비스수익</t>
    <phoneticPr fontId="1" type="noConversion"/>
  </si>
  <si>
    <t>일반보험서비스수익</t>
  </si>
  <si>
    <t>출재보험서비스수익</t>
    <phoneticPr fontId="1" type="noConversion"/>
  </si>
  <si>
    <t>출재보험서비스수익</t>
  </si>
  <si>
    <t>일반보험서비스비용</t>
    <phoneticPr fontId="1" type="noConversion"/>
  </si>
  <si>
    <t>일반보험서비스비용</t>
  </si>
  <si>
    <t>출재보험서비스비용</t>
    <phoneticPr fontId="1" type="noConversion"/>
  </si>
  <si>
    <t>출재보험서비스비용</t>
  </si>
  <si>
    <t>기타사업비용</t>
    <phoneticPr fontId="1" type="noConversion"/>
  </si>
  <si>
    <t>기타사업비용</t>
  </si>
  <si>
    <t>투자서비스수익</t>
    <phoneticPr fontId="1" type="noConversion"/>
  </si>
  <si>
    <t>투자서비스수익</t>
  </si>
  <si>
    <t>이자수익</t>
    <phoneticPr fontId="1" type="noConversion"/>
  </si>
  <si>
    <t>이자수익</t>
  </si>
  <si>
    <t>금융자산관련이익</t>
    <phoneticPr fontId="1" type="noConversion"/>
  </si>
  <si>
    <t>금융자산관련이익</t>
  </si>
  <si>
    <t>기타투자수익</t>
    <phoneticPr fontId="1" type="noConversion"/>
  </si>
  <si>
    <t>기타투자수익</t>
  </si>
  <si>
    <t>투자서비스비용</t>
    <phoneticPr fontId="1" type="noConversion"/>
  </si>
  <si>
    <t>투자서비스비용</t>
  </si>
  <si>
    <t>재산관리비</t>
    <phoneticPr fontId="1" type="noConversion"/>
  </si>
  <si>
    <t>금융자산관련비용</t>
    <phoneticPr fontId="1" type="noConversion"/>
  </si>
  <si>
    <t>금융자산관련비용</t>
  </si>
  <si>
    <t>기타투자비용</t>
    <phoneticPr fontId="1" type="noConversion"/>
  </si>
  <si>
    <t>기타투자비용</t>
  </si>
  <si>
    <r>
      <t xml:space="preserve"> IFRS 17 &amp; 9 </t>
    </r>
    <r>
      <rPr>
        <sz val="8"/>
        <color rgb="FFFF0000"/>
        <rFont val="KoPub돋움체_Pro Light"/>
        <family val="1"/>
        <charset val="129"/>
      </rPr>
      <t>◀</t>
    </r>
    <phoneticPr fontId="1" type="noConversion"/>
  </si>
  <si>
    <t>Investment service cost</t>
    <phoneticPr fontId="1" type="noConversion"/>
  </si>
  <si>
    <r>
      <rPr>
        <sz val="11"/>
        <color theme="1"/>
        <rFont val="돋움"/>
        <family val="3"/>
        <charset val="129"/>
      </rPr>
      <t>별도</t>
    </r>
    <r>
      <rPr>
        <sz val="11"/>
        <color theme="1"/>
        <rFont val="Arial Narrow"/>
        <family val="2"/>
      </rPr>
      <t xml:space="preserve"> Standalone </t>
    </r>
    <phoneticPr fontId="1" type="noConversion"/>
  </si>
  <si>
    <r>
      <rPr>
        <sz val="11"/>
        <color rgb="FF0070C0"/>
        <rFont val="돋움"/>
        <family val="3"/>
        <charset val="129"/>
      </rPr>
      <t>연결</t>
    </r>
    <r>
      <rPr>
        <sz val="11"/>
        <color rgb="FF0070C0"/>
        <rFont val="Arial Narrow"/>
        <family val="2"/>
      </rPr>
      <t xml:space="preserve"> Consolidated </t>
    </r>
    <phoneticPr fontId="1" type="noConversion"/>
  </si>
  <si>
    <t>보험서비스손익</t>
    <phoneticPr fontId="1" type="noConversion"/>
  </si>
  <si>
    <t>Non-Operating Income</t>
  </si>
  <si>
    <t>보험서비스손익</t>
  </si>
  <si>
    <t>투자손익</t>
  </si>
  <si>
    <t>Beginning CSM</t>
    <phoneticPr fontId="1" type="noConversion"/>
  </si>
  <si>
    <t>Insurance service income</t>
  </si>
  <si>
    <t>Insurance service income</t>
    <phoneticPr fontId="1" type="noConversion"/>
  </si>
  <si>
    <t>Investment income</t>
  </si>
  <si>
    <t xml:space="preserve">    Minor differences may exist between the average crediting rates and the crediting rate </t>
    <phoneticPr fontId="1" type="noConversion"/>
  </si>
  <si>
    <t xml:space="preserve">   for reserves due to calculation methods.</t>
    <phoneticPr fontId="1" type="noConversion"/>
  </si>
  <si>
    <t>FY</t>
    <phoneticPr fontId="1" type="noConversion"/>
  </si>
  <si>
    <r>
      <rPr>
        <sz val="8"/>
        <rFont val="KoPub돋움체_Pro Light"/>
        <family val="1"/>
        <charset val="129"/>
      </rPr>
      <t>▶</t>
    </r>
    <r>
      <rPr>
        <sz val="8"/>
        <color theme="1"/>
        <rFont val="KoPub돋움체_Pro Light"/>
        <family val="1"/>
        <charset val="129"/>
      </rPr>
      <t xml:space="preserve"> 비운용자산 : 미상각신계약비 포함</t>
    </r>
    <phoneticPr fontId="1" type="noConversion"/>
  </si>
  <si>
    <t>Investment contract liabilities</t>
  </si>
  <si>
    <t>Investment contract liabilities</t>
    <phoneticPr fontId="1" type="noConversion"/>
  </si>
  <si>
    <t>Other investment expense</t>
  </si>
  <si>
    <t>Other investment expense</t>
    <phoneticPr fontId="1" type="noConversion"/>
  </si>
  <si>
    <t>Financial asset related expense</t>
  </si>
  <si>
    <t>Financial asset related expense</t>
    <phoneticPr fontId="1" type="noConversion"/>
  </si>
  <si>
    <t>Interest expense</t>
    <phoneticPr fontId="1" type="noConversion"/>
  </si>
  <si>
    <t>Insurance financial expense</t>
    <phoneticPr fontId="1" type="noConversion"/>
  </si>
  <si>
    <t>Reinsurance financial expense</t>
    <phoneticPr fontId="1" type="noConversion"/>
  </si>
  <si>
    <t>Property administrative expense</t>
    <phoneticPr fontId="1" type="noConversion"/>
  </si>
  <si>
    <t>Financial assset related income</t>
  </si>
  <si>
    <t>Financial assset related income</t>
    <phoneticPr fontId="1" type="noConversion"/>
  </si>
  <si>
    <t>Other investment revenue</t>
  </si>
  <si>
    <t>Other investment revenue</t>
    <phoneticPr fontId="1" type="noConversion"/>
  </si>
  <si>
    <t>Other expense</t>
  </si>
  <si>
    <t>Other expense</t>
    <phoneticPr fontId="1" type="noConversion"/>
  </si>
  <si>
    <t>Reinsurance service expense</t>
  </si>
  <si>
    <t>Reinsurance service expense</t>
    <phoneticPr fontId="1" type="noConversion"/>
  </si>
  <si>
    <t>Insurance service expense</t>
  </si>
  <si>
    <t>Insurance service expense</t>
    <phoneticPr fontId="1" type="noConversion"/>
  </si>
  <si>
    <t>Insurance service revenue</t>
  </si>
  <si>
    <t>Insurance service revenue</t>
    <phoneticPr fontId="1" type="noConversion"/>
  </si>
  <si>
    <t>Reinsurance service revenue</t>
  </si>
  <si>
    <t>Reinsurance service revenue</t>
    <phoneticPr fontId="1" type="noConversion"/>
  </si>
  <si>
    <t>Investment service revenue</t>
    <phoneticPr fontId="1" type="noConversion"/>
  </si>
  <si>
    <t>Insurance financial revenue</t>
  </si>
  <si>
    <t>Insurance financial revenue</t>
    <phoneticPr fontId="1" type="noConversion"/>
  </si>
  <si>
    <t>Reinsurance financial revenue</t>
  </si>
  <si>
    <t>Reinsurance financial revenue</t>
    <phoneticPr fontId="1" type="noConversion"/>
  </si>
  <si>
    <t>Interest revenue</t>
  </si>
  <si>
    <t>Interest revenue</t>
    <phoneticPr fontId="1" type="noConversion"/>
  </si>
  <si>
    <t>Insurance service expense</t>
    <phoneticPr fontId="1" type="noConversion"/>
  </si>
  <si>
    <t>Operating income</t>
    <phoneticPr fontId="1" type="noConversion"/>
  </si>
  <si>
    <t>Non-operating income</t>
    <phoneticPr fontId="1" type="noConversion"/>
  </si>
  <si>
    <t>Other Income</t>
    <phoneticPr fontId="1" type="noConversion"/>
  </si>
  <si>
    <t>Income tax expenses</t>
    <phoneticPr fontId="1" type="noConversion"/>
  </si>
  <si>
    <t>Net income</t>
    <phoneticPr fontId="1" type="noConversion"/>
  </si>
  <si>
    <t>2023 Q3</t>
    <phoneticPr fontId="1" type="noConversion"/>
  </si>
  <si>
    <t xml:space="preserve">     7. 해외사업환산손익</t>
    <phoneticPr fontId="1" type="noConversion"/>
  </si>
  <si>
    <t xml:space="preserve">     8. 위험회피파생상품평가손익</t>
    <phoneticPr fontId="1" type="noConversion"/>
  </si>
  <si>
    <t xml:space="preserve">     9. 재평가잉여금</t>
    <phoneticPr fontId="1" type="noConversion"/>
  </si>
  <si>
    <t xml:space="preserve">     10. 보험수리적손익</t>
    <phoneticPr fontId="1" type="noConversion"/>
  </si>
  <si>
    <t xml:space="preserve">     11. 기타</t>
    <phoneticPr fontId="1" type="noConversion"/>
  </si>
  <si>
    <t xml:space="preserve">     7. Gains(Losses) on overseas operations translation</t>
    <phoneticPr fontId="1" type="noConversion"/>
  </si>
  <si>
    <t xml:space="preserve">     9. Revaluation surplus</t>
    <phoneticPr fontId="1" type="noConversion"/>
  </si>
  <si>
    <t xml:space="preserve">     6. 지분법자본변동</t>
    <phoneticPr fontId="1" type="noConversion"/>
  </si>
  <si>
    <t xml:space="preserve">     6. Gains(Losses) on valuation of securities under equity method</t>
    <phoneticPr fontId="1" type="noConversion"/>
  </si>
  <si>
    <t xml:space="preserve">    10. Acturial gains and losses</t>
    <phoneticPr fontId="1" type="noConversion"/>
  </si>
  <si>
    <t xml:space="preserve">    11. Others</t>
    <phoneticPr fontId="1" type="noConversion"/>
  </si>
  <si>
    <t>지배회사지분 연결당기순이익(손실)</t>
    <phoneticPr fontId="1" type="noConversion"/>
  </si>
  <si>
    <t xml:space="preserve">     8. Gains(Losses) on valuation of hedge derivatives</t>
    <phoneticPr fontId="1" type="noConversion"/>
  </si>
  <si>
    <t xml:space="preserve">   7. Gains(Losses) on valuation of hedge derivatives</t>
    <phoneticPr fontId="1" type="noConversion"/>
  </si>
  <si>
    <t xml:space="preserve">   8. Revaluation surplus</t>
    <phoneticPr fontId="1" type="noConversion"/>
  </si>
  <si>
    <t xml:space="preserve">   9. Acturial gains and losses</t>
    <phoneticPr fontId="1" type="noConversion"/>
  </si>
  <si>
    <t xml:space="preserve">   10. Others</t>
    <phoneticPr fontId="1" type="noConversion"/>
  </si>
  <si>
    <t xml:space="preserve">   6. Gains or losses on foreign currency translation for overseas business</t>
    <phoneticPr fontId="1" type="noConversion"/>
  </si>
  <si>
    <t xml:space="preserve">   4. Reinsurance contract asset (liabilities) net financial income</t>
    <phoneticPr fontId="1" type="noConversion"/>
  </si>
  <si>
    <t xml:space="preserve">   3. Insurance contract asset (liabilities) net financial income</t>
    <phoneticPr fontId="1" type="noConversion"/>
  </si>
  <si>
    <t xml:space="preserve">   2. Allowance for doubtful accounts on fair value other comprehensive income liabilities</t>
    <phoneticPr fontId="1" type="noConversion"/>
  </si>
  <si>
    <t xml:space="preserve">   5. Gains or losses on valuation of associates or subsidiaries investment stocks</t>
    <phoneticPr fontId="1" type="noConversion"/>
  </si>
  <si>
    <t xml:space="preserve">   1. Gains(Losses) on fair value other comprehensive income financial assets</t>
    <phoneticPr fontId="1" type="noConversion"/>
  </si>
  <si>
    <t xml:space="preserve"> IV. Non-operating income or losses</t>
    <phoneticPr fontId="1" type="noConversion"/>
  </si>
  <si>
    <t xml:space="preserve"> V. Net income (loss) before income tax expenses</t>
    <phoneticPr fontId="1" type="noConversion"/>
  </si>
  <si>
    <t xml:space="preserve"> VI.  Income tax expenses</t>
    <phoneticPr fontId="1" type="noConversion"/>
  </si>
  <si>
    <t xml:space="preserve"> VII. Net income</t>
    <phoneticPr fontId="1" type="noConversion"/>
  </si>
  <si>
    <t xml:space="preserve"> VIII.  Net income to non-controlling interests equity</t>
    <phoneticPr fontId="1" type="noConversion"/>
  </si>
  <si>
    <t xml:space="preserve"> IX. Total comprehensive income</t>
    <phoneticPr fontId="1" type="noConversion"/>
  </si>
  <si>
    <t xml:space="preserve"> Ⅹ. 연결기타포괄손익</t>
    <phoneticPr fontId="1" type="noConversion"/>
  </si>
  <si>
    <r>
      <t xml:space="preserve"> </t>
    </r>
    <r>
      <rPr>
        <b/>
        <sz val="11"/>
        <rFont val="맑은 고딕"/>
        <family val="3"/>
        <charset val="129"/>
      </rPr>
      <t>Ⅹ</t>
    </r>
    <r>
      <rPr>
        <b/>
        <sz val="11"/>
        <rFont val="Arial Narrow"/>
        <family val="2"/>
      </rPr>
      <t xml:space="preserve">. Consolidated other comprehensive income </t>
    </r>
    <phoneticPr fontId="1" type="noConversion"/>
  </si>
  <si>
    <r>
      <t xml:space="preserve"> X</t>
    </r>
    <r>
      <rPr>
        <b/>
        <sz val="11"/>
        <rFont val="맑은 고딕"/>
        <family val="3"/>
        <charset val="129"/>
      </rPr>
      <t>Ⅰ</t>
    </r>
    <r>
      <rPr>
        <b/>
        <sz val="11"/>
        <rFont val="Arial Narrow"/>
        <family val="2"/>
      </rPr>
      <t>. Consolidated total comprehensive income</t>
    </r>
    <phoneticPr fontId="1" type="noConversion"/>
  </si>
  <si>
    <t xml:space="preserve"> III. Operating income (Or, operating loss)</t>
    <phoneticPr fontId="1" type="noConversion"/>
  </si>
  <si>
    <r>
      <rPr>
        <b/>
        <sz val="11"/>
        <rFont val="돋움"/>
        <family val="3"/>
        <charset val="129"/>
      </rPr>
      <t>Ⅱ.</t>
    </r>
    <r>
      <rPr>
        <b/>
        <sz val="11"/>
        <rFont val="Arial Narrow"/>
        <family val="2"/>
      </rPr>
      <t xml:space="preserve"> Investment income</t>
    </r>
    <phoneticPr fontId="1" type="noConversion"/>
  </si>
  <si>
    <t>YoY</t>
    <phoneticPr fontId="40" type="noConversion"/>
  </si>
  <si>
    <t>Q4</t>
  </si>
  <si>
    <t>YoY</t>
  </si>
  <si>
    <t>2023 Q4</t>
    <phoneticPr fontId="1" type="noConversion"/>
  </si>
  <si>
    <t xml:space="preserve">    Amortization rate calculated in line with internal guideline</t>
    <phoneticPr fontId="1" type="noConversion"/>
  </si>
  <si>
    <t>신계약현황</t>
    <phoneticPr fontId="1" type="noConversion"/>
  </si>
  <si>
    <t>FY</t>
    <phoneticPr fontId="1" type="noConversion"/>
  </si>
  <si>
    <t>비중
Weight</t>
  </si>
  <si>
    <t>=SUM(Q18:V18)/((Q19+U20-SUM(Q18:V18))/2)*4/Q5</t>
    <phoneticPr fontId="1" type="noConversion"/>
  </si>
  <si>
    <t>Q3</t>
    <phoneticPr fontId="1" type="noConversion"/>
  </si>
  <si>
    <t>2023 Q4</t>
    <phoneticPr fontId="1" type="noConversion"/>
  </si>
  <si>
    <r>
      <rPr>
        <sz val="8"/>
        <color theme="1"/>
        <rFont val="KoPub돋움체_Pro Light"/>
        <family val="1"/>
        <charset val="129"/>
      </rPr>
      <t>▶</t>
    </r>
    <r>
      <rPr>
        <sz val="8"/>
        <color theme="1"/>
        <rFont val="Arial Narrow"/>
        <family val="2"/>
      </rPr>
      <t>IFRS 17 + IAS 39</t>
    </r>
    <phoneticPr fontId="1" type="noConversion"/>
  </si>
  <si>
    <r>
      <rPr>
        <sz val="11"/>
        <rFont val="돋움"/>
        <family val="3"/>
        <charset val="129"/>
      </rPr>
      <t>비중</t>
    </r>
    <phoneticPr fontId="1" type="noConversion"/>
  </si>
  <si>
    <t>자회사</t>
    <phoneticPr fontId="1" type="noConversion"/>
  </si>
  <si>
    <t>Subsidiary</t>
    <phoneticPr fontId="1" type="noConversion"/>
  </si>
  <si>
    <t>New Business</t>
    <phoneticPr fontId="1" type="noConversion"/>
  </si>
  <si>
    <t>미래에셋금융서비스</t>
    <phoneticPr fontId="1" type="noConversion"/>
  </si>
  <si>
    <t>Mirae Asset Financial Services</t>
    <phoneticPr fontId="1" type="noConversion"/>
  </si>
  <si>
    <t>세전손익</t>
    <phoneticPr fontId="1" type="noConversion"/>
  </si>
  <si>
    <t>CSM 무브먼트</t>
    <phoneticPr fontId="1" type="noConversion"/>
  </si>
  <si>
    <t>기시CSM</t>
    <phoneticPr fontId="1" type="noConversion"/>
  </si>
  <si>
    <t>신계약CSM</t>
    <phoneticPr fontId="1" type="noConversion"/>
  </si>
  <si>
    <t xml:space="preserve">   보장성상품(일반,변액)</t>
    <phoneticPr fontId="1" type="noConversion"/>
  </si>
  <si>
    <t xml:space="preserve">   일반저축성</t>
    <phoneticPr fontId="1" type="noConversion"/>
  </si>
  <si>
    <t xml:space="preserve">   변액저축성</t>
    <phoneticPr fontId="1" type="noConversion"/>
  </si>
  <si>
    <t>가정변경 등</t>
    <phoneticPr fontId="1" type="noConversion"/>
  </si>
  <si>
    <t>CSM상각</t>
    <phoneticPr fontId="1" type="noConversion"/>
  </si>
  <si>
    <t>기말CSM</t>
    <phoneticPr fontId="1" type="noConversion"/>
  </si>
  <si>
    <t>상각률</t>
    <phoneticPr fontId="1" type="noConversion"/>
  </si>
  <si>
    <t>CSM순증</t>
    <phoneticPr fontId="1" type="noConversion"/>
  </si>
  <si>
    <t>▶ 상각률 산출은 당사 기준에 따름</t>
    <phoneticPr fontId="1" type="noConversion"/>
  </si>
  <si>
    <t>CSM 구성현황</t>
    <phoneticPr fontId="1" type="noConversion"/>
  </si>
  <si>
    <t xml:space="preserve">   사망</t>
    <phoneticPr fontId="1" type="noConversion"/>
  </si>
  <si>
    <t xml:space="preserve">   건강</t>
    <phoneticPr fontId="1" type="noConversion"/>
  </si>
  <si>
    <t xml:space="preserve">   변액사망</t>
    <phoneticPr fontId="1" type="noConversion"/>
  </si>
  <si>
    <t xml:space="preserve">   변액저축</t>
    <phoneticPr fontId="1" type="noConversion"/>
  </si>
  <si>
    <t xml:space="preserve">   일반저축</t>
    <phoneticPr fontId="1" type="noConversion"/>
  </si>
  <si>
    <t xml:space="preserve">  사망</t>
    <phoneticPr fontId="1" type="noConversion"/>
  </si>
  <si>
    <t xml:space="preserve">  건강</t>
    <phoneticPr fontId="1" type="noConversion"/>
  </si>
  <si>
    <t xml:space="preserve">  변액사망</t>
    <phoneticPr fontId="1" type="noConversion"/>
  </si>
  <si>
    <t xml:space="preserve">  변액저축</t>
    <phoneticPr fontId="1" type="noConversion"/>
  </si>
  <si>
    <t xml:space="preserve">  일반저축</t>
    <phoneticPr fontId="1" type="noConversion"/>
  </si>
  <si>
    <t xml:space="preserve">  기타</t>
    <phoneticPr fontId="1" type="noConversion"/>
  </si>
  <si>
    <t>Amortization rate</t>
    <phoneticPr fontId="1" type="noConversion"/>
  </si>
  <si>
    <t>Earnings before Tax</t>
    <phoneticPr fontId="1" type="noConversion"/>
  </si>
  <si>
    <t>Breakdown by Account Type</t>
    <phoneticPr fontId="1" type="noConversion"/>
  </si>
  <si>
    <t>Breakdown by Product Type</t>
    <phoneticPr fontId="1" type="noConversion"/>
  </si>
  <si>
    <t>K-CIS based Duration</t>
    <phoneticPr fontId="1" type="noConversion"/>
  </si>
  <si>
    <t>2024 Q1</t>
    <phoneticPr fontId="1" type="noConversion"/>
  </si>
  <si>
    <r>
      <rPr>
        <sz val="11"/>
        <color theme="1"/>
        <rFont val="돋움"/>
        <family val="3"/>
        <charset val="129"/>
      </rPr>
      <t>누적</t>
    </r>
    <r>
      <rPr>
        <sz val="11"/>
        <color theme="1"/>
        <rFont val="Arial Narrow"/>
        <family val="2"/>
      </rPr>
      <t xml:space="preserve"> YTD / Figures YTD basis</t>
    </r>
    <phoneticPr fontId="1" type="noConversion"/>
  </si>
  <si>
    <t>New Business CSM (by product grouping)</t>
    <phoneticPr fontId="1" type="noConversion"/>
  </si>
  <si>
    <t>Protections Total</t>
    <phoneticPr fontId="1" type="noConversion"/>
  </si>
  <si>
    <t>Non-variable Whole Life</t>
    <phoneticPr fontId="1" type="noConversion"/>
  </si>
  <si>
    <t>Non-variable Term Life</t>
    <phoneticPr fontId="1" type="noConversion"/>
  </si>
  <si>
    <t>A&amp;H</t>
    <phoneticPr fontId="1" type="noConversion"/>
  </si>
  <si>
    <t>Savings Total</t>
    <phoneticPr fontId="1" type="noConversion"/>
  </si>
  <si>
    <t>Variable Annuities</t>
    <phoneticPr fontId="1" type="noConversion"/>
  </si>
  <si>
    <t>Variable Savings</t>
    <phoneticPr fontId="1" type="noConversion"/>
  </si>
  <si>
    <t>Income Statement Statutory Accounting Practice</t>
    <phoneticPr fontId="1" type="noConversion"/>
  </si>
  <si>
    <t>Balance Sheet Statutory Accounting Practice</t>
    <phoneticPr fontId="1" type="noConversion"/>
  </si>
  <si>
    <t>Asset Quality</t>
    <phoneticPr fontId="1" type="noConversion"/>
  </si>
  <si>
    <t>Investment Yields</t>
    <phoneticPr fontId="1" type="noConversion"/>
  </si>
  <si>
    <t>Investment Portfolio</t>
    <phoneticPr fontId="1" type="noConversion"/>
  </si>
  <si>
    <t>Operating Efficiency</t>
    <phoneticPr fontId="1" type="noConversion"/>
  </si>
  <si>
    <t>Fee Business Results</t>
    <phoneticPr fontId="1" type="noConversion"/>
  </si>
  <si>
    <t>Initial premium by channel</t>
    <phoneticPr fontId="1" type="noConversion"/>
  </si>
  <si>
    <t>Initial-year premium by channel</t>
    <phoneticPr fontId="1" type="noConversion"/>
  </si>
  <si>
    <t>General Agency</t>
    <phoneticPr fontId="1" type="noConversion"/>
  </si>
  <si>
    <t>Gross Written Premiums</t>
    <phoneticPr fontId="1" type="noConversion"/>
  </si>
  <si>
    <t>Contractual Service Margins</t>
    <phoneticPr fontId="1" type="noConversion"/>
  </si>
  <si>
    <t>Income Statement K-IFRS</t>
    <phoneticPr fontId="1" type="noConversion"/>
  </si>
  <si>
    <t>Financial Statements K-IFRS</t>
    <phoneticPr fontId="1" type="noConversion"/>
  </si>
  <si>
    <t>Financial Highlights</t>
    <phoneticPr fontId="1" type="noConversion"/>
  </si>
  <si>
    <t>Loss ratio (IFRS 4 basis)</t>
    <phoneticPr fontId="1" type="noConversion"/>
  </si>
  <si>
    <t>손해율 (IFRS4 기준)</t>
    <phoneticPr fontId="1" type="noConversion"/>
  </si>
  <si>
    <t>Total Assets</t>
    <phoneticPr fontId="1" type="noConversion"/>
  </si>
  <si>
    <t>Equity Capital</t>
    <phoneticPr fontId="1" type="noConversion"/>
  </si>
  <si>
    <t>Liabilities</t>
    <phoneticPr fontId="1" type="noConversion"/>
  </si>
  <si>
    <t>Capital Stock</t>
    <phoneticPr fontId="1" type="noConversion"/>
  </si>
  <si>
    <t>Capital Adjustment</t>
    <phoneticPr fontId="1" type="noConversion"/>
  </si>
  <si>
    <t>Retained Earnings</t>
    <phoneticPr fontId="1" type="noConversion"/>
  </si>
  <si>
    <t>Revenues</t>
    <phoneticPr fontId="1" type="noConversion"/>
  </si>
  <si>
    <t>SG&amp;A</t>
    <phoneticPr fontId="1" type="noConversion"/>
  </si>
  <si>
    <t>Earnings before Tax</t>
    <phoneticPr fontId="1" type="noConversion"/>
  </si>
  <si>
    <t>Net Income</t>
    <phoneticPr fontId="1" type="noConversion"/>
  </si>
  <si>
    <t>New Business APE by product grouping</t>
    <phoneticPr fontId="1" type="noConversion"/>
  </si>
  <si>
    <t>(BN KRW, %)</t>
    <phoneticPr fontId="1" type="noConversion"/>
  </si>
  <si>
    <t>Initial Premium by Channel</t>
    <phoneticPr fontId="1" type="noConversion"/>
  </si>
  <si>
    <t>First Year Premium by Channel</t>
    <phoneticPr fontId="1" type="noConversion"/>
  </si>
  <si>
    <t>Number of In-force Customers</t>
    <phoneticPr fontId="1" type="noConversion"/>
  </si>
  <si>
    <t xml:space="preserve">    Reserves and fee income of retirement pension plans: Asset management contracts basis</t>
    <phoneticPr fontId="1" type="noConversion"/>
  </si>
  <si>
    <t xml:space="preserve">    Non invested assets: Including DAC (Deferred Acquisition Costs)</t>
    <phoneticPr fontId="1" type="noConversion"/>
  </si>
  <si>
    <t>▶ 회계기준 변경 관련 사항(IAS 39 / IFRS 4 -&gt; IFRS 9 / IFRS 17)</t>
    <phoneticPr fontId="1" type="noConversion"/>
  </si>
  <si>
    <t xml:space="preserve">    Yields by Assets &amp; Investment Yield: Annualized basis</t>
    <phoneticPr fontId="1" type="noConversion"/>
  </si>
  <si>
    <t xml:space="preserve">    Invested assets: Not including affiliates and subsidiaries</t>
    <phoneticPr fontId="1" type="noConversion"/>
  </si>
  <si>
    <t>Income Statement</t>
    <phoneticPr fontId="1" type="noConversion"/>
  </si>
  <si>
    <t>Balance Sheet</t>
    <phoneticPr fontId="1" type="noConversion"/>
  </si>
  <si>
    <t>▶ *) FY2022 Q4부터 K-ICS비율 기재, 당 분기는 추정치로 기재</t>
    <phoneticPr fontId="1" type="noConversion"/>
  </si>
  <si>
    <t xml:space="preserve">    *) K-ICS represented from FY2022 Q4, and K-ICS for the current quarter is an estimate</t>
    <phoneticPr fontId="1" type="noConversion"/>
  </si>
  <si>
    <t xml:space="preserve">   K-ICS for FY2022 Q4 and onwards and RBC for other figures before</t>
    <phoneticPr fontId="1" type="noConversion"/>
  </si>
  <si>
    <t>YTD</t>
    <phoneticPr fontId="1" type="noConversion"/>
  </si>
  <si>
    <t>YoY</t>
    <phoneticPr fontId="1" type="noConversion"/>
  </si>
  <si>
    <t>FY</t>
  </si>
  <si>
    <t>Persistency : main policy sum assured basis</t>
    <phoneticPr fontId="1" type="noConversion"/>
  </si>
  <si>
    <t>▶ FY2022 Q4 이후 K-ICS 기준, 그 이전은 RBC기준</t>
    <phoneticPr fontId="1" type="noConversion"/>
  </si>
  <si>
    <t>(YTD, MN KRW, %)</t>
    <phoneticPr fontId="1" type="noConversion"/>
  </si>
  <si>
    <t>TOTAL</t>
    <phoneticPr fontId="1" type="noConversion"/>
  </si>
  <si>
    <t>BEL</t>
    <phoneticPr fontId="1" type="noConversion"/>
  </si>
  <si>
    <t>RA</t>
    <phoneticPr fontId="1" type="noConversion"/>
  </si>
  <si>
    <t>LOSS</t>
    <phoneticPr fontId="1" type="noConversion"/>
  </si>
  <si>
    <t>OCI</t>
    <phoneticPr fontId="1" type="noConversion"/>
  </si>
  <si>
    <t>NP</t>
    <phoneticPr fontId="1" type="noConversion"/>
  </si>
  <si>
    <t>IDP</t>
    <phoneticPr fontId="1" type="noConversion"/>
  </si>
  <si>
    <t>VFA</t>
    <phoneticPr fontId="1" type="noConversion"/>
  </si>
  <si>
    <t>잔여보장부채 무브먼트</t>
    <phoneticPr fontId="1" type="noConversion"/>
  </si>
  <si>
    <t>기말</t>
  </si>
  <si>
    <t>기초</t>
  </si>
  <si>
    <t>기중변동</t>
  </si>
  <si>
    <t>최초인식</t>
  </si>
  <si>
    <t>이자비용</t>
  </si>
  <si>
    <t>경험조정(CSM조정)</t>
    <phoneticPr fontId="1" type="noConversion"/>
  </si>
  <si>
    <t>경험조정(PL반영)</t>
    <phoneticPr fontId="1" type="noConversion"/>
  </si>
  <si>
    <t>RA 변동</t>
  </si>
  <si>
    <t>제거</t>
    <phoneticPr fontId="1" type="noConversion"/>
  </si>
  <si>
    <t>비금융가정변경</t>
    <phoneticPr fontId="1" type="noConversion"/>
  </si>
  <si>
    <t>공시이율 예실차</t>
  </si>
  <si>
    <t>할인율 외 금융가정변경</t>
  </si>
  <si>
    <t>VFA 기업의 몫 조정</t>
  </si>
  <si>
    <t>할인율 변경</t>
  </si>
  <si>
    <t>CSM 상각</t>
  </si>
  <si>
    <t>보험취득현금흐름 배분</t>
  </si>
  <si>
    <t>손실부담비용 관련</t>
  </si>
  <si>
    <t>Movement of Liabilities for Remaining Coverage</t>
    <phoneticPr fontId="1" type="noConversion"/>
  </si>
  <si>
    <t>부채 변동</t>
    <phoneticPr fontId="1" type="noConversion"/>
  </si>
  <si>
    <t>Profit / loss breakdown</t>
    <phoneticPr fontId="1" type="noConversion"/>
  </si>
  <si>
    <t>1H</t>
    <phoneticPr fontId="1" type="noConversion"/>
  </si>
  <si>
    <t>2024 Q2</t>
    <phoneticPr fontId="1" type="noConversion"/>
  </si>
  <si>
    <t xml:space="preserve">신계약현황 </t>
    <phoneticPr fontId="1" type="noConversion"/>
  </si>
  <si>
    <t>New Business</t>
  </si>
  <si>
    <t>파생상품자산</t>
    <phoneticPr fontId="1" type="noConversion"/>
  </si>
  <si>
    <t>파생상품부채</t>
  </si>
  <si>
    <t>Derivatives assets</t>
    <phoneticPr fontId="1" type="noConversion"/>
  </si>
  <si>
    <t>파생상품부채*</t>
    <phoneticPr fontId="1" type="noConversion"/>
  </si>
  <si>
    <t>파생상품자산*</t>
    <phoneticPr fontId="1" type="noConversion"/>
  </si>
  <si>
    <t>▶ *) FY2024 Q2부터 파생상품 자산, 부채 별도 표기</t>
    <phoneticPr fontId="1" type="noConversion"/>
  </si>
  <si>
    <t>Assets and liabilities of derivatives represented from 24Q2</t>
    <phoneticPr fontId="1" type="noConversion"/>
  </si>
  <si>
    <t>Derivatives liabilities</t>
    <phoneticPr fontId="1" type="noConversion"/>
  </si>
  <si>
    <t>Insurance service expenses</t>
  </si>
  <si>
    <t>Insurance revenues</t>
  </si>
  <si>
    <t>Insurance financial expenses</t>
  </si>
  <si>
    <t>Insurance financial revenues</t>
  </si>
  <si>
    <t>Closing balance</t>
  </si>
  <si>
    <t>Opening balance</t>
  </si>
  <si>
    <t>Changes in period</t>
  </si>
  <si>
    <t>Initial recognition</t>
  </si>
  <si>
    <t>Interest accrued</t>
  </si>
  <si>
    <t>Experience adjustment (CSM)</t>
  </si>
  <si>
    <t>Experience adjustment (P/L)</t>
  </si>
  <si>
    <t>RA adjsutment</t>
  </si>
  <si>
    <t>Derecognition</t>
  </si>
  <si>
    <t>Changes in non-financial assumption</t>
  </si>
  <si>
    <t>Experience adjustment of crediting rate</t>
  </si>
  <si>
    <t>Changes in financial assumptions (ex discount rate)</t>
  </si>
  <si>
    <t>Adjustment of corporate share (VFA)</t>
  </si>
  <si>
    <t>Changes in discount rate assumptions</t>
  </si>
  <si>
    <t>CSM amortization</t>
  </si>
  <si>
    <t>Allocation of insurance acquisition cash flow</t>
  </si>
  <si>
    <t>Losses on onerous groups</t>
  </si>
  <si>
    <t>Changes in non-financial assumptions</t>
  </si>
  <si>
    <t>Change in discount rate assumptions</t>
  </si>
  <si>
    <t>Change in financial assumptions (ex discount rate)</t>
  </si>
  <si>
    <t>Movement of liabilities for remaining coverage</t>
  </si>
  <si>
    <t>APE by product type / channel</t>
    <phoneticPr fontId="1" type="noConversion"/>
  </si>
  <si>
    <t>채널별 형태별</t>
    <phoneticPr fontId="1" type="noConversion"/>
  </si>
  <si>
    <t>Breakdown by Channels &amp; Types</t>
    <phoneticPr fontId="1" type="noConversion"/>
  </si>
  <si>
    <t>FC</t>
  </si>
  <si>
    <t>Financial Consultant</t>
  </si>
  <si>
    <t>CFC</t>
    <phoneticPr fontId="1" type="noConversion"/>
  </si>
  <si>
    <t>Compound Financial Consultant</t>
    <phoneticPr fontId="1" type="noConversion"/>
  </si>
  <si>
    <t>GA</t>
  </si>
  <si>
    <t>General Agent</t>
  </si>
  <si>
    <t>방카</t>
  </si>
  <si>
    <t>총합계</t>
  </si>
  <si>
    <t>Total APE</t>
  </si>
  <si>
    <t>General Insurance</t>
    <phoneticPr fontId="1" type="noConversion"/>
  </si>
  <si>
    <t>형태별 분류</t>
    <phoneticPr fontId="1" type="noConversion"/>
  </si>
  <si>
    <t>Breakdown by Insurance Types</t>
    <phoneticPr fontId="1" type="noConversion"/>
  </si>
  <si>
    <t>채널별 분류</t>
    <phoneticPr fontId="1" type="noConversion"/>
  </si>
  <si>
    <t>Breakdown by Business Channels</t>
    <phoneticPr fontId="1" type="noConversion"/>
  </si>
  <si>
    <t>전속</t>
    <phoneticPr fontId="1" type="noConversion"/>
  </si>
  <si>
    <t>Tied Agent</t>
    <phoneticPr fontId="1" type="noConversion"/>
  </si>
  <si>
    <t>일반보장성</t>
  </si>
  <si>
    <t>General protections</t>
  </si>
  <si>
    <t>변액보장형</t>
  </si>
  <si>
    <t>Variable protections</t>
  </si>
  <si>
    <t>변액투자형</t>
  </si>
  <si>
    <t>Variable investments</t>
  </si>
  <si>
    <t>일반저축성</t>
  </si>
  <si>
    <t>General savings</t>
  </si>
  <si>
    <t>General Agent</t>
    <phoneticPr fontId="1" type="noConversion"/>
  </si>
  <si>
    <t>방카</t>
    <phoneticPr fontId="1" type="noConversion"/>
  </si>
  <si>
    <t>Bancassurance</t>
    <phoneticPr fontId="1" type="noConversion"/>
  </si>
  <si>
    <t>채널별 비중</t>
    <phoneticPr fontId="1" type="noConversion"/>
  </si>
  <si>
    <t>Weight by Business Channels</t>
    <phoneticPr fontId="1" type="noConversion"/>
  </si>
  <si>
    <r>
      <t xml:space="preserve"> IFRS 17 &amp; 9 </t>
    </r>
    <r>
      <rPr>
        <sz val="8"/>
        <rFont val="KoPub돋움체_Pro Light"/>
        <family val="1"/>
        <charset val="129"/>
      </rPr>
      <t>◀</t>
    </r>
    <phoneticPr fontId="1" type="noConversion"/>
  </si>
  <si>
    <r>
      <rPr>
        <sz val="8"/>
        <rFont val="KoPub돋움체_Pro Light"/>
        <family val="1"/>
        <charset val="129"/>
      </rPr>
      <t>▶</t>
    </r>
    <r>
      <rPr>
        <sz val="8"/>
        <rFont val="Arial Narrow"/>
        <family val="2"/>
      </rPr>
      <t>IFRS 17 + IAS39</t>
    </r>
    <phoneticPr fontId="1" type="noConversion"/>
  </si>
  <si>
    <t>당분기 운용자산</t>
    <phoneticPr fontId="1" type="noConversion"/>
  </si>
  <si>
    <t>전분기 운용자산</t>
    <phoneticPr fontId="1" type="noConversion"/>
  </si>
  <si>
    <r>
      <rPr>
        <sz val="11"/>
        <rFont val="돋움"/>
        <family val="3"/>
        <charset val="129"/>
      </rPr>
      <t xml:space="preserve">금액
</t>
    </r>
    <r>
      <rPr>
        <sz val="11"/>
        <rFont val="Arial Narrow"/>
        <family val="2"/>
      </rPr>
      <t>Amount</t>
    </r>
    <phoneticPr fontId="1" type="noConversion"/>
  </si>
  <si>
    <r>
      <rPr>
        <sz val="11"/>
        <rFont val="돋움"/>
        <family val="3"/>
        <charset val="129"/>
      </rPr>
      <t xml:space="preserve">이익율
</t>
    </r>
    <r>
      <rPr>
        <sz val="11"/>
        <rFont val="Arial Narrow"/>
        <family val="2"/>
      </rPr>
      <t>Yield</t>
    </r>
    <phoneticPr fontId="1" type="noConversion"/>
  </si>
  <si>
    <r>
      <t>(</t>
    </r>
    <r>
      <rPr>
        <sz val="11"/>
        <rFont val="돋움"/>
        <family val="3"/>
        <charset val="129"/>
      </rPr>
      <t>투자영업이익</t>
    </r>
    <r>
      <rPr>
        <sz val="11"/>
        <rFont val="Arial Narrow"/>
        <family val="2"/>
      </rPr>
      <t xml:space="preserve"> </t>
    </r>
    <r>
      <rPr>
        <sz val="11"/>
        <rFont val="돋움"/>
        <family val="3"/>
        <charset val="129"/>
      </rPr>
      <t>누적</t>
    </r>
    <r>
      <rPr>
        <sz val="11"/>
        <rFont val="Arial Narrow"/>
        <family val="2"/>
      </rPr>
      <t>) / (</t>
    </r>
    <r>
      <rPr>
        <sz val="11"/>
        <rFont val="돋움"/>
        <family val="3"/>
        <charset val="129"/>
      </rPr>
      <t>기초</t>
    </r>
    <r>
      <rPr>
        <sz val="11"/>
        <rFont val="Arial Narrow"/>
        <family val="2"/>
      </rPr>
      <t xml:space="preserve"> </t>
    </r>
    <r>
      <rPr>
        <sz val="11"/>
        <rFont val="돋움"/>
        <family val="3"/>
        <charset val="129"/>
      </rPr>
      <t>운용자산</t>
    </r>
    <r>
      <rPr>
        <sz val="11"/>
        <rFont val="Arial Narrow"/>
        <family val="2"/>
      </rPr>
      <t xml:space="preserve"> + </t>
    </r>
    <r>
      <rPr>
        <sz val="11"/>
        <rFont val="돋움"/>
        <family val="3"/>
        <charset val="129"/>
      </rPr>
      <t>당기</t>
    </r>
    <r>
      <rPr>
        <sz val="11"/>
        <rFont val="Arial Narrow"/>
        <family val="2"/>
      </rPr>
      <t xml:space="preserve"> </t>
    </r>
    <r>
      <rPr>
        <sz val="11"/>
        <rFont val="돋움"/>
        <family val="3"/>
        <charset val="129"/>
      </rPr>
      <t>운용자산</t>
    </r>
    <r>
      <rPr>
        <sz val="11"/>
        <rFont val="Arial Narrow"/>
        <family val="2"/>
      </rPr>
      <t xml:space="preserve"> - (</t>
    </r>
    <r>
      <rPr>
        <sz val="11"/>
        <rFont val="돋움"/>
        <family val="3"/>
        <charset val="129"/>
      </rPr>
      <t>투자영업이익</t>
    </r>
    <r>
      <rPr>
        <sz val="11"/>
        <rFont val="Arial Narrow"/>
        <family val="2"/>
      </rPr>
      <t xml:space="preserve"> YTD) /2) * </t>
    </r>
    <r>
      <rPr>
        <sz val="11"/>
        <rFont val="돋움"/>
        <family val="3"/>
        <charset val="129"/>
      </rPr>
      <t>연화</t>
    </r>
    <phoneticPr fontId="1" type="noConversion"/>
  </si>
  <si>
    <t>Q3</t>
    <phoneticPr fontId="1" type="noConversion"/>
  </si>
  <si>
    <t>▶ 결산월별로 최초인식 대상계약의 CSM을 산출하여 집계한 값임.</t>
    <phoneticPr fontId="1" type="noConversion"/>
  </si>
  <si>
    <t>신계약 APE</t>
    <phoneticPr fontId="40" type="noConversion"/>
  </si>
  <si>
    <t>보장성 합계</t>
    <phoneticPr fontId="40" type="noConversion"/>
  </si>
  <si>
    <t xml:space="preserve">  일반종신</t>
    <phoneticPr fontId="40" type="noConversion"/>
  </si>
  <si>
    <t xml:space="preserve">  일반정기</t>
    <phoneticPr fontId="40" type="noConversion"/>
  </si>
  <si>
    <t xml:space="preserve">  건강상해</t>
    <phoneticPr fontId="40" type="noConversion"/>
  </si>
  <si>
    <t xml:space="preserve">  변액보장</t>
    <phoneticPr fontId="40" type="noConversion"/>
  </si>
  <si>
    <t>저축성 합계</t>
    <phoneticPr fontId="40" type="noConversion"/>
  </si>
  <si>
    <t xml:space="preserve">  변액연금</t>
    <phoneticPr fontId="40" type="noConversion"/>
  </si>
  <si>
    <t xml:space="preserve">  변액저축</t>
    <phoneticPr fontId="40" type="noConversion"/>
  </si>
  <si>
    <t>신계약 CSM (상품군별)</t>
    <phoneticPr fontId="40" type="noConversion"/>
  </si>
  <si>
    <t xml:space="preserve">  기타</t>
    <phoneticPr fontId="40" type="noConversion"/>
  </si>
  <si>
    <t>합계</t>
  </si>
  <si>
    <t>▶ Figures based upon initial recognition CSM of policies every closing month</t>
    <phoneticPr fontId="1" type="noConversion"/>
  </si>
  <si>
    <t>보장성유지율</t>
    <phoneticPr fontId="1" type="noConversion"/>
  </si>
  <si>
    <t>YoY</t>
    <phoneticPr fontId="1" type="noConversion"/>
  </si>
  <si>
    <t>2024 Q3</t>
    <phoneticPr fontId="1" type="noConversion"/>
  </si>
  <si>
    <t>2024 Q3</t>
    <phoneticPr fontId="1" type="noConversion"/>
  </si>
  <si>
    <t>2024 Q3</t>
    <phoneticPr fontId="1" type="noConversion"/>
  </si>
  <si>
    <t>미래에셋금융서비스 재무현황</t>
    <phoneticPr fontId="1" type="noConversion"/>
  </si>
  <si>
    <t>구분 (백만원)</t>
  </si>
  <si>
    <t>자산총계</t>
  </si>
  <si>
    <t>부채총계</t>
  </si>
  <si>
    <t>자본총계</t>
  </si>
  <si>
    <t xml:space="preserve">   자본금</t>
  </si>
  <si>
    <t xml:space="preserve">   자본조정</t>
  </si>
  <si>
    <t xml:space="preserve">   이익잉여금</t>
  </si>
  <si>
    <t>매출</t>
  </si>
  <si>
    <t>영업비용</t>
  </si>
  <si>
    <t>Mirae Asset Financial Services Financial Highlights</t>
    <phoneticPr fontId="1" type="noConversion"/>
  </si>
  <si>
    <t xml:space="preserve">Protections Policy persistency rate </t>
    <phoneticPr fontId="1" type="noConversion"/>
  </si>
  <si>
    <t>Total Policy persistency rate</t>
    <phoneticPr fontId="1" type="noConversion"/>
  </si>
  <si>
    <t>연결효과</t>
    <phoneticPr fontId="1" type="noConversion"/>
  </si>
  <si>
    <t>* 보험손익, 투자손익, 영업외손익은 별도 기준</t>
    <phoneticPr fontId="1" type="noConversion"/>
  </si>
  <si>
    <t>보험손익 (별도)</t>
    <phoneticPr fontId="1" type="noConversion"/>
  </si>
  <si>
    <t>투자손익 (별도)</t>
    <phoneticPr fontId="1" type="noConversion"/>
  </si>
  <si>
    <t>영업외손익 (별도)</t>
    <phoneticPr fontId="1" type="noConversion"/>
  </si>
  <si>
    <t>▶ 유지율 : 주보험금 기준, 당기 유지율 기준</t>
    <phoneticPr fontId="1" type="noConversion"/>
  </si>
  <si>
    <t>운용자산이익율(당분기연환산)</t>
  </si>
  <si>
    <t>Investment yield (Current Quarter, Annualized)</t>
  </si>
  <si>
    <t>운용자산이익율 (YTD)</t>
    <phoneticPr fontId="1" type="noConversion"/>
  </si>
  <si>
    <t>2024 Q4</t>
    <phoneticPr fontId="1" type="noConversion"/>
  </si>
  <si>
    <t>Q3</t>
  </si>
  <si>
    <t>Q1</t>
  </si>
  <si>
    <r>
      <rPr>
        <sz val="11"/>
        <color theme="0" tint="-0.34998626667073579"/>
        <rFont val="돋움"/>
        <family val="3"/>
        <charset val="129"/>
      </rPr>
      <t xml:space="preserve">금액
</t>
    </r>
    <r>
      <rPr>
        <sz val="11"/>
        <color theme="0" tint="-0.34998626667073579"/>
        <rFont val="Arial Narrow"/>
        <family val="2"/>
      </rPr>
      <t>Amount</t>
    </r>
    <phoneticPr fontId="1" type="noConversion"/>
  </si>
  <si>
    <r>
      <rPr>
        <sz val="11"/>
        <color theme="0" tint="-0.34998626667073579"/>
        <rFont val="돋움"/>
        <family val="3"/>
        <charset val="129"/>
      </rPr>
      <t xml:space="preserve">이익율
</t>
    </r>
    <r>
      <rPr>
        <sz val="11"/>
        <color theme="0" tint="-0.34998626667073579"/>
        <rFont val="Arial Narrow"/>
        <family val="2"/>
      </rPr>
      <t>Yield</t>
    </r>
    <phoneticPr fontId="1" type="noConversion"/>
  </si>
  <si>
    <t>Q1</t>
    <phoneticPr fontId="1" type="noConversion"/>
  </si>
  <si>
    <t>2025 Q1</t>
    <phoneticPr fontId="1" type="noConversion"/>
  </si>
  <si>
    <t>d</t>
    <phoneticPr fontId="1" type="noConversion"/>
  </si>
  <si>
    <t>일반
General</t>
    <phoneticPr fontId="1" type="noConversion"/>
  </si>
  <si>
    <t>특별
Separate</t>
    <phoneticPr fontId="1" type="noConversion"/>
  </si>
  <si>
    <t>합계
Total</t>
    <phoneticPr fontId="1" type="noConversion"/>
  </si>
  <si>
    <r>
      <rPr>
        <sz val="8"/>
        <rFont val="돋움"/>
        <family val="3"/>
        <charset val="129"/>
      </rPr>
      <t>▶</t>
    </r>
    <r>
      <rPr>
        <sz val="8"/>
        <rFont val="Arial Narrow"/>
        <family val="2"/>
      </rPr>
      <t>IFRS 17 + IAS 39</t>
    </r>
    <phoneticPr fontId="1" type="noConversion"/>
  </si>
  <si>
    <t>24 Q4</t>
    <phoneticPr fontId="1" type="noConversion"/>
  </si>
  <si>
    <t>2025 Q2</t>
    <phoneticPr fontId="1" type="noConversion"/>
  </si>
  <si>
    <t>Q4</t>
    <phoneticPr fontId="1" type="noConversion"/>
  </si>
  <si>
    <t>일반계정 운용자산이익율</t>
    <phoneticPr fontId="1" type="noConversion"/>
  </si>
  <si>
    <t>Investment Yield (General Account)</t>
    <phoneticPr fontId="1" type="noConversion"/>
  </si>
  <si>
    <r>
      <t>투자수지</t>
    </r>
    <r>
      <rPr>
        <b/>
        <vertAlign val="superscript"/>
        <sz val="11"/>
        <rFont val="맑은 고딕"/>
        <family val="3"/>
        <charset val="129"/>
      </rPr>
      <t/>
    </r>
    <phoneticPr fontId="1" type="noConversion"/>
  </si>
  <si>
    <t>Yields by Asset</t>
    <phoneticPr fontId="1" type="noConversion"/>
  </si>
  <si>
    <t>Yields from invested asset</t>
    <phoneticPr fontId="1" type="noConversion"/>
  </si>
  <si>
    <t>Beginning invested asset</t>
    <phoneticPr fontId="1" type="noConversion"/>
  </si>
  <si>
    <t>Ending invested asset</t>
    <phoneticPr fontId="1" type="noConversion"/>
  </si>
  <si>
    <t>RA adjustment</t>
  </si>
  <si>
    <t>VFA 위험경감</t>
  </si>
  <si>
    <t>Risk mitigation (VFA)</t>
  </si>
  <si>
    <t>H1</t>
    <phoneticPr fontId="1" type="noConversion"/>
  </si>
  <si>
    <t>H1</t>
    <phoneticPr fontId="1" type="noConversion"/>
  </si>
  <si>
    <t>▶ 기타: 일반저축성 및 보증형IRP</t>
    <phoneticPr fontId="1" type="noConversion"/>
  </si>
  <si>
    <t>▶ 기타: 보증형 IRP 포함</t>
    <phoneticPr fontId="1" type="noConversion"/>
  </si>
  <si>
    <t xml:space="preserve">   Others: including IRP with guarantees</t>
    <phoneticPr fontId="1" type="noConversion"/>
  </si>
  <si>
    <t xml:space="preserve">   Others: non-linked savings and IRP with guarantees</t>
    <phoneticPr fontId="1" type="noConversion"/>
  </si>
  <si>
    <r>
      <rPr>
        <sz val="8"/>
        <rFont val="맑은 고딕"/>
        <family val="3"/>
        <charset val="129"/>
      </rPr>
      <t>▶ 퇴직연금 적립금 및 수수료수입은 '자산관리계약' 기준</t>
    </r>
    <phoneticPr fontId="1" type="noConversion"/>
  </si>
  <si>
    <t>DC/IRP vs. DB growth?</t>
    <phoneticPr fontId="1" type="noConversion"/>
  </si>
  <si>
    <t>Q3</t>
    <phoneticPr fontId="1" type="noConversion"/>
  </si>
  <si>
    <t>2025 Q3</t>
    <phoneticPr fontId="1" type="noConversion"/>
  </si>
  <si>
    <t>(YTD, BN KRW, %, %p)</t>
    <phoneticPr fontId="1" type="noConversion"/>
  </si>
  <si>
    <t>YTD</t>
    <phoneticPr fontId="1" type="noConversion"/>
  </si>
  <si>
    <t>YTD</t>
    <phoneticPr fontId="1" type="noConversion"/>
  </si>
  <si>
    <t>2025 Q4</t>
    <phoneticPr fontId="1" type="noConversion"/>
  </si>
  <si>
    <t>Q4</t>
    <phoneticPr fontId="1" type="noConversion"/>
  </si>
  <si>
    <t>FY</t>
    <phoneticPr fontId="1" type="noConversion"/>
  </si>
  <si>
    <t>FY</t>
    <phoneticPr fontId="1" type="noConversion"/>
  </si>
  <si>
    <t>25 Q4</t>
    <phoneticPr fontId="1" type="noConversion"/>
  </si>
  <si>
    <t>보유CSM</t>
    <phoneticPr fontId="1" type="noConversion"/>
  </si>
  <si>
    <r>
      <rPr>
        <b/>
        <sz val="11"/>
        <rFont val="Arial Narrow"/>
        <family val="2"/>
      </rPr>
      <t>잔여보장부채</t>
    </r>
    <r>
      <rPr>
        <b/>
        <sz val="11"/>
        <rFont val="Arial"/>
        <family val="2"/>
      </rPr>
      <t xml:space="preserve"> </t>
    </r>
    <r>
      <rPr>
        <b/>
        <sz val="11"/>
        <rFont val="Arial Narrow"/>
        <family val="2"/>
      </rPr>
      <t>무브먼트</t>
    </r>
    <phoneticPr fontId="1" type="noConversion"/>
  </si>
  <si>
    <t>25Q4</t>
    <phoneticPr fontId="1" type="noConversion"/>
  </si>
  <si>
    <r>
      <rPr>
        <sz val="11"/>
        <rFont val="맑은 고딕"/>
        <family val="2"/>
        <charset val="129"/>
      </rPr>
      <t>보험서비스비용</t>
    </r>
    <phoneticPr fontId="1" type="noConversion"/>
  </si>
  <si>
    <r>
      <rPr>
        <sz val="11"/>
        <rFont val="맑은 고딕"/>
        <family val="2"/>
        <charset val="129"/>
      </rPr>
      <t>보험수익</t>
    </r>
    <phoneticPr fontId="1" type="noConversion"/>
  </si>
  <si>
    <r>
      <rPr>
        <sz val="11"/>
        <rFont val="맑은 고딕"/>
        <family val="2"/>
        <charset val="129"/>
      </rPr>
      <t>보험금융비용</t>
    </r>
    <phoneticPr fontId="1" type="noConversion"/>
  </si>
  <si>
    <r>
      <rPr>
        <sz val="11"/>
        <rFont val="맑은 고딕"/>
        <family val="2"/>
        <charset val="129"/>
      </rPr>
      <t>보험금융수익</t>
    </r>
    <phoneticPr fontId="1" type="noConversion"/>
  </si>
  <si>
    <t>RA adjustment</t>
    <phoneticPr fontId="1" type="noConversion"/>
  </si>
  <si>
    <t>Adjustment of corporate share (VFA)</t>
    <phoneticPr fontId="1" type="noConversion"/>
  </si>
  <si>
    <t>VFA 위험경감</t>
    <phoneticPr fontId="1" type="noConversion"/>
  </si>
  <si>
    <t>Risk mitigation (VFA)</t>
    <phoneticPr fontId="1" type="noConversion"/>
  </si>
  <si>
    <t>이자비용(당기장부수익률)</t>
    <phoneticPr fontId="1" type="noConversion"/>
  </si>
  <si>
    <t>Interest accrued (current period book yield approach)</t>
    <phoneticPr fontId="1" type="noConversion"/>
  </si>
  <si>
    <t>▶ 변액보증헷지 파생손익 제외</t>
    <phoneticPr fontId="1" type="noConversion"/>
  </si>
  <si>
    <t xml:space="preserve">    Profit gain/loss from hedging for variable policy guarantees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</si>
</sst>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6">
    <numFmt numFmtId="41" formatCode="_-* #,##0_-;\-* #,##0_-;_-* &quot;-&quot;_-;_-@_-"/>
    <numFmt numFmtId="43" formatCode="_-* #,##0.00_-;\-* #,##0.00_-;_-* &quot;-&quot;??_-;_-@_-"/>
    <numFmt numFmtId="176" formatCode="0.0%"/>
    <numFmt numFmtId="177" formatCode="0.0%\p"/>
    <numFmt numFmtId="178" formatCode="#,##0.0_ "/>
    <numFmt numFmtId="179" formatCode="#,##0_ "/>
    <numFmt numFmtId="180" formatCode="#,##0_ &quot;bp&quot;"/>
    <numFmt numFmtId="181" formatCode="0.00%\p"/>
    <numFmt numFmtId="182" formatCode="0.0_);[Red]\(0.0\)"/>
    <numFmt numFmtId="183" formatCode="_-* #,##0.0_-;\-* #,##0.0_-;_-* &quot;-&quot;_-;_-@_-"/>
    <numFmt numFmtId="184" formatCode="###.#&quot;%&quot;"/>
    <numFmt numFmtId="185" formatCode="#,###%"/>
    <numFmt numFmtId="186" formatCode="\Q#"/>
    <numFmt numFmtId="187" formatCode="0.0"/>
    <numFmt numFmtId="188" formatCode="#,##0.00_ "/>
    <numFmt numFmtId="189" formatCode="_-* #,##0.0_-;\-* #,##0.0_-;_-* &quot;-&quot;??_-;_-@_-"/>
    <numFmt numFmtId="190" formatCode="#,###.0%"/>
    <numFmt numFmtId="191" formatCode="0.0000000000000000%"/>
    <numFmt numFmtId="192" formatCode="#,##0_);[Red]\(#,##0\)"/>
    <numFmt numFmtId="193" formatCode="#,##0.000000_ "/>
    <numFmt numFmtId="194" formatCode="#,##0.0000_ "/>
    <numFmt numFmtId="195" formatCode="_-* #,##0.000_-;\-* #,##0.000_-;_-* &quot;-&quot;_-;_-@_-"/>
    <numFmt numFmtId="196" formatCode="&quot;Q&quot;#"/>
    <numFmt numFmtId="197" formatCode="0_);[Red]\(0\)"/>
    <numFmt numFmtId="198" formatCode="#,##0.00000"/>
    <numFmt numFmtId="199" formatCode="#,##0.00000000"/>
  </numFmts>
  <fonts count="75" x14ac:knownFonts="1">
    <font>
      <sz val="11"/>
      <color theme="1"/>
      <name val="맑은 고딕"/>
      <family val="2"/>
      <charset val="129"/>
      <scheme val="minor"/>
    </font>
    <font>
      <sz val="8"/>
      <name val="맑은 고딕"/>
      <family val="2"/>
      <charset val="129"/>
      <scheme val="minor"/>
    </font>
    <font>
      <b/>
      <sz val="11"/>
      <color theme="0"/>
      <name val="맑은 고딕"/>
      <family val="3"/>
      <charset val="129"/>
      <scheme val="minor"/>
    </font>
    <font>
      <sz val="9"/>
      <color theme="1"/>
      <name val="맑은 고딕"/>
      <family val="3"/>
      <charset val="129"/>
      <scheme val="minor"/>
    </font>
    <font>
      <sz val="11"/>
      <color theme="1"/>
      <name val="Arial Narrow"/>
      <family val="2"/>
    </font>
    <font>
      <u/>
      <sz val="11"/>
      <color theme="10"/>
      <name val="맑은 고딕"/>
      <family val="2"/>
      <charset val="129"/>
      <scheme val="minor"/>
    </font>
    <font>
      <sz val="11"/>
      <color theme="1"/>
      <name val="맑은 고딕"/>
      <family val="2"/>
      <charset val="129"/>
      <scheme val="minor"/>
    </font>
    <font>
      <sz val="11"/>
      <color theme="1"/>
      <name val="돋움"/>
      <family val="3"/>
      <charset val="129"/>
    </font>
    <font>
      <sz val="8"/>
      <color rgb="FFFF0000"/>
      <name val="돋움"/>
      <family val="3"/>
      <charset val="129"/>
    </font>
    <font>
      <sz val="11"/>
      <color theme="1"/>
      <name val="맑은 고딕"/>
      <family val="3"/>
      <charset val="129"/>
    </font>
    <font>
      <b/>
      <sz val="11"/>
      <color theme="1"/>
      <name val="맑은 고딕"/>
      <family val="3"/>
      <charset val="129"/>
    </font>
    <font>
      <sz val="9"/>
      <name val="맑은 고딕"/>
      <family val="3"/>
      <charset val="129"/>
      <scheme val="minor"/>
    </font>
    <font>
      <b/>
      <sz val="11"/>
      <name val="맑은 고딕"/>
      <family val="3"/>
      <charset val="129"/>
      <scheme val="minor"/>
    </font>
    <font>
      <sz val="11"/>
      <name val="맑은 고딕"/>
      <family val="3"/>
      <charset val="129"/>
      <scheme val="minor"/>
    </font>
    <font>
      <b/>
      <sz val="11"/>
      <color theme="1"/>
      <name val="Arial Narrow"/>
      <family val="2"/>
    </font>
    <font>
      <sz val="11"/>
      <name val="돋움"/>
      <family val="3"/>
      <charset val="129"/>
    </font>
    <font>
      <sz val="8"/>
      <color theme="1"/>
      <name val="맑은 고딕"/>
      <family val="3"/>
      <charset val="129"/>
    </font>
    <font>
      <u/>
      <sz val="10"/>
      <color rgb="FF0000FF"/>
      <name val="맑은 고딕"/>
      <family val="2"/>
      <charset val="129"/>
    </font>
    <font>
      <sz val="11"/>
      <name val="맑은 고딕"/>
      <family val="3"/>
      <charset val="129"/>
    </font>
    <font>
      <sz val="11"/>
      <color rgb="FF0070C0"/>
      <name val="Arial Narrow"/>
      <family val="2"/>
    </font>
    <font>
      <sz val="11"/>
      <color rgb="FF0070C0"/>
      <name val="돋움"/>
      <family val="3"/>
      <charset val="129"/>
    </font>
    <font>
      <b/>
      <u/>
      <sz val="11"/>
      <color rgb="FFFF0000"/>
      <name val="맑은 고딕"/>
      <family val="3"/>
      <charset val="129"/>
      <scheme val="minor"/>
    </font>
    <font>
      <sz val="11"/>
      <name val="Arial Narrow"/>
      <family val="2"/>
    </font>
    <font>
      <sz val="11"/>
      <color rgb="FFFF0000"/>
      <name val="Arial Narrow"/>
      <family val="2"/>
    </font>
    <font>
      <sz val="8"/>
      <color rgb="FFFF0000"/>
      <name val="Arial Narrow"/>
      <family val="2"/>
    </font>
    <font>
      <sz val="9"/>
      <color rgb="FFFF0000"/>
      <name val="Arial Narrow"/>
      <family val="2"/>
    </font>
    <font>
      <b/>
      <sz val="11"/>
      <name val="맑은 고딕"/>
      <family val="3"/>
      <charset val="129"/>
    </font>
    <font>
      <sz val="8"/>
      <name val="맑은 고딕"/>
      <family val="3"/>
      <charset val="129"/>
    </font>
    <font>
      <sz val="8"/>
      <name val="Arial Narrow"/>
      <family val="2"/>
    </font>
    <font>
      <u/>
      <sz val="10"/>
      <color theme="10"/>
      <name val="맑은 고딕"/>
      <family val="2"/>
      <charset val="129"/>
      <scheme val="minor"/>
    </font>
    <font>
      <sz val="8"/>
      <color theme="1"/>
      <name val="Arial Narrow"/>
      <family val="2"/>
    </font>
    <font>
      <sz val="8"/>
      <name val="돋움"/>
      <family val="3"/>
      <charset val="129"/>
    </font>
    <font>
      <sz val="8"/>
      <color rgb="FFFF0000"/>
      <name val="KoPub돋움체_Pro Light"/>
      <family val="1"/>
      <charset val="129"/>
    </font>
    <font>
      <sz val="8"/>
      <color theme="1"/>
      <name val="KoPub돋움체_Pro Light"/>
      <family val="1"/>
      <charset val="129"/>
    </font>
    <font>
      <b/>
      <sz val="11"/>
      <name val="Arial Narrow"/>
      <family val="2"/>
    </font>
    <font>
      <sz val="8"/>
      <name val="KoPub돋움체_Pro Light"/>
      <family val="1"/>
      <charset val="129"/>
    </font>
    <font>
      <sz val="11"/>
      <color theme="0" tint="-0.34998626667073579"/>
      <name val="Arial Narrow"/>
      <family val="2"/>
    </font>
    <font>
      <b/>
      <sz val="11"/>
      <name val="돋움"/>
      <family val="3"/>
      <charset val="129"/>
    </font>
    <font>
      <sz val="11"/>
      <color theme="0"/>
      <name val="맑은 고딕"/>
      <family val="2"/>
      <charset val="129"/>
      <scheme val="minor"/>
    </font>
    <font>
      <sz val="11"/>
      <color rgb="FFFF0000"/>
      <name val="돋움"/>
      <family val="3"/>
      <charset val="129"/>
    </font>
    <font>
      <sz val="8"/>
      <name val="맑은 고딕"/>
      <family val="3"/>
      <charset val="129"/>
      <scheme val="minor"/>
    </font>
    <font>
      <sz val="11"/>
      <color theme="8" tint="-0.249977111117893"/>
      <name val="Arial Narrow"/>
      <family val="2"/>
    </font>
    <font>
      <sz val="11"/>
      <name val="맑은 고딕"/>
      <family val="2"/>
      <charset val="129"/>
      <scheme val="minor"/>
    </font>
    <font>
      <sz val="11"/>
      <color theme="1"/>
      <name val="굴림"/>
      <family val="2"/>
      <charset val="129"/>
    </font>
    <font>
      <sz val="11"/>
      <name val="Arial"/>
      <family val="2"/>
    </font>
    <font>
      <sz val="11"/>
      <name val="KoPub돋움체_Pro Light"/>
      <family val="1"/>
      <charset val="129"/>
    </font>
    <font>
      <sz val="11"/>
      <color theme="1"/>
      <name val="KoPub돋움체_Pro Light"/>
      <family val="1"/>
      <charset val="129"/>
    </font>
    <font>
      <sz val="11"/>
      <color rgb="FF0000FF"/>
      <name val="KoPub돋움체_Pro Light"/>
      <family val="1"/>
      <charset val="129"/>
    </font>
    <font>
      <b/>
      <sz val="11"/>
      <color theme="1"/>
      <name val="KoPub돋움체_Pro Light"/>
      <family val="1"/>
      <charset val="129"/>
    </font>
    <font>
      <b/>
      <sz val="11"/>
      <name val="KoPub돋움체_Pro Light"/>
      <family val="1"/>
      <charset val="129"/>
    </font>
    <font>
      <sz val="11"/>
      <color theme="4"/>
      <name val="맑은 고딕"/>
      <family val="3"/>
      <charset val="129"/>
    </font>
    <font>
      <b/>
      <sz val="8"/>
      <name val="맑은 고딕"/>
      <family val="3"/>
      <charset val="129"/>
    </font>
    <font>
      <sz val="11"/>
      <color theme="8" tint="-0.249977111117893"/>
      <name val="KoPub돋움체_Pro Light"/>
      <family val="1"/>
      <charset val="129"/>
    </font>
    <font>
      <b/>
      <sz val="11"/>
      <color theme="4"/>
      <name val="Arial Narrow"/>
      <family val="2"/>
    </font>
    <font>
      <b/>
      <sz val="11"/>
      <color rgb="FFFF0000"/>
      <name val="KoPub돋움체_Pro Light"/>
      <family val="1"/>
      <charset val="129"/>
    </font>
    <font>
      <sz val="11"/>
      <color rgb="FFFF0000"/>
      <name val="KoPub돋움체_Pro Light"/>
      <family val="1"/>
      <charset val="129"/>
    </font>
    <font>
      <sz val="9"/>
      <name val="KoPub돋움체_Pro Light"/>
      <family val="1"/>
      <charset val="129"/>
    </font>
    <font>
      <sz val="9"/>
      <name val="맑은 고딕"/>
      <family val="3"/>
      <charset val="129"/>
    </font>
    <font>
      <sz val="9"/>
      <color theme="1"/>
      <name val="맑은 고딕"/>
      <family val="3"/>
      <charset val="129"/>
    </font>
    <font>
      <b/>
      <sz val="11"/>
      <color theme="1"/>
      <name val="돋움"/>
      <family val="3"/>
      <charset val="129"/>
    </font>
    <font>
      <sz val="11"/>
      <color theme="0" tint="-0.34998626667073579"/>
      <name val="맑은 고딕"/>
      <family val="3"/>
      <charset val="129"/>
    </font>
    <font>
      <sz val="11"/>
      <color theme="0" tint="-0.34998626667073579"/>
      <name val="돋움"/>
      <family val="3"/>
      <charset val="129"/>
    </font>
    <font>
      <b/>
      <sz val="11"/>
      <color theme="0" tint="-0.34998626667073579"/>
      <name val="Arial Narrow"/>
      <family val="2"/>
    </font>
    <font>
      <sz val="8"/>
      <color theme="0" tint="-0.34998626667073579"/>
      <name val="돋움"/>
      <family val="3"/>
      <charset val="129"/>
    </font>
    <font>
      <b/>
      <sz val="11"/>
      <color theme="0" tint="-0.34998626667073579"/>
      <name val="돋움"/>
      <family val="3"/>
      <charset val="129"/>
    </font>
    <font>
      <b/>
      <vertAlign val="superscript"/>
      <sz val="11"/>
      <name val="맑은 고딕"/>
      <family val="3"/>
      <charset val="129"/>
    </font>
    <font>
      <sz val="11"/>
      <color theme="0" tint="-0.249977111117893"/>
      <name val="Arial Narrow"/>
      <family val="2"/>
    </font>
    <font>
      <sz val="9"/>
      <color indexed="81"/>
      <name val="Tahoma"/>
      <family val="2"/>
    </font>
    <font>
      <b/>
      <sz val="9"/>
      <color indexed="81"/>
      <name val="Tahoma"/>
      <family val="2"/>
    </font>
    <font>
      <sz val="11"/>
      <color theme="0" tint="-0.34998626667073579"/>
      <name val="KoPub돋움체_Pro Light"/>
      <family val="1"/>
      <charset val="129"/>
    </font>
    <font>
      <sz val="11"/>
      <color theme="0"/>
      <name val="Arial Narrow"/>
      <family val="2"/>
    </font>
    <font>
      <b/>
      <sz val="11"/>
      <color rgb="FFFF0000"/>
      <name val="Arial Narrow"/>
      <family val="2"/>
    </font>
    <font>
      <b/>
      <sz val="11"/>
      <name val="Arial"/>
      <family val="2"/>
    </font>
    <font>
      <sz val="11"/>
      <name val="맑은 고딕"/>
      <family val="2"/>
      <charset val="129"/>
    </font>
    <font>
      <sz val="10"/>
      <name val="Arial"/>
      <family val="2"/>
    </font>
  </fonts>
  <fills count="5">
    <fill>
      <patternFill patternType="none"/>
    </fill>
    <fill>
      <patternFill patternType="gray125"/>
    </fill>
    <fill>
      <patternFill patternType="solid">
        <fgColor rgb="FF002060"/>
        <bgColor indexed="64"/>
      </patternFill>
    </fill>
    <fill>
      <patternFill patternType="solid">
        <fgColor theme="0" tint="-0.14999847407452621"/>
        <bgColor indexed="64"/>
      </patternFill>
    </fill>
    <fill>
      <patternFill patternType="solid">
        <fgColor theme="0"/>
        <bgColor indexed="64"/>
      </patternFill>
    </fill>
  </fills>
  <borders count="16">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10">
    <xf numFmtId="0" fontId="0" fillId="0" borderId="0">
      <alignment vertical="center"/>
    </xf>
    <xf numFmtId="0" fontId="5" fillId="0" borderId="0" applyNumberFormat="0" applyFill="0" applyBorder="0" applyAlignment="0" applyProtection="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15" fillId="0" borderId="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9" fontId="43" fillId="0" borderId="0" applyFont="0" applyFill="0" applyBorder="0" applyAlignment="0" applyProtection="0">
      <alignment vertical="center"/>
    </xf>
    <xf numFmtId="0" fontId="44" fillId="0" borderId="0">
      <alignment vertical="center"/>
    </xf>
    <xf numFmtId="9" fontId="44" fillId="0" borderId="0" applyFont="0" applyFill="0" applyBorder="0" applyAlignment="0" applyProtection="0">
      <alignment vertical="center"/>
    </xf>
  </cellStyleXfs>
  <cellXfs count="899">
    <xf numFmtId="0" fontId="0" fillId="0" borderId="0" xfId="0">
      <alignment vertical="center"/>
    </xf>
    <xf numFmtId="0" fontId="2" fillId="2" borderId="0" xfId="0" applyFont="1" applyFill="1">
      <alignment vertical="center"/>
    </xf>
    <xf numFmtId="0" fontId="0" fillId="0" borderId="0" xfId="0" applyFill="1">
      <alignment vertical="center"/>
    </xf>
    <xf numFmtId="0" fontId="0" fillId="0" borderId="0" xfId="0" applyAlignment="1">
      <alignment horizontal="left" vertical="center"/>
    </xf>
    <xf numFmtId="0" fontId="0" fillId="0" borderId="11" xfId="0" applyBorder="1">
      <alignment vertical="center"/>
    </xf>
    <xf numFmtId="0" fontId="0" fillId="0" borderId="13" xfId="0" applyBorder="1">
      <alignment vertical="center"/>
    </xf>
    <xf numFmtId="0" fontId="0" fillId="0" borderId="12" xfId="0" applyBorder="1">
      <alignment vertical="center"/>
    </xf>
    <xf numFmtId="0" fontId="0" fillId="0" borderId="4" xfId="0" applyBorder="1">
      <alignment vertical="center"/>
    </xf>
    <xf numFmtId="0" fontId="0" fillId="0" borderId="0" xfId="0" applyBorder="1">
      <alignment vertical="center"/>
    </xf>
    <xf numFmtId="0" fontId="12" fillId="0" borderId="0" xfId="0" applyFont="1" applyFill="1" applyBorder="1">
      <alignment vertical="center"/>
    </xf>
    <xf numFmtId="0" fontId="0" fillId="0" borderId="5" xfId="0" applyBorder="1">
      <alignment vertical="center"/>
    </xf>
    <xf numFmtId="0" fontId="11" fillId="0" borderId="0" xfId="1" applyFont="1" applyFill="1" applyBorder="1">
      <alignment vertical="center"/>
    </xf>
    <xf numFmtId="0" fontId="13" fillId="0" borderId="0" xfId="0" applyFont="1" applyFill="1" applyBorder="1">
      <alignment vertical="center"/>
    </xf>
    <xf numFmtId="0" fontId="11" fillId="0" borderId="0" xfId="0" applyFont="1" applyFill="1" applyBorder="1">
      <alignment vertical="center"/>
    </xf>
    <xf numFmtId="0" fontId="0" fillId="0" borderId="3" xfId="0" applyBorder="1">
      <alignment vertical="center"/>
    </xf>
    <xf numFmtId="0" fontId="0" fillId="0" borderId="1" xfId="0" applyBorder="1">
      <alignment vertical="center"/>
    </xf>
    <xf numFmtId="0" fontId="0" fillId="0" borderId="15" xfId="0" applyBorder="1">
      <alignment vertical="center"/>
    </xf>
    <xf numFmtId="0" fontId="3" fillId="0" borderId="0" xfId="0" applyFont="1" applyFill="1" applyAlignment="1">
      <alignment horizontal="left" vertical="center" indent="1"/>
    </xf>
    <xf numFmtId="0" fontId="9" fillId="0" borderId="0" xfId="0" applyFont="1" applyFill="1" applyBorder="1" applyAlignment="1">
      <alignment horizontal="left" vertical="center" indent="1"/>
    </xf>
    <xf numFmtId="0" fontId="9" fillId="0" borderId="0" xfId="0" applyFont="1" applyFill="1" applyBorder="1" applyAlignment="1">
      <alignment horizontal="left" vertical="center"/>
    </xf>
    <xf numFmtId="0" fontId="9" fillId="0" borderId="1" xfId="0" applyFont="1" applyFill="1" applyBorder="1" applyAlignment="1">
      <alignment horizontal="left" vertical="center" indent="1"/>
    </xf>
    <xf numFmtId="178" fontId="4" fillId="0" borderId="13" xfId="2" applyNumberFormat="1" applyFont="1" applyFill="1" applyBorder="1">
      <alignment vertical="center"/>
    </xf>
    <xf numFmtId="0" fontId="17" fillId="3" borderId="0" xfId="1" applyFont="1" applyFill="1" applyAlignment="1">
      <alignment horizontal="left" vertical="center" indent="1"/>
    </xf>
    <xf numFmtId="0" fontId="10" fillId="0" borderId="0" xfId="0" applyFont="1" applyFill="1" applyBorder="1" applyAlignment="1">
      <alignment horizontal="left" vertical="center"/>
    </xf>
    <xf numFmtId="0" fontId="10" fillId="0" borderId="13" xfId="0" applyFont="1" applyFill="1" applyBorder="1" applyAlignment="1">
      <alignment horizontal="left" vertical="center"/>
    </xf>
    <xf numFmtId="176" fontId="4" fillId="0" borderId="2" xfId="3" applyNumberFormat="1" applyFont="1" applyFill="1" applyBorder="1">
      <alignment vertical="center"/>
    </xf>
    <xf numFmtId="176" fontId="4" fillId="0" borderId="8" xfId="3" applyNumberFormat="1" applyFont="1" applyFill="1" applyBorder="1">
      <alignment vertical="center"/>
    </xf>
    <xf numFmtId="178" fontId="4" fillId="0" borderId="8" xfId="2" applyNumberFormat="1" applyFont="1" applyFill="1" applyBorder="1">
      <alignment vertical="center"/>
    </xf>
    <xf numFmtId="178" fontId="4" fillId="0" borderId="7" xfId="2" applyNumberFormat="1" applyFont="1" applyFill="1" applyBorder="1">
      <alignment vertical="center"/>
    </xf>
    <xf numFmtId="178" fontId="14" fillId="0" borderId="2" xfId="2" applyNumberFormat="1" applyFont="1" applyFill="1" applyBorder="1">
      <alignment vertical="center"/>
    </xf>
    <xf numFmtId="178" fontId="4" fillId="0" borderId="6" xfId="2" applyNumberFormat="1" applyFont="1" applyFill="1" applyBorder="1">
      <alignment vertical="center"/>
    </xf>
    <xf numFmtId="178" fontId="14" fillId="0" borderId="6" xfId="2" applyNumberFormat="1" applyFont="1" applyFill="1" applyBorder="1">
      <alignment vertical="center"/>
    </xf>
    <xf numFmtId="178" fontId="4" fillId="0" borderId="0" xfId="2" applyNumberFormat="1" applyFont="1" applyFill="1" applyBorder="1">
      <alignment vertical="center"/>
    </xf>
    <xf numFmtId="176" fontId="4" fillId="0" borderId="0" xfId="3" applyNumberFormat="1" applyFont="1" applyFill="1" applyBorder="1">
      <alignment vertical="center"/>
    </xf>
    <xf numFmtId="0" fontId="9" fillId="0" borderId="0" xfId="0" applyFont="1" applyFill="1">
      <alignment vertical="center"/>
    </xf>
    <xf numFmtId="0" fontId="4" fillId="0" borderId="0" xfId="0" applyFont="1" applyFill="1">
      <alignment vertical="center"/>
    </xf>
    <xf numFmtId="0" fontId="4" fillId="0" borderId="0" xfId="0" applyFont="1" applyFill="1" applyAlignment="1">
      <alignment horizontal="center" vertical="center"/>
    </xf>
    <xf numFmtId="0" fontId="4" fillId="0" borderId="13" xfId="0" applyFont="1" applyFill="1" applyBorder="1">
      <alignment vertical="center"/>
    </xf>
    <xf numFmtId="0" fontId="4" fillId="0" borderId="7" xfId="0" applyFont="1" applyFill="1" applyBorder="1" applyAlignment="1">
      <alignment horizontal="center" vertical="center" wrapText="1"/>
    </xf>
    <xf numFmtId="178" fontId="14" fillId="0" borderId="7" xfId="2" applyNumberFormat="1" applyFont="1" applyFill="1" applyBorder="1">
      <alignment vertical="center"/>
    </xf>
    <xf numFmtId="0" fontId="4" fillId="0" borderId="0" xfId="0" applyFont="1" applyFill="1" applyBorder="1">
      <alignment vertical="center"/>
    </xf>
    <xf numFmtId="176" fontId="4" fillId="0" borderId="7" xfId="3" applyNumberFormat="1" applyFont="1" applyFill="1" applyBorder="1">
      <alignment vertical="center"/>
    </xf>
    <xf numFmtId="176" fontId="14" fillId="0" borderId="6" xfId="3" applyNumberFormat="1" applyFont="1" applyFill="1" applyBorder="1">
      <alignment vertical="center"/>
    </xf>
    <xf numFmtId="179" fontId="4" fillId="0" borderId="7" xfId="2" applyNumberFormat="1" applyFont="1" applyFill="1" applyBorder="1">
      <alignment vertical="center"/>
    </xf>
    <xf numFmtId="176" fontId="14" fillId="0" borderId="2" xfId="3" applyNumberFormat="1" applyFont="1" applyFill="1" applyBorder="1">
      <alignment vertical="center"/>
    </xf>
    <xf numFmtId="176" fontId="4" fillId="0" borderId="6" xfId="3" applyNumberFormat="1" applyFont="1" applyFill="1" applyBorder="1">
      <alignment vertical="center"/>
    </xf>
    <xf numFmtId="178" fontId="4" fillId="0" borderId="2" xfId="2" applyNumberFormat="1" applyFont="1" applyFill="1" applyBorder="1">
      <alignment vertical="center"/>
    </xf>
    <xf numFmtId="176" fontId="14" fillId="0" borderId="7" xfId="3" applyNumberFormat="1" applyFont="1" applyFill="1" applyBorder="1">
      <alignment vertical="center"/>
    </xf>
    <xf numFmtId="0" fontId="9" fillId="0" borderId="0" xfId="0" applyFont="1" applyFill="1" applyBorder="1">
      <alignment vertical="center"/>
    </xf>
    <xf numFmtId="0" fontId="21" fillId="0" borderId="0" xfId="0" applyFont="1">
      <alignment vertical="center"/>
    </xf>
    <xf numFmtId="0" fontId="19" fillId="0" borderId="2" xfId="0" applyFont="1" applyFill="1" applyBorder="1" applyAlignment="1">
      <alignment horizontal="center" vertical="center"/>
    </xf>
    <xf numFmtId="0" fontId="4" fillId="0" borderId="4" xfId="0" applyFont="1" applyFill="1" applyBorder="1">
      <alignment vertical="center"/>
    </xf>
    <xf numFmtId="176" fontId="4" fillId="0" borderId="0" xfId="3" applyNumberFormat="1" applyFont="1" applyFill="1" applyAlignment="1">
      <alignment horizontal="center" vertical="center"/>
    </xf>
    <xf numFmtId="178" fontId="4" fillId="0" borderId="0" xfId="2" applyNumberFormat="1" applyFont="1" applyFill="1" applyBorder="1" applyAlignment="1">
      <alignment horizontal="center" vertical="center"/>
    </xf>
    <xf numFmtId="176" fontId="22" fillId="0" borderId="8" xfId="3" applyNumberFormat="1" applyFont="1" applyFill="1" applyBorder="1">
      <alignment vertical="center"/>
    </xf>
    <xf numFmtId="0" fontId="23" fillId="0" borderId="0" xfId="0" applyFont="1" applyFill="1">
      <alignment vertical="center"/>
    </xf>
    <xf numFmtId="178" fontId="14" fillId="0" borderId="4" xfId="2" applyNumberFormat="1" applyFont="1" applyFill="1" applyBorder="1">
      <alignment vertical="center"/>
    </xf>
    <xf numFmtId="0" fontId="19" fillId="0" borderId="0" xfId="0" applyFont="1" applyFill="1" applyBorder="1" applyAlignment="1">
      <alignment horizontal="center" vertical="center"/>
    </xf>
    <xf numFmtId="178" fontId="14" fillId="0" borderId="0" xfId="2" applyNumberFormat="1" applyFont="1" applyFill="1" applyBorder="1">
      <alignment vertical="center"/>
    </xf>
    <xf numFmtId="176" fontId="14" fillId="0" borderId="0" xfId="3" applyNumberFormat="1" applyFont="1" applyFill="1" applyBorder="1" applyAlignment="1">
      <alignment horizontal="right" vertical="center"/>
    </xf>
    <xf numFmtId="0" fontId="18" fillId="0" borderId="0" xfId="0" applyFont="1" applyFill="1" applyBorder="1" applyAlignment="1">
      <alignment horizontal="left" vertical="center"/>
    </xf>
    <xf numFmtId="0" fontId="18" fillId="0" borderId="0" xfId="0" applyFont="1" applyFill="1">
      <alignment vertical="center"/>
    </xf>
    <xf numFmtId="176" fontId="14" fillId="0" borderId="0" xfId="3" applyNumberFormat="1" applyFont="1" applyFill="1">
      <alignment vertical="center"/>
    </xf>
    <xf numFmtId="41" fontId="14" fillId="0" borderId="0" xfId="2" applyFont="1" applyFill="1">
      <alignment vertical="center"/>
    </xf>
    <xf numFmtId="178" fontId="14" fillId="0" borderId="6" xfId="0" applyNumberFormat="1" applyFont="1" applyFill="1" applyBorder="1">
      <alignment vertical="center"/>
    </xf>
    <xf numFmtId="176" fontId="14" fillId="0" borderId="12" xfId="3" applyNumberFormat="1" applyFont="1" applyFill="1" applyBorder="1">
      <alignment vertical="center"/>
    </xf>
    <xf numFmtId="176" fontId="14" fillId="0" borderId="5" xfId="3" applyNumberFormat="1" applyFont="1" applyFill="1" applyBorder="1">
      <alignment vertical="center"/>
    </xf>
    <xf numFmtId="176" fontId="4" fillId="0" borderId="5" xfId="3" applyNumberFormat="1" applyFont="1" applyFill="1" applyBorder="1">
      <alignment vertical="center"/>
    </xf>
    <xf numFmtId="0" fontId="22" fillId="0" borderId="0" xfId="0" applyFont="1" applyFill="1" applyBorder="1">
      <alignment vertical="center"/>
    </xf>
    <xf numFmtId="183" fontId="22" fillId="0" borderId="8" xfId="2" applyNumberFormat="1" applyFont="1" applyFill="1" applyBorder="1">
      <alignment vertical="center"/>
    </xf>
    <xf numFmtId="178" fontId="22" fillId="0" borderId="8" xfId="2" applyNumberFormat="1" applyFont="1" applyFill="1" applyBorder="1">
      <alignment vertical="center"/>
    </xf>
    <xf numFmtId="176" fontId="14" fillId="0" borderId="14" xfId="3" applyNumberFormat="1" applyFont="1" applyFill="1" applyBorder="1">
      <alignment vertical="center"/>
    </xf>
    <xf numFmtId="176" fontId="4" fillId="0" borderId="15" xfId="3" applyNumberFormat="1" applyFont="1" applyFill="1" applyBorder="1">
      <alignment vertical="center"/>
    </xf>
    <xf numFmtId="0" fontId="4" fillId="0" borderId="0" xfId="0" applyFont="1" applyFill="1" applyBorder="1" applyAlignment="1">
      <alignment horizontal="left" vertical="center" indent="1"/>
    </xf>
    <xf numFmtId="176" fontId="4" fillId="0" borderId="0" xfId="0" applyNumberFormat="1" applyFont="1" applyFill="1" applyBorder="1">
      <alignment vertical="center"/>
    </xf>
    <xf numFmtId="0" fontId="4" fillId="0" borderId="4" xfId="0" applyFont="1" applyFill="1" applyBorder="1" applyAlignment="1">
      <alignment horizontal="center" vertical="center"/>
    </xf>
    <xf numFmtId="0" fontId="25" fillId="0" borderId="0" xfId="0" applyFont="1" applyFill="1" applyBorder="1" applyAlignment="1">
      <alignment horizontal="right" vertical="center"/>
    </xf>
    <xf numFmtId="0" fontId="18" fillId="0" borderId="0" xfId="0" applyFont="1" applyFill="1" applyBorder="1" applyAlignment="1">
      <alignment horizontal="left" vertical="center" indent="1"/>
    </xf>
    <xf numFmtId="0" fontId="26" fillId="0" borderId="0" xfId="0" applyFont="1" applyFill="1">
      <alignment vertical="center"/>
    </xf>
    <xf numFmtId="0" fontId="27" fillId="0" borderId="0" xfId="0" applyFont="1" applyFill="1">
      <alignment vertical="center"/>
    </xf>
    <xf numFmtId="0" fontId="18" fillId="0" borderId="0" xfId="0" applyFont="1" applyFill="1" applyAlignment="1">
      <alignment horizontal="center" vertical="center"/>
    </xf>
    <xf numFmtId="0" fontId="18" fillId="0" borderId="0" xfId="0" applyFont="1" applyFill="1" applyAlignment="1">
      <alignment horizontal="left" vertical="center"/>
    </xf>
    <xf numFmtId="0" fontId="18" fillId="0" borderId="1" xfId="0" applyFont="1" applyFill="1" applyBorder="1" applyAlignment="1">
      <alignment horizontal="center" vertical="center"/>
    </xf>
    <xf numFmtId="0" fontId="18" fillId="0" borderId="13" xfId="0" applyFont="1" applyFill="1" applyBorder="1">
      <alignment vertical="center"/>
    </xf>
    <xf numFmtId="0" fontId="18" fillId="0" borderId="0" xfId="0" applyFont="1" applyFill="1" applyBorder="1">
      <alignment vertical="center"/>
    </xf>
    <xf numFmtId="0" fontId="18" fillId="0" borderId="13" xfId="0" applyFont="1" applyFill="1" applyBorder="1" applyAlignment="1">
      <alignment horizontal="left" vertical="center"/>
    </xf>
    <xf numFmtId="0" fontId="18" fillId="0" borderId="1" xfId="0" applyFont="1" applyFill="1" applyBorder="1" applyAlignment="1">
      <alignment horizontal="left" vertical="center"/>
    </xf>
    <xf numFmtId="0" fontId="18" fillId="0" borderId="1" xfId="0" applyFont="1" applyFill="1" applyBorder="1" applyAlignment="1">
      <alignment horizontal="left" vertical="center" indent="1"/>
    </xf>
    <xf numFmtId="0" fontId="18" fillId="0" borderId="13" xfId="0" applyFont="1" applyFill="1" applyBorder="1" applyAlignment="1">
      <alignment horizontal="left" vertical="center" indent="1"/>
    </xf>
    <xf numFmtId="0" fontId="26" fillId="0" borderId="0" xfId="0" applyFont="1" applyFill="1" applyAlignment="1">
      <alignment horizontal="left" vertical="center" indent="1"/>
    </xf>
    <xf numFmtId="0" fontId="27" fillId="0" borderId="0" xfId="0" applyFont="1" applyFill="1" applyBorder="1" applyAlignment="1">
      <alignment horizontal="left" vertical="center"/>
    </xf>
    <xf numFmtId="0" fontId="29" fillId="3" borderId="0" xfId="1" applyFont="1" applyFill="1" applyAlignment="1">
      <alignment horizontal="left" vertical="center" indent="1"/>
    </xf>
    <xf numFmtId="176" fontId="4" fillId="0" borderId="13" xfId="3" applyNumberFormat="1" applyFont="1" applyFill="1" applyBorder="1">
      <alignment vertical="center"/>
    </xf>
    <xf numFmtId="177" fontId="4" fillId="0" borderId="8" xfId="3" applyNumberFormat="1" applyFont="1" applyFill="1" applyBorder="1">
      <alignment vertical="center"/>
    </xf>
    <xf numFmtId="176" fontId="4" fillId="0" borderId="4" xfId="3" applyNumberFormat="1" applyFont="1" applyFill="1" applyBorder="1">
      <alignment vertical="center"/>
    </xf>
    <xf numFmtId="177" fontId="4" fillId="0" borderId="7" xfId="3" applyNumberFormat="1" applyFont="1" applyFill="1" applyBorder="1">
      <alignment vertical="center"/>
    </xf>
    <xf numFmtId="179" fontId="4" fillId="0" borderId="4" xfId="0" applyNumberFormat="1" applyFont="1" applyFill="1" applyBorder="1">
      <alignment vertical="center"/>
    </xf>
    <xf numFmtId="0" fontId="4" fillId="0" borderId="2"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19" fillId="0" borderId="2" xfId="0" applyFont="1" applyFill="1" applyBorder="1" applyAlignment="1">
      <alignment horizontal="center" vertical="center" wrapText="1"/>
    </xf>
    <xf numFmtId="179" fontId="14" fillId="0" borderId="8" xfId="2" applyNumberFormat="1" applyFont="1" applyFill="1" applyBorder="1">
      <alignment vertical="center"/>
    </xf>
    <xf numFmtId="179" fontId="14" fillId="0" borderId="4" xfId="0" applyNumberFormat="1" applyFont="1" applyFill="1" applyBorder="1">
      <alignment vertical="center"/>
    </xf>
    <xf numFmtId="179" fontId="4" fillId="0" borderId="8" xfId="2" applyNumberFormat="1" applyFont="1" applyFill="1" applyBorder="1">
      <alignment vertical="center"/>
    </xf>
    <xf numFmtId="0" fontId="4" fillId="0" borderId="10" xfId="0" applyFont="1" applyFill="1" applyBorder="1" applyAlignment="1">
      <alignment horizontal="center" vertical="center" wrapText="1"/>
    </xf>
    <xf numFmtId="41" fontId="4" fillId="0" borderId="0" xfId="2" applyFont="1" applyFill="1" applyBorder="1">
      <alignment vertical="center"/>
    </xf>
    <xf numFmtId="0" fontId="10" fillId="0" borderId="0" xfId="0" applyFont="1" applyFill="1">
      <alignment vertical="center"/>
    </xf>
    <xf numFmtId="0" fontId="16" fillId="0" borderId="0" xfId="0" applyFont="1" applyFill="1">
      <alignment vertical="center"/>
    </xf>
    <xf numFmtId="0" fontId="9" fillId="0" borderId="0" xfId="0" applyFont="1" applyFill="1" applyAlignment="1">
      <alignment horizontal="center" vertical="center"/>
    </xf>
    <xf numFmtId="0" fontId="9" fillId="0" borderId="0" xfId="0" applyFont="1" applyFill="1" applyAlignment="1">
      <alignment horizontal="left" vertical="center"/>
    </xf>
    <xf numFmtId="0" fontId="4" fillId="0" borderId="0" xfId="0" applyFont="1" applyFill="1" applyAlignment="1">
      <alignment horizontal="left" vertical="center"/>
    </xf>
    <xf numFmtId="0" fontId="14" fillId="0" borderId="10" xfId="0" applyFont="1" applyFill="1" applyBorder="1">
      <alignment vertical="center"/>
    </xf>
    <xf numFmtId="0" fontId="14" fillId="0" borderId="4" xfId="0" applyFont="1" applyFill="1" applyBorder="1">
      <alignment vertical="center"/>
    </xf>
    <xf numFmtId="0" fontId="14" fillId="0" borderId="0" xfId="0" applyFont="1" applyFill="1">
      <alignment vertical="center"/>
    </xf>
    <xf numFmtId="0" fontId="9" fillId="0" borderId="0" xfId="0" applyFont="1" applyFill="1" applyAlignment="1">
      <alignment horizontal="left" vertical="center" indent="1"/>
    </xf>
    <xf numFmtId="0" fontId="4" fillId="0" borderId="0" xfId="0" applyFont="1" applyFill="1" applyAlignment="1">
      <alignment horizontal="left" vertical="center" indent="1"/>
    </xf>
    <xf numFmtId="0" fontId="9" fillId="0" borderId="13" xfId="0" applyFont="1" applyFill="1" applyBorder="1" applyAlignment="1">
      <alignment horizontal="left" vertical="center" indent="1"/>
    </xf>
    <xf numFmtId="0" fontId="4" fillId="0" borderId="13" xfId="0" applyFont="1" applyFill="1" applyBorder="1" applyAlignment="1">
      <alignment horizontal="left" vertical="center" indent="1"/>
    </xf>
    <xf numFmtId="0" fontId="14" fillId="0" borderId="13" xfId="0" applyFont="1" applyFill="1" applyBorder="1">
      <alignment vertical="center"/>
    </xf>
    <xf numFmtId="0" fontId="14" fillId="0" borderId="1" xfId="0" applyFont="1" applyFill="1" applyBorder="1">
      <alignment vertical="center"/>
    </xf>
    <xf numFmtId="0" fontId="8" fillId="0" borderId="0" xfId="0" applyFont="1" applyFill="1" applyBorder="1" applyAlignment="1">
      <alignment horizontal="right" vertical="center"/>
    </xf>
    <xf numFmtId="0" fontId="4" fillId="0" borderId="1" xfId="0" applyFont="1" applyFill="1" applyBorder="1" applyAlignment="1">
      <alignment horizontal="left" vertical="center" indent="1"/>
    </xf>
    <xf numFmtId="177" fontId="14" fillId="0" borderId="2" xfId="3" applyNumberFormat="1" applyFont="1" applyFill="1" applyBorder="1">
      <alignment vertical="center"/>
    </xf>
    <xf numFmtId="9" fontId="4" fillId="0" borderId="0" xfId="3" applyFont="1" applyFill="1" applyAlignment="1">
      <alignment horizontal="center" vertical="center"/>
    </xf>
    <xf numFmtId="0" fontId="9" fillId="0" borderId="1" xfId="0" applyFont="1" applyFill="1" applyBorder="1" applyAlignment="1">
      <alignment horizontal="center" vertical="center"/>
    </xf>
    <xf numFmtId="0" fontId="10" fillId="0" borderId="13" xfId="0" applyFont="1" applyFill="1" applyBorder="1">
      <alignment vertical="center"/>
    </xf>
    <xf numFmtId="176" fontId="4" fillId="0" borderId="0" xfId="3" applyNumberFormat="1" applyFont="1" applyFill="1">
      <alignment vertical="center"/>
    </xf>
    <xf numFmtId="0" fontId="14" fillId="0" borderId="13" xfId="0" applyFont="1" applyFill="1" applyBorder="1" applyAlignment="1">
      <alignment horizontal="left" vertical="center"/>
    </xf>
    <xf numFmtId="0" fontId="9" fillId="0" borderId="0" xfId="0" applyFont="1" applyFill="1" applyBorder="1" applyAlignment="1">
      <alignment horizontal="left" vertical="center" indent="2"/>
    </xf>
    <xf numFmtId="0" fontId="4" fillId="0" borderId="0" xfId="0" applyFont="1" applyFill="1" applyBorder="1" applyAlignment="1">
      <alignment horizontal="left" vertical="center" indent="2"/>
    </xf>
    <xf numFmtId="178" fontId="4" fillId="0" borderId="0" xfId="0" applyNumberFormat="1" applyFont="1" applyFill="1">
      <alignment vertical="center"/>
    </xf>
    <xf numFmtId="0" fontId="8" fillId="0" borderId="13" xfId="0" applyFont="1" applyFill="1" applyBorder="1" applyAlignment="1">
      <alignment horizontal="right" vertical="center"/>
    </xf>
    <xf numFmtId="0" fontId="4" fillId="0" borderId="1" xfId="0" applyFont="1" applyFill="1" applyBorder="1">
      <alignment vertical="center"/>
    </xf>
    <xf numFmtId="0" fontId="4" fillId="0" borderId="10" xfId="0" applyFont="1" applyFill="1" applyBorder="1">
      <alignment vertical="center"/>
    </xf>
    <xf numFmtId="0" fontId="14" fillId="0" borderId="0" xfId="0" applyFont="1" applyFill="1" applyBorder="1">
      <alignment vertical="center"/>
    </xf>
    <xf numFmtId="176" fontId="14" fillId="0" borderId="4" xfId="3" applyNumberFormat="1" applyFont="1" applyFill="1" applyBorder="1">
      <alignment vertical="center"/>
    </xf>
    <xf numFmtId="0" fontId="26" fillId="0" borderId="10" xfId="0" applyFont="1" applyFill="1" applyBorder="1" applyAlignment="1">
      <alignment horizontal="left" vertical="center"/>
    </xf>
    <xf numFmtId="0" fontId="18" fillId="0" borderId="0" xfId="0" applyFont="1" applyFill="1" applyBorder="1" applyAlignment="1">
      <alignment horizontal="left" vertical="center" indent="2"/>
    </xf>
    <xf numFmtId="0" fontId="26" fillId="0" borderId="1" xfId="0" applyFont="1" applyFill="1" applyBorder="1" applyAlignment="1">
      <alignment horizontal="left" vertical="center"/>
    </xf>
    <xf numFmtId="0" fontId="9" fillId="0" borderId="13" xfId="0" applyFont="1" applyFill="1" applyBorder="1">
      <alignment vertical="center"/>
    </xf>
    <xf numFmtId="0" fontId="14" fillId="0" borderId="10" xfId="0" applyFont="1" applyFill="1" applyBorder="1" applyAlignment="1">
      <alignment horizontal="left" vertical="center"/>
    </xf>
    <xf numFmtId="10" fontId="14" fillId="0" borderId="2" xfId="3" applyNumberFormat="1" applyFont="1" applyFill="1" applyBorder="1">
      <alignment vertical="center"/>
    </xf>
    <xf numFmtId="0" fontId="22" fillId="0" borderId="0" xfId="0" applyFont="1" applyFill="1">
      <alignment vertical="center"/>
    </xf>
    <xf numFmtId="0" fontId="28" fillId="0" borderId="0" xfId="0" applyFont="1" applyFill="1">
      <alignment vertical="center"/>
    </xf>
    <xf numFmtId="0" fontId="22" fillId="0" borderId="0" xfId="0" applyFont="1" applyFill="1" applyAlignment="1">
      <alignment horizontal="center" vertical="center"/>
    </xf>
    <xf numFmtId="0" fontId="19" fillId="0" borderId="0" xfId="0" applyFont="1" applyFill="1" applyAlignment="1">
      <alignment horizontal="left" vertical="center"/>
    </xf>
    <xf numFmtId="0" fontId="19" fillId="0" borderId="1" xfId="0" applyFont="1" applyFill="1" applyBorder="1" applyAlignment="1">
      <alignment horizontal="center" vertical="center"/>
    </xf>
    <xf numFmtId="0" fontId="26" fillId="0" borderId="10" xfId="0" applyFont="1" applyFill="1" applyBorder="1">
      <alignment vertical="center"/>
    </xf>
    <xf numFmtId="0" fontId="26" fillId="0" borderId="0" xfId="0" applyFont="1" applyFill="1" applyBorder="1" applyAlignment="1">
      <alignment horizontal="left" vertical="center"/>
    </xf>
    <xf numFmtId="0" fontId="18" fillId="0" borderId="11" xfId="0" applyFont="1" applyFill="1" applyBorder="1" applyAlignment="1">
      <alignment horizontal="left" vertical="center"/>
    </xf>
    <xf numFmtId="0" fontId="18" fillId="0" borderId="4" xfId="0" applyFont="1" applyFill="1" applyBorder="1" applyAlignment="1">
      <alignment horizontal="left" vertical="center"/>
    </xf>
    <xf numFmtId="0" fontId="18" fillId="0" borderId="3" xfId="0" applyFont="1" applyFill="1" applyBorder="1" applyAlignment="1">
      <alignment horizontal="left" vertical="center"/>
    </xf>
    <xf numFmtId="178" fontId="14" fillId="0" borderId="14" xfId="2" applyNumberFormat="1" applyFont="1" applyFill="1" applyBorder="1">
      <alignment vertical="center"/>
    </xf>
    <xf numFmtId="178" fontId="4" fillId="0" borderId="5" xfId="2" applyNumberFormat="1" applyFont="1" applyFill="1" applyBorder="1">
      <alignment vertical="center"/>
    </xf>
    <xf numFmtId="178" fontId="14" fillId="0" borderId="12" xfId="2" applyNumberFormat="1" applyFont="1" applyFill="1" applyBorder="1">
      <alignment vertical="center"/>
    </xf>
    <xf numFmtId="179" fontId="14" fillId="0" borderId="0" xfId="0" applyNumberFormat="1" applyFont="1" applyFill="1" applyBorder="1">
      <alignment vertical="center"/>
    </xf>
    <xf numFmtId="179" fontId="4" fillId="0" borderId="0" xfId="0" applyNumberFormat="1" applyFont="1" applyFill="1" applyBorder="1">
      <alignment vertical="center"/>
    </xf>
    <xf numFmtId="0" fontId="4" fillId="0" borderId="11" xfId="0" applyFont="1" applyFill="1" applyBorder="1">
      <alignment vertical="center"/>
    </xf>
    <xf numFmtId="0" fontId="19" fillId="0" borderId="3" xfId="0" applyFont="1" applyFill="1" applyBorder="1" applyAlignment="1">
      <alignment horizontal="center" vertical="center" wrapText="1"/>
    </xf>
    <xf numFmtId="0" fontId="7" fillId="0" borderId="0" xfId="0" applyFont="1" applyFill="1">
      <alignment vertical="center"/>
    </xf>
    <xf numFmtId="178" fontId="14" fillId="0" borderId="9" xfId="2" applyNumberFormat="1" applyFont="1" applyFill="1" applyBorder="1">
      <alignment vertical="center"/>
    </xf>
    <xf numFmtId="176" fontId="4" fillId="0" borderId="0" xfId="3" applyNumberFormat="1" applyFont="1" applyFill="1" applyBorder="1" applyAlignment="1">
      <alignment horizontal="right" vertical="center"/>
    </xf>
    <xf numFmtId="176" fontId="14" fillId="0" borderId="2" xfId="3" applyNumberFormat="1" applyFont="1" applyFill="1" applyBorder="1" applyAlignment="1">
      <alignment horizontal="right" vertical="center"/>
    </xf>
    <xf numFmtId="176" fontId="4" fillId="0" borderId="8" xfId="3" applyNumberFormat="1" applyFont="1" applyFill="1" applyBorder="1" applyAlignment="1">
      <alignment horizontal="right" vertical="center"/>
    </xf>
    <xf numFmtId="176" fontId="14" fillId="0" borderId="6" xfId="3" applyNumberFormat="1" applyFont="1" applyFill="1" applyBorder="1" applyAlignment="1">
      <alignment horizontal="right" vertical="center"/>
    </xf>
    <xf numFmtId="0" fontId="28" fillId="0" borderId="13" xfId="0" applyFont="1" applyFill="1" applyBorder="1" applyAlignment="1">
      <alignment horizontal="left" vertical="center"/>
    </xf>
    <xf numFmtId="178" fontId="22" fillId="0" borderId="7" xfId="2" applyNumberFormat="1" applyFont="1" applyFill="1" applyBorder="1">
      <alignment vertical="center"/>
    </xf>
    <xf numFmtId="0" fontId="30" fillId="0" borderId="0" xfId="0" applyFont="1" applyFill="1" applyBorder="1">
      <alignment vertical="center"/>
    </xf>
    <xf numFmtId="0" fontId="24" fillId="0" borderId="0" xfId="0" applyFont="1" applyFill="1" applyBorder="1" applyAlignment="1">
      <alignment horizontal="right" vertical="center"/>
    </xf>
    <xf numFmtId="3" fontId="4" fillId="0" borderId="0" xfId="0" applyNumberFormat="1" applyFont="1" applyFill="1">
      <alignment vertical="center"/>
    </xf>
    <xf numFmtId="3" fontId="4" fillId="0" borderId="0" xfId="0" applyNumberFormat="1" applyFont="1" applyFill="1" applyBorder="1">
      <alignment vertical="center"/>
    </xf>
    <xf numFmtId="10" fontId="22" fillId="0" borderId="7" xfId="3" applyNumberFormat="1" applyFont="1" applyFill="1" applyBorder="1">
      <alignment vertical="center"/>
    </xf>
    <xf numFmtId="176" fontId="14" fillId="0" borderId="9" xfId="3" applyNumberFormat="1" applyFont="1" applyFill="1" applyBorder="1" applyAlignment="1">
      <alignment horizontal="right" vertical="center"/>
    </xf>
    <xf numFmtId="176" fontId="4" fillId="0" borderId="4" xfId="3" applyNumberFormat="1" applyFont="1" applyFill="1" applyBorder="1" applyAlignment="1">
      <alignment horizontal="right" vertical="center"/>
    </xf>
    <xf numFmtId="176" fontId="14" fillId="0" borderId="11" xfId="3" applyNumberFormat="1" applyFont="1" applyFill="1" applyBorder="1" applyAlignment="1">
      <alignment horizontal="right" vertical="center"/>
    </xf>
    <xf numFmtId="176" fontId="14" fillId="0" borderId="4" xfId="3" applyNumberFormat="1" applyFont="1" applyFill="1" applyBorder="1" applyAlignment="1">
      <alignment horizontal="right" vertical="center"/>
    </xf>
    <xf numFmtId="176" fontId="14" fillId="0" borderId="9" xfId="3" applyNumberFormat="1" applyFont="1" applyFill="1" applyBorder="1">
      <alignment vertical="center"/>
    </xf>
    <xf numFmtId="178" fontId="4" fillId="0" borderId="8" xfId="2" applyNumberFormat="1" applyFont="1" applyFill="1" applyBorder="1" applyAlignment="1">
      <alignment horizontal="center" vertical="center"/>
    </xf>
    <xf numFmtId="178" fontId="14" fillId="0" borderId="0" xfId="0" applyNumberFormat="1" applyFont="1" applyFill="1">
      <alignment vertical="center"/>
    </xf>
    <xf numFmtId="178" fontId="4" fillId="0" borderId="15" xfId="2" applyNumberFormat="1" applyFont="1" applyFill="1" applyBorder="1">
      <alignment vertical="center"/>
    </xf>
    <xf numFmtId="178" fontId="22" fillId="0" borderId="5" xfId="2" applyNumberFormat="1" applyFont="1" applyFill="1" applyBorder="1">
      <alignment vertical="center"/>
    </xf>
    <xf numFmtId="178" fontId="22" fillId="0" borderId="15" xfId="2" applyNumberFormat="1" applyFont="1" applyFill="1" applyBorder="1">
      <alignment vertical="center"/>
    </xf>
    <xf numFmtId="176" fontId="22" fillId="0" borderId="7" xfId="3" applyNumberFormat="1" applyFont="1" applyFill="1" applyBorder="1">
      <alignment vertical="center"/>
    </xf>
    <xf numFmtId="0" fontId="22" fillId="0" borderId="0" xfId="0" applyFont="1" applyFill="1" applyBorder="1" applyAlignment="1">
      <alignment horizontal="center" vertical="center"/>
    </xf>
    <xf numFmtId="41" fontId="14" fillId="0" borderId="0" xfId="2" applyFont="1" applyFill="1" applyAlignment="1">
      <alignment horizontal="left" vertical="center"/>
    </xf>
    <xf numFmtId="183" fontId="14" fillId="0" borderId="0" xfId="2" applyNumberFormat="1" applyFont="1" applyFill="1" applyAlignment="1">
      <alignment horizontal="left" vertical="center"/>
    </xf>
    <xf numFmtId="178" fontId="14" fillId="0" borderId="2" xfId="0" applyNumberFormat="1" applyFont="1" applyFill="1" applyBorder="1">
      <alignment vertical="center"/>
    </xf>
    <xf numFmtId="0" fontId="22" fillId="0" borderId="2" xfId="0" applyFont="1" applyFill="1" applyBorder="1" applyAlignment="1">
      <alignment horizontal="center" vertical="center"/>
    </xf>
    <xf numFmtId="0" fontId="22" fillId="0" borderId="15" xfId="0" applyFont="1" applyFill="1" applyBorder="1" applyAlignment="1">
      <alignment horizontal="center" vertical="center"/>
    </xf>
    <xf numFmtId="178" fontId="34" fillId="0" borderId="8" xfId="2" applyNumberFormat="1" applyFont="1" applyFill="1" applyBorder="1">
      <alignment vertical="center"/>
    </xf>
    <xf numFmtId="9" fontId="34" fillId="0" borderId="8" xfId="3" applyFont="1" applyFill="1" applyBorder="1">
      <alignment vertical="center"/>
    </xf>
    <xf numFmtId="9" fontId="22" fillId="0" borderId="8" xfId="3" applyFont="1" applyFill="1" applyBorder="1">
      <alignment vertical="center"/>
    </xf>
    <xf numFmtId="178" fontId="22" fillId="0" borderId="13" xfId="2" applyNumberFormat="1" applyFont="1" applyFill="1" applyBorder="1">
      <alignment vertical="center"/>
    </xf>
    <xf numFmtId="176" fontId="22" fillId="0" borderId="13" xfId="3" applyNumberFormat="1" applyFont="1" applyFill="1" applyBorder="1">
      <alignment vertical="center"/>
    </xf>
    <xf numFmtId="178" fontId="22" fillId="0" borderId="0" xfId="2" applyNumberFormat="1" applyFont="1" applyFill="1" applyBorder="1">
      <alignment vertical="center"/>
    </xf>
    <xf numFmtId="176" fontId="22" fillId="0" borderId="0" xfId="3" applyNumberFormat="1" applyFont="1" applyFill="1" applyBorder="1">
      <alignment vertical="center"/>
    </xf>
    <xf numFmtId="176" fontId="22" fillId="0" borderId="12" xfId="3" applyNumberFormat="1" applyFont="1" applyFill="1" applyBorder="1">
      <alignment vertical="center"/>
    </xf>
    <xf numFmtId="176" fontId="22" fillId="0" borderId="6" xfId="3" applyNumberFormat="1" applyFont="1" applyFill="1" applyBorder="1">
      <alignment vertical="center"/>
    </xf>
    <xf numFmtId="177" fontId="22" fillId="0" borderId="6" xfId="3" applyNumberFormat="1" applyFont="1" applyFill="1" applyBorder="1">
      <alignment vertical="center"/>
    </xf>
    <xf numFmtId="176" fontId="22" fillId="0" borderId="4" xfId="3" applyNumberFormat="1" applyFont="1" applyFill="1" applyBorder="1">
      <alignment vertical="center"/>
    </xf>
    <xf numFmtId="176" fontId="22" fillId="0" borderId="5" xfId="3" applyNumberFormat="1" applyFont="1" applyFill="1" applyBorder="1">
      <alignment vertical="center"/>
    </xf>
    <xf numFmtId="177" fontId="22" fillId="0" borderId="8" xfId="3" applyNumberFormat="1" applyFont="1" applyFill="1" applyBorder="1">
      <alignment vertical="center"/>
    </xf>
    <xf numFmtId="176" fontId="22" fillId="0" borderId="15" xfId="3" applyNumberFormat="1" applyFont="1" applyFill="1" applyBorder="1">
      <alignment vertical="center"/>
    </xf>
    <xf numFmtId="177" fontId="22" fillId="0" borderId="7" xfId="3" applyNumberFormat="1" applyFont="1" applyFill="1" applyBorder="1">
      <alignment vertical="center"/>
    </xf>
    <xf numFmtId="0" fontId="22" fillId="0" borderId="0" xfId="0" applyFont="1" applyFill="1" applyBorder="1" applyAlignment="1">
      <alignment horizontal="left" vertical="center" indent="1"/>
    </xf>
    <xf numFmtId="177" fontId="22" fillId="0" borderId="0" xfId="3" applyNumberFormat="1" applyFont="1" applyFill="1" applyBorder="1">
      <alignment vertical="center"/>
    </xf>
    <xf numFmtId="178" fontId="22" fillId="0" borderId="0" xfId="2" applyNumberFormat="1" applyFont="1" applyFill="1" applyBorder="1" applyAlignment="1">
      <alignment horizontal="center" vertical="center"/>
    </xf>
    <xf numFmtId="10" fontId="22" fillId="0" borderId="6" xfId="3" applyNumberFormat="1" applyFont="1" applyFill="1" applyBorder="1">
      <alignment vertical="center"/>
    </xf>
    <xf numFmtId="181" fontId="22" fillId="0" borderId="6" xfId="3" applyNumberFormat="1" applyFont="1" applyFill="1" applyBorder="1">
      <alignment vertical="center"/>
    </xf>
    <xf numFmtId="10" fontId="22" fillId="0" borderId="4" xfId="3" applyNumberFormat="1" applyFont="1" applyFill="1" applyBorder="1">
      <alignment vertical="center"/>
    </xf>
    <xf numFmtId="10" fontId="22" fillId="0" borderId="8" xfId="3" applyNumberFormat="1" applyFont="1" applyFill="1" applyBorder="1">
      <alignment vertical="center"/>
    </xf>
    <xf numFmtId="181" fontId="22" fillId="0" borderId="8" xfId="3" applyNumberFormat="1" applyFont="1" applyFill="1" applyBorder="1">
      <alignment vertical="center"/>
    </xf>
    <xf numFmtId="181" fontId="22" fillId="0" borderId="7" xfId="3" applyNumberFormat="1" applyFont="1" applyFill="1" applyBorder="1">
      <alignment vertical="center"/>
    </xf>
    <xf numFmtId="0" fontId="22" fillId="0" borderId="0" xfId="0" applyFont="1" applyFill="1" applyBorder="1" applyAlignment="1">
      <alignment horizontal="left" vertical="center"/>
    </xf>
    <xf numFmtId="178" fontId="22" fillId="0" borderId="6" xfId="2" applyNumberFormat="1" applyFont="1" applyFill="1" applyBorder="1">
      <alignment vertical="center"/>
    </xf>
    <xf numFmtId="0" fontId="22" fillId="0" borderId="4" xfId="0" applyFont="1" applyFill="1" applyBorder="1">
      <alignment vertical="center"/>
    </xf>
    <xf numFmtId="180" fontId="22" fillId="0" borderId="6" xfId="2" applyNumberFormat="1" applyFont="1" applyFill="1" applyBorder="1">
      <alignment vertical="center"/>
    </xf>
    <xf numFmtId="180" fontId="22" fillId="0" borderId="6" xfId="3" applyNumberFormat="1" applyFont="1" applyFill="1" applyBorder="1">
      <alignment vertical="center"/>
    </xf>
    <xf numFmtId="179" fontId="22" fillId="0" borderId="4" xfId="0" applyNumberFormat="1" applyFont="1" applyFill="1" applyBorder="1">
      <alignment vertical="center"/>
    </xf>
    <xf numFmtId="180" fontId="22" fillId="0" borderId="8" xfId="2" applyNumberFormat="1" applyFont="1" applyFill="1" applyBorder="1">
      <alignment vertical="center"/>
    </xf>
    <xf numFmtId="180" fontId="22" fillId="0" borderId="8" xfId="3" applyNumberFormat="1" applyFont="1" applyFill="1" applyBorder="1">
      <alignment vertical="center"/>
    </xf>
    <xf numFmtId="176" fontId="14" fillId="0" borderId="0" xfId="3" applyNumberFormat="1" applyFont="1" applyFill="1" applyBorder="1">
      <alignment vertical="center"/>
    </xf>
    <xf numFmtId="10" fontId="22" fillId="0" borderId="12" xfId="3" applyNumberFormat="1" applyFont="1" applyFill="1" applyBorder="1">
      <alignment vertical="center"/>
    </xf>
    <xf numFmtId="10" fontId="22" fillId="0" borderId="5" xfId="3" applyNumberFormat="1" applyFont="1" applyFill="1" applyBorder="1">
      <alignment vertical="center"/>
    </xf>
    <xf numFmtId="10" fontId="22" fillId="0" borderId="15" xfId="3" applyNumberFormat="1" applyFont="1" applyFill="1" applyBorder="1">
      <alignment vertical="center"/>
    </xf>
    <xf numFmtId="178" fontId="22" fillId="0" borderId="12" xfId="2" applyNumberFormat="1" applyFont="1" applyFill="1" applyBorder="1">
      <alignment vertical="center"/>
    </xf>
    <xf numFmtId="180" fontId="22" fillId="0" borderId="12" xfId="2" applyNumberFormat="1" applyFont="1" applyFill="1" applyBorder="1">
      <alignment vertical="center"/>
    </xf>
    <xf numFmtId="180" fontId="22" fillId="0" borderId="5" xfId="2" applyNumberFormat="1" applyFont="1" applyFill="1" applyBorder="1">
      <alignment vertical="center"/>
    </xf>
    <xf numFmtId="10" fontId="22" fillId="0" borderId="0" xfId="3" applyNumberFormat="1" applyFont="1" applyFill="1" applyBorder="1">
      <alignment vertical="center"/>
    </xf>
    <xf numFmtId="180" fontId="22" fillId="0" borderId="0" xfId="2" applyNumberFormat="1" applyFont="1" applyFill="1" applyBorder="1">
      <alignment vertical="center"/>
    </xf>
    <xf numFmtId="176" fontId="22" fillId="0" borderId="2" xfId="3" applyNumberFormat="1" applyFont="1" applyFill="1" applyBorder="1">
      <alignment vertical="center"/>
    </xf>
    <xf numFmtId="177" fontId="22" fillId="0" borderId="2" xfId="3" applyNumberFormat="1" applyFont="1" applyFill="1" applyBorder="1">
      <alignment vertical="center"/>
    </xf>
    <xf numFmtId="176" fontId="22" fillId="0" borderId="9" xfId="3" applyNumberFormat="1" applyFont="1" applyFill="1" applyBorder="1">
      <alignment vertical="center"/>
    </xf>
    <xf numFmtId="176" fontId="22" fillId="0" borderId="11" xfId="3" applyNumberFormat="1" applyFont="1" applyFill="1" applyBorder="1">
      <alignment vertical="center"/>
    </xf>
    <xf numFmtId="0" fontId="35" fillId="0" borderId="0" xfId="0" applyFont="1" applyFill="1">
      <alignment vertical="center"/>
    </xf>
    <xf numFmtId="0" fontId="35" fillId="0" borderId="0" xfId="0" applyFont="1" applyFill="1" applyBorder="1" applyAlignment="1">
      <alignment horizontal="left" vertical="center"/>
    </xf>
    <xf numFmtId="0" fontId="33" fillId="0" borderId="0" xfId="0" applyFont="1" applyFill="1">
      <alignment vertical="center"/>
    </xf>
    <xf numFmtId="0" fontId="33" fillId="0" borderId="0" xfId="0" applyFont="1" applyFill="1" applyBorder="1" applyAlignment="1">
      <alignment horizontal="left" vertical="center"/>
    </xf>
    <xf numFmtId="0" fontId="35" fillId="0" borderId="0" xfId="0" applyFont="1" applyFill="1" applyBorder="1">
      <alignment vertical="center"/>
    </xf>
    <xf numFmtId="0" fontId="26" fillId="0" borderId="0" xfId="0" applyFont="1" applyFill="1" applyBorder="1">
      <alignment vertical="center"/>
    </xf>
    <xf numFmtId="176" fontId="22" fillId="0" borderId="14" xfId="3" applyNumberFormat="1" applyFont="1" applyFill="1" applyBorder="1">
      <alignment vertical="center"/>
    </xf>
    <xf numFmtId="178" fontId="4" fillId="0" borderId="0" xfId="0" applyNumberFormat="1" applyFont="1" applyFill="1" applyBorder="1">
      <alignment vertical="center"/>
    </xf>
    <xf numFmtId="0" fontId="4" fillId="0" borderId="15" xfId="0" applyFont="1" applyFill="1" applyBorder="1" applyAlignment="1">
      <alignment horizontal="center" vertical="center" wrapText="1"/>
    </xf>
    <xf numFmtId="178" fontId="14" fillId="0" borderId="5" xfId="2" applyNumberFormat="1" applyFont="1" applyFill="1" applyBorder="1">
      <alignment vertical="center"/>
    </xf>
    <xf numFmtId="178" fontId="36" fillId="0" borderId="4" xfId="2" applyNumberFormat="1" applyFont="1" applyFill="1" applyBorder="1">
      <alignment vertical="center"/>
    </xf>
    <xf numFmtId="10" fontId="4" fillId="0" borderId="0" xfId="3" applyNumberFormat="1" applyFont="1" applyFill="1">
      <alignment vertical="center"/>
    </xf>
    <xf numFmtId="0" fontId="18" fillId="0" borderId="0" xfId="0" applyFont="1" applyFill="1" applyAlignment="1">
      <alignment horizontal="left" vertical="center" indent="1"/>
    </xf>
    <xf numFmtId="0" fontId="26" fillId="0" borderId="13" xfId="0" applyFont="1" applyFill="1" applyBorder="1">
      <alignment vertical="center"/>
    </xf>
    <xf numFmtId="0" fontId="22" fillId="0" borderId="13" xfId="0" applyFont="1" applyFill="1" applyBorder="1">
      <alignment vertical="center"/>
    </xf>
    <xf numFmtId="0" fontId="7" fillId="0" borderId="0" xfId="0" applyFont="1" applyFill="1" applyAlignment="1">
      <alignment vertical="center"/>
    </xf>
    <xf numFmtId="0" fontId="4" fillId="0" borderId="0" xfId="0" applyFont="1" applyFill="1" applyAlignment="1">
      <alignment horizontal="left" vertical="center" wrapText="1"/>
    </xf>
    <xf numFmtId="0" fontId="4" fillId="0" borderId="0" xfId="0" applyFont="1" applyFill="1" applyAlignment="1">
      <alignment horizontal="center" vertical="center" wrapText="1"/>
    </xf>
    <xf numFmtId="0" fontId="4" fillId="0" borderId="0" xfId="0" applyFont="1" applyFill="1" applyBorder="1" applyAlignment="1">
      <alignment horizontal="center" vertical="center" wrapText="1"/>
    </xf>
    <xf numFmtId="0" fontId="19" fillId="0" borderId="0" xfId="0" applyFont="1" applyFill="1" applyAlignment="1">
      <alignment horizontal="left" vertical="center" wrapText="1"/>
    </xf>
    <xf numFmtId="0" fontId="38" fillId="4" borderId="0" xfId="0" applyFont="1" applyFill="1">
      <alignment vertical="center"/>
    </xf>
    <xf numFmtId="0" fontId="22" fillId="0" borderId="0" xfId="4" applyFont="1" applyFill="1">
      <alignment vertical="center"/>
    </xf>
    <xf numFmtId="0" fontId="22" fillId="0" borderId="0" xfId="4" applyFont="1" applyFill="1" applyBorder="1">
      <alignment vertical="center"/>
    </xf>
    <xf numFmtId="0" fontId="22" fillId="0" borderId="14" xfId="4" applyFont="1" applyFill="1" applyBorder="1">
      <alignment vertical="center"/>
    </xf>
    <xf numFmtId="0" fontId="22" fillId="0" borderId="15" xfId="4" applyFont="1" applyFill="1" applyBorder="1">
      <alignment vertical="center"/>
    </xf>
    <xf numFmtId="0" fontId="22" fillId="0" borderId="10" xfId="4" applyFont="1" applyFill="1" applyBorder="1">
      <alignment vertical="center"/>
    </xf>
    <xf numFmtId="41" fontId="14" fillId="0" borderId="2" xfId="2" applyFont="1" applyFill="1" applyBorder="1">
      <alignment vertical="center"/>
    </xf>
    <xf numFmtId="41" fontId="14" fillId="0" borderId="7" xfId="2" applyFont="1" applyFill="1" applyBorder="1">
      <alignment vertical="center"/>
    </xf>
    <xf numFmtId="178" fontId="14" fillId="0" borderId="15" xfId="2" applyNumberFormat="1" applyFont="1" applyFill="1" applyBorder="1">
      <alignment vertical="center"/>
    </xf>
    <xf numFmtId="0" fontId="4" fillId="0" borderId="3" xfId="0" applyFont="1" applyFill="1" applyBorder="1" applyAlignment="1">
      <alignment horizontal="center" vertical="center" wrapText="1"/>
    </xf>
    <xf numFmtId="178" fontId="14" fillId="0" borderId="3" xfId="2" applyNumberFormat="1" applyFont="1" applyFill="1" applyBorder="1">
      <alignment vertical="center"/>
    </xf>
    <xf numFmtId="0" fontId="24" fillId="0" borderId="0" xfId="0" applyFont="1" applyFill="1" applyBorder="1" applyAlignment="1">
      <alignment horizontal="left" vertical="center"/>
    </xf>
    <xf numFmtId="0" fontId="4" fillId="0" borderId="5" xfId="0" applyFont="1" applyFill="1" applyBorder="1" applyAlignment="1">
      <alignment horizontal="center" vertical="center"/>
    </xf>
    <xf numFmtId="0" fontId="4" fillId="0" borderId="5" xfId="0" applyFont="1" applyFill="1" applyBorder="1" applyAlignment="1">
      <alignment horizontal="center" vertical="center" wrapText="1"/>
    </xf>
    <xf numFmtId="0" fontId="35" fillId="0" borderId="0" xfId="0" applyFont="1" applyFill="1" applyAlignment="1">
      <alignment vertical="top"/>
    </xf>
    <xf numFmtId="190" fontId="22" fillId="0" borderId="14" xfId="3" applyNumberFormat="1" applyFont="1" applyFill="1" applyBorder="1">
      <alignment vertical="center"/>
    </xf>
    <xf numFmtId="190" fontId="22" fillId="0" borderId="15" xfId="3" applyNumberFormat="1" applyFont="1" applyFill="1" applyBorder="1">
      <alignment vertical="center"/>
    </xf>
    <xf numFmtId="178" fontId="22" fillId="0" borderId="0" xfId="0" applyNumberFormat="1" applyFont="1" applyFill="1">
      <alignment vertical="center"/>
    </xf>
    <xf numFmtId="0" fontId="4" fillId="0" borderId="5" xfId="0" applyFont="1" applyFill="1" applyBorder="1">
      <alignment vertical="center"/>
    </xf>
    <xf numFmtId="0" fontId="4" fillId="0" borderId="12" xfId="0" applyFont="1" applyFill="1" applyBorder="1">
      <alignment vertical="center"/>
    </xf>
    <xf numFmtId="41" fontId="4" fillId="0" borderId="8" xfId="2" applyFont="1" applyFill="1" applyBorder="1">
      <alignment vertical="center"/>
    </xf>
    <xf numFmtId="0" fontId="4" fillId="0" borderId="15" xfId="0" applyFont="1" applyFill="1" applyBorder="1">
      <alignment vertical="center"/>
    </xf>
    <xf numFmtId="0" fontId="22" fillId="0" borderId="10" xfId="0" applyFont="1" applyFill="1" applyBorder="1">
      <alignment vertical="center"/>
    </xf>
    <xf numFmtId="0" fontId="22" fillId="0" borderId="8" xfId="4" applyFont="1" applyFill="1" applyBorder="1" applyAlignment="1">
      <alignment horizontal="center" vertical="center" wrapText="1"/>
    </xf>
    <xf numFmtId="0" fontId="22" fillId="0" borderId="0" xfId="0" applyFont="1" applyFill="1" applyAlignment="1"/>
    <xf numFmtId="0" fontId="22" fillId="0" borderId="0" xfId="0" applyFont="1" applyFill="1" applyBorder="1" applyAlignment="1"/>
    <xf numFmtId="176" fontId="22" fillId="0" borderId="14" xfId="3" applyNumberFormat="1" applyFont="1" applyFill="1" applyBorder="1" applyAlignment="1"/>
    <xf numFmtId="183" fontId="22" fillId="0" borderId="14" xfId="2" applyNumberFormat="1" applyFont="1" applyFill="1" applyBorder="1" applyAlignment="1"/>
    <xf numFmtId="183" fontId="22" fillId="0" borderId="2" xfId="2" applyNumberFormat="1" applyFont="1" applyFill="1" applyBorder="1" applyAlignment="1"/>
    <xf numFmtId="182" fontId="22" fillId="0" borderId="14" xfId="0" applyNumberFormat="1" applyFont="1" applyFill="1" applyBorder="1" applyAlignment="1"/>
    <xf numFmtId="182" fontId="22" fillId="0" borderId="2" xfId="0" applyNumberFormat="1" applyFont="1" applyFill="1" applyBorder="1" applyAlignment="1"/>
    <xf numFmtId="0" fontId="22" fillId="0" borderId="5" xfId="4" applyFont="1" applyFill="1" applyBorder="1">
      <alignment vertical="center"/>
    </xf>
    <xf numFmtId="190" fontId="22" fillId="0" borderId="5" xfId="3" applyNumberFormat="1" applyFont="1" applyFill="1" applyBorder="1">
      <alignment vertical="center"/>
    </xf>
    <xf numFmtId="183" fontId="22" fillId="0" borderId="5" xfId="2" applyNumberFormat="1" applyFont="1" applyFill="1" applyBorder="1" applyAlignment="1"/>
    <xf numFmtId="183" fontId="22" fillId="0" borderId="8" xfId="2" applyNumberFormat="1" applyFont="1" applyFill="1" applyBorder="1" applyAlignment="1"/>
    <xf numFmtId="182" fontId="22" fillId="0" borderId="5" xfId="0" applyNumberFormat="1" applyFont="1" applyFill="1" applyBorder="1" applyAlignment="1"/>
    <xf numFmtId="182" fontId="22" fillId="0" borderId="8" xfId="0" applyNumberFormat="1" applyFont="1" applyFill="1" applyBorder="1" applyAlignment="1"/>
    <xf numFmtId="182" fontId="22" fillId="0" borderId="6" xfId="0" applyNumberFormat="1" applyFont="1" applyFill="1" applyBorder="1" applyAlignment="1"/>
    <xf numFmtId="176" fontId="22" fillId="0" borderId="15" xfId="3" applyNumberFormat="1" applyFont="1" applyFill="1" applyBorder="1" applyAlignment="1"/>
    <xf numFmtId="0" fontId="41" fillId="0" borderId="0" xfId="0" applyFont="1" applyFill="1">
      <alignment vertical="center"/>
    </xf>
    <xf numFmtId="176" fontId="22" fillId="0" borderId="5" xfId="3" applyNumberFormat="1" applyFont="1" applyFill="1" applyBorder="1" applyAlignment="1">
      <alignment vertical="center" wrapText="1"/>
    </xf>
    <xf numFmtId="0" fontId="15" fillId="0" borderId="0" xfId="0" applyFont="1" applyFill="1">
      <alignment vertical="center"/>
    </xf>
    <xf numFmtId="176" fontId="22" fillId="0" borderId="2" xfId="3" applyNumberFormat="1" applyFont="1" applyFill="1" applyBorder="1" applyAlignment="1"/>
    <xf numFmtId="190" fontId="22" fillId="0" borderId="14" xfId="0" applyNumberFormat="1" applyFont="1" applyFill="1" applyBorder="1" applyAlignment="1"/>
    <xf numFmtId="190" fontId="22" fillId="0" borderId="5" xfId="0" applyNumberFormat="1" applyFont="1" applyFill="1" applyBorder="1" applyAlignment="1"/>
    <xf numFmtId="183" fontId="22" fillId="0" borderId="5" xfId="2" applyNumberFormat="1" applyFont="1" applyFill="1" applyBorder="1">
      <alignment vertical="center"/>
    </xf>
    <xf numFmtId="183" fontId="22" fillId="0" borderId="14" xfId="2" applyNumberFormat="1" applyFont="1" applyFill="1" applyBorder="1">
      <alignment vertical="center"/>
    </xf>
    <xf numFmtId="183" fontId="22" fillId="0" borderId="2" xfId="2" applyNumberFormat="1" applyFont="1" applyFill="1" applyBorder="1">
      <alignment vertical="center"/>
    </xf>
    <xf numFmtId="187" fontId="4" fillId="0" borderId="0" xfId="0" applyNumberFormat="1" applyFont="1" applyFill="1">
      <alignment vertical="center"/>
    </xf>
    <xf numFmtId="183" fontId="14" fillId="0" borderId="14" xfId="2" applyNumberFormat="1" applyFont="1" applyFill="1" applyBorder="1">
      <alignment vertical="center"/>
    </xf>
    <xf numFmtId="183" fontId="4" fillId="0" borderId="5" xfId="2" applyNumberFormat="1" applyFont="1" applyFill="1" applyBorder="1">
      <alignment vertical="center"/>
    </xf>
    <xf numFmtId="4" fontId="14" fillId="0" borderId="0" xfId="0" applyNumberFormat="1" applyFont="1" applyFill="1">
      <alignment vertical="center"/>
    </xf>
    <xf numFmtId="0" fontId="18" fillId="0" borderId="0" xfId="0" applyFont="1" applyFill="1" applyAlignment="1">
      <alignment horizontal="left" vertical="center" wrapText="1"/>
    </xf>
    <xf numFmtId="0" fontId="22" fillId="0" borderId="0" xfId="0" applyFont="1" applyFill="1" applyAlignment="1">
      <alignment horizontal="left" vertical="center" wrapText="1"/>
    </xf>
    <xf numFmtId="0" fontId="34" fillId="0" borderId="0" xfId="0" applyFont="1" applyFill="1">
      <alignment vertical="center"/>
    </xf>
    <xf numFmtId="178" fontId="46" fillId="0" borderId="14" xfId="0" applyNumberFormat="1" applyFont="1" applyFill="1" applyBorder="1">
      <alignment vertical="center"/>
    </xf>
    <xf numFmtId="0" fontId="45" fillId="0" borderId="0" xfId="0" applyFont="1">
      <alignment vertical="center"/>
    </xf>
    <xf numFmtId="0" fontId="46" fillId="0" borderId="0" xfId="0" applyFont="1" applyFill="1" applyBorder="1" applyAlignment="1">
      <alignment horizontal="left" vertical="center"/>
    </xf>
    <xf numFmtId="0" fontId="46" fillId="0" borderId="0" xfId="0" applyFont="1" applyFill="1" applyBorder="1">
      <alignment vertical="center"/>
    </xf>
    <xf numFmtId="178" fontId="46" fillId="0" borderId="14" xfId="0" applyNumberFormat="1" applyFont="1" applyFill="1" applyBorder="1" applyAlignment="1">
      <alignment horizontal="right" vertical="center"/>
    </xf>
    <xf numFmtId="0" fontId="22" fillId="0" borderId="5" xfId="0" applyFont="1" applyFill="1" applyBorder="1" applyAlignment="1">
      <alignment horizontal="left" vertical="center"/>
    </xf>
    <xf numFmtId="176" fontId="34" fillId="0" borderId="0" xfId="3" applyNumberFormat="1" applyFont="1" applyFill="1" applyBorder="1">
      <alignment vertical="center"/>
    </xf>
    <xf numFmtId="0" fontId="48" fillId="0" borderId="13" xfId="0" applyFont="1" applyFill="1" applyBorder="1" applyAlignment="1">
      <alignment horizontal="left" vertical="center"/>
    </xf>
    <xf numFmtId="0" fontId="41" fillId="0" borderId="0" xfId="0" applyFont="1" applyFill="1" applyBorder="1">
      <alignment vertical="center"/>
    </xf>
    <xf numFmtId="0" fontId="45" fillId="0" borderId="0" xfId="0" applyFont="1" applyFill="1" applyBorder="1">
      <alignment vertical="center"/>
    </xf>
    <xf numFmtId="0" fontId="50" fillId="0" borderId="0" xfId="0" applyFont="1" applyFill="1" applyAlignment="1">
      <alignment horizontal="left" vertical="center"/>
    </xf>
    <xf numFmtId="41" fontId="22" fillId="0" borderId="8" xfId="2" applyFont="1" applyFill="1" applyBorder="1">
      <alignment vertical="center"/>
    </xf>
    <xf numFmtId="176" fontId="4" fillId="0" borderId="0" xfId="0" applyNumberFormat="1" applyFont="1" applyFill="1">
      <alignment vertical="center"/>
    </xf>
    <xf numFmtId="9" fontId="4" fillId="0" borderId="12" xfId="3" applyFont="1" applyFill="1" applyBorder="1">
      <alignment vertical="center"/>
    </xf>
    <xf numFmtId="9" fontId="4" fillId="0" borderId="5" xfId="3" applyFont="1" applyFill="1" applyBorder="1">
      <alignment vertical="center"/>
    </xf>
    <xf numFmtId="182" fontId="22" fillId="0" borderId="5" xfId="3" applyNumberFormat="1" applyFont="1" applyFill="1" applyBorder="1">
      <alignment vertical="center"/>
    </xf>
    <xf numFmtId="176" fontId="22" fillId="0" borderId="4" xfId="3" applyNumberFormat="1" applyFont="1" applyFill="1" applyBorder="1" applyAlignment="1">
      <alignment horizontal="right" vertical="center"/>
    </xf>
    <xf numFmtId="0" fontId="11" fillId="0" borderId="1" xfId="0" applyFont="1" applyFill="1" applyBorder="1">
      <alignment vertical="center"/>
    </xf>
    <xf numFmtId="0" fontId="11" fillId="0" borderId="5" xfId="1" applyFont="1" applyFill="1" applyBorder="1">
      <alignment vertical="center"/>
    </xf>
    <xf numFmtId="10" fontId="14" fillId="0" borderId="14" xfId="3" applyNumberFormat="1" applyFont="1" applyFill="1" applyBorder="1">
      <alignment vertical="center"/>
    </xf>
    <xf numFmtId="0" fontId="19" fillId="0" borderId="9" xfId="0" applyFont="1" applyFill="1" applyBorder="1" applyAlignment="1">
      <alignment horizontal="center" vertical="center" wrapText="1"/>
    </xf>
    <xf numFmtId="0" fontId="19" fillId="0" borderId="14" xfId="0" applyFont="1" applyFill="1" applyBorder="1" applyAlignment="1">
      <alignment horizontal="center" vertical="center" wrapText="1"/>
    </xf>
    <xf numFmtId="0" fontId="23" fillId="0" borderId="0" xfId="0" applyFont="1" applyFill="1" applyBorder="1">
      <alignment vertical="center"/>
    </xf>
    <xf numFmtId="0" fontId="9" fillId="0" borderId="0" xfId="0" applyFont="1" applyFill="1" applyBorder="1" applyAlignment="1">
      <alignment horizontal="center" vertical="center"/>
    </xf>
    <xf numFmtId="0" fontId="10" fillId="0" borderId="10" xfId="0" applyFont="1" applyFill="1" applyBorder="1">
      <alignment vertical="center"/>
    </xf>
    <xf numFmtId="0" fontId="10" fillId="0" borderId="10" xfId="0" applyFont="1" applyFill="1" applyBorder="1" applyAlignment="1">
      <alignment horizontal="left" vertical="center"/>
    </xf>
    <xf numFmtId="179" fontId="4" fillId="0" borderId="0" xfId="0" applyNumberFormat="1" applyFont="1" applyFill="1">
      <alignment vertical="center"/>
    </xf>
    <xf numFmtId="183" fontId="14" fillId="0" borderId="0" xfId="2" applyNumberFormat="1" applyFont="1" applyFill="1">
      <alignment vertical="center"/>
    </xf>
    <xf numFmtId="0" fontId="10" fillId="0" borderId="1" xfId="0" applyFont="1" applyFill="1" applyBorder="1" applyAlignment="1">
      <alignment horizontal="left" vertical="center"/>
    </xf>
    <xf numFmtId="9" fontId="14" fillId="0" borderId="0" xfId="3" applyFont="1" applyFill="1">
      <alignment vertical="center"/>
    </xf>
    <xf numFmtId="0" fontId="7" fillId="0" borderId="0" xfId="0" applyFont="1" applyFill="1" applyAlignment="1">
      <alignment horizontal="center" vertical="center"/>
    </xf>
    <xf numFmtId="177" fontId="4" fillId="0" borderId="6" xfId="3" applyNumberFormat="1" applyFont="1" applyFill="1" applyBorder="1">
      <alignment vertical="center"/>
    </xf>
    <xf numFmtId="176" fontId="14" fillId="0" borderId="0" xfId="0" applyNumberFormat="1" applyFont="1" applyFill="1">
      <alignment vertical="center"/>
    </xf>
    <xf numFmtId="176" fontId="22" fillId="0" borderId="0" xfId="3" applyNumberFormat="1" applyFont="1" applyFill="1">
      <alignment vertical="center"/>
    </xf>
    <xf numFmtId="176" fontId="22" fillId="0" borderId="0" xfId="0" applyNumberFormat="1" applyFont="1" applyFill="1">
      <alignment vertical="center"/>
    </xf>
    <xf numFmtId="0" fontId="22" fillId="0" borderId="0" xfId="0" applyFont="1" applyFill="1" applyAlignment="1">
      <alignment horizontal="left" vertical="center"/>
    </xf>
    <xf numFmtId="0" fontId="22" fillId="0" borderId="4" xfId="0" applyFont="1" applyFill="1" applyBorder="1" applyAlignment="1">
      <alignment horizontal="center" vertical="center"/>
    </xf>
    <xf numFmtId="178" fontId="22" fillId="0" borderId="4" xfId="2" applyNumberFormat="1" applyFont="1" applyFill="1" applyBorder="1">
      <alignment vertical="center"/>
    </xf>
    <xf numFmtId="176" fontId="22" fillId="0" borderId="4" xfId="3" applyNumberFormat="1" applyFont="1" applyFill="1" applyBorder="1" applyAlignment="1">
      <alignment horizontal="center" vertical="center"/>
    </xf>
    <xf numFmtId="0" fontId="34" fillId="0" borderId="10" xfId="0" applyFont="1" applyFill="1" applyBorder="1">
      <alignment vertical="center"/>
    </xf>
    <xf numFmtId="178" fontId="34" fillId="0" borderId="2" xfId="2" applyNumberFormat="1" applyFont="1" applyFill="1" applyBorder="1">
      <alignment vertical="center"/>
    </xf>
    <xf numFmtId="178" fontId="34" fillId="0" borderId="9" xfId="2" applyNumberFormat="1" applyFont="1" applyFill="1" applyBorder="1">
      <alignment vertical="center"/>
    </xf>
    <xf numFmtId="176" fontId="34" fillId="0" borderId="9" xfId="3" applyNumberFormat="1" applyFont="1" applyFill="1" applyBorder="1">
      <alignment vertical="center"/>
    </xf>
    <xf numFmtId="176" fontId="34" fillId="0" borderId="4" xfId="3" applyNumberFormat="1" applyFont="1" applyFill="1" applyBorder="1">
      <alignment vertical="center"/>
    </xf>
    <xf numFmtId="178" fontId="34" fillId="0" borderId="0" xfId="2" applyNumberFormat="1" applyFont="1" applyFill="1" applyBorder="1">
      <alignment vertical="center"/>
    </xf>
    <xf numFmtId="178" fontId="34" fillId="0" borderId="14" xfId="2" applyNumberFormat="1" applyFont="1" applyFill="1" applyBorder="1">
      <alignment vertical="center"/>
    </xf>
    <xf numFmtId="0" fontId="34" fillId="0" borderId="13" xfId="0" applyFont="1" applyFill="1" applyBorder="1">
      <alignment vertical="center"/>
    </xf>
    <xf numFmtId="178" fontId="34" fillId="0" borderId="13" xfId="2" applyNumberFormat="1" applyFont="1" applyFill="1" applyBorder="1">
      <alignment vertical="center"/>
    </xf>
    <xf numFmtId="0" fontId="28" fillId="0" borderId="0" xfId="0" applyFont="1" applyFill="1" applyBorder="1" applyAlignment="1">
      <alignment horizontal="right" vertical="center"/>
    </xf>
    <xf numFmtId="0" fontId="28" fillId="0" borderId="0" xfId="0" applyFont="1" applyFill="1" applyBorder="1">
      <alignment vertical="center"/>
    </xf>
    <xf numFmtId="0" fontId="51" fillId="0" borderId="0" xfId="0" applyFont="1" applyFill="1" applyAlignment="1">
      <alignment horizontal="left" vertical="center" indent="1"/>
    </xf>
    <xf numFmtId="178" fontId="22" fillId="0" borderId="0" xfId="0" applyNumberFormat="1" applyFont="1" applyFill="1" applyBorder="1">
      <alignment vertical="center"/>
    </xf>
    <xf numFmtId="0" fontId="22" fillId="0" borderId="0" xfId="0" quotePrefix="1" applyFont="1" applyFill="1">
      <alignment vertical="center"/>
    </xf>
    <xf numFmtId="0" fontId="36" fillId="0" borderId="0" xfId="0" applyFont="1" applyFill="1" applyBorder="1" applyAlignment="1">
      <alignment horizontal="center" vertical="center"/>
    </xf>
    <xf numFmtId="186" fontId="36" fillId="0" borderId="4" xfId="0" applyNumberFormat="1" applyFont="1" applyFill="1" applyBorder="1" applyAlignment="1">
      <alignment horizontal="center" vertical="center"/>
    </xf>
    <xf numFmtId="0" fontId="36" fillId="0" borderId="0" xfId="0" applyFont="1" applyFill="1" applyBorder="1">
      <alignment vertical="center"/>
    </xf>
    <xf numFmtId="176" fontId="36" fillId="0" borderId="0" xfId="3" applyNumberFormat="1" applyFont="1" applyFill="1" applyBorder="1">
      <alignment vertical="center"/>
    </xf>
    <xf numFmtId="0" fontId="18" fillId="0" borderId="9" xfId="0" applyFont="1" applyFill="1" applyBorder="1">
      <alignment vertical="center"/>
    </xf>
    <xf numFmtId="0" fontId="18" fillId="0" borderId="1" xfId="0" applyFont="1" applyFill="1" applyBorder="1">
      <alignment vertical="center"/>
    </xf>
    <xf numFmtId="0" fontId="18" fillId="0" borderId="10" xfId="0" applyFont="1" applyFill="1" applyBorder="1">
      <alignment vertical="center"/>
    </xf>
    <xf numFmtId="177" fontId="4" fillId="0" borderId="0" xfId="3" applyNumberFormat="1" applyFont="1" applyFill="1" applyBorder="1">
      <alignment vertical="center"/>
    </xf>
    <xf numFmtId="0" fontId="36" fillId="0" borderId="0" xfId="0" applyFont="1" applyFill="1">
      <alignment vertical="center"/>
    </xf>
    <xf numFmtId="0" fontId="35" fillId="0" borderId="0" xfId="0" applyFont="1" applyFill="1" applyBorder="1" applyAlignment="1">
      <alignment vertical="top"/>
    </xf>
    <xf numFmtId="0" fontId="22" fillId="0" borderId="0" xfId="0" applyFont="1" applyFill="1" applyAlignment="1">
      <alignment horizontal="left" vertical="center" indent="1"/>
    </xf>
    <xf numFmtId="0" fontId="34" fillId="0" borderId="0" xfId="0" applyFont="1" applyFill="1" applyAlignment="1">
      <alignment horizontal="left" vertical="center" indent="1"/>
    </xf>
    <xf numFmtId="0" fontId="48" fillId="0" borderId="1" xfId="0" applyFont="1" applyFill="1" applyBorder="1">
      <alignment vertical="center"/>
    </xf>
    <xf numFmtId="0" fontId="48" fillId="0" borderId="0" xfId="0" applyFont="1" applyFill="1">
      <alignment vertical="center"/>
    </xf>
    <xf numFmtId="0" fontId="48" fillId="0" borderId="13" xfId="0" applyFont="1" applyFill="1" applyBorder="1">
      <alignment vertical="center"/>
    </xf>
    <xf numFmtId="189" fontId="14" fillId="0" borderId="6" xfId="0" applyNumberFormat="1" applyFont="1" applyFill="1" applyBorder="1">
      <alignment vertical="center"/>
    </xf>
    <xf numFmtId="0" fontId="46" fillId="0" borderId="13" xfId="0" applyFont="1" applyFill="1" applyBorder="1">
      <alignment vertical="center"/>
    </xf>
    <xf numFmtId="0" fontId="48" fillId="0" borderId="10" xfId="0" applyFont="1" applyFill="1" applyBorder="1">
      <alignment vertical="center"/>
    </xf>
    <xf numFmtId="0" fontId="46" fillId="0" borderId="1" xfId="0" applyFont="1" applyFill="1" applyBorder="1">
      <alignment vertical="center"/>
    </xf>
    <xf numFmtId="41" fontId="14" fillId="0" borderId="0" xfId="2" applyFont="1" applyFill="1" applyBorder="1">
      <alignment vertical="center"/>
    </xf>
    <xf numFmtId="43" fontId="14" fillId="0" borderId="0" xfId="2" applyNumberFormat="1" applyFont="1" applyFill="1" applyBorder="1">
      <alignment vertical="center"/>
    </xf>
    <xf numFmtId="178" fontId="34" fillId="0" borderId="2" xfId="0" applyNumberFormat="1" applyFont="1" applyFill="1" applyBorder="1">
      <alignment vertical="center"/>
    </xf>
    <xf numFmtId="0" fontId="45" fillId="0" borderId="0" xfId="0" applyFont="1" applyFill="1" applyAlignment="1">
      <alignment horizontal="left" vertical="center"/>
    </xf>
    <xf numFmtId="178" fontId="48" fillId="0" borderId="12" xfId="0" applyNumberFormat="1" applyFont="1" applyFill="1" applyBorder="1" applyAlignment="1">
      <alignment horizontal="right" vertical="center"/>
    </xf>
    <xf numFmtId="176" fontId="48" fillId="0" borderId="6" xfId="3" applyNumberFormat="1" applyFont="1" applyFill="1" applyBorder="1">
      <alignment vertical="center"/>
    </xf>
    <xf numFmtId="0" fontId="48" fillId="0" borderId="0" xfId="0" applyFont="1" applyFill="1" applyBorder="1" applyAlignment="1">
      <alignment horizontal="left" vertical="center"/>
    </xf>
    <xf numFmtId="178" fontId="46" fillId="0" borderId="5" xfId="0" applyNumberFormat="1" applyFont="1" applyFill="1" applyBorder="1" applyAlignment="1">
      <alignment horizontal="right" vertical="center"/>
    </xf>
    <xf numFmtId="176" fontId="46" fillId="0" borderId="8" xfId="3" applyNumberFormat="1" applyFont="1" applyFill="1" applyBorder="1">
      <alignment vertical="center"/>
    </xf>
    <xf numFmtId="176" fontId="46" fillId="0" borderId="7" xfId="3" applyNumberFormat="1" applyFont="1" applyFill="1" applyBorder="1">
      <alignment vertical="center"/>
    </xf>
    <xf numFmtId="176" fontId="46" fillId="0" borderId="2" xfId="3" applyNumberFormat="1" applyFont="1" applyFill="1" applyBorder="1">
      <alignment vertical="center"/>
    </xf>
    <xf numFmtId="178" fontId="49" fillId="0" borderId="15" xfId="0" applyNumberFormat="1" applyFont="1" applyFill="1" applyBorder="1" applyAlignment="1">
      <alignment horizontal="right" vertical="center"/>
    </xf>
    <xf numFmtId="178" fontId="49" fillId="0" borderId="15" xfId="0" applyNumberFormat="1" applyFont="1" applyFill="1" applyBorder="1">
      <alignment vertical="center"/>
    </xf>
    <xf numFmtId="176" fontId="49" fillId="0" borderId="8" xfId="3" applyNumberFormat="1" applyFont="1" applyFill="1" applyBorder="1">
      <alignment vertical="center"/>
    </xf>
    <xf numFmtId="0" fontId="22" fillId="0" borderId="15" xfId="0" applyFont="1" applyFill="1" applyBorder="1" applyAlignment="1">
      <alignment horizontal="left" vertical="center"/>
    </xf>
    <xf numFmtId="0" fontId="33" fillId="0" borderId="0" xfId="0" applyFont="1" applyFill="1" applyAlignment="1">
      <alignment vertical="top"/>
    </xf>
    <xf numFmtId="0" fontId="45" fillId="0" borderId="0" xfId="0" applyFont="1" applyFill="1">
      <alignment vertical="center"/>
    </xf>
    <xf numFmtId="0" fontId="45" fillId="0" borderId="0" xfId="0" applyFont="1" applyFill="1" applyBorder="1" applyAlignment="1">
      <alignment horizontal="left" vertical="center"/>
    </xf>
    <xf numFmtId="0" fontId="47" fillId="0" borderId="1" xfId="0" applyFont="1" applyFill="1" applyBorder="1" applyAlignment="1">
      <alignment horizontal="left" vertical="center"/>
    </xf>
    <xf numFmtId="178" fontId="48" fillId="0" borderId="6" xfId="0" applyNumberFormat="1" applyFont="1" applyFill="1" applyBorder="1" applyAlignment="1">
      <alignment horizontal="right" vertical="center"/>
    </xf>
    <xf numFmtId="176" fontId="48" fillId="0" borderId="8" xfId="3" applyNumberFormat="1" applyFont="1" applyFill="1" applyBorder="1">
      <alignment vertical="center"/>
    </xf>
    <xf numFmtId="178" fontId="46" fillId="0" borderId="8" xfId="0" applyNumberFormat="1" applyFont="1" applyFill="1" applyBorder="1" applyAlignment="1">
      <alignment horizontal="right" vertical="center"/>
    </xf>
    <xf numFmtId="178" fontId="46" fillId="0" borderId="7" xfId="0" applyNumberFormat="1" applyFont="1" applyFill="1" applyBorder="1" applyAlignment="1">
      <alignment horizontal="right" vertical="center"/>
    </xf>
    <xf numFmtId="176" fontId="46" fillId="0" borderId="0" xfId="3" applyNumberFormat="1" applyFont="1" applyFill="1">
      <alignment vertical="center"/>
    </xf>
    <xf numFmtId="0" fontId="4" fillId="0" borderId="10" xfId="0" applyFont="1" applyFill="1" applyBorder="1" applyAlignment="1">
      <alignment vertical="center"/>
    </xf>
    <xf numFmtId="0" fontId="4" fillId="0" borderId="14" xfId="0" applyFont="1" applyFill="1" applyBorder="1" applyAlignment="1">
      <alignment vertical="center"/>
    </xf>
    <xf numFmtId="0" fontId="9" fillId="0" borderId="10" xfId="0" applyFont="1" applyFill="1" applyBorder="1">
      <alignment vertical="center"/>
    </xf>
    <xf numFmtId="0" fontId="26" fillId="0" borderId="13" xfId="0" applyFont="1" applyFill="1" applyBorder="1" applyAlignment="1">
      <alignment horizontal="left" vertical="center"/>
    </xf>
    <xf numFmtId="176" fontId="34" fillId="0" borderId="6" xfId="3" applyNumberFormat="1" applyFont="1" applyFill="1" applyBorder="1">
      <alignment vertical="center"/>
    </xf>
    <xf numFmtId="177" fontId="34" fillId="0" borderId="8" xfId="3" applyNumberFormat="1" applyFont="1" applyFill="1" applyBorder="1">
      <alignment vertical="center"/>
    </xf>
    <xf numFmtId="0" fontId="34" fillId="0" borderId="4" xfId="0" applyFont="1" applyFill="1" applyBorder="1">
      <alignment vertical="center"/>
    </xf>
    <xf numFmtId="176" fontId="34" fillId="0" borderId="12" xfId="3" applyNumberFormat="1" applyFont="1" applyFill="1" applyBorder="1">
      <alignment vertical="center"/>
    </xf>
    <xf numFmtId="176" fontId="34" fillId="0" borderId="0" xfId="3" applyNumberFormat="1" applyFont="1" applyFill="1">
      <alignment vertical="center"/>
    </xf>
    <xf numFmtId="182" fontId="22" fillId="0" borderId="8" xfId="3" applyNumberFormat="1" applyFont="1" applyFill="1" applyBorder="1">
      <alignment vertical="center"/>
    </xf>
    <xf numFmtId="184" fontId="22" fillId="0" borderId="8" xfId="3" applyNumberFormat="1" applyFont="1" applyFill="1" applyBorder="1">
      <alignment vertical="center"/>
    </xf>
    <xf numFmtId="182" fontId="22" fillId="0" borderId="0" xfId="0" applyNumberFormat="1" applyFont="1" applyFill="1">
      <alignment vertical="center"/>
    </xf>
    <xf numFmtId="0" fontId="22" fillId="0" borderId="1" xfId="0" applyFont="1" applyFill="1" applyBorder="1">
      <alignment vertical="center"/>
    </xf>
    <xf numFmtId="0" fontId="18" fillId="0" borderId="10" xfId="0" applyFont="1" applyFill="1" applyBorder="1" applyAlignment="1">
      <alignment horizontal="left" vertical="center"/>
    </xf>
    <xf numFmtId="178" fontId="22" fillId="0" borderId="10" xfId="2" applyNumberFormat="1" applyFont="1" applyFill="1" applyBorder="1">
      <alignment vertical="center"/>
    </xf>
    <xf numFmtId="176" fontId="22" fillId="0" borderId="10" xfId="3" applyNumberFormat="1" applyFont="1" applyFill="1" applyBorder="1">
      <alignment vertical="center"/>
    </xf>
    <xf numFmtId="0" fontId="34" fillId="0" borderId="0" xfId="0" applyFont="1" applyFill="1" applyBorder="1">
      <alignment vertical="center"/>
    </xf>
    <xf numFmtId="176" fontId="34" fillId="0" borderId="8" xfId="3" applyNumberFormat="1" applyFont="1" applyFill="1" applyBorder="1">
      <alignment vertical="center"/>
    </xf>
    <xf numFmtId="0" fontId="22" fillId="0" borderId="1" xfId="0" applyFont="1" applyFill="1" applyBorder="1" applyAlignment="1">
      <alignment horizontal="left" vertical="center" indent="1"/>
    </xf>
    <xf numFmtId="179" fontId="22" fillId="0" borderId="0" xfId="2" applyNumberFormat="1" applyFont="1" applyFill="1" applyBorder="1">
      <alignment vertical="center"/>
    </xf>
    <xf numFmtId="179" fontId="22" fillId="0" borderId="14" xfId="2" applyNumberFormat="1" applyFont="1" applyFill="1" applyBorder="1">
      <alignment vertical="center"/>
    </xf>
    <xf numFmtId="179" fontId="22" fillId="0" borderId="2" xfId="2" applyNumberFormat="1" applyFont="1" applyFill="1" applyBorder="1">
      <alignment vertical="center"/>
    </xf>
    <xf numFmtId="0" fontId="22" fillId="0" borderId="13" xfId="0" applyFont="1" applyFill="1" applyBorder="1" applyAlignment="1">
      <alignment horizontal="left" vertical="center" indent="1"/>
    </xf>
    <xf numFmtId="176" fontId="22" fillId="0" borderId="0" xfId="0" applyNumberFormat="1" applyFont="1" applyFill="1" applyBorder="1">
      <alignment vertical="center"/>
    </xf>
    <xf numFmtId="0" fontId="27" fillId="0" borderId="0" xfId="0" applyFont="1" applyFill="1" applyBorder="1" applyAlignment="1">
      <alignment horizontal="left" vertical="center" indent="1"/>
    </xf>
    <xf numFmtId="182" fontId="22" fillId="0" borderId="0" xfId="0" applyNumberFormat="1" applyFont="1" applyFill="1" applyBorder="1">
      <alignment vertical="center"/>
    </xf>
    <xf numFmtId="187" fontId="22" fillId="0" borderId="0" xfId="0" applyNumberFormat="1" applyFont="1" applyFill="1" applyBorder="1">
      <alignment vertical="center"/>
    </xf>
    <xf numFmtId="0" fontId="22" fillId="0" borderId="8" xfId="0" applyFont="1" applyFill="1" applyBorder="1" applyAlignment="1">
      <alignment horizontal="center" vertical="center"/>
    </xf>
    <xf numFmtId="186" fontId="22" fillId="0" borderId="8" xfId="0" applyNumberFormat="1" applyFont="1" applyFill="1" applyBorder="1" applyAlignment="1">
      <alignment horizontal="center" vertical="center"/>
    </xf>
    <xf numFmtId="0" fontId="22" fillId="0" borderId="7" xfId="0" applyFont="1" applyFill="1" applyBorder="1" applyAlignment="1">
      <alignment horizontal="center" vertical="center" wrapText="1"/>
    </xf>
    <xf numFmtId="0" fontId="22" fillId="0" borderId="15" xfId="0" applyFont="1" applyFill="1" applyBorder="1" applyAlignment="1">
      <alignment horizontal="center" vertical="center" wrapText="1"/>
    </xf>
    <xf numFmtId="0" fontId="22" fillId="0" borderId="8" xfId="0" applyFont="1" applyFill="1" applyBorder="1" applyAlignment="1">
      <alignment horizontal="center" vertical="center" wrapText="1"/>
    </xf>
    <xf numFmtId="176" fontId="34" fillId="0" borderId="2" xfId="3" applyNumberFormat="1" applyFont="1" applyFill="1" applyBorder="1">
      <alignment vertical="center"/>
    </xf>
    <xf numFmtId="177" fontId="34" fillId="0" borderId="2" xfId="3" applyNumberFormat="1" applyFont="1" applyFill="1" applyBorder="1">
      <alignment vertical="center"/>
    </xf>
    <xf numFmtId="182" fontId="34" fillId="0" borderId="14" xfId="3" applyNumberFormat="1" applyFont="1" applyFill="1" applyBorder="1">
      <alignment vertical="center"/>
    </xf>
    <xf numFmtId="183" fontId="34" fillId="0" borderId="14" xfId="2" applyNumberFormat="1" applyFont="1" applyFill="1" applyBorder="1">
      <alignment vertical="center"/>
    </xf>
    <xf numFmtId="183" fontId="34" fillId="0" borderId="2" xfId="2" applyNumberFormat="1" applyFont="1" applyFill="1" applyBorder="1">
      <alignment vertical="center"/>
    </xf>
    <xf numFmtId="182" fontId="34" fillId="0" borderId="2" xfId="3" applyNumberFormat="1" applyFont="1" applyFill="1" applyBorder="1">
      <alignment vertical="center"/>
    </xf>
    <xf numFmtId="178" fontId="22" fillId="0" borderId="3" xfId="2" applyNumberFormat="1" applyFont="1" applyFill="1" applyBorder="1">
      <alignment vertical="center"/>
    </xf>
    <xf numFmtId="176" fontId="22" fillId="0" borderId="3" xfId="3" applyNumberFormat="1" applyFont="1" applyFill="1" applyBorder="1">
      <alignment vertical="center"/>
    </xf>
    <xf numFmtId="177" fontId="22" fillId="0" borderId="3" xfId="3" applyNumberFormat="1" applyFont="1" applyFill="1" applyBorder="1">
      <alignment vertical="center"/>
    </xf>
    <xf numFmtId="182" fontId="22" fillId="0" borderId="1" xfId="3" applyNumberFormat="1" applyFont="1" applyFill="1" applyBorder="1">
      <alignment vertical="center"/>
    </xf>
    <xf numFmtId="182" fontId="22" fillId="0" borderId="0" xfId="3" applyNumberFormat="1" applyFont="1" applyFill="1" applyBorder="1">
      <alignment vertical="center"/>
    </xf>
    <xf numFmtId="182" fontId="22" fillId="0" borderId="7" xfId="3" applyNumberFormat="1" applyFont="1" applyFill="1" applyBorder="1">
      <alignment vertical="center"/>
    </xf>
    <xf numFmtId="182" fontId="22" fillId="0" borderId="3" xfId="3" applyNumberFormat="1" applyFont="1" applyFill="1" applyBorder="1">
      <alignment vertical="center"/>
    </xf>
    <xf numFmtId="0" fontId="31" fillId="0" borderId="13" xfId="0" applyFont="1" applyFill="1" applyBorder="1" applyAlignment="1">
      <alignment horizontal="right" vertical="top"/>
    </xf>
    <xf numFmtId="0" fontId="31" fillId="0" borderId="13" xfId="0" applyFont="1" applyFill="1" applyBorder="1" applyAlignment="1">
      <alignment horizontal="right" vertical="center"/>
    </xf>
    <xf numFmtId="0" fontId="31" fillId="0" borderId="0" xfId="0" applyFont="1" applyFill="1" applyBorder="1" applyAlignment="1">
      <alignment horizontal="right" vertical="center"/>
    </xf>
    <xf numFmtId="178" fontId="22" fillId="0" borderId="1" xfId="2" applyNumberFormat="1" applyFont="1" applyFill="1" applyBorder="1">
      <alignment vertical="center"/>
    </xf>
    <xf numFmtId="176" fontId="22" fillId="0" borderId="1" xfId="3" applyNumberFormat="1" applyFont="1" applyFill="1" applyBorder="1">
      <alignment vertical="center"/>
    </xf>
    <xf numFmtId="0" fontId="23" fillId="0" borderId="0" xfId="0" applyFont="1" applyFill="1" applyAlignment="1">
      <alignment horizontal="center" vertical="center"/>
    </xf>
    <xf numFmtId="0" fontId="22" fillId="0" borderId="12" xfId="0" applyFont="1" applyFill="1" applyBorder="1" applyAlignment="1">
      <alignment horizontal="left" vertical="center"/>
    </xf>
    <xf numFmtId="0" fontId="22" fillId="0" borderId="13" xfId="0" applyFont="1" applyFill="1" applyBorder="1" applyAlignment="1">
      <alignment horizontal="left" vertical="center"/>
    </xf>
    <xf numFmtId="0" fontId="22" fillId="0" borderId="1" xfId="0" applyFont="1" applyFill="1" applyBorder="1" applyAlignment="1">
      <alignment vertical="center"/>
    </xf>
    <xf numFmtId="0" fontId="39" fillId="0" borderId="0" xfId="0" applyFont="1" applyFill="1" applyAlignment="1">
      <alignment vertical="center"/>
    </xf>
    <xf numFmtId="0" fontId="42" fillId="0" borderId="0" xfId="0" applyFont="1" applyFill="1">
      <alignment vertical="center"/>
    </xf>
    <xf numFmtId="0" fontId="49" fillId="0" borderId="0" xfId="0" applyFont="1">
      <alignment vertical="center"/>
    </xf>
    <xf numFmtId="0" fontId="45" fillId="0" borderId="11" xfId="0" applyFont="1" applyBorder="1">
      <alignment vertical="center"/>
    </xf>
    <xf numFmtId="0" fontId="45" fillId="0" borderId="3" xfId="0" applyFont="1" applyBorder="1">
      <alignment vertical="center"/>
    </xf>
    <xf numFmtId="0" fontId="45" fillId="0" borderId="9" xfId="0" applyFont="1" applyBorder="1">
      <alignment vertical="center"/>
    </xf>
    <xf numFmtId="0" fontId="45" fillId="0" borderId="4" xfId="0" applyFont="1" applyBorder="1">
      <alignment vertical="center"/>
    </xf>
    <xf numFmtId="188" fontId="22" fillId="0" borderId="12" xfId="2" applyNumberFormat="1" applyFont="1" applyFill="1" applyBorder="1">
      <alignment vertical="center"/>
    </xf>
    <xf numFmtId="178" fontId="22" fillId="0" borderId="14" xfId="2" applyNumberFormat="1" applyFont="1" applyFill="1" applyBorder="1">
      <alignment vertical="center"/>
    </xf>
    <xf numFmtId="194" fontId="4" fillId="0" borderId="0" xfId="0" applyNumberFormat="1" applyFont="1" applyFill="1">
      <alignment vertical="center"/>
    </xf>
    <xf numFmtId="0" fontId="46" fillId="0" borderId="0" xfId="0" applyFont="1" applyFill="1">
      <alignment vertical="center"/>
    </xf>
    <xf numFmtId="0" fontId="46" fillId="0" borderId="0" xfId="0" applyFont="1" applyFill="1" applyBorder="1" applyAlignment="1"/>
    <xf numFmtId="0" fontId="45" fillId="0" borderId="10" xfId="4" applyFont="1" applyFill="1" applyBorder="1">
      <alignment vertical="center"/>
    </xf>
    <xf numFmtId="0" fontId="45" fillId="0" borderId="0" xfId="4" applyFont="1" applyFill="1" applyBorder="1">
      <alignment vertical="center"/>
    </xf>
    <xf numFmtId="0" fontId="45" fillId="0" borderId="1" xfId="4" applyFont="1" applyFill="1" applyBorder="1">
      <alignment vertical="center"/>
    </xf>
    <xf numFmtId="0" fontId="45" fillId="0" borderId="0" xfId="0" applyFont="1" applyFill="1" applyAlignment="1"/>
    <xf numFmtId="0" fontId="48" fillId="0" borderId="0" xfId="0" applyFont="1" applyFill="1" applyBorder="1">
      <alignment vertical="center"/>
    </xf>
    <xf numFmtId="193" fontId="45" fillId="0" borderId="0" xfId="0" applyNumberFormat="1" applyFont="1" applyFill="1">
      <alignment vertical="center"/>
    </xf>
    <xf numFmtId="0" fontId="52" fillId="0" borderId="0" xfId="0" applyFont="1" applyFill="1" applyBorder="1">
      <alignment vertical="center"/>
    </xf>
    <xf numFmtId="179" fontId="34" fillId="0" borderId="8" xfId="2" applyNumberFormat="1" applyFont="1" applyFill="1" applyBorder="1">
      <alignment vertical="center"/>
    </xf>
    <xf numFmtId="179" fontId="34" fillId="0" borderId="4" xfId="0" applyNumberFormat="1" applyFont="1" applyFill="1" applyBorder="1">
      <alignment vertical="center"/>
    </xf>
    <xf numFmtId="179" fontId="22" fillId="0" borderId="8" xfId="2" applyNumberFormat="1" applyFont="1" applyFill="1" applyBorder="1">
      <alignment vertical="center"/>
    </xf>
    <xf numFmtId="179" fontId="34" fillId="0" borderId="0" xfId="0" applyNumberFormat="1" applyFont="1" applyFill="1">
      <alignment vertical="center"/>
    </xf>
    <xf numFmtId="176" fontId="49" fillId="0" borderId="15" xfId="3" applyNumberFormat="1" applyFont="1" applyFill="1" applyBorder="1" applyAlignment="1">
      <alignment horizontal="right" vertical="center"/>
    </xf>
    <xf numFmtId="0" fontId="48" fillId="0" borderId="1" xfId="0" applyFont="1" applyFill="1" applyBorder="1" applyAlignment="1">
      <alignment horizontal="left" vertical="center"/>
    </xf>
    <xf numFmtId="178" fontId="49" fillId="0" borderId="7" xfId="0" applyNumberFormat="1" applyFont="1" applyFill="1" applyBorder="1" applyAlignment="1">
      <alignment horizontal="right" vertical="center"/>
    </xf>
    <xf numFmtId="190" fontId="49" fillId="0" borderId="2" xfId="3" applyNumberFormat="1" applyFont="1" applyFill="1" applyBorder="1">
      <alignment vertical="center"/>
    </xf>
    <xf numFmtId="176" fontId="53" fillId="0" borderId="0" xfId="3" applyNumberFormat="1" applyFont="1" applyFill="1" applyBorder="1">
      <alignment vertical="center"/>
    </xf>
    <xf numFmtId="176" fontId="22" fillId="0" borderId="2" xfId="3" applyNumberFormat="1" applyFont="1" applyFill="1" applyBorder="1" applyAlignment="1">
      <alignment horizontal="center" vertical="center"/>
    </xf>
    <xf numFmtId="176" fontId="22" fillId="0" borderId="14" xfId="3" applyNumberFormat="1" applyFont="1" applyFill="1" applyBorder="1" applyAlignment="1">
      <alignment horizontal="center" vertical="center"/>
    </xf>
    <xf numFmtId="176" fontId="4" fillId="0" borderId="7" xfId="0" applyNumberFormat="1" applyFont="1" applyFill="1" applyBorder="1" applyAlignment="1">
      <alignment horizontal="center" vertical="center"/>
    </xf>
    <xf numFmtId="176" fontId="4" fillId="0" borderId="14" xfId="0" applyNumberFormat="1" applyFont="1" applyFill="1" applyBorder="1" applyAlignment="1">
      <alignment horizontal="center" vertical="center"/>
    </xf>
    <xf numFmtId="0" fontId="22" fillId="0" borderId="10" xfId="0" applyFont="1" applyFill="1" applyBorder="1" applyAlignment="1">
      <alignment vertical="center"/>
    </xf>
    <xf numFmtId="0" fontId="22" fillId="0" borderId="14" xfId="0" applyFont="1" applyFill="1" applyBorder="1" applyAlignment="1">
      <alignment vertical="center"/>
    </xf>
    <xf numFmtId="0" fontId="54" fillId="0" borderId="0" xfId="0" applyFont="1">
      <alignment vertical="center"/>
    </xf>
    <xf numFmtId="187" fontId="4" fillId="0" borderId="0" xfId="0" applyNumberFormat="1" applyFont="1" applyFill="1" applyBorder="1">
      <alignment vertical="center"/>
    </xf>
    <xf numFmtId="0" fontId="46" fillId="0" borderId="11" xfId="0" applyFont="1" applyFill="1" applyBorder="1">
      <alignment vertical="center"/>
    </xf>
    <xf numFmtId="3" fontId="46" fillId="0" borderId="0" xfId="0" applyNumberFormat="1" applyFont="1" applyFill="1">
      <alignment vertical="center"/>
    </xf>
    <xf numFmtId="3" fontId="46" fillId="0" borderId="8" xfId="0" applyNumberFormat="1" applyFont="1" applyFill="1" applyBorder="1">
      <alignment vertical="center"/>
    </xf>
    <xf numFmtId="176" fontId="46" fillId="0" borderId="0" xfId="0" applyNumberFormat="1" applyFont="1" applyFill="1">
      <alignment vertical="center"/>
    </xf>
    <xf numFmtId="10" fontId="46" fillId="0" borderId="0" xfId="0" applyNumberFormat="1" applyFont="1" applyFill="1">
      <alignment vertical="center"/>
    </xf>
    <xf numFmtId="41" fontId="46" fillId="0" borderId="5" xfId="2" applyFont="1" applyFill="1" applyBorder="1">
      <alignment vertical="center"/>
    </xf>
    <xf numFmtId="41" fontId="46" fillId="0" borderId="8" xfId="2" applyFont="1" applyFill="1" applyBorder="1">
      <alignment vertical="center"/>
    </xf>
    <xf numFmtId="41" fontId="46" fillId="0" borderId="4" xfId="2" applyFont="1" applyFill="1" applyBorder="1">
      <alignment vertical="center"/>
    </xf>
    <xf numFmtId="41" fontId="45" fillId="0" borderId="4" xfId="2" applyFont="1" applyFill="1" applyBorder="1">
      <alignment vertical="center"/>
    </xf>
    <xf numFmtId="41" fontId="45" fillId="0" borderId="8" xfId="2" applyFont="1" applyFill="1" applyBorder="1">
      <alignment vertical="center"/>
    </xf>
    <xf numFmtId="41" fontId="46" fillId="0" borderId="0" xfId="2" applyFont="1" applyFill="1">
      <alignment vertical="center"/>
    </xf>
    <xf numFmtId="0" fontId="46" fillId="0" borderId="4" xfId="0" applyFont="1" applyFill="1" applyBorder="1">
      <alignment vertical="center"/>
    </xf>
    <xf numFmtId="0" fontId="46" fillId="0" borderId="3" xfId="0" applyFont="1" applyFill="1" applyBorder="1">
      <alignment vertical="center"/>
    </xf>
    <xf numFmtId="3" fontId="46" fillId="0" borderId="7" xfId="0" applyNumberFormat="1" applyFont="1" applyFill="1" applyBorder="1">
      <alignment vertical="center"/>
    </xf>
    <xf numFmtId="176" fontId="46" fillId="0" borderId="3" xfId="0" applyNumberFormat="1" applyFont="1" applyFill="1" applyBorder="1">
      <alignment vertical="center"/>
    </xf>
    <xf numFmtId="10" fontId="46" fillId="0" borderId="0" xfId="0" applyNumberFormat="1" applyFont="1" applyFill="1" applyBorder="1">
      <alignment vertical="center"/>
    </xf>
    <xf numFmtId="41" fontId="46" fillId="0" borderId="15" xfId="2" applyFont="1" applyFill="1" applyBorder="1">
      <alignment vertical="center"/>
    </xf>
    <xf numFmtId="0" fontId="46" fillId="0" borderId="10" xfId="0" applyFont="1" applyFill="1" applyBorder="1">
      <alignment vertical="center"/>
    </xf>
    <xf numFmtId="0" fontId="45" fillId="0" borderId="10" xfId="0" applyFont="1" applyFill="1" applyBorder="1">
      <alignment vertical="center"/>
    </xf>
    <xf numFmtId="41" fontId="46" fillId="0" borderId="0" xfId="0" applyNumberFormat="1" applyFont="1" applyFill="1">
      <alignment vertical="center"/>
    </xf>
    <xf numFmtId="176" fontId="46" fillId="0" borderId="1" xfId="3" applyNumberFormat="1" applyFont="1" applyFill="1" applyBorder="1">
      <alignment vertical="center"/>
    </xf>
    <xf numFmtId="41" fontId="45" fillId="0" borderId="7" xfId="2" applyFont="1" applyFill="1" applyBorder="1">
      <alignment vertical="center"/>
    </xf>
    <xf numFmtId="41" fontId="45" fillId="0" borderId="3" xfId="2" applyFont="1" applyFill="1" applyBorder="1">
      <alignment vertical="center"/>
    </xf>
    <xf numFmtId="41" fontId="46" fillId="0" borderId="3" xfId="2" applyFont="1" applyFill="1" applyBorder="1">
      <alignment vertical="center"/>
    </xf>
    <xf numFmtId="0" fontId="55" fillId="0" borderId="0" xfId="0" applyFont="1" applyFill="1">
      <alignment vertical="center"/>
    </xf>
    <xf numFmtId="196" fontId="46" fillId="0" borderId="2" xfId="0" applyNumberFormat="1" applyFont="1" applyFill="1" applyBorder="1" applyAlignment="1">
      <alignment horizontal="center" vertical="center"/>
    </xf>
    <xf numFmtId="0" fontId="56" fillId="0" borderId="0" xfId="0" applyFont="1" applyFill="1" applyAlignment="1">
      <alignment vertical="top"/>
    </xf>
    <xf numFmtId="183" fontId="4" fillId="0" borderId="0" xfId="2" applyNumberFormat="1" applyFont="1" applyFill="1" applyBorder="1">
      <alignment vertical="center"/>
    </xf>
    <xf numFmtId="178" fontId="22" fillId="0" borderId="0" xfId="6" applyNumberFormat="1" applyFont="1" applyFill="1" applyBorder="1">
      <alignment vertical="center"/>
    </xf>
    <xf numFmtId="178" fontId="4" fillId="0" borderId="2" xfId="0" applyNumberFormat="1" applyFont="1" applyFill="1" applyBorder="1" applyAlignment="1">
      <alignment horizontal="center" vertical="center"/>
    </xf>
    <xf numFmtId="0" fontId="57" fillId="0" borderId="0" xfId="0" applyFont="1" applyFill="1" applyBorder="1" applyAlignment="1">
      <alignment horizontal="left" vertical="center"/>
    </xf>
    <xf numFmtId="0" fontId="58" fillId="0" borderId="0" xfId="0" applyFont="1" applyFill="1" applyBorder="1" applyAlignment="1">
      <alignment horizontal="left" vertical="center"/>
    </xf>
    <xf numFmtId="177" fontId="49" fillId="0" borderId="2" xfId="3" applyNumberFormat="1" applyFont="1" applyFill="1" applyBorder="1">
      <alignment vertical="center"/>
    </xf>
    <xf numFmtId="0" fontId="59" fillId="0" borderId="0" xfId="0" applyFont="1" applyFill="1">
      <alignment vertical="center"/>
    </xf>
    <xf numFmtId="0" fontId="60" fillId="0" borderId="0" xfId="0" applyFont="1" applyFill="1">
      <alignment vertical="center"/>
    </xf>
    <xf numFmtId="0" fontId="36" fillId="0" borderId="0" xfId="0" applyFont="1" applyFill="1" applyAlignment="1">
      <alignment horizontal="center" vertical="center"/>
    </xf>
    <xf numFmtId="186" fontId="36" fillId="0" borderId="10" xfId="0" applyNumberFormat="1" applyFont="1" applyFill="1" applyBorder="1" applyAlignment="1">
      <alignment horizontal="center" vertical="center"/>
    </xf>
    <xf numFmtId="0" fontId="36" fillId="0" borderId="15" xfId="0" applyFont="1" applyFill="1" applyBorder="1" applyAlignment="1">
      <alignment horizontal="center" vertical="center" wrapText="1"/>
    </xf>
    <xf numFmtId="0" fontId="36" fillId="0" borderId="7" xfId="0" applyFont="1" applyFill="1" applyBorder="1" applyAlignment="1">
      <alignment horizontal="center" vertical="center" wrapText="1"/>
    </xf>
    <xf numFmtId="176" fontId="62" fillId="0" borderId="14" xfId="3" applyNumberFormat="1" applyFont="1" applyFill="1" applyBorder="1">
      <alignment vertical="center"/>
    </xf>
    <xf numFmtId="178" fontId="62" fillId="0" borderId="2" xfId="2" applyNumberFormat="1" applyFont="1" applyFill="1" applyBorder="1">
      <alignment vertical="center"/>
    </xf>
    <xf numFmtId="176" fontId="62" fillId="0" borderId="2" xfId="3" applyNumberFormat="1" applyFont="1" applyFill="1" applyBorder="1">
      <alignment vertical="center"/>
    </xf>
    <xf numFmtId="0" fontId="62" fillId="0" borderId="0" xfId="0" applyFont="1" applyFill="1" applyBorder="1">
      <alignment vertical="center"/>
    </xf>
    <xf numFmtId="176" fontId="36" fillId="0" borderId="5" xfId="3" applyNumberFormat="1" applyFont="1" applyFill="1" applyBorder="1">
      <alignment vertical="center"/>
    </xf>
    <xf numFmtId="178" fontId="36" fillId="0" borderId="8" xfId="2" applyNumberFormat="1" applyFont="1" applyFill="1" applyBorder="1">
      <alignment vertical="center"/>
    </xf>
    <xf numFmtId="176" fontId="36" fillId="0" borderId="8" xfId="3" applyNumberFormat="1" applyFont="1" applyFill="1" applyBorder="1">
      <alignment vertical="center"/>
    </xf>
    <xf numFmtId="178" fontId="63" fillId="0" borderId="14" xfId="2" applyNumberFormat="1" applyFont="1" applyFill="1" applyBorder="1">
      <alignment vertical="center"/>
    </xf>
    <xf numFmtId="0" fontId="63" fillId="0" borderId="13" xfId="0" applyFont="1" applyFill="1" applyBorder="1" applyAlignment="1">
      <alignment horizontal="left" vertical="top"/>
    </xf>
    <xf numFmtId="178" fontId="36" fillId="0" borderId="13" xfId="2" applyNumberFormat="1" applyFont="1" applyFill="1" applyBorder="1">
      <alignment vertical="center"/>
    </xf>
    <xf numFmtId="178" fontId="36" fillId="0" borderId="1" xfId="2" applyNumberFormat="1" applyFont="1" applyFill="1" applyBorder="1">
      <alignment vertical="center"/>
    </xf>
    <xf numFmtId="0" fontId="64" fillId="0" borderId="0" xfId="0" applyFont="1" applyFill="1" applyBorder="1">
      <alignment vertical="center"/>
    </xf>
    <xf numFmtId="183" fontId="36" fillId="0" borderId="0" xfId="2" applyNumberFormat="1" applyFont="1" applyFill="1" applyBorder="1">
      <alignment vertical="center"/>
    </xf>
    <xf numFmtId="0" fontId="63" fillId="0" borderId="0" xfId="0" applyFont="1" applyFill="1" applyBorder="1" applyAlignment="1">
      <alignment horizontal="left" vertical="top"/>
    </xf>
    <xf numFmtId="176" fontId="36" fillId="0" borderId="0" xfId="3" applyNumberFormat="1" applyFont="1" applyFill="1">
      <alignment vertical="center"/>
    </xf>
    <xf numFmtId="0" fontId="61" fillId="0" borderId="0" xfId="0" applyFont="1" applyFill="1">
      <alignment vertical="center"/>
    </xf>
    <xf numFmtId="0" fontId="36" fillId="0" borderId="0" xfId="0" quotePrefix="1" applyFont="1" applyFill="1">
      <alignment vertical="center"/>
    </xf>
    <xf numFmtId="178" fontId="34" fillId="0" borderId="5" xfId="2" applyNumberFormat="1" applyFont="1" applyFill="1" applyBorder="1">
      <alignment vertical="center"/>
    </xf>
    <xf numFmtId="0" fontId="19" fillId="0" borderId="7" xfId="0" applyFont="1" applyFill="1" applyBorder="1" applyAlignment="1">
      <alignment horizontal="center" vertical="center"/>
    </xf>
    <xf numFmtId="0" fontId="7" fillId="0" borderId="2" xfId="0" applyFont="1" applyFill="1" applyBorder="1" applyAlignment="1">
      <alignment horizontal="center" vertical="center"/>
    </xf>
    <xf numFmtId="0" fontId="48" fillId="0" borderId="0" xfId="0" applyFont="1" applyFill="1" applyAlignment="1">
      <alignment horizontal="left" vertical="center"/>
    </xf>
    <xf numFmtId="0" fontId="46" fillId="0" borderId="13" xfId="0" applyFont="1" applyFill="1" applyBorder="1" applyAlignment="1">
      <alignment horizontal="left" vertical="center" indent="1"/>
    </xf>
    <xf numFmtId="0" fontId="46" fillId="0" borderId="0" xfId="0" applyFont="1" applyFill="1" applyAlignment="1">
      <alignment horizontal="left" vertical="center" indent="1"/>
    </xf>
    <xf numFmtId="0" fontId="48" fillId="0" borderId="10" xfId="0" applyFont="1" applyFill="1" applyBorder="1" applyAlignment="1">
      <alignment horizontal="left" vertical="center"/>
    </xf>
    <xf numFmtId="0" fontId="46" fillId="0" borderId="10" xfId="0" applyFont="1" applyFill="1" applyBorder="1" applyAlignment="1">
      <alignment horizontal="left" vertical="center"/>
    </xf>
    <xf numFmtId="0" fontId="48" fillId="0" borderId="1" xfId="0" applyFont="1" applyFill="1" applyBorder="1" applyAlignment="1">
      <alignment horizontal="left" vertical="center" indent="1"/>
    </xf>
    <xf numFmtId="0" fontId="46" fillId="0" borderId="0" xfId="0" applyFont="1" applyFill="1" applyAlignment="1">
      <alignment horizontal="left" vertical="center"/>
    </xf>
    <xf numFmtId="0" fontId="46" fillId="0" borderId="0" xfId="0" applyFont="1" applyFill="1" applyAlignment="1">
      <alignment horizontal="center" vertical="center"/>
    </xf>
    <xf numFmtId="0" fontId="46" fillId="0" borderId="0" xfId="0" applyFont="1" applyFill="1" applyBorder="1" applyAlignment="1">
      <alignment horizontal="left" vertical="center" indent="1"/>
    </xf>
    <xf numFmtId="41" fontId="45" fillId="0" borderId="0" xfId="2" applyFont="1" applyFill="1">
      <alignment vertical="center"/>
    </xf>
    <xf numFmtId="9" fontId="55" fillId="0" borderId="0" xfId="3" applyFont="1" applyFill="1">
      <alignment vertical="center"/>
    </xf>
    <xf numFmtId="41" fontId="55" fillId="0" borderId="0" xfId="2" applyFont="1" applyFill="1">
      <alignment vertical="center"/>
    </xf>
    <xf numFmtId="0" fontId="46" fillId="0" borderId="4" xfId="0" applyFont="1" applyFill="1" applyBorder="1" applyAlignment="1">
      <alignment horizontal="center" vertical="center"/>
    </xf>
    <xf numFmtId="0" fontId="46" fillId="0" borderId="0" xfId="0" applyFont="1" applyFill="1" applyBorder="1" applyAlignment="1">
      <alignment horizontal="center" vertical="center"/>
    </xf>
    <xf numFmtId="0" fontId="46" fillId="0" borderId="14" xfId="0" applyFont="1" applyFill="1" applyBorder="1" applyAlignment="1">
      <alignment vertical="center"/>
    </xf>
    <xf numFmtId="0" fontId="46" fillId="0" borderId="7" xfId="0" applyFont="1" applyFill="1" applyBorder="1" applyAlignment="1">
      <alignment horizontal="center" vertical="center" wrapText="1"/>
    </xf>
    <xf numFmtId="0" fontId="46" fillId="0" borderId="3" xfId="0" applyFont="1" applyFill="1" applyBorder="1" applyAlignment="1">
      <alignment horizontal="center" vertical="center" wrapText="1"/>
    </xf>
    <xf numFmtId="0" fontId="46" fillId="0" borderId="4" xfId="0" applyFont="1" applyFill="1" applyBorder="1" applyAlignment="1">
      <alignment horizontal="center" vertical="center" wrapText="1"/>
    </xf>
    <xf numFmtId="0" fontId="46" fillId="0" borderId="0" xfId="0" applyFont="1" applyFill="1" applyBorder="1" applyAlignment="1">
      <alignment horizontal="center" vertical="center" wrapText="1"/>
    </xf>
    <xf numFmtId="178" fontId="48" fillId="0" borderId="8" xfId="2" applyNumberFormat="1" applyFont="1" applyFill="1" applyBorder="1">
      <alignment vertical="center"/>
    </xf>
    <xf numFmtId="176" fontId="48" fillId="0" borderId="4" xfId="3" applyNumberFormat="1" applyFont="1" applyFill="1" applyBorder="1">
      <alignment vertical="center"/>
    </xf>
    <xf numFmtId="176" fontId="48" fillId="0" borderId="0" xfId="3" applyNumberFormat="1" applyFont="1" applyFill="1" applyBorder="1">
      <alignment vertical="center"/>
    </xf>
    <xf numFmtId="178" fontId="46" fillId="0" borderId="6" xfId="2" applyNumberFormat="1" applyFont="1" applyFill="1" applyBorder="1">
      <alignment vertical="center"/>
    </xf>
    <xf numFmtId="176" fontId="46" fillId="0" borderId="6" xfId="3" applyNumberFormat="1" applyFont="1" applyFill="1" applyBorder="1">
      <alignment vertical="center"/>
    </xf>
    <xf numFmtId="176" fontId="46" fillId="0" borderId="11" xfId="3" applyNumberFormat="1" applyFont="1" applyFill="1" applyBorder="1">
      <alignment vertical="center"/>
    </xf>
    <xf numFmtId="176" fontId="46" fillId="0" borderId="4" xfId="3" applyNumberFormat="1" applyFont="1" applyFill="1" applyBorder="1">
      <alignment vertical="center"/>
    </xf>
    <xf numFmtId="176" fontId="46" fillId="0" borderId="0" xfId="3" applyNumberFormat="1" applyFont="1" applyFill="1" applyBorder="1">
      <alignment vertical="center"/>
    </xf>
    <xf numFmtId="0" fontId="46" fillId="0" borderId="0" xfId="0" applyFont="1" applyFill="1" applyAlignment="1">
      <alignment horizontal="left" vertical="center" indent="2"/>
    </xf>
    <xf numFmtId="178" fontId="46" fillId="0" borderId="8" xfId="2" applyNumberFormat="1" applyFont="1" applyFill="1" applyBorder="1">
      <alignment vertical="center"/>
    </xf>
    <xf numFmtId="178" fontId="48" fillId="0" borderId="2" xfId="2" applyNumberFormat="1" applyFont="1" applyFill="1" applyBorder="1">
      <alignment vertical="center"/>
    </xf>
    <xf numFmtId="176" fontId="48" fillId="0" borderId="2" xfId="3" applyNumberFormat="1" applyFont="1" applyFill="1" applyBorder="1">
      <alignment vertical="center"/>
    </xf>
    <xf numFmtId="176" fontId="48" fillId="0" borderId="9" xfId="3" applyNumberFormat="1" applyFont="1" applyFill="1" applyBorder="1">
      <alignment vertical="center"/>
    </xf>
    <xf numFmtId="178" fontId="48" fillId="0" borderId="6" xfId="2" applyNumberFormat="1" applyFont="1" applyFill="1" applyBorder="1">
      <alignment vertical="center"/>
    </xf>
    <xf numFmtId="176" fontId="48" fillId="0" borderId="11" xfId="3" applyNumberFormat="1" applyFont="1" applyFill="1" applyBorder="1">
      <alignment vertical="center"/>
    </xf>
    <xf numFmtId="178" fontId="48" fillId="0" borderId="0" xfId="0" applyNumberFormat="1" applyFont="1" applyFill="1">
      <alignment vertical="center"/>
    </xf>
    <xf numFmtId="176" fontId="48" fillId="0" borderId="0" xfId="3" applyNumberFormat="1" applyFont="1" applyFill="1">
      <alignment vertical="center"/>
    </xf>
    <xf numFmtId="0" fontId="46" fillId="0" borderId="13" xfId="0" applyFont="1" applyFill="1" applyBorder="1" applyAlignment="1">
      <alignment horizontal="left" vertical="center"/>
    </xf>
    <xf numFmtId="176" fontId="46" fillId="0" borderId="13" xfId="3" applyNumberFormat="1" applyFont="1" applyFill="1" applyBorder="1">
      <alignment vertical="center"/>
    </xf>
    <xf numFmtId="176" fontId="48" fillId="0" borderId="7" xfId="3" applyNumberFormat="1" applyFont="1" applyFill="1" applyBorder="1">
      <alignment vertical="center"/>
    </xf>
    <xf numFmtId="178" fontId="48" fillId="0" borderId="7" xfId="2" applyNumberFormat="1" applyFont="1" applyFill="1" applyBorder="1">
      <alignment vertical="center"/>
    </xf>
    <xf numFmtId="0" fontId="46" fillId="0" borderId="5" xfId="0" applyFont="1" applyFill="1" applyBorder="1">
      <alignment vertical="center"/>
    </xf>
    <xf numFmtId="9" fontId="46" fillId="0" borderId="0" xfId="3" applyFont="1" applyFill="1">
      <alignment vertical="center"/>
    </xf>
    <xf numFmtId="0" fontId="46" fillId="0" borderId="15" xfId="0" applyFont="1" applyFill="1" applyBorder="1">
      <alignment vertical="center"/>
    </xf>
    <xf numFmtId="0" fontId="48" fillId="0" borderId="0" xfId="0" applyFont="1" applyFill="1" applyAlignment="1">
      <alignment horizontal="left" vertical="center" indent="1"/>
    </xf>
    <xf numFmtId="177" fontId="46" fillId="0" borderId="8" xfId="0" applyNumberFormat="1" applyFont="1" applyFill="1" applyBorder="1">
      <alignment vertical="center"/>
    </xf>
    <xf numFmtId="177" fontId="46" fillId="0" borderId="0" xfId="0" applyNumberFormat="1" applyFont="1" applyFill="1" applyBorder="1">
      <alignment vertical="center"/>
    </xf>
    <xf numFmtId="177" fontId="46" fillId="0" borderId="7" xfId="0" applyNumberFormat="1" applyFont="1" applyFill="1" applyBorder="1">
      <alignment vertical="center"/>
    </xf>
    <xf numFmtId="176" fontId="34" fillId="0" borderId="13" xfId="3" applyNumberFormat="1" applyFont="1" applyFill="1" applyBorder="1">
      <alignment vertical="center"/>
    </xf>
    <xf numFmtId="176" fontId="22" fillId="0" borderId="0" xfId="3" applyNumberFormat="1" applyFont="1" applyFill="1" applyAlignment="1">
      <alignment horizontal="center" vertical="center"/>
    </xf>
    <xf numFmtId="197" fontId="22" fillId="0" borderId="2" xfId="0" applyNumberFormat="1" applyFont="1" applyFill="1" applyBorder="1" applyAlignment="1">
      <alignment horizontal="center" vertical="center"/>
    </xf>
    <xf numFmtId="176" fontId="22" fillId="0" borderId="0" xfId="3" applyNumberFormat="1" applyFont="1" applyFill="1" applyBorder="1" applyAlignment="1">
      <alignment horizontal="center" vertical="center"/>
    </xf>
    <xf numFmtId="0" fontId="22" fillId="0" borderId="8" xfId="0" applyFont="1" applyFill="1" applyBorder="1">
      <alignment vertical="center"/>
    </xf>
    <xf numFmtId="178" fontId="22" fillId="0" borderId="11" xfId="2" applyNumberFormat="1" applyFont="1" applyFill="1" applyBorder="1">
      <alignment vertical="center"/>
    </xf>
    <xf numFmtId="0" fontId="22" fillId="0" borderId="12" xfId="0" applyFont="1" applyFill="1" applyBorder="1">
      <alignment vertical="center"/>
    </xf>
    <xf numFmtId="0" fontId="28" fillId="0" borderId="0" xfId="0" applyFont="1" applyFill="1" applyBorder="1" applyAlignment="1">
      <alignment horizontal="left" vertical="top"/>
    </xf>
    <xf numFmtId="0" fontId="28" fillId="0" borderId="0" xfId="0" applyFont="1" applyFill="1" applyBorder="1" applyAlignment="1">
      <alignment horizontal="left" vertical="center"/>
    </xf>
    <xf numFmtId="0" fontId="22" fillId="0" borderId="5" xfId="0" applyFont="1" applyFill="1" applyBorder="1" applyAlignment="1">
      <alignment horizontal="center" vertical="center"/>
    </xf>
    <xf numFmtId="190" fontId="22" fillId="0" borderId="8" xfId="3" applyNumberFormat="1" applyFont="1" applyFill="1" applyBorder="1">
      <alignment vertical="center"/>
    </xf>
    <xf numFmtId="185" fontId="22" fillId="0" borderId="0" xfId="3" applyNumberFormat="1" applyFont="1" applyFill="1" applyBorder="1">
      <alignment vertical="center"/>
    </xf>
    <xf numFmtId="190" fontId="22" fillId="0" borderId="7" xfId="3" applyNumberFormat="1" applyFont="1" applyFill="1" applyBorder="1">
      <alignment vertical="center"/>
    </xf>
    <xf numFmtId="177" fontId="22" fillId="0" borderId="7" xfId="3" applyNumberFormat="1" applyFont="1" applyFill="1" applyBorder="1" applyAlignment="1">
      <alignment horizontal="center" vertical="center"/>
    </xf>
    <xf numFmtId="177" fontId="22" fillId="0" borderId="1" xfId="3" applyNumberFormat="1" applyFont="1" applyFill="1" applyBorder="1" applyAlignment="1">
      <alignment horizontal="center" vertical="center"/>
    </xf>
    <xf numFmtId="0" fontId="28" fillId="0" borderId="0" xfId="0" applyFont="1" applyFill="1" applyAlignment="1">
      <alignment horizontal="left" vertical="top"/>
    </xf>
    <xf numFmtId="0" fontId="28" fillId="0" borderId="0" xfId="0" applyFont="1" applyFill="1" applyAlignment="1">
      <alignment horizontal="left" vertical="center"/>
    </xf>
    <xf numFmtId="191" fontId="22" fillId="0" borderId="0" xfId="0" applyNumberFormat="1" applyFont="1" applyFill="1">
      <alignment vertical="center"/>
    </xf>
    <xf numFmtId="0" fontId="46" fillId="0" borderId="1" xfId="0" applyFont="1" applyFill="1" applyBorder="1" applyAlignment="1">
      <alignment horizontal="left" vertical="center" indent="1"/>
    </xf>
    <xf numFmtId="178" fontId="46" fillId="0" borderId="7" xfId="2" applyNumberFormat="1" applyFont="1" applyFill="1" applyBorder="1">
      <alignment vertical="center"/>
    </xf>
    <xf numFmtId="176" fontId="23" fillId="0" borderId="0" xfId="3" applyNumberFormat="1" applyFont="1" applyFill="1" applyBorder="1">
      <alignment vertical="center"/>
    </xf>
    <xf numFmtId="178" fontId="62" fillId="0" borderId="5" xfId="2" applyNumberFormat="1" applyFont="1" applyFill="1" applyBorder="1">
      <alignment vertical="center"/>
    </xf>
    <xf numFmtId="178" fontId="62" fillId="0" borderId="8" xfId="2" applyNumberFormat="1" applyFont="1" applyFill="1" applyBorder="1">
      <alignment vertical="center"/>
    </xf>
    <xf numFmtId="178" fontId="36" fillId="0" borderId="5" xfId="2" applyNumberFormat="1" applyFont="1" applyFill="1" applyBorder="1">
      <alignment vertical="center"/>
    </xf>
    <xf numFmtId="10" fontId="36" fillId="0" borderId="5" xfId="3" applyNumberFormat="1" applyFont="1" applyFill="1" applyBorder="1">
      <alignment vertical="center"/>
    </xf>
    <xf numFmtId="176" fontId="36" fillId="0" borderId="15" xfId="3" applyNumberFormat="1" applyFont="1" applyFill="1" applyBorder="1">
      <alignment vertical="center"/>
    </xf>
    <xf numFmtId="10" fontId="36" fillId="0" borderId="7" xfId="3" applyNumberFormat="1" applyFont="1" applyFill="1" applyBorder="1">
      <alignment vertical="center"/>
    </xf>
    <xf numFmtId="176" fontId="36" fillId="0" borderId="7" xfId="3" applyNumberFormat="1" applyFont="1" applyFill="1" applyBorder="1">
      <alignment vertical="center"/>
    </xf>
    <xf numFmtId="0" fontId="58" fillId="0" borderId="0" xfId="0" applyFont="1" applyFill="1">
      <alignment vertical="center"/>
    </xf>
    <xf numFmtId="0" fontId="48" fillId="0" borderId="12" xfId="0" applyFont="1" applyFill="1" applyBorder="1" applyAlignment="1">
      <alignment horizontal="left" vertical="center"/>
    </xf>
    <xf numFmtId="188" fontId="48" fillId="0" borderId="0" xfId="0" applyNumberFormat="1" applyFont="1" applyFill="1" applyBorder="1" applyAlignment="1">
      <alignment horizontal="right" vertical="center"/>
    </xf>
    <xf numFmtId="178" fontId="48" fillId="0" borderId="0" xfId="0" applyNumberFormat="1" applyFont="1" applyFill="1" applyBorder="1" applyAlignment="1">
      <alignment horizontal="right" vertical="center"/>
    </xf>
    <xf numFmtId="188" fontId="48" fillId="0" borderId="0" xfId="0" applyNumberFormat="1" applyFont="1" applyFill="1">
      <alignment vertical="center"/>
    </xf>
    <xf numFmtId="0" fontId="48" fillId="0" borderId="5" xfId="0" applyFont="1" applyFill="1" applyBorder="1" applyAlignment="1">
      <alignment horizontal="left" vertical="center"/>
    </xf>
    <xf numFmtId="0" fontId="46" fillId="0" borderId="5" xfId="0" applyFont="1" applyFill="1" applyBorder="1" applyAlignment="1">
      <alignment horizontal="left" vertical="center"/>
    </xf>
    <xf numFmtId="188" fontId="46" fillId="0" borderId="0" xfId="0" applyNumberFormat="1" applyFont="1" applyFill="1" applyBorder="1" applyAlignment="1">
      <alignment horizontal="right" vertical="center"/>
    </xf>
    <xf numFmtId="178" fontId="46" fillId="0" borderId="0" xfId="0" applyNumberFormat="1" applyFont="1" applyFill="1">
      <alignment vertical="center"/>
    </xf>
    <xf numFmtId="178" fontId="55" fillId="0" borderId="0" xfId="0" applyNumberFormat="1" applyFont="1" applyFill="1">
      <alignment vertical="center"/>
    </xf>
    <xf numFmtId="178" fontId="46" fillId="0" borderId="0" xfId="0" applyNumberFormat="1" applyFont="1" applyFill="1" applyBorder="1" applyAlignment="1">
      <alignment horizontal="right" vertical="center"/>
    </xf>
    <xf numFmtId="178" fontId="46" fillId="0" borderId="15" xfId="0" applyNumberFormat="1" applyFont="1" applyFill="1" applyBorder="1" applyAlignment="1">
      <alignment horizontal="right" vertical="center"/>
    </xf>
    <xf numFmtId="178" fontId="46" fillId="0" borderId="2" xfId="0" applyNumberFormat="1" applyFont="1" applyFill="1" applyBorder="1" applyAlignment="1">
      <alignment horizontal="right" vertical="center"/>
    </xf>
    <xf numFmtId="178" fontId="46" fillId="0" borderId="2" xfId="0" applyNumberFormat="1" applyFont="1" applyFill="1" applyBorder="1">
      <alignment vertical="center"/>
    </xf>
    <xf numFmtId="178" fontId="46" fillId="0" borderId="0" xfId="0" applyNumberFormat="1" applyFont="1" applyFill="1" applyBorder="1">
      <alignment vertical="center"/>
    </xf>
    <xf numFmtId="0" fontId="49" fillId="0" borderId="5" xfId="0" applyFont="1" applyFill="1" applyBorder="1" applyAlignment="1">
      <alignment horizontal="left" vertical="center"/>
    </xf>
    <xf numFmtId="176" fontId="49" fillId="0" borderId="0" xfId="3" applyNumberFormat="1" applyFont="1" applyFill="1" applyBorder="1">
      <alignment vertical="center"/>
    </xf>
    <xf numFmtId="188" fontId="49" fillId="0" borderId="0" xfId="0" applyNumberFormat="1" applyFont="1" applyFill="1" applyBorder="1" applyAlignment="1">
      <alignment horizontal="right" vertical="center"/>
    </xf>
    <xf numFmtId="178" fontId="49" fillId="0" borderId="7" xfId="0" applyNumberFormat="1" applyFont="1" applyFill="1" applyBorder="1">
      <alignment vertical="center"/>
    </xf>
    <xf numFmtId="178" fontId="48" fillId="0" borderId="0" xfId="0" applyNumberFormat="1" applyFont="1" applyFill="1" applyBorder="1">
      <alignment vertical="center"/>
    </xf>
    <xf numFmtId="176" fontId="49" fillId="0" borderId="0" xfId="3" applyNumberFormat="1" applyFont="1" applyFill="1" applyBorder="1" applyAlignment="1">
      <alignment horizontal="right" vertical="center"/>
    </xf>
    <xf numFmtId="176" fontId="49" fillId="0" borderId="15" xfId="3" applyNumberFormat="1" applyFont="1" applyFill="1" applyBorder="1">
      <alignment vertical="center"/>
    </xf>
    <xf numFmtId="176" fontId="49" fillId="0" borderId="7" xfId="3" applyNumberFormat="1" applyFont="1" applyFill="1" applyBorder="1">
      <alignment vertical="center"/>
    </xf>
    <xf numFmtId="176" fontId="54" fillId="0" borderId="0" xfId="3" applyNumberFormat="1" applyFont="1" applyFill="1">
      <alignment vertical="center"/>
    </xf>
    <xf numFmtId="0" fontId="49" fillId="0" borderId="15" xfId="0" applyFont="1" applyFill="1" applyBorder="1" applyAlignment="1">
      <alignment horizontal="left" vertical="center"/>
    </xf>
    <xf numFmtId="178" fontId="49" fillId="0" borderId="0" xfId="0" applyNumberFormat="1" applyFont="1" applyFill="1" applyBorder="1" applyAlignment="1">
      <alignment horizontal="right" vertical="center"/>
    </xf>
    <xf numFmtId="178" fontId="45" fillId="0" borderId="0" xfId="0" applyNumberFormat="1" applyFont="1" applyFill="1">
      <alignment vertical="center"/>
    </xf>
    <xf numFmtId="179" fontId="45" fillId="0" borderId="0" xfId="0" applyNumberFormat="1" applyFont="1" applyFill="1">
      <alignment vertical="center"/>
    </xf>
    <xf numFmtId="179" fontId="46" fillId="0" borderId="0" xfId="0" applyNumberFormat="1" applyFont="1" applyFill="1">
      <alignment vertical="center"/>
    </xf>
    <xf numFmtId="176" fontId="45" fillId="0" borderId="0" xfId="3" applyNumberFormat="1" applyFont="1" applyFill="1">
      <alignment vertical="center"/>
    </xf>
    <xf numFmtId="0" fontId="49" fillId="0" borderId="0" xfId="0" applyFont="1" applyFill="1" applyAlignment="1">
      <alignment horizontal="left" vertical="center"/>
    </xf>
    <xf numFmtId="0" fontId="45" fillId="0" borderId="5" xfId="0" applyFont="1" applyFill="1" applyBorder="1" applyAlignment="1">
      <alignment horizontal="left" vertical="center"/>
    </xf>
    <xf numFmtId="0" fontId="47" fillId="0" borderId="15" xfId="0" applyFont="1" applyFill="1" applyBorder="1" applyAlignment="1">
      <alignment horizontal="left" vertical="center"/>
    </xf>
    <xf numFmtId="187" fontId="46" fillId="0" borderId="0" xfId="0" applyNumberFormat="1" applyFont="1" applyFill="1">
      <alignment vertical="center"/>
    </xf>
    <xf numFmtId="179" fontId="46" fillId="0" borderId="0" xfId="0" applyNumberFormat="1" applyFont="1" applyFill="1" applyBorder="1" applyAlignment="1">
      <alignment horizontal="right" vertical="center"/>
    </xf>
    <xf numFmtId="179" fontId="46" fillId="0" borderId="10" xfId="0" applyNumberFormat="1" applyFont="1" applyFill="1" applyBorder="1" applyAlignment="1">
      <alignment horizontal="right" vertical="center"/>
    </xf>
    <xf numFmtId="178" fontId="48" fillId="0" borderId="5" xfId="0" applyNumberFormat="1" applyFont="1" applyFill="1" applyBorder="1" applyAlignment="1">
      <alignment horizontal="right" vertical="center"/>
    </xf>
    <xf numFmtId="178" fontId="48" fillId="0" borderId="8" xfId="0" applyNumberFormat="1" applyFont="1" applyFill="1" applyBorder="1" applyAlignment="1">
      <alignment horizontal="right" vertical="center"/>
    </xf>
    <xf numFmtId="182" fontId="46" fillId="0" borderId="0" xfId="0" applyNumberFormat="1" applyFont="1" applyFill="1">
      <alignment vertical="center"/>
    </xf>
    <xf numFmtId="0" fontId="46" fillId="0" borderId="10" xfId="0" applyFont="1" applyFill="1" applyBorder="1" applyAlignment="1">
      <alignment vertical="center"/>
    </xf>
    <xf numFmtId="178" fontId="46" fillId="0" borderId="2" xfId="2" applyNumberFormat="1" applyFont="1" applyFill="1" applyBorder="1">
      <alignment vertical="center"/>
    </xf>
    <xf numFmtId="176" fontId="46" fillId="0" borderId="9" xfId="3" applyNumberFormat="1" applyFont="1" applyFill="1" applyBorder="1">
      <alignment vertical="center"/>
    </xf>
    <xf numFmtId="0" fontId="46" fillId="0" borderId="15" xfId="0" applyFont="1" applyFill="1" applyBorder="1" applyAlignment="1">
      <alignment horizontal="center" vertical="center" wrapText="1"/>
    </xf>
    <xf numFmtId="0" fontId="48" fillId="0" borderId="4" xfId="0" applyFont="1" applyFill="1" applyBorder="1">
      <alignment vertical="center"/>
    </xf>
    <xf numFmtId="178" fontId="48" fillId="0" borderId="0" xfId="2" applyNumberFormat="1" applyFont="1" applyFill="1" applyBorder="1">
      <alignment vertical="center"/>
    </xf>
    <xf numFmtId="178" fontId="48" fillId="0" borderId="5" xfId="2" applyNumberFormat="1" applyFont="1" applyFill="1" applyBorder="1">
      <alignment vertical="center"/>
    </xf>
    <xf numFmtId="178" fontId="46" fillId="0" borderId="0" xfId="2" applyNumberFormat="1" applyFont="1" applyFill="1" applyBorder="1">
      <alignment vertical="center"/>
    </xf>
    <xf numFmtId="178" fontId="46" fillId="0" borderId="12" xfId="2" applyNumberFormat="1" applyFont="1" applyFill="1" applyBorder="1">
      <alignment vertical="center"/>
    </xf>
    <xf numFmtId="178" fontId="46" fillId="0" borderId="5" xfId="2" applyNumberFormat="1" applyFont="1" applyFill="1" applyBorder="1">
      <alignment vertical="center"/>
    </xf>
    <xf numFmtId="178" fontId="48" fillId="0" borderId="14" xfId="2" applyNumberFormat="1" applyFont="1" applyFill="1" applyBorder="1">
      <alignment vertical="center"/>
    </xf>
    <xf numFmtId="178" fontId="48" fillId="0" borderId="12" xfId="2" applyNumberFormat="1" applyFont="1" applyFill="1" applyBorder="1">
      <alignment vertical="center"/>
    </xf>
    <xf numFmtId="178" fontId="48" fillId="0" borderId="15" xfId="2" applyNumberFormat="1" applyFont="1" applyFill="1" applyBorder="1">
      <alignment vertical="center"/>
    </xf>
    <xf numFmtId="178" fontId="46" fillId="0" borderId="15" xfId="2" applyNumberFormat="1" applyFont="1" applyFill="1" applyBorder="1">
      <alignment vertical="center"/>
    </xf>
    <xf numFmtId="0" fontId="19" fillId="0" borderId="0" xfId="0" applyFont="1" applyFill="1" applyBorder="1" applyAlignment="1">
      <alignment horizontal="center" vertical="center" wrapText="1"/>
    </xf>
    <xf numFmtId="179" fontId="14" fillId="0" borderId="0" xfId="2" applyNumberFormat="1" applyFont="1" applyFill="1" applyBorder="1">
      <alignment vertical="center"/>
    </xf>
    <xf numFmtId="179" fontId="4" fillId="0" borderId="0" xfId="2" applyNumberFormat="1" applyFont="1" applyFill="1" applyBorder="1">
      <alignment vertical="center"/>
    </xf>
    <xf numFmtId="176" fontId="22" fillId="0" borderId="0" xfId="3" applyNumberFormat="1" applyFont="1" applyFill="1" applyBorder="1" applyAlignment="1">
      <alignment horizontal="right" vertical="center"/>
    </xf>
    <xf numFmtId="176" fontId="22" fillId="0" borderId="8" xfId="3" applyNumberFormat="1" applyFont="1" applyFill="1" applyBorder="1" applyAlignment="1">
      <alignment horizontal="right" vertical="center"/>
    </xf>
    <xf numFmtId="178" fontId="4" fillId="0" borderId="14" xfId="2" applyNumberFormat="1" applyFont="1" applyFill="1" applyBorder="1">
      <alignment vertical="center"/>
    </xf>
    <xf numFmtId="177" fontId="4" fillId="0" borderId="4" xfId="3" applyNumberFormat="1" applyFont="1" applyFill="1" applyBorder="1">
      <alignment vertical="center"/>
    </xf>
    <xf numFmtId="177" fontId="14" fillId="0" borderId="9" xfId="3" applyNumberFormat="1" applyFont="1" applyFill="1" applyBorder="1">
      <alignment vertical="center"/>
    </xf>
    <xf numFmtId="177" fontId="4" fillId="0" borderId="11" xfId="3" applyNumberFormat="1" applyFont="1" applyFill="1" applyBorder="1">
      <alignment vertical="center"/>
    </xf>
    <xf numFmtId="177" fontId="4" fillId="0" borderId="3" xfId="3" applyNumberFormat="1" applyFont="1" applyFill="1" applyBorder="1">
      <alignment vertical="center"/>
    </xf>
    <xf numFmtId="178" fontId="4" fillId="0" borderId="12" xfId="2" applyNumberFormat="1" applyFont="1" applyFill="1" applyBorder="1">
      <alignment vertical="center"/>
    </xf>
    <xf numFmtId="177" fontId="14" fillId="0" borderId="0" xfId="3" applyNumberFormat="1" applyFont="1" applyFill="1" applyBorder="1">
      <alignment vertical="center"/>
    </xf>
    <xf numFmtId="196" fontId="46" fillId="0" borderId="14" xfId="0" applyNumberFormat="1" applyFont="1" applyFill="1" applyBorder="1" applyAlignment="1">
      <alignment horizontal="center" vertical="center"/>
    </xf>
    <xf numFmtId="0" fontId="4" fillId="0" borderId="14" xfId="0" applyFont="1" applyFill="1" applyBorder="1" applyAlignment="1">
      <alignment horizontal="center" vertical="center" wrapText="1"/>
    </xf>
    <xf numFmtId="0" fontId="34" fillId="0" borderId="1" xfId="0" applyFont="1" applyFill="1" applyBorder="1">
      <alignment vertical="center"/>
    </xf>
    <xf numFmtId="0" fontId="55" fillId="0" borderId="0" xfId="0" applyFont="1" applyFill="1" applyBorder="1">
      <alignment vertical="center"/>
    </xf>
    <xf numFmtId="0" fontId="55" fillId="0" borderId="0" xfId="4" applyFont="1" applyFill="1" applyBorder="1">
      <alignment vertical="center"/>
    </xf>
    <xf numFmtId="0" fontId="23" fillId="0" borderId="0" xfId="4" applyFont="1" applyFill="1" applyBorder="1">
      <alignment vertical="center"/>
    </xf>
    <xf numFmtId="178" fontId="7" fillId="0" borderId="0" xfId="2" applyNumberFormat="1" applyFont="1" applyFill="1" applyBorder="1">
      <alignment vertical="center"/>
    </xf>
    <xf numFmtId="176" fontId="7" fillId="0" borderId="0" xfId="3" applyNumberFormat="1" applyFont="1" applyFill="1" applyBorder="1">
      <alignment vertical="center"/>
    </xf>
    <xf numFmtId="0" fontId="22" fillId="0" borderId="7" xfId="0" applyFont="1" applyFill="1" applyBorder="1" applyAlignment="1">
      <alignment horizontal="center" vertical="center"/>
    </xf>
    <xf numFmtId="0" fontId="4" fillId="0" borderId="6" xfId="0" applyFont="1" applyFill="1" applyBorder="1" applyAlignment="1">
      <alignment horizontal="center" vertical="center"/>
    </xf>
    <xf numFmtId="0" fontId="4" fillId="0" borderId="7" xfId="0" applyFont="1" applyFill="1" applyBorder="1" applyAlignment="1">
      <alignment horizontal="center" vertical="center"/>
    </xf>
    <xf numFmtId="0" fontId="4" fillId="0" borderId="3" xfId="0" applyFont="1" applyFill="1" applyBorder="1" applyAlignment="1">
      <alignment horizontal="center" vertical="center"/>
    </xf>
    <xf numFmtId="0" fontId="4" fillId="0" borderId="15" xfId="0" applyFont="1" applyFill="1" applyBorder="1" applyAlignment="1">
      <alignment horizontal="center" vertical="center"/>
    </xf>
    <xf numFmtId="0" fontId="22" fillId="0" borderId="3" xfId="0" applyFont="1" applyFill="1" applyBorder="1" applyAlignment="1">
      <alignment horizontal="center" vertical="center"/>
    </xf>
    <xf numFmtId="0" fontId="4" fillId="0" borderId="13" xfId="0" applyFont="1" applyFill="1" applyBorder="1" applyAlignment="1">
      <alignment horizontal="center" vertical="center"/>
    </xf>
    <xf numFmtId="0" fontId="4" fillId="0" borderId="1" xfId="0" applyFont="1" applyFill="1" applyBorder="1" applyAlignment="1">
      <alignment horizontal="center" vertical="center"/>
    </xf>
    <xf numFmtId="183" fontId="22" fillId="0" borderId="0" xfId="0" applyNumberFormat="1" applyFont="1" applyFill="1" applyAlignment="1"/>
    <xf numFmtId="0" fontId="22" fillId="0" borderId="10" xfId="0" applyFont="1" applyFill="1" applyBorder="1" applyAlignment="1"/>
    <xf numFmtId="0" fontId="22" fillId="0" borderId="14" xfId="0" applyFont="1" applyFill="1" applyBorder="1" applyAlignment="1"/>
    <xf numFmtId="176" fontId="59" fillId="0" borderId="7" xfId="3" applyNumberFormat="1" applyFont="1" applyFill="1" applyBorder="1">
      <alignment vertical="center"/>
    </xf>
    <xf numFmtId="183" fontId="4" fillId="0" borderId="0" xfId="0" applyNumberFormat="1" applyFont="1" applyFill="1">
      <alignment vertical="center"/>
    </xf>
    <xf numFmtId="178" fontId="48" fillId="0" borderId="11" xfId="0" applyNumberFormat="1" applyFont="1" applyFill="1" applyBorder="1" applyAlignment="1">
      <alignment horizontal="right" vertical="center"/>
    </xf>
    <xf numFmtId="179" fontId="46" fillId="0" borderId="4" xfId="0" applyNumberFormat="1" applyFont="1" applyFill="1" applyBorder="1" applyAlignment="1">
      <alignment horizontal="right" vertical="center"/>
    </xf>
    <xf numFmtId="178" fontId="48" fillId="0" borderId="4" xfId="0" applyNumberFormat="1" applyFont="1" applyFill="1" applyBorder="1" applyAlignment="1">
      <alignment horizontal="right" vertical="center"/>
    </xf>
    <xf numFmtId="178" fontId="46" fillId="0" borderId="4" xfId="0" applyNumberFormat="1" applyFont="1" applyFill="1" applyBorder="1" applyAlignment="1">
      <alignment horizontal="right" vertical="center"/>
    </xf>
    <xf numFmtId="183" fontId="48" fillId="0" borderId="0" xfId="2" applyNumberFormat="1" applyFont="1" applyFill="1" applyBorder="1">
      <alignment vertical="center"/>
    </xf>
    <xf numFmtId="187" fontId="48" fillId="0" borderId="0" xfId="0" applyNumberFormat="1" applyFont="1" applyFill="1" applyBorder="1">
      <alignment vertical="center"/>
    </xf>
    <xf numFmtId="178" fontId="22" fillId="0" borderId="0" xfId="0" applyNumberFormat="1" applyFont="1" applyFill="1" applyBorder="1" applyAlignment="1"/>
    <xf numFmtId="187" fontId="46" fillId="0" borderId="0" xfId="0" applyNumberFormat="1" applyFont="1" applyFill="1" applyBorder="1">
      <alignment vertical="center"/>
    </xf>
    <xf numFmtId="178" fontId="23" fillId="0" borderId="0" xfId="4" applyNumberFormat="1" applyFont="1" applyFill="1" applyBorder="1">
      <alignment vertical="center"/>
    </xf>
    <xf numFmtId="178" fontId="23" fillId="0" borderId="0" xfId="6" applyNumberFormat="1" applyFont="1" applyFill="1" applyBorder="1">
      <alignment vertical="center"/>
    </xf>
    <xf numFmtId="178" fontId="55" fillId="0" borderId="0" xfId="0" applyNumberFormat="1" applyFont="1" applyFill="1" applyBorder="1" applyAlignment="1">
      <alignment horizontal="right" vertical="center"/>
    </xf>
    <xf numFmtId="195" fontId="54" fillId="0" borderId="0" xfId="2" applyNumberFormat="1" applyFont="1" applyFill="1" applyBorder="1">
      <alignment vertical="center"/>
    </xf>
    <xf numFmtId="195" fontId="48" fillId="0" borderId="0" xfId="2" applyNumberFormat="1" applyFont="1" applyFill="1" applyBorder="1">
      <alignment vertical="center"/>
    </xf>
    <xf numFmtId="182" fontId="48" fillId="0" borderId="0" xfId="3" applyNumberFormat="1" applyFont="1" applyFill="1" applyBorder="1">
      <alignment vertical="center"/>
    </xf>
    <xf numFmtId="182" fontId="46" fillId="0" borderId="0" xfId="0" applyNumberFormat="1" applyFont="1" applyFill="1" applyBorder="1">
      <alignment vertical="center"/>
    </xf>
    <xf numFmtId="0" fontId="46" fillId="0" borderId="1" xfId="0" applyFont="1" applyFill="1" applyBorder="1" applyAlignment="1">
      <alignment horizontal="left" vertical="center"/>
    </xf>
    <xf numFmtId="179" fontId="22" fillId="0" borderId="0" xfId="0" applyNumberFormat="1" applyFont="1" applyFill="1">
      <alignment vertical="center"/>
    </xf>
    <xf numFmtId="188" fontId="4" fillId="0" borderId="13" xfId="0" applyNumberFormat="1" applyFont="1" applyFill="1" applyBorder="1">
      <alignment vertical="center"/>
    </xf>
    <xf numFmtId="0" fontId="4" fillId="0" borderId="14" xfId="0" applyFont="1" applyFill="1" applyBorder="1" applyAlignment="1">
      <alignment horizontal="center" vertical="center"/>
    </xf>
    <xf numFmtId="179" fontId="46" fillId="0" borderId="10" xfId="0" applyNumberFormat="1" applyFont="1" applyFill="1" applyBorder="1" applyAlignment="1">
      <alignment horizontal="center" vertical="center"/>
    </xf>
    <xf numFmtId="176" fontId="46" fillId="0" borderId="10" xfId="3" applyNumberFormat="1" applyFont="1" applyFill="1" applyBorder="1">
      <alignment vertical="center"/>
    </xf>
    <xf numFmtId="41" fontId="22" fillId="0" borderId="14" xfId="2" applyFont="1" applyFill="1" applyBorder="1">
      <alignment vertical="center"/>
    </xf>
    <xf numFmtId="178" fontId="36" fillId="0" borderId="0" xfId="0" applyNumberFormat="1" applyFont="1" applyFill="1">
      <alignment vertical="center"/>
    </xf>
    <xf numFmtId="0" fontId="62" fillId="0" borderId="0" xfId="0" applyFont="1" applyFill="1">
      <alignment vertical="center"/>
    </xf>
    <xf numFmtId="176" fontId="62" fillId="0" borderId="0" xfId="3" applyNumberFormat="1" applyFont="1" applyFill="1">
      <alignment vertical="center"/>
    </xf>
    <xf numFmtId="41" fontId="4" fillId="0" borderId="0" xfId="2" applyFont="1" applyFill="1" applyAlignment="1">
      <alignment horizontal="center" vertical="center"/>
    </xf>
    <xf numFmtId="179" fontId="48" fillId="0" borderId="4" xfId="0" applyNumberFormat="1" applyFont="1" applyFill="1" applyBorder="1" applyAlignment="1">
      <alignment horizontal="right" vertical="center"/>
    </xf>
    <xf numFmtId="178" fontId="46" fillId="0" borderId="3" xfId="0" applyNumberFormat="1" applyFont="1" applyFill="1" applyBorder="1" applyAlignment="1">
      <alignment horizontal="right" vertical="center"/>
    </xf>
    <xf numFmtId="194" fontId="46" fillId="0" borderId="4" xfId="0" applyNumberFormat="1" applyFont="1" applyFill="1" applyBorder="1" applyAlignment="1">
      <alignment horizontal="right" vertical="center"/>
    </xf>
    <xf numFmtId="0" fontId="4" fillId="0" borderId="0" xfId="0" applyFont="1" applyFill="1" applyBorder="1" applyAlignment="1">
      <alignment horizontal="center" vertical="center"/>
    </xf>
    <xf numFmtId="0" fontId="46" fillId="0" borderId="1" xfId="0" applyFont="1" applyFill="1" applyBorder="1" applyAlignment="1">
      <alignment horizontal="center" vertical="center"/>
    </xf>
    <xf numFmtId="0" fontId="22" fillId="0" borderId="1" xfId="0" applyFont="1" applyFill="1" applyBorder="1" applyAlignment="1">
      <alignment horizontal="center" vertical="center"/>
    </xf>
    <xf numFmtId="0" fontId="4" fillId="0" borderId="1" xfId="0" applyFont="1" applyFill="1" applyBorder="1" applyAlignment="1">
      <alignment horizontal="center" vertical="center"/>
    </xf>
    <xf numFmtId="0" fontId="4" fillId="0" borderId="0" xfId="3" applyNumberFormat="1" applyFont="1" applyFill="1" applyBorder="1">
      <alignment vertical="center"/>
    </xf>
    <xf numFmtId="41" fontId="4" fillId="0" borderId="0" xfId="2" applyFont="1" applyFill="1">
      <alignment vertical="center"/>
    </xf>
    <xf numFmtId="0" fontId="4" fillId="0" borderId="0" xfId="0" applyNumberFormat="1" applyFont="1" applyFill="1">
      <alignment vertical="center"/>
    </xf>
    <xf numFmtId="0" fontId="69" fillId="0" borderId="0" xfId="0" applyFont="1" applyFill="1">
      <alignment vertical="center"/>
    </xf>
    <xf numFmtId="176" fontId="69" fillId="0" borderId="0" xfId="3" applyNumberFormat="1" applyFont="1" applyFill="1">
      <alignment vertical="center"/>
    </xf>
    <xf numFmtId="9" fontId="36" fillId="0" borderId="0" xfId="3" applyFont="1" applyFill="1" applyBorder="1">
      <alignment vertical="center"/>
    </xf>
    <xf numFmtId="194" fontId="22" fillId="0" borderId="0" xfId="0" applyNumberFormat="1" applyFont="1" applyFill="1">
      <alignment vertical="center"/>
    </xf>
    <xf numFmtId="188" fontId="66" fillId="0" borderId="13" xfId="0" applyNumberFormat="1" applyFont="1" applyFill="1" applyBorder="1">
      <alignment vertical="center"/>
    </xf>
    <xf numFmtId="178" fontId="22" fillId="0" borderId="10" xfId="2" applyNumberFormat="1" applyFont="1" applyFill="1" applyBorder="1" applyAlignment="1">
      <alignment horizontal="center" vertical="center"/>
    </xf>
    <xf numFmtId="176" fontId="4" fillId="0" borderId="2" xfId="0" applyNumberFormat="1" applyFont="1" applyFill="1" applyBorder="1" applyAlignment="1">
      <alignment horizontal="center" vertical="center"/>
    </xf>
    <xf numFmtId="179" fontId="22" fillId="0" borderId="6" xfId="2" applyNumberFormat="1" applyFont="1" applyFill="1" applyBorder="1">
      <alignment vertical="center"/>
    </xf>
    <xf numFmtId="178" fontId="62" fillId="0" borderId="0" xfId="0" applyNumberFormat="1" applyFont="1" applyFill="1">
      <alignment vertical="center"/>
    </xf>
    <xf numFmtId="183" fontId="22" fillId="0" borderId="0" xfId="2" applyNumberFormat="1" applyFont="1" applyFill="1" applyBorder="1">
      <alignment vertical="center"/>
    </xf>
    <xf numFmtId="183" fontId="22" fillId="0" borderId="0" xfId="2" applyNumberFormat="1" applyFont="1" applyFill="1">
      <alignment vertical="center"/>
    </xf>
    <xf numFmtId="10" fontId="22" fillId="0" borderId="0" xfId="0" applyNumberFormat="1" applyFont="1" applyFill="1" applyBorder="1">
      <alignment vertical="center"/>
    </xf>
    <xf numFmtId="197" fontId="22" fillId="0" borderId="0" xfId="3" applyNumberFormat="1" applyFont="1" applyFill="1" applyBorder="1">
      <alignment vertical="center"/>
    </xf>
    <xf numFmtId="176" fontId="36" fillId="0" borderId="4" xfId="3" applyNumberFormat="1" applyFont="1" applyFill="1" applyBorder="1">
      <alignment vertical="center"/>
    </xf>
    <xf numFmtId="178" fontId="22" fillId="0" borderId="14" xfId="0" applyNumberFormat="1" applyFont="1" applyFill="1" applyBorder="1" applyAlignment="1"/>
    <xf numFmtId="187" fontId="22" fillId="0" borderId="2" xfId="0" applyNumberFormat="1" applyFont="1" applyFill="1" applyBorder="1" applyAlignment="1"/>
    <xf numFmtId="178" fontId="22" fillId="0" borderId="5" xfId="6" applyNumberFormat="1" applyFont="1" applyFill="1" applyBorder="1">
      <alignment vertical="center"/>
    </xf>
    <xf numFmtId="187" fontId="22" fillId="0" borderId="8" xfId="6" applyNumberFormat="1" applyFont="1" applyFill="1" applyBorder="1">
      <alignment vertical="center"/>
    </xf>
    <xf numFmtId="187" fontId="22" fillId="0" borderId="7" xfId="6" applyNumberFormat="1" applyFont="1" applyFill="1" applyBorder="1">
      <alignment vertical="center"/>
    </xf>
    <xf numFmtId="178" fontId="22" fillId="0" borderId="2" xfId="0" applyNumberFormat="1" applyFont="1" applyFill="1" applyBorder="1" applyAlignment="1"/>
    <xf numFmtId="187" fontId="22" fillId="0" borderId="7" xfId="0" applyNumberFormat="1" applyFont="1" applyFill="1" applyBorder="1" applyAlignment="1"/>
    <xf numFmtId="187" fontId="22" fillId="0" borderId="8" xfId="4" applyNumberFormat="1" applyFont="1" applyFill="1" applyBorder="1" applyAlignment="1">
      <alignment vertical="center" wrapText="1"/>
    </xf>
    <xf numFmtId="178" fontId="22" fillId="0" borderId="14" xfId="6" applyNumberFormat="1" applyFont="1" applyFill="1" applyBorder="1">
      <alignment vertical="center"/>
    </xf>
    <xf numFmtId="178" fontId="22" fillId="0" borderId="2" xfId="6" applyNumberFormat="1" applyFont="1" applyFill="1" applyBorder="1">
      <alignment vertical="center"/>
    </xf>
    <xf numFmtId="178" fontId="22" fillId="0" borderId="8" xfId="6" applyNumberFormat="1" applyFont="1" applyFill="1" applyBorder="1">
      <alignment vertical="center"/>
    </xf>
    <xf numFmtId="176" fontId="69" fillId="0" borderId="4" xfId="3" applyNumberFormat="1" applyFont="1" applyFill="1" applyBorder="1" applyAlignment="1">
      <alignment horizontal="right" vertical="center"/>
    </xf>
    <xf numFmtId="176" fontId="70" fillId="0" borderId="0" xfId="3" applyNumberFormat="1" applyFont="1" applyFill="1" applyBorder="1" applyAlignment="1">
      <alignment horizontal="center" vertical="center"/>
    </xf>
    <xf numFmtId="0" fontId="70" fillId="0" borderId="0" xfId="0" applyFont="1" applyFill="1" applyBorder="1">
      <alignment vertical="center"/>
    </xf>
    <xf numFmtId="176" fontId="70" fillId="0" borderId="0" xfId="3" applyNumberFormat="1" applyFont="1" applyFill="1" applyAlignment="1">
      <alignment horizontal="center" vertical="center"/>
    </xf>
    <xf numFmtId="176" fontId="70" fillId="0" borderId="0" xfId="3" applyNumberFormat="1" applyFont="1" applyFill="1" applyBorder="1">
      <alignment vertical="center"/>
    </xf>
    <xf numFmtId="0" fontId="4" fillId="0" borderId="14" xfId="0" applyFont="1" applyFill="1" applyBorder="1" applyAlignment="1">
      <alignment horizontal="center" vertical="center"/>
    </xf>
    <xf numFmtId="0" fontId="46" fillId="0" borderId="1" xfId="0" applyFont="1" applyFill="1" applyBorder="1" applyAlignment="1">
      <alignment horizontal="center" vertical="center"/>
    </xf>
    <xf numFmtId="10" fontId="36" fillId="0" borderId="8" xfId="3" applyNumberFormat="1" applyFont="1" applyFill="1" applyBorder="1">
      <alignment vertical="center"/>
    </xf>
    <xf numFmtId="178" fontId="71" fillId="0" borderId="2" xfId="2" applyNumberFormat="1" applyFont="1" applyFill="1" applyBorder="1">
      <alignment vertical="center"/>
    </xf>
    <xf numFmtId="0" fontId="72" fillId="0" borderId="0" xfId="0" applyFont="1">
      <alignment vertical="center"/>
    </xf>
    <xf numFmtId="0" fontId="22" fillId="0" borderId="0" xfId="0" applyFont="1">
      <alignment vertical="center"/>
    </xf>
    <xf numFmtId="0" fontId="44" fillId="0" borderId="0" xfId="0" applyFont="1">
      <alignment vertical="center"/>
    </xf>
    <xf numFmtId="3" fontId="44" fillId="0" borderId="0" xfId="0" applyNumberFormat="1" applyFont="1">
      <alignment vertical="center"/>
    </xf>
    <xf numFmtId="198" fontId="44" fillId="0" borderId="0" xfId="0" applyNumberFormat="1" applyFont="1">
      <alignment vertical="center"/>
    </xf>
    <xf numFmtId="199" fontId="44" fillId="0" borderId="0" xfId="0" applyNumberFormat="1" applyFont="1">
      <alignment vertical="center"/>
    </xf>
    <xf numFmtId="0" fontId="44" fillId="0" borderId="6" xfId="0" applyFont="1" applyBorder="1" applyAlignment="1">
      <alignment horizontal="center" vertical="center"/>
    </xf>
    <xf numFmtId="0" fontId="74" fillId="0" borderId="7" xfId="0" applyFont="1" applyBorder="1" applyAlignment="1">
      <alignment horizontal="center" vertical="center"/>
    </xf>
    <xf numFmtId="0" fontId="22" fillId="0" borderId="12" xfId="0" applyFont="1" applyBorder="1">
      <alignment vertical="center"/>
    </xf>
    <xf numFmtId="192" fontId="44" fillId="0" borderId="8" xfId="0" applyNumberFormat="1" applyFont="1" applyBorder="1">
      <alignment vertical="center"/>
    </xf>
    <xf numFmtId="192" fontId="44" fillId="0" borderId="0" xfId="0" applyNumberFormat="1" applyFont="1">
      <alignment vertical="center"/>
    </xf>
    <xf numFmtId="0" fontId="22" fillId="0" borderId="15" xfId="0" applyFont="1" applyBorder="1">
      <alignment vertical="center"/>
    </xf>
    <xf numFmtId="0" fontId="22" fillId="0" borderId="14" xfId="0" applyFont="1" applyBorder="1">
      <alignment vertical="center"/>
    </xf>
    <xf numFmtId="192" fontId="44" fillId="0" borderId="2" xfId="0" applyNumberFormat="1" applyFont="1" applyBorder="1">
      <alignment vertical="center"/>
    </xf>
    <xf numFmtId="0" fontId="22" fillId="0" borderId="5" xfId="0" applyFont="1" applyBorder="1">
      <alignment vertical="center"/>
    </xf>
    <xf numFmtId="0" fontId="45" fillId="0" borderId="4" xfId="0" applyFont="1" applyFill="1" applyBorder="1">
      <alignment vertical="center"/>
    </xf>
    <xf numFmtId="0" fontId="22" fillId="0" borderId="5" xfId="0" applyFont="1" applyFill="1" applyBorder="1">
      <alignment vertical="center"/>
    </xf>
    <xf numFmtId="192" fontId="44" fillId="0" borderId="8" xfId="0" applyNumberFormat="1" applyFont="1" applyFill="1" applyBorder="1">
      <alignment vertical="center"/>
    </xf>
    <xf numFmtId="192" fontId="44" fillId="0" borderId="7" xfId="0" applyNumberFormat="1" applyFont="1" applyBorder="1">
      <alignment vertical="center"/>
    </xf>
    <xf numFmtId="0" fontId="22" fillId="0" borderId="7" xfId="0" applyFont="1" applyFill="1" applyBorder="1" applyAlignment="1">
      <alignment horizontal="center" vertical="center"/>
    </xf>
    <xf numFmtId="0" fontId="22" fillId="0" borderId="9" xfId="0" applyFont="1" applyFill="1" applyBorder="1" applyAlignment="1">
      <alignment horizontal="center" vertical="center"/>
    </xf>
    <xf numFmtId="0" fontId="22" fillId="0" borderId="10" xfId="0" applyFont="1" applyFill="1" applyBorder="1" applyAlignment="1">
      <alignment horizontal="center" vertical="center"/>
    </xf>
    <xf numFmtId="0" fontId="22" fillId="0" borderId="14" xfId="0" applyFont="1" applyFill="1" applyBorder="1" applyAlignment="1">
      <alignment horizontal="center" vertical="center"/>
    </xf>
    <xf numFmtId="0" fontId="4" fillId="0" borderId="6" xfId="0" applyFont="1" applyFill="1" applyBorder="1" applyAlignment="1">
      <alignment horizontal="center" vertical="center"/>
    </xf>
    <xf numFmtId="0" fontId="4" fillId="0" borderId="7" xfId="0" applyFont="1" applyFill="1" applyBorder="1" applyAlignment="1">
      <alignment horizontal="center" vertical="center"/>
    </xf>
    <xf numFmtId="0" fontId="4" fillId="0" borderId="10" xfId="0" applyFont="1" applyFill="1" applyBorder="1" applyAlignment="1">
      <alignment horizontal="center" vertical="center"/>
    </xf>
    <xf numFmtId="0" fontId="4" fillId="0" borderId="14" xfId="0" applyFont="1" applyFill="1" applyBorder="1" applyAlignment="1">
      <alignment horizontal="center" vertical="center"/>
    </xf>
    <xf numFmtId="0" fontId="19" fillId="0" borderId="14" xfId="0" applyFont="1" applyFill="1" applyBorder="1" applyAlignment="1">
      <alignment horizontal="center" vertical="center"/>
    </xf>
    <xf numFmtId="0" fontId="4" fillId="0" borderId="0" xfId="0" applyFont="1" applyFill="1" applyBorder="1" applyAlignment="1">
      <alignment horizontal="center" vertical="center"/>
    </xf>
    <xf numFmtId="0" fontId="46" fillId="0" borderId="6" xfId="0" applyFont="1" applyFill="1" applyBorder="1" applyAlignment="1">
      <alignment horizontal="center" vertical="center"/>
    </xf>
    <xf numFmtId="0" fontId="46" fillId="0" borderId="10" xfId="0" applyFont="1" applyFill="1" applyBorder="1" applyAlignment="1">
      <alignment horizontal="center" vertical="center"/>
    </xf>
    <xf numFmtId="0" fontId="46" fillId="0" borderId="14" xfId="0" applyFont="1" applyFill="1" applyBorder="1" applyAlignment="1">
      <alignment horizontal="center" vertical="center"/>
    </xf>
    <xf numFmtId="0" fontId="46" fillId="0" borderId="2" xfId="0" applyFont="1" applyFill="1" applyBorder="1" applyAlignment="1">
      <alignment horizontal="center" vertical="center"/>
    </xf>
    <xf numFmtId="0" fontId="46" fillId="0" borderId="1" xfId="0" applyFont="1" applyFill="1" applyBorder="1" applyAlignment="1">
      <alignment horizontal="center" vertical="center"/>
    </xf>
    <xf numFmtId="0" fontId="46" fillId="0" borderId="12" xfId="0" applyFont="1" applyFill="1" applyBorder="1" applyAlignment="1">
      <alignment horizontal="center" vertical="center"/>
    </xf>
    <xf numFmtId="0" fontId="4" fillId="0" borderId="8" xfId="0" applyFont="1" applyFill="1" applyBorder="1" applyAlignment="1">
      <alignment horizontal="center" vertical="center"/>
    </xf>
    <xf numFmtId="0" fontId="4" fillId="0" borderId="2" xfId="0" applyFont="1" applyFill="1" applyBorder="1" applyAlignment="1">
      <alignment horizontal="center" vertical="center"/>
    </xf>
    <xf numFmtId="0" fontId="4" fillId="0" borderId="3" xfId="0" applyFont="1" applyFill="1" applyBorder="1" applyAlignment="1">
      <alignment horizontal="center" vertical="center"/>
    </xf>
    <xf numFmtId="0" fontId="4" fillId="0" borderId="15" xfId="0" applyFont="1" applyFill="1" applyBorder="1" applyAlignment="1">
      <alignment horizontal="center" vertical="center"/>
    </xf>
    <xf numFmtId="0" fontId="22" fillId="0" borderId="3" xfId="0" applyFont="1" applyFill="1" applyBorder="1" applyAlignment="1">
      <alignment horizontal="center" vertical="center"/>
    </xf>
    <xf numFmtId="0" fontId="22" fillId="0" borderId="1" xfId="0" applyFont="1" applyFill="1" applyBorder="1" applyAlignment="1">
      <alignment horizontal="center" vertical="center"/>
    </xf>
    <xf numFmtId="186" fontId="22" fillId="0" borderId="2" xfId="0" applyNumberFormat="1" applyFont="1" applyFill="1" applyBorder="1" applyAlignment="1">
      <alignment horizontal="center" vertical="center"/>
    </xf>
    <xf numFmtId="186" fontId="22" fillId="0" borderId="14" xfId="0" applyNumberFormat="1" applyFont="1" applyFill="1" applyBorder="1" applyAlignment="1">
      <alignment horizontal="center" vertical="center"/>
    </xf>
    <xf numFmtId="186" fontId="22" fillId="0" borderId="9" xfId="0" applyNumberFormat="1" applyFont="1" applyFill="1" applyBorder="1" applyAlignment="1">
      <alignment horizontal="center" vertical="center"/>
    </xf>
    <xf numFmtId="0" fontId="36" fillId="0" borderId="10" xfId="0" applyFont="1" applyFill="1" applyBorder="1" applyAlignment="1">
      <alignment horizontal="center" vertical="center"/>
    </xf>
    <xf numFmtId="0" fontId="4" fillId="0" borderId="13" xfId="0" applyFont="1" applyFill="1" applyBorder="1" applyAlignment="1">
      <alignment horizontal="center" vertical="center"/>
    </xf>
    <xf numFmtId="0" fontId="4" fillId="0" borderId="1" xfId="0" applyFont="1" applyFill="1" applyBorder="1" applyAlignment="1">
      <alignment horizontal="center" vertical="center"/>
    </xf>
    <xf numFmtId="0" fontId="22" fillId="0" borderId="6" xfId="4" applyFont="1" applyFill="1" applyBorder="1" applyAlignment="1">
      <alignment horizontal="center" vertical="center" wrapText="1"/>
    </xf>
    <xf numFmtId="0" fontId="22" fillId="0" borderId="7" xfId="4" applyFont="1" applyFill="1" applyBorder="1" applyAlignment="1">
      <alignment horizontal="center" vertical="center" wrapText="1"/>
    </xf>
    <xf numFmtId="0" fontId="22" fillId="0" borderId="14" xfId="0" applyFont="1" applyFill="1" applyBorder="1" applyAlignment="1">
      <alignment horizontal="center" vertical="center"/>
    </xf>
    <xf numFmtId="0" fontId="4" fillId="0" borderId="14" xfId="0" applyFont="1" applyFill="1" applyBorder="1" applyAlignment="1">
      <alignment horizontal="center" vertical="center"/>
    </xf>
    <xf numFmtId="178" fontId="70" fillId="0" borderId="0" xfId="2" applyNumberFormat="1" applyFont="1" applyFill="1" applyBorder="1">
      <alignment vertical="center"/>
    </xf>
    <xf numFmtId="0" fontId="22" fillId="0" borderId="6" xfId="0" applyFont="1" applyFill="1" applyBorder="1" applyAlignment="1">
      <alignment horizontal="center" vertical="center"/>
    </xf>
    <xf numFmtId="0" fontId="22" fillId="0" borderId="7" xfId="0" applyFont="1" applyFill="1" applyBorder="1" applyAlignment="1">
      <alignment horizontal="center" vertical="center"/>
    </xf>
    <xf numFmtId="0" fontId="22" fillId="0" borderId="9" xfId="0" applyFont="1" applyFill="1" applyBorder="1" applyAlignment="1">
      <alignment horizontal="center" vertical="center"/>
    </xf>
    <xf numFmtId="0" fontId="22" fillId="0" borderId="10" xfId="0" applyFont="1" applyFill="1" applyBorder="1" applyAlignment="1">
      <alignment horizontal="center" vertical="center"/>
    </xf>
    <xf numFmtId="0" fontId="22" fillId="0" borderId="14" xfId="0" applyFont="1" applyFill="1" applyBorder="1" applyAlignment="1">
      <alignment horizontal="center" vertical="center"/>
    </xf>
    <xf numFmtId="0" fontId="4" fillId="0" borderId="6" xfId="0" applyFont="1" applyFill="1" applyBorder="1" applyAlignment="1">
      <alignment horizontal="center" vertical="center"/>
    </xf>
    <xf numFmtId="0" fontId="4" fillId="0" borderId="7" xfId="0" applyFont="1" applyFill="1" applyBorder="1" applyAlignment="1">
      <alignment horizontal="center" vertical="center"/>
    </xf>
    <xf numFmtId="0" fontId="19" fillId="0" borderId="11" xfId="0" applyFont="1" applyFill="1" applyBorder="1" applyAlignment="1">
      <alignment horizontal="center" vertical="center"/>
    </xf>
    <xf numFmtId="0" fontId="19" fillId="0" borderId="3" xfId="0" applyFont="1" applyFill="1" applyBorder="1" applyAlignment="1">
      <alignment horizontal="center" vertical="center"/>
    </xf>
    <xf numFmtId="0" fontId="4" fillId="0" borderId="9" xfId="0" applyFont="1" applyFill="1" applyBorder="1" applyAlignment="1">
      <alignment horizontal="center" vertical="center"/>
    </xf>
    <xf numFmtId="0" fontId="4" fillId="0" borderId="10" xfId="0" applyFont="1" applyFill="1" applyBorder="1" applyAlignment="1">
      <alignment horizontal="center" vertical="center"/>
    </xf>
    <xf numFmtId="0" fontId="4" fillId="0" borderId="14" xfId="0" applyFont="1" applyFill="1" applyBorder="1" applyAlignment="1">
      <alignment horizontal="center" vertical="center"/>
    </xf>
    <xf numFmtId="0" fontId="19" fillId="0" borderId="9" xfId="0" applyFont="1" applyFill="1" applyBorder="1" applyAlignment="1">
      <alignment horizontal="center" vertical="center"/>
    </xf>
    <xf numFmtId="0" fontId="19" fillId="0" borderId="10" xfId="0" applyFont="1" applyFill="1" applyBorder="1" applyAlignment="1">
      <alignment horizontal="center" vertical="center"/>
    </xf>
    <xf numFmtId="0" fontId="19" fillId="0" borderId="14" xfId="0" applyFont="1" applyFill="1" applyBorder="1" applyAlignment="1">
      <alignment horizontal="center" vertical="center"/>
    </xf>
    <xf numFmtId="0" fontId="4" fillId="0" borderId="0" xfId="0" applyFont="1" applyFill="1" applyBorder="1" applyAlignment="1">
      <alignment horizontal="center" vertical="center"/>
    </xf>
    <xf numFmtId="0" fontId="46" fillId="0" borderId="6" xfId="0" applyFont="1" applyFill="1" applyBorder="1" applyAlignment="1">
      <alignment horizontal="center" vertical="center"/>
    </xf>
    <xf numFmtId="0" fontId="46" fillId="0" borderId="7" xfId="0" applyFont="1" applyFill="1" applyBorder="1" applyAlignment="1">
      <alignment horizontal="center" vertical="center"/>
    </xf>
    <xf numFmtId="0" fontId="46" fillId="0" borderId="10" xfId="0" applyFont="1" applyFill="1" applyBorder="1" applyAlignment="1">
      <alignment horizontal="center" vertical="center"/>
    </xf>
    <xf numFmtId="0" fontId="46" fillId="0" borderId="14" xfId="0" applyFont="1" applyFill="1" applyBorder="1" applyAlignment="1">
      <alignment horizontal="center" vertical="center"/>
    </xf>
    <xf numFmtId="0" fontId="46" fillId="0" borderId="9" xfId="0" applyFont="1" applyFill="1" applyBorder="1" applyAlignment="1">
      <alignment horizontal="center" vertical="center"/>
    </xf>
    <xf numFmtId="0" fontId="46" fillId="0" borderId="2" xfId="0" applyFont="1" applyFill="1" applyBorder="1" applyAlignment="1">
      <alignment horizontal="center" vertical="center"/>
    </xf>
    <xf numFmtId="0" fontId="46" fillId="0" borderId="11" xfId="0" applyFont="1" applyFill="1" applyBorder="1" applyAlignment="1">
      <alignment horizontal="center" vertical="center"/>
    </xf>
    <xf numFmtId="0" fontId="46" fillId="0" borderId="13" xfId="0" applyFont="1" applyFill="1" applyBorder="1" applyAlignment="1">
      <alignment horizontal="center" vertical="center"/>
    </xf>
    <xf numFmtId="0" fontId="46" fillId="0" borderId="3" xfId="0" applyFont="1" applyFill="1" applyBorder="1" applyAlignment="1">
      <alignment horizontal="center" vertical="center"/>
    </xf>
    <xf numFmtId="0" fontId="46" fillId="0" borderId="1" xfId="0" applyFont="1" applyFill="1" applyBorder="1" applyAlignment="1">
      <alignment horizontal="center" vertical="center"/>
    </xf>
    <xf numFmtId="0" fontId="46" fillId="0" borderId="12" xfId="0" applyFont="1" applyFill="1" applyBorder="1" applyAlignment="1">
      <alignment horizontal="center" vertical="center"/>
    </xf>
    <xf numFmtId="0" fontId="46" fillId="0" borderId="15" xfId="0" applyFont="1" applyFill="1" applyBorder="1" applyAlignment="1">
      <alignment horizontal="center" vertical="center"/>
    </xf>
    <xf numFmtId="0" fontId="4" fillId="0" borderId="8" xfId="0" applyFont="1" applyFill="1" applyBorder="1" applyAlignment="1">
      <alignment horizontal="center" vertical="center"/>
    </xf>
    <xf numFmtId="0" fontId="4" fillId="0" borderId="2" xfId="0" applyFont="1" applyFill="1" applyBorder="1" applyAlignment="1">
      <alignment horizontal="center" vertical="center"/>
    </xf>
    <xf numFmtId="0" fontId="4" fillId="0" borderId="11" xfId="0" applyFont="1" applyFill="1" applyBorder="1" applyAlignment="1">
      <alignment horizontal="center" vertical="center"/>
    </xf>
    <xf numFmtId="0" fontId="4" fillId="0" borderId="12" xfId="0" applyFont="1" applyFill="1" applyBorder="1" applyAlignment="1">
      <alignment horizontal="center" vertical="center"/>
    </xf>
    <xf numFmtId="0" fontId="4" fillId="0" borderId="3" xfId="0" applyFont="1" applyFill="1" applyBorder="1" applyAlignment="1">
      <alignment horizontal="center" vertical="center"/>
    </xf>
    <xf numFmtId="0" fontId="4" fillId="0" borderId="15" xfId="0" applyFont="1" applyFill="1" applyBorder="1" applyAlignment="1">
      <alignment horizontal="center" vertical="center"/>
    </xf>
    <xf numFmtId="0" fontId="36" fillId="0" borderId="9" xfId="0" applyFont="1" applyFill="1" applyBorder="1" applyAlignment="1">
      <alignment horizontal="center" vertical="center"/>
    </xf>
    <xf numFmtId="0" fontId="36" fillId="0" borderId="10" xfId="0" applyFont="1" applyFill="1" applyBorder="1" applyAlignment="1">
      <alignment horizontal="center" vertical="center"/>
    </xf>
    <xf numFmtId="0" fontId="36" fillId="0" borderId="14" xfId="0" applyFont="1" applyFill="1" applyBorder="1" applyAlignment="1">
      <alignment horizontal="center" vertical="center"/>
    </xf>
    <xf numFmtId="186" fontId="22" fillId="0" borderId="2" xfId="0" applyNumberFormat="1" applyFont="1" applyFill="1" applyBorder="1" applyAlignment="1">
      <alignment horizontal="center" vertical="center"/>
    </xf>
    <xf numFmtId="186" fontId="22" fillId="0" borderId="10" xfId="0" applyNumberFormat="1" applyFont="1" applyFill="1" applyBorder="1" applyAlignment="1">
      <alignment horizontal="center" vertical="center"/>
    </xf>
    <xf numFmtId="186" fontId="22" fillId="0" borderId="14" xfId="0" applyNumberFormat="1" applyFont="1" applyFill="1" applyBorder="1" applyAlignment="1">
      <alignment horizontal="center" vertical="center"/>
    </xf>
    <xf numFmtId="0" fontId="22" fillId="0" borderId="11" xfId="0" applyFont="1" applyFill="1" applyBorder="1" applyAlignment="1">
      <alignment horizontal="center" vertical="center"/>
    </xf>
    <xf numFmtId="0" fontId="22" fillId="0" borderId="13" xfId="0" applyFont="1" applyFill="1" applyBorder="1" applyAlignment="1">
      <alignment horizontal="center" vertical="center"/>
    </xf>
    <xf numFmtId="0" fontId="22" fillId="0" borderId="3" xfId="0" applyFont="1" applyFill="1" applyBorder="1" applyAlignment="1">
      <alignment horizontal="center" vertical="center"/>
    </xf>
    <xf numFmtId="0" fontId="22" fillId="0" borderId="1" xfId="0" applyFont="1" applyFill="1" applyBorder="1" applyAlignment="1">
      <alignment horizontal="center" vertical="center"/>
    </xf>
    <xf numFmtId="186" fontId="36" fillId="0" borderId="9" xfId="0" applyNumberFormat="1" applyFont="1" applyFill="1" applyBorder="1" applyAlignment="1">
      <alignment horizontal="center" vertical="center"/>
    </xf>
    <xf numFmtId="186" fontId="36" fillId="0" borderId="14" xfId="0" applyNumberFormat="1" applyFont="1" applyFill="1" applyBorder="1" applyAlignment="1">
      <alignment horizontal="center" vertical="center"/>
    </xf>
    <xf numFmtId="186" fontId="22" fillId="0" borderId="9" xfId="0" applyNumberFormat="1" applyFont="1" applyFill="1" applyBorder="1" applyAlignment="1">
      <alignment horizontal="center" vertical="center"/>
    </xf>
    <xf numFmtId="0" fontId="4" fillId="0" borderId="13" xfId="0" applyFont="1" applyFill="1" applyBorder="1" applyAlignment="1">
      <alignment horizontal="center" vertical="center"/>
    </xf>
    <xf numFmtId="0" fontId="4" fillId="0" borderId="1" xfId="0" applyFont="1" applyFill="1" applyBorder="1" applyAlignment="1">
      <alignment horizontal="center" vertical="center"/>
    </xf>
    <xf numFmtId="0" fontId="4" fillId="0" borderId="10" xfId="0" applyFont="1" applyFill="1" applyBorder="1" applyAlignment="1">
      <alignment horizontal="center"/>
    </xf>
    <xf numFmtId="0" fontId="4" fillId="0" borderId="14" xfId="0" applyFont="1" applyFill="1" applyBorder="1" applyAlignment="1">
      <alignment horizontal="center"/>
    </xf>
    <xf numFmtId="0" fontId="22" fillId="0" borderId="6" xfId="4" applyFont="1" applyFill="1" applyBorder="1" applyAlignment="1">
      <alignment horizontal="center" vertical="center" wrapText="1"/>
    </xf>
    <xf numFmtId="0" fontId="22" fillId="0" borderId="7" xfId="4" applyFont="1" applyFill="1" applyBorder="1" applyAlignment="1">
      <alignment horizontal="center" vertical="center" wrapText="1"/>
    </xf>
    <xf numFmtId="0" fontId="22" fillId="0" borderId="6" xfId="4" applyFont="1" applyFill="1" applyBorder="1" applyAlignment="1">
      <alignment horizontal="center" vertical="center"/>
    </xf>
    <xf numFmtId="0" fontId="22" fillId="0" borderId="7" xfId="4" applyFont="1" applyFill="1" applyBorder="1" applyAlignment="1">
      <alignment horizontal="center" vertical="center"/>
    </xf>
    <xf numFmtId="0" fontId="22" fillId="0" borderId="10" xfId="0" applyFont="1" applyFill="1" applyBorder="1" applyAlignment="1">
      <alignment horizontal="center"/>
    </xf>
    <xf numFmtId="0" fontId="22" fillId="0" borderId="14" xfId="0" applyFont="1" applyFill="1" applyBorder="1" applyAlignment="1">
      <alignment horizontal="center"/>
    </xf>
    <xf numFmtId="0" fontId="44" fillId="0" borderId="6" xfId="0" applyFont="1" applyBorder="1" applyAlignment="1">
      <alignment horizontal="center" vertical="center"/>
    </xf>
    <xf numFmtId="0" fontId="44" fillId="0" borderId="7" xfId="0" applyFont="1" applyBorder="1" applyAlignment="1">
      <alignment horizontal="center" vertical="center"/>
    </xf>
    <xf numFmtId="0" fontId="72" fillId="0" borderId="11" xfId="0" applyFont="1" applyBorder="1" applyAlignment="1">
      <alignment horizontal="center" vertical="center"/>
    </xf>
    <xf numFmtId="0" fontId="72" fillId="0" borderId="12" xfId="0" applyFont="1" applyBorder="1" applyAlignment="1">
      <alignment horizontal="center" vertical="center"/>
    </xf>
    <xf numFmtId="0" fontId="72" fillId="0" borderId="3" xfId="0" applyFont="1" applyBorder="1" applyAlignment="1">
      <alignment horizontal="center" vertical="center"/>
    </xf>
    <xf numFmtId="0" fontId="72" fillId="0" borderId="15" xfId="0" applyFont="1" applyBorder="1" applyAlignment="1">
      <alignment horizontal="center" vertical="center"/>
    </xf>
  </cellXfs>
  <cellStyles count="10">
    <cellStyle name="백분율" xfId="3" builtinId="5"/>
    <cellStyle name="백분율 2" xfId="9"/>
    <cellStyle name="백분율 3" xfId="7"/>
    <cellStyle name="백분율 4" xfId="5"/>
    <cellStyle name="쉼표 [0]" xfId="2" builtinId="6"/>
    <cellStyle name="쉼표 [0] 2" xfId="6"/>
    <cellStyle name="표준" xfId="0" builtinId="0"/>
    <cellStyle name="표준 2" xfId="4"/>
    <cellStyle name="표준 2 2" xfId="8"/>
    <cellStyle name="하이퍼링크" xfId="1" builtinId="8"/>
  </cellStyles>
  <dxfs count="0"/>
  <tableStyles count="0" defaultTableStyle="TableStyleMedium2" defaultPivotStyle="PivotStyleLight16"/>
  <colors>
    <mruColors>
      <color rgb="FF0000FF"/>
      <color rgb="FFFFF30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4.xml"/><Relationship Id="rId39" Type="http://schemas.openxmlformats.org/officeDocument/2006/relationships/externalLink" Target="externalLinks/externalLink17.xml"/><Relationship Id="rId21" Type="http://schemas.openxmlformats.org/officeDocument/2006/relationships/worksheet" Target="worksheets/sheet21.xml"/><Relationship Id="rId34" Type="http://schemas.openxmlformats.org/officeDocument/2006/relationships/externalLink" Target="externalLinks/externalLink12.xml"/><Relationship Id="rId42" Type="http://schemas.openxmlformats.org/officeDocument/2006/relationships/externalLink" Target="externalLinks/externalLink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externalLink" Target="externalLinks/externalLink18.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9.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9.xml"/></Relationships>
</file>

<file path=xl/ctrlProps/ctrlProp1.xml><?xml version="1.0" encoding="utf-8"?>
<formControlPr xmlns="http://schemas.microsoft.com/office/spreadsheetml/2009/9/main" objectType="Drop" dropLines="2" dropStyle="combo" dx="15" fmlaLink="$F$103" fmlaRange="language" noThreeD="1" sel="1" val="0"/>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314326</xdr:colOff>
      <xdr:row>3</xdr:row>
      <xdr:rowOff>57150</xdr:rowOff>
    </xdr:from>
    <xdr:to>
      <xdr:col>4</xdr:col>
      <xdr:colOff>215926</xdr:colOff>
      <xdr:row>7</xdr:row>
      <xdr:rowOff>104775</xdr:rowOff>
    </xdr:to>
    <xdr:sp macro="" textlink="">
      <xdr:nvSpPr>
        <xdr:cNvPr id="2" name="TextBox 1"/>
        <xdr:cNvSpPr txBox="1"/>
      </xdr:nvSpPr>
      <xdr:spPr>
        <a:xfrm>
          <a:off x="314326" y="685800"/>
          <a:ext cx="2340000" cy="8858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2400" b="1">
              <a:latin typeface="맑은 고딕" panose="020B0503020000020004" pitchFamily="50" charset="-127"/>
              <a:ea typeface="맑은 고딕" panose="020B0503020000020004" pitchFamily="50" charset="-127"/>
            </a:rPr>
            <a:t>Fact Sheet</a:t>
          </a:r>
        </a:p>
        <a:p>
          <a:r>
            <a:rPr lang="en-US" altLang="ko-KR" sz="1100">
              <a:latin typeface="맑은 고딕" panose="020B0503020000020004" pitchFamily="50" charset="-127"/>
              <a:ea typeface="맑은 고딕" panose="020B0503020000020004" pitchFamily="50" charset="-127"/>
            </a:rPr>
            <a:t>MIRAE ASSET LIFE INSURANCE</a:t>
          </a:r>
        </a:p>
      </xdr:txBody>
    </xdr:sp>
    <xdr:clientData/>
  </xdr:twoCellAnchor>
  <xdr:twoCellAnchor editAs="oneCell">
    <xdr:from>
      <xdr:col>1</xdr:col>
      <xdr:colOff>19051</xdr:colOff>
      <xdr:row>0</xdr:row>
      <xdr:rowOff>0</xdr:rowOff>
    </xdr:from>
    <xdr:to>
      <xdr:col>3</xdr:col>
      <xdr:colOff>381001</xdr:colOff>
      <xdr:row>2</xdr:row>
      <xdr:rowOff>197245</xdr:rowOff>
    </xdr:to>
    <xdr:pic>
      <xdr:nvPicPr>
        <xdr:cNvPr id="3" name="Picture 2" descr="D:\Users\yj\Documents\미래에셋생명\1000 IR자료\_img\CI 리뉴얼\미래에셋생명_160812.pn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1" y="0"/>
          <a:ext cx="1733550" cy="6163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295276</xdr:colOff>
      <xdr:row>25</xdr:row>
      <xdr:rowOff>0</xdr:rowOff>
    </xdr:from>
    <xdr:to>
      <xdr:col>8</xdr:col>
      <xdr:colOff>2352676</xdr:colOff>
      <xdr:row>29</xdr:row>
      <xdr:rowOff>180975</xdr:rowOff>
    </xdr:to>
    <xdr:sp macro="" textlink="">
      <xdr:nvSpPr>
        <xdr:cNvPr id="4" name="TextBox 3"/>
        <xdr:cNvSpPr txBox="1"/>
      </xdr:nvSpPr>
      <xdr:spPr>
        <a:xfrm>
          <a:off x="295276" y="5029200"/>
          <a:ext cx="9315450" cy="10191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altLang="ko-KR" sz="800" b="1" u="sng">
              <a:latin typeface="맑은 고딕" panose="020B0503020000020004" pitchFamily="50" charset="-127"/>
              <a:ea typeface="맑은 고딕" panose="020B0503020000020004" pitchFamily="50" charset="-127"/>
            </a:rPr>
            <a:t>Disclaimer</a:t>
          </a:r>
        </a:p>
        <a:p>
          <a:r>
            <a:rPr lang="en-US" altLang="ko-KR" sz="800" b="0">
              <a:latin typeface="맑은 고딕" panose="020B0503020000020004" pitchFamily="50" charset="-127"/>
              <a:ea typeface="맑은 고딕" panose="020B0503020000020004" pitchFamily="50" charset="-127"/>
            </a:rPr>
            <a:t>All figures in this document are unaudited and provided for general information purposes only. Please be advised that numbers and contents are subject to change after financial audit. Small differences may occur in the tables due to rounding.</a:t>
          </a:r>
        </a:p>
        <a:p>
          <a:r>
            <a:rPr lang="ko-KR" altLang="en-US" sz="800" b="0">
              <a:latin typeface="맑은 고딕" panose="020B0503020000020004" pitchFamily="50" charset="-127"/>
              <a:ea typeface="맑은 고딕" panose="020B0503020000020004" pitchFamily="50" charset="-127"/>
            </a:rPr>
            <a:t>본 자료의 경영실적은 외부 감사인의 회계감사보고서를 제공 받지 못한 상태에서 투자자분들의 편의를 위하여 작성된 것입니다</a:t>
          </a:r>
          <a:r>
            <a:rPr lang="en-US" altLang="ko-KR" sz="800" b="0">
              <a:latin typeface="맑은 고딕" panose="020B0503020000020004" pitchFamily="50" charset="-127"/>
              <a:ea typeface="맑은 고딕" panose="020B0503020000020004" pitchFamily="50" charset="-127"/>
            </a:rPr>
            <a:t>. </a:t>
          </a:r>
          <a:r>
            <a:rPr lang="ko-KR" altLang="en-US" sz="800" b="0">
              <a:latin typeface="맑은 고딕" panose="020B0503020000020004" pitchFamily="50" charset="-127"/>
              <a:ea typeface="맑은 고딕" panose="020B0503020000020004" pitchFamily="50" charset="-127"/>
            </a:rPr>
            <a:t>따라서 회계검토 완료시 본자료의 내용이 변경될 수 있음을 양지하시기 바랍니다</a:t>
          </a:r>
          <a:r>
            <a:rPr lang="en-US" altLang="ko-KR" sz="800" b="0">
              <a:latin typeface="맑은 고딕" panose="020B0503020000020004" pitchFamily="50" charset="-127"/>
              <a:ea typeface="맑은 고딕" panose="020B0503020000020004" pitchFamily="50" charset="-127"/>
            </a:rPr>
            <a:t>. </a:t>
          </a:r>
          <a:r>
            <a:rPr lang="ko-KR" altLang="en-US" sz="800" b="0">
              <a:latin typeface="맑은 고딕" panose="020B0503020000020004" pitchFamily="50" charset="-127"/>
              <a:ea typeface="맑은 고딕" panose="020B0503020000020004" pitchFamily="50" charset="-127"/>
            </a:rPr>
            <a:t>일부 항목간의 합계는 반올림으로 인하여 단수차이가 발생할 수 있습니다</a:t>
          </a:r>
          <a:r>
            <a:rPr lang="en-US" altLang="ko-KR" sz="800" b="0">
              <a:latin typeface="맑은 고딕" panose="020B0503020000020004" pitchFamily="50" charset="-127"/>
              <a:ea typeface="맑은 고딕" panose="020B0503020000020004" pitchFamily="50" charset="-127"/>
            </a:rPr>
            <a:t>.</a:t>
          </a:r>
          <a:endParaRPr lang="ko-KR" altLang="en-US" sz="800" b="0">
            <a:latin typeface="맑은 고딕" panose="020B0503020000020004" pitchFamily="50" charset="-127"/>
            <a:ea typeface="맑은 고딕" panose="020B0503020000020004" pitchFamily="50" charset="-127"/>
          </a:endParaRPr>
        </a:p>
      </xdr:txBody>
    </xdr:sp>
    <xdr:clientData/>
  </xdr:twoCellAnchor>
  <mc:AlternateContent xmlns:mc="http://schemas.openxmlformats.org/markup-compatibility/2006">
    <mc:Choice xmlns:a14="http://schemas.microsoft.com/office/drawing/2010/main" Requires="a14">
      <xdr:twoCellAnchor editAs="oneCell">
        <xdr:from>
          <xdr:col>0</xdr:col>
          <xdr:colOff>371475</xdr:colOff>
          <xdr:row>10</xdr:row>
          <xdr:rowOff>19050</xdr:rowOff>
        </xdr:from>
        <xdr:to>
          <xdr:col>2</xdr:col>
          <xdr:colOff>133350</xdr:colOff>
          <xdr:row>11</xdr:row>
          <xdr:rowOff>0</xdr:rowOff>
        </xdr:to>
        <xdr:sp macro="" textlink="">
          <xdr:nvSpPr>
            <xdr:cNvPr id="1029" name="Drop Down 5" hidden="1">
              <a:extLst>
                <a:ext uri="{63B3BB69-23CF-44E3-9099-C40C66FF867C}">
                  <a14:compatExt spid="_x0000_s10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75482</xdr:colOff>
      <xdr:row>0</xdr:row>
      <xdr:rowOff>49062</xdr:rowOff>
    </xdr:from>
    <xdr:to>
      <xdr:col>0</xdr:col>
      <xdr:colOff>312708</xdr:colOff>
      <xdr:row>0</xdr:row>
      <xdr:rowOff>180488</xdr:rowOff>
    </xdr:to>
    <xdr:sp macro="" textlink="">
      <xdr:nvSpPr>
        <xdr:cNvPr id="2" name="위쪽 화살표 1">
          <a:hlinkClick xmlns:r="http://schemas.openxmlformats.org/officeDocument/2006/relationships" r:id="" tooltip="INDEX"/>
        </xdr:cNvPr>
        <xdr:cNvSpPr/>
      </xdr:nvSpPr>
      <xdr:spPr>
        <a:xfrm>
          <a:off x="75482" y="49062"/>
          <a:ext cx="237226" cy="131426"/>
        </a:xfrm>
        <a:prstGeom prst="upArrow">
          <a:avLst>
            <a:gd name="adj1" fmla="val 60193"/>
            <a:gd name="adj2" fmla="val 57792"/>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75482</xdr:colOff>
      <xdr:row>17</xdr:row>
      <xdr:rowOff>0</xdr:rowOff>
    </xdr:from>
    <xdr:to>
      <xdr:col>0</xdr:col>
      <xdr:colOff>312708</xdr:colOff>
      <xdr:row>17</xdr:row>
      <xdr:rowOff>0</xdr:rowOff>
    </xdr:to>
    <xdr:sp macro="" textlink="">
      <xdr:nvSpPr>
        <xdr:cNvPr id="3" name="위쪽 화살표 2">
          <a:hlinkClick xmlns:r="http://schemas.openxmlformats.org/officeDocument/2006/relationships" r:id="" tooltip="INDEX"/>
        </xdr:cNvPr>
        <xdr:cNvSpPr/>
      </xdr:nvSpPr>
      <xdr:spPr>
        <a:xfrm>
          <a:off x="75482" y="3562350"/>
          <a:ext cx="237226" cy="0"/>
        </a:xfrm>
        <a:prstGeom prst="upArrow">
          <a:avLst>
            <a:gd name="adj1" fmla="val 60193"/>
            <a:gd name="adj2" fmla="val 57792"/>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75482</xdr:colOff>
      <xdr:row>0</xdr:row>
      <xdr:rowOff>49062</xdr:rowOff>
    </xdr:from>
    <xdr:to>
      <xdr:col>0</xdr:col>
      <xdr:colOff>312708</xdr:colOff>
      <xdr:row>0</xdr:row>
      <xdr:rowOff>180488</xdr:rowOff>
    </xdr:to>
    <xdr:sp macro="" textlink="">
      <xdr:nvSpPr>
        <xdr:cNvPr id="2" name="위쪽 화살표 1">
          <a:hlinkClick xmlns:r="http://schemas.openxmlformats.org/officeDocument/2006/relationships" r:id="" tooltip="INDEX"/>
        </xdr:cNvPr>
        <xdr:cNvSpPr/>
      </xdr:nvSpPr>
      <xdr:spPr>
        <a:xfrm>
          <a:off x="75482" y="49062"/>
          <a:ext cx="237226" cy="131426"/>
        </a:xfrm>
        <a:prstGeom prst="upArrow">
          <a:avLst>
            <a:gd name="adj1" fmla="val 60193"/>
            <a:gd name="adj2" fmla="val 57792"/>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75482</xdr:colOff>
      <xdr:row>0</xdr:row>
      <xdr:rowOff>49062</xdr:rowOff>
    </xdr:from>
    <xdr:to>
      <xdr:col>0</xdr:col>
      <xdr:colOff>312708</xdr:colOff>
      <xdr:row>0</xdr:row>
      <xdr:rowOff>180488</xdr:rowOff>
    </xdr:to>
    <xdr:sp macro="" textlink="">
      <xdr:nvSpPr>
        <xdr:cNvPr id="2" name="위쪽 화살표 1">
          <a:hlinkClick xmlns:r="http://schemas.openxmlformats.org/officeDocument/2006/relationships" r:id="" tooltip="INDEX"/>
        </xdr:cNvPr>
        <xdr:cNvSpPr/>
      </xdr:nvSpPr>
      <xdr:spPr>
        <a:xfrm>
          <a:off x="75482" y="49062"/>
          <a:ext cx="237226" cy="131426"/>
        </a:xfrm>
        <a:prstGeom prst="upArrow">
          <a:avLst>
            <a:gd name="adj1" fmla="val 60193"/>
            <a:gd name="adj2" fmla="val 57792"/>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75482</xdr:colOff>
      <xdr:row>0</xdr:row>
      <xdr:rowOff>49062</xdr:rowOff>
    </xdr:from>
    <xdr:to>
      <xdr:col>0</xdr:col>
      <xdr:colOff>312708</xdr:colOff>
      <xdr:row>0</xdr:row>
      <xdr:rowOff>180488</xdr:rowOff>
    </xdr:to>
    <xdr:sp macro="" textlink="">
      <xdr:nvSpPr>
        <xdr:cNvPr id="2" name="위쪽 화살표 1">
          <a:hlinkClick xmlns:r="http://schemas.openxmlformats.org/officeDocument/2006/relationships" r:id="" tooltip="INDEX"/>
        </xdr:cNvPr>
        <xdr:cNvSpPr/>
      </xdr:nvSpPr>
      <xdr:spPr>
        <a:xfrm>
          <a:off x="75482" y="49062"/>
          <a:ext cx="237226" cy="131426"/>
        </a:xfrm>
        <a:prstGeom prst="upArrow">
          <a:avLst>
            <a:gd name="adj1" fmla="val 60193"/>
            <a:gd name="adj2" fmla="val 57792"/>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75482</xdr:colOff>
      <xdr:row>0</xdr:row>
      <xdr:rowOff>49062</xdr:rowOff>
    </xdr:from>
    <xdr:to>
      <xdr:col>0</xdr:col>
      <xdr:colOff>312708</xdr:colOff>
      <xdr:row>0</xdr:row>
      <xdr:rowOff>180488</xdr:rowOff>
    </xdr:to>
    <xdr:sp macro="" textlink="">
      <xdr:nvSpPr>
        <xdr:cNvPr id="2" name="위쪽 화살표 1">
          <a:hlinkClick xmlns:r="http://schemas.openxmlformats.org/officeDocument/2006/relationships" r:id="" tooltip="INDEX"/>
        </xdr:cNvPr>
        <xdr:cNvSpPr/>
      </xdr:nvSpPr>
      <xdr:spPr>
        <a:xfrm>
          <a:off x="75482" y="49062"/>
          <a:ext cx="237226" cy="131426"/>
        </a:xfrm>
        <a:prstGeom prst="upArrow">
          <a:avLst>
            <a:gd name="adj1" fmla="val 60193"/>
            <a:gd name="adj2" fmla="val 57792"/>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75482</xdr:colOff>
      <xdr:row>0</xdr:row>
      <xdr:rowOff>49062</xdr:rowOff>
    </xdr:from>
    <xdr:to>
      <xdr:col>0</xdr:col>
      <xdr:colOff>312708</xdr:colOff>
      <xdr:row>0</xdr:row>
      <xdr:rowOff>180488</xdr:rowOff>
    </xdr:to>
    <xdr:sp macro="" textlink="">
      <xdr:nvSpPr>
        <xdr:cNvPr id="2" name="위쪽 화살표 1">
          <a:hlinkClick xmlns:r="http://schemas.openxmlformats.org/officeDocument/2006/relationships" r:id="" tooltip="INDEX"/>
        </xdr:cNvPr>
        <xdr:cNvSpPr/>
      </xdr:nvSpPr>
      <xdr:spPr>
        <a:xfrm>
          <a:off x="75482" y="49062"/>
          <a:ext cx="237226" cy="131426"/>
        </a:xfrm>
        <a:prstGeom prst="upArrow">
          <a:avLst>
            <a:gd name="adj1" fmla="val 60193"/>
            <a:gd name="adj2" fmla="val 57792"/>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75482</xdr:colOff>
      <xdr:row>0</xdr:row>
      <xdr:rowOff>49062</xdr:rowOff>
    </xdr:from>
    <xdr:to>
      <xdr:col>0</xdr:col>
      <xdr:colOff>312708</xdr:colOff>
      <xdr:row>0</xdr:row>
      <xdr:rowOff>180488</xdr:rowOff>
    </xdr:to>
    <xdr:sp macro="" textlink="">
      <xdr:nvSpPr>
        <xdr:cNvPr id="2" name="위쪽 화살표 1">
          <a:hlinkClick xmlns:r="http://schemas.openxmlformats.org/officeDocument/2006/relationships" r:id="" tooltip="INDEX"/>
        </xdr:cNvPr>
        <xdr:cNvSpPr/>
      </xdr:nvSpPr>
      <xdr:spPr>
        <a:xfrm>
          <a:off x="75482" y="49062"/>
          <a:ext cx="237226" cy="131426"/>
        </a:xfrm>
        <a:prstGeom prst="upArrow">
          <a:avLst>
            <a:gd name="adj1" fmla="val 60193"/>
            <a:gd name="adj2" fmla="val 57792"/>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75482</xdr:colOff>
      <xdr:row>0</xdr:row>
      <xdr:rowOff>49062</xdr:rowOff>
    </xdr:from>
    <xdr:to>
      <xdr:col>0</xdr:col>
      <xdr:colOff>312708</xdr:colOff>
      <xdr:row>0</xdr:row>
      <xdr:rowOff>180488</xdr:rowOff>
    </xdr:to>
    <xdr:sp macro="" textlink="">
      <xdr:nvSpPr>
        <xdr:cNvPr id="2" name="위쪽 화살표 1">
          <a:hlinkClick xmlns:r="http://schemas.openxmlformats.org/officeDocument/2006/relationships" r:id="" tooltip="INDEX"/>
        </xdr:cNvPr>
        <xdr:cNvSpPr/>
      </xdr:nvSpPr>
      <xdr:spPr>
        <a:xfrm>
          <a:off x="75482" y="49062"/>
          <a:ext cx="237226" cy="131426"/>
        </a:xfrm>
        <a:prstGeom prst="upArrow">
          <a:avLst>
            <a:gd name="adj1" fmla="val 60193"/>
            <a:gd name="adj2" fmla="val 57792"/>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75482</xdr:colOff>
      <xdr:row>0</xdr:row>
      <xdr:rowOff>49062</xdr:rowOff>
    </xdr:from>
    <xdr:to>
      <xdr:col>0</xdr:col>
      <xdr:colOff>312708</xdr:colOff>
      <xdr:row>0</xdr:row>
      <xdr:rowOff>180488</xdr:rowOff>
    </xdr:to>
    <xdr:sp macro="" textlink="">
      <xdr:nvSpPr>
        <xdr:cNvPr id="2" name="위쪽 화살표 1">
          <a:hlinkClick xmlns:r="http://schemas.openxmlformats.org/officeDocument/2006/relationships" r:id="" tooltip="INDEX"/>
        </xdr:cNvPr>
        <xdr:cNvSpPr/>
      </xdr:nvSpPr>
      <xdr:spPr>
        <a:xfrm>
          <a:off x="75482" y="49062"/>
          <a:ext cx="237226" cy="131426"/>
        </a:xfrm>
        <a:prstGeom prst="upArrow">
          <a:avLst>
            <a:gd name="adj1" fmla="val 60193"/>
            <a:gd name="adj2" fmla="val 57792"/>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75482</xdr:colOff>
      <xdr:row>12</xdr:row>
      <xdr:rowOff>49062</xdr:rowOff>
    </xdr:from>
    <xdr:to>
      <xdr:col>0</xdr:col>
      <xdr:colOff>312708</xdr:colOff>
      <xdr:row>12</xdr:row>
      <xdr:rowOff>180488</xdr:rowOff>
    </xdr:to>
    <xdr:sp macro="" textlink="">
      <xdr:nvSpPr>
        <xdr:cNvPr id="3" name="위쪽 화살표 2">
          <a:hlinkClick xmlns:r="http://schemas.openxmlformats.org/officeDocument/2006/relationships" r:id="" tooltip="INDEX"/>
        </xdr:cNvPr>
        <xdr:cNvSpPr/>
      </xdr:nvSpPr>
      <xdr:spPr>
        <a:xfrm>
          <a:off x="75482" y="2563662"/>
          <a:ext cx="237226" cy="131426"/>
        </a:xfrm>
        <a:prstGeom prst="upArrow">
          <a:avLst>
            <a:gd name="adj1" fmla="val 60193"/>
            <a:gd name="adj2" fmla="val 57792"/>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75482</xdr:colOff>
      <xdr:row>0</xdr:row>
      <xdr:rowOff>49062</xdr:rowOff>
    </xdr:from>
    <xdr:to>
      <xdr:col>0</xdr:col>
      <xdr:colOff>312708</xdr:colOff>
      <xdr:row>0</xdr:row>
      <xdr:rowOff>180488</xdr:rowOff>
    </xdr:to>
    <xdr:sp macro="" textlink="">
      <xdr:nvSpPr>
        <xdr:cNvPr id="2" name="위쪽 화살표 1">
          <a:hlinkClick xmlns:r="http://schemas.openxmlformats.org/officeDocument/2006/relationships" r:id="" tooltip="INDEX"/>
        </xdr:cNvPr>
        <xdr:cNvSpPr/>
      </xdr:nvSpPr>
      <xdr:spPr>
        <a:xfrm>
          <a:off x="75482" y="49062"/>
          <a:ext cx="237226" cy="131426"/>
        </a:xfrm>
        <a:prstGeom prst="upArrow">
          <a:avLst>
            <a:gd name="adj1" fmla="val 60193"/>
            <a:gd name="adj2" fmla="val 57792"/>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75482</xdr:colOff>
      <xdr:row>0</xdr:row>
      <xdr:rowOff>49062</xdr:rowOff>
    </xdr:from>
    <xdr:to>
      <xdr:col>0</xdr:col>
      <xdr:colOff>312708</xdr:colOff>
      <xdr:row>0</xdr:row>
      <xdr:rowOff>180488</xdr:rowOff>
    </xdr:to>
    <xdr:sp macro="" textlink="">
      <xdr:nvSpPr>
        <xdr:cNvPr id="2" name="위쪽 화살표 1">
          <a:hlinkClick xmlns:r="http://schemas.openxmlformats.org/officeDocument/2006/relationships" r:id="" tooltip="INDEX"/>
        </xdr:cNvPr>
        <xdr:cNvSpPr/>
      </xdr:nvSpPr>
      <xdr:spPr>
        <a:xfrm>
          <a:off x="75482" y="49062"/>
          <a:ext cx="237226" cy="131426"/>
        </a:xfrm>
        <a:prstGeom prst="upArrow">
          <a:avLst>
            <a:gd name="adj1" fmla="val 60193"/>
            <a:gd name="adj2" fmla="val 57792"/>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75482</xdr:colOff>
      <xdr:row>0</xdr:row>
      <xdr:rowOff>49062</xdr:rowOff>
    </xdr:from>
    <xdr:to>
      <xdr:col>0</xdr:col>
      <xdr:colOff>312708</xdr:colOff>
      <xdr:row>0</xdr:row>
      <xdr:rowOff>180488</xdr:rowOff>
    </xdr:to>
    <xdr:sp macro="" textlink="">
      <xdr:nvSpPr>
        <xdr:cNvPr id="31" name="위쪽 화살표 30">
          <a:hlinkClick xmlns:r="http://schemas.openxmlformats.org/officeDocument/2006/relationships" r:id="" tooltip="INDEX"/>
        </xdr:cNvPr>
        <xdr:cNvSpPr/>
      </xdr:nvSpPr>
      <xdr:spPr>
        <a:xfrm>
          <a:off x="75482" y="49062"/>
          <a:ext cx="237226" cy="131426"/>
        </a:xfrm>
        <a:prstGeom prst="upArrow">
          <a:avLst>
            <a:gd name="adj1" fmla="val 60193"/>
            <a:gd name="adj2" fmla="val 57792"/>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75482</xdr:colOff>
      <xdr:row>0</xdr:row>
      <xdr:rowOff>49062</xdr:rowOff>
    </xdr:from>
    <xdr:to>
      <xdr:col>0</xdr:col>
      <xdr:colOff>312708</xdr:colOff>
      <xdr:row>0</xdr:row>
      <xdr:rowOff>180488</xdr:rowOff>
    </xdr:to>
    <xdr:sp macro="" textlink="">
      <xdr:nvSpPr>
        <xdr:cNvPr id="2" name="위쪽 화살표 1">
          <a:hlinkClick xmlns:r="http://schemas.openxmlformats.org/officeDocument/2006/relationships" r:id="" tooltip="INDEX"/>
        </xdr:cNvPr>
        <xdr:cNvSpPr/>
      </xdr:nvSpPr>
      <xdr:spPr>
        <a:xfrm>
          <a:off x="75482" y="49062"/>
          <a:ext cx="237226" cy="131426"/>
        </a:xfrm>
        <a:prstGeom prst="upArrow">
          <a:avLst>
            <a:gd name="adj1" fmla="val 60193"/>
            <a:gd name="adj2" fmla="val 57792"/>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75482</xdr:colOff>
      <xdr:row>0</xdr:row>
      <xdr:rowOff>49062</xdr:rowOff>
    </xdr:from>
    <xdr:to>
      <xdr:col>0</xdr:col>
      <xdr:colOff>312708</xdr:colOff>
      <xdr:row>0</xdr:row>
      <xdr:rowOff>180488</xdr:rowOff>
    </xdr:to>
    <xdr:sp macro="" textlink="">
      <xdr:nvSpPr>
        <xdr:cNvPr id="2" name="위쪽 화살표 1">
          <a:hlinkClick xmlns:r="http://schemas.openxmlformats.org/officeDocument/2006/relationships" r:id="" tooltip="INDEX"/>
        </xdr:cNvPr>
        <xdr:cNvSpPr/>
      </xdr:nvSpPr>
      <xdr:spPr>
        <a:xfrm>
          <a:off x="75482" y="49062"/>
          <a:ext cx="237226" cy="131426"/>
        </a:xfrm>
        <a:prstGeom prst="upArrow">
          <a:avLst>
            <a:gd name="adj1" fmla="val 60193"/>
            <a:gd name="adj2" fmla="val 57792"/>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75482</xdr:colOff>
      <xdr:row>0</xdr:row>
      <xdr:rowOff>49062</xdr:rowOff>
    </xdr:from>
    <xdr:to>
      <xdr:col>0</xdr:col>
      <xdr:colOff>312708</xdr:colOff>
      <xdr:row>0</xdr:row>
      <xdr:rowOff>180488</xdr:rowOff>
    </xdr:to>
    <xdr:sp macro="" textlink="">
      <xdr:nvSpPr>
        <xdr:cNvPr id="2" name="위쪽 화살표 1">
          <a:hlinkClick xmlns:r="http://schemas.openxmlformats.org/officeDocument/2006/relationships" r:id="" tooltip="INDEX"/>
        </xdr:cNvPr>
        <xdr:cNvSpPr/>
      </xdr:nvSpPr>
      <xdr:spPr>
        <a:xfrm>
          <a:off x="75482" y="49062"/>
          <a:ext cx="237226" cy="131426"/>
        </a:xfrm>
        <a:prstGeom prst="upArrow">
          <a:avLst>
            <a:gd name="adj1" fmla="val 60193"/>
            <a:gd name="adj2" fmla="val 57792"/>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75482</xdr:colOff>
      <xdr:row>0</xdr:row>
      <xdr:rowOff>49062</xdr:rowOff>
    </xdr:from>
    <xdr:to>
      <xdr:col>0</xdr:col>
      <xdr:colOff>312708</xdr:colOff>
      <xdr:row>0</xdr:row>
      <xdr:rowOff>180488</xdr:rowOff>
    </xdr:to>
    <xdr:sp macro="" textlink="">
      <xdr:nvSpPr>
        <xdr:cNvPr id="2" name="위쪽 화살표 1">
          <a:hlinkClick xmlns:r="http://schemas.openxmlformats.org/officeDocument/2006/relationships" r:id="" tooltip="INDEX"/>
        </xdr:cNvPr>
        <xdr:cNvSpPr/>
      </xdr:nvSpPr>
      <xdr:spPr>
        <a:xfrm>
          <a:off x="75482" y="49062"/>
          <a:ext cx="237226" cy="131426"/>
        </a:xfrm>
        <a:prstGeom prst="upArrow">
          <a:avLst>
            <a:gd name="adj1" fmla="val 60193"/>
            <a:gd name="adj2" fmla="val 57792"/>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75482</xdr:colOff>
      <xdr:row>0</xdr:row>
      <xdr:rowOff>49062</xdr:rowOff>
    </xdr:from>
    <xdr:to>
      <xdr:col>0</xdr:col>
      <xdr:colOff>312708</xdr:colOff>
      <xdr:row>0</xdr:row>
      <xdr:rowOff>180488</xdr:rowOff>
    </xdr:to>
    <xdr:sp macro="" textlink="">
      <xdr:nvSpPr>
        <xdr:cNvPr id="2" name="위쪽 화살표 1">
          <a:hlinkClick xmlns:r="http://schemas.openxmlformats.org/officeDocument/2006/relationships" r:id="" tooltip="INDEX"/>
        </xdr:cNvPr>
        <xdr:cNvSpPr/>
      </xdr:nvSpPr>
      <xdr:spPr>
        <a:xfrm>
          <a:off x="75482" y="49062"/>
          <a:ext cx="237226" cy="131426"/>
        </a:xfrm>
        <a:prstGeom prst="upArrow">
          <a:avLst>
            <a:gd name="adj1" fmla="val 60193"/>
            <a:gd name="adj2" fmla="val 57792"/>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75482</xdr:colOff>
      <xdr:row>0</xdr:row>
      <xdr:rowOff>49062</xdr:rowOff>
    </xdr:from>
    <xdr:to>
      <xdr:col>0</xdr:col>
      <xdr:colOff>312708</xdr:colOff>
      <xdr:row>0</xdr:row>
      <xdr:rowOff>180488</xdr:rowOff>
    </xdr:to>
    <xdr:sp macro="" textlink="">
      <xdr:nvSpPr>
        <xdr:cNvPr id="2" name="위쪽 화살표 1">
          <a:hlinkClick xmlns:r="http://schemas.openxmlformats.org/officeDocument/2006/relationships" r:id="" tooltip="INDEX"/>
        </xdr:cNvPr>
        <xdr:cNvSpPr/>
      </xdr:nvSpPr>
      <xdr:spPr>
        <a:xfrm>
          <a:off x="75482" y="49062"/>
          <a:ext cx="237226" cy="131426"/>
        </a:xfrm>
        <a:prstGeom prst="upArrow">
          <a:avLst>
            <a:gd name="adj1" fmla="val 60193"/>
            <a:gd name="adj2" fmla="val 57792"/>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75482</xdr:colOff>
      <xdr:row>0</xdr:row>
      <xdr:rowOff>49062</xdr:rowOff>
    </xdr:from>
    <xdr:to>
      <xdr:col>0</xdr:col>
      <xdr:colOff>312708</xdr:colOff>
      <xdr:row>0</xdr:row>
      <xdr:rowOff>180488</xdr:rowOff>
    </xdr:to>
    <xdr:sp macro="" textlink="">
      <xdr:nvSpPr>
        <xdr:cNvPr id="2" name="위쪽 화살표 1">
          <a:hlinkClick xmlns:r="http://schemas.openxmlformats.org/officeDocument/2006/relationships" r:id="" tooltip="INDEX"/>
        </xdr:cNvPr>
        <xdr:cNvSpPr/>
      </xdr:nvSpPr>
      <xdr:spPr>
        <a:xfrm>
          <a:off x="75482" y="49062"/>
          <a:ext cx="237226" cy="131426"/>
        </a:xfrm>
        <a:prstGeom prst="upArrow">
          <a:avLst>
            <a:gd name="adj1" fmla="val 60193"/>
            <a:gd name="adj2" fmla="val 57792"/>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75482</xdr:colOff>
      <xdr:row>0</xdr:row>
      <xdr:rowOff>49062</xdr:rowOff>
    </xdr:from>
    <xdr:to>
      <xdr:col>0</xdr:col>
      <xdr:colOff>312708</xdr:colOff>
      <xdr:row>0</xdr:row>
      <xdr:rowOff>180488</xdr:rowOff>
    </xdr:to>
    <xdr:sp macro="" textlink="">
      <xdr:nvSpPr>
        <xdr:cNvPr id="3" name="위쪽 화살표 2">
          <a:hlinkClick xmlns:r="http://schemas.openxmlformats.org/officeDocument/2006/relationships" r:id="" tooltip="INDEX"/>
        </xdr:cNvPr>
        <xdr:cNvSpPr/>
      </xdr:nvSpPr>
      <xdr:spPr>
        <a:xfrm>
          <a:off x="75482" y="49062"/>
          <a:ext cx="237226" cy="131426"/>
        </a:xfrm>
        <a:prstGeom prst="upArrow">
          <a:avLst>
            <a:gd name="adj1" fmla="val 60193"/>
            <a:gd name="adj2" fmla="val 57792"/>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IR/FY2024%20Q2/&#49688;&#49888;&#51088;&#47308;/2024%20Q2%20FactSheet_&#44228;&#47532;&#44208;&#49328;&#54016;.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RecoveredExternalLink2"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RecoveredExternalLink3"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224.80.56\&#54924;&#44228;&#54016;\Users\soyeon.jin\Desktop\My%20&#51116;&#47924;&#54924;&#44228;\IR\FY23%20Q4%20&#49892;&#51201;&#48156;&#54364;%20&#51456;&#48708;\2023%20Q4%20&#49884;&#54665;&#47928;%20&#51217;&#49688;&#51088;&#47308;\2023%20Q4%20FactSheet\2023%20Q4%20FactSheet__&#49884;&#54665;&#47928;_&#44032;&#51221;_&#47784;&#45944;&#54016;.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R/FY2024%20Q4/&#49884;&#54665;&#47928;%20&#49688;&#49888;&#51088;&#47308;/Fact%20Sheet/2024%20Q4%20FactSheet_&#44228;&#47532;&#44208;&#49328;&#54016;.xlsx"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RecoveredExternalLink4"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RecoveredExternalLink5"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RecoveredExternalLink6"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Users\soyeon.jin\AppData\Local\Microsoft\Windows\INetCache\IE\C8RV075U\2024%20Q3%20FactSheet_&#52712;&#54633;_&#53804;&#51204;_v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0.224.80.56\&#54924;&#44228;&#54016;\Users\soyeon.jin\Desktop\My%20&#51116;&#47924;&#54924;&#44228;\IR\FY23%20Q4%20&#49892;&#51201;&#48156;&#54364;%20&#51456;&#48708;\2023%20Q4%20&#49884;&#54665;&#47928;%20&#51217;&#49688;&#51088;&#47308;\2023%20Q4%20FactSheet\2023%20Q4%20FactSheet_&#44221;&#50689;&#54785;&#49888;&#54016;4.xlsx"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RecoveredExternalLink7"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ecoveredExternalLink8"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ecoveredExternalLink10"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R/FY2025%20Q3/Fact%20Sheet%20&#49688;&#49888;&#51088;&#47308;/2025%20Q3%20FactSheet_(&#44221;&#50689;&#54785;&#49888;&#54016;)_&#49688;&#51221;(1).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10.224.80.56\&#44221;&#50689;&#44288;&#47532;&#54016;\0018%20&#49552;&#51061;&#48372;&#44256;\&#9655;0.&#49552;&#51061;&#48372;&#44256;\FY2024%20&#49552;&#51061;&#48372;&#44256;_&#49548;&#44553;&#54980;_250205.xlsx"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RecoveredExternalLink12"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10.224.80.56\&#44221;&#50689;&#44288;&#47532;&#54016;\0018%20&#49552;&#51061;&#48372;&#44256;\6.&#50672;&#44208;&#49552;&#51061;\FY2023%20&#50672;&#44208;&#49552;&#51061;.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10.224.80.56\&#44221;&#50689;&#44288;&#47532;&#54016;\0018%20&#49552;&#51061;&#48372;&#44256;\6.&#50672;&#44208;&#49552;&#51061;\FY2024%20&#50672;&#44208;&#49552;&#51061;.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R/FY2025%20Q2/Fact%20Sheet%20&#49688;&#49888;&#51088;&#47308;/2025%20Q2%20FactSheet_&#44228;&#47532;&#44208;&#49328;&#54016;_APE&#49688;&#51221;_vf.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SUMMARY"/>
      <sheetName val="KIFRS-BS"/>
      <sheetName val="KIFRS-IS"/>
      <sheetName val="PROFIT"/>
      <sheetName val="CSM"/>
      <sheetName val="PREMIUM"/>
      <sheetName val="INITIAL"/>
      <sheetName val="FIRSTYR"/>
      <sheetName val="CHINITYR"/>
      <sheetName val="APE"/>
      <sheetName val="FEEBIZ"/>
      <sheetName val="EFF"/>
      <sheetName val="PORT"/>
      <sheetName val="YIELD"/>
      <sheetName val="QUALITY"/>
      <sheetName val="STABLE"/>
      <sheetName val="SAP-BS"/>
      <sheetName val="SAP-IS"/>
      <sheetName val="NB"/>
      <sheetName val="SUB"/>
      <sheetName val="LIAB"/>
    </sheetNames>
    <sheetDataSet>
      <sheetData sheetId="0">
        <row r="18">
          <cell r="G18" t="str">
            <v>상품/채널별 APE</v>
          </cell>
        </row>
        <row r="103">
          <cell r="E103" t="str">
            <v>KOREAN</v>
          </cell>
        </row>
        <row r="104">
          <cell r="E104" t="str">
            <v>ENGLISH</v>
          </cell>
        </row>
      </sheetData>
      <sheetData sheetId="1">
        <row r="4">
          <cell r="D4">
            <v>2024</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CSM현황"/>
      <sheetName val="PREMIUM"/>
      <sheetName val="INITIAL"/>
      <sheetName val="FIRSTYR"/>
      <sheetName val="CHINITYR"/>
      <sheetName val="FEEBIZ"/>
      <sheetName val="SUMMARY"/>
      <sheetName val="KIFRS-BS신규"/>
      <sheetName val="KIFRS-BS기존"/>
      <sheetName val="KIFRS-IS신규"/>
      <sheetName val="KIFRS-IS기존"/>
      <sheetName val="SOURCE"/>
      <sheetName val="APE"/>
      <sheetName val="EFF"/>
      <sheetName val="PORT"/>
      <sheetName val="YIELD"/>
      <sheetName val="QUALITY"/>
      <sheetName val="STABLE"/>
      <sheetName val="SAP-BS 신규"/>
      <sheetName val="SAP-BS 기존"/>
      <sheetName val="SAP-IS 신규"/>
      <sheetName val="SAP-IS 기존"/>
      <sheetName val="IR Database=&gt;"/>
      <sheetName val="안내"/>
      <sheetName val="손익_1"/>
      <sheetName val="손익_2"/>
      <sheetName val="효율지표"/>
      <sheetName val="BEL변동"/>
      <sheetName val="RA변동"/>
      <sheetName val="CSM변동"/>
      <sheetName val="신계약CSM"/>
      <sheetName val="준비금(IFRS4)"/>
      <sheetName val="준비금(IFRS17)"/>
      <sheetName val="평가손익배부"/>
      <sheetName val="운용자산구성"/>
      <sheetName val="투자손익"/>
      <sheetName val="운용수익률 "/>
      <sheetName val="주식"/>
      <sheetName val="채권 "/>
      <sheetName val="채권증감내역"/>
      <sheetName val="대출"/>
      <sheetName val="부동산"/>
      <sheetName val="자산운용자회사"/>
      <sheetName val="자산건전성"/>
      <sheetName val="KICS비율"/>
      <sheetName val="KICS재무상태표"/>
      <sheetName val="비교공시용 BS_연결"/>
      <sheetName val="BS_연결"/>
      <sheetName val="비교공시용 PL_연결"/>
      <sheetName val="PL_연결"/>
      <sheetName val="비교공시용 BS_별도"/>
      <sheetName val="BS_별도"/>
      <sheetName val="비교공시용 PL_별도"/>
      <sheetName val="PL_별도"/>
      <sheetName val="보험료"/>
      <sheetName val="조직 "/>
      <sheetName val="신계약가치"/>
      <sheetName val="유지정착"/>
      <sheetName val="지급여력(~19.2Q)"/>
      <sheetName val="고능률재적"/>
      <sheetName val="고객수"/>
      <sheetName val="자산비중(카드분리)"/>
      <sheetName val="자산손익"/>
      <sheetName val="자산손익(카드&amp;염가제외)"/>
      <sheetName val="해외투자"/>
      <sheetName val="조직"/>
      <sheetName val="퇴직연금_적립금 및 MS"/>
      <sheetName val="퇴직연금_fee schedule"/>
      <sheetName val="퇴직연금_가입자수"/>
      <sheetName val="중국_PL"/>
      <sheetName val="중국_PL (실질환율)"/>
      <sheetName val="중국_BS"/>
      <sheetName val="중국_BS (실질환율)"/>
      <sheetName val="중국_수보 및 APE"/>
      <sheetName val="태국_PL"/>
      <sheetName val="태국_PL (실질환율)"/>
      <sheetName val="태국_BS"/>
      <sheetName val="태국_BS (실질환율)"/>
      <sheetName val="태국_수보 및 APE"/>
    </sheetNames>
    <sheetDataSet>
      <sheetData sheetId="0">
        <row r="102">
          <cell r="E102" t="str">
            <v>KOREAN</v>
          </cell>
        </row>
        <row r="103">
          <cell r="E103" t="str">
            <v>ENGLISH</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ow r="6">
          <cell r="CE6">
            <v>0.84026700903754403</v>
          </cell>
        </row>
      </sheetData>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SUMMARY"/>
      <sheetName val="KIFRS-BS"/>
      <sheetName val="KIFRS-IS"/>
      <sheetName val="PROFIT"/>
      <sheetName val="CSM"/>
      <sheetName val="PREMIUM"/>
      <sheetName val="INITIAL"/>
      <sheetName val="FIRSTYR"/>
      <sheetName val="CHINITYR"/>
      <sheetName val="APE"/>
      <sheetName val="FEEBIZ"/>
      <sheetName val="EFF"/>
      <sheetName val="PORT"/>
      <sheetName val="YIELD"/>
      <sheetName val="QUALITY"/>
      <sheetName val="STABLE"/>
      <sheetName val="SAP-BS"/>
      <sheetName val="SAP-IS"/>
    </sheetNames>
    <sheetDataSet>
      <sheetData sheetId="0">
        <row r="19">
          <cell r="G19" t="str">
            <v>Fee-Biz 실적</v>
          </cell>
        </row>
        <row r="103">
          <cell r="E103" t="str">
            <v>KOREAN</v>
          </cell>
        </row>
        <row r="104">
          <cell r="E104" t="str">
            <v>ENGLISH</v>
          </cell>
        </row>
      </sheetData>
      <sheetData sheetId="1">
        <row r="4">
          <cell r="D4">
            <v>2023</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SUMMARY"/>
      <sheetName val="KIFRS-BS신규"/>
      <sheetName val="KIFRS-BS기존"/>
      <sheetName val="KIFRS-IS신규"/>
      <sheetName val="KIFRS-IS기존"/>
      <sheetName val="SOURCE"/>
      <sheetName val="PREMIUM"/>
      <sheetName val="INITIAL"/>
      <sheetName val="FIRSTYR"/>
      <sheetName val="CHINITYR"/>
      <sheetName val="APE"/>
      <sheetName val="FEEBIZ"/>
      <sheetName val="EFF"/>
      <sheetName val="PORT"/>
      <sheetName val="YIELD"/>
      <sheetName val="QUALITY"/>
      <sheetName val="STABLE"/>
      <sheetName val="SAP-BS 신규"/>
      <sheetName val="SAP-BS 기존"/>
      <sheetName val="SAP-IS 신규"/>
      <sheetName val="SAP-IS 기존"/>
      <sheetName val="CSM현황"/>
    </sheetNames>
    <sheetDataSet>
      <sheetData sheetId="0" refreshError="1">
        <row r="4">
          <cell r="G4" t="str">
            <v>K-IFRS 재무상태표</v>
          </cell>
        </row>
        <row r="102">
          <cell r="E102" t="str">
            <v>KOREAN</v>
          </cell>
        </row>
        <row r="103">
          <cell r="E103" t="str">
            <v>ENGLISH</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SUMMARY"/>
      <sheetName val="KIFRS-BS"/>
      <sheetName val="KIFRS-IS"/>
      <sheetName val="PROFIT"/>
      <sheetName val="CSM"/>
      <sheetName val="NB"/>
      <sheetName val="PREMIUM"/>
      <sheetName val="INITIAL"/>
      <sheetName val="FIRSTYR"/>
      <sheetName val="CHINITYR"/>
      <sheetName val="APE"/>
      <sheetName val="FEEBIZ"/>
      <sheetName val="EFF"/>
      <sheetName val="PORT"/>
      <sheetName val="YIELD"/>
      <sheetName val="QUALITY"/>
      <sheetName val="STABLE"/>
      <sheetName val="SAP-BS"/>
      <sheetName val="SAP-IS"/>
      <sheetName val="SUB"/>
    </sheetNames>
    <sheetDataSet>
      <sheetData sheetId="0">
        <row r="103">
          <cell r="E103" t="str">
            <v>KOREAN</v>
          </cell>
        </row>
        <row r="104">
          <cell r="E104" t="str">
            <v>ENGLISH</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SUMMARY"/>
      <sheetName val="KIFRS-BS"/>
      <sheetName val="KIFRS-IS"/>
      <sheetName val="PROFIT"/>
      <sheetName val="CSM"/>
      <sheetName val="PREMIUM"/>
      <sheetName val="INITIAL"/>
      <sheetName val="FIRSTYR"/>
      <sheetName val="CHINITYR"/>
      <sheetName val="APE"/>
      <sheetName val="FEEBIZ"/>
      <sheetName val="EFF"/>
      <sheetName val="PORT"/>
      <sheetName val="YIELD"/>
      <sheetName val="QUALITY"/>
      <sheetName val="STABLE"/>
      <sheetName val="SAP-BS"/>
      <sheetName val="SAP-IS"/>
      <sheetName val="SUB"/>
      <sheetName val="NB"/>
      <sheetName val="LIAB"/>
    </sheetNames>
    <sheetDataSet>
      <sheetData sheetId="0">
        <row r="10">
          <cell r="B10" t="str">
            <v>2024 Q4</v>
          </cell>
        </row>
        <row r="13">
          <cell r="G13" t="str">
            <v>수입보험료</v>
          </cell>
        </row>
        <row r="14">
          <cell r="G14" t="str">
            <v>초회보험료</v>
          </cell>
        </row>
        <row r="15">
          <cell r="G15" t="str">
            <v>초년도보험료</v>
          </cell>
        </row>
        <row r="16">
          <cell r="G16" t="str">
            <v>채널별 초회보험료</v>
          </cell>
        </row>
        <row r="17">
          <cell r="G17" t="str">
            <v>채널별 초년도보험료</v>
          </cell>
        </row>
        <row r="103">
          <cell r="E103" t="str">
            <v>KOREAN</v>
          </cell>
        </row>
        <row r="104">
          <cell r="E104" t="str">
            <v>ENGLISH</v>
          </cell>
        </row>
      </sheetData>
      <sheetData sheetId="1">
        <row r="4">
          <cell r="D4">
            <v>2024</v>
          </cell>
        </row>
      </sheetData>
      <sheetData sheetId="2" refreshError="1"/>
      <sheetData sheetId="3" refreshError="1"/>
      <sheetData sheetId="4" refreshError="1"/>
      <sheetData sheetId="5" refreshError="1"/>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SUMMARY"/>
      <sheetName val="KIFRS-BS신규"/>
      <sheetName val="KIFRS-BS기존"/>
      <sheetName val="KIFRS-IS신규"/>
      <sheetName val="KIFRS-IS기존"/>
      <sheetName val="손익 세부"/>
      <sheetName val="SOURCE"/>
      <sheetName val="PREMIUM"/>
      <sheetName val="INITIAL"/>
      <sheetName val="FIRSTYR"/>
      <sheetName val="CHINITYR"/>
      <sheetName val="APE"/>
      <sheetName val="FEEBIZ"/>
      <sheetName val="EFF"/>
      <sheetName val="PORT"/>
      <sheetName val="YIELD"/>
      <sheetName val="QUALITY"/>
      <sheetName val="STABLE"/>
      <sheetName val="SAP-BS 신규"/>
      <sheetName val="SAP-BS 기존"/>
      <sheetName val="SAP-IS 신규"/>
      <sheetName val="SAP-IS 기존"/>
      <sheetName val="CSM현황"/>
    </sheetNames>
    <sheetDataSet>
      <sheetData sheetId="0">
        <row r="102">
          <cell r="E102" t="str">
            <v>KOREAN</v>
          </cell>
        </row>
        <row r="103">
          <cell r="E103" t="str">
            <v>ENGLISH</v>
          </cell>
        </row>
      </sheetData>
      <sheetData sheetId="1">
        <row r="4">
          <cell r="D4">
            <v>2023</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SUMMARY"/>
      <sheetName val="KIFRS-BS신규"/>
      <sheetName val="KIFRS-BS기존"/>
      <sheetName val="KIFRS-IS신규"/>
      <sheetName val="KIFRS-IS기존"/>
      <sheetName val="SOURCE"/>
      <sheetName val="PREMIUM"/>
      <sheetName val="INITIAL"/>
      <sheetName val="FIRSTYR"/>
      <sheetName val="CHINITYR"/>
      <sheetName val="APE"/>
      <sheetName val="FEEBIZ"/>
      <sheetName val="EFF"/>
      <sheetName val="PORT"/>
      <sheetName val="YIELD"/>
      <sheetName val="QUALITY"/>
      <sheetName val="STABLE"/>
      <sheetName val="SAP-BS 신규"/>
      <sheetName val="SAP-BS 기존"/>
      <sheetName val="SAP-IS 신규"/>
      <sheetName val="SAP-IS 기존"/>
      <sheetName val="CSM현황"/>
    </sheetNames>
    <sheetDataSet>
      <sheetData sheetId="0">
        <row r="6">
          <cell r="G6" t="str">
            <v>보험회계기준 (SAP) 재무상태표</v>
          </cell>
        </row>
        <row r="7">
          <cell r="G7" t="str">
            <v>보험회계기준 (SAP) 손익계산서</v>
          </cell>
        </row>
        <row r="102">
          <cell r="E102" t="str">
            <v>KOREAN</v>
          </cell>
        </row>
        <row r="103">
          <cell r="E103" t="str">
            <v>ENGLISH</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SUMMARY"/>
      <sheetName val="KIFRS-BS"/>
      <sheetName val="KIFRS-IS"/>
      <sheetName val="PROFIT"/>
      <sheetName val="CSM"/>
      <sheetName val="PREMIUM"/>
      <sheetName val="INITIAL"/>
      <sheetName val="FIRSTYR"/>
      <sheetName val="CHINITYR"/>
      <sheetName val="APE"/>
      <sheetName val="FEEBIZ"/>
      <sheetName val="EFF"/>
      <sheetName val="PORT"/>
      <sheetName val="YIELD"/>
      <sheetName val="QUALITY"/>
      <sheetName val="STABLE"/>
      <sheetName val="SAP-BS"/>
      <sheetName val="SAP-IS"/>
    </sheetNames>
    <sheetDataSet>
      <sheetData sheetId="0">
        <row r="3">
          <cell r="G3" t="str">
            <v>재무실적 요약</v>
          </cell>
        </row>
        <row r="103">
          <cell r="E103" t="str">
            <v>KOREAN</v>
          </cell>
        </row>
        <row r="104">
          <cell r="E104" t="str">
            <v>ENGLISH</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SUMMARY"/>
      <sheetName val="KIFRS-BS"/>
      <sheetName val="KIFRS-IS"/>
      <sheetName val="PROFIT"/>
      <sheetName val="CSM"/>
      <sheetName val="PREMIUM"/>
      <sheetName val="INITIAL"/>
      <sheetName val="FIRSTYR"/>
      <sheetName val="CHINITYR"/>
      <sheetName val="APE"/>
      <sheetName val="FEEBIZ"/>
      <sheetName val="EFF"/>
      <sheetName val="PORT"/>
      <sheetName val="YIELD"/>
      <sheetName val="YIELD_투전"/>
      <sheetName val="QUALITY"/>
      <sheetName val="STABLE"/>
      <sheetName val="SAP-BS"/>
      <sheetName val="SAP-IS"/>
      <sheetName val="NB"/>
      <sheetName val="SUB"/>
      <sheetName val="LIAB"/>
    </sheetNames>
    <sheetDataSet>
      <sheetData sheetId="0">
        <row r="10">
          <cell r="I10" t="str">
            <v>자산별 투자성과</v>
          </cell>
        </row>
        <row r="103">
          <cell r="E103" t="str">
            <v>KOREAN</v>
          </cell>
        </row>
        <row r="104">
          <cell r="E104" t="str">
            <v>ENGLISH</v>
          </cell>
        </row>
      </sheetData>
      <sheetData sheetId="1">
        <row r="4">
          <cell r="D4">
            <v>2024</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SUMMARY"/>
      <sheetName val="KIFRS-BS"/>
      <sheetName val="KIFRS-IS"/>
      <sheetName val="PROFIT"/>
      <sheetName val="CSM"/>
      <sheetName val="NB"/>
      <sheetName val="PREMIUM"/>
      <sheetName val="INITIAL"/>
      <sheetName val="FIRSTYR"/>
      <sheetName val="CHINITYR"/>
      <sheetName val="APE"/>
      <sheetName val="FEEBIZ"/>
      <sheetName val="EFF"/>
      <sheetName val="PORT"/>
      <sheetName val="YIELD"/>
      <sheetName val="QUALITY"/>
      <sheetName val="STABLE"/>
      <sheetName val="SAP-BS"/>
      <sheetName val="SAP-IS"/>
      <sheetName val="SUB"/>
    </sheetNames>
    <sheetDataSet>
      <sheetData sheetId="0">
        <row r="9">
          <cell r="G9" t="str">
            <v>손익현황</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시용BS"/>
      <sheetName val="공시용PL(변경후)"/>
      <sheetName val="공시용CE"/>
      <sheetName val="202212 IFRS17 재무상태표 (공시용)"/>
      <sheetName val="202306 IFRS17 재무상태표 (공시용)"/>
      <sheetName val="202212 BS(17및39기준)"/>
      <sheetName val="202206 BS(17및39기준)"/>
      <sheetName val="202112 BS(17및39기준)"/>
      <sheetName val="202306 IFRS17 손익계산서 (공시용)"/>
      <sheetName val="202212 PL(17및39기준)"/>
      <sheetName val="202206 PL(17및39기준)"/>
      <sheetName val="공시용PL(구버전)"/>
    </sheetNames>
    <sheetDataSet>
      <sheetData sheetId="0"/>
      <sheetData sheetId="1">
        <row r="6">
          <cell r="C6">
            <v>224501841668</v>
          </cell>
        </row>
      </sheetData>
      <sheetData sheetId="2"/>
      <sheetData sheetId="3"/>
      <sheetData sheetId="4"/>
      <sheetData sheetId="5"/>
      <sheetData sheetId="6">
        <row r="12">
          <cell r="X12">
            <v>521734101591</v>
          </cell>
        </row>
        <row r="110">
          <cell r="X110">
            <v>142042965503</v>
          </cell>
        </row>
        <row r="160">
          <cell r="X160">
            <v>16274572143</v>
          </cell>
        </row>
        <row r="168">
          <cell r="X168">
            <v>94898882322</v>
          </cell>
        </row>
        <row r="190">
          <cell r="X190">
            <v>401063289</v>
          </cell>
        </row>
        <row r="198">
          <cell r="X198">
            <v>43330049118</v>
          </cell>
        </row>
        <row r="207">
          <cell r="X207">
            <v>7669490796</v>
          </cell>
        </row>
        <row r="208">
          <cell r="X208">
            <v>86904323338</v>
          </cell>
        </row>
        <row r="209">
          <cell r="X209">
            <v>16921847304</v>
          </cell>
        </row>
        <row r="244">
          <cell r="X244">
            <v>25468918496857</v>
          </cell>
        </row>
        <row r="249">
          <cell r="X249">
            <v>4513605279</v>
          </cell>
        </row>
        <row r="254">
          <cell r="X254">
            <v>5876966865139</v>
          </cell>
        </row>
        <row r="257">
          <cell r="X257">
            <v>4051474505.9021955</v>
          </cell>
        </row>
        <row r="278">
          <cell r="X278">
            <v>498725506012</v>
          </cell>
        </row>
        <row r="288">
          <cell r="X288">
            <v>8026287595</v>
          </cell>
        </row>
        <row r="295">
          <cell r="X295">
            <v>918267524</v>
          </cell>
        </row>
        <row r="302">
          <cell r="X302">
            <v>756543694405</v>
          </cell>
        </row>
        <row r="303">
          <cell r="X303">
            <v>94144084</v>
          </cell>
        </row>
        <row r="308">
          <cell r="X308">
            <v>135817714841</v>
          </cell>
        </row>
        <row r="336">
          <cell r="X336">
            <v>990714745000</v>
          </cell>
        </row>
        <row r="339">
          <cell r="X339">
            <v>181384483840</v>
          </cell>
        </row>
        <row r="348">
          <cell r="X348">
            <v>1580475278095</v>
          </cell>
        </row>
        <row r="354">
          <cell r="X354">
            <v>-371175448895</v>
          </cell>
        </row>
        <row r="358">
          <cell r="X358">
            <v>1523241558633.0979</v>
          </cell>
        </row>
      </sheetData>
      <sheetData sheetId="7"/>
      <sheetData sheetId="8"/>
      <sheetData sheetId="9"/>
      <sheetData sheetId="10"/>
      <sheetData sheetId="1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SUMMARY"/>
      <sheetName val="KIFRS-BS"/>
      <sheetName val="KIFRS-IS"/>
      <sheetName val="PROFIT"/>
      <sheetName val="CSM"/>
      <sheetName val="PREMIUM"/>
      <sheetName val="INITIAL"/>
      <sheetName val="FIRSTYR"/>
      <sheetName val="CHINITYR"/>
      <sheetName val="APE"/>
      <sheetName val="FEEBIZ"/>
      <sheetName val="EFF"/>
      <sheetName val="PORT"/>
      <sheetName val="YIELD"/>
      <sheetName val="QUALITY"/>
      <sheetName val="STABLE"/>
      <sheetName val="SAP-BS"/>
      <sheetName val="SAP-IS"/>
    </sheetNames>
    <sheetDataSet>
      <sheetData sheetId="0">
        <row r="5">
          <cell r="G5" t="str">
            <v>K-IFRS 손익계산서</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시용BS"/>
      <sheetName val="공시용PL(변경후)"/>
      <sheetName val="공시용CE"/>
      <sheetName val="202212 IFRS17 재무상태표 (공시용)"/>
      <sheetName val="202306 IFRS17 재무상태표 (공시용)"/>
      <sheetName val="202212 BS(17및39기준)"/>
      <sheetName val="202206 BS(17및39기준)"/>
      <sheetName val="202112 BS(17및39기준)"/>
      <sheetName val="202306 IFRS17 손익계산서 (공시용)"/>
      <sheetName val="202212 PL(17및39기준)"/>
      <sheetName val="202206 PL(17및39기준)"/>
      <sheetName val="공시용PL(구버전)"/>
    </sheetNames>
    <sheetDataSet>
      <sheetData sheetId="0"/>
      <sheetData sheetId="1">
        <row r="6">
          <cell r="C6">
            <v>224501841668</v>
          </cell>
        </row>
        <row r="13">
          <cell r="E13">
            <v>1188283133497</v>
          </cell>
        </row>
        <row r="14">
          <cell r="E14">
            <v>233318485</v>
          </cell>
        </row>
        <row r="15">
          <cell r="E15">
            <v>147996806564</v>
          </cell>
        </row>
        <row r="16">
          <cell r="E16">
            <v>0</v>
          </cell>
        </row>
        <row r="17">
          <cell r="E17">
            <v>355201619017</v>
          </cell>
        </row>
        <row r="18">
          <cell r="E18">
            <v>0</v>
          </cell>
        </row>
        <row r="19">
          <cell r="E19">
            <v>14598419518</v>
          </cell>
        </row>
        <row r="20">
          <cell r="E20">
            <v>0</v>
          </cell>
        </row>
        <row r="21">
          <cell r="E21">
            <v>0</v>
          </cell>
        </row>
        <row r="22">
          <cell r="E22">
            <v>0</v>
          </cell>
        </row>
        <row r="23">
          <cell r="E23">
            <v>58689289</v>
          </cell>
        </row>
        <row r="24">
          <cell r="E24">
            <v>15472157437</v>
          </cell>
        </row>
        <row r="25">
          <cell r="E25">
            <v>207876060615</v>
          </cell>
        </row>
        <row r="26">
          <cell r="E26">
            <v>2921616453</v>
          </cell>
        </row>
        <row r="27">
          <cell r="E27">
            <v>18013445465</v>
          </cell>
        </row>
        <row r="28">
          <cell r="E28">
            <v>91236043</v>
          </cell>
        </row>
        <row r="29">
          <cell r="E29">
            <v>27369648935</v>
          </cell>
        </row>
      </sheetData>
      <sheetData sheetId="2"/>
      <sheetData sheetId="3"/>
      <sheetData sheetId="4"/>
      <sheetData sheetId="5"/>
      <sheetData sheetId="6"/>
      <sheetData sheetId="7"/>
      <sheetData sheetId="8"/>
      <sheetData sheetId="9"/>
      <sheetData sheetId="10"/>
      <sheetData sheetId="1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SUMMARY"/>
      <sheetName val="KIFRS-BS"/>
      <sheetName val="KIFRS-IS"/>
      <sheetName val="PROFIT"/>
      <sheetName val="CSM"/>
      <sheetName val="PREMIUM"/>
      <sheetName val="INITIAL"/>
      <sheetName val="FIRSTYR"/>
      <sheetName val="CHINITYR"/>
      <sheetName val="APE"/>
      <sheetName val="FEEBIZ"/>
      <sheetName val="EFF"/>
      <sheetName val="PORT"/>
      <sheetName val="YIELD"/>
      <sheetName val="QUALITY"/>
      <sheetName val="STABLE"/>
      <sheetName val="SAP-BS"/>
      <sheetName val="SAP-IS"/>
      <sheetName val="NB"/>
      <sheetName val="SUB"/>
      <sheetName val="LIAB"/>
    </sheetNames>
    <sheetDataSet>
      <sheetData sheetId="0" refreshError="1"/>
      <sheetData sheetId="1">
        <row r="4">
          <cell r="D4">
            <v>2025</v>
          </cell>
          <cell r="E4">
            <v>2024</v>
          </cell>
        </row>
      </sheetData>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4.12월"/>
      <sheetName val="Sheet5"/>
      <sheetName val="계획"/>
      <sheetName val="실적"/>
      <sheetName val="자본"/>
      <sheetName val="24.11월"/>
      <sheetName val="24.10월"/>
      <sheetName val="24.9월"/>
      <sheetName val="24.8월"/>
      <sheetName val="24.7월"/>
      <sheetName val="24.6월"/>
      <sheetName val="24.5월"/>
      <sheetName val="24.4월"/>
      <sheetName val="24.3월"/>
      <sheetName val="24.2월"/>
      <sheetName val="24.1월"/>
      <sheetName val="23.11월"/>
      <sheetName val="pl"/>
      <sheetName val="이사회"/>
      <sheetName val="회의자료"/>
      <sheetName val="2023년실적"/>
      <sheetName val="Sheet2"/>
      <sheetName val="부채_계획"/>
      <sheetName val="부채_실적"/>
      <sheetName val="CSM잔액_계획"/>
      <sheetName val="CSM상각액_계획"/>
      <sheetName val="계획_요약"/>
      <sheetName val="Sheet4"/>
      <sheetName val="Sheet1"/>
    </sheetNames>
    <sheetDataSet>
      <sheetData sheetId="0"/>
      <sheetData sheetId="1"/>
      <sheetData sheetId="2"/>
      <sheetData sheetId="3">
        <row r="5">
          <cell r="N5">
            <v>8442.4932449999997</v>
          </cell>
          <cell r="O5">
            <v>14132.946699000002</v>
          </cell>
          <cell r="P5">
            <v>8828.7172790000131</v>
          </cell>
        </row>
        <row r="20">
          <cell r="N20">
            <v>28896.058105000015</v>
          </cell>
          <cell r="O20">
            <v>4502.6893399999981</v>
          </cell>
          <cell r="P20">
            <v>-61366.254538000016</v>
          </cell>
        </row>
        <row r="31">
          <cell r="N31">
            <v>-1191.6862940000001</v>
          </cell>
          <cell r="O31">
            <v>-408.22956099999988</v>
          </cell>
          <cell r="P31">
            <v>-473.23795100000001</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3.3월"/>
      <sheetName val="23.2월"/>
      <sheetName val="23.1월"/>
      <sheetName val="자본"/>
      <sheetName val="계획"/>
      <sheetName val="이사회"/>
      <sheetName val="실적"/>
      <sheetName val="pl"/>
      <sheetName val="양식"/>
      <sheetName val="회의자료"/>
      <sheetName val="변액계정"/>
      <sheetName val="이사회 (2)"/>
      <sheetName val="부채_계획"/>
      <sheetName val="부채_실적"/>
      <sheetName val="CSM잔액_계획"/>
      <sheetName val="CSM상각액_계획"/>
      <sheetName val="계획_요약"/>
      <sheetName val="Sheet4"/>
      <sheetName val="Sheet1"/>
    </sheetNames>
    <sheetDataSet>
      <sheetData sheetId="0"/>
      <sheetData sheetId="1"/>
      <sheetData sheetId="2"/>
      <sheetData sheetId="3"/>
      <sheetData sheetId="4"/>
      <sheetData sheetId="5"/>
      <sheetData sheetId="6">
        <row r="6">
          <cell r="H6">
            <v>52958.290459999997</v>
          </cell>
        </row>
        <row r="20">
          <cell r="H20">
            <v>38588.87368199999</v>
          </cell>
        </row>
      </sheetData>
      <sheetData sheetId="7"/>
      <sheetData sheetId="8">
        <row r="51">
          <cell r="N51">
            <v>14417.596302</v>
          </cell>
        </row>
      </sheetData>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연결"/>
      <sheetName val="연결 (소급)"/>
    </sheetNames>
    <sheetDataSet>
      <sheetData sheetId="0">
        <row r="17">
          <cell r="F17">
            <v>26.901924059999999</v>
          </cell>
          <cell r="G17">
            <v>90.196165250000007</v>
          </cell>
          <cell r="I17">
            <v>377.80914441999994</v>
          </cell>
          <cell r="K17">
            <v>-472.77285889999996</v>
          </cell>
        </row>
      </sheetData>
      <sheetData sheetId="1">
        <row r="17">
          <cell r="K17">
            <v>-472.77285889999996</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연결"/>
      <sheetName val="연결 (소급)"/>
    </sheetNames>
    <sheetDataSet>
      <sheetData sheetId="0" refreshError="1"/>
      <sheetData sheetId="1">
        <row r="5">
          <cell r="F5">
            <v>463.73407042999997</v>
          </cell>
        </row>
        <row r="17">
          <cell r="I17">
            <v>9.4802948699999945</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SUMMARY"/>
      <sheetName val="KIFRS-BS"/>
      <sheetName val="KIFRS-IS"/>
      <sheetName val="PROFIT"/>
      <sheetName val="CSM"/>
      <sheetName val="APE"/>
      <sheetName val="NB"/>
      <sheetName val="PREMIUM"/>
      <sheetName val="INITIAL"/>
      <sheetName val="FIRSTYR"/>
      <sheetName val="CHINITYR"/>
      <sheetName val="FEEBIZ"/>
      <sheetName val="EFF"/>
      <sheetName val="PORT"/>
      <sheetName val="YIELD"/>
      <sheetName val="QUALITY"/>
      <sheetName val="STABLE"/>
      <sheetName val="SAP-BS"/>
      <sheetName val="SAP-IS"/>
      <sheetName val="SUB"/>
      <sheetName val="LIAB"/>
    </sheetNames>
    <sheetDataSet>
      <sheetData sheetId="0"/>
      <sheetData sheetId="1"/>
      <sheetData sheetId="2"/>
      <sheetData sheetId="3"/>
      <sheetData sheetId="4"/>
      <sheetData sheetId="5"/>
      <sheetData sheetId="6">
        <row r="26">
          <cell r="G26"/>
          <cell r="H26"/>
          <cell r="I26" t="e">
            <v>#REF!</v>
          </cell>
          <cell r="J26">
            <v>127.8239746476</v>
          </cell>
          <cell r="K26">
            <v>168.4747962438</v>
          </cell>
          <cell r="L26">
            <v>532.65377900609997</v>
          </cell>
          <cell r="M26">
            <v>141.40141966599998</v>
          </cell>
          <cell r="N26">
            <v>132.00579974429999</v>
          </cell>
          <cell r="O26">
            <v>129.36174795990001</v>
          </cell>
          <cell r="P26">
            <v>129.88481163590001</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3.xml"/><Relationship Id="rId1" Type="http://schemas.openxmlformats.org/officeDocument/2006/relationships/printerSettings" Target="../printerSettings/printerSettings13.bin"/><Relationship Id="rId4" Type="http://schemas.openxmlformats.org/officeDocument/2006/relationships/comments" Target="../comments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5.xml"/><Relationship Id="rId1" Type="http://schemas.openxmlformats.org/officeDocument/2006/relationships/printerSettings" Target="../printerSettings/printerSettings15.bin"/><Relationship Id="rId4" Type="http://schemas.openxmlformats.org/officeDocument/2006/relationships/comments" Target="../comments2.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tabColor theme="1"/>
    <pageSetUpPr fitToPage="1"/>
  </sheetPr>
  <dimension ref="B2:I146"/>
  <sheetViews>
    <sheetView showGridLines="0" tabSelected="1" zoomScaleNormal="100" zoomScaleSheetLayoutView="100" workbookViewId="0">
      <selection activeCell="B11" sqref="B11"/>
    </sheetView>
  </sheetViews>
  <sheetFormatPr defaultRowHeight="16.5" x14ac:dyDescent="0.3"/>
  <cols>
    <col min="1" max="1" width="5" customWidth="1"/>
    <col min="5" max="5" width="12.5" customWidth="1"/>
    <col min="7" max="7" width="31.25" customWidth="1"/>
    <col min="9" max="9" width="42" customWidth="1"/>
  </cols>
  <sheetData>
    <row r="2" spans="2:9" x14ac:dyDescent="0.3">
      <c r="G2" s="1" t="str">
        <f t="shared" ref="G2:G7" si="0">VLOOKUP(G103,$G$103:$H$138,$F$103,0)</f>
        <v>재무 실적</v>
      </c>
      <c r="I2" s="1" t="str">
        <f>VLOOKUP(G124,$G$103:$H$138,$F$103,0)</f>
        <v>경영효율성</v>
      </c>
    </row>
    <row r="3" spans="2:9" x14ac:dyDescent="0.3">
      <c r="G3" s="22" t="str">
        <f t="shared" si="0"/>
        <v>재무실적 요약</v>
      </c>
      <c r="I3" s="22" t="str">
        <f>VLOOKUP(G124,$G$103:$H$138,$F$103,0)</f>
        <v>경영효율성</v>
      </c>
    </row>
    <row r="4" spans="2:9" x14ac:dyDescent="0.3">
      <c r="G4" s="22" t="str">
        <f t="shared" si="0"/>
        <v>K-IFRS 재무상태표</v>
      </c>
      <c r="I4" s="22" t="str">
        <f>VLOOKUP(G125,$G$103:$H$138,$F$103,0)</f>
        <v>손해율</v>
      </c>
    </row>
    <row r="5" spans="2:9" x14ac:dyDescent="0.3">
      <c r="G5" s="22" t="str">
        <f t="shared" si="0"/>
        <v>K-IFRS 손익계산서</v>
      </c>
      <c r="I5" s="22" t="str">
        <f>VLOOKUP(G126,$G$103:$H$138,$F$103,0)</f>
        <v>유지율</v>
      </c>
    </row>
    <row r="6" spans="2:9" x14ac:dyDescent="0.3">
      <c r="G6" s="22" t="str">
        <f t="shared" si="0"/>
        <v>보험회계기준 (SAP) 재무상태표</v>
      </c>
      <c r="I6" s="22" t="str">
        <f>VLOOKUP(G127,$G$103:$H$138,$F$103,0)</f>
        <v>보유고객</v>
      </c>
    </row>
    <row r="7" spans="2:9" x14ac:dyDescent="0.3">
      <c r="G7" s="22" t="str">
        <f t="shared" si="0"/>
        <v>보험회계기준 (SAP) 손익계산서</v>
      </c>
    </row>
    <row r="8" spans="2:9" x14ac:dyDescent="0.3">
      <c r="G8" s="22" t="str">
        <f>VLOOKUP(G140,$G$103:$H$141,$F$103,0)</f>
        <v>CSM 현황</v>
      </c>
      <c r="I8" s="1" t="str">
        <f>VLOOKUP(G129,$G$103:$H$138,$F$103,0)</f>
        <v>자산운용</v>
      </c>
    </row>
    <row r="9" spans="2:9" x14ac:dyDescent="0.3">
      <c r="G9" s="91" t="str">
        <f>VLOOKUP(G109,$G$103:$H$138,$F$103,0)</f>
        <v>손익현황</v>
      </c>
      <c r="I9" s="22" t="str">
        <f>VLOOKUP(G130,$G$103:$H$138,$F$103,0)</f>
        <v>자산 포트폴리오</v>
      </c>
    </row>
    <row r="10" spans="2:9" x14ac:dyDescent="0.3">
      <c r="B10" s="3" t="s">
        <v>1970</v>
      </c>
      <c r="G10" s="91" t="str">
        <f>VLOOKUP(G110,$G$103:$H$138,$F$103,0)</f>
        <v>신계약현황</v>
      </c>
      <c r="I10" s="22" t="str">
        <f>VLOOKUP(G131,$G$103:$H$138,$F$103,0)</f>
        <v>자산별 투자성과</v>
      </c>
    </row>
    <row r="11" spans="2:9" x14ac:dyDescent="0.3">
      <c r="B11" t="s">
        <v>1939</v>
      </c>
      <c r="G11" s="17"/>
      <c r="I11" s="22" t="str">
        <f>VLOOKUP(G132,$G$103:$H$138,$F$103,0)</f>
        <v>자산건전성</v>
      </c>
    </row>
    <row r="12" spans="2:9" x14ac:dyDescent="0.3">
      <c r="B12" s="49"/>
      <c r="G12" s="1" t="str">
        <f t="shared" ref="G12:G18" si="1">VLOOKUP(G112,$G$103:$H$138,$F$103,0)</f>
        <v>수입보험료 실적</v>
      </c>
    </row>
    <row r="13" spans="2:9" x14ac:dyDescent="0.3">
      <c r="G13" s="22" t="str">
        <f t="shared" si="1"/>
        <v>수입보험료</v>
      </c>
      <c r="I13" s="1" t="str">
        <f>VLOOKUP(G134,$G$103:$H$138,$F$103,0)</f>
        <v>재무안정성</v>
      </c>
    </row>
    <row r="14" spans="2:9" x14ac:dyDescent="0.3">
      <c r="G14" s="22" t="str">
        <f t="shared" si="1"/>
        <v>초회보험료</v>
      </c>
      <c r="I14" s="22" t="str">
        <f>VLOOKUP(G135,$G$103:$H$138,$F$103,0)</f>
        <v>적립금비중</v>
      </c>
    </row>
    <row r="15" spans="2:9" x14ac:dyDescent="0.3">
      <c r="G15" s="22" t="str">
        <f t="shared" si="1"/>
        <v>초년도보험료</v>
      </c>
      <c r="I15" s="22" t="str">
        <f>VLOOKUP(G136,$G$103:$H$138,$F$103,0)</f>
        <v>평균부담금리</v>
      </c>
    </row>
    <row r="16" spans="2:9" x14ac:dyDescent="0.3">
      <c r="G16" s="22" t="str">
        <f t="shared" si="1"/>
        <v>채널별 초회보험료</v>
      </c>
      <c r="I16" s="22" t="str">
        <f>VLOOKUP(G137,$G$103:$H$138,$F$103,0)</f>
        <v>자산부채 듀레이션</v>
      </c>
    </row>
    <row r="17" spans="7:9" x14ac:dyDescent="0.3">
      <c r="G17" s="22" t="str">
        <f t="shared" si="1"/>
        <v>채널별 초년도보험료</v>
      </c>
      <c r="I17" s="22" t="str">
        <f>VLOOKUP(G138,$G$103:$H$138,$F$103,0)</f>
        <v>자산부채 금리</v>
      </c>
    </row>
    <row r="18" spans="7:9" x14ac:dyDescent="0.3">
      <c r="G18" s="22" t="str">
        <f t="shared" si="1"/>
        <v>상품/채널별 APE</v>
      </c>
      <c r="I18" s="2"/>
    </row>
    <row r="19" spans="7:9" x14ac:dyDescent="0.3">
      <c r="I19" s="1" t="str">
        <f>VLOOKUP(G142,$G$103:$H$142,$F$103,0)</f>
        <v>자회사</v>
      </c>
    </row>
    <row r="20" spans="7:9" x14ac:dyDescent="0.3">
      <c r="G20" s="1" t="str">
        <f>VLOOKUP(G120,$G$103:$H$138,$F$103,0)</f>
        <v>Fee-Biz 실적</v>
      </c>
      <c r="I20" s="22" t="str">
        <f>VLOOKUP(G143,$G$103:$H$143,$F$103,0)</f>
        <v>미래에셋금융서비스</v>
      </c>
    </row>
    <row r="21" spans="7:9" x14ac:dyDescent="0.3">
      <c r="G21" s="22" t="str">
        <f>VLOOKUP(G121,$G$103:$H$138,$F$103,0)</f>
        <v>변액보험</v>
      </c>
    </row>
    <row r="22" spans="7:9" x14ac:dyDescent="0.3">
      <c r="G22" s="22" t="str">
        <f>VLOOKUP(G122,$G$103:$H$138,$F$103,0)</f>
        <v>퇴직연금</v>
      </c>
      <c r="I22" s="1" t="str">
        <f>VLOOKUP(G145,$G$103:$H$146,$F$103,0)</f>
        <v>부채 변동</v>
      </c>
    </row>
    <row r="23" spans="7:9" x14ac:dyDescent="0.3">
      <c r="I23" s="22" t="str">
        <f>VLOOKUP(G146,$G$103:$H$146,$F$103,0)</f>
        <v>잔여보장부채 무브먼트</v>
      </c>
    </row>
    <row r="37" spans="7:7" x14ac:dyDescent="0.3">
      <c r="G37" s="253">
        <v>0</v>
      </c>
    </row>
    <row r="101" spans="4:9" x14ac:dyDescent="0.3">
      <c r="D101" t="s">
        <v>161</v>
      </c>
    </row>
    <row r="102" spans="4:9" x14ac:dyDescent="0.3">
      <c r="D102" s="4"/>
      <c r="E102" s="5"/>
      <c r="F102" s="5"/>
      <c r="G102" s="5"/>
      <c r="H102" s="5"/>
      <c r="I102" s="6"/>
    </row>
    <row r="103" spans="4:9" x14ac:dyDescent="0.3">
      <c r="D103" s="7"/>
      <c r="E103" s="8" t="s">
        <v>160</v>
      </c>
      <c r="F103" s="8">
        <v>1</v>
      </c>
      <c r="G103" s="9" t="s">
        <v>134</v>
      </c>
      <c r="H103" s="9" t="s">
        <v>139</v>
      </c>
      <c r="I103" s="10"/>
    </row>
    <row r="104" spans="4:9" x14ac:dyDescent="0.3">
      <c r="D104" s="7"/>
      <c r="E104" s="8" t="s">
        <v>159</v>
      </c>
      <c r="F104" s="8"/>
      <c r="G104" s="11" t="s">
        <v>163</v>
      </c>
      <c r="H104" s="11" t="s">
        <v>162</v>
      </c>
      <c r="I104" s="10"/>
    </row>
    <row r="105" spans="4:9" x14ac:dyDescent="0.3">
      <c r="D105" s="7"/>
      <c r="E105" s="8"/>
      <c r="F105" s="8"/>
      <c r="G105" s="11" t="s">
        <v>136</v>
      </c>
      <c r="H105" s="11" t="s">
        <v>140</v>
      </c>
      <c r="I105" s="10"/>
    </row>
    <row r="106" spans="4:9" x14ac:dyDescent="0.3">
      <c r="D106" s="7"/>
      <c r="E106" s="8"/>
      <c r="F106" s="8"/>
      <c r="G106" s="11" t="s">
        <v>137</v>
      </c>
      <c r="H106" s="11" t="s">
        <v>141</v>
      </c>
      <c r="I106" s="10"/>
    </row>
    <row r="107" spans="4:9" x14ac:dyDescent="0.3">
      <c r="D107" s="7"/>
      <c r="E107" s="8"/>
      <c r="F107" s="8"/>
      <c r="G107" s="11" t="s">
        <v>164</v>
      </c>
      <c r="H107" s="11" t="s">
        <v>142</v>
      </c>
      <c r="I107" s="10"/>
    </row>
    <row r="108" spans="4:9" x14ac:dyDescent="0.3">
      <c r="D108" s="7"/>
      <c r="E108" s="8"/>
      <c r="F108" s="8"/>
      <c r="G108" s="11" t="s">
        <v>165</v>
      </c>
      <c r="H108" s="11" t="s">
        <v>143</v>
      </c>
      <c r="I108" s="10"/>
    </row>
    <row r="109" spans="4:9" x14ac:dyDescent="0.3">
      <c r="D109" s="7"/>
      <c r="E109" s="8"/>
      <c r="F109" s="8"/>
      <c r="G109" s="11" t="s">
        <v>1306</v>
      </c>
      <c r="H109" s="11" t="s">
        <v>1307</v>
      </c>
      <c r="I109" s="10"/>
    </row>
    <row r="110" spans="4:9" x14ac:dyDescent="0.3">
      <c r="D110" s="7"/>
      <c r="E110" s="8"/>
      <c r="F110" s="11"/>
      <c r="G110" s="11" t="s">
        <v>1684</v>
      </c>
      <c r="H110" s="11" t="s">
        <v>1694</v>
      </c>
      <c r="I110" s="326"/>
    </row>
    <row r="111" spans="4:9" x14ac:dyDescent="0.3">
      <c r="D111" s="7"/>
      <c r="E111" s="8"/>
      <c r="F111" s="8"/>
      <c r="G111" s="12"/>
      <c r="H111" s="12"/>
      <c r="I111" s="10"/>
    </row>
    <row r="112" spans="4:9" x14ac:dyDescent="0.3">
      <c r="D112" s="7"/>
      <c r="E112" s="8"/>
      <c r="F112" s="8"/>
      <c r="G112" s="9" t="s">
        <v>0</v>
      </c>
      <c r="H112" s="9" t="s">
        <v>144</v>
      </c>
      <c r="I112" s="10"/>
    </row>
    <row r="113" spans="4:9" x14ac:dyDescent="0.3">
      <c r="D113" s="7"/>
      <c r="E113" s="8"/>
      <c r="F113" s="8"/>
      <c r="G113" s="13" t="s">
        <v>138</v>
      </c>
      <c r="H113" s="13" t="s">
        <v>187</v>
      </c>
      <c r="I113" s="10"/>
    </row>
    <row r="114" spans="4:9" x14ac:dyDescent="0.3">
      <c r="D114" s="7"/>
      <c r="E114" s="8"/>
      <c r="F114" s="8"/>
      <c r="G114" s="13" t="s">
        <v>1</v>
      </c>
      <c r="H114" s="13" t="s">
        <v>145</v>
      </c>
      <c r="I114" s="10"/>
    </row>
    <row r="115" spans="4:9" x14ac:dyDescent="0.3">
      <c r="D115" s="7"/>
      <c r="E115" s="8"/>
      <c r="F115" s="8"/>
      <c r="G115" s="13" t="s">
        <v>2</v>
      </c>
      <c r="H115" s="13" t="s">
        <v>146</v>
      </c>
      <c r="I115" s="10"/>
    </row>
    <row r="116" spans="4:9" x14ac:dyDescent="0.3">
      <c r="D116" s="7"/>
      <c r="E116" s="8"/>
      <c r="F116" s="8"/>
      <c r="G116" s="13" t="s">
        <v>189</v>
      </c>
      <c r="H116" s="13" t="s">
        <v>1766</v>
      </c>
      <c r="I116" s="10"/>
    </row>
    <row r="117" spans="4:9" x14ac:dyDescent="0.3">
      <c r="D117" s="7"/>
      <c r="E117" s="8"/>
      <c r="F117" s="8"/>
      <c r="G117" s="13" t="s">
        <v>3</v>
      </c>
      <c r="H117" s="13" t="s">
        <v>1767</v>
      </c>
      <c r="I117" s="10"/>
    </row>
    <row r="118" spans="4:9" x14ac:dyDescent="0.3">
      <c r="D118" s="7"/>
      <c r="E118" s="8"/>
      <c r="F118" s="8"/>
      <c r="G118" s="13" t="s">
        <v>4</v>
      </c>
      <c r="H118" s="13" t="s">
        <v>147</v>
      </c>
      <c r="I118" s="10"/>
    </row>
    <row r="119" spans="4:9" x14ac:dyDescent="0.3">
      <c r="D119" s="7"/>
      <c r="E119" s="8"/>
      <c r="F119" s="8"/>
      <c r="G119" s="12"/>
      <c r="H119" s="12"/>
      <c r="I119" s="10"/>
    </row>
    <row r="120" spans="4:9" x14ac:dyDescent="0.3">
      <c r="D120" s="7"/>
      <c r="E120" s="8"/>
      <c r="F120" s="8"/>
      <c r="G120" s="9" t="s">
        <v>738</v>
      </c>
      <c r="H120" s="9" t="s">
        <v>739</v>
      </c>
      <c r="I120" s="10"/>
    </row>
    <row r="121" spans="4:9" x14ac:dyDescent="0.3">
      <c r="D121" s="7"/>
      <c r="E121" s="8"/>
      <c r="F121" s="8"/>
      <c r="G121" s="13" t="s">
        <v>5</v>
      </c>
      <c r="H121" s="13" t="s">
        <v>148</v>
      </c>
      <c r="I121" s="10"/>
    </row>
    <row r="122" spans="4:9" x14ac:dyDescent="0.3">
      <c r="D122" s="7"/>
      <c r="E122" s="8"/>
      <c r="F122" s="8"/>
      <c r="G122" s="13" t="s">
        <v>6</v>
      </c>
      <c r="H122" s="13" t="s">
        <v>149</v>
      </c>
      <c r="I122" s="10"/>
    </row>
    <row r="123" spans="4:9" x14ac:dyDescent="0.3">
      <c r="D123" s="7"/>
      <c r="E123" s="8"/>
      <c r="F123" s="8"/>
      <c r="G123" s="12"/>
      <c r="H123" s="12"/>
      <c r="I123" s="10"/>
    </row>
    <row r="124" spans="4:9" x14ac:dyDescent="0.3">
      <c r="D124" s="7"/>
      <c r="E124" s="8"/>
      <c r="F124" s="8"/>
      <c r="G124" s="9" t="s">
        <v>7</v>
      </c>
      <c r="H124" s="9" t="s">
        <v>150</v>
      </c>
      <c r="I124" s="10"/>
    </row>
    <row r="125" spans="4:9" x14ac:dyDescent="0.3">
      <c r="D125" s="7"/>
      <c r="E125" s="8"/>
      <c r="F125" s="8"/>
      <c r="G125" s="13" t="s">
        <v>8</v>
      </c>
      <c r="H125" s="13" t="s">
        <v>151</v>
      </c>
      <c r="I125" s="10"/>
    </row>
    <row r="126" spans="4:9" x14ac:dyDescent="0.3">
      <c r="D126" s="7"/>
      <c r="E126" s="8"/>
      <c r="F126" s="8"/>
      <c r="G126" s="13" t="s">
        <v>9</v>
      </c>
      <c r="H126" s="13" t="s">
        <v>211</v>
      </c>
      <c r="I126" s="10"/>
    </row>
    <row r="127" spans="4:9" x14ac:dyDescent="0.3">
      <c r="D127" s="7"/>
      <c r="E127" s="8"/>
      <c r="F127" s="8"/>
      <c r="G127" s="13" t="s">
        <v>10</v>
      </c>
      <c r="H127" s="13" t="s">
        <v>1768</v>
      </c>
      <c r="I127" s="10"/>
    </row>
    <row r="128" spans="4:9" x14ac:dyDescent="0.3">
      <c r="D128" s="7"/>
      <c r="E128" s="8"/>
      <c r="F128" s="8"/>
      <c r="G128" s="12"/>
      <c r="H128" s="12"/>
      <c r="I128" s="10"/>
    </row>
    <row r="129" spans="4:9" x14ac:dyDescent="0.3">
      <c r="D129" s="7"/>
      <c r="E129" s="8"/>
      <c r="F129" s="8"/>
      <c r="G129" s="9" t="s">
        <v>16</v>
      </c>
      <c r="H129" s="9" t="s">
        <v>152</v>
      </c>
      <c r="I129" s="10"/>
    </row>
    <row r="130" spans="4:9" x14ac:dyDescent="0.3">
      <c r="D130" s="7"/>
      <c r="E130" s="8"/>
      <c r="F130" s="8"/>
      <c r="G130" s="13" t="s">
        <v>11</v>
      </c>
      <c r="H130" s="13" t="s">
        <v>233</v>
      </c>
      <c r="I130" s="10"/>
    </row>
    <row r="131" spans="4:9" x14ac:dyDescent="0.3">
      <c r="D131" s="7"/>
      <c r="E131" s="8"/>
      <c r="F131" s="8"/>
      <c r="G131" s="13" t="s">
        <v>12</v>
      </c>
      <c r="H131" s="13" t="s">
        <v>223</v>
      </c>
      <c r="I131" s="10"/>
    </row>
    <row r="132" spans="4:9" x14ac:dyDescent="0.3">
      <c r="D132" s="7"/>
      <c r="E132" s="8"/>
      <c r="F132" s="8"/>
      <c r="G132" s="13" t="s">
        <v>13</v>
      </c>
      <c r="H132" s="13" t="s">
        <v>153</v>
      </c>
      <c r="I132" s="10"/>
    </row>
    <row r="133" spans="4:9" x14ac:dyDescent="0.3">
      <c r="D133" s="7"/>
      <c r="E133" s="8"/>
      <c r="F133" s="8"/>
      <c r="G133" s="12"/>
      <c r="H133" s="12"/>
      <c r="I133" s="10"/>
    </row>
    <row r="134" spans="4:9" x14ac:dyDescent="0.3">
      <c r="D134" s="7"/>
      <c r="E134" s="8"/>
      <c r="F134" s="8"/>
      <c r="G134" s="9" t="s">
        <v>17</v>
      </c>
      <c r="H134" s="9" t="s">
        <v>155</v>
      </c>
      <c r="I134" s="10"/>
    </row>
    <row r="135" spans="4:9" x14ac:dyDescent="0.3">
      <c r="D135" s="7"/>
      <c r="E135" s="8"/>
      <c r="F135" s="8"/>
      <c r="G135" s="13" t="s">
        <v>14</v>
      </c>
      <c r="H135" s="13" t="s">
        <v>154</v>
      </c>
      <c r="I135" s="10"/>
    </row>
    <row r="136" spans="4:9" x14ac:dyDescent="0.3">
      <c r="D136" s="7"/>
      <c r="E136" s="8"/>
      <c r="F136" s="8"/>
      <c r="G136" s="13" t="s">
        <v>15</v>
      </c>
      <c r="H136" s="13" t="s">
        <v>156</v>
      </c>
      <c r="I136" s="10"/>
    </row>
    <row r="137" spans="4:9" x14ac:dyDescent="0.3">
      <c r="D137" s="7"/>
      <c r="E137" s="8"/>
      <c r="F137" s="8"/>
      <c r="G137" s="13" t="s">
        <v>166</v>
      </c>
      <c r="H137" s="13" t="s">
        <v>157</v>
      </c>
      <c r="I137" s="10"/>
    </row>
    <row r="138" spans="4:9" x14ac:dyDescent="0.3">
      <c r="D138" s="7"/>
      <c r="E138" s="8"/>
      <c r="F138" s="8"/>
      <c r="G138" s="13" t="s">
        <v>167</v>
      </c>
      <c r="H138" s="13" t="s">
        <v>158</v>
      </c>
      <c r="I138" s="10"/>
    </row>
    <row r="139" spans="4:9" x14ac:dyDescent="0.3">
      <c r="D139" s="7"/>
      <c r="E139" s="8"/>
      <c r="F139" s="8"/>
      <c r="G139" s="13"/>
      <c r="H139" s="13"/>
      <c r="I139" s="10"/>
    </row>
    <row r="140" spans="4:9" x14ac:dyDescent="0.3">
      <c r="D140" s="7"/>
      <c r="E140" s="8"/>
      <c r="F140" s="8"/>
      <c r="G140" s="13" t="s">
        <v>1308</v>
      </c>
      <c r="H140" s="13" t="s">
        <v>1309</v>
      </c>
      <c r="I140" s="10"/>
    </row>
    <row r="141" spans="4:9" x14ac:dyDescent="0.3">
      <c r="D141" s="7"/>
      <c r="E141" s="8"/>
      <c r="F141" s="8"/>
      <c r="G141" s="13"/>
      <c r="H141" s="13"/>
      <c r="I141" s="10"/>
    </row>
    <row r="142" spans="4:9" x14ac:dyDescent="0.3">
      <c r="D142" s="7"/>
      <c r="E142" s="8"/>
      <c r="F142" s="8"/>
      <c r="G142" s="9" t="s">
        <v>1692</v>
      </c>
      <c r="H142" s="9" t="s">
        <v>1693</v>
      </c>
      <c r="I142" s="10"/>
    </row>
    <row r="143" spans="4:9" x14ac:dyDescent="0.3">
      <c r="D143" s="7"/>
      <c r="E143" s="8"/>
      <c r="F143" s="8"/>
      <c r="G143" s="13" t="s">
        <v>1695</v>
      </c>
      <c r="H143" s="13" t="s">
        <v>1696</v>
      </c>
      <c r="I143" s="10"/>
    </row>
    <row r="144" spans="4:9" x14ac:dyDescent="0.3">
      <c r="D144" s="7"/>
      <c r="E144" s="8"/>
      <c r="F144" s="8"/>
      <c r="G144" s="13"/>
      <c r="H144" s="13"/>
      <c r="I144" s="10"/>
    </row>
    <row r="145" spans="4:9" x14ac:dyDescent="0.3">
      <c r="D145" s="7"/>
      <c r="E145" s="8"/>
      <c r="F145" s="8"/>
      <c r="G145" s="9" t="s">
        <v>1812</v>
      </c>
      <c r="H145" s="9" t="s">
        <v>1756</v>
      </c>
      <c r="I145" s="10"/>
    </row>
    <row r="146" spans="4:9" x14ac:dyDescent="0.3">
      <c r="D146" s="14"/>
      <c r="E146" s="15"/>
      <c r="F146" s="15"/>
      <c r="G146" s="325" t="s">
        <v>1793</v>
      </c>
      <c r="H146" s="325" t="s">
        <v>1811</v>
      </c>
      <c r="I146" s="16"/>
    </row>
  </sheetData>
  <phoneticPr fontId="1" type="noConversion"/>
  <hyperlinks>
    <hyperlink ref="G3" display="SUMMARY!A1"/>
    <hyperlink ref="G4" display="'KIFRS-BS'!A1"/>
    <hyperlink ref="G5" display="'KIFRS-IS'!A1"/>
    <hyperlink ref="G9" display="PROFIT!A1"/>
    <hyperlink ref="G13" display="PREMIUM!A1"/>
    <hyperlink ref="G14" display="INITIAL!A1"/>
    <hyperlink ref="G15" display="FIRSTYR!A1"/>
    <hyperlink ref="G16" display="CHINITYR!A1"/>
    <hyperlink ref="G17" display="CHINITYR!A1"/>
    <hyperlink ref="G18" display="APE!A1"/>
    <hyperlink ref="G6" display="'SAP-BS'!A1"/>
    <hyperlink ref="G7" display="'SAP-IS'!A1"/>
    <hyperlink ref="I3:I6" display="EFF!A1"/>
    <hyperlink ref="I9" display="PORT!A1"/>
    <hyperlink ref="I10" display="YIELD!A1"/>
    <hyperlink ref="I11" display="QUALITY!A1"/>
    <hyperlink ref="I14:I17" display="STABLE!A1"/>
    <hyperlink ref="G21:G22" display="FEEBIZ!A1"/>
    <hyperlink ref="I20" display="STABLE!A1"/>
  </hyperlinks>
  <pageMargins left="0.23622047244094491" right="0.23622047244094491" top="0.78740157480314965" bottom="0.23622047244094491" header="0.31496062992125984" footer="0.31496062992125984"/>
  <pageSetup paperSize="9"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029" r:id="rId4" name="Drop Down 5">
              <controlPr defaultSize="0" autoLine="0" autoPict="0">
                <anchor moveWithCells="1">
                  <from>
                    <xdr:col>0</xdr:col>
                    <xdr:colOff>371475</xdr:colOff>
                    <xdr:row>10</xdr:row>
                    <xdr:rowOff>19050</xdr:rowOff>
                  </from>
                  <to>
                    <xdr:col>2</xdr:col>
                    <xdr:colOff>133350</xdr:colOff>
                    <xdr:row>11</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B1:AF61"/>
  <sheetViews>
    <sheetView showGridLines="0" view="pageBreakPreview" zoomScale="80" zoomScaleNormal="100" zoomScaleSheetLayoutView="80" workbookViewId="0">
      <pane xSplit="7" ySplit="5" topLeftCell="H6" activePane="bottomRight" state="frozen"/>
      <selection activeCell="G47" sqref="G47"/>
      <selection pane="topRight" activeCell="G47" sqref="G47"/>
      <selection pane="bottomLeft" activeCell="G47" sqref="G47"/>
      <selection pane="bottomRight" activeCell="G47" sqref="G47"/>
    </sheetView>
  </sheetViews>
  <sheetFormatPr defaultRowHeight="16.5" outlineLevelCol="2" x14ac:dyDescent="0.3"/>
  <cols>
    <col min="1" max="1" width="5" style="141" customWidth="1"/>
    <col min="2" max="2" width="25.75" style="61" customWidth="1"/>
    <col min="3" max="3" width="18.125" style="141" bestFit="1" customWidth="1"/>
    <col min="4" max="6" width="10" style="141" customWidth="1"/>
    <col min="7" max="7" width="1.375" style="141" customWidth="1"/>
    <col min="8" max="8" width="1.25" style="68" customWidth="1"/>
    <col min="9" max="16" width="9" style="141" hidden="1" customWidth="1" outlineLevel="1"/>
    <col min="17" max="20" width="9" style="141" hidden="1" customWidth="1" outlineLevel="2"/>
    <col min="21" max="21" width="1" style="141" hidden="1" customWidth="1" outlineLevel="2"/>
    <col min="22" max="25" width="9" style="141" hidden="1" customWidth="1" outlineLevel="2"/>
    <col min="26" max="26" width="9" style="141" hidden="1" customWidth="1" outlineLevel="1"/>
    <col min="27" max="27" width="9" style="141" customWidth="1" collapsed="1"/>
    <col min="28" max="29" width="9" style="141" customWidth="1"/>
    <col min="30" max="16384" width="9" style="141"/>
  </cols>
  <sheetData>
    <row r="1" spans="2:32" s="61" customFormat="1" x14ac:dyDescent="0.3">
      <c r="B1" s="78" t="str">
        <f>[9]INDEX!$G$3</f>
        <v>재무실적 요약</v>
      </c>
      <c r="C1" s="141" t="s">
        <v>1751</v>
      </c>
      <c r="H1" s="84"/>
    </row>
    <row r="2" spans="2:32" x14ac:dyDescent="0.3">
      <c r="B2" s="79" t="s">
        <v>18</v>
      </c>
    </row>
    <row r="3" spans="2:32" s="143" customFormat="1" x14ac:dyDescent="0.3">
      <c r="B3" s="80"/>
      <c r="D3" s="601"/>
      <c r="E3" s="601"/>
      <c r="H3" s="182"/>
      <c r="Z3" s="182"/>
      <c r="AA3" s="182"/>
      <c r="AB3" s="182"/>
      <c r="AC3" s="182"/>
      <c r="AD3" s="182"/>
      <c r="AE3" s="182"/>
      <c r="AF3" s="182"/>
    </row>
    <row r="4" spans="2:32" s="143" customFormat="1" x14ac:dyDescent="0.3">
      <c r="B4" s="81" t="s">
        <v>168</v>
      </c>
      <c r="C4" s="343" t="s">
        <v>184</v>
      </c>
      <c r="D4" s="602">
        <f>I4</f>
        <v>2025</v>
      </c>
      <c r="E4" s="186">
        <f>N4</f>
        <v>2024</v>
      </c>
      <c r="F4" s="836" t="s">
        <v>32</v>
      </c>
      <c r="G4" s="182"/>
      <c r="H4" s="182"/>
      <c r="I4" s="839">
        <v>2025</v>
      </c>
      <c r="J4" s="839"/>
      <c r="K4" s="839"/>
      <c r="L4" s="840"/>
      <c r="M4" s="805"/>
      <c r="N4" s="490">
        <v>2024</v>
      </c>
      <c r="O4" s="490"/>
      <c r="P4" s="491"/>
      <c r="Q4" s="838">
        <v>2023</v>
      </c>
      <c r="R4" s="839"/>
      <c r="S4" s="839"/>
      <c r="T4" s="840"/>
      <c r="U4" s="431"/>
      <c r="V4" s="838">
        <v>2022</v>
      </c>
      <c r="W4" s="839"/>
      <c r="X4" s="839"/>
      <c r="Y4" s="840"/>
      <c r="Z4" s="361">
        <v>2021</v>
      </c>
      <c r="AA4" s="361"/>
      <c r="AB4" s="182"/>
      <c r="AC4" s="182"/>
      <c r="AD4" s="182"/>
      <c r="AE4" s="182"/>
      <c r="AF4" s="182"/>
    </row>
    <row r="5" spans="2:32" s="143" customFormat="1" x14ac:dyDescent="0.3">
      <c r="B5" s="82"/>
      <c r="C5" s="824"/>
      <c r="D5" s="825">
        <f>I5</f>
        <v>4</v>
      </c>
      <c r="E5" s="825">
        <f>M5</f>
        <v>4</v>
      </c>
      <c r="F5" s="837"/>
      <c r="G5" s="182"/>
      <c r="H5" s="182"/>
      <c r="I5" s="826">
        <v>4</v>
      </c>
      <c r="J5" s="826">
        <v>3</v>
      </c>
      <c r="K5" s="826">
        <v>2</v>
      </c>
      <c r="L5" s="826">
        <v>1</v>
      </c>
      <c r="M5" s="825">
        <v>4</v>
      </c>
      <c r="N5" s="825">
        <v>3</v>
      </c>
      <c r="O5" s="825">
        <v>2</v>
      </c>
      <c r="P5" s="825">
        <v>1</v>
      </c>
      <c r="Q5" s="825">
        <v>4</v>
      </c>
      <c r="R5" s="825">
        <v>3</v>
      </c>
      <c r="S5" s="825">
        <v>2</v>
      </c>
      <c r="T5" s="827">
        <v>1</v>
      </c>
      <c r="U5" s="432"/>
      <c r="V5" s="825">
        <v>4</v>
      </c>
      <c r="W5" s="825">
        <v>3</v>
      </c>
      <c r="X5" s="825">
        <v>2</v>
      </c>
      <c r="Y5" s="825">
        <v>1</v>
      </c>
      <c r="Z5" s="362" t="s">
        <v>1605</v>
      </c>
      <c r="AA5" s="361"/>
      <c r="AB5" s="182"/>
      <c r="AC5" s="182"/>
      <c r="AD5" s="182"/>
      <c r="AE5" s="182"/>
      <c r="AF5" s="182"/>
    </row>
    <row r="6" spans="2:32" x14ac:dyDescent="0.3">
      <c r="B6" s="61" t="s">
        <v>169</v>
      </c>
      <c r="C6" s="141" t="s">
        <v>21</v>
      </c>
      <c r="D6" s="70">
        <f>I6</f>
        <v>32855.181935105997</v>
      </c>
      <c r="E6" s="70">
        <f>M6</f>
        <v>32404.438804745998</v>
      </c>
      <c r="F6" s="54">
        <f>+IFERROR(IF(E6&lt;0,-(D6/E6-1),(D6/E6-1)),0)</f>
        <v>1.3909919350122646E-2</v>
      </c>
      <c r="G6" s="194"/>
      <c r="I6" s="179">
        <v>32855.181935105997</v>
      </c>
      <c r="J6" s="179">
        <v>33165.463238684002</v>
      </c>
      <c r="K6" s="179">
        <v>32215.468491141004</v>
      </c>
      <c r="L6" s="179">
        <v>32214.588505664</v>
      </c>
      <c r="M6" s="179">
        <v>32404.438804745998</v>
      </c>
      <c r="N6" s="179">
        <v>32232.652833784996</v>
      </c>
      <c r="O6" s="179">
        <v>32188.592706805</v>
      </c>
      <c r="P6" s="179">
        <v>32333.017256451996</v>
      </c>
      <c r="Q6" s="179">
        <v>33046.19302499701</v>
      </c>
      <c r="R6" s="179">
        <v>32111.059738974996</v>
      </c>
      <c r="S6" s="179">
        <v>32951.333185621006</v>
      </c>
      <c r="T6" s="345">
        <v>33150.631226668003</v>
      </c>
      <c r="U6" s="70"/>
      <c r="V6" s="70">
        <v>34991.095068560004</v>
      </c>
      <c r="W6" s="70">
        <v>36813.713994220001</v>
      </c>
      <c r="X6" s="70">
        <v>36977.266732316995</v>
      </c>
      <c r="Y6" s="70">
        <v>38438.523672085001</v>
      </c>
      <c r="Z6" s="243"/>
      <c r="AA6" s="363"/>
      <c r="AB6" s="68"/>
      <c r="AC6" s="68"/>
      <c r="AD6" s="68"/>
      <c r="AE6" s="68"/>
      <c r="AF6" s="68"/>
    </row>
    <row r="7" spans="2:32" x14ac:dyDescent="0.3">
      <c r="B7" s="61" t="s">
        <v>170</v>
      </c>
      <c r="C7" s="141" t="s">
        <v>22</v>
      </c>
      <c r="D7" s="70">
        <f t="shared" ref="D7:D8" si="0">I7</f>
        <v>30418.680379437003</v>
      </c>
      <c r="E7" s="70">
        <f t="shared" ref="E7:E8" si="1">M7</f>
        <v>29851.200854977997</v>
      </c>
      <c r="F7" s="54">
        <f>+IFERROR(IF(E7&lt;0,-(D7/E7-1),(D7/E7-1)),0)</f>
        <v>1.9010274568715513E-2</v>
      </c>
      <c r="G7" s="194"/>
      <c r="I7" s="179">
        <v>30418.680379437003</v>
      </c>
      <c r="J7" s="179">
        <v>30683.351810687003</v>
      </c>
      <c r="K7" s="179">
        <v>29744.745599781003</v>
      </c>
      <c r="L7" s="179">
        <v>29747.791285060997</v>
      </c>
      <c r="M7" s="179">
        <v>29851.200854977997</v>
      </c>
      <c r="N7" s="179">
        <v>29703.679511984999</v>
      </c>
      <c r="O7" s="179">
        <v>29660.895324460002</v>
      </c>
      <c r="P7" s="179">
        <v>29599.141786692999</v>
      </c>
      <c r="Q7" s="179">
        <v>30027.165961451999</v>
      </c>
      <c r="R7" s="179">
        <v>29140.783776516</v>
      </c>
      <c r="S7" s="179">
        <v>30008.68976071</v>
      </c>
      <c r="T7" s="345">
        <v>30274.400336873001</v>
      </c>
      <c r="U7" s="70"/>
      <c r="V7" s="70">
        <v>30902.569723298919</v>
      </c>
      <c r="W7" s="70">
        <v>32521.422041193</v>
      </c>
      <c r="X7" s="70">
        <v>33072.626115643907</v>
      </c>
      <c r="Y7" s="70">
        <v>35087.2843217298</v>
      </c>
      <c r="Z7" s="243"/>
      <c r="AA7" s="363"/>
      <c r="AB7" s="68"/>
      <c r="AC7" s="68"/>
      <c r="AD7" s="68"/>
      <c r="AE7" s="68"/>
      <c r="AF7" s="68"/>
    </row>
    <row r="8" spans="2:32" x14ac:dyDescent="0.3">
      <c r="B8" s="84" t="s">
        <v>171</v>
      </c>
      <c r="C8" s="68" t="s">
        <v>23</v>
      </c>
      <c r="D8" s="70">
        <f t="shared" si="0"/>
        <v>2436.5015556690005</v>
      </c>
      <c r="E8" s="70">
        <f t="shared" si="1"/>
        <v>2553.2379497679999</v>
      </c>
      <c r="F8" s="54">
        <f>+IFERROR(IF(E8&lt;0,-(D8/E8-1),(D8/E8-1)),0)</f>
        <v>-4.5720922372161521E-2</v>
      </c>
      <c r="G8" s="194"/>
      <c r="I8" s="180">
        <v>2436.5015556690005</v>
      </c>
      <c r="J8" s="180">
        <v>2482.1114279969997</v>
      </c>
      <c r="K8" s="180">
        <v>2470.7228913600002</v>
      </c>
      <c r="L8" s="180">
        <v>2466.7972206029999</v>
      </c>
      <c r="M8" s="180">
        <v>2553.2379497679999</v>
      </c>
      <c r="N8" s="180">
        <v>2528.9733218000001</v>
      </c>
      <c r="O8" s="180">
        <v>2527.6973823450003</v>
      </c>
      <c r="P8" s="180">
        <v>2733.8754697589998</v>
      </c>
      <c r="Q8" s="180">
        <v>3019.0270635449997</v>
      </c>
      <c r="R8" s="180">
        <v>2970.2759624589999</v>
      </c>
      <c r="S8" s="180">
        <v>2942.6434249109998</v>
      </c>
      <c r="T8" s="442">
        <v>2876.2308897950002</v>
      </c>
      <c r="U8" s="70"/>
      <c r="V8" s="165">
        <v>4088.5253452610764</v>
      </c>
      <c r="W8" s="165">
        <v>4292.2919530270001</v>
      </c>
      <c r="X8" s="165">
        <v>3904.6406166730976</v>
      </c>
      <c r="Y8" s="165">
        <v>3351.2393503552298</v>
      </c>
      <c r="Z8" s="243">
        <v>2694.5030586080002</v>
      </c>
      <c r="AA8" s="364"/>
      <c r="AB8" s="759"/>
      <c r="AC8" s="359"/>
      <c r="AD8" s="68"/>
      <c r="AE8" s="68"/>
      <c r="AF8" s="194"/>
    </row>
    <row r="9" spans="2:32" x14ac:dyDescent="0.3">
      <c r="B9" s="365"/>
      <c r="C9" s="275"/>
      <c r="D9" s="825">
        <f>D5</f>
        <v>4</v>
      </c>
      <c r="E9" s="825">
        <f>E5</f>
        <v>4</v>
      </c>
      <c r="F9" s="486" t="s">
        <v>1780</v>
      </c>
      <c r="G9" s="603"/>
      <c r="I9" s="341"/>
      <c r="J9" s="341"/>
      <c r="K9" s="341">
        <f>K8/M8-1</f>
        <v>-3.2317809789525254E-2</v>
      </c>
      <c r="U9" s="604"/>
      <c r="Z9" s="363"/>
      <c r="AA9" s="363"/>
      <c r="AB9" s="68"/>
      <c r="AC9" s="68"/>
      <c r="AD9" s="68"/>
      <c r="AE9" s="68"/>
      <c r="AF9" s="68"/>
    </row>
    <row r="10" spans="2:32" x14ac:dyDescent="0.3">
      <c r="B10" s="61" t="s">
        <v>1595</v>
      </c>
      <c r="C10" s="141" t="s">
        <v>1601</v>
      </c>
      <c r="D10" s="70">
        <f>SUM(I10:L10)</f>
        <v>111.9901095839999</v>
      </c>
      <c r="E10" s="70">
        <f>SUM(M10:P10)</f>
        <v>119.27554434700002</v>
      </c>
      <c r="F10" s="54">
        <f t="shared" ref="F10" si="2">+IFERROR(IF(E10&lt;0,-(D10/E10-1),(D10/E10-1)),0)</f>
        <v>-6.1080708563401087E-2</v>
      </c>
      <c r="G10" s="194"/>
      <c r="I10" s="224">
        <v>-5.8806759860000284</v>
      </c>
      <c r="J10" s="224">
        <v>34.309210430999997</v>
      </c>
      <c r="K10" s="224">
        <v>44.676268555999968</v>
      </c>
      <c r="L10" s="224">
        <v>38.885306582999959</v>
      </c>
      <c r="M10" s="224">
        <v>19.855061288999991</v>
      </c>
      <c r="N10" s="224">
        <v>31.404157223000027</v>
      </c>
      <c r="O10" s="224">
        <v>45.71881341400001</v>
      </c>
      <c r="P10" s="224">
        <v>22.297512420999993</v>
      </c>
      <c r="Q10" s="224">
        <v>57.394659168000004</v>
      </c>
      <c r="R10" s="224">
        <v>27.339907371999999</v>
      </c>
      <c r="S10" s="224">
        <v>40.567695163999986</v>
      </c>
      <c r="T10" s="605">
        <v>43.698504903999975</v>
      </c>
      <c r="U10" s="70"/>
      <c r="V10" s="213">
        <v>21.695846426000003</v>
      </c>
      <c r="W10" s="213">
        <v>26.281689666000034</v>
      </c>
      <c r="X10" s="213">
        <v>37.264299869000013</v>
      </c>
      <c r="Y10" s="213">
        <v>37.705990954000015</v>
      </c>
      <c r="Z10" s="363"/>
      <c r="AA10" s="363"/>
      <c r="AB10" s="68"/>
      <c r="AC10" s="68"/>
      <c r="AD10" s="68"/>
      <c r="AE10" s="68"/>
      <c r="AF10" s="68"/>
    </row>
    <row r="11" spans="2:32" x14ac:dyDescent="0.3">
      <c r="B11" s="61" t="s">
        <v>1282</v>
      </c>
      <c r="C11" s="141" t="s">
        <v>248</v>
      </c>
      <c r="D11" s="70">
        <f t="shared" ref="D11:D15" si="3">SUM(I11:L11)</f>
        <v>73.866156523999848</v>
      </c>
      <c r="E11" s="70">
        <f t="shared" ref="E11:E15" si="4">SUM(M11:P11)</f>
        <v>-4.336640028999966</v>
      </c>
      <c r="F11" s="54">
        <f>+IFERROR(IF(E11&lt;0,-(D11/E11-1),(D11/E11-1)),0)</f>
        <v>18.033038488332512</v>
      </c>
      <c r="G11" s="194"/>
      <c r="I11" s="179">
        <v>28.907445404999976</v>
      </c>
      <c r="J11" s="179">
        <v>24.543100803000016</v>
      </c>
      <c r="K11" s="179">
        <v>20.063001434999933</v>
      </c>
      <c r="L11" s="179">
        <v>0.35260888099992371</v>
      </c>
      <c r="M11" s="179">
        <v>33.294063319000088</v>
      </c>
      <c r="N11" s="179">
        <v>-27.967507092999938</v>
      </c>
      <c r="O11" s="179">
        <v>-30.821484393000105</v>
      </c>
      <c r="P11" s="179">
        <v>21.158288137999989</v>
      </c>
      <c r="Q11" s="179">
        <v>-119.39884445400003</v>
      </c>
      <c r="R11" s="179">
        <v>-0.74453508599992801</v>
      </c>
      <c r="S11" s="179">
        <v>3.7496379290000732</v>
      </c>
      <c r="T11" s="345">
        <v>93.769318227000213</v>
      </c>
      <c r="U11" s="70"/>
      <c r="V11" s="70">
        <v>-79.149763679999921</v>
      </c>
      <c r="W11" s="70">
        <v>46.372236669999893</v>
      </c>
      <c r="X11" s="70">
        <v>21.9649191780004</v>
      </c>
      <c r="Y11" s="70">
        <v>38.640953540000282</v>
      </c>
      <c r="Z11" s="363"/>
      <c r="AA11" s="363"/>
      <c r="AB11" s="68"/>
      <c r="AC11" s="68"/>
      <c r="AD11" s="68"/>
      <c r="AE11" s="68"/>
      <c r="AF11" s="68"/>
    </row>
    <row r="12" spans="2:32" x14ac:dyDescent="0.3">
      <c r="B12" s="61" t="s">
        <v>83</v>
      </c>
      <c r="C12" s="141" t="s">
        <v>1596</v>
      </c>
      <c r="D12" s="70">
        <f t="shared" si="3"/>
        <v>3.4005107729999997</v>
      </c>
      <c r="E12" s="70">
        <f t="shared" si="4"/>
        <v>0.88398245200000014</v>
      </c>
      <c r="F12" s="54">
        <f>+IFERROR(IF(E12&lt;0,-(D12/E12-1),(D12/E12-1)),0)</f>
        <v>2.8468080054150207</v>
      </c>
      <c r="G12" s="194"/>
      <c r="I12" s="179">
        <v>6.0941748279999999</v>
      </c>
      <c r="J12" s="179">
        <v>-0.31653274700000011</v>
      </c>
      <c r="K12" s="179">
        <v>-1.4037297080000002</v>
      </c>
      <c r="L12" s="179">
        <v>-0.97340160000000009</v>
      </c>
      <c r="M12" s="179">
        <v>0.99597177999999997</v>
      </c>
      <c r="N12" s="179">
        <v>-2.0731538059999997</v>
      </c>
      <c r="O12" s="179">
        <v>3.3419550579999999</v>
      </c>
      <c r="P12" s="179">
        <v>-1.3807905800000002</v>
      </c>
      <c r="Q12" s="179">
        <v>-0.53146739599999981</v>
      </c>
      <c r="R12" s="179">
        <v>-0.80410659399999984</v>
      </c>
      <c r="S12" s="179">
        <v>-1.008220527</v>
      </c>
      <c r="T12" s="345">
        <v>-1.6733323200000003</v>
      </c>
      <c r="U12" s="70"/>
      <c r="V12" s="70">
        <v>3.7365746829999997</v>
      </c>
      <c r="W12" s="70">
        <v>1.1965875700000002</v>
      </c>
      <c r="X12" s="70">
        <v>-1.3374574269999999</v>
      </c>
      <c r="Y12" s="70">
        <v>-1.4611123150000001</v>
      </c>
      <c r="Z12" s="363"/>
      <c r="AA12" s="361"/>
      <c r="AB12" s="68"/>
      <c r="AC12" s="68"/>
      <c r="AD12" s="68"/>
      <c r="AE12" s="68"/>
      <c r="AF12" s="68"/>
    </row>
    <row r="13" spans="2:32" x14ac:dyDescent="0.3">
      <c r="B13" s="61" t="s">
        <v>732</v>
      </c>
      <c r="C13" s="141" t="s">
        <v>769</v>
      </c>
      <c r="D13" s="70">
        <f t="shared" si="3"/>
        <v>189.25677688099978</v>
      </c>
      <c r="E13" s="70">
        <f t="shared" si="4"/>
        <v>115.82288677000014</v>
      </c>
      <c r="F13" s="54">
        <f>+IFERROR(IF(E13&lt;0,-(D13/E13-1),(D13/E13-1)),0)</f>
        <v>0.63401882096777551</v>
      </c>
      <c r="G13" s="194"/>
      <c r="I13" s="179">
        <v>29.120944246999947</v>
      </c>
      <c r="J13" s="179">
        <v>58.535778487000016</v>
      </c>
      <c r="K13" s="179">
        <v>63.335540282999901</v>
      </c>
      <c r="L13" s="179">
        <v>38.264513863999909</v>
      </c>
      <c r="M13" s="179">
        <v>54.145096388000191</v>
      </c>
      <c r="N13" s="179">
        <v>1.3634963240000895</v>
      </c>
      <c r="O13" s="179">
        <v>18.239284078999905</v>
      </c>
      <c r="P13" s="179">
        <v>42.075009978999951</v>
      </c>
      <c r="Q13" s="179">
        <v>-62.535652681999935</v>
      </c>
      <c r="R13" s="179">
        <v>25.791265692000042</v>
      </c>
      <c r="S13" s="179">
        <v>43.309112566000117</v>
      </c>
      <c r="T13" s="345">
        <v>135.79449081100014</v>
      </c>
      <c r="U13" s="70"/>
      <c r="V13" s="70">
        <v>-53.717342570999918</v>
      </c>
      <c r="W13" s="70">
        <v>73.850513906000046</v>
      </c>
      <c r="X13" s="70">
        <v>57.891761620000473</v>
      </c>
      <c r="Y13" s="70">
        <v>74.88583217900036</v>
      </c>
      <c r="Z13" s="363"/>
      <c r="AA13" s="361"/>
      <c r="AB13" s="68"/>
      <c r="AC13" s="68"/>
      <c r="AD13" s="68"/>
      <c r="AE13" s="68"/>
      <c r="AF13" s="68"/>
    </row>
    <row r="14" spans="2:32" x14ac:dyDescent="0.3">
      <c r="B14" s="61" t="s">
        <v>173</v>
      </c>
      <c r="C14" s="141" t="s">
        <v>25</v>
      </c>
      <c r="D14" s="70">
        <f t="shared" si="3"/>
        <v>64.356387659999996</v>
      </c>
      <c r="E14" s="70">
        <f t="shared" si="4"/>
        <v>-9.2160660700000001</v>
      </c>
      <c r="F14" s="54">
        <f t="shared" ref="F14:F15" si="5">+IFERROR(IF(E14&lt;0,-(D14/E14-1),(D14/E14-1)),0)</f>
        <v>7.9830649185005242</v>
      </c>
      <c r="G14" s="194"/>
      <c r="I14" s="179">
        <v>25.417778158000001</v>
      </c>
      <c r="J14" s="179">
        <v>12.011954491999999</v>
      </c>
      <c r="K14" s="179">
        <v>12.981909321</v>
      </c>
      <c r="L14" s="179">
        <v>13.944745688999999</v>
      </c>
      <c r="M14" s="179">
        <v>-23.511843677000002</v>
      </c>
      <c r="N14" s="179">
        <v>0.31603337500000001</v>
      </c>
      <c r="O14" s="179">
        <v>4.2275306439999998</v>
      </c>
      <c r="P14" s="179">
        <v>9.752213588</v>
      </c>
      <c r="Q14" s="179">
        <v>-12.504168097000001</v>
      </c>
      <c r="R14" s="179">
        <v>1.3247385330000001</v>
      </c>
      <c r="S14" s="179">
        <v>9.2795915579999999</v>
      </c>
      <c r="T14" s="345">
        <v>35.059199518</v>
      </c>
      <c r="U14" s="70"/>
      <c r="V14" s="70">
        <v>-20.191076969521806</v>
      </c>
      <c r="W14" s="70">
        <v>17.943628583999999</v>
      </c>
      <c r="X14" s="70">
        <v>13.179629472</v>
      </c>
      <c r="Y14" s="70">
        <v>18.507927502000001</v>
      </c>
      <c r="Z14" s="363"/>
      <c r="AA14" s="361"/>
      <c r="AB14" s="68"/>
      <c r="AC14" s="68"/>
      <c r="AD14" s="68"/>
      <c r="AE14" s="68"/>
      <c r="AF14" s="68"/>
    </row>
    <row r="15" spans="2:32" x14ac:dyDescent="0.3">
      <c r="B15" s="366" t="s">
        <v>174</v>
      </c>
      <c r="C15" s="416" t="s">
        <v>26</v>
      </c>
      <c r="D15" s="70">
        <f t="shared" si="3"/>
        <v>124.90038922099977</v>
      </c>
      <c r="E15" s="70">
        <f t="shared" si="4"/>
        <v>125.03895284000014</v>
      </c>
      <c r="F15" s="181">
        <f t="shared" si="5"/>
        <v>-1.1081636230404479E-3</v>
      </c>
      <c r="G15" s="194"/>
      <c r="I15" s="180">
        <v>3.7031660889999465</v>
      </c>
      <c r="J15" s="180">
        <v>46.523823995000015</v>
      </c>
      <c r="K15" s="180">
        <v>50.353630961999897</v>
      </c>
      <c r="L15" s="180">
        <v>24.319768174999908</v>
      </c>
      <c r="M15" s="180">
        <v>77.656940065000185</v>
      </c>
      <c r="N15" s="180">
        <v>1.0474629490000895</v>
      </c>
      <c r="O15" s="180">
        <v>14.011753434999905</v>
      </c>
      <c r="P15" s="180">
        <v>32.322796390999954</v>
      </c>
      <c r="Q15" s="180">
        <v>-50.03148458499993</v>
      </c>
      <c r="R15" s="180">
        <v>24.466527159000041</v>
      </c>
      <c r="S15" s="180">
        <v>34.029521008000117</v>
      </c>
      <c r="T15" s="442">
        <v>100.73529129300015</v>
      </c>
      <c r="U15" s="70"/>
      <c r="V15" s="165">
        <v>-33.526265601478116</v>
      </c>
      <c r="W15" s="165">
        <v>55.906885322000051</v>
      </c>
      <c r="X15" s="165">
        <v>44.712132148000471</v>
      </c>
      <c r="Y15" s="165">
        <v>56.377904677000359</v>
      </c>
      <c r="Z15" s="363"/>
      <c r="AA15" s="363"/>
      <c r="AB15" s="68"/>
      <c r="AC15" s="68"/>
      <c r="AD15" s="68"/>
      <c r="AE15" s="68"/>
      <c r="AF15" s="68"/>
    </row>
    <row r="16" spans="2:32" x14ac:dyDescent="0.3">
      <c r="B16" s="367" t="s">
        <v>762</v>
      </c>
      <c r="C16" s="275" t="s">
        <v>762</v>
      </c>
      <c r="D16" s="229">
        <f>I16</f>
        <v>5.0062889689894148E-2</v>
      </c>
      <c r="E16" s="229">
        <f>M16</f>
        <v>4.4879040225568177E-2</v>
      </c>
      <c r="F16" s="230">
        <f>D16-E16</f>
        <v>5.1838494643259708E-3</v>
      </c>
      <c r="G16" s="204"/>
      <c r="I16" s="239">
        <f>SUM(I15:L15)/(SUM(I8,$M$8)/2)*(4/I5)</f>
        <v>5.0062889689894148E-2</v>
      </c>
      <c r="J16" s="239">
        <f>SUM(J15:L15)/(SUM(J8,$M$8)/2)*(4/J5)</f>
        <v>6.4184740873357043E-2</v>
      </c>
      <c r="K16" s="239">
        <f>SUM(K15:L15)/(SUM(K8,$M$8)/2)*(4/K5)</f>
        <v>5.945380666640214E-2</v>
      </c>
      <c r="L16" s="239">
        <f>SUM(L15)/(SUM(L8,$M$8)/2)*(4/L5)</f>
        <v>3.8756331140528774E-2</v>
      </c>
      <c r="M16" s="229">
        <f>SUM(M15:P15)/(SUM(M8,$Q$8)/2)*(4/M5)</f>
        <v>4.4879040225568177E-2</v>
      </c>
      <c r="N16" s="229">
        <f>SUM(N15:P15)/(SUM(N8,$Q$8)/2)*(4/N5)</f>
        <v>2.2774337651530172E-2</v>
      </c>
      <c r="O16" s="229">
        <f>SUM(O15:P15)/(SUM(O8,$Q$8)/2)*(4/O5)</f>
        <v>3.3413990745714967E-2</v>
      </c>
      <c r="P16" s="229">
        <f>SUM(P15)/(SUM(P8,$Q$8)/2)*(4/P5)</f>
        <v>4.4948157843983316E-2</v>
      </c>
      <c r="Q16" s="229">
        <f>(SUM(Q15:T15)/(SUM(Q8,$AB$8)/2)*(4/Q5))</f>
        <v>7.2341090408627073E-2</v>
      </c>
      <c r="R16" s="229">
        <f>(SUM(R15:T15)/(SUM(R8,$AB$8)/2)*(4/R5))</f>
        <v>0.14295537202379682</v>
      </c>
      <c r="S16" s="229">
        <f>(SUM(S15:U15)/(SUM(S8,$AB$8)/2)*(4/S5))</f>
        <v>0.1831887766762991</v>
      </c>
      <c r="T16" s="231">
        <f>SUM(T15)/(SUM(T8,$AB$8)/2)*(4/T5)</f>
        <v>0.2801869395128565</v>
      </c>
      <c r="U16" s="54"/>
      <c r="V16" s="229">
        <f>(SUM(V15:X15)/(SUM(V8+$Z$8)/2)*(4/V5))</f>
        <v>1.9782536021890264E-2</v>
      </c>
      <c r="W16" s="229">
        <f>(SUM(W15:Y15)/(SUM(W8+$Z$8)/2)*(4/W5))</f>
        <v>5.9921388614018814E-2</v>
      </c>
      <c r="X16" s="229">
        <f>(SUM(X15:Z15)/(SUM(X8+$Z$8)/2)*(4/X5))</f>
        <v>6.1274639134566065E-2</v>
      </c>
      <c r="Y16" s="229">
        <f>(SUM(Y15)/(SUM(Y8:$Z$8)/2)*(4/Y5))</f>
        <v>7.4601795264603046E-2</v>
      </c>
      <c r="Z16" s="363"/>
      <c r="AA16" s="363"/>
      <c r="AB16" s="68"/>
      <c r="AC16" s="68"/>
      <c r="AD16" s="68"/>
      <c r="AE16" s="68"/>
      <c r="AF16" s="68"/>
    </row>
    <row r="17" spans="2:32" x14ac:dyDescent="0.3">
      <c r="B17" s="83"/>
      <c r="C17" s="247"/>
      <c r="D17" s="359"/>
      <c r="E17" s="68"/>
      <c r="F17" s="606"/>
      <c r="G17" s="68"/>
      <c r="I17" s="182"/>
      <c r="J17" s="182"/>
      <c r="K17" s="182"/>
      <c r="L17" s="182"/>
      <c r="M17" s="182"/>
      <c r="N17" s="182"/>
      <c r="O17" s="182"/>
      <c r="P17" s="182"/>
      <c r="Q17" s="182"/>
      <c r="R17" s="182"/>
      <c r="S17" s="182"/>
      <c r="T17" s="449" t="s">
        <v>784</v>
      </c>
      <c r="U17" s="451"/>
      <c r="V17" s="607" t="s">
        <v>1943</v>
      </c>
      <c r="W17" s="608"/>
      <c r="X17" s="608"/>
      <c r="Y17" s="182"/>
      <c r="Z17" s="363"/>
      <c r="AA17" s="364"/>
      <c r="AB17" s="68"/>
      <c r="AC17" s="68"/>
      <c r="AD17" s="68"/>
      <c r="AE17" s="68"/>
      <c r="AF17" s="68"/>
    </row>
    <row r="18" spans="2:32" s="143" customFormat="1" x14ac:dyDescent="0.3">
      <c r="B18" s="80"/>
      <c r="D18" s="601"/>
      <c r="E18" s="601"/>
      <c r="F18" s="609"/>
      <c r="G18" s="182"/>
      <c r="H18" s="182"/>
      <c r="M18" s="778">
        <f>D23/M23-1</f>
        <v>-4.5076091473058133E-2</v>
      </c>
      <c r="Z18" s="361"/>
      <c r="AA18" s="363"/>
      <c r="AB18" s="182"/>
      <c r="AC18" s="182"/>
      <c r="AD18" s="182"/>
      <c r="AE18" s="182"/>
      <c r="AF18" s="182"/>
    </row>
    <row r="19" spans="2:32" s="143" customFormat="1" x14ac:dyDescent="0.3">
      <c r="B19" s="81" t="s">
        <v>176</v>
      </c>
      <c r="C19" s="343" t="s">
        <v>183</v>
      </c>
      <c r="D19" s="602">
        <f>D4</f>
        <v>2025</v>
      </c>
      <c r="E19" s="186">
        <f>E4</f>
        <v>2024</v>
      </c>
      <c r="F19" s="836" t="s">
        <v>32</v>
      </c>
      <c r="G19" s="182"/>
      <c r="H19" s="182"/>
      <c r="I19" s="805"/>
      <c r="J19" s="805"/>
      <c r="K19" s="839">
        <v>2025</v>
      </c>
      <c r="L19" s="840"/>
      <c r="M19" s="805"/>
      <c r="N19" s="490">
        <v>2024</v>
      </c>
      <c r="O19" s="490"/>
      <c r="P19" s="491"/>
      <c r="Q19" s="838">
        <v>2023</v>
      </c>
      <c r="R19" s="839"/>
      <c r="S19" s="839"/>
      <c r="T19" s="840"/>
      <c r="U19" s="431"/>
      <c r="V19" s="838">
        <v>2022</v>
      </c>
      <c r="W19" s="839"/>
      <c r="X19" s="839"/>
      <c r="Y19" s="840"/>
      <c r="Z19" s="361">
        <v>2021</v>
      </c>
      <c r="AA19" s="363"/>
      <c r="AB19" s="182"/>
      <c r="AC19" s="182"/>
      <c r="AD19" s="182"/>
      <c r="AE19" s="182"/>
      <c r="AF19" s="182"/>
    </row>
    <row r="20" spans="2:32" s="143" customFormat="1" x14ac:dyDescent="0.3">
      <c r="B20" s="82"/>
      <c r="C20" s="824"/>
      <c r="D20" s="825">
        <f>D5</f>
        <v>4</v>
      </c>
      <c r="E20" s="825">
        <f>E5</f>
        <v>4</v>
      </c>
      <c r="F20" s="837"/>
      <c r="G20" s="182"/>
      <c r="H20" s="182"/>
      <c r="I20" s="826">
        <v>4</v>
      </c>
      <c r="J20" s="826">
        <v>3</v>
      </c>
      <c r="K20" s="826">
        <v>2</v>
      </c>
      <c r="L20" s="826">
        <v>1</v>
      </c>
      <c r="M20" s="826">
        <v>4</v>
      </c>
      <c r="N20" s="826">
        <v>3</v>
      </c>
      <c r="O20" s="826">
        <v>2</v>
      </c>
      <c r="P20" s="826">
        <v>1</v>
      </c>
      <c r="Q20" s="826">
        <v>4</v>
      </c>
      <c r="R20" s="826">
        <v>3</v>
      </c>
      <c r="S20" s="826">
        <v>2</v>
      </c>
      <c r="T20" s="827">
        <v>1</v>
      </c>
      <c r="U20" s="432"/>
      <c r="V20" s="825">
        <v>4</v>
      </c>
      <c r="W20" s="825">
        <v>3</v>
      </c>
      <c r="X20" s="826">
        <v>2</v>
      </c>
      <c r="Y20" s="825">
        <v>1</v>
      </c>
      <c r="Z20" s="362" t="s">
        <v>1781</v>
      </c>
      <c r="AA20" s="363"/>
      <c r="AB20" s="182"/>
      <c r="AC20" s="182"/>
      <c r="AD20" s="182"/>
      <c r="AE20" s="182"/>
      <c r="AF20" s="182"/>
    </row>
    <row r="21" spans="2:32" x14ac:dyDescent="0.3">
      <c r="B21" s="61" t="s">
        <v>169</v>
      </c>
      <c r="C21" s="141" t="s">
        <v>21</v>
      </c>
      <c r="D21" s="70">
        <f>I21</f>
        <v>32920.825236135002</v>
      </c>
      <c r="E21" s="70">
        <f>M21</f>
        <v>32493.623714996003</v>
      </c>
      <c r="F21" s="54">
        <f>+IFERROR(IF(E21&lt;0,-(D21/E21-1),(D21/E21-1)),0)</f>
        <v>1.3147241590719894E-2</v>
      </c>
      <c r="G21" s="194"/>
      <c r="I21" s="179">
        <v>32920.825236135002</v>
      </c>
      <c r="J21" s="179">
        <v>33221.045823390996</v>
      </c>
      <c r="K21" s="179">
        <v>32262.7042989</v>
      </c>
      <c r="L21" s="179">
        <v>32292.184746393999</v>
      </c>
      <c r="M21" s="179">
        <v>32493.623714996003</v>
      </c>
      <c r="N21" s="179">
        <v>32311.033193067</v>
      </c>
      <c r="O21" s="179">
        <v>32269.310839189999</v>
      </c>
      <c r="P21" s="179">
        <v>32398.401335619001</v>
      </c>
      <c r="Q21" s="179">
        <v>33092.023489391999</v>
      </c>
      <c r="R21" s="179">
        <v>32212.292311460998</v>
      </c>
      <c r="S21" s="179">
        <v>33053.385020776004</v>
      </c>
      <c r="T21" s="345">
        <v>33188.803487748999</v>
      </c>
      <c r="U21" s="70"/>
      <c r="V21" s="70">
        <v>35041.5</v>
      </c>
      <c r="W21" s="70">
        <v>36745.351053259008</v>
      </c>
      <c r="X21" s="70">
        <v>36936.579402407995</v>
      </c>
      <c r="Y21" s="70">
        <v>38443.845910834003</v>
      </c>
      <c r="Z21" s="243"/>
      <c r="AA21" s="363"/>
      <c r="AB21" s="182"/>
      <c r="AC21" s="68"/>
      <c r="AD21" s="68"/>
      <c r="AE21" s="68"/>
      <c r="AF21" s="68"/>
    </row>
    <row r="22" spans="2:32" x14ac:dyDescent="0.3">
      <c r="B22" s="61" t="s">
        <v>170</v>
      </c>
      <c r="C22" s="141" t="s">
        <v>22</v>
      </c>
      <c r="D22" s="70">
        <f t="shared" ref="D22:D23" si="6">I22</f>
        <v>30472.730105477996</v>
      </c>
      <c r="E22" s="70">
        <f t="shared" ref="E22:E23" si="7">M22</f>
        <v>29929.969052255998</v>
      </c>
      <c r="F22" s="54">
        <f t="shared" ref="F22:F26" si="8">+IFERROR(IF(E22&lt;0,-(D22/E22-1),(D22/E22-1)),0)</f>
        <v>1.8134367338448198E-2</v>
      </c>
      <c r="G22" s="194"/>
      <c r="I22" s="179">
        <v>30472.730105477996</v>
      </c>
      <c r="J22" s="179">
        <v>30729.49758712</v>
      </c>
      <c r="K22" s="179">
        <v>29786.393658445999</v>
      </c>
      <c r="L22" s="179">
        <v>29814.765600619994</v>
      </c>
      <c r="M22" s="179">
        <v>29929.969052255998</v>
      </c>
      <c r="N22" s="179">
        <v>29777.861217911999</v>
      </c>
      <c r="O22" s="179">
        <v>29737.477163509</v>
      </c>
      <c r="P22" s="179">
        <v>29662.595469145999</v>
      </c>
      <c r="Q22" s="179">
        <v>30076.512345785999</v>
      </c>
      <c r="R22" s="179">
        <v>29198.963191710998</v>
      </c>
      <c r="S22" s="179">
        <v>30106.554593719993</v>
      </c>
      <c r="T22" s="345">
        <v>30322.635198181997</v>
      </c>
      <c r="U22" s="70"/>
      <c r="V22" s="70">
        <v>30954.6</v>
      </c>
      <c r="W22" s="70">
        <v>32490.388020507002</v>
      </c>
      <c r="X22" s="70">
        <v>33056.819334818909</v>
      </c>
      <c r="Y22" s="70">
        <v>35123.625701015801</v>
      </c>
      <c r="Z22" s="243"/>
      <c r="AA22" s="363"/>
      <c r="AB22" s="68"/>
      <c r="AC22" s="68"/>
      <c r="AD22" s="68"/>
      <c r="AE22" s="68"/>
      <c r="AF22" s="68"/>
    </row>
    <row r="23" spans="2:32" x14ac:dyDescent="0.3">
      <c r="B23" s="84" t="s">
        <v>171</v>
      </c>
      <c r="C23" s="68" t="s">
        <v>23</v>
      </c>
      <c r="D23" s="70">
        <f t="shared" si="6"/>
        <v>2448.095130657</v>
      </c>
      <c r="E23" s="70">
        <f t="shared" si="7"/>
        <v>2563.6546627400003</v>
      </c>
      <c r="F23" s="54">
        <f t="shared" si="8"/>
        <v>-4.5076091473058133E-2</v>
      </c>
      <c r="G23" s="194"/>
      <c r="I23" s="179">
        <v>2448.095130657</v>
      </c>
      <c r="J23" s="179">
        <v>2491.5482362710004</v>
      </c>
      <c r="K23" s="179">
        <v>2476.3106404539999</v>
      </c>
      <c r="L23" s="179">
        <v>2477.4191457739998</v>
      </c>
      <c r="M23" s="179">
        <v>2563.6546627400003</v>
      </c>
      <c r="N23" s="179">
        <v>2533.1719751549999</v>
      </c>
      <c r="O23" s="179">
        <v>2531.8336756809999</v>
      </c>
      <c r="P23" s="179">
        <v>2735.8058664730002</v>
      </c>
      <c r="Q23" s="179">
        <v>3015.5111436060001</v>
      </c>
      <c r="R23" s="179">
        <v>3013.3291197499998</v>
      </c>
      <c r="S23" s="179">
        <v>2946.8304270560002</v>
      </c>
      <c r="T23" s="345">
        <v>2866.1682895669996</v>
      </c>
      <c r="U23" s="70"/>
      <c r="V23" s="70">
        <v>4086.9469277290773</v>
      </c>
      <c r="W23" s="70">
        <v>4254.963032751999</v>
      </c>
      <c r="X23" s="70">
        <v>3879.7600675890981</v>
      </c>
      <c r="Y23" s="70">
        <v>3320.2202098182302</v>
      </c>
      <c r="Z23" s="763"/>
      <c r="AA23" s="363"/>
      <c r="AB23" s="68"/>
      <c r="AC23" s="68"/>
      <c r="AD23" s="68"/>
      <c r="AE23" s="68"/>
      <c r="AF23" s="68"/>
    </row>
    <row r="24" spans="2:32" x14ac:dyDescent="0.3">
      <c r="B24" s="365"/>
      <c r="C24" s="275"/>
      <c r="D24" s="825">
        <f>D20</f>
        <v>4</v>
      </c>
      <c r="E24" s="825">
        <f>E20</f>
        <v>4</v>
      </c>
      <c r="F24" s="486" t="s">
        <v>1780</v>
      </c>
      <c r="G24" s="603"/>
      <c r="I24" s="418"/>
      <c r="J24" s="418"/>
      <c r="K24" s="418"/>
      <c r="L24" s="418"/>
      <c r="M24" s="418"/>
      <c r="N24" s="418"/>
      <c r="O24" s="418"/>
      <c r="P24" s="418"/>
      <c r="Q24" s="418"/>
      <c r="R24" s="418"/>
      <c r="S24" s="418"/>
      <c r="T24" s="450"/>
      <c r="U24" s="451"/>
      <c r="V24" s="418"/>
      <c r="W24" s="418"/>
      <c r="X24" s="418"/>
      <c r="Y24" s="418"/>
      <c r="Z24" s="363"/>
      <c r="AA24" s="363"/>
      <c r="AB24" s="68"/>
      <c r="AC24" s="68"/>
      <c r="AD24" s="68"/>
      <c r="AE24" s="68"/>
      <c r="AF24" s="68"/>
    </row>
    <row r="25" spans="2:32" x14ac:dyDescent="0.3">
      <c r="B25" s="61" t="s">
        <v>1597</v>
      </c>
      <c r="C25" s="141" t="s">
        <v>1600</v>
      </c>
      <c r="D25" s="70">
        <f>SUM(I25:L25)</f>
        <v>77.004454913999894</v>
      </c>
      <c r="E25" s="70">
        <f>SUM(M25:P25)</f>
        <v>84.835760648000104</v>
      </c>
      <c r="F25" s="610">
        <f t="shared" si="8"/>
        <v>-9.2311375228823711E-2</v>
      </c>
      <c r="G25" s="611"/>
      <c r="I25" s="179">
        <v>-17.474328472000025</v>
      </c>
      <c r="J25" s="179">
        <v>26.371813761999988</v>
      </c>
      <c r="K25" s="179">
        <v>36.656361946999965</v>
      </c>
      <c r="L25" s="179">
        <v>31.450607676999965</v>
      </c>
      <c r="M25" s="179">
        <v>8.0693025650001005</v>
      </c>
      <c r="N25" s="179">
        <v>23.588146771999959</v>
      </c>
      <c r="O25" s="179">
        <v>52.578253490000037</v>
      </c>
      <c r="P25" s="179">
        <v>0.60005782100000715</v>
      </c>
      <c r="Q25" s="179">
        <v>0.60005782100000715</v>
      </c>
      <c r="R25" s="179">
        <v>12.29164484399999</v>
      </c>
      <c r="S25" s="179">
        <v>27.38110718599998</v>
      </c>
      <c r="T25" s="605">
        <v>24.494263397999987</v>
      </c>
      <c r="U25" s="70"/>
      <c r="V25" s="179">
        <v>11.251812728999994</v>
      </c>
      <c r="W25" s="179">
        <v>-2.9381433869999682</v>
      </c>
      <c r="X25" s="179">
        <v>18.081349561999986</v>
      </c>
      <c r="Y25" s="179">
        <v>17.28162835400002</v>
      </c>
      <c r="Z25" s="363"/>
      <c r="AA25" s="363"/>
      <c r="AB25" s="68"/>
      <c r="AC25" s="68"/>
      <c r="AD25" s="68"/>
      <c r="AE25" s="68"/>
      <c r="AF25" s="68"/>
    </row>
    <row r="26" spans="2:32" x14ac:dyDescent="0.3">
      <c r="B26" s="61" t="s">
        <v>1598</v>
      </c>
      <c r="C26" s="141" t="s">
        <v>1602</v>
      </c>
      <c r="D26" s="70">
        <f t="shared" ref="D26:D30" si="9">SUM(I26:L26)</f>
        <v>117.50718571900006</v>
      </c>
      <c r="E26" s="70">
        <f t="shared" ref="E26:E30" si="10">SUM(M26:P26)</f>
        <v>37.294733520000307</v>
      </c>
      <c r="F26" s="610">
        <f t="shared" si="8"/>
        <v>2.1507715601717243</v>
      </c>
      <c r="G26" s="611"/>
      <c r="I26" s="179">
        <v>45.818920075000051</v>
      </c>
      <c r="J26" s="179">
        <v>35.402674097000272</v>
      </c>
      <c r="K26" s="179">
        <v>28.38262972199982</v>
      </c>
      <c r="L26" s="179">
        <v>7.9029618249999203</v>
      </c>
      <c r="M26" s="179">
        <v>44.286761999000191</v>
      </c>
      <c r="N26" s="179">
        <v>-19.18850852199995</v>
      </c>
      <c r="O26" s="179">
        <v>-34.967610721000028</v>
      </c>
      <c r="P26" s="179">
        <v>47.164090764000093</v>
      </c>
      <c r="Q26" s="179">
        <v>47.164090764000093</v>
      </c>
      <c r="R26" s="179">
        <v>-3.1130650479999531</v>
      </c>
      <c r="S26" s="179">
        <v>25.804546111000036</v>
      </c>
      <c r="T26" s="193">
        <v>115.64915394299987</v>
      </c>
      <c r="U26" s="70"/>
      <c r="V26" s="179">
        <v>-65.481568204999945</v>
      </c>
      <c r="W26" s="179">
        <v>82.575642821999963</v>
      </c>
      <c r="X26" s="179">
        <v>41.650388440000143</v>
      </c>
      <c r="Y26" s="179">
        <v>59.972617429000138</v>
      </c>
      <c r="Z26" s="363"/>
      <c r="AA26" s="363"/>
      <c r="AB26" s="68"/>
      <c r="AC26" s="68"/>
      <c r="AD26" s="68"/>
      <c r="AE26" s="68"/>
      <c r="AF26" s="68"/>
    </row>
    <row r="27" spans="2:32" x14ac:dyDescent="0.3">
      <c r="B27" s="61" t="s">
        <v>172</v>
      </c>
      <c r="C27" s="141" t="s">
        <v>24</v>
      </c>
      <c r="D27" s="70">
        <f t="shared" si="9"/>
        <v>4.197919636</v>
      </c>
      <c r="E27" s="70">
        <f t="shared" si="10"/>
        <v>1.0014912090000005</v>
      </c>
      <c r="F27" s="610">
        <f>+IFERROR(IF(E27&lt;0,-(D27/E27-1),(D27/E27-1)),0)</f>
        <v>3.1916689814897792</v>
      </c>
      <c r="G27" s="611"/>
      <c r="I27" s="179">
        <v>6.544064229</v>
      </c>
      <c r="J27" s="179">
        <v>-7.1592623999999994E-2</v>
      </c>
      <c r="K27" s="179">
        <v>-1.2866364219999997</v>
      </c>
      <c r="L27" s="179">
        <v>-0.98791554700000006</v>
      </c>
      <c r="M27" s="179">
        <v>0.99295030800000106</v>
      </c>
      <c r="N27" s="179">
        <v>-2.0881124390000005</v>
      </c>
      <c r="O27" s="179">
        <v>3.4873948819999998</v>
      </c>
      <c r="P27" s="179">
        <v>-1.3907415419999998</v>
      </c>
      <c r="Q27" s="179">
        <v>-4.1530448309999999</v>
      </c>
      <c r="R27" s="179">
        <v>54.4</v>
      </c>
      <c r="S27" s="179">
        <v>-0.85692420600000041</v>
      </c>
      <c r="T27" s="193">
        <v>-1.658734124</v>
      </c>
      <c r="U27" s="70"/>
      <c r="V27" s="179">
        <v>3.6548169699999997</v>
      </c>
      <c r="W27" s="179">
        <v>1.209645219</v>
      </c>
      <c r="X27" s="179">
        <v>-1.4630998769999997</v>
      </c>
      <c r="Y27" s="179">
        <v>-1.2601204860000002</v>
      </c>
      <c r="Z27" s="363"/>
      <c r="AA27" s="363"/>
      <c r="AB27" s="68"/>
      <c r="AC27" s="68"/>
      <c r="AD27" s="68"/>
      <c r="AE27" s="68"/>
      <c r="AF27" s="68"/>
    </row>
    <row r="28" spans="2:32" x14ac:dyDescent="0.3">
      <c r="B28" s="61" t="s">
        <v>732</v>
      </c>
      <c r="C28" s="141" t="s">
        <v>769</v>
      </c>
      <c r="D28" s="70">
        <f t="shared" si="9"/>
        <v>198.70956026899998</v>
      </c>
      <c r="E28" s="70">
        <f t="shared" si="10"/>
        <v>123.13198537700042</v>
      </c>
      <c r="F28" s="610">
        <f>+IFERROR(IF(E28&lt;0,-(D28/E28-1),(D28/E28-1)),0)</f>
        <v>0.61379319646799546</v>
      </c>
      <c r="G28" s="611"/>
      <c r="I28" s="179">
        <v>34.888655832000026</v>
      </c>
      <c r="J28" s="179">
        <v>61.702895235000263</v>
      </c>
      <c r="K28" s="179">
        <v>63.752355246999784</v>
      </c>
      <c r="L28" s="179">
        <v>38.365653954999885</v>
      </c>
      <c r="M28" s="179">
        <v>53.349014872000296</v>
      </c>
      <c r="N28" s="179">
        <v>2.311525811000009</v>
      </c>
      <c r="O28" s="179">
        <v>21.098037651000009</v>
      </c>
      <c r="P28" s="179">
        <v>46.3734070430001</v>
      </c>
      <c r="Q28" s="179">
        <v>144.57265386999995</v>
      </c>
      <c r="R28" s="179">
        <v>63.572180134000007</v>
      </c>
      <c r="S28" s="179">
        <v>52.328729091000042</v>
      </c>
      <c r="T28" s="193">
        <v>138.4846832169998</v>
      </c>
      <c r="U28" s="70"/>
      <c r="V28" s="179">
        <v>-50.574938505999953</v>
      </c>
      <c r="W28" s="179">
        <v>80.847144653999877</v>
      </c>
      <c r="X28" s="179">
        <v>58.268638125000159</v>
      </c>
      <c r="Y28" s="179">
        <v>75.99412529700021</v>
      </c>
      <c r="Z28" s="68"/>
      <c r="AA28" s="359"/>
      <c r="AB28" s="68"/>
      <c r="AC28" s="68"/>
      <c r="AD28" s="68"/>
      <c r="AE28" s="68"/>
      <c r="AF28" s="68"/>
    </row>
    <row r="29" spans="2:32" x14ac:dyDescent="0.3">
      <c r="B29" s="61" t="s">
        <v>173</v>
      </c>
      <c r="C29" s="141" t="s">
        <v>25</v>
      </c>
      <c r="D29" s="70">
        <f t="shared" si="9"/>
        <v>67.933128729000003</v>
      </c>
      <c r="E29" s="70">
        <f t="shared" si="10"/>
        <v>-12.982884933999999</v>
      </c>
      <c r="F29" s="610">
        <f t="shared" ref="F29:F35" si="11">+IFERROR(IF(E29&lt;0,-(D29/E29-1),(D29/E29-1)),0)</f>
        <v>6.2325141195000908</v>
      </c>
      <c r="G29" s="611"/>
      <c r="I29" s="179">
        <v>29.343459691</v>
      </c>
      <c r="J29" s="179">
        <v>11.94690289</v>
      </c>
      <c r="K29" s="179">
        <v>13.060190281000001</v>
      </c>
      <c r="L29" s="179">
        <v>13.582575866999999</v>
      </c>
      <c r="M29" s="179">
        <v>-27.697249376000002</v>
      </c>
      <c r="N29" s="179">
        <v>0.50945687700000164</v>
      </c>
      <c r="O29" s="179">
        <v>4.3466109829999997</v>
      </c>
      <c r="P29" s="179">
        <v>9.8582965819999995</v>
      </c>
      <c r="Q29" s="179">
        <v>43.167939345000001</v>
      </c>
      <c r="R29" s="179">
        <v>3.1808692399999998</v>
      </c>
      <c r="S29" s="179">
        <v>6.9935997070000013</v>
      </c>
      <c r="T29" s="193">
        <v>35.904757408999998</v>
      </c>
      <c r="U29" s="70"/>
      <c r="V29" s="179">
        <v>-25.927836741521805</v>
      </c>
      <c r="W29" s="179">
        <v>30.891043391</v>
      </c>
      <c r="X29" s="179">
        <v>13.104665572000002</v>
      </c>
      <c r="Y29" s="179">
        <v>21.651948097999998</v>
      </c>
      <c r="Z29" s="68"/>
      <c r="AB29" s="68"/>
      <c r="AC29" s="68"/>
      <c r="AD29" s="68"/>
      <c r="AE29" s="68"/>
      <c r="AF29" s="68"/>
    </row>
    <row r="30" spans="2:32" x14ac:dyDescent="0.3">
      <c r="B30" s="366" t="s">
        <v>174</v>
      </c>
      <c r="C30" s="416" t="s">
        <v>26</v>
      </c>
      <c r="D30" s="70">
        <f t="shared" si="9"/>
        <v>130.77643153999995</v>
      </c>
      <c r="E30" s="70">
        <f t="shared" si="10"/>
        <v>136.1148703110004</v>
      </c>
      <c r="F30" s="612">
        <f t="shared" si="11"/>
        <v>-3.9220099602659042E-2</v>
      </c>
      <c r="G30" s="611"/>
      <c r="I30" s="179">
        <v>5.5451961410000266</v>
      </c>
      <c r="J30" s="179">
        <v>49.755992345000266</v>
      </c>
      <c r="K30" s="179">
        <v>50.69216496599978</v>
      </c>
      <c r="L30" s="179">
        <v>24.783078087999886</v>
      </c>
      <c r="M30" s="179">
        <v>81.046264248000298</v>
      </c>
      <c r="N30" s="179">
        <v>1.8020689340000073</v>
      </c>
      <c r="O30" s="179">
        <v>16.751426668000008</v>
      </c>
      <c r="P30" s="179">
        <v>36.515110461000098</v>
      </c>
      <c r="Q30" s="179">
        <v>101.40471452499995</v>
      </c>
      <c r="R30" s="179">
        <v>60.391310894000007</v>
      </c>
      <c r="S30" s="179">
        <v>45.335129384000041</v>
      </c>
      <c r="T30" s="193">
        <v>102.5799258079998</v>
      </c>
      <c r="U30" s="70"/>
      <c r="V30" s="179">
        <v>-24.647101764478148</v>
      </c>
      <c r="W30" s="179">
        <v>49.95610126299988</v>
      </c>
      <c r="X30" s="179">
        <v>45.163972553000157</v>
      </c>
      <c r="Y30" s="179">
        <v>54.342177199000211</v>
      </c>
      <c r="Z30" s="68"/>
      <c r="AA30" s="760"/>
      <c r="AB30" s="759"/>
      <c r="AC30" s="194"/>
      <c r="AD30" s="68"/>
      <c r="AE30" s="68"/>
      <c r="AF30" s="68"/>
    </row>
    <row r="31" spans="2:32" x14ac:dyDescent="0.3">
      <c r="B31" s="367" t="s">
        <v>762</v>
      </c>
      <c r="C31" s="275" t="s">
        <v>762</v>
      </c>
      <c r="D31" s="229">
        <f>I31</f>
        <v>5.2187933129582163E-2</v>
      </c>
      <c r="E31" s="229">
        <f>M31</f>
        <v>4.8793986425776086E-2</v>
      </c>
      <c r="F31" s="230">
        <f>D31-E31</f>
        <v>3.3939467038060778E-3</v>
      </c>
      <c r="G31" s="204"/>
      <c r="I31" s="239">
        <f>SUM(I30:L30)/(SUM(I23,M23)/2)*(4/I20)</f>
        <v>5.2187933129582163E-2</v>
      </c>
      <c r="J31" s="239">
        <f>SUM(J30:L30)/(SUM(J23,M23)/2)*(4/J20)</f>
        <v>6.6060644396555013E-2</v>
      </c>
      <c r="K31" s="239">
        <f>SUM(K30:L30)/(SUM(K23,M23)/2)*(4/K20)</f>
        <v>5.9901398929209614E-2</v>
      </c>
      <c r="L31" s="239">
        <f>SUM(L30)/(SUM(L23,M23)/2)*(4/L20)</f>
        <v>3.932983968001913E-2</v>
      </c>
      <c r="M31" s="239">
        <f>SUM(M30:P30)/(SUM(M23,Q23)/2)*(4/M20)</f>
        <v>4.8793986425776086E-2</v>
      </c>
      <c r="N31" s="239">
        <f>SUM(N30:P30)/(SUM(N23,Q23)/2)*(4/N20)</f>
        <v>2.646566996617231E-2</v>
      </c>
      <c r="O31" s="239">
        <f>SUM(O30:P30)/(SUM(O23,Q23)/2)*(4/O20)</f>
        <v>3.8408672158833965E-2</v>
      </c>
      <c r="P31" s="239">
        <f>SUM(P30)/(SUM(P23,Q23)/2)*(4/P20)</f>
        <v>5.0791998280753474E-2</v>
      </c>
      <c r="Q31" s="239">
        <f>SUM(Q30:T30)/(SUM(Q23,$AB$23)/2)*(4/Q20)</f>
        <v>0.20541199542087712</v>
      </c>
      <c r="R31" s="239">
        <f>SUM(R30:T30)/(SUM(R23,$AB$23)/2)*(4/R20)</f>
        <v>0.18434217465833441</v>
      </c>
      <c r="S31" s="232">
        <f>SUM(S30:T30)/(SUM(S23,$AB$23)/2)*(4/S20)</f>
        <v>0.20077850945739395</v>
      </c>
      <c r="T31" s="232">
        <f>SUM(T30)/(SUM(T23,$AB$23)/2)*(4/T20)</f>
        <v>0.28631933772038726</v>
      </c>
      <c r="U31" s="54"/>
      <c r="V31" s="229">
        <f>SUM(V30:X30)/(SUM(V23,$Z$23)/2)*(4/V20)</f>
        <v>3.4486854514002893E-2</v>
      </c>
      <c r="W31" s="229">
        <f>SUM(W30:Y30)/(SUM(W23,$Z$23)/2)*(4/W20)</f>
        <v>9.367084969687392E-2</v>
      </c>
      <c r="X31" s="229">
        <f>SUM(X30:Y30)/(SUM(X23,Z23)/2)*(4/X20)</f>
        <v>0.10259000352445401</v>
      </c>
      <c r="Y31" s="229">
        <f>SUM(Y30)/(SUM(Y23:$Z$23)/2)*(4/Y20)</f>
        <v>0.13093632052068074</v>
      </c>
      <c r="Z31" s="68"/>
      <c r="AB31" s="68"/>
      <c r="AC31" s="68"/>
      <c r="AD31" s="68"/>
      <c r="AE31" s="68"/>
      <c r="AF31" s="68"/>
    </row>
    <row r="32" spans="2:32" x14ac:dyDescent="0.3">
      <c r="B32" s="84"/>
      <c r="C32" s="68"/>
      <c r="D32" s="825" t="s">
        <v>1974</v>
      </c>
      <c r="E32" s="825" t="s">
        <v>1944</v>
      </c>
      <c r="F32" s="613" t="s">
        <v>1779</v>
      </c>
      <c r="G32" s="614"/>
      <c r="H32" s="416"/>
      <c r="I32" s="826">
        <f t="shared" ref="I32:J32" si="12">I20</f>
        <v>4</v>
      </c>
      <c r="J32" s="826">
        <f t="shared" si="12"/>
        <v>3</v>
      </c>
      <c r="K32" s="826">
        <f t="shared" ref="K32:P32" si="13">K20</f>
        <v>2</v>
      </c>
      <c r="L32" s="826">
        <f t="shared" si="13"/>
        <v>1</v>
      </c>
      <c r="M32" s="826">
        <f t="shared" si="13"/>
        <v>4</v>
      </c>
      <c r="N32" s="826">
        <f t="shared" si="13"/>
        <v>3</v>
      </c>
      <c r="O32" s="826">
        <f t="shared" si="13"/>
        <v>2</v>
      </c>
      <c r="P32" s="826">
        <f t="shared" si="13"/>
        <v>1</v>
      </c>
      <c r="Q32" s="826">
        <v>4</v>
      </c>
      <c r="R32" s="826">
        <v>3</v>
      </c>
      <c r="S32" s="826">
        <v>2</v>
      </c>
      <c r="T32" s="826">
        <v>1</v>
      </c>
      <c r="U32" s="826"/>
      <c r="V32" s="826">
        <v>4</v>
      </c>
      <c r="W32" s="826">
        <v>3</v>
      </c>
      <c r="X32" s="826">
        <v>2</v>
      </c>
      <c r="Y32" s="826">
        <v>1</v>
      </c>
      <c r="Z32" s="68"/>
      <c r="AA32" s="341"/>
      <c r="AB32" s="68"/>
      <c r="AC32" s="68"/>
      <c r="AD32" s="68"/>
      <c r="AE32" s="68"/>
      <c r="AF32" s="68"/>
    </row>
    <row r="33" spans="2:32" x14ac:dyDescent="0.3">
      <c r="B33" s="83" t="s">
        <v>1289</v>
      </c>
      <c r="C33" s="606" t="s">
        <v>1295</v>
      </c>
      <c r="D33" s="54">
        <f>D34/D35</f>
        <v>1.7788359788359787</v>
      </c>
      <c r="E33" s="54">
        <f>E34/E35</f>
        <v>1.9239451886728798</v>
      </c>
      <c r="F33" s="200">
        <f>D33-E33</f>
        <v>-0.14510920983690112</v>
      </c>
      <c r="G33" s="204"/>
      <c r="I33" s="199">
        <f t="shared" ref="I33:J33" si="14">I34/I35</f>
        <v>1.7788359788359787</v>
      </c>
      <c r="J33" s="199">
        <f t="shared" si="14"/>
        <v>1.8297501836561973</v>
      </c>
      <c r="K33" s="199">
        <f>K34/K35</f>
        <v>1.8349775207859114</v>
      </c>
      <c r="L33" s="199">
        <f t="shared" ref="L33:Q33" si="15">L34/L35</f>
        <v>1.8327744205009586</v>
      </c>
      <c r="M33" s="199">
        <f t="shared" si="15"/>
        <v>1.9239451886728798</v>
      </c>
      <c r="N33" s="199">
        <f t="shared" si="15"/>
        <v>1.9378836313041006</v>
      </c>
      <c r="O33" s="199">
        <f t="shared" si="15"/>
        <v>1.9798853045348297</v>
      </c>
      <c r="P33" s="199">
        <f t="shared" si="15"/>
        <v>2.0716063003594321</v>
      </c>
      <c r="Q33" s="199">
        <f t="shared" si="15"/>
        <v>2.1124456874933015</v>
      </c>
      <c r="R33" s="199">
        <v>2.0544752920348275</v>
      </c>
      <c r="S33" s="199">
        <v>2.0971471352401307</v>
      </c>
      <c r="T33" s="198">
        <v>2.1837033687977252</v>
      </c>
      <c r="U33" s="54"/>
      <c r="V33" s="196">
        <f t="shared" ref="V33" si="16">V34/V35</f>
        <v>1.9152245360171796</v>
      </c>
      <c r="W33" s="196">
        <f t="shared" ref="W33:Y33" si="17">W34/W35</f>
        <v>1.8340132649937988</v>
      </c>
      <c r="X33" s="196">
        <f t="shared" ref="X33" si="18">X34/X35</f>
        <v>1.8646034002165055</v>
      </c>
      <c r="Y33" s="196">
        <f t="shared" si="17"/>
        <v>1.814108197654519</v>
      </c>
      <c r="Z33" s="68"/>
      <c r="AB33" s="761"/>
      <c r="AC33" s="194"/>
      <c r="AD33" s="68"/>
      <c r="AE33" s="68"/>
      <c r="AF33" s="68"/>
    </row>
    <row r="34" spans="2:32" x14ac:dyDescent="0.3">
      <c r="B34" s="245" t="s">
        <v>175</v>
      </c>
      <c r="C34" s="371" t="s">
        <v>19</v>
      </c>
      <c r="D34" s="70">
        <f>I34</f>
        <v>3698.2</v>
      </c>
      <c r="E34" s="70">
        <f>M34</f>
        <v>3579.6383908273901</v>
      </c>
      <c r="F34" s="54">
        <f t="shared" si="11"/>
        <v>3.3121113427662552E-2</v>
      </c>
      <c r="G34" s="194"/>
      <c r="I34" s="179">
        <v>3698.2</v>
      </c>
      <c r="J34" s="179">
        <v>3666.9416160318601</v>
      </c>
      <c r="K34" s="179">
        <v>3548.5268448342299</v>
      </c>
      <c r="L34" s="179">
        <v>3451.1217669956068</v>
      </c>
      <c r="M34" s="179">
        <v>3579.6383908273901</v>
      </c>
      <c r="N34" s="179">
        <v>3408.5465151909693</v>
      </c>
      <c r="O34" s="179">
        <v>3451.9017386341302</v>
      </c>
      <c r="P34" s="179">
        <v>3604.7088602514559</v>
      </c>
      <c r="Q34" s="179">
        <v>3815.5942519600299</v>
      </c>
      <c r="R34" s="179">
        <v>4086.10277911808</v>
      </c>
      <c r="S34" s="179">
        <v>4097.0541034142398</v>
      </c>
      <c r="T34" s="345">
        <v>4047.4460481359279</v>
      </c>
      <c r="U34" s="70"/>
      <c r="V34" s="70">
        <v>3590.1156617574402</v>
      </c>
      <c r="W34" s="70">
        <v>1933.4663968907066</v>
      </c>
      <c r="X34" s="70">
        <v>1983.63689588445</v>
      </c>
      <c r="Y34" s="70">
        <v>1956.2716179300012</v>
      </c>
      <c r="Z34" s="68"/>
      <c r="AB34" s="68"/>
      <c r="AC34" s="68"/>
      <c r="AD34" s="68"/>
      <c r="AE34" s="68"/>
      <c r="AF34" s="68"/>
    </row>
    <row r="35" spans="2:32" x14ac:dyDescent="0.3">
      <c r="B35" s="87" t="s">
        <v>135</v>
      </c>
      <c r="C35" s="422" t="s">
        <v>20</v>
      </c>
      <c r="D35" s="165">
        <f>I35</f>
        <v>2079</v>
      </c>
      <c r="E35" s="165">
        <f>M35</f>
        <v>1860.5719185257001</v>
      </c>
      <c r="F35" s="181">
        <f t="shared" si="11"/>
        <v>0.11739835439813606</v>
      </c>
      <c r="G35" s="194"/>
      <c r="I35" s="180">
        <v>2079</v>
      </c>
      <c r="J35" s="180">
        <v>2004.06681129803</v>
      </c>
      <c r="K35" s="180">
        <v>1933.8257851324599</v>
      </c>
      <c r="L35" s="180">
        <v>1883.004110267045</v>
      </c>
      <c r="M35" s="180">
        <v>1860.5719185257001</v>
      </c>
      <c r="N35" s="180">
        <v>1758.9015460630033</v>
      </c>
      <c r="O35" s="180">
        <v>1743.48571138324</v>
      </c>
      <c r="P35" s="180">
        <v>1740.054980343526</v>
      </c>
      <c r="Q35" s="180">
        <v>1806.2449011353001</v>
      </c>
      <c r="R35" s="180">
        <v>1998.6711008842101</v>
      </c>
      <c r="S35" s="180">
        <v>1953.6321675136601</v>
      </c>
      <c r="T35" s="442">
        <v>1853.4779521654161</v>
      </c>
      <c r="U35" s="70"/>
      <c r="V35" s="165">
        <v>1874.5142380137286</v>
      </c>
      <c r="W35" s="165">
        <v>1054.2270515678326</v>
      </c>
      <c r="X35" s="165">
        <v>1063.83850616926</v>
      </c>
      <c r="Y35" s="165">
        <v>1078.3654582782256</v>
      </c>
    </row>
    <row r="36" spans="2:32" x14ac:dyDescent="0.3">
      <c r="B36" s="77"/>
      <c r="C36" s="203"/>
      <c r="D36" s="835">
        <f>D28-E28</f>
        <v>75.577574891999561</v>
      </c>
      <c r="E36" s="835"/>
      <c r="F36" s="779"/>
      <c r="G36" s="779"/>
      <c r="H36" s="777"/>
      <c r="I36" s="779">
        <f>I33-J33</f>
        <v>-5.0914204820218689E-2</v>
      </c>
      <c r="J36" s="779">
        <f>J33-K33</f>
        <v>-5.2273371297140159E-3</v>
      </c>
      <c r="K36" s="194"/>
      <c r="L36" s="193"/>
      <c r="M36" s="193"/>
      <c r="N36" s="193"/>
      <c r="O36" s="193"/>
      <c r="P36" s="193"/>
      <c r="Q36" s="193"/>
      <c r="R36" s="193"/>
      <c r="S36" s="193"/>
      <c r="T36" s="449" t="s">
        <v>784</v>
      </c>
      <c r="U36" s="451"/>
      <c r="V36" s="615" t="s">
        <v>1943</v>
      </c>
      <c r="W36" s="616"/>
      <c r="X36" s="616"/>
      <c r="Y36" s="193"/>
    </row>
    <row r="37" spans="2:32" x14ac:dyDescent="0.3">
      <c r="B37" s="370" t="s">
        <v>1776</v>
      </c>
      <c r="C37" s="68"/>
      <c r="D37" s="427"/>
      <c r="E37" s="68"/>
      <c r="F37" s="68"/>
      <c r="G37" s="68"/>
      <c r="I37" s="342"/>
      <c r="J37" s="342"/>
      <c r="K37" s="342"/>
      <c r="L37" s="342"/>
      <c r="M37" s="342"/>
      <c r="N37" s="342"/>
      <c r="O37" s="342"/>
      <c r="S37" s="342"/>
    </row>
    <row r="38" spans="2:32" x14ac:dyDescent="0.3">
      <c r="B38" s="267" t="s">
        <v>1777</v>
      </c>
      <c r="C38" s="68"/>
      <c r="D38" s="427"/>
      <c r="E38" s="68"/>
      <c r="F38" s="68"/>
      <c r="G38" s="68"/>
      <c r="O38" s="762"/>
      <c r="P38" s="68"/>
      <c r="Q38" s="194"/>
      <c r="S38" s="342"/>
    </row>
    <row r="39" spans="2:32" x14ac:dyDescent="0.3">
      <c r="C39" s="68"/>
      <c r="D39" s="427"/>
      <c r="E39" s="68"/>
      <c r="H39" s="141"/>
    </row>
    <row r="40" spans="2:32" x14ac:dyDescent="0.3">
      <c r="B40" s="141"/>
      <c r="Q40" s="617"/>
    </row>
    <row r="41" spans="2:32" x14ac:dyDescent="0.3">
      <c r="C41" s="68"/>
      <c r="D41" s="68"/>
      <c r="E41" s="68"/>
      <c r="F41" s="68"/>
      <c r="G41" s="68"/>
    </row>
    <row r="42" spans="2:32" x14ac:dyDescent="0.3">
      <c r="C42" s="68"/>
      <c r="D42" s="68"/>
      <c r="E42" s="68"/>
      <c r="F42" s="68"/>
      <c r="G42" s="68"/>
    </row>
    <row r="43" spans="2:32" x14ac:dyDescent="0.3">
      <c r="C43" s="68"/>
      <c r="D43" s="68"/>
      <c r="E43" s="68"/>
      <c r="F43" s="68"/>
      <c r="G43" s="68"/>
      <c r="R43" s="294"/>
    </row>
    <row r="44" spans="2:32" x14ac:dyDescent="0.3">
      <c r="C44" s="68"/>
      <c r="D44" s="68"/>
      <c r="E44" s="68"/>
      <c r="F44" s="68"/>
      <c r="G44" s="68"/>
    </row>
    <row r="45" spans="2:32" x14ac:dyDescent="0.3">
      <c r="C45" s="68"/>
      <c r="D45" s="68"/>
      <c r="E45" s="68"/>
      <c r="F45" s="68"/>
      <c r="G45" s="68"/>
    </row>
    <row r="46" spans="2:32" x14ac:dyDescent="0.3">
      <c r="C46" s="68"/>
      <c r="D46" s="68"/>
      <c r="E46" s="68"/>
      <c r="F46" s="68"/>
      <c r="G46" s="68"/>
    </row>
    <row r="47" spans="2:32" x14ac:dyDescent="0.3">
      <c r="C47" s="68"/>
      <c r="D47" s="68"/>
      <c r="E47" s="68"/>
      <c r="F47" s="68"/>
      <c r="G47" s="68"/>
    </row>
    <row r="48" spans="2:32" x14ac:dyDescent="0.3">
      <c r="B48" s="78"/>
    </row>
    <row r="49" spans="2:17" x14ac:dyDescent="0.3">
      <c r="B49" s="89"/>
    </row>
    <row r="50" spans="2:17" x14ac:dyDescent="0.3">
      <c r="B50" s="89"/>
    </row>
    <row r="51" spans="2:17" x14ac:dyDescent="0.3">
      <c r="B51" s="89"/>
    </row>
    <row r="52" spans="2:17" x14ac:dyDescent="0.3">
      <c r="B52" s="89"/>
    </row>
    <row r="53" spans="2:17" x14ac:dyDescent="0.3">
      <c r="B53" s="89"/>
    </row>
    <row r="54" spans="2:17" x14ac:dyDescent="0.3">
      <c r="B54" s="89"/>
    </row>
    <row r="56" spans="2:17" x14ac:dyDescent="0.3">
      <c r="B56" s="78"/>
    </row>
    <row r="57" spans="2:17" x14ac:dyDescent="0.3">
      <c r="B57" s="78"/>
    </row>
    <row r="58" spans="2:17" x14ac:dyDescent="0.3">
      <c r="B58" s="78"/>
    </row>
    <row r="60" spans="2:17" x14ac:dyDescent="0.3">
      <c r="I60" s="270"/>
      <c r="J60" s="270"/>
      <c r="K60" s="270"/>
      <c r="L60" s="270"/>
      <c r="M60" s="270"/>
      <c r="N60" s="270"/>
      <c r="O60" s="270"/>
      <c r="P60" s="270"/>
      <c r="Q60" s="270"/>
    </row>
    <row r="61" spans="2:17" x14ac:dyDescent="0.3">
      <c r="I61" s="270"/>
      <c r="J61" s="270"/>
      <c r="K61" s="270"/>
      <c r="L61" s="270"/>
      <c r="M61" s="270"/>
      <c r="N61" s="270"/>
      <c r="O61" s="270"/>
      <c r="P61" s="270"/>
      <c r="Q61" s="270"/>
    </row>
  </sheetData>
  <mergeCells count="8">
    <mergeCell ref="F4:F5"/>
    <mergeCell ref="F19:F20"/>
    <mergeCell ref="V4:Y4"/>
    <mergeCell ref="V19:Y19"/>
    <mergeCell ref="Q4:T4"/>
    <mergeCell ref="Q19:T19"/>
    <mergeCell ref="K19:L19"/>
    <mergeCell ref="I4:L4"/>
  </mergeCells>
  <phoneticPr fontId="1" type="noConversion"/>
  <pageMargins left="0.23622047244094491" right="0.23622047244094491" top="0.78740157480314965" bottom="0.23622047244094491" header="0.31496062992125984" footer="0.31496062992125984"/>
  <pageSetup paperSize="9" scale="82" orientation="landscape" r:id="rId1"/>
  <ignoredErrors>
    <ignoredError sqref="Y31" formulaRange="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B1:BA42"/>
  <sheetViews>
    <sheetView showGridLines="0" view="pageBreakPreview" zoomScale="80" zoomScaleNormal="100" zoomScaleSheetLayoutView="80" workbookViewId="0">
      <pane xSplit="5" ySplit="5" topLeftCell="F6" activePane="bottomRight" state="frozen"/>
      <selection activeCell="G47" sqref="G47"/>
      <selection pane="topRight" activeCell="G47" sqref="G47"/>
      <selection pane="bottomLeft" activeCell="G47" sqref="G47"/>
      <selection pane="bottomRight" activeCell="G47" sqref="G47"/>
    </sheetView>
  </sheetViews>
  <sheetFormatPr defaultRowHeight="16.5" outlineLevelCol="3" x14ac:dyDescent="0.3"/>
  <cols>
    <col min="1" max="1" width="5" style="141" customWidth="1"/>
    <col min="2" max="2" width="33.625" style="61" customWidth="1"/>
    <col min="3" max="3" width="46.375" style="141" bestFit="1" customWidth="1"/>
    <col min="4" max="6" width="10" style="141" customWidth="1"/>
    <col min="7" max="7" width="1.625" style="141" customWidth="1"/>
    <col min="8" max="8" width="1.625" style="68" hidden="1" customWidth="1" outlineLevel="1"/>
    <col min="9" max="16" width="10" style="68" hidden="1" customWidth="1" outlineLevel="1"/>
    <col min="17" max="24" width="10" style="68" hidden="1" customWidth="1" outlineLevel="2"/>
    <col min="25" max="25" width="10" style="68" hidden="1" customWidth="1" outlineLevel="1" collapsed="1"/>
    <col min="26" max="26" width="10" style="68" customWidth="1" collapsed="1"/>
    <col min="27" max="27" width="32.25" style="141" customWidth="1"/>
    <col min="28" max="28" width="42" style="141" customWidth="1"/>
    <col min="29" max="30" width="10" style="141" customWidth="1"/>
    <col min="31" max="31" width="9.875" style="141" customWidth="1"/>
    <col min="32" max="32" width="1.625" style="141" customWidth="1"/>
    <col min="33" max="33" width="1.625" style="68" customWidth="1"/>
    <col min="34" max="41" width="10" style="141" hidden="1" customWidth="1" outlineLevel="1"/>
    <col min="42" max="48" width="10" style="141" hidden="1" customWidth="1" outlineLevel="3"/>
    <col min="49" max="49" width="10" style="68" hidden="1" customWidth="1" outlineLevel="3"/>
    <col min="50" max="50" width="9" style="141" hidden="1" customWidth="1" outlineLevel="1" collapsed="1"/>
    <col min="51" max="51" width="9" style="141" collapsed="1"/>
    <col min="52" max="16384" width="9" style="141"/>
  </cols>
  <sheetData>
    <row r="1" spans="2:49" s="61" customFormat="1" x14ac:dyDescent="0.3">
      <c r="B1" s="78" t="str">
        <f>[4]INDEX!G4</f>
        <v>K-IFRS 재무상태표</v>
      </c>
      <c r="C1" s="141" t="s">
        <v>1750</v>
      </c>
      <c r="H1" s="84"/>
      <c r="I1" s="84"/>
      <c r="J1" s="84"/>
      <c r="K1" s="84"/>
      <c r="L1" s="84"/>
      <c r="M1" s="84"/>
      <c r="N1" s="84"/>
      <c r="O1" s="84"/>
      <c r="P1" s="84"/>
      <c r="Q1" s="84"/>
      <c r="R1" s="84"/>
      <c r="S1" s="84"/>
      <c r="T1" s="84"/>
      <c r="U1" s="84"/>
      <c r="V1" s="84"/>
      <c r="W1" s="84"/>
      <c r="X1" s="84"/>
      <c r="Y1" s="84"/>
      <c r="Z1" s="84"/>
      <c r="AA1" s="78" t="str">
        <f>B1</f>
        <v>K-IFRS 재무상태표</v>
      </c>
      <c r="AG1" s="84"/>
      <c r="AW1" s="84"/>
    </row>
    <row r="2" spans="2:49" x14ac:dyDescent="0.3">
      <c r="B2" s="79" t="s">
        <v>18</v>
      </c>
      <c r="AA2" s="142" t="s">
        <v>18</v>
      </c>
    </row>
    <row r="3" spans="2:49" s="143" customFormat="1" x14ac:dyDescent="0.3">
      <c r="B3" s="80"/>
      <c r="H3" s="182"/>
      <c r="I3" s="824"/>
      <c r="J3" s="824"/>
      <c r="K3" s="824"/>
      <c r="L3" s="824"/>
      <c r="M3" s="824"/>
      <c r="N3" s="824"/>
      <c r="AH3" s="824"/>
      <c r="AI3" s="824"/>
      <c r="AJ3" s="824"/>
      <c r="AK3" s="824"/>
      <c r="AL3" s="824"/>
      <c r="AM3" s="824"/>
    </row>
    <row r="4" spans="2:49" s="143" customFormat="1" x14ac:dyDescent="0.3">
      <c r="B4" s="81" t="s">
        <v>75</v>
      </c>
      <c r="C4" s="343" t="s">
        <v>74</v>
      </c>
      <c r="D4" s="186">
        <f>SUMMARY!D4</f>
        <v>2025</v>
      </c>
      <c r="E4" s="804">
        <f>SUMMARY!E4</f>
        <v>2024</v>
      </c>
      <c r="F4" s="836" t="s">
        <v>32</v>
      </c>
      <c r="G4" s="344"/>
      <c r="H4" s="182"/>
      <c r="I4" s="839">
        <v>2025</v>
      </c>
      <c r="J4" s="839"/>
      <c r="K4" s="839"/>
      <c r="L4" s="840"/>
      <c r="M4" s="839">
        <v>2024</v>
      </c>
      <c r="N4" s="839"/>
      <c r="O4" s="839"/>
      <c r="P4" s="840"/>
      <c r="Q4" s="839">
        <v>2023</v>
      </c>
      <c r="R4" s="839"/>
      <c r="S4" s="839"/>
      <c r="T4" s="840"/>
      <c r="U4" s="839">
        <v>2022</v>
      </c>
      <c r="V4" s="839"/>
      <c r="W4" s="839"/>
      <c r="X4" s="840"/>
      <c r="Y4" s="182"/>
      <c r="Z4" s="182"/>
      <c r="AA4" s="81" t="s">
        <v>76</v>
      </c>
      <c r="AB4" s="343" t="s">
        <v>77</v>
      </c>
      <c r="AC4" s="186">
        <f>D4</f>
        <v>2025</v>
      </c>
      <c r="AD4" s="804">
        <f>E4</f>
        <v>2024</v>
      </c>
      <c r="AE4" s="186" t="s">
        <v>32</v>
      </c>
      <c r="AF4" s="182"/>
      <c r="AG4" s="182"/>
      <c r="AH4" s="839">
        <v>2025</v>
      </c>
      <c r="AI4" s="839"/>
      <c r="AJ4" s="839"/>
      <c r="AK4" s="840"/>
      <c r="AL4" s="838">
        <v>2024</v>
      </c>
      <c r="AM4" s="839"/>
      <c r="AN4" s="839"/>
      <c r="AO4" s="840"/>
      <c r="AP4" s="838">
        <v>2023</v>
      </c>
      <c r="AQ4" s="839"/>
      <c r="AR4" s="839"/>
      <c r="AS4" s="840"/>
      <c r="AT4" s="838">
        <v>2022</v>
      </c>
      <c r="AU4" s="839"/>
      <c r="AV4" s="839"/>
      <c r="AW4" s="840"/>
    </row>
    <row r="5" spans="2:49" s="143" customFormat="1" x14ac:dyDescent="0.3">
      <c r="B5" s="82"/>
      <c r="C5" s="824"/>
      <c r="D5" s="803" t="str">
        <f>I5</f>
        <v>Q4</v>
      </c>
      <c r="E5" s="823" t="str">
        <f>M5</f>
        <v>Q4</v>
      </c>
      <c r="F5" s="837"/>
      <c r="G5" s="344"/>
      <c r="H5" s="182"/>
      <c r="I5" s="806" t="s">
        <v>28</v>
      </c>
      <c r="J5" s="806" t="s">
        <v>30</v>
      </c>
      <c r="K5" s="806" t="s">
        <v>27</v>
      </c>
      <c r="L5" s="806" t="s">
        <v>29</v>
      </c>
      <c r="M5" s="187" t="s">
        <v>28</v>
      </c>
      <c r="N5" s="187" t="s">
        <v>30</v>
      </c>
      <c r="O5" s="187" t="s">
        <v>27</v>
      </c>
      <c r="P5" s="187" t="s">
        <v>29</v>
      </c>
      <c r="Q5" s="187" t="s">
        <v>1680</v>
      </c>
      <c r="R5" s="187" t="s">
        <v>1933</v>
      </c>
      <c r="S5" s="187" t="s">
        <v>1555</v>
      </c>
      <c r="T5" s="803" t="s">
        <v>1934</v>
      </c>
      <c r="U5" s="803" t="s">
        <v>1680</v>
      </c>
      <c r="V5" s="803" t="s">
        <v>1933</v>
      </c>
      <c r="W5" s="803" t="s">
        <v>1555</v>
      </c>
      <c r="X5" s="803" t="s">
        <v>1934</v>
      </c>
      <c r="Y5" s="182"/>
      <c r="Z5" s="182"/>
      <c r="AA5" s="82"/>
      <c r="AB5" s="824"/>
      <c r="AC5" s="803" t="str">
        <f>D5</f>
        <v>Q4</v>
      </c>
      <c r="AD5" s="823" t="str">
        <f>E5</f>
        <v>Q4</v>
      </c>
      <c r="AE5" s="186"/>
      <c r="AF5" s="182"/>
      <c r="AG5" s="182"/>
      <c r="AH5" s="187" t="s">
        <v>28</v>
      </c>
      <c r="AI5" s="187" t="s">
        <v>30</v>
      </c>
      <c r="AJ5" s="187" t="s">
        <v>27</v>
      </c>
      <c r="AK5" s="187" t="s">
        <v>1937</v>
      </c>
      <c r="AL5" s="187" t="s">
        <v>1680</v>
      </c>
      <c r="AM5" s="187" t="s">
        <v>1933</v>
      </c>
      <c r="AN5" s="187" t="s">
        <v>1555</v>
      </c>
      <c r="AO5" s="187" t="s">
        <v>1934</v>
      </c>
      <c r="AP5" s="187" t="s">
        <v>1680</v>
      </c>
      <c r="AQ5" s="187" t="s">
        <v>1933</v>
      </c>
      <c r="AR5" s="187" t="s">
        <v>1555</v>
      </c>
      <c r="AS5" s="187" t="s">
        <v>1934</v>
      </c>
      <c r="AT5" s="187" t="s">
        <v>1680</v>
      </c>
      <c r="AU5" s="803" t="s">
        <v>1933</v>
      </c>
      <c r="AV5" s="187" t="s">
        <v>1555</v>
      </c>
      <c r="AW5" s="803" t="s">
        <v>1934</v>
      </c>
    </row>
    <row r="6" spans="2:49" x14ac:dyDescent="0.3">
      <c r="B6" s="61" t="s">
        <v>33</v>
      </c>
      <c r="C6" s="141" t="s">
        <v>54</v>
      </c>
      <c r="D6" s="70">
        <f>I6</f>
        <v>969.61999861200002</v>
      </c>
      <c r="E6" s="345">
        <f>M6</f>
        <v>921.93969951899999</v>
      </c>
      <c r="F6" s="232">
        <f>IFERROR(IF(D6*E6&lt;0,"-", IF(E6&lt;0,-(D6/E6-1),(D6/E6-1))),0)</f>
        <v>5.171737274994892E-2</v>
      </c>
      <c r="G6" s="198"/>
      <c r="H6" s="193"/>
      <c r="I6" s="179">
        <v>969.61999861200002</v>
      </c>
      <c r="J6" s="179">
        <v>844.62281948500004</v>
      </c>
      <c r="K6" s="179">
        <v>755.02018600600002</v>
      </c>
      <c r="L6" s="179">
        <v>759.48889842999995</v>
      </c>
      <c r="M6" s="179">
        <v>921.93969951899999</v>
      </c>
      <c r="N6" s="179">
        <v>713.30968018700003</v>
      </c>
      <c r="O6" s="179">
        <v>681.20769474700001</v>
      </c>
      <c r="P6" s="179">
        <v>763.20704750300001</v>
      </c>
      <c r="Q6" s="179">
        <v>1227.248463335</v>
      </c>
      <c r="R6" s="179">
        <v>507.69982814700001</v>
      </c>
      <c r="S6" s="179">
        <v>505.20666666099999</v>
      </c>
      <c r="T6" s="70">
        <v>618.40593204100003</v>
      </c>
      <c r="U6" s="70">
        <v>916.71105383700001</v>
      </c>
      <c r="V6" s="70">
        <v>518.42812195900001</v>
      </c>
      <c r="W6" s="70">
        <f>'[12]202206 BS(17및39기준)'!$X$12/1000000000</f>
        <v>521.73410159100001</v>
      </c>
      <c r="X6" s="70">
        <v>671.32369925800003</v>
      </c>
      <c r="Y6" s="193"/>
      <c r="Z6" s="193"/>
      <c r="AA6" s="61" t="s">
        <v>33</v>
      </c>
      <c r="AB6" s="141" t="s">
        <v>54</v>
      </c>
      <c r="AC6" s="70">
        <f>AH6</f>
        <v>982.15285443499999</v>
      </c>
      <c r="AD6" s="345">
        <f>AL6</f>
        <v>932.18479895999997</v>
      </c>
      <c r="AE6" s="196">
        <f>IFERROR(IF(AC6*AD6&lt;0,"-", IF(AD6&lt;0,-(AC6/AD6-1),(AC6/AD6-1))),0)</f>
        <v>5.3603164877551457E-2</v>
      </c>
      <c r="AF6" s="194"/>
      <c r="AG6" s="193"/>
      <c r="AH6" s="179">
        <v>982.15285443499999</v>
      </c>
      <c r="AI6" s="179">
        <v>855.30122564800001</v>
      </c>
      <c r="AJ6" s="179">
        <v>763.67179408300001</v>
      </c>
      <c r="AK6" s="179">
        <v>768.36804447099996</v>
      </c>
      <c r="AL6" s="179">
        <v>932.18479895999997</v>
      </c>
      <c r="AM6" s="179">
        <v>734.58002486400005</v>
      </c>
      <c r="AN6" s="179">
        <v>702.53871671900004</v>
      </c>
      <c r="AO6" s="179">
        <v>777.94916067300005</v>
      </c>
      <c r="AP6" s="179">
        <v>1240.1902711299999</v>
      </c>
      <c r="AQ6" s="179">
        <v>564.89408196900001</v>
      </c>
      <c r="AR6" s="179">
        <v>519.50740976199995</v>
      </c>
      <c r="AS6" s="70">
        <v>633.73852861800003</v>
      </c>
      <c r="AT6" s="70">
        <v>941.89894038499995</v>
      </c>
      <c r="AU6" s="70">
        <v>540.85936716499998</v>
      </c>
      <c r="AV6" s="70">
        <v>552.20690413499995</v>
      </c>
      <c r="AW6" s="70">
        <v>705.81953989500005</v>
      </c>
    </row>
    <row r="7" spans="2:49" x14ac:dyDescent="0.3">
      <c r="B7" s="61" t="s">
        <v>790</v>
      </c>
      <c r="C7" s="141" t="s">
        <v>1339</v>
      </c>
      <c r="D7" s="70">
        <f t="shared" ref="D7:D38" si="0">I7</f>
        <v>16944.446771969</v>
      </c>
      <c r="E7" s="345">
        <f t="shared" ref="E7:E18" si="1">M7</f>
        <v>15392.284369489</v>
      </c>
      <c r="F7" s="324">
        <f t="shared" ref="F7:F12" si="2">IFERROR(IF(D7*E7&lt;0,"-", IF(E7&lt;0,-(D7/E7-1),(D7/E7-1))),0)</f>
        <v>0.10084028888894081</v>
      </c>
      <c r="G7" s="346"/>
      <c r="H7" s="193"/>
      <c r="I7" s="179">
        <v>16944.446771969</v>
      </c>
      <c r="J7" s="179">
        <v>16558.856627633999</v>
      </c>
      <c r="K7" s="179">
        <v>15656.028855631001</v>
      </c>
      <c r="L7" s="179">
        <v>15112.991502851</v>
      </c>
      <c r="M7" s="179">
        <v>15392.284369489</v>
      </c>
      <c r="N7" s="179">
        <v>15649.979749227999</v>
      </c>
      <c r="O7" s="179">
        <v>15956.866565023</v>
      </c>
      <c r="P7" s="179">
        <v>16239.528590327</v>
      </c>
      <c r="Q7" s="179">
        <v>15850.23818747</v>
      </c>
      <c r="R7" s="179">
        <v>16008.301186498</v>
      </c>
      <c r="S7" s="179">
        <v>16432.039309510001</v>
      </c>
      <c r="T7" s="70">
        <v>16441.119040461999</v>
      </c>
      <c r="U7" s="70">
        <v>0</v>
      </c>
      <c r="V7" s="70">
        <v>0</v>
      </c>
      <c r="W7" s="70">
        <v>0</v>
      </c>
      <c r="X7" s="70">
        <v>0</v>
      </c>
      <c r="Y7" s="193"/>
      <c r="Z7" s="193"/>
      <c r="AA7" s="61" t="s">
        <v>1254</v>
      </c>
      <c r="AB7" s="141" t="s">
        <v>1255</v>
      </c>
      <c r="AC7" s="70">
        <f t="shared" ref="AC7:AC18" si="3">AH7</f>
        <v>16948.052514530002</v>
      </c>
      <c r="AD7" s="345">
        <f t="shared" ref="AD7:AD38" si="4">AL7</f>
        <v>15422.585493250001</v>
      </c>
      <c r="AE7" s="685">
        <f t="shared" ref="AE7:AE10" si="5">IFERROR(IF(AC7*AD7&lt;0,"-", IF(AD7&lt;0,-(AC7/AD7-1),(AC7/AD7-1))),0)</f>
        <v>9.8911237804300223E-2</v>
      </c>
      <c r="AF7" s="684"/>
      <c r="AG7" s="193"/>
      <c r="AH7" s="179">
        <v>16948.052514530002</v>
      </c>
      <c r="AI7" s="179">
        <v>16563.484244036001</v>
      </c>
      <c r="AJ7" s="179">
        <v>15652.466864275</v>
      </c>
      <c r="AK7" s="179">
        <v>15135.180962975001</v>
      </c>
      <c r="AL7" s="179">
        <v>15422.585493250001</v>
      </c>
      <c r="AM7" s="179">
        <v>15714.810732885</v>
      </c>
      <c r="AN7" s="179">
        <v>16012.987390060998</v>
      </c>
      <c r="AO7" s="179">
        <v>16264.2</v>
      </c>
      <c r="AP7" s="179">
        <v>15868.274468285001</v>
      </c>
      <c r="AQ7" s="179">
        <v>16065.550309575003</v>
      </c>
      <c r="AR7" s="179">
        <v>16485.139255874001</v>
      </c>
      <c r="AS7" s="70">
        <v>16432.279506893999</v>
      </c>
      <c r="AT7" s="70"/>
      <c r="AU7" s="70"/>
      <c r="AV7" s="70"/>
      <c r="AW7" s="70"/>
    </row>
    <row r="8" spans="2:49" x14ac:dyDescent="0.3">
      <c r="B8" s="61" t="s">
        <v>791</v>
      </c>
      <c r="C8" s="141" t="s">
        <v>792</v>
      </c>
      <c r="D8" s="70">
        <f t="shared" si="0"/>
        <v>11663.557366015</v>
      </c>
      <c r="E8" s="345">
        <f t="shared" si="1"/>
        <v>11969.183336759001</v>
      </c>
      <c r="F8" s="324">
        <f t="shared" si="2"/>
        <v>-2.5534404657783227E-2</v>
      </c>
      <c r="G8" s="346"/>
      <c r="H8" s="193"/>
      <c r="I8" s="179">
        <v>11663.557366015</v>
      </c>
      <c r="J8" s="179">
        <v>12326.566814334999</v>
      </c>
      <c r="K8" s="179">
        <v>12053.808702816001</v>
      </c>
      <c r="L8" s="179">
        <v>12442.117804534</v>
      </c>
      <c r="M8" s="179">
        <v>11969.183336759001</v>
      </c>
      <c r="N8" s="179">
        <v>11814.069090092</v>
      </c>
      <c r="O8" s="179">
        <v>11285.427462307</v>
      </c>
      <c r="P8" s="179">
        <v>10964.24230709</v>
      </c>
      <c r="Q8" s="179">
        <v>11226.454380747</v>
      </c>
      <c r="R8" s="179">
        <v>11032.722029203</v>
      </c>
      <c r="S8" s="179">
        <v>11286.579149371</v>
      </c>
      <c r="T8" s="70">
        <v>11257.618893872001</v>
      </c>
      <c r="U8" s="70">
        <v>0</v>
      </c>
      <c r="V8" s="70">
        <v>0</v>
      </c>
      <c r="W8" s="70">
        <v>0</v>
      </c>
      <c r="X8" s="70">
        <v>0</v>
      </c>
      <c r="Y8" s="193"/>
      <c r="Z8" s="193"/>
      <c r="AA8" s="61" t="s">
        <v>1256</v>
      </c>
      <c r="AB8" s="141" t="s">
        <v>1257</v>
      </c>
      <c r="AC8" s="70">
        <f t="shared" si="3"/>
        <v>11663.557366015</v>
      </c>
      <c r="AD8" s="345">
        <f t="shared" si="4"/>
        <v>11969.183336759001</v>
      </c>
      <c r="AE8" s="685">
        <f t="shared" si="5"/>
        <v>-2.5534404657783227E-2</v>
      </c>
      <c r="AF8" s="684"/>
      <c r="AG8" s="193"/>
      <c r="AH8" s="179">
        <v>11663.557366015</v>
      </c>
      <c r="AI8" s="179">
        <v>12326.566814334999</v>
      </c>
      <c r="AJ8" s="179">
        <v>12053.808702816001</v>
      </c>
      <c r="AK8" s="179">
        <v>12442.117804534</v>
      </c>
      <c r="AL8" s="179">
        <v>11969.183336759001</v>
      </c>
      <c r="AM8" s="179">
        <v>11814.069090092</v>
      </c>
      <c r="AN8" s="179">
        <v>11285.427462307</v>
      </c>
      <c r="AO8" s="179">
        <v>10964.24230709</v>
      </c>
      <c r="AP8" s="179">
        <v>11226.454380747</v>
      </c>
      <c r="AQ8" s="179">
        <v>11032.722029203</v>
      </c>
      <c r="AR8" s="179">
        <v>11286.579149371</v>
      </c>
      <c r="AS8" s="70">
        <v>11257.618893872001</v>
      </c>
      <c r="AT8" s="70"/>
      <c r="AU8" s="70"/>
      <c r="AV8" s="70"/>
      <c r="AW8" s="70"/>
    </row>
    <row r="9" spans="2:49" hidden="1" x14ac:dyDescent="0.3">
      <c r="B9" s="61" t="s">
        <v>793</v>
      </c>
      <c r="C9" s="141" t="s">
        <v>794</v>
      </c>
      <c r="D9" s="70">
        <f t="shared" si="0"/>
        <v>0</v>
      </c>
      <c r="E9" s="345">
        <f t="shared" si="1"/>
        <v>0</v>
      </c>
      <c r="F9" s="324">
        <f t="shared" si="2"/>
        <v>0</v>
      </c>
      <c r="G9" s="346"/>
      <c r="H9" s="193"/>
      <c r="I9" s="179"/>
      <c r="J9" s="179"/>
      <c r="K9" s="179">
        <v>0</v>
      </c>
      <c r="L9" s="179">
        <v>0</v>
      </c>
      <c r="M9" s="179">
        <v>0</v>
      </c>
      <c r="N9" s="179">
        <v>0</v>
      </c>
      <c r="O9" s="179">
        <v>0</v>
      </c>
      <c r="P9" s="179">
        <v>0</v>
      </c>
      <c r="Q9" s="179">
        <v>0</v>
      </c>
      <c r="R9" s="179">
        <v>107.048597708</v>
      </c>
      <c r="S9" s="179">
        <v>106.68144981499999</v>
      </c>
      <c r="T9" s="70">
        <v>106.22349977099999</v>
      </c>
      <c r="U9" s="70">
        <v>0</v>
      </c>
      <c r="V9" s="70">
        <v>0</v>
      </c>
      <c r="W9" s="70">
        <v>0</v>
      </c>
      <c r="X9" s="70">
        <v>0</v>
      </c>
      <c r="Y9" s="193"/>
      <c r="Z9" s="193"/>
      <c r="AA9" s="61" t="s">
        <v>1258</v>
      </c>
      <c r="AB9" s="141" t="s">
        <v>1259</v>
      </c>
      <c r="AC9" s="70">
        <f t="shared" si="3"/>
        <v>0</v>
      </c>
      <c r="AD9" s="345">
        <f t="shared" si="4"/>
        <v>0</v>
      </c>
      <c r="AE9" s="685">
        <f t="shared" si="5"/>
        <v>0</v>
      </c>
      <c r="AF9" s="684"/>
      <c r="AG9" s="193"/>
      <c r="AH9" s="179"/>
      <c r="AI9" s="179"/>
      <c r="AJ9" s="179"/>
      <c r="AK9" s="179"/>
      <c r="AL9" s="179"/>
      <c r="AM9" s="179"/>
      <c r="AN9" s="179"/>
      <c r="AO9" s="179"/>
      <c r="AP9" s="179">
        <v>0</v>
      </c>
      <c r="AQ9" s="179">
        <v>107.048597708</v>
      </c>
      <c r="AR9" s="179">
        <v>106.68144981499999</v>
      </c>
      <c r="AS9" s="70">
        <v>106.22349977099999</v>
      </c>
      <c r="AT9" s="70"/>
      <c r="AU9" s="70"/>
      <c r="AV9" s="70"/>
      <c r="AW9" s="70"/>
    </row>
    <row r="10" spans="2:49" x14ac:dyDescent="0.3">
      <c r="B10" s="61" t="s">
        <v>795</v>
      </c>
      <c r="C10" s="141" t="s">
        <v>796</v>
      </c>
      <c r="D10" s="70">
        <f t="shared" si="0"/>
        <v>2801.4503997920001</v>
      </c>
      <c r="E10" s="345">
        <f t="shared" si="1"/>
        <v>3499.4634456899998</v>
      </c>
      <c r="F10" s="324">
        <f t="shared" si="2"/>
        <v>-0.1994628767326273</v>
      </c>
      <c r="G10" s="346"/>
      <c r="H10" s="193"/>
      <c r="I10" s="179">
        <v>2801.4503997920001</v>
      </c>
      <c r="J10" s="179">
        <v>2883.5140384020001</v>
      </c>
      <c r="K10" s="179">
        <v>3067.006105679</v>
      </c>
      <c r="L10" s="179">
        <v>3110.8277292140001</v>
      </c>
      <c r="M10" s="179">
        <v>3499.4634456899998</v>
      </c>
      <c r="N10" s="179">
        <v>3420.351209938</v>
      </c>
      <c r="O10" s="179">
        <v>3831.419114371</v>
      </c>
      <c r="P10" s="179">
        <v>3913.1982855320002</v>
      </c>
      <c r="Q10" s="179">
        <v>4193.4673761690001</v>
      </c>
      <c r="R10" s="179">
        <v>4115.6953190200002</v>
      </c>
      <c r="S10" s="179">
        <v>4298.3258493989997</v>
      </c>
      <c r="T10" s="70">
        <v>4358.1414359210003</v>
      </c>
      <c r="U10" s="70">
        <v>0</v>
      </c>
      <c r="V10" s="70">
        <v>0</v>
      </c>
      <c r="W10" s="70">
        <v>0</v>
      </c>
      <c r="X10" s="70">
        <v>0</v>
      </c>
      <c r="Y10" s="193"/>
      <c r="Z10" s="193"/>
      <c r="AA10" s="61" t="s">
        <v>1260</v>
      </c>
      <c r="AB10" s="141" t="s">
        <v>1261</v>
      </c>
      <c r="AC10" s="70">
        <f t="shared" si="3"/>
        <v>2881.4165206829998</v>
      </c>
      <c r="AD10" s="345">
        <f t="shared" si="4"/>
        <v>3586.235002201</v>
      </c>
      <c r="AE10" s="685">
        <f t="shared" si="5"/>
        <v>-0.19653438246111254</v>
      </c>
      <c r="AF10" s="684"/>
      <c r="AG10" s="193"/>
      <c r="AH10" s="179">
        <v>2881.4165206829998</v>
      </c>
      <c r="AI10" s="179">
        <v>2963.7311900179998</v>
      </c>
      <c r="AJ10" s="179">
        <v>3144.866026833</v>
      </c>
      <c r="AK10" s="179">
        <v>3192.3908896449998</v>
      </c>
      <c r="AL10" s="179">
        <v>3586.235002201</v>
      </c>
      <c r="AM10" s="179">
        <v>3453.285397436</v>
      </c>
      <c r="AN10" s="179">
        <v>3875.5302188569999</v>
      </c>
      <c r="AO10" s="179">
        <v>3978.5065340619999</v>
      </c>
      <c r="AP10" s="179">
        <v>4254.2937959560004</v>
      </c>
      <c r="AQ10" s="179">
        <v>4145.9337357940003</v>
      </c>
      <c r="AR10" s="179">
        <v>4337.486802978</v>
      </c>
      <c r="AS10" s="70">
        <v>4399.2036697200001</v>
      </c>
      <c r="AT10" s="70"/>
      <c r="AU10" s="70"/>
      <c r="AV10" s="70"/>
      <c r="AW10" s="70"/>
    </row>
    <row r="11" spans="2:49" x14ac:dyDescent="0.3">
      <c r="B11" s="61" t="s">
        <v>1822</v>
      </c>
      <c r="C11" s="141" t="s">
        <v>1820</v>
      </c>
      <c r="D11" s="70">
        <f t="shared" si="0"/>
        <v>28.506931125000001</v>
      </c>
      <c r="E11" s="345">
        <f t="shared" si="1"/>
        <v>238.178210906</v>
      </c>
      <c r="F11" s="324">
        <f t="shared" si="2"/>
        <v>-0.88031259863543676</v>
      </c>
      <c r="G11" s="346"/>
      <c r="H11" s="193"/>
      <c r="I11" s="179">
        <v>28.506931125000001</v>
      </c>
      <c r="J11" s="179">
        <v>141.19189005499999</v>
      </c>
      <c r="K11" s="179">
        <v>291.834572772</v>
      </c>
      <c r="L11" s="179">
        <v>336.61210298899999</v>
      </c>
      <c r="M11" s="179">
        <v>238.178210906</v>
      </c>
      <c r="N11" s="179">
        <v>269.181079571</v>
      </c>
      <c r="O11" s="179">
        <v>97.756520571999999</v>
      </c>
      <c r="P11" s="179">
        <v>69.234654742999993</v>
      </c>
      <c r="Q11" s="179">
        <v>202.09472213699999</v>
      </c>
      <c r="R11" s="179"/>
      <c r="S11" s="179"/>
      <c r="T11" s="70"/>
      <c r="U11" s="70"/>
      <c r="V11" s="70"/>
      <c r="W11" s="70"/>
      <c r="X11" s="70"/>
      <c r="Y11" s="193"/>
      <c r="Z11" s="193"/>
      <c r="AA11" s="61" t="s">
        <v>1818</v>
      </c>
      <c r="AB11" s="141" t="s">
        <v>1820</v>
      </c>
      <c r="AC11" s="70">
        <f t="shared" si="3"/>
        <v>31.088117073999999</v>
      </c>
      <c r="AD11" s="345">
        <f t="shared" si="4"/>
        <v>238.178210906</v>
      </c>
      <c r="AE11" s="685"/>
      <c r="AF11" s="684"/>
      <c r="AG11" s="193"/>
      <c r="AH11" s="179">
        <v>31.088117073999999</v>
      </c>
      <c r="AI11" s="179">
        <v>141.19189005499999</v>
      </c>
      <c r="AJ11" s="179">
        <v>295.13239584500002</v>
      </c>
      <c r="AK11" s="179">
        <v>336.61210298899999</v>
      </c>
      <c r="AL11" s="179">
        <v>238.178210906</v>
      </c>
      <c r="AM11" s="179">
        <v>269.181079571</v>
      </c>
      <c r="AN11" s="179">
        <v>97.756520571999999</v>
      </c>
      <c r="AO11" s="179">
        <v>69.2</v>
      </c>
      <c r="AP11" s="179">
        <v>202.09472213699999</v>
      </c>
      <c r="AQ11" s="179"/>
      <c r="AR11" s="179"/>
      <c r="AS11" s="70"/>
      <c r="AT11" s="70"/>
      <c r="AU11" s="70"/>
      <c r="AV11" s="70"/>
      <c r="AW11" s="70"/>
    </row>
    <row r="12" spans="2:49" x14ac:dyDescent="0.3">
      <c r="B12" s="61" t="s">
        <v>34</v>
      </c>
      <c r="C12" s="141" t="s">
        <v>55</v>
      </c>
      <c r="D12" s="70">
        <f t="shared" si="0"/>
        <v>142.042965503</v>
      </c>
      <c r="E12" s="345">
        <f t="shared" si="1"/>
        <v>142.042965503</v>
      </c>
      <c r="F12" s="324">
        <f t="shared" si="2"/>
        <v>0</v>
      </c>
      <c r="G12" s="346"/>
      <c r="H12" s="193"/>
      <c r="I12" s="179">
        <v>142.042965503</v>
      </c>
      <c r="J12" s="179">
        <v>142.042965503</v>
      </c>
      <c r="K12" s="179">
        <v>142.042965503</v>
      </c>
      <c r="L12" s="179">
        <v>142.042965503</v>
      </c>
      <c r="M12" s="179">
        <v>142.042965503</v>
      </c>
      <c r="N12" s="179">
        <v>142.042965503</v>
      </c>
      <c r="O12" s="179">
        <v>142.042965503</v>
      </c>
      <c r="P12" s="179">
        <v>142.042965503</v>
      </c>
      <c r="Q12" s="179">
        <v>142.042965503</v>
      </c>
      <c r="R12" s="179">
        <v>142.042965503</v>
      </c>
      <c r="S12" s="179">
        <v>142.042965503</v>
      </c>
      <c r="T12" s="70">
        <v>142.042965503</v>
      </c>
      <c r="U12" s="70">
        <v>142.042965503</v>
      </c>
      <c r="V12" s="70">
        <v>142.042965503</v>
      </c>
      <c r="W12" s="70">
        <f>'[12]202206 BS(17및39기준)'!$X$110/1000000000</f>
        <v>142.042965503</v>
      </c>
      <c r="X12" s="70">
        <v>142.042965503</v>
      </c>
      <c r="Y12" s="193"/>
      <c r="Z12" s="193"/>
      <c r="AA12" s="61" t="s">
        <v>1291</v>
      </c>
      <c r="AB12" s="141" t="s">
        <v>55</v>
      </c>
      <c r="AC12" s="70">
        <f t="shared" si="3"/>
        <v>78.496021501000001</v>
      </c>
      <c r="AD12" s="345">
        <f t="shared" si="4"/>
        <v>84.308538691999999</v>
      </c>
      <c r="AE12" s="685">
        <f t="shared" ref="AE12:AE18" si="6">IFERROR(IF(AC12*AD12&lt;0,"-", IF(AD12&lt;0,-(AC12/AD12-1),(AC12/AD12-1))),0)</f>
        <v>-6.8943398630529784E-2</v>
      </c>
      <c r="AF12" s="684"/>
      <c r="AG12" s="193"/>
      <c r="AH12" s="179">
        <v>78.496021501000001</v>
      </c>
      <c r="AI12" s="179">
        <v>77.386405214000007</v>
      </c>
      <c r="AJ12" s="179">
        <v>76.943423822</v>
      </c>
      <c r="AK12" s="179">
        <v>83.094260794999997</v>
      </c>
      <c r="AL12" s="179">
        <v>84.308538691999999</v>
      </c>
      <c r="AM12" s="179">
        <v>80.380293528999999</v>
      </c>
      <c r="AN12" s="179">
        <v>80.425267071999997</v>
      </c>
      <c r="AO12" s="179">
        <v>80.771017638000004</v>
      </c>
      <c r="AP12" s="179">
        <v>78.659010816999995</v>
      </c>
      <c r="AQ12" s="179">
        <v>79.857886519999994</v>
      </c>
      <c r="AR12" s="179">
        <v>78.688550950000007</v>
      </c>
      <c r="AS12" s="70">
        <v>75.51817647</v>
      </c>
      <c r="AT12" s="70">
        <v>68.996458372999996</v>
      </c>
      <c r="AU12" s="70">
        <v>75.652591475999998</v>
      </c>
      <c r="AV12" s="70">
        <v>72.864087312999999</v>
      </c>
      <c r="AW12" s="70">
        <v>72.296686993999998</v>
      </c>
    </row>
    <row r="13" spans="2:49" x14ac:dyDescent="0.3">
      <c r="B13" s="61" t="s">
        <v>797</v>
      </c>
      <c r="C13" s="141" t="s">
        <v>798</v>
      </c>
      <c r="D13" s="70">
        <f t="shared" si="0"/>
        <v>37.355226946000002</v>
      </c>
      <c r="E13" s="345">
        <f t="shared" si="1"/>
        <v>29.754048650000001</v>
      </c>
      <c r="F13" s="198">
        <f t="shared" ref="F13:F18" si="7">IFERROR(IF(D13*E13&lt;0,"-", IF(E13&lt;0,-(D13/E13-1),(D13/E13-1))),0)</f>
        <v>0.25546702519087261</v>
      </c>
      <c r="G13" s="198"/>
      <c r="H13" s="193"/>
      <c r="I13" s="179">
        <v>37.355226946000002</v>
      </c>
      <c r="J13" s="179">
        <v>35.615423696000001</v>
      </c>
      <c r="K13" s="179">
        <v>30.622189036000002</v>
      </c>
      <c r="L13" s="179">
        <v>27.18994314</v>
      </c>
      <c r="M13" s="179">
        <v>29.754048650000001</v>
      </c>
      <c r="N13" s="179">
        <v>28.884462926000001</v>
      </c>
      <c r="O13" s="179">
        <v>26.435510162</v>
      </c>
      <c r="P13" s="179">
        <v>24.546810546</v>
      </c>
      <c r="Q13" s="179">
        <v>24.241130941000002</v>
      </c>
      <c r="R13" s="179">
        <v>23.232248629000001</v>
      </c>
      <c r="S13" s="179">
        <v>18.264456063000001</v>
      </c>
      <c r="T13" s="70">
        <v>17.814597411000001</v>
      </c>
      <c r="U13" s="70">
        <v>21.072555053999999</v>
      </c>
      <c r="V13" s="70">
        <v>18.897340303</v>
      </c>
      <c r="W13" s="70">
        <f>'[12]202206 BS(17및39기준)'!$X$160/1000000000</f>
        <v>16.274572143</v>
      </c>
      <c r="X13" s="70">
        <v>14.699403383</v>
      </c>
      <c r="Y13" s="193"/>
      <c r="Z13" s="193"/>
      <c r="AA13" s="61" t="s">
        <v>1262</v>
      </c>
      <c r="AB13" s="141" t="s">
        <v>1263</v>
      </c>
      <c r="AC13" s="70">
        <f t="shared" si="3"/>
        <v>37.355226946000002</v>
      </c>
      <c r="AD13" s="345">
        <f t="shared" si="4"/>
        <v>29.754048650000001</v>
      </c>
      <c r="AE13" s="54">
        <f t="shared" si="6"/>
        <v>0.25546702519087261</v>
      </c>
      <c r="AF13" s="194"/>
      <c r="AG13" s="193"/>
      <c r="AH13" s="179">
        <v>37.355226946000002</v>
      </c>
      <c r="AI13" s="179">
        <v>35.615423696000001</v>
      </c>
      <c r="AJ13" s="179">
        <v>30.622189036000002</v>
      </c>
      <c r="AK13" s="179">
        <v>27.18994314</v>
      </c>
      <c r="AL13" s="179">
        <v>29.754048650000001</v>
      </c>
      <c r="AM13" s="179">
        <v>28.884462926000001</v>
      </c>
      <c r="AN13" s="179">
        <v>26.435510162</v>
      </c>
      <c r="AO13" s="179">
        <v>24.546810546</v>
      </c>
      <c r="AP13" s="179">
        <v>24.241130941000002</v>
      </c>
      <c r="AQ13" s="179">
        <v>23.232248629000001</v>
      </c>
      <c r="AR13" s="179">
        <v>18.264456063000001</v>
      </c>
      <c r="AS13" s="70">
        <v>17.814597411000001</v>
      </c>
      <c r="AT13" s="70">
        <v>21.072555053999999</v>
      </c>
      <c r="AU13" s="70">
        <v>18.897340303</v>
      </c>
      <c r="AV13" s="70">
        <v>16.274572143</v>
      </c>
      <c r="AW13" s="70">
        <v>14.699403383</v>
      </c>
    </row>
    <row r="14" spans="2:49" x14ac:dyDescent="0.3">
      <c r="B14" s="61" t="s">
        <v>35</v>
      </c>
      <c r="C14" s="141" t="s">
        <v>56</v>
      </c>
      <c r="D14" s="70">
        <f t="shared" si="0"/>
        <v>88.612254917000001</v>
      </c>
      <c r="E14" s="345">
        <f t="shared" si="1"/>
        <v>95.906890204999996</v>
      </c>
      <c r="F14" s="198">
        <f t="shared" si="7"/>
        <v>-7.6059553932025015E-2</v>
      </c>
      <c r="G14" s="198"/>
      <c r="H14" s="193"/>
      <c r="I14" s="179">
        <v>88.612254917000001</v>
      </c>
      <c r="J14" s="179">
        <v>88.579485917</v>
      </c>
      <c r="K14" s="179">
        <v>91.945784568999997</v>
      </c>
      <c r="L14" s="179">
        <v>94.110976973999996</v>
      </c>
      <c r="M14" s="179">
        <v>95.906890204999996</v>
      </c>
      <c r="N14" s="179">
        <v>90.089672719999996</v>
      </c>
      <c r="O14" s="179">
        <v>92.276335693999997</v>
      </c>
      <c r="P14" s="179">
        <v>92.707465451000004</v>
      </c>
      <c r="Q14" s="179">
        <v>82.398665320999996</v>
      </c>
      <c r="R14" s="179">
        <v>84.586467741999996</v>
      </c>
      <c r="S14" s="179">
        <v>86.571404372000003</v>
      </c>
      <c r="T14" s="70">
        <v>87.270669939000001</v>
      </c>
      <c r="U14" s="70">
        <v>89.841051910000004</v>
      </c>
      <c r="V14" s="70">
        <v>90.273192479000002</v>
      </c>
      <c r="W14" s="70">
        <f>'[12]202206 BS(17및39기준)'!$X$168/1000000000</f>
        <v>94.898882322000006</v>
      </c>
      <c r="X14" s="70">
        <v>96.105008415</v>
      </c>
      <c r="Y14" s="193"/>
      <c r="Z14" s="193"/>
      <c r="AA14" s="61" t="s">
        <v>35</v>
      </c>
      <c r="AB14" s="141" t="s">
        <v>56</v>
      </c>
      <c r="AC14" s="70">
        <f t="shared" si="3"/>
        <v>95.345558361000002</v>
      </c>
      <c r="AD14" s="345">
        <f t="shared" si="4"/>
        <v>102.377835366</v>
      </c>
      <c r="AE14" s="54">
        <f t="shared" si="6"/>
        <v>-6.8689448061288405E-2</v>
      </c>
      <c r="AF14" s="194"/>
      <c r="AG14" s="193"/>
      <c r="AH14" s="179">
        <v>95.345558361000002</v>
      </c>
      <c r="AI14" s="179">
        <v>94.954809374000007</v>
      </c>
      <c r="AJ14" s="179">
        <v>99.185753454999997</v>
      </c>
      <c r="AK14" s="179">
        <v>102.513513176</v>
      </c>
      <c r="AL14" s="179">
        <v>102.377835366</v>
      </c>
      <c r="AM14" s="179">
        <v>97.955409153000005</v>
      </c>
      <c r="AN14" s="179">
        <v>101.403070243</v>
      </c>
      <c r="AO14" s="179">
        <v>103.54284674100001</v>
      </c>
      <c r="AP14" s="179">
        <v>89.642834489999998</v>
      </c>
      <c r="AQ14" s="179">
        <v>92.572749082000001</v>
      </c>
      <c r="AR14" s="179">
        <v>94.951976060999996</v>
      </c>
      <c r="AS14" s="70">
        <v>95.961636999999996</v>
      </c>
      <c r="AT14" s="70">
        <v>99.052884187000004</v>
      </c>
      <c r="AU14" s="70">
        <v>101.073644755</v>
      </c>
      <c r="AV14" s="70">
        <v>107.119830331</v>
      </c>
      <c r="AW14" s="70">
        <v>111.626032154</v>
      </c>
    </row>
    <row r="15" spans="2:49" x14ac:dyDescent="0.3">
      <c r="B15" s="61" t="s">
        <v>36</v>
      </c>
      <c r="C15" s="141" t="s">
        <v>57</v>
      </c>
      <c r="D15" s="70">
        <f t="shared" si="0"/>
        <v>0</v>
      </c>
      <c r="E15" s="345">
        <f t="shared" si="1"/>
        <v>0</v>
      </c>
      <c r="F15" s="198">
        <f t="shared" si="7"/>
        <v>0</v>
      </c>
      <c r="G15" s="198"/>
      <c r="H15" s="193"/>
      <c r="I15" s="179"/>
      <c r="J15" s="179">
        <v>0</v>
      </c>
      <c r="K15" s="179">
        <v>0</v>
      </c>
      <c r="L15" s="179">
        <v>0</v>
      </c>
      <c r="M15" s="179">
        <v>0</v>
      </c>
      <c r="N15" s="179">
        <v>0</v>
      </c>
      <c r="O15" s="179">
        <v>0</v>
      </c>
      <c r="P15" s="179">
        <v>0</v>
      </c>
      <c r="Q15" s="179">
        <v>0</v>
      </c>
      <c r="R15" s="179">
        <v>0</v>
      </c>
      <c r="S15" s="179">
        <v>0</v>
      </c>
      <c r="T15" s="70">
        <v>0</v>
      </c>
      <c r="U15" s="70">
        <v>0</v>
      </c>
      <c r="V15" s="70">
        <v>0.39671993</v>
      </c>
      <c r="W15" s="70">
        <f>'[12]202206 BS(17및39기준)'!$X$190/1000000000</f>
        <v>0.40106328899999999</v>
      </c>
      <c r="X15" s="70">
        <v>0.40540664700000001</v>
      </c>
      <c r="Y15" s="193"/>
      <c r="Z15" s="193"/>
      <c r="AA15" s="61" t="s">
        <v>36</v>
      </c>
      <c r="AB15" s="141" t="s">
        <v>57</v>
      </c>
      <c r="AC15" s="70">
        <f t="shared" si="3"/>
        <v>0</v>
      </c>
      <c r="AD15" s="345" t="str">
        <f t="shared" si="4"/>
        <v/>
      </c>
      <c r="AE15" s="54">
        <f t="shared" si="6"/>
        <v>0</v>
      </c>
      <c r="AF15" s="194"/>
      <c r="AG15" s="193"/>
      <c r="AH15" s="179">
        <v>0</v>
      </c>
      <c r="AI15" s="179">
        <v>0</v>
      </c>
      <c r="AJ15" s="179">
        <v>0</v>
      </c>
      <c r="AK15" s="179">
        <v>0</v>
      </c>
      <c r="AL15" s="179" t="s">
        <v>1292</v>
      </c>
      <c r="AM15" s="179">
        <v>0</v>
      </c>
      <c r="AN15" s="179">
        <v>0</v>
      </c>
      <c r="AO15" s="179">
        <v>0</v>
      </c>
      <c r="AP15" s="179"/>
      <c r="AQ15" s="179">
        <v>0</v>
      </c>
      <c r="AR15" s="179">
        <v>40.354211589000002</v>
      </c>
      <c r="AS15" s="70">
        <v>38.129054451000002</v>
      </c>
      <c r="AT15" s="70">
        <v>42.647263318</v>
      </c>
      <c r="AU15" s="70">
        <v>40.768123897000002</v>
      </c>
      <c r="AV15" s="70">
        <v>41.823328830999998</v>
      </c>
      <c r="AW15" s="70">
        <v>35.429156384999999</v>
      </c>
    </row>
    <row r="16" spans="2:49" x14ac:dyDescent="0.3">
      <c r="B16" s="61" t="s">
        <v>37</v>
      </c>
      <c r="C16" s="141" t="s">
        <v>58</v>
      </c>
      <c r="D16" s="70">
        <f t="shared" si="0"/>
        <v>27.860664825000001</v>
      </c>
      <c r="E16" s="345">
        <f t="shared" si="1"/>
        <v>31.396666392</v>
      </c>
      <c r="F16" s="198">
        <f t="shared" si="7"/>
        <v>-0.11262347164031994</v>
      </c>
      <c r="G16" s="198"/>
      <c r="H16" s="193"/>
      <c r="I16" s="179">
        <v>27.860664825000001</v>
      </c>
      <c r="J16" s="179">
        <v>31.664801723</v>
      </c>
      <c r="K16" s="179">
        <v>30.797092395</v>
      </c>
      <c r="L16" s="179">
        <v>33.057719687000002</v>
      </c>
      <c r="M16" s="179">
        <v>31.396666392</v>
      </c>
      <c r="N16" s="179">
        <v>30.860278334</v>
      </c>
      <c r="O16" s="179">
        <v>33.586913402999997</v>
      </c>
      <c r="P16" s="179">
        <v>36.163700759999998</v>
      </c>
      <c r="Q16" s="179">
        <v>39.451616076000001</v>
      </c>
      <c r="R16" s="179">
        <v>39.121363694999999</v>
      </c>
      <c r="S16" s="179">
        <v>38.034476302999998</v>
      </c>
      <c r="T16" s="70">
        <v>37.605681236999999</v>
      </c>
      <c r="U16" s="70">
        <v>40.580945544000002</v>
      </c>
      <c r="V16" s="70">
        <v>40.722344841999998</v>
      </c>
      <c r="W16" s="70">
        <f>'[12]202206 BS(17및39기준)'!$X$198/1000000000</f>
        <v>43.330049117999998</v>
      </c>
      <c r="X16" s="70">
        <v>46.022686102000002</v>
      </c>
      <c r="Y16" s="193"/>
      <c r="Z16" s="193"/>
      <c r="AA16" s="61" t="s">
        <v>37</v>
      </c>
      <c r="AB16" s="141" t="s">
        <v>58</v>
      </c>
      <c r="AC16" s="70">
        <f t="shared" si="3"/>
        <v>28.551429868</v>
      </c>
      <c r="AD16" s="345">
        <f t="shared" si="4"/>
        <v>31.913694669000002</v>
      </c>
      <c r="AE16" s="54">
        <f t="shared" si="6"/>
        <v>-0.10535492163701132</v>
      </c>
      <c r="AF16" s="194"/>
      <c r="AG16" s="193"/>
      <c r="AH16" s="179">
        <v>28.551429868</v>
      </c>
      <c r="AI16" s="179">
        <v>32.415563806000002</v>
      </c>
      <c r="AJ16" s="179">
        <v>31.611415674</v>
      </c>
      <c r="AK16" s="179">
        <v>33.562825164000003</v>
      </c>
      <c r="AL16" s="179">
        <v>31.913694669000002</v>
      </c>
      <c r="AM16" s="179">
        <v>31.380678016000001</v>
      </c>
      <c r="AN16" s="179">
        <v>34.149030338000003</v>
      </c>
      <c r="AO16" s="179">
        <v>36.555715949000003</v>
      </c>
      <c r="AP16" s="179">
        <v>39.871623458999998</v>
      </c>
      <c r="AQ16" s="179">
        <v>39.506415480999998</v>
      </c>
      <c r="AR16" s="179">
        <v>38.400614814000001</v>
      </c>
      <c r="AS16" s="70">
        <v>37.997902971999999</v>
      </c>
      <c r="AT16" s="70">
        <v>40.883601497999997</v>
      </c>
      <c r="AU16" s="70">
        <v>41.229853229</v>
      </c>
      <c r="AV16" s="70">
        <v>43.872593274000003</v>
      </c>
      <c r="AW16" s="70">
        <v>46.600631698999997</v>
      </c>
    </row>
    <row r="17" spans="2:53" x14ac:dyDescent="0.3">
      <c r="B17" s="61" t="s">
        <v>38</v>
      </c>
      <c r="C17" s="141" t="s">
        <v>59</v>
      </c>
      <c r="D17" s="70">
        <f t="shared" si="0"/>
        <v>81.381520037000001</v>
      </c>
      <c r="E17" s="345">
        <f t="shared" si="1"/>
        <v>77.265029053999996</v>
      </c>
      <c r="F17" s="198">
        <f t="shared" si="7"/>
        <v>5.3277543973005104E-2</v>
      </c>
      <c r="G17" s="198"/>
      <c r="H17" s="193"/>
      <c r="I17" s="179">
        <v>81.381520037000001</v>
      </c>
      <c r="J17" s="179">
        <v>67.433069368000005</v>
      </c>
      <c r="K17" s="179">
        <v>46.391677747999999</v>
      </c>
      <c r="L17" s="179">
        <v>105.25470159699999</v>
      </c>
      <c r="M17" s="179">
        <v>77.265029053999996</v>
      </c>
      <c r="N17" s="179">
        <v>65.780203592999996</v>
      </c>
      <c r="O17" s="179">
        <v>30.646934373000001</v>
      </c>
      <c r="P17" s="179">
        <v>75.895042140000001</v>
      </c>
      <c r="Q17" s="179">
        <v>54.265765360000003</v>
      </c>
      <c r="R17" s="179">
        <v>43.776387706000001</v>
      </c>
      <c r="S17" s="179">
        <v>26.298066106</v>
      </c>
      <c r="T17" s="70">
        <v>70.372656203000005</v>
      </c>
      <c r="U17" s="70">
        <v>49.599010903999996</v>
      </c>
      <c r="V17" s="70">
        <v>146.080341312</v>
      </c>
      <c r="W17" s="70">
        <f>('[12]202206 BS(17및39기준)'!$X$207+'[12]202206 BS(17및39기준)'!$X$208)/1000000000</f>
        <v>94.573814134000003</v>
      </c>
      <c r="X17" s="70">
        <v>70.471201997999998</v>
      </c>
      <c r="Y17" s="193"/>
      <c r="Z17" s="193"/>
      <c r="AA17" s="61" t="s">
        <v>38</v>
      </c>
      <c r="AB17" s="141" t="s">
        <v>59</v>
      </c>
      <c r="AC17" s="70">
        <f t="shared" si="3"/>
        <v>81.381520037000001</v>
      </c>
      <c r="AD17" s="345">
        <f t="shared" si="4"/>
        <v>76.069043870000002</v>
      </c>
      <c r="AE17" s="54">
        <f t="shared" si="6"/>
        <v>6.9837556734364759E-2</v>
      </c>
      <c r="AF17" s="194"/>
      <c r="AG17" s="193"/>
      <c r="AH17" s="179">
        <v>81.381520037000001</v>
      </c>
      <c r="AI17" s="179">
        <v>67.433069368000005</v>
      </c>
      <c r="AJ17" s="179">
        <v>46.391677747999999</v>
      </c>
      <c r="AK17" s="179">
        <v>104.76128715199999</v>
      </c>
      <c r="AL17" s="179">
        <v>76.069043870000002</v>
      </c>
      <c r="AM17" s="179">
        <v>65.780203592999996</v>
      </c>
      <c r="AN17" s="179">
        <v>30.646934373000001</v>
      </c>
      <c r="AO17" s="179">
        <v>75.894471902000006</v>
      </c>
      <c r="AP17" s="179">
        <v>53.376079206999997</v>
      </c>
      <c r="AQ17" s="179">
        <v>43.038420786000003</v>
      </c>
      <c r="AR17" s="179">
        <v>25.693519345999999</v>
      </c>
      <c r="AS17" s="70">
        <v>70.372656203000005</v>
      </c>
      <c r="AT17" s="70">
        <v>48.7</v>
      </c>
      <c r="AU17" s="70">
        <v>20.081953484</v>
      </c>
      <c r="AV17" s="70">
        <v>7.6694907959999998</v>
      </c>
      <c r="AW17" s="70">
        <v>54.676898483999999</v>
      </c>
    </row>
    <row r="18" spans="2:53" x14ac:dyDescent="0.3">
      <c r="B18" s="61" t="s">
        <v>39</v>
      </c>
      <c r="C18" s="141" t="s">
        <v>60</v>
      </c>
      <c r="D18" s="70">
        <f t="shared" si="0"/>
        <v>70.347835364999995</v>
      </c>
      <c r="E18" s="345">
        <f t="shared" si="1"/>
        <v>7.0241425790000003</v>
      </c>
      <c r="F18" s="198">
        <f t="shared" si="7"/>
        <v>9.015149119455252</v>
      </c>
      <c r="G18" s="198"/>
      <c r="H18" s="193"/>
      <c r="I18" s="179">
        <v>70.347835364999995</v>
      </c>
      <c r="J18" s="179">
        <v>45.375302566000002</v>
      </c>
      <c r="K18" s="179">
        <v>49.970358986000001</v>
      </c>
      <c r="L18" s="179">
        <v>50.894160745000001</v>
      </c>
      <c r="M18" s="179">
        <v>7.0241425790000003</v>
      </c>
      <c r="N18" s="179">
        <v>8.1044416930000001</v>
      </c>
      <c r="O18" s="179">
        <v>10.926690649999999</v>
      </c>
      <c r="P18" s="179">
        <v>12.250386857000001</v>
      </c>
      <c r="Q18" s="179">
        <v>4.2897519380000002</v>
      </c>
      <c r="R18" s="179">
        <v>6.833345124</v>
      </c>
      <c r="S18" s="179">
        <v>11.289392518</v>
      </c>
      <c r="T18" s="70">
        <v>14.015854308</v>
      </c>
      <c r="U18" s="70">
        <v>7.6959270809999998</v>
      </c>
      <c r="V18" s="70">
        <v>18.954167074000001</v>
      </c>
      <c r="W18" s="70">
        <f>'[12]202206 BS(17및39기준)'!$X$209/1000000000</f>
        <v>16.921847304</v>
      </c>
      <c r="X18" s="70">
        <v>15.111433156</v>
      </c>
      <c r="Y18" s="193"/>
      <c r="Z18" s="193"/>
      <c r="AA18" s="61" t="s">
        <v>39</v>
      </c>
      <c r="AB18" s="141" t="s">
        <v>60</v>
      </c>
      <c r="AC18" s="70">
        <f t="shared" si="3"/>
        <v>93.428106685000003</v>
      </c>
      <c r="AD18" s="345">
        <f t="shared" si="4"/>
        <v>20.833711673</v>
      </c>
      <c r="AE18" s="54">
        <f t="shared" si="6"/>
        <v>3.4844676815836246</v>
      </c>
      <c r="AF18" s="194"/>
      <c r="AG18" s="193"/>
      <c r="AH18" s="179">
        <v>93.428106685000003</v>
      </c>
      <c r="AI18" s="179">
        <v>62.965187841000002</v>
      </c>
      <c r="AJ18" s="179">
        <v>68.004055312999995</v>
      </c>
      <c r="AK18" s="179">
        <v>66.393112353000006</v>
      </c>
      <c r="AL18" s="179">
        <v>20.833711673</v>
      </c>
      <c r="AM18" s="179">
        <v>20.725821002</v>
      </c>
      <c r="AN18" s="179">
        <v>22.010718485999998</v>
      </c>
      <c r="AO18" s="179">
        <v>23.040547988</v>
      </c>
      <c r="AP18" s="179">
        <v>14.925172223000001</v>
      </c>
      <c r="AQ18" s="179">
        <v>17.935836714000001</v>
      </c>
      <c r="AR18" s="179">
        <v>21.637624153000001</v>
      </c>
      <c r="AS18" s="70">
        <v>23.945364367</v>
      </c>
      <c r="AT18" s="70">
        <v>17.615290958999999</v>
      </c>
      <c r="AU18" s="70">
        <v>23.142493222999999</v>
      </c>
      <c r="AV18" s="70">
        <v>24.683080955000001</v>
      </c>
      <c r="AW18" s="70">
        <v>22.198884404000001</v>
      </c>
    </row>
    <row r="19" spans="2:53" x14ac:dyDescent="0.3">
      <c r="D19" s="70"/>
      <c r="E19" s="345"/>
      <c r="F19" s="198"/>
      <c r="G19" s="198"/>
      <c r="H19" s="193"/>
      <c r="I19" s="179"/>
      <c r="J19" s="179"/>
      <c r="K19" s="179"/>
      <c r="L19" s="179"/>
      <c r="M19" s="179"/>
      <c r="N19" s="179"/>
      <c r="O19" s="179"/>
      <c r="P19" s="179"/>
      <c r="Q19" s="179"/>
      <c r="R19" s="179"/>
      <c r="S19" s="179"/>
      <c r="T19" s="70"/>
      <c r="U19" s="70"/>
      <c r="V19" s="70"/>
      <c r="W19" s="70"/>
      <c r="X19" s="70"/>
      <c r="Y19" s="193"/>
      <c r="Z19" s="193"/>
      <c r="AA19" s="61"/>
      <c r="AC19" s="70"/>
      <c r="AD19" s="345"/>
      <c r="AE19" s="54"/>
      <c r="AF19" s="194"/>
      <c r="AG19" s="193"/>
      <c r="AH19" s="179"/>
      <c r="AI19" s="179"/>
      <c r="AJ19" s="179"/>
      <c r="AK19" s="179"/>
      <c r="AL19" s="179"/>
      <c r="AM19" s="179"/>
      <c r="AN19" s="179"/>
      <c r="AO19" s="179"/>
      <c r="AP19" s="179"/>
      <c r="AQ19" s="179"/>
      <c r="AR19" s="179"/>
      <c r="AS19" s="70"/>
      <c r="AT19" s="70"/>
      <c r="AU19" s="70"/>
      <c r="AV19" s="70"/>
      <c r="AW19" s="70"/>
    </row>
    <row r="20" spans="2:53" s="307" customFormat="1" x14ac:dyDescent="0.3">
      <c r="B20" s="146" t="s">
        <v>40</v>
      </c>
      <c r="C20" s="347" t="s">
        <v>61</v>
      </c>
      <c r="D20" s="348">
        <f t="shared" si="0"/>
        <v>32855.181935105997</v>
      </c>
      <c r="E20" s="349">
        <f>M20</f>
        <v>32404.438804745998</v>
      </c>
      <c r="F20" s="350">
        <f>IFERROR(IF(D20*E20&lt;0,"-", IF(E20&lt;0,-(D20/E20-1),(D20/E20-1))),0)</f>
        <v>1.3909919350122646E-2</v>
      </c>
      <c r="G20" s="351"/>
      <c r="H20" s="352"/>
      <c r="I20" s="353">
        <f>SUM(I6:I18)</f>
        <v>32855.181935105997</v>
      </c>
      <c r="J20" s="353">
        <v>33165.463238684002</v>
      </c>
      <c r="K20" s="353">
        <v>32215.468491141004</v>
      </c>
      <c r="L20" s="353">
        <v>32214.588505664</v>
      </c>
      <c r="M20" s="353">
        <v>32404.438804745998</v>
      </c>
      <c r="N20" s="353">
        <f>SUM(N6:N18)</f>
        <v>32232.652833784996</v>
      </c>
      <c r="O20" s="353">
        <v>32188.592706805</v>
      </c>
      <c r="P20" s="353">
        <v>32333.017256451996</v>
      </c>
      <c r="Q20" s="353">
        <v>33046.19302499701</v>
      </c>
      <c r="R20" s="353">
        <f t="shared" ref="R20:W20" si="8">SUM(R6:R19)</f>
        <v>32111.059738974996</v>
      </c>
      <c r="S20" s="353">
        <f t="shared" si="8"/>
        <v>32951.333185621006</v>
      </c>
      <c r="T20" s="348">
        <f t="shared" si="8"/>
        <v>33150.631226668003</v>
      </c>
      <c r="U20" s="348">
        <f t="shared" si="8"/>
        <v>1267.5435098330001</v>
      </c>
      <c r="V20" s="348">
        <f t="shared" si="8"/>
        <v>975.795193402</v>
      </c>
      <c r="W20" s="348">
        <f t="shared" si="8"/>
        <v>930.17729540400012</v>
      </c>
      <c r="X20" s="348">
        <v>38438.523672085001</v>
      </c>
      <c r="Y20" s="352"/>
      <c r="Z20" s="352"/>
      <c r="AA20" s="146" t="s">
        <v>40</v>
      </c>
      <c r="AB20" s="347" t="s">
        <v>61</v>
      </c>
      <c r="AC20" s="348">
        <f>AH20</f>
        <v>32920.825236135002</v>
      </c>
      <c r="AD20" s="349">
        <f t="shared" si="4"/>
        <v>32493.623714996003</v>
      </c>
      <c r="AE20" s="436">
        <f>IFERROR(IF(AC20*AD20&lt;0,"-", IF(AD20&lt;0,-(AC20/AD20-1),(AC20/AD20-1))),0)</f>
        <v>1.3147241590719894E-2</v>
      </c>
      <c r="AF20" s="314"/>
      <c r="AG20" s="352"/>
      <c r="AH20" s="353">
        <v>32920.825236135002</v>
      </c>
      <c r="AI20" s="353">
        <f>SUM(AI6:AI18)</f>
        <v>33221.045823390996</v>
      </c>
      <c r="AJ20" s="353">
        <v>32262.704298899997</v>
      </c>
      <c r="AK20" s="353">
        <v>32292.184746393999</v>
      </c>
      <c r="AL20" s="353">
        <v>32493.623714996003</v>
      </c>
      <c r="AM20" s="353">
        <v>32311.033193067</v>
      </c>
      <c r="AN20" s="353">
        <v>32269.310839189991</v>
      </c>
      <c r="AO20" s="353">
        <v>32398.449412588998</v>
      </c>
      <c r="AP20" s="353">
        <v>33092.023489392006</v>
      </c>
      <c r="AQ20" s="353">
        <f t="shared" ref="AQ20:AV20" si="9">SUM(AQ6:AQ19)</f>
        <v>32212.292311460998</v>
      </c>
      <c r="AR20" s="353">
        <f t="shared" si="9"/>
        <v>33053.385020776004</v>
      </c>
      <c r="AS20" s="348">
        <f t="shared" si="9"/>
        <v>33188.803487748999</v>
      </c>
      <c r="AT20" s="348">
        <f t="shared" si="9"/>
        <v>1280.8669937740001</v>
      </c>
      <c r="AU20" s="348">
        <f t="shared" si="9"/>
        <v>861.70536753199997</v>
      </c>
      <c r="AV20" s="348">
        <f t="shared" si="9"/>
        <v>866.51388777800003</v>
      </c>
      <c r="AW20" s="348">
        <v>38443.84591083401</v>
      </c>
    </row>
    <row r="21" spans="2:53" x14ac:dyDescent="0.3">
      <c r="B21" s="61" t="s">
        <v>41</v>
      </c>
      <c r="C21" s="141" t="s">
        <v>799</v>
      </c>
      <c r="D21" s="70">
        <f t="shared" si="0"/>
        <v>26996.698255522999</v>
      </c>
      <c r="E21" s="345">
        <f t="shared" ref="E21:E29" si="10">M21</f>
        <v>26248.411835352999</v>
      </c>
      <c r="F21" s="198">
        <f t="shared" ref="F21:F29" si="11">IFERROR(IF(D21*E21&lt;0,"-", IF(E21&lt;0,-(D21/E21-1),(D21/E21-1))),0)</f>
        <v>2.8507874109250375E-2</v>
      </c>
      <c r="G21" s="198"/>
      <c r="H21" s="193"/>
      <c r="I21" s="179">
        <v>26996.698255522999</v>
      </c>
      <c r="J21" s="179">
        <v>27342.067893353</v>
      </c>
      <c r="K21" s="179">
        <v>26726.920177778</v>
      </c>
      <c r="L21" s="179">
        <v>26550.413233904001</v>
      </c>
      <c r="M21" s="179">
        <v>26248.411835352999</v>
      </c>
      <c r="N21" s="179">
        <v>26174.335400399999</v>
      </c>
      <c r="O21" s="179">
        <v>26039.097234629</v>
      </c>
      <c r="P21" s="179">
        <v>25784.114197024999</v>
      </c>
      <c r="Q21" s="179">
        <v>25645.533710570999</v>
      </c>
      <c r="R21" s="179">
        <v>24045.985965682001</v>
      </c>
      <c r="S21" s="179">
        <v>24896.210359886001</v>
      </c>
      <c r="T21" s="70">
        <v>25045.177309655999</v>
      </c>
      <c r="U21" s="70">
        <v>24226.619514446</v>
      </c>
      <c r="V21" s="70">
        <v>24626.604403361001</v>
      </c>
      <c r="W21" s="70">
        <f>'[12]202206 BS(17및39기준)'!$X$244/1000000000</f>
        <v>25468.918496857001</v>
      </c>
      <c r="X21" s="70">
        <v>27685.786804092</v>
      </c>
      <c r="Y21" s="193"/>
      <c r="Z21" s="193"/>
      <c r="AA21" s="61" t="s">
        <v>41</v>
      </c>
      <c r="AB21" s="141" t="s">
        <v>1264</v>
      </c>
      <c r="AC21" s="70">
        <f t="shared" ref="AC21:AC29" si="12">AH21</f>
        <v>26996.698255522999</v>
      </c>
      <c r="AD21" s="345">
        <f t="shared" si="4"/>
        <v>26248.411835352999</v>
      </c>
      <c r="AE21" s="54">
        <f>IFERROR(IF(AC21*AD21&lt;0,"-", IF(AD21&lt;0,-(AC21/AD21-1),(AC21/AD21-1))),0)</f>
        <v>2.8507874109250375E-2</v>
      </c>
      <c r="AF21" s="194"/>
      <c r="AG21" s="193"/>
      <c r="AH21" s="179">
        <v>26996.698255522999</v>
      </c>
      <c r="AI21" s="179">
        <v>27342.067893353</v>
      </c>
      <c r="AJ21" s="179">
        <v>26726.920177778</v>
      </c>
      <c r="AK21" s="179">
        <v>26550.413233904001</v>
      </c>
      <c r="AL21" s="179">
        <v>26248.411835352999</v>
      </c>
      <c r="AM21" s="179">
        <v>26174.335400399999</v>
      </c>
      <c r="AN21" s="179">
        <v>26039.097234629</v>
      </c>
      <c r="AO21" s="179">
        <v>25784.114197024999</v>
      </c>
      <c r="AP21" s="179">
        <v>25645.533710570999</v>
      </c>
      <c r="AQ21" s="179">
        <v>24045.985965682001</v>
      </c>
      <c r="AR21" s="179">
        <v>24896.210359886001</v>
      </c>
      <c r="AS21" s="70">
        <v>25045.177309655999</v>
      </c>
      <c r="AT21" s="70">
        <v>24226.619514446</v>
      </c>
      <c r="AU21" s="70">
        <v>24626.604403361001</v>
      </c>
      <c r="AV21" s="70">
        <v>25468.918496857001</v>
      </c>
      <c r="AW21" s="70">
        <v>27685.786804092</v>
      </c>
    </row>
    <row r="22" spans="2:53" x14ac:dyDescent="0.3">
      <c r="B22" s="61" t="s">
        <v>800</v>
      </c>
      <c r="C22" s="141" t="s">
        <v>801</v>
      </c>
      <c r="D22" s="70">
        <f t="shared" si="0"/>
        <v>0</v>
      </c>
      <c r="E22" s="345">
        <f t="shared" si="10"/>
        <v>1.3708266730000001</v>
      </c>
      <c r="F22" s="198">
        <f t="shared" si="11"/>
        <v>-1</v>
      </c>
      <c r="G22" s="198"/>
      <c r="H22" s="193"/>
      <c r="I22" s="179">
        <v>0</v>
      </c>
      <c r="J22" s="179">
        <v>0</v>
      </c>
      <c r="K22" s="179">
        <v>2.416589085</v>
      </c>
      <c r="L22" s="179">
        <v>4.33626529</v>
      </c>
      <c r="M22" s="179">
        <v>1.3708266730000001</v>
      </c>
      <c r="N22" s="179">
        <v>3.5431381420000001</v>
      </c>
      <c r="O22" s="179">
        <v>4.724709313</v>
      </c>
      <c r="P22" s="179">
        <v>5.9267046629999998</v>
      </c>
      <c r="Q22" s="179">
        <v>0.84792660900000005</v>
      </c>
      <c r="R22" s="179">
        <v>0.44620526300000002</v>
      </c>
      <c r="S22" s="179">
        <v>4.562151901</v>
      </c>
      <c r="T22" s="70">
        <v>5.7090257839999996</v>
      </c>
      <c r="U22" s="70">
        <v>1.989934278</v>
      </c>
      <c r="V22" s="70">
        <v>0.71071884600000002</v>
      </c>
      <c r="W22" s="70">
        <f>'[12]202206 BS(17및39기준)'!$X$249/1000000000</f>
        <v>4.5136052790000001</v>
      </c>
      <c r="X22" s="70">
        <v>8.3379811920000009</v>
      </c>
      <c r="Y22" s="193"/>
      <c r="Z22" s="193"/>
      <c r="AA22" s="61" t="s">
        <v>1265</v>
      </c>
      <c r="AB22" s="141" t="s">
        <v>1266</v>
      </c>
      <c r="AC22" s="70">
        <f t="shared" si="12"/>
        <v>0</v>
      </c>
      <c r="AD22" s="345">
        <f t="shared" si="4"/>
        <v>1.3708266730000001</v>
      </c>
      <c r="AE22" s="54">
        <f>IFERROR(IF(AC22*AD22&lt;0,"-", IF(AD22&lt;0,-(AC22/AD22-1),(AC22/AD22-1))),0)</f>
        <v>-1</v>
      </c>
      <c r="AF22" s="194"/>
      <c r="AG22" s="193"/>
      <c r="AH22" s="179">
        <v>0</v>
      </c>
      <c r="AI22" s="179">
        <v>0</v>
      </c>
      <c r="AJ22" s="179">
        <v>2.416589085</v>
      </c>
      <c r="AK22" s="179">
        <v>4.33626529</v>
      </c>
      <c r="AL22" s="179">
        <v>1.3708266730000001</v>
      </c>
      <c r="AM22" s="179">
        <v>3.5431381420000001</v>
      </c>
      <c r="AN22" s="179">
        <v>4.724709313</v>
      </c>
      <c r="AO22" s="179">
        <v>5.9267046629999998</v>
      </c>
      <c r="AP22" s="179">
        <v>0.84792660900000005</v>
      </c>
      <c r="AQ22" s="179">
        <v>0.44620526300000002</v>
      </c>
      <c r="AR22" s="179">
        <v>4.562151901</v>
      </c>
      <c r="AS22" s="70">
        <v>5.7090257839999996</v>
      </c>
      <c r="AT22" s="70">
        <v>1.989934278</v>
      </c>
      <c r="AU22" s="70">
        <v>0.71071884600000002</v>
      </c>
      <c r="AV22" s="70">
        <v>4.5136052790000001</v>
      </c>
      <c r="AW22" s="70">
        <v>8.3379811920000009</v>
      </c>
    </row>
    <row r="23" spans="2:53" x14ac:dyDescent="0.3">
      <c r="B23" s="61" t="s">
        <v>1562</v>
      </c>
      <c r="C23" s="141" t="s">
        <v>1608</v>
      </c>
      <c r="D23" s="70">
        <f t="shared" si="0"/>
        <v>2179.7499010510001</v>
      </c>
      <c r="E23" s="345">
        <f t="shared" si="10"/>
        <v>2425.5571298989998</v>
      </c>
      <c r="F23" s="198">
        <f t="shared" si="11"/>
        <v>-0.10134052330411825</v>
      </c>
      <c r="G23" s="198"/>
      <c r="H23" s="193"/>
      <c r="I23" s="179">
        <v>2179.7499010510001</v>
      </c>
      <c r="J23" s="179">
        <v>2211.5094985609999</v>
      </c>
      <c r="K23" s="179">
        <v>2265.6968476309999</v>
      </c>
      <c r="L23" s="179">
        <v>2314.6336011950002</v>
      </c>
      <c r="M23" s="179">
        <v>2425.5571298989998</v>
      </c>
      <c r="N23" s="179">
        <v>2827.468038211</v>
      </c>
      <c r="O23" s="179">
        <v>2848.5143521599998</v>
      </c>
      <c r="P23" s="179">
        <v>2986.4151433729999</v>
      </c>
      <c r="Q23" s="179">
        <v>3175.249446237</v>
      </c>
      <c r="R23" s="179">
        <v>3899.8098050160002</v>
      </c>
      <c r="S23" s="179">
        <v>3901.369950922</v>
      </c>
      <c r="T23" s="70">
        <v>4010.7684484659999</v>
      </c>
      <c r="U23" s="70">
        <v>4625.37477683</v>
      </c>
      <c r="V23" s="70">
        <v>5717.6542286840004</v>
      </c>
      <c r="W23" s="70">
        <f>'[12]202206 BS(17및39기준)'!$X$254/1000000000</f>
        <v>5876.9668651390002</v>
      </c>
      <c r="X23" s="70">
        <v>6050.365234717</v>
      </c>
      <c r="Y23" s="193"/>
      <c r="Z23" s="193"/>
      <c r="AA23" s="61" t="s">
        <v>1563</v>
      </c>
      <c r="AB23" s="141" t="s">
        <v>1607</v>
      </c>
      <c r="AC23" s="70">
        <f t="shared" si="12"/>
        <v>2179.7499010510001</v>
      </c>
      <c r="AD23" s="345">
        <f t="shared" si="4"/>
        <v>2425.5571298989998</v>
      </c>
      <c r="AE23" s="54">
        <f>IFERROR(IF(AC23*AD23&lt;0,"-", IF(AD23&lt;0,-(AC23/AD23-1),(AC23/AD23-1))),0)</f>
        <v>-0.10134052330411825</v>
      </c>
      <c r="AF23" s="194"/>
      <c r="AG23" s="193"/>
      <c r="AH23" s="179">
        <v>2179.7499010510001</v>
      </c>
      <c r="AI23" s="179">
        <v>2211.5094985609999</v>
      </c>
      <c r="AJ23" s="179">
        <v>2265.6968476309999</v>
      </c>
      <c r="AK23" s="179">
        <v>2314.6336011950002</v>
      </c>
      <c r="AL23" s="179">
        <v>2425.5571298989998</v>
      </c>
      <c r="AM23" s="179">
        <v>2827.468038211</v>
      </c>
      <c r="AN23" s="179">
        <v>2848.5143521599998</v>
      </c>
      <c r="AO23" s="179">
        <v>2986.4151433729999</v>
      </c>
      <c r="AP23" s="179">
        <v>3175.249446237</v>
      </c>
      <c r="AQ23" s="179">
        <v>3899.8098050160002</v>
      </c>
      <c r="AR23" s="179">
        <v>3901.369950922</v>
      </c>
      <c r="AS23" s="70">
        <v>4010.7684484659999</v>
      </c>
      <c r="AT23" s="70">
        <v>4625.37477683</v>
      </c>
      <c r="AU23" s="70">
        <v>5717.6542286840004</v>
      </c>
      <c r="AV23" s="70">
        <v>5876.9668651390002</v>
      </c>
      <c r="AW23" s="70">
        <v>6050.4</v>
      </c>
    </row>
    <row r="24" spans="2:53" x14ac:dyDescent="0.3">
      <c r="B24" s="61" t="s">
        <v>1821</v>
      </c>
      <c r="C24" s="141" t="s">
        <v>1825</v>
      </c>
      <c r="D24" s="70">
        <f t="shared" si="0"/>
        <v>254.69487541000001</v>
      </c>
      <c r="E24" s="345">
        <f t="shared" si="10"/>
        <v>284.03898879100001</v>
      </c>
      <c r="F24" s="324">
        <v>-0.4326405759168952</v>
      </c>
      <c r="G24" s="346"/>
      <c r="H24" s="193"/>
      <c r="I24" s="179">
        <v>254.69487541000001</v>
      </c>
      <c r="J24" s="179">
        <v>158.40515927800001</v>
      </c>
      <c r="K24" s="179">
        <v>53.741221729000003</v>
      </c>
      <c r="L24" s="179">
        <v>219.76782485199999</v>
      </c>
      <c r="M24" s="179">
        <v>284.03898879100001</v>
      </c>
      <c r="N24" s="179">
        <v>18.741528856999999</v>
      </c>
      <c r="O24" s="179">
        <v>94.239883441000003</v>
      </c>
      <c r="P24" s="179">
        <v>68.457891383000003</v>
      </c>
      <c r="Q24" s="179">
        <v>20.641072787999999</v>
      </c>
      <c r="R24" s="179">
        <v>194.00387341499999</v>
      </c>
      <c r="S24" s="179">
        <v>166.10261404100001</v>
      </c>
      <c r="T24" s="70">
        <v>0</v>
      </c>
      <c r="U24" s="70">
        <v>0</v>
      </c>
      <c r="V24" s="70">
        <v>0</v>
      </c>
      <c r="W24" s="70">
        <v>0</v>
      </c>
      <c r="X24" s="70">
        <v>0</v>
      </c>
      <c r="Y24" s="193"/>
      <c r="Z24" s="193"/>
      <c r="AA24" s="61" t="s">
        <v>1819</v>
      </c>
      <c r="AB24" s="141" t="s">
        <v>1825</v>
      </c>
      <c r="AC24" s="70">
        <f t="shared" si="12"/>
        <v>264.30140844699997</v>
      </c>
      <c r="AD24" s="345">
        <f t="shared" si="4"/>
        <v>318.41118646899997</v>
      </c>
      <c r="AE24" s="685">
        <v>-0.29823660269087171</v>
      </c>
      <c r="AF24" s="684"/>
      <c r="AG24" s="193"/>
      <c r="AH24" s="179">
        <v>264.30140844699997</v>
      </c>
      <c r="AI24" s="179">
        <v>166.57950857899999</v>
      </c>
      <c r="AJ24" s="179">
        <v>57.173480240000004</v>
      </c>
      <c r="AK24" s="179">
        <v>245.86954808900001</v>
      </c>
      <c r="AL24" s="179">
        <v>318.41118646899997</v>
      </c>
      <c r="AM24" s="179">
        <v>35.566112107999999</v>
      </c>
      <c r="AN24" s="179">
        <v>120.492462848</v>
      </c>
      <c r="AO24" s="179">
        <v>82.336924303000004</v>
      </c>
      <c r="AP24" s="179">
        <v>28.034775544999999</v>
      </c>
      <c r="AQ24" s="179">
        <v>205.52489474000001</v>
      </c>
      <c r="AR24" s="179">
        <v>171.69955473600001</v>
      </c>
      <c r="AS24" s="70">
        <v>234.86754548499999</v>
      </c>
      <c r="AT24" s="70">
        <v>0</v>
      </c>
      <c r="AU24" s="70"/>
      <c r="AV24" s="70">
        <v>0</v>
      </c>
      <c r="AW24" s="70"/>
    </row>
    <row r="25" spans="2:53" x14ac:dyDescent="0.3">
      <c r="B25" s="61" t="s">
        <v>42</v>
      </c>
      <c r="C25" s="141" t="s">
        <v>62</v>
      </c>
      <c r="D25" s="70">
        <f t="shared" si="0"/>
        <v>598.64878516199997</v>
      </c>
      <c r="E25" s="345">
        <f t="shared" si="10"/>
        <v>499.42995130600002</v>
      </c>
      <c r="F25" s="324">
        <f t="shared" si="11"/>
        <v>0.19866416420670108</v>
      </c>
      <c r="G25" s="346"/>
      <c r="H25" s="193"/>
      <c r="I25" s="179">
        <v>598.64878516199997</v>
      </c>
      <c r="J25" s="179">
        <v>299.48975352799999</v>
      </c>
      <c r="K25" s="179">
        <v>299.46960039800001</v>
      </c>
      <c r="L25" s="179">
        <v>299.44966632400002</v>
      </c>
      <c r="M25" s="179">
        <v>499.42995130600002</v>
      </c>
      <c r="N25" s="179">
        <v>299.40257935900001</v>
      </c>
      <c r="O25" s="179">
        <v>299.37520741200001</v>
      </c>
      <c r="P25" s="179">
        <v>299.348132986</v>
      </c>
      <c r="Q25" s="179">
        <v>549.32099856000002</v>
      </c>
      <c r="R25" s="179">
        <v>498.890911969</v>
      </c>
      <c r="S25" s="179">
        <v>498.857060289</v>
      </c>
      <c r="T25" s="70">
        <v>498.82357656099998</v>
      </c>
      <c r="U25" s="70">
        <v>998.79046078800002</v>
      </c>
      <c r="V25" s="70">
        <v>498.7579834</v>
      </c>
      <c r="W25" s="70">
        <f>'[12]202206 BS(17및39기준)'!$X$278/1000000000</f>
        <v>498.72550601199998</v>
      </c>
      <c r="X25" s="70">
        <v>498.66878285899998</v>
      </c>
      <c r="Y25" s="193"/>
      <c r="Z25" s="193"/>
      <c r="AA25" s="61" t="s">
        <v>42</v>
      </c>
      <c r="AB25" s="141" t="s">
        <v>62</v>
      </c>
      <c r="AC25" s="70">
        <f t="shared" si="12"/>
        <v>598.64878516199997</v>
      </c>
      <c r="AD25" s="345">
        <f t="shared" si="4"/>
        <v>499.42995130600002</v>
      </c>
      <c r="AE25" s="685">
        <f t="shared" ref="AE25" si="13">IFERROR(IF(AC25*AD25&lt;0,"-", IF(AD25&lt;0,-(AC25/AD25-1),(AC25/AD25-1))),0)</f>
        <v>0.19866416420670108</v>
      </c>
      <c r="AF25" s="684"/>
      <c r="AG25" s="193"/>
      <c r="AH25" s="179">
        <v>598.64878516199997</v>
      </c>
      <c r="AI25" s="179">
        <v>299.48975352799999</v>
      </c>
      <c r="AJ25" s="179">
        <v>299.46960039800001</v>
      </c>
      <c r="AK25" s="179">
        <v>299.44966632400002</v>
      </c>
      <c r="AL25" s="179">
        <v>499.42995130600002</v>
      </c>
      <c r="AM25" s="179">
        <v>299.40257935900001</v>
      </c>
      <c r="AN25" s="179">
        <v>299.37520741200001</v>
      </c>
      <c r="AO25" s="179">
        <v>299.348132986</v>
      </c>
      <c r="AP25" s="179">
        <v>549.32099856000002</v>
      </c>
      <c r="AQ25" s="179">
        <v>498.890911969</v>
      </c>
      <c r="AR25" s="179">
        <v>498.857060289</v>
      </c>
      <c r="AS25" s="70">
        <v>498.82357656099998</v>
      </c>
      <c r="AT25" s="70">
        <v>998.79046078800002</v>
      </c>
      <c r="AU25" s="70">
        <v>498.7579834</v>
      </c>
      <c r="AV25" s="70">
        <v>498.72550601199998</v>
      </c>
      <c r="AW25" s="70">
        <v>498.66878285899998</v>
      </c>
    </row>
    <row r="26" spans="2:53" x14ac:dyDescent="0.3">
      <c r="B26" s="61" t="s">
        <v>43</v>
      </c>
      <c r="C26" s="141" t="s">
        <v>63</v>
      </c>
      <c r="D26" s="70">
        <f t="shared" si="0"/>
        <v>7.087052828</v>
      </c>
      <c r="E26" s="345">
        <f t="shared" si="10"/>
        <v>13.107425946999999</v>
      </c>
      <c r="F26" s="198">
        <f t="shared" si="11"/>
        <v>-0.45931009973609116</v>
      </c>
      <c r="G26" s="198"/>
      <c r="H26" s="193"/>
      <c r="I26" s="179">
        <v>7.087052828</v>
      </c>
      <c r="J26" s="179">
        <v>12.703102762</v>
      </c>
      <c r="K26" s="179">
        <v>13.105233010999999</v>
      </c>
      <c r="L26" s="179">
        <v>13.158918276</v>
      </c>
      <c r="M26" s="179">
        <v>13.107425946999999</v>
      </c>
      <c r="N26" s="179">
        <v>11.811167490000001</v>
      </c>
      <c r="O26" s="179">
        <v>11.694916206</v>
      </c>
      <c r="P26" s="179">
        <v>11.287522402</v>
      </c>
      <c r="Q26" s="179">
        <v>11.286506685000001</v>
      </c>
      <c r="R26" s="179">
        <v>9.8877000230000007</v>
      </c>
      <c r="S26" s="179">
        <v>10.090391185</v>
      </c>
      <c r="T26" s="70">
        <v>10.227590681000001</v>
      </c>
      <c r="U26" s="70">
        <v>5.3353768119999998</v>
      </c>
      <c r="V26" s="70">
        <v>7.1412102920000002</v>
      </c>
      <c r="W26" s="70">
        <f>'[12]202206 BS(17및39기준)'!$X$288/1000000000</f>
        <v>8.0262875949999994</v>
      </c>
      <c r="X26" s="70">
        <v>9.0865249850000005</v>
      </c>
      <c r="Y26" s="193"/>
      <c r="Z26" s="193"/>
      <c r="AA26" s="61" t="s">
        <v>43</v>
      </c>
      <c r="AB26" s="141" t="s">
        <v>63</v>
      </c>
      <c r="AC26" s="70">
        <f t="shared" si="12"/>
        <v>7.087052828</v>
      </c>
      <c r="AD26" s="345">
        <f t="shared" si="4"/>
        <v>13.107425946999999</v>
      </c>
      <c r="AE26" s="54">
        <f>IFERROR(IF(AC26*AD26&lt;0,"-", IF(AD26&lt;0,-(AC26/AD26-1),(AC26/AD26-1))),0)</f>
        <v>-0.45931009973609116</v>
      </c>
      <c r="AF26" s="194"/>
      <c r="AG26" s="193"/>
      <c r="AH26" s="179">
        <v>7.087052828</v>
      </c>
      <c r="AI26" s="179">
        <v>12.703102762</v>
      </c>
      <c r="AJ26" s="179">
        <v>13.105233010999999</v>
      </c>
      <c r="AK26" s="179">
        <v>13.158918276</v>
      </c>
      <c r="AL26" s="179">
        <v>13.107425946999999</v>
      </c>
      <c r="AM26" s="179">
        <v>11.811167490000001</v>
      </c>
      <c r="AN26" s="179">
        <v>11.694916206</v>
      </c>
      <c r="AO26" s="179">
        <v>11.287522402</v>
      </c>
      <c r="AP26" s="179">
        <v>11.286506685000001</v>
      </c>
      <c r="AQ26" s="179">
        <v>9.8877000230000007</v>
      </c>
      <c r="AR26" s="179">
        <v>10.090391185</v>
      </c>
      <c r="AS26" s="70">
        <v>10.227590681000001</v>
      </c>
      <c r="AT26" s="70">
        <v>5.3353768119999998</v>
      </c>
      <c r="AU26" s="70">
        <v>7.1412102920000002</v>
      </c>
      <c r="AV26" s="70">
        <v>8.0262875949999994</v>
      </c>
      <c r="AW26" s="70">
        <v>9.0865249850000005</v>
      </c>
    </row>
    <row r="27" spans="2:53" x14ac:dyDescent="0.3">
      <c r="B27" s="61" t="s">
        <v>44</v>
      </c>
      <c r="C27" s="141" t="s">
        <v>64</v>
      </c>
      <c r="D27" s="70">
        <f t="shared" si="0"/>
        <v>3.08012547</v>
      </c>
      <c r="E27" s="345">
        <f t="shared" si="10"/>
        <v>2.511749805</v>
      </c>
      <c r="F27" s="198">
        <f t="shared" si="11"/>
        <v>0.22628673599120686</v>
      </c>
      <c r="G27" s="198"/>
      <c r="H27" s="193"/>
      <c r="I27" s="179">
        <v>3.08012547</v>
      </c>
      <c r="J27" s="179">
        <v>2.3711717010000002</v>
      </c>
      <c r="K27" s="179">
        <v>2.5508629040000002</v>
      </c>
      <c r="L27" s="179">
        <v>2.5500789049999999</v>
      </c>
      <c r="M27" s="179">
        <v>2.511749805</v>
      </c>
      <c r="N27" s="179">
        <v>2.079621929</v>
      </c>
      <c r="O27" s="179">
        <v>2.1344890529999998</v>
      </c>
      <c r="P27" s="179">
        <v>2.2742991930000001</v>
      </c>
      <c r="Q27" s="179">
        <v>1.08488908</v>
      </c>
      <c r="R27" s="179">
        <v>1.0930234299999999</v>
      </c>
      <c r="S27" s="179">
        <v>1.055187147</v>
      </c>
      <c r="T27" s="70">
        <v>1.075542472</v>
      </c>
      <c r="U27" s="70">
        <v>0.97970742200000005</v>
      </c>
      <c r="V27" s="70">
        <v>1.011599329</v>
      </c>
      <c r="W27" s="70">
        <f>'[12]202206 BS(17및39기준)'!$X$295/1000000000</f>
        <v>0.918267524</v>
      </c>
      <c r="X27" s="70">
        <v>1.057935343</v>
      </c>
      <c r="Y27" s="193"/>
      <c r="Z27" s="193"/>
      <c r="AA27" s="61" t="s">
        <v>44</v>
      </c>
      <c r="AB27" s="141" t="s">
        <v>64</v>
      </c>
      <c r="AC27" s="70">
        <f t="shared" si="12"/>
        <v>6.0452451490000003</v>
      </c>
      <c r="AD27" s="345">
        <f t="shared" si="4"/>
        <v>5.4752186270000003</v>
      </c>
      <c r="AE27" s="54">
        <f>IFERROR(IF(AC27*AD27&lt;0,"-", IF(AD27&lt;0,-(AC27/AD27-1),(AC27/AD27-1))),0)</f>
        <v>0.10411027592378175</v>
      </c>
      <c r="AF27" s="194"/>
      <c r="AG27" s="193"/>
      <c r="AH27" s="179">
        <v>6.0452451490000003</v>
      </c>
      <c r="AI27" s="179">
        <v>5.2850346869999996</v>
      </c>
      <c r="AJ27" s="179">
        <v>5.4437002420000002</v>
      </c>
      <c r="AK27" s="179">
        <v>5.4271276970000004</v>
      </c>
      <c r="AL27" s="179">
        <v>5.4752186270000003</v>
      </c>
      <c r="AM27" s="179">
        <v>4.9878513440000001</v>
      </c>
      <c r="AN27" s="179">
        <v>4.9954076949999999</v>
      </c>
      <c r="AO27" s="179">
        <v>5.2122534470000002</v>
      </c>
      <c r="AP27" s="179">
        <v>4.0321800029999997</v>
      </c>
      <c r="AQ27" s="179">
        <v>4.075387568</v>
      </c>
      <c r="AR27" s="179">
        <v>4.0095524769999997</v>
      </c>
      <c r="AS27" s="70">
        <v>2.9228182880000002</v>
      </c>
      <c r="AT27" s="70">
        <v>2.805409778</v>
      </c>
      <c r="AU27" s="70">
        <v>3.029751036</v>
      </c>
      <c r="AV27" s="70">
        <v>2.9317537090000001</v>
      </c>
      <c r="AW27" s="70">
        <v>3.3462832200000001</v>
      </c>
      <c r="BA27" s="294"/>
    </row>
    <row r="28" spans="2:53" x14ac:dyDescent="0.3">
      <c r="B28" s="61" t="s">
        <v>45</v>
      </c>
      <c r="C28" s="141" t="s">
        <v>65</v>
      </c>
      <c r="D28" s="70">
        <f t="shared" si="0"/>
        <v>195.366140677</v>
      </c>
      <c r="E28" s="345">
        <f t="shared" si="10"/>
        <v>207.35141085500001</v>
      </c>
      <c r="F28" s="198">
        <f t="shared" si="11"/>
        <v>-5.7801729578687344E-2</v>
      </c>
      <c r="G28" s="198"/>
      <c r="H28" s="193"/>
      <c r="I28" s="179">
        <v>195.366140677</v>
      </c>
      <c r="J28" s="179">
        <v>186.35796481899999</v>
      </c>
      <c r="K28" s="179">
        <v>184.15352703600001</v>
      </c>
      <c r="L28" s="179">
        <v>184.10475490799999</v>
      </c>
      <c r="M28" s="179">
        <v>207.35141085500001</v>
      </c>
      <c r="N28" s="179">
        <v>240.50887515400001</v>
      </c>
      <c r="O28" s="179">
        <v>242.99640846899999</v>
      </c>
      <c r="P28" s="179">
        <v>298.25709849600003</v>
      </c>
      <c r="Q28" s="179">
        <v>379.826773731</v>
      </c>
      <c r="R28" s="179">
        <v>364.035402858</v>
      </c>
      <c r="S28" s="179">
        <v>361.13437675799997</v>
      </c>
      <c r="T28" s="70">
        <v>331.98807798199999</v>
      </c>
      <c r="U28" s="70">
        <v>692.58051512300005</v>
      </c>
      <c r="V28" s="70">
        <v>912.46386739399998</v>
      </c>
      <c r="W28" s="70">
        <f>'[12]202206 BS(17및39기준)'!$X$302/1000000000</f>
        <v>756.543694405</v>
      </c>
      <c r="X28" s="70">
        <v>525.60829156099999</v>
      </c>
      <c r="Y28" s="193"/>
      <c r="Z28" s="193"/>
      <c r="AA28" s="61" t="s">
        <v>45</v>
      </c>
      <c r="AB28" s="141" t="s">
        <v>65</v>
      </c>
      <c r="AC28" s="70">
        <f t="shared" si="12"/>
        <v>198.51740955299999</v>
      </c>
      <c r="AD28" s="345">
        <f t="shared" si="4"/>
        <v>208.43682709699999</v>
      </c>
      <c r="AE28" s="54">
        <f>IFERROR(IF(AC28*AD28&lt;0,"-", IF(AD28&lt;0,-(AC28/AD28-1),(AC28/AD28-1))),0)</f>
        <v>-4.7589563140796654E-2</v>
      </c>
      <c r="AF28" s="194"/>
      <c r="AG28" s="193"/>
      <c r="AH28" s="179">
        <v>198.51740955299999</v>
      </c>
      <c r="AI28" s="179">
        <v>185.50014157999999</v>
      </c>
      <c r="AJ28" s="179">
        <v>183.20021607199999</v>
      </c>
      <c r="AK28" s="179">
        <v>184.47135407600001</v>
      </c>
      <c r="AL28" s="179">
        <v>208.43682709699999</v>
      </c>
      <c r="AM28" s="179">
        <v>245.950590404</v>
      </c>
      <c r="AN28" s="179">
        <v>248.44429393999999</v>
      </c>
      <c r="AO28" s="179">
        <v>303.71386408000001</v>
      </c>
      <c r="AP28" s="179">
        <v>384.86041717299997</v>
      </c>
      <c r="AQ28" s="179">
        <v>353.07510759900003</v>
      </c>
      <c r="AR28" s="179">
        <v>351.11182950099999</v>
      </c>
      <c r="AS28" s="70">
        <v>323.69418399900002</v>
      </c>
      <c r="AT28" s="70">
        <v>677.1</v>
      </c>
      <c r="AU28" s="70">
        <v>775.26483154699997</v>
      </c>
      <c r="AV28" s="70">
        <v>647.65256197199994</v>
      </c>
      <c r="AW28" s="70">
        <v>485.67007825400003</v>
      </c>
    </row>
    <row r="29" spans="2:53" x14ac:dyDescent="0.3">
      <c r="B29" s="61" t="s">
        <v>46</v>
      </c>
      <c r="C29" s="141" t="s">
        <v>66</v>
      </c>
      <c r="D29" s="70">
        <f t="shared" si="0"/>
        <v>183.35524331600001</v>
      </c>
      <c r="E29" s="345">
        <f t="shared" si="10"/>
        <v>169.42153634900001</v>
      </c>
      <c r="F29" s="198">
        <f t="shared" si="11"/>
        <v>8.2242832093655682E-2</v>
      </c>
      <c r="G29" s="198"/>
      <c r="H29" s="193"/>
      <c r="I29" s="179">
        <v>183.35524331600001</v>
      </c>
      <c r="J29" s="179">
        <v>470.44726668499999</v>
      </c>
      <c r="K29" s="179">
        <v>196.69154020900001</v>
      </c>
      <c r="L29" s="179">
        <v>159.376941407</v>
      </c>
      <c r="M29" s="179">
        <v>169.42153634900001</v>
      </c>
      <c r="N29" s="179">
        <v>125.789162443</v>
      </c>
      <c r="O29" s="179">
        <v>118.11812377699999</v>
      </c>
      <c r="P29" s="179">
        <v>143.06079717200001</v>
      </c>
      <c r="Q29" s="179">
        <v>243.37463719100001</v>
      </c>
      <c r="R29" s="179">
        <v>126.63088886</v>
      </c>
      <c r="S29" s="179">
        <v>169.307668581</v>
      </c>
      <c r="T29" s="70">
        <f>4150.265089409-T23</f>
        <v>139.49664094300033</v>
      </c>
      <c r="U29" s="70">
        <f>4777.97312484492-U23</f>
        <v>152.59834801491979</v>
      </c>
      <c r="V29" s="70">
        <v>135.51200893000001</v>
      </c>
      <c r="W29" s="70">
        <f>('[12]202206 BS(17및39기준)'!$X$257+'[12]202206 BS(17및39기준)'!$X$303+'[12]202206 BS(17및39기준)'!$X$308)/1000000000</f>
        <v>139.9633334309022</v>
      </c>
      <c r="X29" s="70">
        <v>188.39086799776942</v>
      </c>
      <c r="Y29" s="193"/>
      <c r="Z29" s="193"/>
      <c r="AA29" s="61" t="s">
        <v>46</v>
      </c>
      <c r="AB29" s="141" t="s">
        <v>66</v>
      </c>
      <c r="AC29" s="70">
        <f t="shared" si="12"/>
        <v>221.68204776499999</v>
      </c>
      <c r="AD29" s="345">
        <f t="shared" si="4"/>
        <v>209.768650885</v>
      </c>
      <c r="AE29" s="54">
        <f>IFERROR(IF(AC29*AD29&lt;0,"-", IF(AD29&lt;0,-(AC29/AD29-1),(AC29/AD29-1))),0)</f>
        <v>5.6793028079926033E-2</v>
      </c>
      <c r="AF29" s="194"/>
      <c r="AG29" s="193"/>
      <c r="AH29" s="179">
        <v>221.68204776499999</v>
      </c>
      <c r="AI29" s="179">
        <v>506.36265407000002</v>
      </c>
      <c r="AJ29" s="179">
        <v>232.96781398900001</v>
      </c>
      <c r="AK29" s="179">
        <v>197.005885769</v>
      </c>
      <c r="AL29" s="179">
        <v>209.768650885</v>
      </c>
      <c r="AM29" s="179">
        <v>174.79634045399999</v>
      </c>
      <c r="AN29" s="179">
        <v>160.138579306</v>
      </c>
      <c r="AO29" s="179">
        <v>184.24072686700001</v>
      </c>
      <c r="AP29" s="179">
        <v>277.346384403</v>
      </c>
      <c r="AQ29" s="179">
        <v>181.26721385100001</v>
      </c>
      <c r="AR29" s="179">
        <v>268.64374282300003</v>
      </c>
      <c r="AS29" s="70">
        <v>190.444699262</v>
      </c>
      <c r="AT29" s="70">
        <v>205.05560292492314</v>
      </c>
      <c r="AU29" s="70">
        <v>183.44711963699999</v>
      </c>
      <c r="AV29" s="70">
        <v>201.05767487390219</v>
      </c>
      <c r="AW29" s="70">
        <v>244.2</v>
      </c>
    </row>
    <row r="30" spans="2:53" x14ac:dyDescent="0.3">
      <c r="D30" s="70"/>
      <c r="E30" s="345"/>
      <c r="F30" s="198"/>
      <c r="G30" s="198"/>
      <c r="H30" s="193"/>
      <c r="I30" s="179"/>
      <c r="J30" s="179"/>
      <c r="K30" s="179"/>
      <c r="L30" s="179"/>
      <c r="M30" s="179"/>
      <c r="N30" s="179"/>
      <c r="O30" s="179"/>
      <c r="P30" s="179"/>
      <c r="Q30" s="179"/>
      <c r="R30" s="179"/>
      <c r="S30" s="179"/>
      <c r="T30" s="70"/>
      <c r="U30" s="70"/>
      <c r="V30" s="70"/>
      <c r="W30" s="70"/>
      <c r="X30" s="70"/>
      <c r="Y30" s="193"/>
      <c r="Z30" s="193"/>
      <c r="AA30" s="61"/>
      <c r="AC30" s="70"/>
      <c r="AD30" s="345"/>
      <c r="AE30" s="54"/>
      <c r="AF30" s="194"/>
      <c r="AG30" s="193"/>
      <c r="AH30" s="179"/>
      <c r="AI30" s="179"/>
      <c r="AJ30" s="179"/>
      <c r="AK30" s="179"/>
      <c r="AL30" s="179"/>
      <c r="AM30" s="179"/>
      <c r="AN30" s="179"/>
      <c r="AO30" s="179"/>
      <c r="AP30" s="179"/>
      <c r="AQ30" s="179"/>
      <c r="AR30" s="179"/>
      <c r="AS30" s="70"/>
      <c r="AT30" s="70"/>
      <c r="AU30" s="70"/>
      <c r="AV30" s="70"/>
      <c r="AW30" s="70"/>
    </row>
    <row r="31" spans="2:53" s="307" customFormat="1" x14ac:dyDescent="0.3">
      <c r="B31" s="146" t="s">
        <v>47</v>
      </c>
      <c r="C31" s="347" t="s">
        <v>67</v>
      </c>
      <c r="D31" s="348">
        <f t="shared" si="0"/>
        <v>30418.680379437003</v>
      </c>
      <c r="E31" s="349">
        <f t="shared" ref="E31:E38" si="14">M31</f>
        <v>29851.200854977997</v>
      </c>
      <c r="F31" s="350">
        <f>IFERROR(IF(D31*E31&lt;0,"-", IF(E31&lt;0,-(D31/E31-1),(D31/E31-1))),0)</f>
        <v>1.9010274568715513E-2</v>
      </c>
      <c r="G31" s="351"/>
      <c r="H31" s="352"/>
      <c r="I31" s="353">
        <f>SUM(I21:I29)</f>
        <v>30418.680379437003</v>
      </c>
      <c r="J31" s="353">
        <v>30683.351810687003</v>
      </c>
      <c r="K31" s="353">
        <v>29744.745599781003</v>
      </c>
      <c r="L31" s="353">
        <v>29747.791285060997</v>
      </c>
      <c r="M31" s="353">
        <v>29851.200854977997</v>
      </c>
      <c r="N31" s="353">
        <f>SUM(N21:N29)</f>
        <v>29703.679511984999</v>
      </c>
      <c r="O31" s="353">
        <v>29660.895324460002</v>
      </c>
      <c r="P31" s="353">
        <v>29599.141786692999</v>
      </c>
      <c r="Q31" s="353">
        <v>30027.165961451999</v>
      </c>
      <c r="R31" s="353">
        <f t="shared" ref="R31:W31" si="15">SUM(R21:R30)</f>
        <v>29140.783776516</v>
      </c>
      <c r="S31" s="353">
        <f t="shared" si="15"/>
        <v>30008.68976071</v>
      </c>
      <c r="T31" s="348">
        <f t="shared" si="15"/>
        <v>30043.266212545001</v>
      </c>
      <c r="U31" s="348">
        <f t="shared" si="15"/>
        <v>30704.26863371392</v>
      </c>
      <c r="V31" s="348">
        <f t="shared" si="15"/>
        <v>31899.856020235999</v>
      </c>
      <c r="W31" s="348">
        <f t="shared" si="15"/>
        <v>32754.576056241909</v>
      </c>
      <c r="X31" s="348">
        <v>35087.190177645774</v>
      </c>
      <c r="Y31" s="352"/>
      <c r="Z31" s="352"/>
      <c r="AA31" s="146" t="s">
        <v>47</v>
      </c>
      <c r="AB31" s="347" t="s">
        <v>67</v>
      </c>
      <c r="AC31" s="348">
        <f>AH31</f>
        <v>30472.730105477996</v>
      </c>
      <c r="AD31" s="349">
        <f t="shared" si="4"/>
        <v>29929.969052255998</v>
      </c>
      <c r="AE31" s="436">
        <f>IFERROR(IF(AC31*AD31&lt;0,"-", IF(AD31&lt;0,-(AC31/AD31-1),(AC31/AD31-1))),0)</f>
        <v>1.8134367338448198E-2</v>
      </c>
      <c r="AF31" s="314"/>
      <c r="AG31" s="352"/>
      <c r="AH31" s="353">
        <v>30472.730105477996</v>
      </c>
      <c r="AI31" s="353">
        <f>SUM(AI21:AI29)</f>
        <v>30729.49758712</v>
      </c>
      <c r="AJ31" s="353">
        <v>29786.393658445999</v>
      </c>
      <c r="AK31" s="353">
        <v>29814.765600619994</v>
      </c>
      <c r="AL31" s="353">
        <v>29929.969052255998</v>
      </c>
      <c r="AM31" s="353">
        <v>29777.861217912003</v>
      </c>
      <c r="AN31" s="353">
        <v>29737.477163509</v>
      </c>
      <c r="AO31" s="353">
        <v>29662.595469145999</v>
      </c>
      <c r="AP31" s="353">
        <v>30076.512345785999</v>
      </c>
      <c r="AQ31" s="353">
        <f t="shared" ref="AQ31:AV31" si="16">SUM(AQ21:AQ30)</f>
        <v>29198.963191710998</v>
      </c>
      <c r="AR31" s="353">
        <f t="shared" si="16"/>
        <v>30106.554593719993</v>
      </c>
      <c r="AS31" s="348">
        <f t="shared" si="16"/>
        <v>30322.635198181997</v>
      </c>
      <c r="AT31" s="348">
        <f t="shared" si="16"/>
        <v>30743.071075856922</v>
      </c>
      <c r="AU31" s="348">
        <f t="shared" si="16"/>
        <v>31812.610246803</v>
      </c>
      <c r="AV31" s="348">
        <f t="shared" si="16"/>
        <v>32708.792751436904</v>
      </c>
      <c r="AW31" s="348">
        <v>35123.625701015764</v>
      </c>
    </row>
    <row r="32" spans="2:53" x14ac:dyDescent="0.3">
      <c r="B32" s="61" t="s">
        <v>48</v>
      </c>
      <c r="C32" s="141" t="s">
        <v>68</v>
      </c>
      <c r="D32" s="70">
        <f t="shared" si="0"/>
        <v>990.71474499999999</v>
      </c>
      <c r="E32" s="345">
        <f t="shared" si="14"/>
        <v>990.71474499999999</v>
      </c>
      <c r="F32" s="324">
        <f t="shared" ref="F32:F36" si="17">IFERROR(IF(D32*E32&lt;0,"-", IF(E32&lt;0,-(D32/E32-1),(D32/E32-1))),0)</f>
        <v>0</v>
      </c>
      <c r="G32" s="346"/>
      <c r="H32" s="193"/>
      <c r="I32" s="179">
        <v>990.71474499999999</v>
      </c>
      <c r="J32" s="179">
        <v>990.71474499999999</v>
      </c>
      <c r="K32" s="179">
        <v>990.71474499999999</v>
      </c>
      <c r="L32" s="179">
        <v>990.71474499999999</v>
      </c>
      <c r="M32" s="179">
        <v>990.71474499999999</v>
      </c>
      <c r="N32" s="179">
        <v>990.71474499999999</v>
      </c>
      <c r="O32" s="179">
        <v>990.71474499999999</v>
      </c>
      <c r="P32" s="179">
        <v>990.71474499999999</v>
      </c>
      <c r="Q32" s="179">
        <v>990.71474499999999</v>
      </c>
      <c r="R32" s="179">
        <v>990.71474499999999</v>
      </c>
      <c r="S32" s="179">
        <v>990.71474499999999</v>
      </c>
      <c r="T32" s="70">
        <v>990.71474499999999</v>
      </c>
      <c r="U32" s="70">
        <v>990.71474499999999</v>
      </c>
      <c r="V32" s="70">
        <v>990.71474499999999</v>
      </c>
      <c r="W32" s="70">
        <f>'[12]202206 BS(17및39기준)'!$X$336/1000000000</f>
        <v>990.71474499999999</v>
      </c>
      <c r="X32" s="70">
        <v>990.71474499999999</v>
      </c>
      <c r="Y32" s="193"/>
      <c r="Z32" s="193"/>
      <c r="AA32" s="61" t="s">
        <v>48</v>
      </c>
      <c r="AB32" s="141" t="s">
        <v>68</v>
      </c>
      <c r="AC32" s="70">
        <f t="shared" ref="AC32:AC36" si="18">AH32</f>
        <v>990.71474499999999</v>
      </c>
      <c r="AD32" s="345">
        <f t="shared" si="4"/>
        <v>990.71474499999999</v>
      </c>
      <c r="AE32" s="685">
        <f t="shared" ref="AE32:AE36" si="19">IFERROR(IF(AC32*AD32&lt;0,"-", IF(AD32&lt;0,-(AC32/AD32-1),(AC32/AD32-1))),0)</f>
        <v>0</v>
      </c>
      <c r="AF32" s="684"/>
      <c r="AG32" s="193"/>
      <c r="AH32" s="179">
        <v>990.71474499999999</v>
      </c>
      <c r="AI32" s="179">
        <v>990.71474499999999</v>
      </c>
      <c r="AJ32" s="179">
        <v>990.71474499999999</v>
      </c>
      <c r="AK32" s="179">
        <v>990.71474499999999</v>
      </c>
      <c r="AL32" s="179">
        <v>990.71474499999999</v>
      </c>
      <c r="AM32" s="179">
        <v>990.71474499999999</v>
      </c>
      <c r="AN32" s="179">
        <v>990.71474499999999</v>
      </c>
      <c r="AO32" s="179">
        <v>990.71474499999999</v>
      </c>
      <c r="AP32" s="179">
        <v>990.71474499999999</v>
      </c>
      <c r="AQ32" s="179">
        <v>990.71474499999999</v>
      </c>
      <c r="AR32" s="179">
        <v>990.71474499999999</v>
      </c>
      <c r="AS32" s="70">
        <v>990.71474499999999</v>
      </c>
      <c r="AT32" s="70">
        <v>990.71474499999999</v>
      </c>
      <c r="AU32" s="70">
        <v>990.71474499999999</v>
      </c>
      <c r="AV32" s="70">
        <v>990.71474499999999</v>
      </c>
      <c r="AW32" s="70">
        <v>990.71474499999999</v>
      </c>
    </row>
    <row r="33" spans="2:49" x14ac:dyDescent="0.3">
      <c r="B33" s="61" t="s">
        <v>49</v>
      </c>
      <c r="C33" s="141" t="s">
        <v>69</v>
      </c>
      <c r="D33" s="70">
        <f t="shared" si="0"/>
        <v>181.38448384</v>
      </c>
      <c r="E33" s="345">
        <f t="shared" si="14"/>
        <v>181.38448384</v>
      </c>
      <c r="F33" s="324">
        <f t="shared" si="17"/>
        <v>0</v>
      </c>
      <c r="G33" s="346"/>
      <c r="H33" s="193"/>
      <c r="I33" s="179">
        <v>181.38448384</v>
      </c>
      <c r="J33" s="179">
        <v>181.38448384</v>
      </c>
      <c r="K33" s="179">
        <v>181.38448384</v>
      </c>
      <c r="L33" s="179">
        <v>181.38448384</v>
      </c>
      <c r="M33" s="179">
        <v>181.38448384</v>
      </c>
      <c r="N33" s="179">
        <v>181.38448384</v>
      </c>
      <c r="O33" s="179">
        <v>181.38448384</v>
      </c>
      <c r="P33" s="179">
        <v>181.38448384</v>
      </c>
      <c r="Q33" s="179">
        <v>181.38448384</v>
      </c>
      <c r="R33" s="179">
        <v>181.38448384</v>
      </c>
      <c r="S33" s="179">
        <v>181.38448384</v>
      </c>
      <c r="T33" s="70">
        <v>181.38448384</v>
      </c>
      <c r="U33" s="70">
        <v>181.38448384</v>
      </c>
      <c r="V33" s="70">
        <v>181.38448384</v>
      </c>
      <c r="W33" s="70">
        <f>'[12]202206 BS(17및39기준)'!$X$339/1000000000</f>
        <v>181.38448384</v>
      </c>
      <c r="X33" s="70">
        <v>181.38448384</v>
      </c>
      <c r="Y33" s="193"/>
      <c r="Z33" s="193"/>
      <c r="AA33" s="61" t="s">
        <v>49</v>
      </c>
      <c r="AB33" s="141" t="s">
        <v>69</v>
      </c>
      <c r="AC33" s="70">
        <f t="shared" si="18"/>
        <v>181.38448384</v>
      </c>
      <c r="AD33" s="345">
        <f t="shared" si="4"/>
        <v>181.38448384</v>
      </c>
      <c r="AE33" s="685">
        <f t="shared" si="19"/>
        <v>0</v>
      </c>
      <c r="AF33" s="684"/>
      <c r="AG33" s="193"/>
      <c r="AH33" s="179">
        <v>181.38448384</v>
      </c>
      <c r="AI33" s="179">
        <v>181.38448384</v>
      </c>
      <c r="AJ33" s="179">
        <v>181.38448384</v>
      </c>
      <c r="AK33" s="179">
        <v>181.38448384</v>
      </c>
      <c r="AL33" s="179">
        <v>181.38448384</v>
      </c>
      <c r="AM33" s="179">
        <v>181.38448384</v>
      </c>
      <c r="AN33" s="179">
        <v>181.38448384</v>
      </c>
      <c r="AO33" s="179">
        <v>181.38448384</v>
      </c>
      <c r="AP33" s="179">
        <v>181.38448384</v>
      </c>
      <c r="AQ33" s="179">
        <v>181.38448384</v>
      </c>
      <c r="AR33" s="179">
        <v>181.38448384</v>
      </c>
      <c r="AS33" s="70">
        <v>181.38448384</v>
      </c>
      <c r="AT33" s="70">
        <v>181.38448384</v>
      </c>
      <c r="AU33" s="70">
        <v>181.38448384</v>
      </c>
      <c r="AV33" s="70">
        <v>181.38448384</v>
      </c>
      <c r="AW33" s="70">
        <v>181.38448384</v>
      </c>
    </row>
    <row r="34" spans="2:49" x14ac:dyDescent="0.3">
      <c r="B34" s="61" t="s">
        <v>50</v>
      </c>
      <c r="C34" s="141" t="s">
        <v>70</v>
      </c>
      <c r="D34" s="70">
        <f t="shared" si="0"/>
        <v>2067.8244682200002</v>
      </c>
      <c r="E34" s="345">
        <f t="shared" si="14"/>
        <v>1942.9240789989999</v>
      </c>
      <c r="F34" s="198">
        <f t="shared" si="17"/>
        <v>6.4284750274621771E-2</v>
      </c>
      <c r="G34" s="198"/>
      <c r="H34" s="193"/>
      <c r="I34" s="179">
        <v>2067.8244682200002</v>
      </c>
      <c r="J34" s="179">
        <v>2064.121302131</v>
      </c>
      <c r="K34" s="179">
        <v>2017.5974781360001</v>
      </c>
      <c r="L34" s="179">
        <v>1967.2438471739999</v>
      </c>
      <c r="M34" s="179">
        <v>1942.9240789989999</v>
      </c>
      <c r="N34" s="179">
        <v>1865.2671389340001</v>
      </c>
      <c r="O34" s="179">
        <v>1864.2196759850001</v>
      </c>
      <c r="P34" s="179">
        <v>1850.2079225499999</v>
      </c>
      <c r="Q34" s="179">
        <v>1817.8844423539999</v>
      </c>
      <c r="R34" s="179">
        <v>1747.467612056</v>
      </c>
      <c r="S34" s="179">
        <v>1723.0010848970001</v>
      </c>
      <c r="T34" s="70">
        <v>1688.971498889</v>
      </c>
      <c r="U34" s="70">
        <v>1602.944804188</v>
      </c>
      <c r="V34" s="70">
        <v>1636.425568767</v>
      </c>
      <c r="W34" s="70">
        <f>'[12]202206 BS(17및39기준)'!$X$348/1000000000</f>
        <v>1580.475278095</v>
      </c>
      <c r="X34" s="70">
        <v>1535.990277888</v>
      </c>
      <c r="Y34" s="193"/>
      <c r="Z34" s="193"/>
      <c r="AA34" s="61" t="s">
        <v>50</v>
      </c>
      <c r="AB34" s="141" t="s">
        <v>70</v>
      </c>
      <c r="AC34" s="70">
        <f t="shared" si="18"/>
        <v>2073.9119572330001</v>
      </c>
      <c r="AD34" s="345">
        <f t="shared" si="4"/>
        <v>1943.1355256930001</v>
      </c>
      <c r="AE34" s="685">
        <f t="shared" si="19"/>
        <v>6.7301755235708471E-2</v>
      </c>
      <c r="AF34" s="684"/>
      <c r="AG34" s="193"/>
      <c r="AH34" s="179">
        <v>2073.9119572330001</v>
      </c>
      <c r="AI34" s="179">
        <v>2068.3667610920002</v>
      </c>
      <c r="AJ34" s="179">
        <v>2018.6107687470001</v>
      </c>
      <c r="AK34" s="179">
        <v>1967.918603781</v>
      </c>
      <c r="AL34" s="179">
        <v>1943.1355256930001</v>
      </c>
      <c r="AM34" s="179">
        <v>1862.0892614449999</v>
      </c>
      <c r="AN34" s="179">
        <v>1860.2871925110001</v>
      </c>
      <c r="AO34" s="179">
        <v>1843.535765843</v>
      </c>
      <c r="AP34" s="179">
        <v>1807.019971577</v>
      </c>
      <c r="AQ34" s="179">
        <v>1820.0447551140001</v>
      </c>
      <c r="AR34" s="179">
        <v>1759.65344422</v>
      </c>
      <c r="AS34" s="70">
        <v>1714.3182498359999</v>
      </c>
      <c r="AT34" s="70">
        <v>1686.3107521100001</v>
      </c>
      <c r="AU34" s="70">
        <v>1710.9123528519999</v>
      </c>
      <c r="AV34" s="70">
        <v>1660.9128462389999</v>
      </c>
      <c r="AW34" s="70">
        <v>1615.9760056269999</v>
      </c>
    </row>
    <row r="35" spans="2:49" x14ac:dyDescent="0.3">
      <c r="B35" s="61" t="s">
        <v>51</v>
      </c>
      <c r="C35" s="141" t="s">
        <v>71</v>
      </c>
      <c r="D35" s="70">
        <f t="shared" si="0"/>
        <v>-371.17544889499999</v>
      </c>
      <c r="E35" s="345">
        <f t="shared" si="14"/>
        <v>-371.17544889499999</v>
      </c>
      <c r="F35" s="324">
        <f t="shared" si="17"/>
        <v>0</v>
      </c>
      <c r="G35" s="346"/>
      <c r="H35" s="193"/>
      <c r="I35" s="179">
        <v>-371.17544889499999</v>
      </c>
      <c r="J35" s="179">
        <v>-371.17544889499999</v>
      </c>
      <c r="K35" s="179">
        <v>-371.17544889499999</v>
      </c>
      <c r="L35" s="179">
        <v>-371.17544889499999</v>
      </c>
      <c r="M35" s="179">
        <v>-371.17544889499999</v>
      </c>
      <c r="N35" s="179">
        <v>-371.17544889499999</v>
      </c>
      <c r="O35" s="179">
        <v>-371.17544889499999</v>
      </c>
      <c r="P35" s="179">
        <v>-371.17544889499999</v>
      </c>
      <c r="Q35" s="179">
        <v>-371.17544889499999</v>
      </c>
      <c r="R35" s="179">
        <v>-371.17544889499999</v>
      </c>
      <c r="S35" s="179">
        <v>-371.17544889499999</v>
      </c>
      <c r="T35" s="70">
        <v>-371.17544889499999</v>
      </c>
      <c r="U35" s="70">
        <v>-371.17544889499999</v>
      </c>
      <c r="V35" s="70">
        <v>-371.17544889499999</v>
      </c>
      <c r="W35" s="70">
        <f>'[12]202206 BS(17및39기준)'!$X$354/1000000000</f>
        <v>-371.17544889499999</v>
      </c>
      <c r="X35" s="70">
        <v>-371.19135120999999</v>
      </c>
      <c r="Y35" s="193"/>
      <c r="Z35" s="193"/>
      <c r="AA35" s="61" t="s">
        <v>51</v>
      </c>
      <c r="AB35" s="141" t="s">
        <v>71</v>
      </c>
      <c r="AC35" s="70">
        <f t="shared" si="18"/>
        <v>-371.27625289500003</v>
      </c>
      <c r="AD35" s="345">
        <f t="shared" si="4"/>
        <v>-371.27625289500003</v>
      </c>
      <c r="AE35" s="685">
        <f t="shared" si="19"/>
        <v>0</v>
      </c>
      <c r="AF35" s="684"/>
      <c r="AG35" s="193"/>
      <c r="AH35" s="179">
        <v>-371.27625289500003</v>
      </c>
      <c r="AI35" s="179">
        <v>-371.27625289500003</v>
      </c>
      <c r="AJ35" s="179">
        <v>-371.27625289500003</v>
      </c>
      <c r="AK35" s="179">
        <v>-371.27625289500003</v>
      </c>
      <c r="AL35" s="179">
        <v>-371.27625289500003</v>
      </c>
      <c r="AM35" s="179">
        <v>-371.27625289500003</v>
      </c>
      <c r="AN35" s="179">
        <v>-371.27625289500003</v>
      </c>
      <c r="AO35" s="179">
        <v>-371.27625289500003</v>
      </c>
      <c r="AP35" s="179">
        <v>-371.27625289500003</v>
      </c>
      <c r="AQ35" s="179">
        <v>-371.27625289500003</v>
      </c>
      <c r="AR35" s="179">
        <v>-371.27625289500003</v>
      </c>
      <c r="AS35" s="70">
        <v>-371.27625289500003</v>
      </c>
      <c r="AT35" s="70">
        <v>-371.27625289500003</v>
      </c>
      <c r="AU35" s="70">
        <v>-371.27625289500003</v>
      </c>
      <c r="AV35" s="70">
        <v>-371.27625289500003</v>
      </c>
      <c r="AW35" s="70">
        <v>-371.29215520999998</v>
      </c>
    </row>
    <row r="36" spans="2:49" x14ac:dyDescent="0.3">
      <c r="B36" s="61" t="s">
        <v>52</v>
      </c>
      <c r="C36" s="141" t="s">
        <v>72</v>
      </c>
      <c r="D36" s="70">
        <f t="shared" si="0"/>
        <v>-432.24669249599998</v>
      </c>
      <c r="E36" s="345">
        <f t="shared" si="14"/>
        <v>-190.609909176</v>
      </c>
      <c r="F36" s="198">
        <f t="shared" si="17"/>
        <v>-1.2677031554371299</v>
      </c>
      <c r="G36" s="198"/>
      <c r="H36" s="193"/>
      <c r="I36" s="179">
        <v>-432.24669249599998</v>
      </c>
      <c r="J36" s="179">
        <v>-382.93365407900001</v>
      </c>
      <c r="K36" s="179">
        <v>-347.79836672099998</v>
      </c>
      <c r="L36" s="179">
        <v>-301.370406516</v>
      </c>
      <c r="M36" s="179">
        <v>-190.609909176</v>
      </c>
      <c r="N36" s="179">
        <v>-137.217597079</v>
      </c>
      <c r="O36" s="179">
        <v>-137.44607358499999</v>
      </c>
      <c r="P36" s="179">
        <v>82.743767263999999</v>
      </c>
      <c r="Q36" s="179">
        <v>400.21884124600001</v>
      </c>
      <c r="R36" s="179">
        <v>421.88457045799998</v>
      </c>
      <c r="S36" s="179">
        <v>418.71856006899998</v>
      </c>
      <c r="T36" s="70">
        <v>386.33561096099999</v>
      </c>
      <c r="U36" s="70">
        <v>1684.6567611280766</v>
      </c>
      <c r="V36" s="70">
        <v>1854.9426043149999</v>
      </c>
      <c r="W36" s="70">
        <f>'[12]202206 BS(17및39기준)'!$X$358/1000000000</f>
        <v>1523.2415586330978</v>
      </c>
      <c r="X36" s="70">
        <v>1014.3411948372304</v>
      </c>
      <c r="Y36" s="193"/>
      <c r="Z36" s="193"/>
      <c r="AA36" s="61" t="s">
        <v>52</v>
      </c>
      <c r="AB36" s="141" t="s">
        <v>72</v>
      </c>
      <c r="AC36" s="70">
        <f t="shared" si="18"/>
        <v>-426.63980252099998</v>
      </c>
      <c r="AD36" s="345">
        <f t="shared" si="4"/>
        <v>-180.30383889800001</v>
      </c>
      <c r="AE36" s="685">
        <f t="shared" si="19"/>
        <v>-1.3662269485141416</v>
      </c>
      <c r="AF36" s="684"/>
      <c r="AG36" s="193"/>
      <c r="AH36" s="179">
        <v>-426.63980252099998</v>
      </c>
      <c r="AI36" s="179">
        <v>-377.64150076599998</v>
      </c>
      <c r="AJ36" s="179">
        <v>-343.123104238</v>
      </c>
      <c r="AK36" s="179">
        <v>-291.32243395199998</v>
      </c>
      <c r="AL36" s="179">
        <v>-180.30383889800001</v>
      </c>
      <c r="AM36" s="179">
        <v>-129.74026223499999</v>
      </c>
      <c r="AN36" s="179">
        <v>-129.27649277500001</v>
      </c>
      <c r="AO36" s="179">
        <v>91.447124685000006</v>
      </c>
      <c r="AP36" s="179">
        <v>407.66819608399999</v>
      </c>
      <c r="AQ36" s="179">
        <v>392.46138869100002</v>
      </c>
      <c r="AR36" s="179">
        <v>386.35400689099998</v>
      </c>
      <c r="AS36" s="70">
        <v>351.02706378599999</v>
      </c>
      <c r="AT36" s="70">
        <v>1599.8131996740769</v>
      </c>
      <c r="AU36" s="70">
        <v>1743.2277039549999</v>
      </c>
      <c r="AV36" s="70">
        <v>1418.0242454050979</v>
      </c>
      <c r="AW36" s="70">
        <v>903.43713056123056</v>
      </c>
    </row>
    <row r="37" spans="2:49" x14ac:dyDescent="0.3">
      <c r="D37" s="70"/>
      <c r="E37" s="345"/>
      <c r="F37" s="198"/>
      <c r="G37" s="198"/>
      <c r="I37" s="179"/>
      <c r="J37" s="179"/>
      <c r="K37" s="179"/>
      <c r="L37" s="179"/>
      <c r="M37" s="179"/>
      <c r="N37" s="179"/>
      <c r="O37" s="179"/>
      <c r="P37" s="179"/>
      <c r="Q37" s="179"/>
      <c r="R37" s="179"/>
      <c r="S37" s="179"/>
      <c r="T37" s="70"/>
      <c r="U37" s="70"/>
      <c r="V37" s="70"/>
      <c r="W37" s="70"/>
      <c r="X37" s="70"/>
      <c r="Y37" s="193"/>
      <c r="Z37" s="193"/>
      <c r="AA37" s="61"/>
      <c r="AC37" s="70"/>
      <c r="AD37" s="345"/>
      <c r="AE37" s="54"/>
      <c r="AF37" s="194"/>
      <c r="AG37" s="193"/>
      <c r="AH37" s="179"/>
      <c r="AI37" s="179"/>
      <c r="AJ37" s="179"/>
      <c r="AK37" s="179"/>
      <c r="AL37" s="179"/>
      <c r="AM37" s="179"/>
      <c r="AN37" s="179"/>
      <c r="AO37" s="179"/>
      <c r="AP37" s="179"/>
      <c r="AQ37" s="179"/>
      <c r="AR37" s="179"/>
      <c r="AS37" s="70"/>
      <c r="AT37" s="70"/>
      <c r="AU37" s="70"/>
      <c r="AV37" s="70"/>
      <c r="AW37" s="70"/>
    </row>
    <row r="38" spans="2:49" s="307" customFormat="1" x14ac:dyDescent="0.3">
      <c r="B38" s="146" t="s">
        <v>53</v>
      </c>
      <c r="C38" s="347" t="s">
        <v>73</v>
      </c>
      <c r="D38" s="348">
        <f t="shared" si="0"/>
        <v>2436.5015556690005</v>
      </c>
      <c r="E38" s="349">
        <f t="shared" si="14"/>
        <v>2553.2379497679999</v>
      </c>
      <c r="F38" s="350">
        <f>IFERROR(IF(D38*E38&lt;0,"-", IF(E38&lt;0,-(D38/E38-1),(D38/E38-1))),0)</f>
        <v>-4.5720922372161521E-2</v>
      </c>
      <c r="G38" s="351"/>
      <c r="H38" s="352"/>
      <c r="I38" s="353">
        <v>2436.5015556690005</v>
      </c>
      <c r="J38" s="353">
        <v>2482.1114279969997</v>
      </c>
      <c r="K38" s="353">
        <v>2470.7228913600002</v>
      </c>
      <c r="L38" s="353">
        <v>2466.7972206029999</v>
      </c>
      <c r="M38" s="353">
        <v>2553.2379497679999</v>
      </c>
      <c r="N38" s="353">
        <f>SUM(N32:N36)</f>
        <v>2528.9733218000001</v>
      </c>
      <c r="O38" s="353">
        <v>2527.6973823450003</v>
      </c>
      <c r="P38" s="353">
        <v>2733.8754697589998</v>
      </c>
      <c r="Q38" s="353">
        <v>3019.0270635449997</v>
      </c>
      <c r="R38" s="353">
        <f t="shared" ref="R38:W38" si="20">SUM(R32:R37)</f>
        <v>2970.2759624589999</v>
      </c>
      <c r="S38" s="353">
        <f t="shared" si="20"/>
        <v>2942.6434249109998</v>
      </c>
      <c r="T38" s="348">
        <f t="shared" si="20"/>
        <v>2876.2308897950002</v>
      </c>
      <c r="U38" s="348">
        <f t="shared" si="20"/>
        <v>4088.5253452610764</v>
      </c>
      <c r="V38" s="348">
        <f t="shared" si="20"/>
        <v>4292.2919530270001</v>
      </c>
      <c r="W38" s="348">
        <f t="shared" si="20"/>
        <v>3904.6406166730976</v>
      </c>
      <c r="X38" s="348">
        <v>3351.2393503552303</v>
      </c>
      <c r="Y38" s="352"/>
      <c r="Z38" s="352"/>
      <c r="AA38" s="146" t="s">
        <v>53</v>
      </c>
      <c r="AB38" s="347" t="s">
        <v>73</v>
      </c>
      <c r="AC38" s="348">
        <f>AH38</f>
        <v>2448.095130657</v>
      </c>
      <c r="AD38" s="349">
        <f t="shared" si="4"/>
        <v>2563.6546627400003</v>
      </c>
      <c r="AE38" s="436">
        <f>IFERROR(IF(AC38*AD38&lt;0,"-", IF(AD38&lt;0,-(AC38/AD38-1),(AC38/AD38-1))),0)</f>
        <v>-4.5076091473058133E-2</v>
      </c>
      <c r="AF38" s="314"/>
      <c r="AG38" s="352"/>
      <c r="AH38" s="353">
        <v>2448.095130657</v>
      </c>
      <c r="AI38" s="353">
        <v>2491.5</v>
      </c>
      <c r="AJ38" s="353">
        <v>2476.3106404539999</v>
      </c>
      <c r="AK38" s="353">
        <v>2477.4191457739998</v>
      </c>
      <c r="AL38" s="353">
        <v>2563.6546627400003</v>
      </c>
      <c r="AM38" s="353">
        <v>2533.1719751549995</v>
      </c>
      <c r="AN38" s="353">
        <v>2531.8336756809999</v>
      </c>
      <c r="AO38" s="353">
        <v>2735.8058664729997</v>
      </c>
      <c r="AP38" s="353">
        <v>3015.5111436059997</v>
      </c>
      <c r="AQ38" s="353">
        <f t="shared" ref="AQ38" si="21">SUM(AQ32:AQ37)</f>
        <v>3013.3291197499998</v>
      </c>
      <c r="AR38" s="353">
        <f t="shared" ref="AR38:AW38" si="22">SUM(AR32:AR37)</f>
        <v>2946.8304270560002</v>
      </c>
      <c r="AS38" s="348">
        <f t="shared" si="22"/>
        <v>2866.1682895669996</v>
      </c>
      <c r="AT38" s="348">
        <f t="shared" si="22"/>
        <v>4086.9469277290773</v>
      </c>
      <c r="AU38" s="348">
        <f t="shared" si="22"/>
        <v>4254.963032751999</v>
      </c>
      <c r="AV38" s="348">
        <f t="shared" si="22"/>
        <v>3879.7600675890981</v>
      </c>
      <c r="AW38" s="348">
        <f t="shared" si="22"/>
        <v>3320.2202098182306</v>
      </c>
    </row>
    <row r="39" spans="2:49" s="307" customFormat="1" x14ac:dyDescent="0.3">
      <c r="B39" s="238"/>
      <c r="C39" s="354"/>
      <c r="D39" s="355"/>
      <c r="E39" s="355"/>
      <c r="F39" s="314"/>
      <c r="G39" s="314"/>
      <c r="H39" s="352"/>
      <c r="I39" s="352"/>
      <c r="J39" s="352"/>
      <c r="K39" s="352"/>
      <c r="L39" s="352"/>
      <c r="M39" s="352"/>
      <c r="N39" s="352"/>
      <c r="O39" s="352"/>
      <c r="P39" s="352"/>
      <c r="Q39" s="352"/>
      <c r="R39" s="352"/>
      <c r="S39" s="352"/>
      <c r="T39" s="356" t="s">
        <v>1883</v>
      </c>
      <c r="U39" s="357" t="s">
        <v>1884</v>
      </c>
      <c r="V39" s="352"/>
      <c r="W39" s="357"/>
      <c r="X39" s="357"/>
      <c r="Y39" s="352"/>
      <c r="Z39" s="352"/>
      <c r="AA39" s="238"/>
      <c r="AB39" s="354"/>
      <c r="AC39" s="355"/>
      <c r="AD39" s="355"/>
      <c r="AE39" s="352"/>
      <c r="AF39" s="352"/>
      <c r="AG39" s="352"/>
      <c r="AH39" s="355"/>
      <c r="AI39" s="355"/>
      <c r="AJ39" s="355"/>
      <c r="AK39" s="355"/>
      <c r="AL39" s="600">
        <f>AI38/AL38-1</f>
        <v>-2.8145234921337803E-2</v>
      </c>
      <c r="AM39" s="355"/>
      <c r="AN39" s="355"/>
      <c r="AO39" s="355"/>
      <c r="AP39" s="355"/>
      <c r="AQ39" s="355"/>
      <c r="AR39" s="352"/>
      <c r="AS39" s="356" t="s">
        <v>1883</v>
      </c>
      <c r="AT39" s="357" t="s">
        <v>1884</v>
      </c>
      <c r="AU39" s="355"/>
      <c r="AV39" s="357"/>
      <c r="AW39" s="357"/>
    </row>
    <row r="40" spans="2:49" x14ac:dyDescent="0.3">
      <c r="B40" s="370" t="s">
        <v>1823</v>
      </c>
      <c r="D40" s="270"/>
      <c r="AA40" s="370" t="s">
        <v>1823</v>
      </c>
      <c r="AL40" s="270">
        <f>AL38-AC38</f>
        <v>115.55953208300025</v>
      </c>
    </row>
    <row r="41" spans="2:49" x14ac:dyDescent="0.3">
      <c r="B41" s="358" t="s">
        <v>1824</v>
      </c>
      <c r="I41" s="359"/>
      <c r="J41" s="359"/>
      <c r="K41" s="359"/>
      <c r="L41" s="359"/>
      <c r="M41" s="359"/>
      <c r="N41" s="359"/>
      <c r="O41" s="359"/>
      <c r="P41" s="359"/>
      <c r="Q41" s="194"/>
      <c r="R41" s="194"/>
      <c r="AA41" s="358" t="s">
        <v>1824</v>
      </c>
      <c r="AP41" s="341"/>
    </row>
    <row r="42" spans="2:49" x14ac:dyDescent="0.3">
      <c r="B42" s="89"/>
      <c r="F42" s="360"/>
      <c r="G42" s="360"/>
    </row>
  </sheetData>
  <mergeCells count="9">
    <mergeCell ref="F4:F5"/>
    <mergeCell ref="U4:X4"/>
    <mergeCell ref="Q4:T4"/>
    <mergeCell ref="AT4:AW4"/>
    <mergeCell ref="AP4:AS4"/>
    <mergeCell ref="M4:P4"/>
    <mergeCell ref="AL4:AO4"/>
    <mergeCell ref="AH4:AK4"/>
    <mergeCell ref="I4:L4"/>
  </mergeCells>
  <phoneticPr fontId="1" type="noConversion"/>
  <pageMargins left="0.23622047244094491" right="0.23622047244094491" top="0.78740157480314965" bottom="0.23622047244094491" header="0.31496062992125984" footer="0.31496062992125984"/>
  <pageSetup paperSize="9" scale="78"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B1:BG42"/>
  <sheetViews>
    <sheetView showGridLines="0" view="pageBreakPreview" zoomScale="80" zoomScaleNormal="100" zoomScaleSheetLayoutView="80" workbookViewId="0">
      <pane xSplit="29" ySplit="5" topLeftCell="AD6" activePane="bottomRight" state="frozen"/>
      <selection activeCell="G47" sqref="G47"/>
      <selection pane="topRight" activeCell="G47" sqref="G47"/>
      <selection pane="bottomLeft" activeCell="G47" sqref="G47"/>
      <selection pane="bottomRight" activeCell="C78" sqref="C77:C78"/>
    </sheetView>
  </sheetViews>
  <sheetFormatPr defaultRowHeight="16.5" outlineLevelCol="4" x14ac:dyDescent="0.3"/>
  <cols>
    <col min="1" max="1" width="5" style="35" customWidth="1"/>
    <col min="2" max="2" width="28.625" style="141" customWidth="1"/>
    <col min="3" max="3" width="28.625" style="35" customWidth="1"/>
    <col min="4" max="6" width="10" style="35" customWidth="1"/>
    <col min="7" max="8" width="1.625" style="35" customWidth="1"/>
    <col min="9" max="18" width="10" style="40" hidden="1" customWidth="1" outlineLevel="1"/>
    <col min="19" max="28" width="10" style="40" hidden="1" customWidth="1" outlineLevel="2"/>
    <col min="29" max="29" width="10" style="35" hidden="1" customWidth="1" outlineLevel="1" collapsed="1"/>
    <col min="30" max="30" width="9" style="35" customWidth="1" collapsed="1"/>
    <col min="31" max="31" width="28.625" style="141" customWidth="1"/>
    <col min="32" max="32" width="28.625" style="35" customWidth="1"/>
    <col min="33" max="35" width="10" style="35" customWidth="1"/>
    <col min="36" max="36" width="1.625" style="35" customWidth="1"/>
    <col min="37" max="37" width="1.25" style="35" customWidth="1"/>
    <col min="38" max="47" width="10" style="40" hidden="1" customWidth="1" outlineLevel="2"/>
    <col min="48" max="57" width="10" style="40" hidden="1" customWidth="1" outlineLevel="4"/>
    <col min="58" max="58" width="10" style="40" hidden="1" customWidth="1" outlineLevel="1"/>
    <col min="59" max="59" width="9" style="35" collapsed="1"/>
    <col min="60" max="16384" width="9" style="35"/>
  </cols>
  <sheetData>
    <row r="1" spans="2:58" x14ac:dyDescent="0.3">
      <c r="B1" s="78" t="str">
        <f>[13]INDEX!G5</f>
        <v>K-IFRS 손익계산서</v>
      </c>
      <c r="C1" s="35" t="s">
        <v>1749</v>
      </c>
      <c r="AE1" s="78" t="str">
        <f>B1</f>
        <v>K-IFRS 손익계산서</v>
      </c>
    </row>
    <row r="2" spans="2:58" x14ac:dyDescent="0.3">
      <c r="B2" s="79" t="s">
        <v>18</v>
      </c>
      <c r="AE2" s="79" t="s">
        <v>18</v>
      </c>
    </row>
    <row r="3" spans="2:58" s="36" customFormat="1" x14ac:dyDescent="0.3">
      <c r="B3" s="80"/>
      <c r="I3" s="830"/>
      <c r="J3" s="830"/>
      <c r="K3" s="830"/>
      <c r="L3" s="830"/>
      <c r="M3" s="830"/>
      <c r="N3" s="830"/>
      <c r="O3" s="830"/>
      <c r="P3" s="830"/>
      <c r="Q3" s="812"/>
      <c r="R3" s="812"/>
      <c r="S3" s="812"/>
      <c r="T3" s="812"/>
      <c r="U3" s="812"/>
      <c r="V3" s="812"/>
      <c r="W3" s="812"/>
      <c r="X3" s="812"/>
      <c r="Y3" s="812"/>
      <c r="Z3" s="812"/>
      <c r="AA3" s="812"/>
      <c r="AB3" s="812"/>
      <c r="AE3" s="80"/>
      <c r="AK3" s="109"/>
      <c r="AL3" s="830"/>
      <c r="AM3" s="830"/>
      <c r="AN3" s="830"/>
      <c r="AO3" s="830"/>
      <c r="AP3" s="830"/>
      <c r="AQ3" s="830"/>
      <c r="AR3" s="830"/>
      <c r="AS3" s="830"/>
      <c r="AT3" s="812"/>
      <c r="AU3" s="812"/>
      <c r="AV3" s="812"/>
      <c r="AW3" s="812"/>
      <c r="AX3" s="812"/>
      <c r="AY3" s="812"/>
      <c r="AZ3" s="812"/>
      <c r="BA3" s="812"/>
      <c r="BB3" s="812"/>
      <c r="BC3" s="812"/>
      <c r="BD3" s="812"/>
      <c r="BE3" s="812"/>
    </row>
    <row r="4" spans="2:58" s="36" customFormat="1" x14ac:dyDescent="0.3">
      <c r="B4" s="81" t="s">
        <v>78</v>
      </c>
      <c r="C4" s="109" t="s">
        <v>81</v>
      </c>
      <c r="D4" s="820">
        <f>I4</f>
        <v>2025</v>
      </c>
      <c r="E4" s="820">
        <f>N4</f>
        <v>2024</v>
      </c>
      <c r="F4" s="841" t="s">
        <v>32</v>
      </c>
      <c r="G4" s="812"/>
      <c r="H4" s="812"/>
      <c r="I4" s="846">
        <v>2025</v>
      </c>
      <c r="J4" s="846"/>
      <c r="K4" s="846"/>
      <c r="L4" s="846"/>
      <c r="M4" s="847"/>
      <c r="N4" s="846">
        <v>2024</v>
      </c>
      <c r="O4" s="846"/>
      <c r="P4" s="846"/>
      <c r="Q4" s="846"/>
      <c r="R4" s="847"/>
      <c r="S4" s="846">
        <v>2023</v>
      </c>
      <c r="T4" s="846"/>
      <c r="U4" s="846"/>
      <c r="V4" s="846"/>
      <c r="W4" s="847"/>
      <c r="X4" s="845">
        <v>2022</v>
      </c>
      <c r="Y4" s="846"/>
      <c r="Z4" s="846"/>
      <c r="AA4" s="846"/>
      <c r="AB4" s="847"/>
      <c r="AC4" s="812"/>
      <c r="AE4" s="318" t="s">
        <v>79</v>
      </c>
      <c r="AF4" s="144" t="s">
        <v>80</v>
      </c>
      <c r="AG4" s="50">
        <f>D4</f>
        <v>2025</v>
      </c>
      <c r="AH4" s="50">
        <f>E4</f>
        <v>2024</v>
      </c>
      <c r="AI4" s="843" t="s">
        <v>32</v>
      </c>
      <c r="AJ4" s="75"/>
      <c r="AK4" s="57"/>
      <c r="AL4" s="849">
        <v>2025</v>
      </c>
      <c r="AM4" s="849"/>
      <c r="AN4" s="849"/>
      <c r="AO4" s="849"/>
      <c r="AP4" s="850"/>
      <c r="AQ4" s="849">
        <v>2024</v>
      </c>
      <c r="AR4" s="849"/>
      <c r="AS4" s="849"/>
      <c r="AT4" s="849"/>
      <c r="AU4" s="850"/>
      <c r="AV4" s="849">
        <v>2023</v>
      </c>
      <c r="AW4" s="849"/>
      <c r="AX4" s="849"/>
      <c r="AY4" s="849"/>
      <c r="AZ4" s="850"/>
      <c r="BA4" s="848">
        <v>2022</v>
      </c>
      <c r="BB4" s="849"/>
      <c r="BC4" s="849"/>
      <c r="BD4" s="849"/>
      <c r="BE4" s="850"/>
      <c r="BF4" s="57"/>
    </row>
    <row r="5" spans="2:58" s="36" customFormat="1" x14ac:dyDescent="0.3">
      <c r="B5" s="82"/>
      <c r="C5" s="830"/>
      <c r="D5" s="820" t="str">
        <f>I5</f>
        <v>FY</v>
      </c>
      <c r="E5" s="820" t="str">
        <f>N5</f>
        <v>FY</v>
      </c>
      <c r="F5" s="842"/>
      <c r="G5" s="812"/>
      <c r="H5" s="812"/>
      <c r="I5" s="810" t="s">
        <v>31</v>
      </c>
      <c r="J5" s="810" t="s">
        <v>28</v>
      </c>
      <c r="K5" s="810" t="s">
        <v>30</v>
      </c>
      <c r="L5" s="810" t="s">
        <v>27</v>
      </c>
      <c r="M5" s="810" t="s">
        <v>29</v>
      </c>
      <c r="N5" s="810" t="s">
        <v>31</v>
      </c>
      <c r="O5" s="810" t="s">
        <v>28</v>
      </c>
      <c r="P5" s="810" t="s">
        <v>30</v>
      </c>
      <c r="Q5" s="810" t="s">
        <v>27</v>
      </c>
      <c r="R5" s="810" t="s">
        <v>29</v>
      </c>
      <c r="S5" s="810" t="s">
        <v>1781</v>
      </c>
      <c r="T5" s="810" t="s">
        <v>1680</v>
      </c>
      <c r="U5" s="810" t="s">
        <v>1933</v>
      </c>
      <c r="V5" s="810" t="s">
        <v>1555</v>
      </c>
      <c r="W5" s="820" t="s">
        <v>1934</v>
      </c>
      <c r="X5" s="820" t="s">
        <v>1781</v>
      </c>
      <c r="Y5" s="820" t="s">
        <v>1680</v>
      </c>
      <c r="Z5" s="820" t="s">
        <v>1933</v>
      </c>
      <c r="AA5" s="820" t="s">
        <v>1555</v>
      </c>
      <c r="AB5" s="820" t="s">
        <v>1934</v>
      </c>
      <c r="AC5" s="812"/>
      <c r="AE5" s="82"/>
      <c r="AF5" s="145"/>
      <c r="AG5" s="551" t="str">
        <f>D5</f>
        <v>FY</v>
      </c>
      <c r="AH5" s="551" t="str">
        <f>E5</f>
        <v>FY</v>
      </c>
      <c r="AI5" s="844"/>
      <c r="AJ5" s="75"/>
      <c r="AK5" s="57"/>
      <c r="AL5" s="811" t="s">
        <v>31</v>
      </c>
      <c r="AM5" s="811" t="s">
        <v>28</v>
      </c>
      <c r="AN5" s="811" t="s">
        <v>30</v>
      </c>
      <c r="AO5" s="811" t="s">
        <v>27</v>
      </c>
      <c r="AP5" s="811" t="s">
        <v>29</v>
      </c>
      <c r="AQ5" s="811" t="s">
        <v>31</v>
      </c>
      <c r="AR5" s="811" t="s">
        <v>28</v>
      </c>
      <c r="AS5" s="811" t="s">
        <v>30</v>
      </c>
      <c r="AT5" s="811" t="s">
        <v>27</v>
      </c>
      <c r="AU5" s="811" t="s">
        <v>29</v>
      </c>
      <c r="AV5" s="811" t="s">
        <v>1781</v>
      </c>
      <c r="AW5" s="811" t="s">
        <v>1680</v>
      </c>
      <c r="AX5" s="811" t="s">
        <v>1933</v>
      </c>
      <c r="AY5" s="811" t="s">
        <v>1555</v>
      </c>
      <c r="AZ5" s="50" t="s">
        <v>1934</v>
      </c>
      <c r="BA5" s="811" t="s">
        <v>1781</v>
      </c>
      <c r="BB5" s="811" t="s">
        <v>1680</v>
      </c>
      <c r="BC5" s="811" t="s">
        <v>1933</v>
      </c>
      <c r="BD5" s="811" t="s">
        <v>1555</v>
      </c>
      <c r="BE5" s="50" t="s">
        <v>1934</v>
      </c>
      <c r="BF5" s="57"/>
    </row>
    <row r="6" spans="2:58" s="112" customFormat="1" x14ac:dyDescent="0.3">
      <c r="B6" s="146" t="s">
        <v>1564</v>
      </c>
      <c r="C6" s="110" t="s">
        <v>1628</v>
      </c>
      <c r="D6" s="29">
        <f>SUM(D7:D8)</f>
        <v>1104.0766873370001</v>
      </c>
      <c r="E6" s="29">
        <f>SUM(E7:E8)</f>
        <v>983.39964428500002</v>
      </c>
      <c r="F6" s="161">
        <f>IFERROR(IF(D6*E6&lt;0,"-",IF(E6&lt;0,-(D6/E6-1),(D6/E6-1))),0)</f>
        <v>0.12271414145135329</v>
      </c>
      <c r="G6" s="59"/>
      <c r="H6" s="59"/>
      <c r="I6" s="151">
        <v>1104.0766873370001</v>
      </c>
      <c r="J6" s="151">
        <v>289.69316609800001</v>
      </c>
      <c r="K6" s="151">
        <v>282.09010168899999</v>
      </c>
      <c r="L6" s="151">
        <v>267.28715576799999</v>
      </c>
      <c r="M6" s="151">
        <v>265.00626378199996</v>
      </c>
      <c r="N6" s="151">
        <v>983.39964428499991</v>
      </c>
      <c r="O6" s="151">
        <v>245.80270608699999</v>
      </c>
      <c r="P6" s="151">
        <v>247.77267806</v>
      </c>
      <c r="Q6" s="151">
        <v>244.15956599200001</v>
      </c>
      <c r="R6" s="151">
        <v>245.66469414599999</v>
      </c>
      <c r="S6" s="151">
        <v>918.978651356</v>
      </c>
      <c r="T6" s="151">
        <v>226.983662014</v>
      </c>
      <c r="U6" s="151">
        <f>SUM(U7:U9)</f>
        <v>231.95240798399999</v>
      </c>
      <c r="V6" s="151">
        <f>SUM(V7:V9)</f>
        <v>227.65335661399999</v>
      </c>
      <c r="W6" s="29">
        <v>232.38922474400002</v>
      </c>
      <c r="X6" s="29">
        <f>SUM(Y6:AB6)</f>
        <v>926.47843591700007</v>
      </c>
      <c r="Y6" s="29">
        <v>226.569710504</v>
      </c>
      <c r="Z6" s="29">
        <f t="shared" ref="Z6:AB6" si="0">SUM(Z7:Z9)</f>
        <v>233.12172071500001</v>
      </c>
      <c r="AA6" s="29">
        <f t="shared" ref="AA6" si="1">SUM(AA7:AA9)</f>
        <v>236.902751744</v>
      </c>
      <c r="AB6" s="29">
        <f t="shared" si="0"/>
        <v>229.884252954</v>
      </c>
      <c r="AC6" s="59"/>
      <c r="AE6" s="146" t="s">
        <v>1565</v>
      </c>
      <c r="AF6" s="110" t="s">
        <v>1628</v>
      </c>
      <c r="AG6" s="29">
        <f>SUM(AG7:AG8)</f>
        <v>1104.0766873370001</v>
      </c>
      <c r="AH6" s="29">
        <f>SUM(AH7:AH8)</f>
        <v>983.39964428500002</v>
      </c>
      <c r="AI6" s="171">
        <f t="shared" ref="AI6:AI36" si="2">IFERROR(IF(AG6*AH6&lt;0,"-",IF(AH6&lt;0,-(AG6/AH6-1),(AG6/AH6-1))),0)</f>
        <v>0.12271414145135329</v>
      </c>
      <c r="AJ6" s="174"/>
      <c r="AK6" s="133"/>
      <c r="AL6" s="151">
        <f>SUM(AM6:AP6)</f>
        <v>1104.0766873369998</v>
      </c>
      <c r="AM6" s="151">
        <v>289.69316609800001</v>
      </c>
      <c r="AN6" s="151">
        <v>282.09010168899999</v>
      </c>
      <c r="AO6" s="151">
        <v>267.28715576799999</v>
      </c>
      <c r="AP6" s="151">
        <v>265.00626378199996</v>
      </c>
      <c r="AQ6" s="151">
        <v>983.39964428500002</v>
      </c>
      <c r="AR6" s="151">
        <v>245.8027060870001</v>
      </c>
      <c r="AS6" s="151">
        <v>247.77267805999995</v>
      </c>
      <c r="AT6" s="151">
        <v>244.15956599200004</v>
      </c>
      <c r="AU6" s="151">
        <v>245.66469414599999</v>
      </c>
      <c r="AV6" s="151">
        <v>918.978651356</v>
      </c>
      <c r="AW6" s="151">
        <v>226.983662014</v>
      </c>
      <c r="AX6" s="151">
        <f>SUM(AX7:AX9)</f>
        <v>231.95240798399999</v>
      </c>
      <c r="AY6" s="151">
        <v>227.65335661399999</v>
      </c>
      <c r="AZ6" s="29">
        <v>232.38922474400002</v>
      </c>
      <c r="BA6" s="151">
        <f>SUM(BB6:BE6)</f>
        <v>926.47843591700007</v>
      </c>
      <c r="BB6" s="151">
        <v>226.569710504</v>
      </c>
      <c r="BC6" s="151">
        <f>SUM(BC7:BC9)</f>
        <v>233.12172071500001</v>
      </c>
      <c r="BD6" s="151">
        <v>236.902751744</v>
      </c>
      <c r="BE6" s="29">
        <v>229.884252954</v>
      </c>
      <c r="BF6" s="58"/>
    </row>
    <row r="7" spans="2:58" x14ac:dyDescent="0.3">
      <c r="B7" s="245" t="s">
        <v>1566</v>
      </c>
      <c r="C7" s="371" t="s">
        <v>1628</v>
      </c>
      <c r="D7" s="27">
        <f>SUM(J7:M7)</f>
        <v>1080.411547554</v>
      </c>
      <c r="E7" s="27">
        <f>SUM(O7:R7)</f>
        <v>963.96742019199996</v>
      </c>
      <c r="F7" s="162">
        <f>IFERROR(IF(D7*E7&lt;0,"-",IF(E7&lt;0,-(D7/E7-1),(D7/E7-1))),0)</f>
        <v>0.12079674574355126</v>
      </c>
      <c r="G7" s="160"/>
      <c r="H7" s="160"/>
      <c r="I7" s="152">
        <v>1080.411547554</v>
      </c>
      <c r="J7" s="152">
        <v>284.45397687500002</v>
      </c>
      <c r="K7" s="152">
        <v>275.03755204999999</v>
      </c>
      <c r="L7" s="152">
        <v>261.69215313699999</v>
      </c>
      <c r="M7" s="152">
        <v>259.22786549199998</v>
      </c>
      <c r="N7" s="152">
        <v>964</v>
      </c>
      <c r="O7" s="152">
        <v>245.75624235999999</v>
      </c>
      <c r="P7" s="152">
        <v>243.42093558900001</v>
      </c>
      <c r="Q7" s="152">
        <v>238.827290667</v>
      </c>
      <c r="R7" s="152">
        <v>235.96295157599999</v>
      </c>
      <c r="S7" s="152">
        <v>901.59924758499994</v>
      </c>
      <c r="T7" s="152">
        <v>224.787293318</v>
      </c>
      <c r="U7" s="152">
        <v>226.554619277</v>
      </c>
      <c r="V7" s="152">
        <v>224.501841668</v>
      </c>
      <c r="W7" s="152">
        <v>225.75549332200001</v>
      </c>
      <c r="X7" s="27">
        <f t="shared" ref="X7:X36" si="3">SUM(Y7:AB7)</f>
        <v>903.85087863700005</v>
      </c>
      <c r="Y7" s="27">
        <v>222.82168552300001</v>
      </c>
      <c r="Z7" s="27">
        <v>226.80642216000001</v>
      </c>
      <c r="AA7" s="27">
        <v>229.49367744200001</v>
      </c>
      <c r="AB7" s="27">
        <v>224.72909351199999</v>
      </c>
      <c r="AC7" s="160"/>
      <c r="AE7" s="245" t="s">
        <v>1567</v>
      </c>
      <c r="AF7" s="114" t="s">
        <v>1627</v>
      </c>
      <c r="AG7" s="27">
        <f>SUM(AM7:AP7)</f>
        <v>1080.411547554</v>
      </c>
      <c r="AH7" s="27">
        <f t="shared" ref="AH7:AH8" si="4">SUM(AR7:AU7)</f>
        <v>963.96742019200008</v>
      </c>
      <c r="AI7" s="172">
        <f t="shared" si="2"/>
        <v>0.12079674574355104</v>
      </c>
      <c r="AJ7" s="172"/>
      <c r="AK7" s="40"/>
      <c r="AL7" s="152">
        <f t="shared" ref="AL7:AL36" si="5">SUM(AM7:AP7)</f>
        <v>1080.411547554</v>
      </c>
      <c r="AM7" s="152">
        <v>284.45397687500002</v>
      </c>
      <c r="AN7" s="152">
        <v>275.03755204999999</v>
      </c>
      <c r="AO7" s="152">
        <v>261.69215313699999</v>
      </c>
      <c r="AP7" s="152">
        <v>259.22786549199998</v>
      </c>
      <c r="AQ7" s="152">
        <v>963.96742019200008</v>
      </c>
      <c r="AR7" s="152">
        <v>245.7562423600001</v>
      </c>
      <c r="AS7" s="152">
        <v>243.42093558899995</v>
      </c>
      <c r="AT7" s="152">
        <v>238.82729066700003</v>
      </c>
      <c r="AU7" s="152">
        <v>235.96295157599999</v>
      </c>
      <c r="AV7" s="152">
        <v>901.59924758499994</v>
      </c>
      <c r="AW7" s="152">
        <v>224.787293318</v>
      </c>
      <c r="AX7" s="152">
        <v>226.554619277</v>
      </c>
      <c r="AY7" s="152">
        <v>224.501841668</v>
      </c>
      <c r="AZ7" s="27">
        <v>225.75549332200001</v>
      </c>
      <c r="BA7" s="152">
        <f t="shared" ref="BA7:BA36" si="6">SUM(BB7:BE7)</f>
        <v>903.85087863700005</v>
      </c>
      <c r="BB7" s="152">
        <v>222.82168552300001</v>
      </c>
      <c r="BC7" s="152">
        <v>226.80642216000001</v>
      </c>
      <c r="BD7" s="152">
        <v>229.49367744200001</v>
      </c>
      <c r="BE7" s="27">
        <v>224.72909351199999</v>
      </c>
      <c r="BF7" s="32"/>
    </row>
    <row r="8" spans="2:58" x14ac:dyDescent="0.3">
      <c r="B8" s="245" t="s">
        <v>1568</v>
      </c>
      <c r="C8" s="371" t="s">
        <v>1630</v>
      </c>
      <c r="D8" s="27">
        <f>SUM(J8:M8)</f>
        <v>23.665139783000001</v>
      </c>
      <c r="E8" s="27">
        <f>SUM(O8:R8)</f>
        <v>19.432224093000002</v>
      </c>
      <c r="F8" s="162">
        <f>IFERROR(IF(D8*E8&lt;0,"-",IF(E8&lt;0,-(D8/E8-1),(D8/E8-1))),0)</f>
        <v>0.21782970748699859</v>
      </c>
      <c r="G8" s="160"/>
      <c r="H8" s="160"/>
      <c r="I8" s="152">
        <v>23.665139783000001</v>
      </c>
      <c r="J8" s="152">
        <v>5.2391892230000003</v>
      </c>
      <c r="K8" s="152">
        <v>7.0525496390000004</v>
      </c>
      <c r="L8" s="152">
        <v>5.5950026309999998</v>
      </c>
      <c r="M8" s="152">
        <v>5.7783982900000002</v>
      </c>
      <c r="N8" s="152">
        <v>19.399999999999999</v>
      </c>
      <c r="O8" s="152">
        <v>4.6463727000000003E-2</v>
      </c>
      <c r="P8" s="152">
        <v>4.3517424709999997</v>
      </c>
      <c r="Q8" s="152">
        <v>5.3322753250000003</v>
      </c>
      <c r="R8" s="152">
        <v>9.7017425700000004</v>
      </c>
      <c r="S8" s="152">
        <v>17.379403771</v>
      </c>
      <c r="T8" s="152">
        <v>2.196368696</v>
      </c>
      <c r="U8" s="152">
        <v>5.3977887070000001</v>
      </c>
      <c r="V8" s="152">
        <v>3.1515149459999998</v>
      </c>
      <c r="W8" s="152">
        <v>6.6337314220000003</v>
      </c>
      <c r="X8" s="27">
        <f t="shared" si="3"/>
        <v>22.627557279999998</v>
      </c>
      <c r="Y8" s="27">
        <v>3.7480249809999999</v>
      </c>
      <c r="Z8" s="27">
        <v>6.315298555</v>
      </c>
      <c r="AA8" s="27">
        <v>7.4090743019999996</v>
      </c>
      <c r="AB8" s="27">
        <v>5.1551594420000004</v>
      </c>
      <c r="AC8" s="160"/>
      <c r="AE8" s="245" t="s">
        <v>1569</v>
      </c>
      <c r="AF8" s="114" t="s">
        <v>1629</v>
      </c>
      <c r="AG8" s="27">
        <f>SUM(AM8:AP8)</f>
        <v>23.665139783000001</v>
      </c>
      <c r="AH8" s="27">
        <f t="shared" si="4"/>
        <v>19.432224093000002</v>
      </c>
      <c r="AI8" s="172">
        <f t="shared" si="2"/>
        <v>0.21782970748699859</v>
      </c>
      <c r="AJ8" s="172"/>
      <c r="AK8" s="40"/>
      <c r="AL8" s="152">
        <f t="shared" si="5"/>
        <v>23.665139783000001</v>
      </c>
      <c r="AM8" s="152">
        <v>5.2391892230000003</v>
      </c>
      <c r="AN8" s="152">
        <v>7.0525496390000004</v>
      </c>
      <c r="AO8" s="152">
        <v>5.5950026309999998</v>
      </c>
      <c r="AP8" s="152">
        <v>5.7783982900000002</v>
      </c>
      <c r="AQ8" s="152">
        <v>19.432224093000002</v>
      </c>
      <c r="AR8" s="152">
        <v>4.6463727000002564E-2</v>
      </c>
      <c r="AS8" s="152">
        <v>4.3517424709999997</v>
      </c>
      <c r="AT8" s="152">
        <v>5.3322753249999995</v>
      </c>
      <c r="AU8" s="152">
        <v>9.7017425700000004</v>
      </c>
      <c r="AV8" s="152">
        <v>17.379403771</v>
      </c>
      <c r="AW8" s="152">
        <v>2.196368696</v>
      </c>
      <c r="AX8" s="152">
        <v>5.3977887070000001</v>
      </c>
      <c r="AY8" s="152">
        <v>3.1515149459999989</v>
      </c>
      <c r="AZ8" s="27">
        <v>6.6337314220000003</v>
      </c>
      <c r="BA8" s="152">
        <f t="shared" si="6"/>
        <v>22.627557279999998</v>
      </c>
      <c r="BB8" s="152">
        <v>3.7480249809999999</v>
      </c>
      <c r="BC8" s="152">
        <v>6.315298555</v>
      </c>
      <c r="BD8" s="152">
        <v>7.4090743019999987</v>
      </c>
      <c r="BE8" s="27">
        <v>5.1551594420000004</v>
      </c>
      <c r="BF8" s="32"/>
    </row>
    <row r="9" spans="2:58" x14ac:dyDescent="0.3">
      <c r="B9" s="245"/>
      <c r="C9" s="114"/>
      <c r="D9" s="176"/>
      <c r="E9" s="176"/>
      <c r="F9" s="162"/>
      <c r="G9" s="160"/>
      <c r="H9" s="160"/>
      <c r="I9" s="152"/>
      <c r="J9" s="152"/>
      <c r="K9" s="152"/>
      <c r="L9" s="152"/>
      <c r="M9" s="152"/>
      <c r="N9" s="152"/>
      <c r="O9" s="152"/>
      <c r="P9" s="152"/>
      <c r="Q9" s="152"/>
      <c r="R9" s="152"/>
      <c r="S9" s="152"/>
      <c r="T9" s="152"/>
      <c r="U9" s="152"/>
      <c r="V9" s="152"/>
      <c r="W9" s="27"/>
      <c r="X9" s="27"/>
      <c r="Y9" s="27"/>
      <c r="Z9" s="27"/>
      <c r="AA9" s="27"/>
      <c r="AB9" s="27"/>
      <c r="AC9" s="160"/>
      <c r="AE9" s="245"/>
      <c r="AF9" s="114"/>
      <c r="AG9" s="27"/>
      <c r="AH9" s="27"/>
      <c r="AI9" s="172"/>
      <c r="AJ9" s="172"/>
      <c r="AK9" s="40"/>
      <c r="AL9" s="152"/>
      <c r="AM9" s="152"/>
      <c r="AN9" s="152"/>
      <c r="AO9" s="152"/>
      <c r="AP9" s="152"/>
      <c r="AQ9" s="152"/>
      <c r="AR9" s="152"/>
      <c r="AS9" s="152"/>
      <c r="AT9" s="152"/>
      <c r="AU9" s="152"/>
      <c r="AV9" s="152"/>
      <c r="AW9" s="152"/>
      <c r="AX9" s="152"/>
      <c r="AY9" s="152"/>
      <c r="AZ9" s="27"/>
      <c r="BA9" s="152">
        <f t="shared" si="6"/>
        <v>0</v>
      </c>
      <c r="BB9" s="152"/>
      <c r="BC9" s="152"/>
      <c r="BD9" s="152"/>
      <c r="BE9" s="27"/>
      <c r="BF9" s="32"/>
    </row>
    <row r="10" spans="2:58" s="112" customFormat="1" x14ac:dyDescent="0.3">
      <c r="B10" s="146" t="s">
        <v>804</v>
      </c>
      <c r="C10" s="110" t="s">
        <v>1638</v>
      </c>
      <c r="D10" s="29">
        <f>SUM(D11:D13)</f>
        <v>992.08657775299991</v>
      </c>
      <c r="E10" s="29">
        <f>SUM(E11:E13)</f>
        <v>864.12409993799997</v>
      </c>
      <c r="F10" s="161">
        <f>IFERROR(IF(D10*E10&lt;0,"-",IF(E10&lt;0,-(D10/E10-1),(D10/E10-1))),0)</f>
        <v>0.14808344984728605</v>
      </c>
      <c r="G10" s="59"/>
      <c r="H10" s="59"/>
      <c r="I10" s="151">
        <v>992.08657775299991</v>
      </c>
      <c r="J10" s="151">
        <v>295.57384208400003</v>
      </c>
      <c r="K10" s="151">
        <v>247.780891258</v>
      </c>
      <c r="L10" s="151">
        <v>222.61088721200002</v>
      </c>
      <c r="M10" s="151">
        <v>226.120957199</v>
      </c>
      <c r="N10" s="151">
        <v>864.12409993799997</v>
      </c>
      <c r="O10" s="151">
        <v>225.947644798</v>
      </c>
      <c r="P10" s="151">
        <v>216.36852083699998</v>
      </c>
      <c r="Q10" s="151">
        <v>198.440752578</v>
      </c>
      <c r="R10" s="151">
        <v>223.36718172499999</v>
      </c>
      <c r="S10" s="151">
        <v>749.97788474799995</v>
      </c>
      <c r="T10" s="151">
        <v>169.589002846</v>
      </c>
      <c r="U10" s="151">
        <f>SUM(U11:U14)</f>
        <v>204.61250061199999</v>
      </c>
      <c r="V10" s="151">
        <f>SUM(V11:V14)</f>
        <v>187.08566145</v>
      </c>
      <c r="W10" s="151">
        <v>188.69071984000004</v>
      </c>
      <c r="X10" s="151">
        <f t="shared" si="3"/>
        <v>803.53060900200001</v>
      </c>
      <c r="Y10" s="151">
        <v>204.873864078</v>
      </c>
      <c r="Z10" s="151">
        <f t="shared" ref="Z10:AB10" si="7">SUM(Z11:Z14)</f>
        <v>206.84003104899998</v>
      </c>
      <c r="AA10" s="151">
        <f t="shared" ref="AA10" si="8">SUM(AA11:AA14)</f>
        <v>199.63845187499999</v>
      </c>
      <c r="AB10" s="151">
        <f t="shared" si="7"/>
        <v>192.17826199999999</v>
      </c>
      <c r="AC10" s="59"/>
      <c r="AE10" s="146" t="s">
        <v>1269</v>
      </c>
      <c r="AF10" s="110" t="s">
        <v>1638</v>
      </c>
      <c r="AG10" s="29">
        <f>SUM(AG11:AG13)</f>
        <v>1027.0722324229998</v>
      </c>
      <c r="AH10" s="29">
        <f>SUM(AH11:AH13)</f>
        <v>898.563883637</v>
      </c>
      <c r="AI10" s="171">
        <f t="shared" ref="AI10" si="9">IFERROR(IF(AG10*AH10&lt;0,"-",IF(AH10&lt;0,-(AG10/AH10-1),(AG10/AH10-1))),0)</f>
        <v>0.14301526149243093</v>
      </c>
      <c r="AJ10" s="174"/>
      <c r="AK10" s="133"/>
      <c r="AL10" s="151">
        <f t="shared" si="5"/>
        <v>1027.0722324230001</v>
      </c>
      <c r="AM10" s="151">
        <v>307.16749457000003</v>
      </c>
      <c r="AN10" s="151">
        <v>255.71828792700001</v>
      </c>
      <c r="AO10" s="151">
        <v>230.63079382100003</v>
      </c>
      <c r="AP10" s="151">
        <v>233.555656105</v>
      </c>
      <c r="AQ10" s="151">
        <v>898.56388363700012</v>
      </c>
      <c r="AR10" s="151">
        <v>237.733403522</v>
      </c>
      <c r="AS10" s="151">
        <v>224.18453128799999</v>
      </c>
      <c r="AT10" s="151">
        <v>191.581312502</v>
      </c>
      <c r="AU10" s="151">
        <v>245.06463632499998</v>
      </c>
      <c r="AV10" s="151">
        <v>810.15290236399994</v>
      </c>
      <c r="AW10" s="151">
        <v>182.32492845000002</v>
      </c>
      <c r="AX10" s="151">
        <f>SUM(AX11:AX14)</f>
        <v>219.66076314</v>
      </c>
      <c r="AY10" s="151">
        <v>200.27224942800001</v>
      </c>
      <c r="AZ10" s="29">
        <v>207.89496134600003</v>
      </c>
      <c r="BA10" s="151">
        <f t="shared" si="6"/>
        <v>882.80178865900007</v>
      </c>
      <c r="BB10" s="151">
        <v>215.31789777500001</v>
      </c>
      <c r="BC10" s="151">
        <f>SUM(BC11:BC14)</f>
        <v>236.05986410199998</v>
      </c>
      <c r="BD10" s="151">
        <v>218.82140218200001</v>
      </c>
      <c r="BE10" s="29">
        <v>212.60262459999998</v>
      </c>
      <c r="BF10" s="58"/>
    </row>
    <row r="11" spans="2:58" x14ac:dyDescent="0.3">
      <c r="B11" s="245" t="s">
        <v>1570</v>
      </c>
      <c r="C11" s="371" t="s">
        <v>1626</v>
      </c>
      <c r="D11" s="27">
        <f t="shared" ref="D11:D13" si="10">SUM(J11:M11)</f>
        <v>897.78618423499995</v>
      </c>
      <c r="E11" s="27">
        <f t="shared" ref="E11:E13" si="11">SUM(O11:R11)</f>
        <v>779.35990332400002</v>
      </c>
      <c r="F11" s="162">
        <f>IFERROR(IF(D11*E11&lt;0,"-",IF(E11&lt;0,-(D11/E11-1),(D11/E11-1))),0)</f>
        <v>0.15195326370513462</v>
      </c>
      <c r="G11" s="160"/>
      <c r="H11" s="160"/>
      <c r="I11" s="152">
        <v>897.78618423499995</v>
      </c>
      <c r="J11" s="152">
        <v>270.42917255100002</v>
      </c>
      <c r="K11" s="152">
        <v>225.22661284899999</v>
      </c>
      <c r="L11" s="152">
        <v>200.92325645700001</v>
      </c>
      <c r="M11" s="152">
        <v>201.20714237799999</v>
      </c>
      <c r="N11" s="152">
        <v>779.35990332400002</v>
      </c>
      <c r="O11" s="152">
        <v>204.411374064</v>
      </c>
      <c r="P11" s="152">
        <v>196.21563124599999</v>
      </c>
      <c r="Q11" s="152">
        <v>177.73854850800001</v>
      </c>
      <c r="R11" s="152">
        <v>200.99434950599999</v>
      </c>
      <c r="S11" s="152">
        <v>659.29933354399998</v>
      </c>
      <c r="T11" s="152">
        <v>143.955370695</v>
      </c>
      <c r="U11" s="152">
        <v>184.73596949899999</v>
      </c>
      <c r="V11" s="152">
        <v>165.79442849</v>
      </c>
      <c r="W11" s="152">
        <v>164.81356486000001</v>
      </c>
      <c r="X11" s="27">
        <f t="shared" si="3"/>
        <v>720.23200958100006</v>
      </c>
      <c r="Y11" s="27">
        <v>180.98392291499999</v>
      </c>
      <c r="Z11" s="27">
        <v>187.56242834099999</v>
      </c>
      <c r="AA11" s="27">
        <v>179.999251915</v>
      </c>
      <c r="AB11" s="27">
        <v>171.68640640999999</v>
      </c>
      <c r="AC11" s="160"/>
      <c r="AE11" s="245" t="s">
        <v>1571</v>
      </c>
      <c r="AF11" s="114" t="s">
        <v>1625</v>
      </c>
      <c r="AG11" s="27">
        <f t="shared" ref="AG11:AG13" si="12">SUM(AM11:AP11)</f>
        <v>897.78618423499995</v>
      </c>
      <c r="AH11" s="27">
        <f t="shared" ref="AH11:AH13" si="13">SUM(AR11:AU11)</f>
        <v>779.35990332400002</v>
      </c>
      <c r="AI11" s="172">
        <f t="shared" si="2"/>
        <v>0.15195326370513462</v>
      </c>
      <c r="AJ11" s="172"/>
      <c r="AK11" s="40"/>
      <c r="AL11" s="152">
        <f t="shared" si="5"/>
        <v>897.78618423499995</v>
      </c>
      <c r="AM11" s="152">
        <v>270.42917255100002</v>
      </c>
      <c r="AN11" s="152">
        <v>225.22661284899999</v>
      </c>
      <c r="AO11" s="152">
        <v>200.92325645700001</v>
      </c>
      <c r="AP11" s="152">
        <v>201.20714237799999</v>
      </c>
      <c r="AQ11" s="152">
        <v>779.35990332400002</v>
      </c>
      <c r="AR11" s="152">
        <v>204.41137406400003</v>
      </c>
      <c r="AS11" s="152">
        <v>196.21563124599999</v>
      </c>
      <c r="AT11" s="152">
        <v>177.73854850800001</v>
      </c>
      <c r="AU11" s="152">
        <v>200.99434950599999</v>
      </c>
      <c r="AV11" s="152">
        <v>659.29933354399998</v>
      </c>
      <c r="AW11" s="152">
        <v>143.955370695</v>
      </c>
      <c r="AX11" s="152">
        <v>184.73596949899999</v>
      </c>
      <c r="AY11" s="152">
        <v>165.79442849</v>
      </c>
      <c r="AZ11" s="27">
        <v>164.81356486000001</v>
      </c>
      <c r="BA11" s="152">
        <f t="shared" si="6"/>
        <v>720.23200958100006</v>
      </c>
      <c r="BB11" s="152">
        <v>180.98392291499999</v>
      </c>
      <c r="BC11" s="152">
        <v>187.56242834099999</v>
      </c>
      <c r="BD11" s="152">
        <v>179.99925191500003</v>
      </c>
      <c r="BE11" s="27">
        <v>171.68640640999999</v>
      </c>
      <c r="BF11" s="32"/>
    </row>
    <row r="12" spans="2:58" x14ac:dyDescent="0.3">
      <c r="B12" s="245" t="s">
        <v>1572</v>
      </c>
      <c r="C12" s="114" t="s">
        <v>1624</v>
      </c>
      <c r="D12" s="27">
        <f t="shared" si="10"/>
        <v>29.462122778000001</v>
      </c>
      <c r="E12" s="27">
        <f t="shared" si="11"/>
        <v>17.104903186000001</v>
      </c>
      <c r="F12" s="162">
        <f>IFERROR(IF(D12*E12&lt;0,"-",IF(E12&lt;0,-(D12/E12-1),(D12/E12-1))),0)</f>
        <v>0.72243727179433082</v>
      </c>
      <c r="G12" s="160"/>
      <c r="H12" s="160"/>
      <c r="I12" s="152">
        <v>29.462122778000001</v>
      </c>
      <c r="J12" s="152">
        <v>6.847204402</v>
      </c>
      <c r="K12" s="152">
        <v>6.6855330850000003</v>
      </c>
      <c r="L12" s="152">
        <v>6.5413244510000004</v>
      </c>
      <c r="M12" s="152">
        <v>9.3880608399999996</v>
      </c>
      <c r="N12" s="152">
        <v>17.104903186000001</v>
      </c>
      <c r="O12" s="152">
        <v>0.82575047899999998</v>
      </c>
      <c r="P12" s="152">
        <v>3.8437934440000001</v>
      </c>
      <c r="Q12" s="152">
        <v>5.5573098910000001</v>
      </c>
      <c r="R12" s="152">
        <v>6.8780493720000004</v>
      </c>
      <c r="S12" s="152">
        <v>23.420482012000001</v>
      </c>
      <c r="T12" s="152">
        <v>6.6872085290000003</v>
      </c>
      <c r="U12" s="152">
        <v>4.3825992170000001</v>
      </c>
      <c r="V12" s="152">
        <v>6.2475129340000004</v>
      </c>
      <c r="W12" s="152">
        <v>6.103161332</v>
      </c>
      <c r="X12" s="27">
        <f t="shared" si="3"/>
        <v>23.193321243</v>
      </c>
      <c r="Y12" s="27">
        <v>7.1323685660000002</v>
      </c>
      <c r="Z12" s="27">
        <v>4.6266731280000002</v>
      </c>
      <c r="AA12" s="27">
        <v>5.9179821019999999</v>
      </c>
      <c r="AB12" s="27">
        <v>5.5162974470000004</v>
      </c>
      <c r="AC12" s="160"/>
      <c r="AE12" s="245" t="s">
        <v>1573</v>
      </c>
      <c r="AF12" s="114" t="s">
        <v>1623</v>
      </c>
      <c r="AG12" s="27">
        <f t="shared" si="12"/>
        <v>29.462122778000001</v>
      </c>
      <c r="AH12" s="27">
        <f t="shared" si="13"/>
        <v>17.104903186000001</v>
      </c>
      <c r="AI12" s="172">
        <f t="shared" si="2"/>
        <v>0.72243727179433082</v>
      </c>
      <c r="AJ12" s="172"/>
      <c r="AK12" s="40"/>
      <c r="AL12" s="152">
        <f t="shared" si="5"/>
        <v>29.462122778000001</v>
      </c>
      <c r="AM12" s="152">
        <v>6.847204402</v>
      </c>
      <c r="AN12" s="152">
        <v>6.6855330850000003</v>
      </c>
      <c r="AO12" s="152">
        <v>6.5413244510000004</v>
      </c>
      <c r="AP12" s="152">
        <v>9.3880608399999996</v>
      </c>
      <c r="AQ12" s="152">
        <v>17.104903186000001</v>
      </c>
      <c r="AR12" s="152">
        <v>0.82575047899999987</v>
      </c>
      <c r="AS12" s="152">
        <v>3.843793444000001</v>
      </c>
      <c r="AT12" s="152">
        <v>5.5573098910000001</v>
      </c>
      <c r="AU12" s="152">
        <v>6.8780493720000004</v>
      </c>
      <c r="AV12" s="152">
        <v>23.420482012000001</v>
      </c>
      <c r="AW12" s="152">
        <v>6.6872085290000003</v>
      </c>
      <c r="AX12" s="152">
        <v>4.3825992170000001</v>
      </c>
      <c r="AY12" s="152">
        <v>6.2475129340000004</v>
      </c>
      <c r="AZ12" s="27">
        <v>6.103161332</v>
      </c>
      <c r="BA12" s="152">
        <f t="shared" si="6"/>
        <v>23.193321243</v>
      </c>
      <c r="BB12" s="152">
        <v>7.1323685660000002</v>
      </c>
      <c r="BC12" s="152">
        <v>4.6266731280000002</v>
      </c>
      <c r="BD12" s="152">
        <v>5.917982101999999</v>
      </c>
      <c r="BE12" s="27">
        <v>5.5162974470000004</v>
      </c>
      <c r="BF12" s="32"/>
    </row>
    <row r="13" spans="2:58" x14ac:dyDescent="0.3">
      <c r="B13" s="245" t="s">
        <v>1574</v>
      </c>
      <c r="C13" s="114" t="s">
        <v>1622</v>
      </c>
      <c r="D13" s="27">
        <f t="shared" si="10"/>
        <v>64.838270739999999</v>
      </c>
      <c r="E13" s="27">
        <f t="shared" si="11"/>
        <v>67.659293427999998</v>
      </c>
      <c r="F13" s="162">
        <f>IFERROR(IF(D13*E13&lt;0,"-",IF(E13&lt;0,-(D13/E13-1),(D13/E13-1))),0)</f>
        <v>-4.1694533671150502E-2</v>
      </c>
      <c r="G13" s="160"/>
      <c r="H13" s="160"/>
      <c r="I13" s="152">
        <v>64.838270739999999</v>
      </c>
      <c r="J13" s="152">
        <v>18.297465130999999</v>
      </c>
      <c r="K13" s="152">
        <v>15.868745324000001</v>
      </c>
      <c r="L13" s="152">
        <v>15.146306303999999</v>
      </c>
      <c r="M13" s="152">
        <v>15.525753980999999</v>
      </c>
      <c r="N13" s="152">
        <v>67.659293427999998</v>
      </c>
      <c r="O13" s="152">
        <v>20.710520254999999</v>
      </c>
      <c r="P13" s="152">
        <v>16.309096147000002</v>
      </c>
      <c r="Q13" s="152">
        <v>15.144894179</v>
      </c>
      <c r="R13" s="152">
        <v>15.494782847</v>
      </c>
      <c r="S13" s="152">
        <v>67.258069191999994</v>
      </c>
      <c r="T13" s="152">
        <v>18.946423622000001</v>
      </c>
      <c r="U13" s="152">
        <v>15.493931895999999</v>
      </c>
      <c r="V13" s="152">
        <v>15.043720026000001</v>
      </c>
      <c r="W13" s="152">
        <v>17.773993648000001</v>
      </c>
      <c r="X13" s="27">
        <f t="shared" si="3"/>
        <v>60.105278177999999</v>
      </c>
      <c r="Y13" s="27">
        <v>16.757572596999999</v>
      </c>
      <c r="Z13" s="27">
        <v>14.65092958</v>
      </c>
      <c r="AA13" s="27">
        <v>13.721217857999999</v>
      </c>
      <c r="AB13" s="27">
        <v>14.975558143000001</v>
      </c>
      <c r="AC13" s="160"/>
      <c r="AE13" s="245" t="s">
        <v>1575</v>
      </c>
      <c r="AF13" s="114" t="s">
        <v>1621</v>
      </c>
      <c r="AG13" s="27">
        <f t="shared" si="12"/>
        <v>99.823925410000001</v>
      </c>
      <c r="AH13" s="27">
        <f t="shared" si="13"/>
        <v>102.09907712699999</v>
      </c>
      <c r="AI13" s="172">
        <f t="shared" si="2"/>
        <v>-2.2283763781429156E-2</v>
      </c>
      <c r="AJ13" s="172"/>
      <c r="AK13" s="40"/>
      <c r="AL13" s="152">
        <f t="shared" si="5"/>
        <v>99.823925410000001</v>
      </c>
      <c r="AM13" s="152">
        <v>29.891117616999999</v>
      </c>
      <c r="AN13" s="152">
        <v>23.806141993000001</v>
      </c>
      <c r="AO13" s="152">
        <v>23.166212912999999</v>
      </c>
      <c r="AP13" s="152">
        <v>22.960452886999999</v>
      </c>
      <c r="AQ13" s="152">
        <v>102.09907712699999</v>
      </c>
      <c r="AR13" s="152">
        <v>32.496278978999982</v>
      </c>
      <c r="AS13" s="152">
        <v>24.125106598000002</v>
      </c>
      <c r="AT13" s="152">
        <v>8.2854541030000064</v>
      </c>
      <c r="AU13" s="152">
        <v>37.192237446999997</v>
      </c>
      <c r="AV13" s="152">
        <v>127.433086808</v>
      </c>
      <c r="AW13" s="152">
        <v>31.682349225999999</v>
      </c>
      <c r="AX13" s="152">
        <v>30.542194424000002</v>
      </c>
      <c r="AY13" s="152">
        <v>28.230308004000001</v>
      </c>
      <c r="AZ13" s="27">
        <v>36.978235153999996</v>
      </c>
      <c r="BA13" s="152">
        <f t="shared" si="6"/>
        <v>139.376457835</v>
      </c>
      <c r="BB13" s="152">
        <v>27.201606294000001</v>
      </c>
      <c r="BC13" s="152">
        <v>43.870762632999998</v>
      </c>
      <c r="BD13" s="152">
        <v>32.904168164999994</v>
      </c>
      <c r="BE13" s="27">
        <v>35.399920743000003</v>
      </c>
      <c r="BF13" s="32"/>
    </row>
    <row r="14" spans="2:58" x14ac:dyDescent="0.3">
      <c r="B14" s="245"/>
      <c r="C14" s="114"/>
      <c r="D14" s="27"/>
      <c r="E14" s="27"/>
      <c r="F14" s="162"/>
      <c r="G14" s="160"/>
      <c r="H14" s="160"/>
      <c r="I14" s="152"/>
      <c r="J14" s="152"/>
      <c r="K14" s="152"/>
      <c r="L14" s="152"/>
      <c r="M14" s="152"/>
      <c r="N14" s="152"/>
      <c r="O14" s="152"/>
      <c r="P14" s="152"/>
      <c r="Q14" s="152"/>
      <c r="R14" s="152"/>
      <c r="S14" s="152"/>
      <c r="T14" s="152"/>
      <c r="U14" s="152"/>
      <c r="V14" s="152"/>
      <c r="W14" s="27"/>
      <c r="X14" s="27"/>
      <c r="Y14" s="27"/>
      <c r="Z14" s="27"/>
      <c r="AA14" s="27"/>
      <c r="AB14" s="27"/>
      <c r="AC14" s="160"/>
      <c r="AE14" s="245"/>
      <c r="AF14" s="114"/>
      <c r="AG14" s="27"/>
      <c r="AH14" s="27"/>
      <c r="AI14" s="172"/>
      <c r="AJ14" s="172"/>
      <c r="AK14" s="40"/>
      <c r="AL14" s="152"/>
      <c r="AM14" s="152"/>
      <c r="AN14" s="152"/>
      <c r="AO14" s="152"/>
      <c r="AP14" s="152"/>
      <c r="AQ14" s="152"/>
      <c r="AR14" s="152"/>
      <c r="AS14" s="152"/>
      <c r="AT14" s="152"/>
      <c r="AU14" s="152"/>
      <c r="AV14" s="152"/>
      <c r="AW14" s="152"/>
      <c r="AX14" s="152"/>
      <c r="AY14" s="152"/>
      <c r="AZ14" s="27"/>
      <c r="BA14" s="152">
        <f t="shared" si="6"/>
        <v>0</v>
      </c>
      <c r="BB14" s="152"/>
      <c r="BC14" s="152"/>
      <c r="BD14" s="152"/>
      <c r="BE14" s="27"/>
      <c r="BF14" s="32"/>
    </row>
    <row r="15" spans="2:58" s="112" customFormat="1" x14ac:dyDescent="0.3">
      <c r="B15" s="146" t="s">
        <v>1576</v>
      </c>
      <c r="C15" s="110" t="s">
        <v>1631</v>
      </c>
      <c r="D15" s="29">
        <f>SUM(D16:D20)</f>
        <v>3947.3206541430004</v>
      </c>
      <c r="E15" s="29">
        <f>SUM(E16:E20)</f>
        <v>3670.5623029170001</v>
      </c>
      <c r="F15" s="161">
        <f t="shared" ref="F15:F28" si="14">IFERROR(IF(D15*E15&lt;0,"-",IF(E15&lt;0,-(D15/E15-1),(D15/E15-1))),0)</f>
        <v>7.5399442479442413E-2</v>
      </c>
      <c r="G15" s="59"/>
      <c r="H15" s="59"/>
      <c r="I15" s="151">
        <v>3947.3206541430004</v>
      </c>
      <c r="J15" s="151">
        <v>912.8580924260001</v>
      </c>
      <c r="K15" s="151">
        <v>936.30216726800006</v>
      </c>
      <c r="L15" s="151">
        <v>1306.692813354</v>
      </c>
      <c r="M15" s="151">
        <v>791.46758109500001</v>
      </c>
      <c r="N15" s="151">
        <v>3670.5623029170001</v>
      </c>
      <c r="O15" s="151">
        <v>1236.4389696870001</v>
      </c>
      <c r="P15" s="151">
        <v>370.59487706000004</v>
      </c>
      <c r="Q15" s="151">
        <v>807.73918415000003</v>
      </c>
      <c r="R15" s="151">
        <v>1255.78927202</v>
      </c>
      <c r="S15" s="151">
        <v>3956.0400545829998</v>
      </c>
      <c r="T15" s="151">
        <v>1157.804318168</v>
      </c>
      <c r="U15" s="151">
        <f>SUM(U16:U21)</f>
        <v>553.35420831400006</v>
      </c>
      <c r="V15" s="151">
        <f>SUM(V16:V21)</f>
        <v>936.43612645100006</v>
      </c>
      <c r="W15" s="151">
        <v>1308.4454016499999</v>
      </c>
      <c r="X15" s="151">
        <f t="shared" si="3"/>
        <v>5098.5172295420007</v>
      </c>
      <c r="Y15" s="151">
        <v>-32.990685893999938</v>
      </c>
      <c r="Z15" s="151">
        <f t="shared" ref="Z15:AB15" si="15">SUM(Z16:Z21)</f>
        <v>1585.6088374189999</v>
      </c>
      <c r="AA15" s="151">
        <f t="shared" ref="AA15" si="16">SUM(AA16:AA21)</f>
        <v>1978.1161513180002</v>
      </c>
      <c r="AB15" s="151">
        <f t="shared" si="15"/>
        <v>1567.7829266990002</v>
      </c>
      <c r="AC15" s="59"/>
      <c r="AE15" s="146" t="s">
        <v>1577</v>
      </c>
      <c r="AF15" s="110" t="s">
        <v>1631</v>
      </c>
      <c r="AG15" s="29">
        <f>SUM(AG16:AG20)</f>
        <v>4084.3524855619994</v>
      </c>
      <c r="AH15" s="29">
        <f>SUM(AH16:AH20)</f>
        <v>3812.7456249420002</v>
      </c>
      <c r="AI15" s="171">
        <f t="shared" si="2"/>
        <v>7.1236554267669172E-2</v>
      </c>
      <c r="AJ15" s="174"/>
      <c r="AK15" s="133"/>
      <c r="AL15" s="151">
        <f t="shared" si="5"/>
        <v>4084.3524855619999</v>
      </c>
      <c r="AM15" s="151">
        <v>948.13796366500014</v>
      </c>
      <c r="AN15" s="151">
        <v>972.81028580600002</v>
      </c>
      <c r="AO15" s="151">
        <v>1350.8048683070001</v>
      </c>
      <c r="AP15" s="151">
        <v>812.59936778399992</v>
      </c>
      <c r="AQ15" s="151">
        <v>3812.7456249420002</v>
      </c>
      <c r="AR15" s="151">
        <v>1280.1355574620002</v>
      </c>
      <c r="AS15" s="151">
        <v>398.76269564100011</v>
      </c>
      <c r="AT15" s="151">
        <v>842.05751809200001</v>
      </c>
      <c r="AU15" s="151">
        <v>1291.7898537470001</v>
      </c>
      <c r="AV15" s="151">
        <v>4134.4408367289998</v>
      </c>
      <c r="AW15" s="151">
        <v>1254.1903820100001</v>
      </c>
      <c r="AX15" s="151">
        <f>SUM(AX16:AX21)</f>
        <v>572.68190925099998</v>
      </c>
      <c r="AY15" s="151">
        <v>963.47575320900023</v>
      </c>
      <c r="AZ15" s="29">
        <v>1344.0927922589999</v>
      </c>
      <c r="BA15" s="151">
        <f t="shared" si="6"/>
        <v>5255.4749094520002</v>
      </c>
      <c r="BB15" s="151">
        <v>-9.0116594319999592</v>
      </c>
      <c r="BC15" s="151">
        <f>SUM(BC16:BC21)</f>
        <v>1650.342368032</v>
      </c>
      <c r="BD15" s="151">
        <v>2015.1612905710001</v>
      </c>
      <c r="BE15" s="29">
        <v>1598.9829102810002</v>
      </c>
      <c r="BF15" s="58"/>
    </row>
    <row r="16" spans="2:58" x14ac:dyDescent="0.3">
      <c r="B16" s="245" t="s">
        <v>802</v>
      </c>
      <c r="C16" s="114" t="s">
        <v>1633</v>
      </c>
      <c r="D16" s="27">
        <f t="shared" ref="D16:D20" si="17">SUM(J16:M16)</f>
        <v>663.73184779799999</v>
      </c>
      <c r="E16" s="27">
        <f t="shared" ref="E16:E20" si="18">SUM(O16:R16)</f>
        <v>319.18261055099998</v>
      </c>
      <c r="F16" s="162">
        <f t="shared" si="14"/>
        <v>1.0794737114663295</v>
      </c>
      <c r="G16" s="160"/>
      <c r="H16" s="160"/>
      <c r="I16" s="152">
        <v>663.73184779799999</v>
      </c>
      <c r="J16" s="152">
        <v>185.327959072</v>
      </c>
      <c r="K16" s="152">
        <v>18.616850101000001</v>
      </c>
      <c r="L16" s="152">
        <v>183.86293360499999</v>
      </c>
      <c r="M16" s="152">
        <v>275.92410502000001</v>
      </c>
      <c r="N16" s="152">
        <v>319.18261055099998</v>
      </c>
      <c r="O16" s="152">
        <v>11.835091496</v>
      </c>
      <c r="P16" s="152">
        <v>214.57858586899999</v>
      </c>
      <c r="Q16" s="152">
        <v>80.214362125999997</v>
      </c>
      <c r="R16" s="152">
        <v>12.554571060000001</v>
      </c>
      <c r="S16" s="152">
        <v>612.08323974500001</v>
      </c>
      <c r="T16" s="152">
        <v>263.01093137300001</v>
      </c>
      <c r="U16" s="152">
        <v>297.14079543600002</v>
      </c>
      <c r="V16" s="152">
        <v>16.996266536</v>
      </c>
      <c r="W16" s="152">
        <v>34.935246399999997</v>
      </c>
      <c r="X16" s="27">
        <f t="shared" si="3"/>
        <v>3190.7457085030001</v>
      </c>
      <c r="Y16" s="27">
        <v>402.69771109800001</v>
      </c>
      <c r="Z16" s="27">
        <v>491.15596187599999</v>
      </c>
      <c r="AA16" s="27">
        <f>'[14]공시용PL(변경후)'!$E$13/1000000000</f>
        <v>1188.2831334970001</v>
      </c>
      <c r="AB16" s="27">
        <v>1108.6089020320001</v>
      </c>
      <c r="AC16" s="160"/>
      <c r="AE16" s="245" t="s">
        <v>1267</v>
      </c>
      <c r="AF16" s="114" t="s">
        <v>1632</v>
      </c>
      <c r="AG16" s="27">
        <f t="shared" ref="AG16:AG20" si="19">SUM(AM16:AP16)</f>
        <v>663.73184779799999</v>
      </c>
      <c r="AH16" s="27">
        <f t="shared" ref="AH16:AH20" si="20">SUM(AR16:AU16)</f>
        <v>319.18261055099998</v>
      </c>
      <c r="AI16" s="172">
        <f t="shared" si="2"/>
        <v>1.0794737114663295</v>
      </c>
      <c r="AJ16" s="172"/>
      <c r="AK16" s="40"/>
      <c r="AL16" s="152">
        <f t="shared" si="5"/>
        <v>663.73184779799999</v>
      </c>
      <c r="AM16" s="152">
        <v>185.327959072</v>
      </c>
      <c r="AN16" s="152">
        <v>18.616850101000001</v>
      </c>
      <c r="AO16" s="152">
        <v>183.86293360499999</v>
      </c>
      <c r="AP16" s="152">
        <v>275.92410502000001</v>
      </c>
      <c r="AQ16" s="152">
        <v>319.18261055099998</v>
      </c>
      <c r="AR16" s="152">
        <v>11.835091495999961</v>
      </c>
      <c r="AS16" s="152">
        <v>214.57858586900002</v>
      </c>
      <c r="AT16" s="152">
        <v>80.214362125999997</v>
      </c>
      <c r="AU16" s="152">
        <v>12.554571060000001</v>
      </c>
      <c r="AV16" s="152">
        <v>612.08323974500001</v>
      </c>
      <c r="AW16" s="152">
        <v>263.01093137300001</v>
      </c>
      <c r="AX16" s="152">
        <v>297.14079543600002</v>
      </c>
      <c r="AY16" s="152">
        <v>16.996266536</v>
      </c>
      <c r="AZ16" s="27">
        <v>34.935246399999997</v>
      </c>
      <c r="BA16" s="152">
        <f t="shared" si="6"/>
        <v>3190.7457085030001</v>
      </c>
      <c r="BB16" s="152">
        <v>402.69771109800001</v>
      </c>
      <c r="BC16" s="152">
        <v>491.15596187599999</v>
      </c>
      <c r="BD16" s="152">
        <v>1188.2831334970001</v>
      </c>
      <c r="BE16" s="27">
        <v>1108.6089020320001</v>
      </c>
      <c r="BF16" s="32"/>
    </row>
    <row r="17" spans="2:58" x14ac:dyDescent="0.3">
      <c r="B17" s="245" t="s">
        <v>803</v>
      </c>
      <c r="C17" s="114" t="s">
        <v>1635</v>
      </c>
      <c r="D17" s="27">
        <f t="shared" si="17"/>
        <v>3.3082493959999999</v>
      </c>
      <c r="E17" s="27">
        <f t="shared" si="18"/>
        <v>2.0238660510000002</v>
      </c>
      <c r="F17" s="162">
        <f t="shared" si="14"/>
        <v>0.63461875076435059</v>
      </c>
      <c r="G17" s="160"/>
      <c r="H17" s="160"/>
      <c r="I17" s="152">
        <v>3.3082493959999999</v>
      </c>
      <c r="J17" s="152">
        <v>0.858391444</v>
      </c>
      <c r="K17" s="152">
        <v>0.79297750199999995</v>
      </c>
      <c r="L17" s="152">
        <v>0.820176291</v>
      </c>
      <c r="M17" s="152">
        <v>0.83670415899999995</v>
      </c>
      <c r="N17" s="152">
        <v>2.0238660510000002</v>
      </c>
      <c r="O17" s="152">
        <v>0.71158537799999999</v>
      </c>
      <c r="P17" s="152">
        <v>0.44238610900000003</v>
      </c>
      <c r="Q17" s="152">
        <v>0.45137616800000002</v>
      </c>
      <c r="R17" s="152">
        <v>0.41851839600000001</v>
      </c>
      <c r="S17" s="152">
        <v>1.4794635519999999</v>
      </c>
      <c r="T17" s="152">
        <v>0.421606643</v>
      </c>
      <c r="U17" s="152">
        <v>0.376728748</v>
      </c>
      <c r="V17" s="152">
        <v>0.35146593799999998</v>
      </c>
      <c r="W17" s="152">
        <v>0.32966222299999998</v>
      </c>
      <c r="X17" s="27">
        <f t="shared" si="3"/>
        <v>1.0572867349999999</v>
      </c>
      <c r="Y17" s="27">
        <v>0.36241421400000001</v>
      </c>
      <c r="Z17" s="27">
        <v>0.27015162700000001</v>
      </c>
      <c r="AA17" s="27">
        <f>'[14]공시용PL(변경후)'!$E$14/1000000000</f>
        <v>0.23331848499999999</v>
      </c>
      <c r="AB17" s="27">
        <v>0.191402409</v>
      </c>
      <c r="AC17" s="160"/>
      <c r="AE17" s="245" t="s">
        <v>1268</v>
      </c>
      <c r="AF17" s="114" t="s">
        <v>1634</v>
      </c>
      <c r="AG17" s="27">
        <f t="shared" si="19"/>
        <v>3.3082493959999999</v>
      </c>
      <c r="AH17" s="27">
        <f t="shared" si="20"/>
        <v>2.0238660510000002</v>
      </c>
      <c r="AI17" s="172">
        <f t="shared" si="2"/>
        <v>0.63461875076435059</v>
      </c>
      <c r="AJ17" s="172"/>
      <c r="AK17" s="40"/>
      <c r="AL17" s="152">
        <f t="shared" si="5"/>
        <v>3.3082493959999999</v>
      </c>
      <c r="AM17" s="152">
        <v>0.858391444</v>
      </c>
      <c r="AN17" s="152">
        <v>0.79297750199999995</v>
      </c>
      <c r="AO17" s="152">
        <v>0.820176291</v>
      </c>
      <c r="AP17" s="152">
        <v>0.83670415899999995</v>
      </c>
      <c r="AQ17" s="152">
        <v>2.0238660510000002</v>
      </c>
      <c r="AR17" s="152">
        <v>0.7115853780000001</v>
      </c>
      <c r="AS17" s="152">
        <v>0.44238610900000008</v>
      </c>
      <c r="AT17" s="152">
        <v>0.45137616799999997</v>
      </c>
      <c r="AU17" s="152">
        <v>0.41851839600000001</v>
      </c>
      <c r="AV17" s="152">
        <v>1.4794635519999999</v>
      </c>
      <c r="AW17" s="152">
        <v>0.421606643</v>
      </c>
      <c r="AX17" s="152">
        <v>0.376728748</v>
      </c>
      <c r="AY17" s="152">
        <v>0.35146593799999998</v>
      </c>
      <c r="AZ17" s="27">
        <v>0.32966222299999998</v>
      </c>
      <c r="BA17" s="152">
        <f t="shared" si="6"/>
        <v>1.0572867349999999</v>
      </c>
      <c r="BB17" s="152">
        <v>0.36241421400000001</v>
      </c>
      <c r="BC17" s="152">
        <v>0.27015162700000001</v>
      </c>
      <c r="BD17" s="152">
        <v>0.23331848500000002</v>
      </c>
      <c r="BE17" s="27">
        <v>0.191402409</v>
      </c>
      <c r="BF17" s="32"/>
    </row>
    <row r="18" spans="2:58" x14ac:dyDescent="0.3">
      <c r="B18" s="245" t="s">
        <v>1578</v>
      </c>
      <c r="C18" s="114" t="s">
        <v>1637</v>
      </c>
      <c r="D18" s="27">
        <f t="shared" si="17"/>
        <v>490.98359799399998</v>
      </c>
      <c r="E18" s="27">
        <f t="shared" si="18"/>
        <v>506.29939965</v>
      </c>
      <c r="F18" s="162">
        <f t="shared" si="14"/>
        <v>-3.0250483541137352E-2</v>
      </c>
      <c r="G18" s="160"/>
      <c r="H18" s="160"/>
      <c r="I18" s="152">
        <v>490.98359799399998</v>
      </c>
      <c r="J18" s="152">
        <v>125.133262329</v>
      </c>
      <c r="K18" s="152">
        <v>122.649684315</v>
      </c>
      <c r="L18" s="152">
        <v>121.561562411</v>
      </c>
      <c r="M18" s="152">
        <v>121.639088939</v>
      </c>
      <c r="N18" s="152">
        <v>506.29939965</v>
      </c>
      <c r="O18" s="152">
        <v>125.81761529400001</v>
      </c>
      <c r="P18" s="152">
        <v>126.316739742</v>
      </c>
      <c r="Q18" s="152">
        <v>126.499018476</v>
      </c>
      <c r="R18" s="152">
        <v>127.66602613800001</v>
      </c>
      <c r="S18" s="152">
        <v>551.78751148799995</v>
      </c>
      <c r="T18" s="152">
        <v>139.09910160300001</v>
      </c>
      <c r="U18" s="152">
        <v>142.303612448</v>
      </c>
      <c r="V18" s="152">
        <v>136.207834408</v>
      </c>
      <c r="W18" s="152">
        <v>136.89488857000001</v>
      </c>
      <c r="X18" s="27">
        <f t="shared" si="3"/>
        <v>586.69578013500006</v>
      </c>
      <c r="Y18" s="27">
        <v>147.08112602099999</v>
      </c>
      <c r="Z18" s="27">
        <v>147.66877531200001</v>
      </c>
      <c r="AA18" s="27">
        <f>'[14]공시용PL(변경후)'!$E$15/1000000000</f>
        <v>147.996806564</v>
      </c>
      <c r="AB18" s="27">
        <v>143.94907223800001</v>
      </c>
      <c r="AC18" s="160"/>
      <c r="AE18" s="245" t="s">
        <v>1579</v>
      </c>
      <c r="AF18" s="114" t="s">
        <v>1636</v>
      </c>
      <c r="AG18" s="27">
        <f t="shared" si="19"/>
        <v>493.83809280100002</v>
      </c>
      <c r="AH18" s="27">
        <f t="shared" si="20"/>
        <v>509.57412648700006</v>
      </c>
      <c r="AI18" s="172">
        <f t="shared" si="2"/>
        <v>-3.0880754865801663E-2</v>
      </c>
      <c r="AJ18" s="172"/>
      <c r="AK18" s="40"/>
      <c r="AL18" s="152">
        <f t="shared" si="5"/>
        <v>493.83809280100002</v>
      </c>
      <c r="AM18" s="152">
        <v>125.755509351</v>
      </c>
      <c r="AN18" s="152">
        <v>123.29194839500001</v>
      </c>
      <c r="AO18" s="152">
        <v>122.31264373899999</v>
      </c>
      <c r="AP18" s="152">
        <v>122.477991316</v>
      </c>
      <c r="AQ18" s="152">
        <v>509.57412648700006</v>
      </c>
      <c r="AR18" s="152">
        <v>126.76422066700007</v>
      </c>
      <c r="AS18" s="152">
        <v>126.64699743899996</v>
      </c>
      <c r="AT18" s="152">
        <v>127.71551261700003</v>
      </c>
      <c r="AU18" s="152">
        <v>128.44739576399999</v>
      </c>
      <c r="AV18" s="152">
        <v>554.71269180499996</v>
      </c>
      <c r="AW18" s="152">
        <v>138.369465526</v>
      </c>
      <c r="AX18" s="152">
        <v>141.32101387599999</v>
      </c>
      <c r="AY18" s="152">
        <v>137.30715579200003</v>
      </c>
      <c r="AZ18" s="27">
        <v>137.71505661099999</v>
      </c>
      <c r="BA18" s="152">
        <f t="shared" si="6"/>
        <v>589.42513293499997</v>
      </c>
      <c r="BB18" s="152">
        <v>147.95976879400001</v>
      </c>
      <c r="BC18" s="152">
        <v>148.370851485</v>
      </c>
      <c r="BD18" s="152">
        <v>148.55923842199999</v>
      </c>
      <c r="BE18" s="27">
        <v>144.53527423400001</v>
      </c>
      <c r="BF18" s="32"/>
    </row>
    <row r="19" spans="2:58" x14ac:dyDescent="0.3">
      <c r="B19" s="245" t="s">
        <v>1580</v>
      </c>
      <c r="C19" s="114" t="s">
        <v>1618</v>
      </c>
      <c r="D19" s="27">
        <f t="shared" si="17"/>
        <v>2332.6961828150002</v>
      </c>
      <c r="E19" s="27">
        <f t="shared" si="18"/>
        <v>2170.6458886410001</v>
      </c>
      <c r="F19" s="162">
        <f t="shared" si="14"/>
        <v>7.4655334166668919E-2</v>
      </c>
      <c r="G19" s="160"/>
      <c r="H19" s="160"/>
      <c r="I19" s="152">
        <v>2332.6961828150002</v>
      </c>
      <c r="J19" s="152">
        <v>536.01799018400004</v>
      </c>
      <c r="K19" s="152">
        <v>809.52242269500005</v>
      </c>
      <c r="L19" s="152">
        <v>694.41866963899997</v>
      </c>
      <c r="M19" s="152">
        <v>292.73710029699998</v>
      </c>
      <c r="N19" s="152">
        <v>2170.6458886410001</v>
      </c>
      <c r="O19" s="152">
        <v>829.83927142200002</v>
      </c>
      <c r="P19" s="152">
        <v>-45.026928038000001</v>
      </c>
      <c r="Q19" s="152">
        <v>437.39414578899999</v>
      </c>
      <c r="R19" s="152">
        <v>948.43939946800003</v>
      </c>
      <c r="S19" s="152">
        <v>2176.7595518849998</v>
      </c>
      <c r="T19" s="152">
        <v>664.47781573899999</v>
      </c>
      <c r="U19" s="152">
        <v>-41.338623171999998</v>
      </c>
      <c r="V19" s="152">
        <v>620.756430206</v>
      </c>
      <c r="W19" s="152">
        <v>933.02094064599999</v>
      </c>
      <c r="X19" s="152">
        <f t="shared" si="3"/>
        <v>360.11139555400007</v>
      </c>
      <c r="Y19" s="152">
        <v>-636.61953506199995</v>
      </c>
      <c r="Z19" s="152">
        <v>451.63351875699999</v>
      </c>
      <c r="AA19" s="152">
        <f>SUM('[14]공시용PL(변경후)'!$E$16:$E$21)/1000000000</f>
        <v>369.800038535</v>
      </c>
      <c r="AB19" s="152">
        <v>175.29737332400001</v>
      </c>
      <c r="AC19" s="160"/>
      <c r="AE19" s="245" t="s">
        <v>1581</v>
      </c>
      <c r="AF19" s="114" t="s">
        <v>1617</v>
      </c>
      <c r="AG19" s="27">
        <f t="shared" si="19"/>
        <v>2351.3281922539995</v>
      </c>
      <c r="AH19" s="27">
        <f t="shared" si="20"/>
        <v>2183.6887123370002</v>
      </c>
      <c r="AI19" s="172">
        <f t="shared" si="2"/>
        <v>7.6768945578140624E-2</v>
      </c>
      <c r="AJ19" s="172"/>
      <c r="AK19" s="40"/>
      <c r="AL19" s="152">
        <f t="shared" si="5"/>
        <v>2351.3281922539995</v>
      </c>
      <c r="AM19" s="152">
        <v>543.90571254500003</v>
      </c>
      <c r="AN19" s="152">
        <v>817.99187574999996</v>
      </c>
      <c r="AO19" s="152">
        <v>694.41866963899997</v>
      </c>
      <c r="AP19" s="152">
        <v>295.01193432000002</v>
      </c>
      <c r="AQ19" s="152">
        <v>2183.6887123370002</v>
      </c>
      <c r="AR19" s="152">
        <v>832.91536757500012</v>
      </c>
      <c r="AS19" s="152">
        <v>-44.887109741999893</v>
      </c>
      <c r="AT19" s="152">
        <v>447.05780909199996</v>
      </c>
      <c r="AU19" s="152">
        <v>948.60264541200002</v>
      </c>
      <c r="AV19" s="152">
        <v>2180.3168036369998</v>
      </c>
      <c r="AW19" s="152">
        <v>672.21964618499999</v>
      </c>
      <c r="AX19" s="152">
        <v>-41.458967661999999</v>
      </c>
      <c r="AY19" s="152">
        <v>618.61265226100011</v>
      </c>
      <c r="AZ19" s="27">
        <v>931.2</v>
      </c>
      <c r="BA19" s="152">
        <f t="shared" si="6"/>
        <v>374.35368320200007</v>
      </c>
      <c r="BB19" s="152">
        <v>-636.373602699</v>
      </c>
      <c r="BC19" s="152">
        <v>457.82013322799997</v>
      </c>
      <c r="BD19" s="152">
        <v>369.82559333000006</v>
      </c>
      <c r="BE19" s="27">
        <v>183.08155934300001</v>
      </c>
      <c r="BF19" s="32"/>
    </row>
    <row r="20" spans="2:58" x14ac:dyDescent="0.3">
      <c r="B20" s="245" t="s">
        <v>1582</v>
      </c>
      <c r="C20" s="114" t="s">
        <v>1620</v>
      </c>
      <c r="D20" s="27">
        <f t="shared" si="17"/>
        <v>456.60077614000005</v>
      </c>
      <c r="E20" s="27">
        <f t="shared" si="18"/>
        <v>672.41053802400006</v>
      </c>
      <c r="F20" s="162">
        <f t="shared" si="14"/>
        <v>-0.32094940468689859</v>
      </c>
      <c r="G20" s="160"/>
      <c r="H20" s="160"/>
      <c r="I20" s="152">
        <v>456.60077613999999</v>
      </c>
      <c r="J20" s="152">
        <v>65.520489397000006</v>
      </c>
      <c r="K20" s="152">
        <v>-15.279767345</v>
      </c>
      <c r="L20" s="152">
        <v>306.02947140800001</v>
      </c>
      <c r="M20" s="152">
        <v>100.33058268000001</v>
      </c>
      <c r="N20" s="152">
        <v>672.41053802399995</v>
      </c>
      <c r="O20" s="152">
        <v>268.23540609700001</v>
      </c>
      <c r="P20" s="152">
        <v>74.284093377999994</v>
      </c>
      <c r="Q20" s="152">
        <v>163.18028159100001</v>
      </c>
      <c r="R20" s="152">
        <v>166.71075695799999</v>
      </c>
      <c r="S20" s="152">
        <v>613.93028791300003</v>
      </c>
      <c r="T20" s="152">
        <v>90.794862809999998</v>
      </c>
      <c r="U20" s="152">
        <v>154.871694854</v>
      </c>
      <c r="V20" s="152">
        <v>162.12412936300001</v>
      </c>
      <c r="W20" s="152">
        <v>203.26466381099999</v>
      </c>
      <c r="X20" s="152">
        <f t="shared" si="3"/>
        <v>959.9070586150001</v>
      </c>
      <c r="Y20" s="152">
        <v>53.487597835000003</v>
      </c>
      <c r="Z20" s="152">
        <v>494.88042984700002</v>
      </c>
      <c r="AA20" s="152">
        <f>SUM('[14]공시용PL(변경후)'!$E$22:$E$29)/1000000000</f>
        <v>271.80285423700002</v>
      </c>
      <c r="AB20" s="152">
        <v>139.736176696</v>
      </c>
      <c r="AC20" s="160"/>
      <c r="AE20" s="245" t="s">
        <v>1583</v>
      </c>
      <c r="AF20" s="114" t="s">
        <v>1619</v>
      </c>
      <c r="AG20" s="27">
        <f t="shared" si="19"/>
        <v>572.14610331299991</v>
      </c>
      <c r="AH20" s="27">
        <f t="shared" si="20"/>
        <v>798.27630951599997</v>
      </c>
      <c r="AI20" s="172">
        <f t="shared" si="2"/>
        <v>-0.28327310169094744</v>
      </c>
      <c r="AJ20" s="172"/>
      <c r="AK20" s="40"/>
      <c r="AL20" s="152">
        <f t="shared" si="5"/>
        <v>572.14610331299991</v>
      </c>
      <c r="AM20" s="152">
        <v>92.290391252999996</v>
      </c>
      <c r="AN20" s="152">
        <v>12.116634058000001</v>
      </c>
      <c r="AO20" s="152">
        <v>349.39044503299999</v>
      </c>
      <c r="AP20" s="152">
        <v>118.34863296899999</v>
      </c>
      <c r="AQ20" s="152">
        <v>798.27630951599997</v>
      </c>
      <c r="AR20" s="152">
        <v>307.90929234599997</v>
      </c>
      <c r="AS20" s="152">
        <v>101.98183596600001</v>
      </c>
      <c r="AT20" s="152">
        <v>186.618458089</v>
      </c>
      <c r="AU20" s="152">
        <v>201.76672311499999</v>
      </c>
      <c r="AV20" s="152">
        <v>785.84863798999993</v>
      </c>
      <c r="AW20" s="152">
        <v>180.168732283</v>
      </c>
      <c r="AX20" s="152">
        <v>175.30233885300001</v>
      </c>
      <c r="AY20" s="152">
        <v>190.20821268200001</v>
      </c>
      <c r="AZ20" s="27">
        <v>239.9</v>
      </c>
      <c r="BA20" s="152">
        <f t="shared" si="6"/>
        <v>1099.8930980770001</v>
      </c>
      <c r="BB20" s="152">
        <v>76.342049161000006</v>
      </c>
      <c r="BC20" s="152">
        <v>552.72526981600004</v>
      </c>
      <c r="BD20" s="152">
        <v>308.26000683699999</v>
      </c>
      <c r="BE20" s="27">
        <v>162.56577226300001</v>
      </c>
      <c r="BF20" s="32"/>
    </row>
    <row r="21" spans="2:58" x14ac:dyDescent="0.3">
      <c r="B21" s="245"/>
      <c r="C21" s="114"/>
      <c r="D21" s="27"/>
      <c r="E21" s="27"/>
      <c r="F21" s="162">
        <f t="shared" si="14"/>
        <v>0</v>
      </c>
      <c r="G21" s="160"/>
      <c r="H21" s="160"/>
      <c r="I21" s="152"/>
      <c r="J21" s="152"/>
      <c r="K21" s="152"/>
      <c r="L21" s="152"/>
      <c r="M21" s="152"/>
      <c r="N21" s="152"/>
      <c r="O21" s="152"/>
      <c r="P21" s="152"/>
      <c r="Q21" s="152"/>
      <c r="R21" s="152"/>
      <c r="S21" s="152"/>
      <c r="T21" s="152"/>
      <c r="U21" s="152"/>
      <c r="V21" s="152"/>
      <c r="W21" s="27"/>
      <c r="X21" s="27"/>
      <c r="Y21" s="27"/>
      <c r="Z21" s="27"/>
      <c r="AA21" s="27"/>
      <c r="AB21" s="27"/>
      <c r="AC21" s="160"/>
      <c r="AE21" s="245"/>
      <c r="AF21" s="114"/>
      <c r="AG21" s="27"/>
      <c r="AH21" s="27"/>
      <c r="AI21" s="172">
        <f t="shared" si="2"/>
        <v>0</v>
      </c>
      <c r="AJ21" s="172"/>
      <c r="AK21" s="40"/>
      <c r="AL21" s="152"/>
      <c r="AM21" s="152"/>
      <c r="AN21" s="152"/>
      <c r="AO21" s="152"/>
      <c r="AP21" s="152"/>
      <c r="AQ21" s="152"/>
      <c r="AR21" s="152"/>
      <c r="AS21" s="152"/>
      <c r="AT21" s="152"/>
      <c r="AU21" s="152"/>
      <c r="AV21" s="152"/>
      <c r="AW21" s="152"/>
      <c r="AX21" s="152"/>
      <c r="AY21" s="152"/>
      <c r="AZ21" s="27"/>
      <c r="BA21" s="152">
        <f t="shared" si="6"/>
        <v>0</v>
      </c>
      <c r="BB21" s="152"/>
      <c r="BC21" s="152"/>
      <c r="BD21" s="152"/>
      <c r="BE21" s="27"/>
      <c r="BF21" s="32"/>
    </row>
    <row r="22" spans="2:58" s="112" customFormat="1" x14ac:dyDescent="0.3">
      <c r="B22" s="146" t="s">
        <v>1584</v>
      </c>
      <c r="C22" s="110" t="s">
        <v>1592</v>
      </c>
      <c r="D22" s="29">
        <f>SUM(D23:D28)</f>
        <v>3873.4544976189995</v>
      </c>
      <c r="E22" s="29">
        <f>SUM(E23:E28)</f>
        <v>3674.8989429459994</v>
      </c>
      <c r="F22" s="161">
        <f t="shared" si="14"/>
        <v>5.4030208110655398E-2</v>
      </c>
      <c r="G22" s="59"/>
      <c r="H22" s="59"/>
      <c r="I22" s="151">
        <v>3873.4544976189995</v>
      </c>
      <c r="J22" s="151">
        <v>883.95064702100012</v>
      </c>
      <c r="K22" s="151">
        <v>911.75906646500005</v>
      </c>
      <c r="L22" s="151">
        <v>1286.6298119190001</v>
      </c>
      <c r="M22" s="151">
        <v>791.11497221400009</v>
      </c>
      <c r="N22" s="151">
        <v>3674.8989429459998</v>
      </c>
      <c r="O22" s="151">
        <v>1203.144906368</v>
      </c>
      <c r="P22" s="151">
        <v>398.56238415299998</v>
      </c>
      <c r="Q22" s="151">
        <v>838.56066854300013</v>
      </c>
      <c r="R22" s="151">
        <v>1234.630983882</v>
      </c>
      <c r="S22" s="151">
        <v>3978.6644779669996</v>
      </c>
      <c r="T22" s="151">
        <v>1277.203162622</v>
      </c>
      <c r="U22" s="151">
        <f>SUM(U23:U29)</f>
        <v>554.09874339999999</v>
      </c>
      <c r="V22" s="151">
        <f>SUM(V23:V29)</f>
        <v>932.68648852199999</v>
      </c>
      <c r="W22" s="29">
        <v>1214.6760834229999</v>
      </c>
      <c r="X22" s="29">
        <f t="shared" si="3"/>
        <v>5070.6888838340001</v>
      </c>
      <c r="Y22" s="29">
        <v>46.159077785999983</v>
      </c>
      <c r="Z22" s="29">
        <f t="shared" ref="Z22:AB22" si="21">SUM(Z23:Z29)</f>
        <v>1539.236600749</v>
      </c>
      <c r="AA22" s="29">
        <f t="shared" ref="AA22" si="22">SUM(AA23:AA29)</f>
        <v>1956.1512321399998</v>
      </c>
      <c r="AB22" s="29">
        <f t="shared" si="21"/>
        <v>1529.1419731589999</v>
      </c>
      <c r="AC22" s="59"/>
      <c r="AE22" s="146" t="s">
        <v>1585</v>
      </c>
      <c r="AF22" s="110" t="s">
        <v>1592</v>
      </c>
      <c r="AG22" s="29">
        <f>SUM(AG23:AG28)</f>
        <v>3966.8452998429998</v>
      </c>
      <c r="AH22" s="29">
        <f>SUM(AH23:AH28)</f>
        <v>3775.450891422</v>
      </c>
      <c r="AI22" s="171">
        <f t="shared" si="2"/>
        <v>5.069445052400412E-2</v>
      </c>
      <c r="AJ22" s="174"/>
      <c r="AK22" s="133"/>
      <c r="AL22" s="151">
        <f t="shared" si="5"/>
        <v>3966.8452998430002</v>
      </c>
      <c r="AM22" s="151">
        <v>902.31904359000009</v>
      </c>
      <c r="AN22" s="151">
        <v>937.40761170899975</v>
      </c>
      <c r="AO22" s="151">
        <v>1322.4222385850003</v>
      </c>
      <c r="AP22" s="151">
        <v>804.696405959</v>
      </c>
      <c r="AQ22" s="151">
        <v>3775.4508914219996</v>
      </c>
      <c r="AR22" s="151">
        <v>1235.848795463</v>
      </c>
      <c r="AS22" s="151">
        <v>417.95120416300006</v>
      </c>
      <c r="AT22" s="151">
        <v>877.02512881300004</v>
      </c>
      <c r="AU22" s="151">
        <v>1244.625762983</v>
      </c>
      <c r="AV22" s="151">
        <v>4094.5408870199999</v>
      </c>
      <c r="AW22" s="151">
        <v>1332.2356011140002</v>
      </c>
      <c r="AX22" s="151">
        <f>SUM(AX23:AX29)</f>
        <v>575.79497429899993</v>
      </c>
      <c r="AY22" s="151">
        <v>937.6712070980002</v>
      </c>
      <c r="AZ22" s="29">
        <v>1228.443638316</v>
      </c>
      <c r="BA22" s="151">
        <f t="shared" si="6"/>
        <v>5136.7578289659996</v>
      </c>
      <c r="BB22" s="151">
        <v>56.469908772999986</v>
      </c>
      <c r="BC22" s="151">
        <f>SUM(BC23:BC29)</f>
        <v>1567.76672521</v>
      </c>
      <c r="BD22" s="151">
        <v>1973.510902131</v>
      </c>
      <c r="BE22" s="29">
        <v>1539.010292852</v>
      </c>
      <c r="BF22" s="58"/>
    </row>
    <row r="23" spans="2:58" s="112" customFormat="1" x14ac:dyDescent="0.3">
      <c r="B23" s="245" t="s">
        <v>805</v>
      </c>
      <c r="C23" s="114" t="s">
        <v>1614</v>
      </c>
      <c r="D23" s="27">
        <f t="shared" ref="D23:D28" si="23">SUM(J23:M23)</f>
        <v>2936.510796988</v>
      </c>
      <c r="E23" s="27">
        <f t="shared" ref="E23:E28" si="24">SUM(O23:R23)</f>
        <v>2393.0877579239996</v>
      </c>
      <c r="F23" s="162">
        <f t="shared" si="14"/>
        <v>0.2270802803886387</v>
      </c>
      <c r="G23" s="160"/>
      <c r="H23" s="160"/>
      <c r="I23" s="152">
        <v>2936.510796988</v>
      </c>
      <c r="J23" s="152">
        <v>825.584518387</v>
      </c>
      <c r="K23" s="152">
        <v>1056.3990520780001</v>
      </c>
      <c r="L23" s="152">
        <v>762.45996052400005</v>
      </c>
      <c r="M23" s="152">
        <v>292.06726599900003</v>
      </c>
      <c r="N23" s="152">
        <v>2393.087757924</v>
      </c>
      <c r="O23" s="152">
        <v>636.38013628299996</v>
      </c>
      <c r="P23" s="152">
        <v>270.90059270299997</v>
      </c>
      <c r="Q23" s="152">
        <v>583.96861621799997</v>
      </c>
      <c r="R23" s="152">
        <v>901.83841271999995</v>
      </c>
      <c r="S23" s="152">
        <v>2954.2410166949999</v>
      </c>
      <c r="T23" s="152">
        <v>1152.971590165</v>
      </c>
      <c r="U23" s="152">
        <v>280.52943565300001</v>
      </c>
      <c r="V23" s="152">
        <v>668.20469152700002</v>
      </c>
      <c r="W23" s="152">
        <v>852.53529934999995</v>
      </c>
      <c r="X23" s="152">
        <f t="shared" si="3"/>
        <v>1300.0522827079999</v>
      </c>
      <c r="Y23" s="152">
        <v>369.46104734699998</v>
      </c>
      <c r="Z23" s="152">
        <v>504.94701701999998</v>
      </c>
      <c r="AA23" s="152">
        <v>161.66443758899999</v>
      </c>
      <c r="AB23" s="152">
        <v>263.97978075200001</v>
      </c>
      <c r="AC23" s="59"/>
      <c r="AE23" s="245" t="s">
        <v>805</v>
      </c>
      <c r="AF23" s="114" t="s">
        <v>1614</v>
      </c>
      <c r="AG23" s="27">
        <f t="shared" ref="AG23:AG28" si="25">SUM(AM23:AP23)</f>
        <v>2936.510796988</v>
      </c>
      <c r="AH23" s="27">
        <f>SUM(AR23:AU23)</f>
        <v>2393.087757924</v>
      </c>
      <c r="AI23" s="172">
        <f t="shared" si="2"/>
        <v>0.22708028038863848</v>
      </c>
      <c r="AJ23" s="172"/>
      <c r="AK23" s="40"/>
      <c r="AL23" s="152">
        <f t="shared" si="5"/>
        <v>2936.510796988</v>
      </c>
      <c r="AM23" s="152">
        <v>825.584518387</v>
      </c>
      <c r="AN23" s="152">
        <v>1056.3990520780001</v>
      </c>
      <c r="AO23" s="152">
        <v>762.45996052400005</v>
      </c>
      <c r="AP23" s="152">
        <v>292.06726599900003</v>
      </c>
      <c r="AQ23" s="152">
        <v>2393.087757924</v>
      </c>
      <c r="AR23" s="152">
        <v>636.38013628299996</v>
      </c>
      <c r="AS23" s="152">
        <v>270.90059270300003</v>
      </c>
      <c r="AT23" s="152">
        <v>583.96861621800008</v>
      </c>
      <c r="AU23" s="152">
        <v>901.83841271999995</v>
      </c>
      <c r="AV23" s="152">
        <v>2954.2410166949999</v>
      </c>
      <c r="AW23" s="152">
        <v>1132.576123972</v>
      </c>
      <c r="AX23" s="152">
        <v>280.52943565300001</v>
      </c>
      <c r="AY23" s="152">
        <v>668.20469152700014</v>
      </c>
      <c r="AZ23" s="27">
        <v>852.53529934999995</v>
      </c>
      <c r="BA23" s="152">
        <f t="shared" si="6"/>
        <v>1300.0522827079999</v>
      </c>
      <c r="BB23" s="152">
        <v>369.46104734699998</v>
      </c>
      <c r="BC23" s="152">
        <v>504.94701701999998</v>
      </c>
      <c r="BD23" s="152">
        <v>161.66443758899999</v>
      </c>
      <c r="BE23" s="27">
        <v>263.97978075200001</v>
      </c>
      <c r="BF23" s="58"/>
    </row>
    <row r="24" spans="2:58" s="112" customFormat="1" x14ac:dyDescent="0.3">
      <c r="B24" s="245" t="s">
        <v>806</v>
      </c>
      <c r="C24" s="114" t="s">
        <v>1615</v>
      </c>
      <c r="D24" s="27">
        <f t="shared" si="23"/>
        <v>2.284439882</v>
      </c>
      <c r="E24" s="27">
        <f t="shared" si="24"/>
        <v>1.217984427</v>
      </c>
      <c r="F24" s="162">
        <f t="shared" si="14"/>
        <v>0.87559038634571973</v>
      </c>
      <c r="G24" s="160"/>
      <c r="H24" s="160"/>
      <c r="I24" s="152">
        <v>2.284439882</v>
      </c>
      <c r="J24" s="152">
        <v>0.57098707999999998</v>
      </c>
      <c r="K24" s="152">
        <v>0.53995313</v>
      </c>
      <c r="L24" s="152">
        <v>0.58655794400000005</v>
      </c>
      <c r="M24" s="152">
        <v>0.586941728</v>
      </c>
      <c r="N24" s="152">
        <v>1.217984427</v>
      </c>
      <c r="O24" s="152">
        <v>0.41565951499999998</v>
      </c>
      <c r="P24" s="152">
        <v>0.25759183499999999</v>
      </c>
      <c r="Q24" s="152">
        <v>0.27552300200000002</v>
      </c>
      <c r="R24" s="152">
        <v>0.26921007499999999</v>
      </c>
      <c r="S24" s="152">
        <v>0.93647891000000005</v>
      </c>
      <c r="T24" s="152">
        <v>0.24755853</v>
      </c>
      <c r="U24" s="152">
        <v>0.24106650800000001</v>
      </c>
      <c r="V24" s="152">
        <v>0.22627746100000001</v>
      </c>
      <c r="W24" s="152">
        <v>0.221576411</v>
      </c>
      <c r="X24" s="152">
        <f t="shared" si="3"/>
        <v>0.71143579700000004</v>
      </c>
      <c r="Y24" s="152">
        <v>0.210526669</v>
      </c>
      <c r="Z24" s="152">
        <v>0.18914646299999999</v>
      </c>
      <c r="AA24" s="152">
        <v>0.17244011400000001</v>
      </c>
      <c r="AB24" s="152">
        <v>0.13932255099999999</v>
      </c>
      <c r="AC24" s="59"/>
      <c r="AE24" s="245" t="s">
        <v>806</v>
      </c>
      <c r="AF24" s="114" t="s">
        <v>1615</v>
      </c>
      <c r="AG24" s="27">
        <f t="shared" si="25"/>
        <v>2.284439882</v>
      </c>
      <c r="AH24" s="27">
        <f>SUM(AR24:AU24)</f>
        <v>1.217984427</v>
      </c>
      <c r="AI24" s="172">
        <f t="shared" si="2"/>
        <v>0.87559038634571973</v>
      </c>
      <c r="AJ24" s="172"/>
      <c r="AK24" s="40"/>
      <c r="AL24" s="152">
        <f t="shared" si="5"/>
        <v>2.284439882</v>
      </c>
      <c r="AM24" s="152">
        <v>0.57098707999999998</v>
      </c>
      <c r="AN24" s="152">
        <v>0.53995313</v>
      </c>
      <c r="AO24" s="152">
        <v>0.58655794400000005</v>
      </c>
      <c r="AP24" s="152">
        <v>0.586941728</v>
      </c>
      <c r="AQ24" s="152">
        <v>1.217984427</v>
      </c>
      <c r="AR24" s="152">
        <v>0.41565951499999998</v>
      </c>
      <c r="AS24" s="152">
        <v>0.25759183500000005</v>
      </c>
      <c r="AT24" s="152">
        <v>0.27552300199999996</v>
      </c>
      <c r="AU24" s="152">
        <v>0.26921007499999999</v>
      </c>
      <c r="AV24" s="152">
        <v>0.93647891000000005</v>
      </c>
      <c r="AW24" s="152">
        <v>0.24755853</v>
      </c>
      <c r="AX24" s="152">
        <v>0.24106650800000001</v>
      </c>
      <c r="AY24" s="152">
        <v>0.22627746099999999</v>
      </c>
      <c r="AZ24" s="27">
        <v>0.221576411</v>
      </c>
      <c r="BA24" s="152">
        <f t="shared" si="6"/>
        <v>0.71143579700000004</v>
      </c>
      <c r="BB24" s="152">
        <v>0.210526669</v>
      </c>
      <c r="BC24" s="152">
        <v>0.18914646299999999</v>
      </c>
      <c r="BD24" s="152">
        <v>0.17244011400000001</v>
      </c>
      <c r="BE24" s="27">
        <v>0.13932255099999999</v>
      </c>
      <c r="BF24" s="58"/>
    </row>
    <row r="25" spans="2:58" s="112" customFormat="1" x14ac:dyDescent="0.3">
      <c r="B25" s="245" t="s">
        <v>1586</v>
      </c>
      <c r="C25" s="114" t="s">
        <v>1616</v>
      </c>
      <c r="D25" s="27">
        <f t="shared" si="23"/>
        <v>20.658569665000002</v>
      </c>
      <c r="E25" s="27">
        <f t="shared" si="24"/>
        <v>20.023981185</v>
      </c>
      <c r="F25" s="162">
        <f t="shared" si="14"/>
        <v>3.1691424104781651E-2</v>
      </c>
      <c r="G25" s="160"/>
      <c r="H25" s="160"/>
      <c r="I25" s="152">
        <v>20.658569665000002</v>
      </c>
      <c r="J25" s="152">
        <v>5.1746358739999998</v>
      </c>
      <c r="K25" s="152">
        <v>5.3162935879999997</v>
      </c>
      <c r="L25" s="152">
        <v>5.0850516519999998</v>
      </c>
      <c r="M25" s="152">
        <v>5.0825885509999997</v>
      </c>
      <c r="N25" s="152">
        <v>20.023981185</v>
      </c>
      <c r="O25" s="152">
        <v>5.7686073120000003</v>
      </c>
      <c r="P25" s="152">
        <v>4.6633059560000003</v>
      </c>
      <c r="Q25" s="152">
        <v>4.4209360909999997</v>
      </c>
      <c r="R25" s="152">
        <v>5.1711318259999999</v>
      </c>
      <c r="S25" s="152">
        <v>20.518133899999999</v>
      </c>
      <c r="T25" s="152">
        <v>5.3998237429999998</v>
      </c>
      <c r="U25" s="152">
        <v>5.0478454859999999</v>
      </c>
      <c r="V25" s="152">
        <v>4.8599904409999999</v>
      </c>
      <c r="W25" s="152">
        <v>5.21047423</v>
      </c>
      <c r="X25" s="152">
        <f t="shared" si="3"/>
        <v>20.767416335</v>
      </c>
      <c r="Y25" s="152">
        <v>5.2171399650000003</v>
      </c>
      <c r="Z25" s="152">
        <v>4.9637950679999996</v>
      </c>
      <c r="AA25" s="152">
        <v>4.441436768</v>
      </c>
      <c r="AB25" s="152">
        <v>6.1450445340000002</v>
      </c>
      <c r="AC25" s="59"/>
      <c r="AE25" s="245" t="s">
        <v>1586</v>
      </c>
      <c r="AF25" s="114" t="s">
        <v>1616</v>
      </c>
      <c r="AG25" s="27">
        <f t="shared" si="25"/>
        <v>20.680405665000002</v>
      </c>
      <c r="AH25" s="27">
        <f t="shared" ref="AH25:AH28" si="26">SUM(AR25:AU25)</f>
        <v>20.040338784999999</v>
      </c>
      <c r="AI25" s="172">
        <f t="shared" si="2"/>
        <v>3.1938925128305984E-2</v>
      </c>
      <c r="AJ25" s="172"/>
      <c r="AK25" s="40"/>
      <c r="AL25" s="152">
        <f t="shared" si="5"/>
        <v>20.680405665000002</v>
      </c>
      <c r="AM25" s="152">
        <v>5.1788998739999998</v>
      </c>
      <c r="AN25" s="152">
        <v>5.3214380879999998</v>
      </c>
      <c r="AO25" s="152">
        <v>5.0910671519999999</v>
      </c>
      <c r="AP25" s="152">
        <v>5.0890005509999998</v>
      </c>
      <c r="AQ25" s="152">
        <v>20.040338784999999</v>
      </c>
      <c r="AR25" s="152">
        <v>5.7707573120000006</v>
      </c>
      <c r="AS25" s="152">
        <v>4.6658292560000003</v>
      </c>
      <c r="AT25" s="152">
        <v>4.4266526910000001</v>
      </c>
      <c r="AU25" s="152">
        <v>5.1770995260000001</v>
      </c>
      <c r="AV25" s="152">
        <v>21.479331295000001</v>
      </c>
      <c r="AW25" s="152">
        <v>5.5631377430000004</v>
      </c>
      <c r="AX25" s="152">
        <v>5.5363979949999997</v>
      </c>
      <c r="AY25" s="152">
        <v>5.0917595019999995</v>
      </c>
      <c r="AZ25" s="27">
        <v>5.2880360550000001</v>
      </c>
      <c r="BA25" s="152">
        <f t="shared" si="6"/>
        <v>21.213309623000001</v>
      </c>
      <c r="BB25" s="152">
        <v>5.2819049380000003</v>
      </c>
      <c r="BC25" s="152">
        <v>5.0674150219999996</v>
      </c>
      <c r="BD25" s="152">
        <v>4.4890809320000002</v>
      </c>
      <c r="BE25" s="27">
        <v>6.3749087309999997</v>
      </c>
      <c r="BF25" s="58"/>
    </row>
    <row r="26" spans="2:58" s="112" customFormat="1" x14ac:dyDescent="0.3">
      <c r="B26" s="245" t="s">
        <v>779</v>
      </c>
      <c r="C26" s="114" t="s">
        <v>1613</v>
      </c>
      <c r="D26" s="27">
        <f t="shared" si="23"/>
        <v>14.652440195000001</v>
      </c>
      <c r="E26" s="27">
        <f t="shared" si="24"/>
        <v>12.773507095999999</v>
      </c>
      <c r="F26" s="162">
        <f t="shared" si="14"/>
        <v>0.14709610171104726</v>
      </c>
      <c r="G26" s="160"/>
      <c r="H26" s="160"/>
      <c r="I26" s="152">
        <v>14.652440195000001</v>
      </c>
      <c r="J26" s="152">
        <v>5.2246753760000004</v>
      </c>
      <c r="K26" s="152">
        <v>3.128159659</v>
      </c>
      <c r="L26" s="152">
        <v>3.1408763830000002</v>
      </c>
      <c r="M26" s="152">
        <v>3.1587287769999999</v>
      </c>
      <c r="N26" s="152">
        <v>12.773507095999999</v>
      </c>
      <c r="O26" s="152">
        <v>3.238033975</v>
      </c>
      <c r="P26" s="152">
        <v>3.0996273580000002</v>
      </c>
      <c r="Q26" s="152">
        <v>3.1038873709999999</v>
      </c>
      <c r="R26" s="152">
        <v>3.3319583920000002</v>
      </c>
      <c r="S26" s="152">
        <v>20.543697688999998</v>
      </c>
      <c r="T26" s="152">
        <v>4.5496047539999998</v>
      </c>
      <c r="U26" s="152">
        <v>5.2165036249999996</v>
      </c>
      <c r="V26" s="152">
        <v>5.2448936279999998</v>
      </c>
      <c r="W26" s="152">
        <v>5.5326956819999999</v>
      </c>
      <c r="X26" s="152">
        <f t="shared" si="3"/>
        <v>21.706656604000003</v>
      </c>
      <c r="Y26" s="152">
        <v>5.9347193069999999</v>
      </c>
      <c r="Z26" s="152">
        <v>5.2485083699999997</v>
      </c>
      <c r="AA26" s="152">
        <v>5.2977885840000001</v>
      </c>
      <c r="AB26" s="152">
        <v>5.2256403430000002</v>
      </c>
      <c r="AC26" s="59"/>
      <c r="AE26" s="245" t="s">
        <v>779</v>
      </c>
      <c r="AF26" s="114" t="s">
        <v>1613</v>
      </c>
      <c r="AG26" s="27">
        <f t="shared" si="25"/>
        <v>14.954774652000001</v>
      </c>
      <c r="AH26" s="27">
        <f t="shared" si="26"/>
        <v>13.301690764</v>
      </c>
      <c r="AI26" s="172">
        <f t="shared" si="2"/>
        <v>0.1242762230252672</v>
      </c>
      <c r="AJ26" s="172"/>
      <c r="AK26" s="40"/>
      <c r="AL26" s="152">
        <f t="shared" si="5"/>
        <v>14.954774652000001</v>
      </c>
      <c r="AM26" s="152">
        <v>5.2867448359999996</v>
      </c>
      <c r="AN26" s="152">
        <v>3.1962062109999998</v>
      </c>
      <c r="AO26" s="152">
        <v>3.2291854670000002</v>
      </c>
      <c r="AP26" s="152">
        <v>3.2426381379999998</v>
      </c>
      <c r="AQ26" s="152">
        <v>13.301690764</v>
      </c>
      <c r="AR26" s="152">
        <v>3.3431166230000002</v>
      </c>
      <c r="AS26" s="152">
        <v>3.233624292</v>
      </c>
      <c r="AT26" s="152">
        <v>3.2558346969999996</v>
      </c>
      <c r="AU26" s="152">
        <v>3.4691151520000001</v>
      </c>
      <c r="AV26" s="152">
        <v>20.954549666999998</v>
      </c>
      <c r="AW26" s="152">
        <v>4.6553017240000001</v>
      </c>
      <c r="AX26" s="152">
        <v>5.3236822510000001</v>
      </c>
      <c r="AY26" s="152">
        <v>5.3310964800000002</v>
      </c>
      <c r="AZ26" s="27">
        <v>5.6444692119999997</v>
      </c>
      <c r="BA26" s="152">
        <f t="shared" si="6"/>
        <v>22.321861868999999</v>
      </c>
      <c r="BB26" s="152">
        <v>5.9629598570000004</v>
      </c>
      <c r="BC26" s="152">
        <v>5.4194365219999998</v>
      </c>
      <c r="BD26" s="152">
        <v>5.5319888380000002</v>
      </c>
      <c r="BE26" s="27">
        <v>5.4074766519999997</v>
      </c>
      <c r="BF26" s="58"/>
    </row>
    <row r="27" spans="2:58" x14ac:dyDescent="0.3">
      <c r="B27" s="245" t="s">
        <v>1587</v>
      </c>
      <c r="C27" s="114" t="s">
        <v>1612</v>
      </c>
      <c r="D27" s="27">
        <f t="shared" si="23"/>
        <v>413.89875042699998</v>
      </c>
      <c r="E27" s="27">
        <f t="shared" si="24"/>
        <v>513.72212408500002</v>
      </c>
      <c r="F27" s="162">
        <f t="shared" si="14"/>
        <v>-0.19431394712812355</v>
      </c>
      <c r="G27" s="160"/>
      <c r="H27" s="160"/>
      <c r="I27" s="152">
        <v>413.89875042699998</v>
      </c>
      <c r="J27" s="152">
        <v>-57.598456018</v>
      </c>
      <c r="K27" s="152">
        <v>-225.540047913</v>
      </c>
      <c r="L27" s="152">
        <v>294.89164024399997</v>
      </c>
      <c r="M27" s="152">
        <v>402.14561411400001</v>
      </c>
      <c r="N27" s="152">
        <v>513.72212408500002</v>
      </c>
      <c r="O27" s="152">
        <v>140.40653529799999</v>
      </c>
      <c r="P27" s="152">
        <v>166.357089758</v>
      </c>
      <c r="Q27" s="152">
        <v>95.690601266000002</v>
      </c>
      <c r="R27" s="152">
        <v>111.26789776299999</v>
      </c>
      <c r="S27" s="152">
        <v>351.66378559100002</v>
      </c>
      <c r="T27" s="152">
        <v>75.080810103999994</v>
      </c>
      <c r="U27" s="152">
        <v>91.458163158000005</v>
      </c>
      <c r="V27" s="152">
        <v>96.995635003000004</v>
      </c>
      <c r="W27" s="152">
        <v>88.135235636999994</v>
      </c>
      <c r="X27" s="152">
        <f t="shared" si="3"/>
        <v>2915.8122994309997</v>
      </c>
      <c r="Y27" s="152">
        <v>-143.360404794</v>
      </c>
      <c r="Z27" s="152">
        <v>499.92172713799999</v>
      </c>
      <c r="AA27" s="152">
        <v>1447.0177987689999</v>
      </c>
      <c r="AB27" s="152">
        <v>1112.233178318</v>
      </c>
      <c r="AC27" s="160"/>
      <c r="AE27" s="245" t="s">
        <v>1588</v>
      </c>
      <c r="AF27" s="114" t="s">
        <v>1611</v>
      </c>
      <c r="AG27" s="27">
        <f t="shared" si="25"/>
        <v>413.89674667399998</v>
      </c>
      <c r="AH27" s="27">
        <f t="shared" si="26"/>
        <v>512.37957505899999</v>
      </c>
      <c r="AI27" s="172">
        <f t="shared" si="2"/>
        <v>-0.19220678024423554</v>
      </c>
      <c r="AJ27" s="172"/>
      <c r="AK27" s="40"/>
      <c r="AL27" s="152">
        <f t="shared" si="5"/>
        <v>413.89674667399998</v>
      </c>
      <c r="AM27" s="152">
        <v>-59.292229994000003</v>
      </c>
      <c r="AN27" s="152">
        <v>-227.51989787900001</v>
      </c>
      <c r="AO27" s="152">
        <v>300.413093162</v>
      </c>
      <c r="AP27" s="152">
        <v>400.295781385</v>
      </c>
      <c r="AQ27" s="152">
        <v>512.37957505899999</v>
      </c>
      <c r="AR27" s="152">
        <v>140.19177477400001</v>
      </c>
      <c r="AS27" s="152">
        <v>164.15465574699999</v>
      </c>
      <c r="AT27" s="152">
        <v>97.405826967999985</v>
      </c>
      <c r="AU27" s="152">
        <v>110.62731757</v>
      </c>
      <c r="AV27" s="152">
        <v>427.48823655500001</v>
      </c>
      <c r="AW27" s="152">
        <v>151.87681193099999</v>
      </c>
      <c r="AX27" s="152">
        <v>92.867701131999993</v>
      </c>
      <c r="AY27" s="152">
        <v>95.935571932999991</v>
      </c>
      <c r="AZ27" s="27">
        <v>86.808151558999995</v>
      </c>
      <c r="BA27" s="152">
        <f t="shared" si="6"/>
        <v>2925.731254623</v>
      </c>
      <c r="BB27" s="152">
        <v>-135.813517553</v>
      </c>
      <c r="BC27" s="152">
        <v>499.92071449500003</v>
      </c>
      <c r="BD27" s="152">
        <v>1449.3945082360001</v>
      </c>
      <c r="BE27" s="27">
        <v>1112.229549445</v>
      </c>
      <c r="BF27" s="32"/>
    </row>
    <row r="28" spans="2:58" x14ac:dyDescent="0.3">
      <c r="B28" s="245" t="s">
        <v>1589</v>
      </c>
      <c r="C28" s="114" t="s">
        <v>1610</v>
      </c>
      <c r="D28" s="27">
        <f t="shared" si="23"/>
        <v>485.449500462</v>
      </c>
      <c r="E28" s="27">
        <f t="shared" si="24"/>
        <v>734.07358822900005</v>
      </c>
      <c r="F28" s="162">
        <f t="shared" si="14"/>
        <v>-0.33869095926311932</v>
      </c>
      <c r="G28" s="160"/>
      <c r="H28" s="160"/>
      <c r="I28" s="152">
        <v>485.449500462</v>
      </c>
      <c r="J28" s="152">
        <v>104.99428632199999</v>
      </c>
      <c r="K28" s="152">
        <v>71.915655923000003</v>
      </c>
      <c r="L28" s="152">
        <v>220.46572517199999</v>
      </c>
      <c r="M28" s="152">
        <v>88.073833045000001</v>
      </c>
      <c r="N28" s="152">
        <v>734.07358829899999</v>
      </c>
      <c r="O28" s="152">
        <v>416.93593398500002</v>
      </c>
      <c r="P28" s="152">
        <v>-46.715823456999999</v>
      </c>
      <c r="Q28" s="152">
        <v>151.10110459500001</v>
      </c>
      <c r="R28" s="152">
        <v>212.75237310599999</v>
      </c>
      <c r="S28" s="152">
        <v>630.76136518199996</v>
      </c>
      <c r="T28" s="152">
        <v>38.953775325999999</v>
      </c>
      <c r="U28" s="152">
        <v>171.60572897</v>
      </c>
      <c r="V28" s="152">
        <v>157.155000462</v>
      </c>
      <c r="W28" s="152">
        <v>263.04080211299998</v>
      </c>
      <c r="X28" s="152">
        <f t="shared" si="3"/>
        <v>811.63879295899994</v>
      </c>
      <c r="Y28" s="152">
        <v>-191.303950708</v>
      </c>
      <c r="Z28" s="152">
        <v>523.96640668999999</v>
      </c>
      <c r="AA28" s="152">
        <v>337.55733031599999</v>
      </c>
      <c r="AB28" s="152">
        <v>141.419006661</v>
      </c>
      <c r="AC28" s="160"/>
      <c r="AE28" s="245" t="s">
        <v>1590</v>
      </c>
      <c r="AF28" s="114" t="s">
        <v>1609</v>
      </c>
      <c r="AG28" s="27">
        <f t="shared" si="25"/>
        <v>578.51813598199999</v>
      </c>
      <c r="AH28" s="27">
        <f t="shared" si="26"/>
        <v>835.42354446299998</v>
      </c>
      <c r="AI28" s="172">
        <f t="shared" si="2"/>
        <v>-0.30751516423461067</v>
      </c>
      <c r="AJ28" s="172"/>
      <c r="AK28" s="40"/>
      <c r="AL28" s="152">
        <f t="shared" si="5"/>
        <v>578.51813598199999</v>
      </c>
      <c r="AM28" s="152">
        <v>124.990123407</v>
      </c>
      <c r="AN28" s="152">
        <v>99.470860080999998</v>
      </c>
      <c r="AO28" s="152">
        <v>250.64237433599999</v>
      </c>
      <c r="AP28" s="152">
        <v>103.414778158</v>
      </c>
      <c r="AQ28" s="152">
        <v>835.42354446299998</v>
      </c>
      <c r="AR28" s="152">
        <v>449.74735095599999</v>
      </c>
      <c r="AS28" s="152">
        <v>-25.26108966999999</v>
      </c>
      <c r="AT28" s="152">
        <v>187.69267523699997</v>
      </c>
      <c r="AU28" s="152">
        <v>223.24460794000001</v>
      </c>
      <c r="AV28" s="152">
        <v>669.44127389799996</v>
      </c>
      <c r="AW28" s="152">
        <v>37.316667213999999</v>
      </c>
      <c r="AX28" s="152">
        <v>191.29669075999999</v>
      </c>
      <c r="AY28" s="152">
        <v>162.88181019500001</v>
      </c>
      <c r="AZ28" s="27">
        <v>277.94610572900001</v>
      </c>
      <c r="BA28" s="152">
        <f t="shared" si="6"/>
        <v>866.72768434599993</v>
      </c>
      <c r="BB28" s="152">
        <v>-188.63301248499999</v>
      </c>
      <c r="BC28" s="152">
        <v>552.22299568799997</v>
      </c>
      <c r="BD28" s="152">
        <v>352.25844642200002</v>
      </c>
      <c r="BE28" s="27">
        <v>150.879254721</v>
      </c>
      <c r="BF28" s="32"/>
    </row>
    <row r="29" spans="2:58" x14ac:dyDescent="0.3">
      <c r="B29" s="245"/>
      <c r="C29" s="114"/>
      <c r="D29" s="27"/>
      <c r="E29" s="27"/>
      <c r="F29" s="162"/>
      <c r="G29" s="160"/>
      <c r="H29" s="160"/>
      <c r="I29" s="152"/>
      <c r="J29" s="152"/>
      <c r="K29" s="152"/>
      <c r="L29" s="152"/>
      <c r="M29" s="152"/>
      <c r="N29" s="152"/>
      <c r="O29" s="152"/>
      <c r="P29" s="152"/>
      <c r="Q29" s="152"/>
      <c r="R29" s="152"/>
      <c r="S29" s="152"/>
      <c r="T29" s="152"/>
      <c r="U29" s="152"/>
      <c r="V29" s="152"/>
      <c r="W29" s="27"/>
      <c r="X29" s="27"/>
      <c r="Y29" s="27"/>
      <c r="Z29" s="27"/>
      <c r="AA29" s="27"/>
      <c r="AB29" s="27"/>
      <c r="AC29" s="160"/>
      <c r="AE29" s="245"/>
      <c r="AF29" s="114"/>
      <c r="AG29" s="27"/>
      <c r="AH29" s="27"/>
      <c r="AI29" s="172"/>
      <c r="AJ29" s="172"/>
      <c r="AK29" s="40"/>
      <c r="AL29" s="152"/>
      <c r="AM29" s="152"/>
      <c r="AN29" s="152"/>
      <c r="AO29" s="152"/>
      <c r="AP29" s="152"/>
      <c r="AQ29" s="152"/>
      <c r="AR29" s="152"/>
      <c r="AS29" s="152"/>
      <c r="AT29" s="152"/>
      <c r="AU29" s="152"/>
      <c r="AV29" s="152"/>
      <c r="AW29" s="152"/>
      <c r="AX29" s="152"/>
      <c r="AY29" s="152"/>
      <c r="AZ29" s="27"/>
      <c r="BA29" s="152">
        <f t="shared" si="6"/>
        <v>0</v>
      </c>
      <c r="BB29" s="152"/>
      <c r="BC29" s="152"/>
      <c r="BD29" s="152"/>
      <c r="BE29" s="27"/>
      <c r="BF29" s="32"/>
    </row>
    <row r="30" spans="2:58" s="112" customFormat="1" x14ac:dyDescent="0.3">
      <c r="B30" s="246" t="s">
        <v>82</v>
      </c>
      <c r="C30" s="117" t="s">
        <v>1639</v>
      </c>
      <c r="D30" s="31">
        <f>+D6-D10+D15-D22</f>
        <v>185.85626610800091</v>
      </c>
      <c r="E30" s="31">
        <f>+E6-E10+E15-E22</f>
        <v>114.93890431800082</v>
      </c>
      <c r="F30" s="163">
        <f t="shared" ref="F30:F36" si="27">IFERROR(IF(D30*E30&lt;0,"-",IF(E30&lt;0,-(D30/E30-1),(D30/E30-1))),0)</f>
        <v>0.61700050310026811</v>
      </c>
      <c r="G30" s="59"/>
      <c r="H30" s="59"/>
      <c r="I30" s="153">
        <v>185.85626610800091</v>
      </c>
      <c r="J30" s="153">
        <v>23.026769418999947</v>
      </c>
      <c r="K30" s="153">
        <v>58.852311234000013</v>
      </c>
      <c r="L30" s="153">
        <v>64.739269990999901</v>
      </c>
      <c r="M30" s="153">
        <v>39.237915463999911</v>
      </c>
      <c r="N30" s="153">
        <v>114.93890431800037</v>
      </c>
      <c r="O30" s="153">
        <v>53.149124608000193</v>
      </c>
      <c r="P30" s="153">
        <v>3.4366501300000891</v>
      </c>
      <c r="Q30" s="153">
        <v>14.897329020999905</v>
      </c>
      <c r="R30" s="153">
        <v>43.455800558999954</v>
      </c>
      <c r="S30" s="153">
        <v>146.37634322400027</v>
      </c>
      <c r="T30" s="153">
        <v>-62.004185285999938</v>
      </c>
      <c r="U30" s="153">
        <f>U6-U10+U15-U22</f>
        <v>26.595372286000043</v>
      </c>
      <c r="V30" s="153">
        <f>V6-V10+V15-V22</f>
        <v>44.317333093000116</v>
      </c>
      <c r="W30" s="31">
        <v>137.46782313099993</v>
      </c>
      <c r="X30" s="31">
        <f t="shared" si="3"/>
        <v>150.77617262300095</v>
      </c>
      <c r="Y30" s="31">
        <v>-57.453917253999919</v>
      </c>
      <c r="Z30" s="31">
        <f t="shared" ref="Z30:AB30" si="28">Z6-Z10+Z15-Z22</f>
        <v>72.65392633600004</v>
      </c>
      <c r="AA30" s="31">
        <f t="shared" ref="AA30" si="29">AA6-AA10+AA15-AA22</f>
        <v>59.22921904700047</v>
      </c>
      <c r="AB30" s="31">
        <f t="shared" si="28"/>
        <v>76.346944494000354</v>
      </c>
      <c r="AC30" s="59"/>
      <c r="AE30" s="246" t="s">
        <v>82</v>
      </c>
      <c r="AF30" s="117" t="s">
        <v>1639</v>
      </c>
      <c r="AG30" s="31">
        <f t="shared" ref="AG30:AH30" si="30">+AG6-AG10+AG15-AG22</f>
        <v>194.5116406330003</v>
      </c>
      <c r="AH30" s="31">
        <f t="shared" si="30"/>
        <v>122.13049416800004</v>
      </c>
      <c r="AI30" s="173">
        <f t="shared" si="2"/>
        <v>0.59265416846209051</v>
      </c>
      <c r="AJ30" s="174"/>
      <c r="AK30" s="133"/>
      <c r="AL30" s="153">
        <f t="shared" si="5"/>
        <v>194.51164063300007</v>
      </c>
      <c r="AM30" s="153">
        <v>28.344591603000026</v>
      </c>
      <c r="AN30" s="153">
        <v>61.77448785900026</v>
      </c>
      <c r="AO30" s="153">
        <v>65.03899166899987</v>
      </c>
      <c r="AP30" s="153">
        <v>39.353569501999914</v>
      </c>
      <c r="AQ30" s="153">
        <v>122.13049416800095</v>
      </c>
      <c r="AR30" s="153">
        <v>52.356064564000462</v>
      </c>
      <c r="AS30" s="153">
        <v>4.3996382499999527</v>
      </c>
      <c r="AT30" s="153">
        <v>17.610642769000151</v>
      </c>
      <c r="AU30" s="153">
        <v>47.76414858499993</v>
      </c>
      <c r="AV30" s="153">
        <v>148.7256987009996</v>
      </c>
      <c r="AW30" s="153">
        <v>-33.386485540000194</v>
      </c>
      <c r="AX30" s="153">
        <f>AX6-AX10+AX15-AX22</f>
        <v>9.1785797960000082</v>
      </c>
      <c r="AY30" s="153">
        <v>53.185653297000044</v>
      </c>
      <c r="AZ30" s="31">
        <v>140.1434173409998</v>
      </c>
      <c r="BA30" s="153">
        <f t="shared" si="6"/>
        <v>162.3937277440003</v>
      </c>
      <c r="BB30" s="153">
        <v>-54.229755475999951</v>
      </c>
      <c r="BC30" s="153">
        <f>BC6-BC10+BC15-BC22</f>
        <v>79.637499434999881</v>
      </c>
      <c r="BD30" s="153">
        <v>59.731738002000156</v>
      </c>
      <c r="BE30" s="31">
        <v>77.254245783000215</v>
      </c>
      <c r="BF30" s="58"/>
    </row>
    <row r="31" spans="2:58" s="112" customFormat="1" x14ac:dyDescent="0.3">
      <c r="B31" s="146" t="s">
        <v>83</v>
      </c>
      <c r="C31" s="110" t="s">
        <v>1640</v>
      </c>
      <c r="D31" s="29">
        <f>+D32-D33</f>
        <v>3.4005107730000006</v>
      </c>
      <c r="E31" s="29">
        <f>+E32-E33</f>
        <v>0.8839824519999997</v>
      </c>
      <c r="F31" s="161">
        <f t="shared" si="27"/>
        <v>2.8468080054150233</v>
      </c>
      <c r="G31" s="59"/>
      <c r="H31" s="59"/>
      <c r="I31" s="151">
        <v>3.4005107730000006</v>
      </c>
      <c r="J31" s="151">
        <v>6.0941748279999999</v>
      </c>
      <c r="K31" s="151">
        <v>-0.31653274700000011</v>
      </c>
      <c r="L31" s="151">
        <v>-1.4037297080000002</v>
      </c>
      <c r="M31" s="151">
        <v>-0.97340160000000009</v>
      </c>
      <c r="N31" s="151">
        <v>0.88398245200000058</v>
      </c>
      <c r="O31" s="151">
        <v>0.99597177999999997</v>
      </c>
      <c r="P31" s="151">
        <v>-2.0731538059999997</v>
      </c>
      <c r="Q31" s="151">
        <v>3.3419550579999999</v>
      </c>
      <c r="R31" s="151">
        <v>-1.3807905800000002</v>
      </c>
      <c r="S31" s="151">
        <v>-4.0171268370000002</v>
      </c>
      <c r="T31" s="151">
        <v>-0.53146739599999981</v>
      </c>
      <c r="U31" s="151">
        <f>U32-U33</f>
        <v>-0.80410659399999984</v>
      </c>
      <c r="V31" s="151">
        <f>V32-V33</f>
        <v>-1.008220527</v>
      </c>
      <c r="W31" s="29">
        <v>-1.6733323200000003</v>
      </c>
      <c r="X31" s="29">
        <f t="shared" si="3"/>
        <v>2.1345925110000001</v>
      </c>
      <c r="Y31" s="29">
        <v>3.7365746829999997</v>
      </c>
      <c r="Z31" s="29">
        <f>Z32-Z33</f>
        <v>1.1965875700000002</v>
      </c>
      <c r="AA31" s="29">
        <f>AA32-AA33</f>
        <v>-1.3374574269999999</v>
      </c>
      <c r="AB31" s="29">
        <f t="shared" ref="AB31" si="31">AB32-AB33</f>
        <v>-1.4611123150000001</v>
      </c>
      <c r="AC31" s="59"/>
      <c r="AE31" s="146" t="s">
        <v>83</v>
      </c>
      <c r="AF31" s="110" t="s">
        <v>1640</v>
      </c>
      <c r="AG31" s="29">
        <f t="shared" ref="AG31:AH31" si="32">+AG32-AG33</f>
        <v>4.197919636</v>
      </c>
      <c r="AH31" s="29">
        <f t="shared" si="32"/>
        <v>1.001491209000001</v>
      </c>
      <c r="AI31" s="171">
        <f t="shared" si="2"/>
        <v>3.1916689814897774</v>
      </c>
      <c r="AJ31" s="174"/>
      <c r="AK31" s="133"/>
      <c r="AL31" s="151">
        <f t="shared" si="5"/>
        <v>4.197919636</v>
      </c>
      <c r="AM31" s="151">
        <v>6.544064229</v>
      </c>
      <c r="AN31" s="151">
        <v>-7.1592623999999994E-2</v>
      </c>
      <c r="AO31" s="151">
        <v>-1.2866364219999997</v>
      </c>
      <c r="AP31" s="151">
        <v>-0.98791554700000006</v>
      </c>
      <c r="AQ31" s="151">
        <v>1.0014912090000005</v>
      </c>
      <c r="AR31" s="151">
        <v>0.99295030800000106</v>
      </c>
      <c r="AS31" s="151">
        <v>-2.0881124390000005</v>
      </c>
      <c r="AT31" s="151">
        <v>3.4873948819999998</v>
      </c>
      <c r="AU31" s="151">
        <v>-1.3907415419999998</v>
      </c>
      <c r="AV31" s="151">
        <v>-4.1530448309999999</v>
      </c>
      <c r="AW31" s="151">
        <v>-56.030986839000001</v>
      </c>
      <c r="AX31" s="151">
        <f>AX32-AX33</f>
        <v>54.393600337999999</v>
      </c>
      <c r="AY31" s="151">
        <v>-0.85692420600000041</v>
      </c>
      <c r="AZ31" s="29">
        <v>-1.658734124</v>
      </c>
      <c r="BA31" s="151">
        <f t="shared" si="6"/>
        <v>2.1412418259999999</v>
      </c>
      <c r="BB31" s="151">
        <v>3.6548169699999997</v>
      </c>
      <c r="BC31" s="151">
        <f>BC32-BC33</f>
        <v>1.209645219</v>
      </c>
      <c r="BD31" s="151">
        <v>-1.4630998769999997</v>
      </c>
      <c r="BE31" s="29">
        <v>-1.2601204860000002</v>
      </c>
      <c r="BF31" s="58"/>
    </row>
    <row r="32" spans="2:58" x14ac:dyDescent="0.3">
      <c r="B32" s="245" t="s">
        <v>84</v>
      </c>
      <c r="C32" s="114" t="s">
        <v>1641</v>
      </c>
      <c r="D32" s="27">
        <f t="shared" ref="D32:D33" si="33">SUM(J32:M32)</f>
        <v>12.711181077000001</v>
      </c>
      <c r="E32" s="27">
        <f t="shared" ref="E32:E33" si="34">SUM(O32:R32)</f>
        <v>7.9327293769999994</v>
      </c>
      <c r="F32" s="162">
        <f t="shared" si="27"/>
        <v>0.60237170246278038</v>
      </c>
      <c r="G32" s="160"/>
      <c r="H32" s="160"/>
      <c r="I32" s="152">
        <v>12.711181077000001</v>
      </c>
      <c r="J32" s="152">
        <v>8.7238049279999998</v>
      </c>
      <c r="K32" s="152">
        <v>1.3509088739999999</v>
      </c>
      <c r="L32" s="152">
        <v>1.162069604</v>
      </c>
      <c r="M32" s="152">
        <v>1.474397671</v>
      </c>
      <c r="N32" s="152">
        <v>7.9327293770000002</v>
      </c>
      <c r="O32" s="152">
        <v>1.072700303</v>
      </c>
      <c r="P32" s="152">
        <v>1.796642004</v>
      </c>
      <c r="Q32" s="152">
        <v>4.3399645849999997</v>
      </c>
      <c r="R32" s="152">
        <v>0.72342248499999995</v>
      </c>
      <c r="S32" s="152">
        <v>6.078298738</v>
      </c>
      <c r="T32" s="152">
        <v>1.1216140590000001</v>
      </c>
      <c r="U32" s="152">
        <v>2.656393054</v>
      </c>
      <c r="V32" s="152">
        <v>1.2214277179999999</v>
      </c>
      <c r="W32" s="152">
        <v>1.0788639069999999</v>
      </c>
      <c r="X32" s="152">
        <f t="shared" si="3"/>
        <v>6.5871176790000003</v>
      </c>
      <c r="Y32" s="152">
        <v>2.448353783</v>
      </c>
      <c r="Z32" s="152">
        <v>1.6025223340000001</v>
      </c>
      <c r="AA32" s="152">
        <v>1.210601665</v>
      </c>
      <c r="AB32" s="152">
        <v>1.3256398970000001</v>
      </c>
      <c r="AC32" s="160"/>
      <c r="AE32" s="245" t="s">
        <v>84</v>
      </c>
      <c r="AF32" s="114" t="s">
        <v>1641</v>
      </c>
      <c r="AG32" s="27">
        <f t="shared" ref="AG32:AG33" si="35">SUM(AM32:AP32)</f>
        <v>13.58130452</v>
      </c>
      <c r="AH32" s="27">
        <f>SUM(AR32:AU32)</f>
        <v>8.143721493000001</v>
      </c>
      <c r="AI32" s="172">
        <f t="shared" si="2"/>
        <v>0.66770247873455824</v>
      </c>
      <c r="AJ32" s="172"/>
      <c r="AK32" s="40"/>
      <c r="AL32" s="152">
        <f t="shared" si="5"/>
        <v>13.58130452</v>
      </c>
      <c r="AM32" s="152">
        <v>9.2050591409999996</v>
      </c>
      <c r="AN32" s="152">
        <v>1.59774748</v>
      </c>
      <c r="AO32" s="152">
        <v>1.2853617020000001</v>
      </c>
      <c r="AP32" s="152">
        <v>1.4931361970000001</v>
      </c>
      <c r="AQ32" s="152">
        <v>8.143721493000001</v>
      </c>
      <c r="AR32" s="152">
        <v>1.0819112770000014</v>
      </c>
      <c r="AS32" s="152">
        <v>1.8267410279999989</v>
      </c>
      <c r="AT32" s="152">
        <v>4.4915621950000002</v>
      </c>
      <c r="AU32" s="152">
        <v>0.743506993</v>
      </c>
      <c r="AV32" s="152">
        <v>6.2629901170000002</v>
      </c>
      <c r="AW32" s="152">
        <v>-54</v>
      </c>
      <c r="AX32" s="152">
        <v>57.876158629000003</v>
      </c>
      <c r="AY32" s="179">
        <v>1.364441456</v>
      </c>
      <c r="AZ32" s="27">
        <v>1.109156204</v>
      </c>
      <c r="BA32" s="152">
        <f t="shared" si="6"/>
        <v>7.0175786709999999</v>
      </c>
      <c r="BB32" s="152">
        <v>2.6958382809999999</v>
      </c>
      <c r="BC32" s="152">
        <v>1.6159876719999999</v>
      </c>
      <c r="BD32" s="152">
        <v>1.1735319919999998</v>
      </c>
      <c r="BE32" s="27">
        <v>1.532220726</v>
      </c>
      <c r="BF32" s="32"/>
    </row>
    <row r="33" spans="2:58" x14ac:dyDescent="0.3">
      <c r="B33" s="245" t="s">
        <v>85</v>
      </c>
      <c r="C33" s="114" t="s">
        <v>89</v>
      </c>
      <c r="D33" s="27">
        <f t="shared" si="33"/>
        <v>9.3106703040000003</v>
      </c>
      <c r="E33" s="27">
        <f t="shared" si="34"/>
        <v>7.0487469249999997</v>
      </c>
      <c r="F33" s="162">
        <f t="shared" si="27"/>
        <v>0.32089723224103417</v>
      </c>
      <c r="G33" s="160"/>
      <c r="H33" s="160"/>
      <c r="I33" s="152">
        <v>9.3106703040000003</v>
      </c>
      <c r="J33" s="152">
        <v>2.6296301</v>
      </c>
      <c r="K33" s="152">
        <v>1.667441621</v>
      </c>
      <c r="L33" s="152">
        <v>2.5657993120000002</v>
      </c>
      <c r="M33" s="152">
        <v>2.4477992710000001</v>
      </c>
      <c r="N33" s="152">
        <v>7.0487469249999997</v>
      </c>
      <c r="O33" s="152">
        <v>7.6728523000000007E-2</v>
      </c>
      <c r="P33" s="152">
        <v>3.8697958099999998</v>
      </c>
      <c r="Q33" s="152">
        <v>0.99800952700000001</v>
      </c>
      <c r="R33" s="152">
        <v>2.1042130650000002</v>
      </c>
      <c r="S33" s="152">
        <v>10.095425575</v>
      </c>
      <c r="T33" s="152">
        <v>1.6530814549999999</v>
      </c>
      <c r="U33" s="152">
        <v>3.4604996479999999</v>
      </c>
      <c r="V33" s="152">
        <v>2.2296482449999999</v>
      </c>
      <c r="W33" s="152">
        <v>2.7521962270000002</v>
      </c>
      <c r="X33" s="152">
        <f t="shared" si="3"/>
        <v>4.4525251680000002</v>
      </c>
      <c r="Y33" s="152">
        <v>-1.2882209</v>
      </c>
      <c r="Z33" s="152">
        <v>0.405934764</v>
      </c>
      <c r="AA33" s="152">
        <v>2.5480590919999999</v>
      </c>
      <c r="AB33" s="152">
        <v>2.7867522120000001</v>
      </c>
      <c r="AC33" s="160"/>
      <c r="AE33" s="245" t="s">
        <v>85</v>
      </c>
      <c r="AF33" s="114" t="s">
        <v>89</v>
      </c>
      <c r="AG33" s="27">
        <f t="shared" si="35"/>
        <v>9.3833848839999998</v>
      </c>
      <c r="AH33" s="27">
        <f>SUM(AR33:AU33)</f>
        <v>7.142230284</v>
      </c>
      <c r="AI33" s="172">
        <f t="shared" si="2"/>
        <v>0.31378918221394048</v>
      </c>
      <c r="AJ33" s="172"/>
      <c r="AK33" s="40"/>
      <c r="AL33" s="152">
        <f t="shared" si="5"/>
        <v>9.3833848839999998</v>
      </c>
      <c r="AM33" s="152">
        <v>2.660994912</v>
      </c>
      <c r="AN33" s="152">
        <v>1.669340104</v>
      </c>
      <c r="AO33" s="152">
        <v>2.5719981239999998</v>
      </c>
      <c r="AP33" s="152">
        <v>2.4810517440000002</v>
      </c>
      <c r="AQ33" s="152">
        <v>7.142230284</v>
      </c>
      <c r="AR33" s="152">
        <v>8.8960969000000389E-2</v>
      </c>
      <c r="AS33" s="152">
        <v>3.9148534669999995</v>
      </c>
      <c r="AT33" s="152">
        <v>1.0041673130000004</v>
      </c>
      <c r="AU33" s="152">
        <v>2.1342485349999998</v>
      </c>
      <c r="AV33" s="152">
        <v>10.416034948</v>
      </c>
      <c r="AW33" s="152">
        <v>1.944220667</v>
      </c>
      <c r="AX33" s="152">
        <v>3.4825582910000001</v>
      </c>
      <c r="AY33" s="152">
        <v>2.2213656620000002</v>
      </c>
      <c r="AZ33" s="27">
        <v>2.767890328</v>
      </c>
      <c r="BA33" s="152">
        <f t="shared" si="6"/>
        <v>4.8763368449999991</v>
      </c>
      <c r="BB33" s="152">
        <v>-0.95897868900000005</v>
      </c>
      <c r="BC33" s="152">
        <v>0.40634245299999999</v>
      </c>
      <c r="BD33" s="152">
        <v>2.6366318689999995</v>
      </c>
      <c r="BE33" s="27">
        <v>2.7923412120000002</v>
      </c>
      <c r="BF33" s="32"/>
    </row>
    <row r="34" spans="2:58" s="112" customFormat="1" x14ac:dyDescent="0.3">
      <c r="B34" s="246" t="s">
        <v>86</v>
      </c>
      <c r="C34" s="117" t="s">
        <v>90</v>
      </c>
      <c r="D34" s="31">
        <f>+D30+D31</f>
        <v>189.25677688100092</v>
      </c>
      <c r="E34" s="31">
        <f>+E30+E31</f>
        <v>115.82288677000082</v>
      </c>
      <c r="F34" s="163">
        <f t="shared" si="27"/>
        <v>0.63401882096777551</v>
      </c>
      <c r="G34" s="59"/>
      <c r="H34" s="59"/>
      <c r="I34" s="153">
        <v>189.25677688100092</v>
      </c>
      <c r="J34" s="153">
        <v>29.120944246999947</v>
      </c>
      <c r="K34" s="153">
        <v>58.535778487000016</v>
      </c>
      <c r="L34" s="153">
        <v>63.335540282999901</v>
      </c>
      <c r="M34" s="153">
        <v>38.264513863999909</v>
      </c>
      <c r="N34" s="153">
        <v>115.82288677000037</v>
      </c>
      <c r="O34" s="153">
        <v>54.145096388000191</v>
      </c>
      <c r="P34" s="153">
        <v>1.3634963240000895</v>
      </c>
      <c r="Q34" s="153">
        <v>18.239284078999905</v>
      </c>
      <c r="R34" s="153">
        <v>42.075009978999951</v>
      </c>
      <c r="S34" s="153">
        <v>142.35921638700026</v>
      </c>
      <c r="T34" s="153">
        <v>-62.535652681999935</v>
      </c>
      <c r="U34" s="153">
        <f t="shared" ref="U34:AB34" si="36">U30+U31</f>
        <v>25.791265692000042</v>
      </c>
      <c r="V34" s="153">
        <f t="shared" ref="V34" si="37">V30+V31</f>
        <v>43.309112566000117</v>
      </c>
      <c r="W34" s="31">
        <v>135.79449081099992</v>
      </c>
      <c r="X34" s="31">
        <f t="shared" si="3"/>
        <v>152.91076513400094</v>
      </c>
      <c r="Y34" s="31">
        <v>-53.717342570999918</v>
      </c>
      <c r="Z34" s="31">
        <f t="shared" si="36"/>
        <v>73.850513906000046</v>
      </c>
      <c r="AA34" s="31">
        <f t="shared" ref="AA34" si="38">AA30+AA31</f>
        <v>57.891761620000473</v>
      </c>
      <c r="AB34" s="31">
        <f t="shared" si="36"/>
        <v>74.88583217900036</v>
      </c>
      <c r="AC34" s="59"/>
      <c r="AE34" s="246" t="s">
        <v>86</v>
      </c>
      <c r="AF34" s="117" t="s">
        <v>90</v>
      </c>
      <c r="AG34" s="31">
        <f>+AG30+AG31</f>
        <v>198.70956026900029</v>
      </c>
      <c r="AH34" s="31">
        <f>+AH30+AH31</f>
        <v>123.13198537700003</v>
      </c>
      <c r="AI34" s="173">
        <f t="shared" si="2"/>
        <v>0.61379319646800301</v>
      </c>
      <c r="AJ34" s="174"/>
      <c r="AK34" s="133"/>
      <c r="AL34" s="153">
        <f t="shared" si="5"/>
        <v>198.70956026900006</v>
      </c>
      <c r="AM34" s="153">
        <v>34.888655832000026</v>
      </c>
      <c r="AN34" s="153">
        <v>61.702895235000263</v>
      </c>
      <c r="AO34" s="153">
        <v>63.752355246999869</v>
      </c>
      <c r="AP34" s="153">
        <v>38.365653954999914</v>
      </c>
      <c r="AQ34" s="153">
        <v>123.13198537700003</v>
      </c>
      <c r="AR34" s="153">
        <v>53.349014872000467</v>
      </c>
      <c r="AS34" s="153">
        <v>2.3115258109999521</v>
      </c>
      <c r="AT34" s="153">
        <v>21.098037651000151</v>
      </c>
      <c r="AU34" s="153">
        <v>46.373407042999929</v>
      </c>
      <c r="AV34" s="153">
        <v>144.57265386999961</v>
      </c>
      <c r="AW34" s="153">
        <v>-89.417472379000202</v>
      </c>
      <c r="AX34" s="153">
        <f t="shared" ref="AX34" si="39">AX30+AX31</f>
        <v>63.572180134000007</v>
      </c>
      <c r="AY34" s="153">
        <v>52.328729091000042</v>
      </c>
      <c r="AZ34" s="31">
        <v>138.4846832169998</v>
      </c>
      <c r="BA34" s="153">
        <f t="shared" si="6"/>
        <v>164.5349695700003</v>
      </c>
      <c r="BB34" s="153">
        <v>-50.574938505999953</v>
      </c>
      <c r="BC34" s="153">
        <f t="shared" ref="BC34" si="40">BC30+BC31</f>
        <v>80.847144653999877</v>
      </c>
      <c r="BD34" s="153">
        <v>58.268638125000159</v>
      </c>
      <c r="BE34" s="31">
        <v>75.99412529700021</v>
      </c>
      <c r="BF34" s="58"/>
    </row>
    <row r="35" spans="2:58" s="112" customFormat="1" x14ac:dyDescent="0.3">
      <c r="B35" s="246" t="s">
        <v>87</v>
      </c>
      <c r="C35" s="117" t="s">
        <v>1642</v>
      </c>
      <c r="D35" s="46">
        <f>SUM(J35:M35)</f>
        <v>64.356387659999996</v>
      </c>
      <c r="E35" s="46">
        <f>SUM(O35:R35)</f>
        <v>-9.2160660700000001</v>
      </c>
      <c r="F35" s="163" t="str">
        <f t="shared" si="27"/>
        <v>-</v>
      </c>
      <c r="G35" s="59"/>
      <c r="H35" s="59"/>
      <c r="I35" s="153">
        <v>64.356387659999996</v>
      </c>
      <c r="J35" s="153">
        <v>25.417778158000001</v>
      </c>
      <c r="K35" s="153">
        <v>12.011954491999999</v>
      </c>
      <c r="L35" s="153">
        <v>12.981909321</v>
      </c>
      <c r="M35" s="153">
        <v>13.944745688999999</v>
      </c>
      <c r="N35" s="153">
        <v>-9.2160668399999999</v>
      </c>
      <c r="O35" s="153">
        <v>-23.511843677000002</v>
      </c>
      <c r="P35" s="153">
        <v>0.31603337500000001</v>
      </c>
      <c r="Q35" s="153">
        <v>4.2275306439999998</v>
      </c>
      <c r="R35" s="153">
        <v>9.752213588</v>
      </c>
      <c r="S35" s="153">
        <v>33.159361511999997</v>
      </c>
      <c r="T35" s="153">
        <v>-12.504168097000001</v>
      </c>
      <c r="U35" s="153">
        <v>1.3247385330000001</v>
      </c>
      <c r="V35" s="153">
        <v>9.2795915579999999</v>
      </c>
      <c r="W35" s="153">
        <v>35.059199518</v>
      </c>
      <c r="X35" s="153">
        <f t="shared" si="3"/>
        <v>29.440108588478196</v>
      </c>
      <c r="Y35" s="153">
        <v>-20.191076969521806</v>
      </c>
      <c r="Z35" s="153">
        <v>17.943628583999999</v>
      </c>
      <c r="AA35" s="153">
        <v>13.179629472</v>
      </c>
      <c r="AB35" s="153">
        <v>18.507927502000001</v>
      </c>
      <c r="AC35" s="59"/>
      <c r="AE35" s="246" t="s">
        <v>87</v>
      </c>
      <c r="AF35" s="117" t="s">
        <v>1642</v>
      </c>
      <c r="AG35" s="46">
        <f>SUM(AM35:AP35)</f>
        <v>67.933128729000003</v>
      </c>
      <c r="AH35" s="46">
        <f>SUM(AR35:AU35)</f>
        <v>-12.982884933999999</v>
      </c>
      <c r="AI35" s="173" t="str">
        <f t="shared" si="2"/>
        <v>-</v>
      </c>
      <c r="AJ35" s="174"/>
      <c r="AK35" s="133"/>
      <c r="AL35" s="153">
        <f t="shared" si="5"/>
        <v>67.933128729000003</v>
      </c>
      <c r="AM35" s="153">
        <v>29.343459691</v>
      </c>
      <c r="AN35" s="153">
        <v>11.94690289</v>
      </c>
      <c r="AO35" s="153">
        <v>13.060190281000001</v>
      </c>
      <c r="AP35" s="153">
        <v>13.582575866999999</v>
      </c>
      <c r="AQ35" s="153">
        <v>-12.982884933999999</v>
      </c>
      <c r="AR35" s="153">
        <v>-27.697249376000002</v>
      </c>
      <c r="AS35" s="153">
        <v>0.50945687700000164</v>
      </c>
      <c r="AT35" s="153">
        <v>4.3466109829999997</v>
      </c>
      <c r="AU35" s="153">
        <v>9.8582965819999995</v>
      </c>
      <c r="AV35" s="153">
        <v>43.167939345000001</v>
      </c>
      <c r="AW35" s="153">
        <v>1.6838115229999999</v>
      </c>
      <c r="AX35" s="153">
        <v>3.1808692399999998</v>
      </c>
      <c r="AY35" s="153">
        <v>6.9935997070000013</v>
      </c>
      <c r="AZ35" s="31">
        <v>35.904757408999998</v>
      </c>
      <c r="BA35" s="153">
        <f t="shared" si="6"/>
        <v>39.719820319478195</v>
      </c>
      <c r="BB35" s="153">
        <v>-25.927836741521805</v>
      </c>
      <c r="BC35" s="153">
        <v>30.891043391</v>
      </c>
      <c r="BD35" s="153">
        <v>13.104665572000002</v>
      </c>
      <c r="BE35" s="31">
        <v>21.651948097999998</v>
      </c>
      <c r="BF35" s="58"/>
    </row>
    <row r="36" spans="2:58" s="112" customFormat="1" x14ac:dyDescent="0.3">
      <c r="B36" s="146" t="s">
        <v>88</v>
      </c>
      <c r="C36" s="110" t="s">
        <v>1643</v>
      </c>
      <c r="D36" s="29">
        <f>+D34-D35</f>
        <v>124.90038922100092</v>
      </c>
      <c r="E36" s="29">
        <f>+E34-E35</f>
        <v>125.03895284000082</v>
      </c>
      <c r="F36" s="161">
        <f t="shared" si="27"/>
        <v>-1.1081636230367842E-3</v>
      </c>
      <c r="G36" s="59"/>
      <c r="H36" s="59"/>
      <c r="I36" s="151">
        <v>124.90038922100092</v>
      </c>
      <c r="J36" s="151">
        <v>3.7031660889999465</v>
      </c>
      <c r="K36" s="151">
        <v>46.523823995000015</v>
      </c>
      <c r="L36" s="151">
        <v>50.353630961999897</v>
      </c>
      <c r="M36" s="151">
        <v>24.319768174999908</v>
      </c>
      <c r="N36" s="151">
        <v>125.03895283999999</v>
      </c>
      <c r="O36" s="151">
        <v>77.656940065000185</v>
      </c>
      <c r="P36" s="151">
        <v>1.0474629490000895</v>
      </c>
      <c r="Q36" s="151">
        <v>14.011753434999905</v>
      </c>
      <c r="R36" s="151">
        <v>32.322796390999954</v>
      </c>
      <c r="S36" s="151">
        <v>109.19985487500026</v>
      </c>
      <c r="T36" s="151">
        <v>-50.03148458499993</v>
      </c>
      <c r="U36" s="151">
        <f t="shared" ref="U36" si="41">U34-U35</f>
        <v>24.466527159000041</v>
      </c>
      <c r="V36" s="151">
        <f t="shared" ref="V36" si="42">V34-V35</f>
        <v>34.029521008000117</v>
      </c>
      <c r="W36" s="29">
        <v>100.73529129299992</v>
      </c>
      <c r="X36" s="29">
        <f t="shared" si="3"/>
        <v>123.47065654552277</v>
      </c>
      <c r="Y36" s="29">
        <v>-33.526265601478116</v>
      </c>
      <c r="Z36" s="29">
        <f>Z34-Z35</f>
        <v>55.906885322000051</v>
      </c>
      <c r="AA36" s="29">
        <f>AA34-AA35</f>
        <v>44.712132148000471</v>
      </c>
      <c r="AB36" s="29">
        <f>AB34-AB35</f>
        <v>56.377904677000359</v>
      </c>
      <c r="AC36" s="59"/>
      <c r="AE36" s="146" t="s">
        <v>88</v>
      </c>
      <c r="AF36" s="110" t="s">
        <v>1643</v>
      </c>
      <c r="AG36" s="29">
        <f>+AG34-AG35</f>
        <v>130.77643154000029</v>
      </c>
      <c r="AH36" s="29">
        <f>+AH34-AH35</f>
        <v>136.11487031100003</v>
      </c>
      <c r="AI36" s="171">
        <f t="shared" si="2"/>
        <v>-3.9220099602653935E-2</v>
      </c>
      <c r="AJ36" s="174"/>
      <c r="AK36" s="133"/>
      <c r="AL36" s="151">
        <f t="shared" si="5"/>
        <v>130.77643154000006</v>
      </c>
      <c r="AM36" s="151">
        <v>5.5451961410000266</v>
      </c>
      <c r="AN36" s="151">
        <v>49.755992345000266</v>
      </c>
      <c r="AO36" s="151">
        <v>50.692164965999865</v>
      </c>
      <c r="AP36" s="151">
        <v>24.783078087999915</v>
      </c>
      <c r="AQ36" s="151">
        <v>136.11487031100003</v>
      </c>
      <c r="AR36" s="151">
        <v>81.046264248000469</v>
      </c>
      <c r="AS36" s="151">
        <v>1.8020689339999505</v>
      </c>
      <c r="AT36" s="151">
        <v>16.75142666800015</v>
      </c>
      <c r="AU36" s="151">
        <v>36.515110460999928</v>
      </c>
      <c r="AV36" s="151">
        <v>101.4047145249996</v>
      </c>
      <c r="AW36" s="151">
        <v>-91.101283902000205</v>
      </c>
      <c r="AX36" s="151">
        <f t="shared" ref="AX36" si="43">AX34-AX35</f>
        <v>60.391310894000007</v>
      </c>
      <c r="AY36" s="151">
        <v>45.335129384000041</v>
      </c>
      <c r="AZ36" s="29">
        <v>102.5799258079998</v>
      </c>
      <c r="BA36" s="151">
        <f t="shared" si="6"/>
        <v>124.8151492505221</v>
      </c>
      <c r="BB36" s="151">
        <v>-24.647101764478148</v>
      </c>
      <c r="BC36" s="151">
        <f t="shared" ref="BC36" si="44">BC34-BC35</f>
        <v>49.95610126299988</v>
      </c>
      <c r="BD36" s="151">
        <v>45.163972553000157</v>
      </c>
      <c r="BE36" s="29">
        <v>54.342177199000211</v>
      </c>
      <c r="BF36" s="58"/>
    </row>
    <row r="37" spans="2:58" x14ac:dyDescent="0.3">
      <c r="B37" s="247"/>
      <c r="C37" s="37"/>
      <c r="D37" s="37"/>
      <c r="E37" s="37"/>
      <c r="F37" s="37"/>
      <c r="G37" s="40"/>
      <c r="H37" s="40"/>
      <c r="I37" s="76"/>
      <c r="J37" s="76"/>
      <c r="K37" s="76"/>
      <c r="L37" s="76"/>
      <c r="M37" s="76"/>
      <c r="N37" s="76"/>
      <c r="O37" s="76"/>
      <c r="P37" s="76"/>
      <c r="Q37" s="76"/>
      <c r="R37" s="76"/>
      <c r="S37" s="76"/>
      <c r="T37" s="76"/>
      <c r="U37" s="76"/>
      <c r="V37" s="76"/>
      <c r="W37" s="167" t="s">
        <v>1591</v>
      </c>
      <c r="X37" s="166" t="s">
        <v>1690</v>
      </c>
      <c r="Y37" s="166" t="s">
        <v>1690</v>
      </c>
      <c r="Z37" s="166"/>
      <c r="AA37" s="166"/>
      <c r="AC37" s="40"/>
      <c r="AE37" s="247"/>
      <c r="AF37" s="37"/>
      <c r="AG37" s="37"/>
      <c r="AH37" s="37"/>
      <c r="AI37" s="37"/>
      <c r="AJ37" s="40"/>
      <c r="AL37" s="76"/>
      <c r="AM37" s="76"/>
      <c r="AN37" s="76"/>
      <c r="AO37" s="76"/>
      <c r="AP37" s="76"/>
      <c r="AQ37" s="76"/>
      <c r="AR37" s="76"/>
      <c r="AS37" s="76"/>
      <c r="AT37" s="76"/>
      <c r="AU37" s="76"/>
      <c r="AV37" s="76"/>
      <c r="AW37" s="76"/>
      <c r="AX37" s="76"/>
      <c r="AY37" s="76"/>
      <c r="AZ37" s="167" t="s">
        <v>1591</v>
      </c>
      <c r="BA37" s="166" t="s">
        <v>1690</v>
      </c>
      <c r="BB37" s="166" t="s">
        <v>1690</v>
      </c>
      <c r="BD37" s="166"/>
    </row>
    <row r="38" spans="2:58" x14ac:dyDescent="0.3">
      <c r="D38" s="129"/>
      <c r="E38" s="129"/>
    </row>
    <row r="39" spans="2:58" x14ac:dyDescent="0.3">
      <c r="B39" s="307"/>
      <c r="V39" s="240"/>
      <c r="X39" s="104"/>
      <c r="Y39" s="104"/>
      <c r="Z39" s="104"/>
      <c r="AA39" s="104"/>
      <c r="AB39" s="104"/>
      <c r="AL39" s="104"/>
      <c r="AM39" s="104"/>
      <c r="AN39" s="104"/>
      <c r="AO39" s="104"/>
      <c r="AP39" s="104"/>
      <c r="AQ39" s="104"/>
      <c r="AR39" s="104"/>
      <c r="AS39" s="104"/>
      <c r="AT39" s="104"/>
      <c r="AU39" s="104"/>
      <c r="AV39" s="104"/>
      <c r="AW39" s="104"/>
      <c r="AX39" s="104">
        <f>+AX32-AX33-AX31</f>
        <v>0</v>
      </c>
      <c r="AY39" s="521">
        <f>+AY32-AY33-AY31</f>
        <v>0</v>
      </c>
      <c r="AZ39" s="104">
        <f>+AZ32-AZ33-AZ31</f>
        <v>0</v>
      </c>
      <c r="BA39" s="104"/>
      <c r="BB39" s="104"/>
      <c r="BC39" s="104"/>
      <c r="BD39" s="104"/>
      <c r="BE39" s="104"/>
    </row>
    <row r="40" spans="2:58" x14ac:dyDescent="0.3">
      <c r="B40" s="372"/>
      <c r="D40" s="129"/>
      <c r="E40" s="129"/>
      <c r="V40" s="240"/>
      <c r="AG40" s="736">
        <f>AG6-AG10</f>
        <v>77.004454914000235</v>
      </c>
    </row>
    <row r="41" spans="2:58" x14ac:dyDescent="0.3">
      <c r="B41" s="372"/>
      <c r="D41" s="129"/>
      <c r="E41" s="129"/>
    </row>
    <row r="42" spans="2:58" x14ac:dyDescent="0.3">
      <c r="D42" s="129"/>
    </row>
  </sheetData>
  <mergeCells count="10">
    <mergeCell ref="F4:F5"/>
    <mergeCell ref="AI4:AI5"/>
    <mergeCell ref="X4:AB4"/>
    <mergeCell ref="S4:W4"/>
    <mergeCell ref="BA4:BE4"/>
    <mergeCell ref="AV4:AZ4"/>
    <mergeCell ref="N4:R4"/>
    <mergeCell ref="AQ4:AU4"/>
    <mergeCell ref="AL4:AP4"/>
    <mergeCell ref="I4:M4"/>
  </mergeCells>
  <phoneticPr fontId="1" type="noConversion"/>
  <pageMargins left="0.23622047244094491" right="0.23622047244094491" top="0.78740157480314965" bottom="0.23622047244094491" header="0.31496062992125984" footer="0.31496062992125984"/>
  <pageSetup paperSize="9" scale="84"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AO69"/>
  <sheetViews>
    <sheetView showGridLines="0" view="pageBreakPreview" zoomScale="90" zoomScaleNormal="110" zoomScaleSheetLayoutView="90" workbookViewId="0">
      <pane xSplit="9" ySplit="5" topLeftCell="J6" activePane="bottomRight" state="frozen"/>
      <selection activeCell="G47" sqref="G47"/>
      <selection pane="topRight" activeCell="G47" sqref="G47"/>
      <selection pane="bottomLeft" activeCell="G47" sqref="G47"/>
      <selection pane="bottomRight" activeCell="D58" sqref="D58"/>
    </sheetView>
  </sheetViews>
  <sheetFormatPr defaultRowHeight="16.5" outlineLevelCol="2" x14ac:dyDescent="0.3"/>
  <cols>
    <col min="1" max="2" width="5" style="35" customWidth="1"/>
    <col min="3" max="3" width="14.875" style="35" customWidth="1"/>
    <col min="4" max="4" width="19.25" style="35" customWidth="1"/>
    <col min="5" max="7" width="10" style="35" customWidth="1"/>
    <col min="8" max="8" width="1.875" style="35" customWidth="1"/>
    <col min="9" max="9" width="1.5" style="35" hidden="1" customWidth="1" outlineLevel="1"/>
    <col min="10" max="19" width="9" style="35" hidden="1" customWidth="1" outlineLevel="1"/>
    <col min="20" max="29" width="9" style="35" hidden="1" customWidth="1" outlineLevel="2"/>
    <col min="30" max="30" width="9" style="35" hidden="1" customWidth="1" outlineLevel="1"/>
    <col min="31" max="31" width="9" style="35" collapsed="1"/>
    <col min="32" max="16384" width="9" style="35"/>
  </cols>
  <sheetData>
    <row r="1" spans="2:34" s="34" customFormat="1" x14ac:dyDescent="0.3">
      <c r="B1" s="105" t="s">
        <v>1270</v>
      </c>
      <c r="D1" s="35" t="s">
        <v>1813</v>
      </c>
    </row>
    <row r="2" spans="2:34" x14ac:dyDescent="0.3">
      <c r="B2" s="106" t="s">
        <v>18</v>
      </c>
    </row>
    <row r="3" spans="2:34" s="36" customFormat="1" x14ac:dyDescent="0.3">
      <c r="J3" s="830"/>
      <c r="K3" s="830"/>
      <c r="L3" s="830"/>
      <c r="M3" s="830"/>
      <c r="N3" s="830"/>
      <c r="O3" s="830"/>
      <c r="P3" s="830"/>
      <c r="Q3" s="830"/>
    </row>
    <row r="4" spans="2:34" s="36" customFormat="1" x14ac:dyDescent="0.3">
      <c r="E4" s="820">
        <f>[15]SUMMARY!D4</f>
        <v>2025</v>
      </c>
      <c r="F4" s="820">
        <f>[15]SUMMARY!E4</f>
        <v>2024</v>
      </c>
      <c r="G4" s="841" t="s">
        <v>32</v>
      </c>
      <c r="H4" s="812"/>
      <c r="L4" s="846">
        <v>2025</v>
      </c>
      <c r="M4" s="846"/>
      <c r="N4" s="847"/>
      <c r="O4" s="845">
        <v>2024</v>
      </c>
      <c r="P4" s="846"/>
      <c r="Q4" s="846"/>
      <c r="R4" s="846"/>
      <c r="S4" s="847"/>
      <c r="T4" s="845">
        <v>2023</v>
      </c>
      <c r="U4" s="846"/>
      <c r="V4" s="846"/>
      <c r="W4" s="846"/>
      <c r="X4" s="847"/>
      <c r="Y4" s="845">
        <v>2022</v>
      </c>
      <c r="Z4" s="846"/>
      <c r="AA4" s="846"/>
      <c r="AB4" s="846"/>
      <c r="AC4" s="847"/>
    </row>
    <row r="5" spans="2:34" s="36" customFormat="1" x14ac:dyDescent="0.3">
      <c r="E5" s="808" t="str">
        <f>J5</f>
        <v>FY</v>
      </c>
      <c r="F5" s="808" t="str">
        <f>O5</f>
        <v>FY</v>
      </c>
      <c r="G5" s="842"/>
      <c r="H5" s="812"/>
      <c r="J5" s="552" t="s">
        <v>31</v>
      </c>
      <c r="K5" s="552" t="s">
        <v>28</v>
      </c>
      <c r="L5" s="552" t="s">
        <v>30</v>
      </c>
      <c r="M5" s="552" t="s">
        <v>27</v>
      </c>
      <c r="N5" s="552" t="s">
        <v>29</v>
      </c>
      <c r="O5" s="820" t="s">
        <v>31</v>
      </c>
      <c r="P5" s="820" t="s">
        <v>28</v>
      </c>
      <c r="Q5" s="820" t="s">
        <v>30</v>
      </c>
      <c r="R5" s="820" t="s">
        <v>27</v>
      </c>
      <c r="S5" s="820" t="s">
        <v>29</v>
      </c>
      <c r="T5" s="808" t="s">
        <v>1781</v>
      </c>
      <c r="U5" s="808" t="s">
        <v>1680</v>
      </c>
      <c r="V5" s="808" t="s">
        <v>1933</v>
      </c>
      <c r="W5" s="808" t="s">
        <v>1555</v>
      </c>
      <c r="X5" s="808" t="s">
        <v>1934</v>
      </c>
      <c r="Y5" s="808" t="s">
        <v>1781</v>
      </c>
      <c r="Z5" s="808" t="s">
        <v>1680</v>
      </c>
      <c r="AA5" s="808" t="s">
        <v>1933</v>
      </c>
      <c r="AB5" s="808" t="s">
        <v>1555</v>
      </c>
      <c r="AC5" s="808" t="s">
        <v>1934</v>
      </c>
    </row>
    <row r="6" spans="2:34" s="112" customFormat="1" x14ac:dyDescent="0.3">
      <c r="B6" s="373" t="s">
        <v>1697</v>
      </c>
      <c r="C6" s="373"/>
      <c r="D6" s="118" t="s">
        <v>1723</v>
      </c>
      <c r="E6" s="29">
        <f>E9+E21+E27+E30</f>
        <v>198.70956026874012</v>
      </c>
      <c r="F6" s="29">
        <f>F9+F21+F27+F30</f>
        <v>123.12498537900012</v>
      </c>
      <c r="G6" s="47">
        <f t="shared" ref="G6" si="0">+IFERROR(IF(F6&lt;0,-(E6/F6-1),(E6/F6-1)),0)</f>
        <v>0.61388494509930314</v>
      </c>
      <c r="H6" s="220"/>
      <c r="J6" s="29">
        <f>J9+J21+J27+J30</f>
        <v>198.70956026874012</v>
      </c>
      <c r="K6" s="29">
        <f>K9+K21+K27+K30</f>
        <v>34.888655831693079</v>
      </c>
      <c r="L6" s="29">
        <f>L9+L21+L27+L30</f>
        <v>61.702895235000028</v>
      </c>
      <c r="M6" s="29">
        <f>M9+M21+M27+M30</f>
        <v>63.75234142604716</v>
      </c>
      <c r="N6" s="29">
        <f t="shared" ref="N6" si="1">N9+N21+N27+N30</f>
        <v>38.365667775999967</v>
      </c>
      <c r="O6" s="29">
        <f t="shared" ref="O6:AC6" si="2">O9+O21+O27+O30</f>
        <v>123.12498537900012</v>
      </c>
      <c r="P6" s="29">
        <f>P9+P21+P27+P30</f>
        <v>53.349014871999977</v>
      </c>
      <c r="Q6" s="29">
        <f t="shared" si="2"/>
        <v>2.3045258110002176</v>
      </c>
      <c r="R6" s="29">
        <f t="shared" si="2"/>
        <v>21.098037651999974</v>
      </c>
      <c r="S6" s="29">
        <f t="shared" si="2"/>
        <v>46.37340704399994</v>
      </c>
      <c r="T6" s="29">
        <f t="shared" si="2"/>
        <v>144.57265386999981</v>
      </c>
      <c r="U6" s="29">
        <f t="shared" si="2"/>
        <v>-89.417472379000287</v>
      </c>
      <c r="V6" s="29">
        <f t="shared" si="2"/>
        <v>63.572180134000064</v>
      </c>
      <c r="W6" s="29">
        <f t="shared" si="2"/>
        <v>52.328729091000056</v>
      </c>
      <c r="X6" s="29">
        <f t="shared" si="2"/>
        <v>138.48468321700017</v>
      </c>
      <c r="Y6" s="29">
        <f t="shared" si="2"/>
        <v>152.910765134</v>
      </c>
      <c r="Z6" s="29">
        <f t="shared" si="2"/>
        <v>-53.717342570999421</v>
      </c>
      <c r="AA6" s="29">
        <f t="shared" si="2"/>
        <v>73.850513905999918</v>
      </c>
      <c r="AB6" s="29">
        <f t="shared" si="2"/>
        <v>57.891761620000132</v>
      </c>
      <c r="AC6" s="29">
        <f t="shared" si="2"/>
        <v>74.885832179000005</v>
      </c>
    </row>
    <row r="7" spans="2:34" s="112" customFormat="1" x14ac:dyDescent="0.3">
      <c r="B7" s="374"/>
      <c r="C7" s="374"/>
      <c r="E7" s="183"/>
      <c r="F7" s="184"/>
      <c r="G7" s="62"/>
      <c r="H7" s="62"/>
      <c r="J7" s="183"/>
      <c r="K7" s="183"/>
      <c r="L7" s="183"/>
      <c r="M7" s="183"/>
      <c r="N7" s="183"/>
      <c r="O7" s="183"/>
      <c r="P7" s="183"/>
      <c r="Q7" s="183"/>
      <c r="R7" s="183"/>
      <c r="S7" s="183"/>
      <c r="T7" s="183"/>
      <c r="U7" s="183"/>
      <c r="V7" s="183"/>
      <c r="W7" s="183"/>
      <c r="X7" s="183"/>
      <c r="Y7" s="183"/>
      <c r="Z7" s="183"/>
      <c r="AA7" s="183"/>
      <c r="AB7" s="184"/>
      <c r="AC7" s="184"/>
      <c r="AE7" s="63"/>
    </row>
    <row r="8" spans="2:34" s="112" customFormat="1" x14ac:dyDescent="0.3">
      <c r="B8" s="374"/>
      <c r="C8" s="374"/>
      <c r="E8" s="63"/>
      <c r="F8" s="63"/>
      <c r="G8" s="62"/>
      <c r="H8" s="62"/>
      <c r="J8" s="63"/>
      <c r="K8" s="63"/>
      <c r="L8" s="63"/>
      <c r="M8" s="63"/>
      <c r="N8" s="63"/>
      <c r="O8" s="63"/>
      <c r="P8" s="63"/>
      <c r="Q8" s="63"/>
      <c r="R8" s="63"/>
      <c r="S8" s="63"/>
      <c r="T8" s="63"/>
      <c r="U8" s="63"/>
      <c r="V8" s="63"/>
      <c r="W8" s="63"/>
      <c r="X8" s="63"/>
      <c r="Y8" s="63"/>
      <c r="Z8" s="63"/>
      <c r="AA8" s="63"/>
      <c r="AB8" s="63"/>
      <c r="AC8" s="63"/>
    </row>
    <row r="9" spans="2:34" s="112" customFormat="1" x14ac:dyDescent="0.3">
      <c r="B9" s="375" t="s">
        <v>1925</v>
      </c>
      <c r="C9" s="375"/>
      <c r="D9" s="117" t="s">
        <v>1643</v>
      </c>
      <c r="E9" s="376">
        <f>+E10+E11+E12-E19+E20</f>
        <v>111.99010958400004</v>
      </c>
      <c r="F9" s="64">
        <f>+F10+F11+F12-F19+F20</f>
        <v>119.27554434799994</v>
      </c>
      <c r="G9" s="65">
        <f t="shared" ref="G9:G30" si="3">+IFERROR(IF(F9&lt;0,-(E9/F9-1),(E9/F9-1)),0)</f>
        <v>-6.1080708571271014E-2</v>
      </c>
      <c r="H9" s="220"/>
      <c r="J9" s="64">
        <f>J10+J11+J12-J19+J20</f>
        <v>111.99010958400004</v>
      </c>
      <c r="K9" s="64">
        <f>K10+K11+K12-K19+K20</f>
        <v>-5.8806759860000071</v>
      </c>
      <c r="L9" s="64">
        <f>L10+L11+L12-L19+L20</f>
        <v>34.309210431000011</v>
      </c>
      <c r="M9" s="64">
        <f t="shared" ref="M9:T9" si="4">M10+M11+M12-M19+M20</f>
        <v>44.676268556000004</v>
      </c>
      <c r="N9" s="64">
        <f t="shared" si="4"/>
        <v>38.885306583000002</v>
      </c>
      <c r="O9" s="64">
        <f t="shared" si="4"/>
        <v>119.27554434799994</v>
      </c>
      <c r="P9" s="64">
        <f t="shared" si="4"/>
        <v>19.855061288999966</v>
      </c>
      <c r="Q9" s="64">
        <f>Q10+Q11+Q12-Q19+Q20</f>
        <v>31.404157223999984</v>
      </c>
      <c r="R9" s="64">
        <f t="shared" si="4"/>
        <v>45.718813413999996</v>
      </c>
      <c r="S9" s="64">
        <f t="shared" si="4"/>
        <v>22.297512421</v>
      </c>
      <c r="T9" s="64">
        <f t="shared" si="4"/>
        <v>169.00076660799996</v>
      </c>
      <c r="U9" s="64">
        <v>57.394659168000004</v>
      </c>
      <c r="V9" s="64">
        <v>27.339907371999999</v>
      </c>
      <c r="W9" s="64">
        <v>40.567695163999986</v>
      </c>
      <c r="X9" s="376">
        <v>43.698504903999975</v>
      </c>
      <c r="Y9" s="64">
        <f>Y10+Y11+Y12-Y19+Y20</f>
        <v>123.29367785299999</v>
      </c>
      <c r="Z9" s="64">
        <f>Z10+Z11+Z12-Z19+Z20</f>
        <v>21.847733970999997</v>
      </c>
      <c r="AA9" s="64">
        <f>AA10+AA11+AA12-AA19+AA20</f>
        <v>26.362694829999995</v>
      </c>
      <c r="AB9" s="64">
        <f t="shared" ref="AB9:AC9" si="5">AB10+AB11+AB12-AB19+AB20</f>
        <v>37.32517824</v>
      </c>
      <c r="AC9" s="64">
        <f t="shared" si="5"/>
        <v>37.758070812000007</v>
      </c>
      <c r="AD9" s="737"/>
      <c r="AE9" s="737">
        <f>+SUM([16]실적!$N$5:$P$5)/1000</f>
        <v>31.404157223000016</v>
      </c>
      <c r="AF9" s="758">
        <f>+Q9-AE9</f>
        <v>9.9996810831726179E-10</v>
      </c>
      <c r="AG9" s="737"/>
      <c r="AH9" s="737"/>
    </row>
    <row r="10" spans="2:34" s="40" customFormat="1" x14ac:dyDescent="0.3">
      <c r="B10" s="377" t="s">
        <v>1271</v>
      </c>
      <c r="C10" s="377"/>
      <c r="D10" s="37" t="s">
        <v>1313</v>
      </c>
      <c r="E10" s="30">
        <f>J10</f>
        <v>205.831483765</v>
      </c>
      <c r="F10" s="30">
        <f>O10</f>
        <v>197.69092395399997</v>
      </c>
      <c r="G10" s="321">
        <f t="shared" si="3"/>
        <v>4.1178217230115388E-2</v>
      </c>
      <c r="H10" s="33"/>
      <c r="J10" s="30">
        <f t="shared" ref="J10:J20" si="6">SUM(K10:N10)</f>
        <v>205.831483765</v>
      </c>
      <c r="K10" s="30">
        <v>52.710967308000001</v>
      </c>
      <c r="L10" s="30">
        <v>53.913118939</v>
      </c>
      <c r="M10" s="30">
        <v>50.834693746999996</v>
      </c>
      <c r="N10" s="30">
        <v>48.372703770999998</v>
      </c>
      <c r="O10" s="30">
        <f t="shared" ref="O10:O20" si="7">SUM(P10:S10)</f>
        <v>197.69092395399997</v>
      </c>
      <c r="P10" s="30">
        <v>48.978104429999959</v>
      </c>
      <c r="Q10" s="30">
        <v>48.016439621999993</v>
      </c>
      <c r="R10" s="30">
        <v>49.937282250999999</v>
      </c>
      <c r="S10" s="30">
        <v>50.759097651000005</v>
      </c>
      <c r="T10" s="30">
        <f>SUM(U10:X10)</f>
        <v>197.76499396400001</v>
      </c>
      <c r="U10" s="30">
        <v>49.398744061000002</v>
      </c>
      <c r="V10" s="30">
        <v>45.968879779000005</v>
      </c>
      <c r="W10" s="30">
        <v>50.383640364999998</v>
      </c>
      <c r="X10" s="30">
        <v>52.013729759000007</v>
      </c>
      <c r="Y10" s="30">
        <f>SUM(Z10:AC10)</f>
        <v>213.96113962999999</v>
      </c>
      <c r="Z10" s="30">
        <v>51.748243059000004</v>
      </c>
      <c r="AA10" s="30">
        <v>55.251186910999998</v>
      </c>
      <c r="AB10" s="30">
        <v>54.003419199999996</v>
      </c>
      <c r="AC10" s="30">
        <v>52.958290459999994</v>
      </c>
      <c r="AD10" s="363"/>
      <c r="AE10" s="363"/>
      <c r="AF10" s="363"/>
      <c r="AG10" s="363"/>
      <c r="AH10" s="363"/>
    </row>
    <row r="11" spans="2:34" x14ac:dyDescent="0.3">
      <c r="B11" s="311" t="s">
        <v>1272</v>
      </c>
      <c r="C11" s="311"/>
      <c r="D11" s="40" t="s">
        <v>1314</v>
      </c>
      <c r="E11" s="27">
        <f t="shared" ref="E11:E30" si="8">J11</f>
        <v>43.952026533999998</v>
      </c>
      <c r="F11" s="27">
        <f t="shared" ref="F11:F30" si="9">O11</f>
        <v>43.274229502000004</v>
      </c>
      <c r="G11" s="322">
        <f t="shared" si="3"/>
        <v>1.5662833048677882E-2</v>
      </c>
      <c r="H11" s="33"/>
      <c r="J11" s="27">
        <f t="shared" si="6"/>
        <v>43.952026533999998</v>
      </c>
      <c r="K11" s="27">
        <v>11.295955099999999</v>
      </c>
      <c r="L11" s="27">
        <v>11.037653792999999</v>
      </c>
      <c r="M11" s="27">
        <v>10.658693865000002</v>
      </c>
      <c r="N11" s="27">
        <v>10.959723775999999</v>
      </c>
      <c r="O11" s="27">
        <f t="shared" si="7"/>
        <v>43.274229502000004</v>
      </c>
      <c r="P11" s="27">
        <v>10.643054002000008</v>
      </c>
      <c r="Q11" s="27">
        <v>10.660785295</v>
      </c>
      <c r="R11" s="27">
        <v>10.726993826999996</v>
      </c>
      <c r="S11" s="27">
        <v>11.243396378</v>
      </c>
      <c r="T11" s="27">
        <f t="shared" ref="T11:T29" si="10">SUM(U11:X11)</f>
        <v>46.001997885000002</v>
      </c>
      <c r="U11" s="27">
        <v>10.844652138000001</v>
      </c>
      <c r="V11" s="27">
        <v>11.548457289</v>
      </c>
      <c r="W11" s="27">
        <v>11.578878026999998</v>
      </c>
      <c r="X11" s="27">
        <v>12.030010431000001</v>
      </c>
      <c r="Y11" s="27">
        <f t="shared" ref="Y11:Y20" si="11">SUM(Z11:AC11)</f>
        <v>54.918092576000006</v>
      </c>
      <c r="Z11" s="27">
        <v>13.230891308000006</v>
      </c>
      <c r="AA11" s="27">
        <v>13.631026094000001</v>
      </c>
      <c r="AB11" s="27">
        <v>14.030482571</v>
      </c>
      <c r="AC11" s="27">
        <v>14.025692603</v>
      </c>
      <c r="AD11" s="369"/>
      <c r="AE11" s="369"/>
      <c r="AF11" s="369"/>
      <c r="AG11" s="369"/>
      <c r="AH11" s="369"/>
    </row>
    <row r="12" spans="2:34" x14ac:dyDescent="0.3">
      <c r="B12" s="311" t="s">
        <v>1273</v>
      </c>
      <c r="C12" s="311"/>
      <c r="D12" s="40" t="s">
        <v>1315</v>
      </c>
      <c r="E12" s="27">
        <f t="shared" si="8"/>
        <v>-0.44798281499999959</v>
      </c>
      <c r="F12" s="27">
        <f t="shared" si="9"/>
        <v>-26.017888353000007</v>
      </c>
      <c r="G12" s="322">
        <f t="shared" si="3"/>
        <v>0.98278173812870773</v>
      </c>
      <c r="H12" s="33"/>
      <c r="J12" s="27">
        <f t="shared" si="6"/>
        <v>-0.44798281499999959</v>
      </c>
      <c r="K12" s="27">
        <v>5.8605532989999887</v>
      </c>
      <c r="L12" s="27">
        <v>-13.091038187999992</v>
      </c>
      <c r="M12" s="27">
        <v>0.7520271890000032</v>
      </c>
      <c r="N12" s="27">
        <v>6.0304748850000003</v>
      </c>
      <c r="O12" s="27">
        <f t="shared" si="7"/>
        <v>-26.017888353000007</v>
      </c>
      <c r="P12" s="27">
        <v>-2.3793017400000025</v>
      </c>
      <c r="Q12" s="27">
        <v>-1.058387341</v>
      </c>
      <c r="R12" s="27">
        <v>3.3231313090000016</v>
      </c>
      <c r="S12" s="27">
        <v>-25.903330581000006</v>
      </c>
      <c r="T12" s="27">
        <f t="shared" si="10"/>
        <v>-19.275119520000011</v>
      </c>
      <c r="U12" s="27">
        <f>U13+U16</f>
        <v>-4.1097882009999935</v>
      </c>
      <c r="V12" s="27">
        <f>V13+V16</f>
        <v>-7.7483366110000134</v>
      </c>
      <c r="W12" s="27">
        <f>W13+W16</f>
        <v>-5.3541182929999955</v>
      </c>
      <c r="X12" s="27">
        <f t="shared" ref="X12:AC12" si="12">X13+X16</f>
        <v>-2.0628764150000087</v>
      </c>
      <c r="Y12" s="27">
        <f t="shared" si="11"/>
        <v>-56.972757462000004</v>
      </c>
      <c r="Z12" s="27">
        <f t="shared" si="12"/>
        <v>-29.15451575700002</v>
      </c>
      <c r="AA12" s="27">
        <f>AA13+AA16</f>
        <v>-11.453179555</v>
      </c>
      <c r="AB12" s="27">
        <f t="shared" ref="AB12" si="13">AB13+AB16</f>
        <v>-7.173953818999995</v>
      </c>
      <c r="AC12" s="27">
        <f t="shared" si="12"/>
        <v>-9.1911083309999881</v>
      </c>
      <c r="AD12" s="369"/>
      <c r="AE12" s="369"/>
      <c r="AF12" s="369"/>
      <c r="AG12" s="369"/>
      <c r="AH12" s="369"/>
    </row>
    <row r="13" spans="2:34" x14ac:dyDescent="0.3">
      <c r="B13" s="311" t="s">
        <v>1274</v>
      </c>
      <c r="C13" s="311"/>
      <c r="D13" s="40" t="s">
        <v>1316</v>
      </c>
      <c r="E13" s="27">
        <f t="shared" si="8"/>
        <v>-28.708110223000006</v>
      </c>
      <c r="F13" s="27">
        <f t="shared" si="9"/>
        <v>-26.458126703000005</v>
      </c>
      <c r="G13" s="322">
        <f t="shared" si="3"/>
        <v>-8.5039411340670723E-2</v>
      </c>
      <c r="H13" s="33"/>
      <c r="J13" s="27">
        <f t="shared" si="6"/>
        <v>-28.708110223000006</v>
      </c>
      <c r="K13" s="27">
        <v>-4.8641513070000144</v>
      </c>
      <c r="L13" s="27">
        <v>-18.945833020999999</v>
      </c>
      <c r="M13" s="27">
        <v>-4.2944345539999915</v>
      </c>
      <c r="N13" s="27">
        <v>-0.6036913410000011</v>
      </c>
      <c r="O13" s="27">
        <f t="shared" si="7"/>
        <v>-26.458126703000005</v>
      </c>
      <c r="P13" s="27">
        <v>-0.70005818300000444</v>
      </c>
      <c r="Q13" s="27">
        <v>-5.2922926779999999</v>
      </c>
      <c r="R13" s="27">
        <v>2.5037453980000008</v>
      </c>
      <c r="S13" s="27">
        <v>-22.969521240000002</v>
      </c>
      <c r="T13" s="27">
        <f t="shared" si="10"/>
        <v>-0.85268763700001671</v>
      </c>
      <c r="U13" s="27">
        <f>U14-U15</f>
        <v>7.3699059000006173E-2</v>
      </c>
      <c r="V13" s="27">
        <f>V14-V15</f>
        <v>-5.9787686480000133</v>
      </c>
      <c r="W13" s="27">
        <f>W14-W15</f>
        <v>5.6742778670000007</v>
      </c>
      <c r="X13" s="27">
        <f t="shared" ref="X13:AC13" si="14">X14-X15</f>
        <v>-0.62189591500001029</v>
      </c>
      <c r="Y13" s="27">
        <f t="shared" si="11"/>
        <v>-24.166025560999998</v>
      </c>
      <c r="Z13" s="27">
        <f t="shared" si="14"/>
        <v>-17.71357387800002</v>
      </c>
      <c r="AA13" s="27">
        <f>AA14-AA15</f>
        <v>-0.71338846300000114</v>
      </c>
      <c r="AB13" s="27">
        <f t="shared" ref="AB13" si="15">AB14-AB15</f>
        <v>-6.8217579039999947</v>
      </c>
      <c r="AC13" s="27">
        <f t="shared" si="14"/>
        <v>1.0826946840000176</v>
      </c>
      <c r="AD13" s="369"/>
      <c r="AE13" s="369"/>
      <c r="AF13" s="548"/>
      <c r="AG13" s="736"/>
      <c r="AH13" s="736"/>
    </row>
    <row r="14" spans="2:34" x14ac:dyDescent="0.3">
      <c r="B14" s="311"/>
      <c r="C14" s="311" t="s">
        <v>1275</v>
      </c>
      <c r="D14" s="40" t="s">
        <v>1317</v>
      </c>
      <c r="E14" s="27">
        <f t="shared" si="8"/>
        <v>485.97816151300003</v>
      </c>
      <c r="F14" s="27">
        <f t="shared" si="9"/>
        <v>449.06122033899999</v>
      </c>
      <c r="G14" s="322">
        <f t="shared" si="3"/>
        <v>8.2209149893039513E-2</v>
      </c>
      <c r="H14" s="33"/>
      <c r="J14" s="27">
        <f t="shared" si="6"/>
        <v>485.97816151300003</v>
      </c>
      <c r="K14" s="27">
        <v>126.750682127</v>
      </c>
      <c r="L14" s="27">
        <v>123.41308258399999</v>
      </c>
      <c r="M14" s="27">
        <v>118.74185291700002</v>
      </c>
      <c r="N14" s="27">
        <v>117.07254388499999</v>
      </c>
      <c r="O14" s="27">
        <f t="shared" si="7"/>
        <v>449.06122033899999</v>
      </c>
      <c r="P14" s="27">
        <v>114.65875371399999</v>
      </c>
      <c r="Q14" s="27">
        <v>113.36898458300001</v>
      </c>
      <c r="R14" s="27">
        <v>111.18530286799999</v>
      </c>
      <c r="S14" s="27">
        <v>109.84817917400001</v>
      </c>
      <c r="T14" s="27">
        <f t="shared" si="10"/>
        <v>435.09485386000006</v>
      </c>
      <c r="U14" s="27">
        <v>109.132214187</v>
      </c>
      <c r="V14" s="27">
        <v>110.05994058699999</v>
      </c>
      <c r="W14" s="27">
        <v>108.556044676</v>
      </c>
      <c r="X14" s="27">
        <v>107.34665441000001</v>
      </c>
      <c r="Y14" s="27">
        <f t="shared" si="11"/>
        <v>397.235258117</v>
      </c>
      <c r="Z14" s="27">
        <v>101.58024897299998</v>
      </c>
      <c r="AA14" s="27">
        <v>100.585133367</v>
      </c>
      <c r="AB14" s="27">
        <v>98.529099375000001</v>
      </c>
      <c r="AC14" s="27">
        <v>96.540776402000006</v>
      </c>
      <c r="AD14" s="369"/>
      <c r="AE14" s="369"/>
      <c r="AF14" s="548"/>
      <c r="AG14" s="736"/>
      <c r="AH14" s="736"/>
    </row>
    <row r="15" spans="2:34" x14ac:dyDescent="0.3">
      <c r="B15" s="311"/>
      <c r="C15" s="311" t="s">
        <v>1276</v>
      </c>
      <c r="D15" s="40" t="s">
        <v>1318</v>
      </c>
      <c r="E15" s="27">
        <f t="shared" si="8"/>
        <v>514.68627173600009</v>
      </c>
      <c r="F15" s="27">
        <f t="shared" si="9"/>
        <v>475.51934704300004</v>
      </c>
      <c r="G15" s="322">
        <f t="shared" si="3"/>
        <v>8.2366627008045423E-2</v>
      </c>
      <c r="H15" s="33"/>
      <c r="J15" s="27">
        <f t="shared" si="6"/>
        <v>514.68627173600009</v>
      </c>
      <c r="K15" s="27">
        <v>131.61483343400002</v>
      </c>
      <c r="L15" s="27">
        <v>142.35891560499999</v>
      </c>
      <c r="M15" s="27">
        <v>123.03628747100001</v>
      </c>
      <c r="N15" s="27">
        <v>117.67623522599999</v>
      </c>
      <c r="O15" s="27">
        <f t="shared" si="7"/>
        <v>475.51934704300004</v>
      </c>
      <c r="P15" s="27">
        <v>115.358811897</v>
      </c>
      <c r="Q15" s="27">
        <v>118.66127726199998</v>
      </c>
      <c r="R15" s="27">
        <v>108.68155747000002</v>
      </c>
      <c r="S15" s="27">
        <v>132.81770041400003</v>
      </c>
      <c r="T15" s="27">
        <f t="shared" si="10"/>
        <v>435.94754149700003</v>
      </c>
      <c r="U15" s="27">
        <v>109.058515128</v>
      </c>
      <c r="V15" s="27">
        <v>116.038709235</v>
      </c>
      <c r="W15" s="27">
        <v>102.881766809</v>
      </c>
      <c r="X15" s="27">
        <v>107.96855032500002</v>
      </c>
      <c r="Y15" s="27">
        <f t="shared" si="11"/>
        <v>421.40128367800003</v>
      </c>
      <c r="Z15" s="27">
        <v>119.293822851</v>
      </c>
      <c r="AA15" s="27">
        <v>101.29852183</v>
      </c>
      <c r="AB15" s="27">
        <v>105.350857279</v>
      </c>
      <c r="AC15" s="27">
        <v>95.458081717999988</v>
      </c>
      <c r="AD15" s="369"/>
      <c r="AE15" s="369"/>
      <c r="AF15" s="548"/>
      <c r="AG15" s="736"/>
      <c r="AH15" s="736"/>
    </row>
    <row r="16" spans="2:34" x14ac:dyDescent="0.3">
      <c r="B16" s="311" t="s">
        <v>1277</v>
      </c>
      <c r="C16" s="311"/>
      <c r="D16" s="40" t="s">
        <v>1319</v>
      </c>
      <c r="E16" s="27">
        <f t="shared" si="8"/>
        <v>28.260127408000006</v>
      </c>
      <c r="F16" s="27">
        <f t="shared" si="9"/>
        <v>0.44023834999999911</v>
      </c>
      <c r="G16" s="322">
        <f t="shared" si="3"/>
        <v>63.192788765449592</v>
      </c>
      <c r="H16" s="33"/>
      <c r="J16" s="27">
        <f t="shared" si="6"/>
        <v>28.260127408000006</v>
      </c>
      <c r="K16" s="27">
        <v>10.724704606000003</v>
      </c>
      <c r="L16" s="27">
        <v>5.8547948330000068</v>
      </c>
      <c r="M16" s="27">
        <v>5.0464617429999947</v>
      </c>
      <c r="N16" s="27">
        <v>6.6341662260000014</v>
      </c>
      <c r="O16" s="27">
        <f t="shared" si="7"/>
        <v>0.44023834999999911</v>
      </c>
      <c r="P16" s="27">
        <v>-1.6792435570000002</v>
      </c>
      <c r="Q16" s="27">
        <v>4.2339053370000022</v>
      </c>
      <c r="R16" s="27">
        <v>0.81938591100000002</v>
      </c>
      <c r="S16" s="27">
        <v>-2.9338093410000026</v>
      </c>
      <c r="T16" s="27">
        <f t="shared" si="10"/>
        <v>-18.422431882999994</v>
      </c>
      <c r="U16" s="27">
        <v>-4.1834872599999997</v>
      </c>
      <c r="V16" s="27">
        <v>-1.7695679630000001</v>
      </c>
      <c r="W16" s="27">
        <v>-11.028396159999996</v>
      </c>
      <c r="X16" s="27">
        <v>-1.4409804999999984</v>
      </c>
      <c r="Y16" s="27">
        <f t="shared" si="11"/>
        <v>-32.806731901000006</v>
      </c>
      <c r="Z16" s="27">
        <v>-11.440941879</v>
      </c>
      <c r="AA16" s="27">
        <v>-10.739791091999999</v>
      </c>
      <c r="AB16" s="27">
        <v>-0.35219591500000025</v>
      </c>
      <c r="AC16" s="27">
        <v>-10.273803015000006</v>
      </c>
      <c r="AD16" s="369"/>
      <c r="AE16" s="369"/>
      <c r="AF16" s="548"/>
      <c r="AG16" s="736"/>
      <c r="AH16" s="736"/>
    </row>
    <row r="17" spans="2:34" x14ac:dyDescent="0.3">
      <c r="B17" s="311"/>
      <c r="C17" s="311" t="s">
        <v>1278</v>
      </c>
      <c r="D17" s="40" t="s">
        <v>1320</v>
      </c>
      <c r="E17" s="70">
        <f t="shared" si="8"/>
        <v>191.95939690800003</v>
      </c>
      <c r="F17" s="70">
        <f t="shared" si="9"/>
        <v>155.074057595</v>
      </c>
      <c r="G17" s="322">
        <f t="shared" si="3"/>
        <v>0.23785628547446547</v>
      </c>
      <c r="H17" s="33"/>
      <c r="J17" s="27">
        <f t="shared" si="6"/>
        <v>191.95939690800003</v>
      </c>
      <c r="K17" s="27">
        <v>50.905584889000011</v>
      </c>
      <c r="L17" s="27">
        <v>50.106496935000003</v>
      </c>
      <c r="M17" s="27">
        <v>44.404220586000001</v>
      </c>
      <c r="N17" s="27">
        <v>46.543094498000002</v>
      </c>
      <c r="O17" s="27">
        <f t="shared" si="7"/>
        <v>155.074057595</v>
      </c>
      <c r="P17" s="27">
        <v>41.487814413000002</v>
      </c>
      <c r="Q17" s="27">
        <v>39.928155171999997</v>
      </c>
      <c r="R17" s="27">
        <v>36.995794013000001</v>
      </c>
      <c r="S17" s="27">
        <v>36.662293996999992</v>
      </c>
      <c r="T17" s="27">
        <f t="shared" si="10"/>
        <v>125.40550582300001</v>
      </c>
      <c r="U17" s="27">
        <v>31.436048371000005</v>
      </c>
      <c r="V17" s="27">
        <v>31.838062067000003</v>
      </c>
      <c r="W17" s="27">
        <v>31.008304038000009</v>
      </c>
      <c r="X17" s="27">
        <v>31.123091347000003</v>
      </c>
      <c r="Y17" s="27">
        <f t="shared" si="11"/>
        <v>138.390016887</v>
      </c>
      <c r="Z17" s="27">
        <v>31.421128764999999</v>
      </c>
      <c r="AA17" s="27">
        <v>33.589996942000006</v>
      </c>
      <c r="AB17" s="27">
        <v>34.932540124999996</v>
      </c>
      <c r="AC17" s="27">
        <v>38.446351054999994</v>
      </c>
      <c r="AD17" s="369"/>
      <c r="AE17" s="369"/>
      <c r="AF17" s="548"/>
      <c r="AG17" s="736"/>
      <c r="AH17" s="736"/>
    </row>
    <row r="18" spans="2:34" x14ac:dyDescent="0.3">
      <c r="B18" s="311"/>
      <c r="C18" s="311" t="s">
        <v>1279</v>
      </c>
      <c r="D18" s="40" t="s">
        <v>1321</v>
      </c>
      <c r="E18" s="70">
        <f t="shared" si="8"/>
        <v>163.69926950000001</v>
      </c>
      <c r="F18" s="70">
        <f t="shared" si="9"/>
        <v>154.63381924500001</v>
      </c>
      <c r="G18" s="322">
        <f t="shared" si="3"/>
        <v>5.8625275500935548E-2</v>
      </c>
      <c r="H18" s="33"/>
      <c r="J18" s="27">
        <f t="shared" si="6"/>
        <v>163.69926950000001</v>
      </c>
      <c r="K18" s="27">
        <v>40.180880283000008</v>
      </c>
      <c r="L18" s="27">
        <v>44.251702101999996</v>
      </c>
      <c r="M18" s="27">
        <v>39.357758843000006</v>
      </c>
      <c r="N18" s="27">
        <v>39.908928271999997</v>
      </c>
      <c r="O18" s="27">
        <f t="shared" si="7"/>
        <v>154.63381924500001</v>
      </c>
      <c r="P18" s="27">
        <v>43.167057970000009</v>
      </c>
      <c r="Q18" s="27">
        <v>35.694249834999994</v>
      </c>
      <c r="R18" s="27">
        <v>36.176408102000003</v>
      </c>
      <c r="S18" s="27">
        <v>39.596103337999999</v>
      </c>
      <c r="T18" s="27">
        <f t="shared" si="10"/>
        <v>143.82793770600003</v>
      </c>
      <c r="U18" s="27">
        <v>35.619535631000005</v>
      </c>
      <c r="V18" s="27">
        <v>33.607630030000003</v>
      </c>
      <c r="W18" s="27">
        <v>42.036700198000005</v>
      </c>
      <c r="X18" s="27">
        <v>32.564071847000001</v>
      </c>
      <c r="Y18" s="27">
        <f t="shared" si="11"/>
        <v>171.19674878800001</v>
      </c>
      <c r="Z18" s="27">
        <v>42.862070643999999</v>
      </c>
      <c r="AA18" s="27">
        <v>44.329788034000003</v>
      </c>
      <c r="AB18" s="27">
        <v>35.284736039999999</v>
      </c>
      <c r="AC18" s="27">
        <v>48.72015407</v>
      </c>
      <c r="AD18" s="369"/>
      <c r="AE18" s="369"/>
      <c r="AF18" s="548"/>
      <c r="AG18" s="736"/>
      <c r="AH18" s="736"/>
    </row>
    <row r="19" spans="2:34" x14ac:dyDescent="0.3">
      <c r="B19" s="311" t="s">
        <v>1280</v>
      </c>
      <c r="C19" s="311"/>
      <c r="D19" s="40" t="s">
        <v>1322</v>
      </c>
      <c r="E19" s="27">
        <f t="shared" si="8"/>
        <v>64.838270739999999</v>
      </c>
      <c r="F19" s="27">
        <f t="shared" si="9"/>
        <v>67.659293427999998</v>
      </c>
      <c r="G19" s="322">
        <f t="shared" si="3"/>
        <v>-4.1694533671150502E-2</v>
      </c>
      <c r="H19" s="33"/>
      <c r="J19" s="27">
        <f t="shared" si="6"/>
        <v>64.838270739999999</v>
      </c>
      <c r="K19" s="27">
        <v>18.297465130999999</v>
      </c>
      <c r="L19" s="27">
        <v>15.868745324000001</v>
      </c>
      <c r="M19" s="27">
        <v>15.146306303999999</v>
      </c>
      <c r="N19" s="27">
        <v>15.525753980999999</v>
      </c>
      <c r="O19" s="27">
        <f t="shared" si="7"/>
        <v>67.659293427999998</v>
      </c>
      <c r="P19" s="27">
        <v>20.710520254999999</v>
      </c>
      <c r="Q19" s="27">
        <v>16.309096147000002</v>
      </c>
      <c r="R19" s="27">
        <v>15.144894179</v>
      </c>
      <c r="S19" s="27">
        <v>15.494782847</v>
      </c>
      <c r="T19" s="27">
        <f t="shared" si="10"/>
        <v>67.258069192000008</v>
      </c>
      <c r="U19" s="27">
        <v>18.946423622000001</v>
      </c>
      <c r="V19" s="27">
        <v>15.493931896000001</v>
      </c>
      <c r="W19" s="27">
        <v>15.043720026000001</v>
      </c>
      <c r="X19" s="27">
        <v>17.773993648000001</v>
      </c>
      <c r="Y19" s="27">
        <f t="shared" si="11"/>
        <v>60.105278177999999</v>
      </c>
      <c r="Z19" s="27">
        <v>16.757572596999999</v>
      </c>
      <c r="AA19" s="27">
        <v>14.65092958</v>
      </c>
      <c r="AB19" s="27">
        <v>13.721217857999997</v>
      </c>
      <c r="AC19" s="27">
        <v>14.975558143000001</v>
      </c>
      <c r="AD19" s="369"/>
      <c r="AE19" s="369"/>
      <c r="AF19" s="369"/>
      <c r="AG19" s="736"/>
      <c r="AH19" s="369"/>
    </row>
    <row r="20" spans="2:34" x14ac:dyDescent="0.3">
      <c r="B20" s="311" t="s">
        <v>1281</v>
      </c>
      <c r="C20" s="311"/>
      <c r="D20" s="40" t="s">
        <v>132</v>
      </c>
      <c r="E20" s="27">
        <f t="shared" si="8"/>
        <v>-72.507147159999988</v>
      </c>
      <c r="F20" s="27">
        <f t="shared" si="9"/>
        <v>-28.012427326999997</v>
      </c>
      <c r="G20" s="322">
        <f t="shared" si="3"/>
        <v>-1.5883921558669574</v>
      </c>
      <c r="H20" s="33"/>
      <c r="J20" s="27">
        <f t="shared" si="6"/>
        <v>-72.507147159999988</v>
      </c>
      <c r="K20" s="27">
        <v>-57.450686561999994</v>
      </c>
      <c r="L20" s="27">
        <v>-1.6817787890000013</v>
      </c>
      <c r="M20" s="27">
        <v>-2.4228399409999994</v>
      </c>
      <c r="N20" s="27">
        <v>-10.951841867999999</v>
      </c>
      <c r="O20" s="27">
        <f t="shared" si="7"/>
        <v>-28.012427326999997</v>
      </c>
      <c r="P20" s="27">
        <v>-16.676275147999998</v>
      </c>
      <c r="Q20" s="27">
        <v>-9.9055842050000003</v>
      </c>
      <c r="R20" s="27">
        <v>-3.1236997940000006</v>
      </c>
      <c r="S20" s="27">
        <v>1.6931318200000007</v>
      </c>
      <c r="T20" s="27">
        <f t="shared" si="10"/>
        <v>11.766963470999976</v>
      </c>
      <c r="U20" s="70">
        <f>U9-(U10+U11+U12-U19)</f>
        <v>20.207474791999999</v>
      </c>
      <c r="V20" s="70">
        <f>V9-(V10+V11+V12-V19)</f>
        <v>-6.9351611889999916</v>
      </c>
      <c r="W20" s="70">
        <f>W9-(W10+W11+W12-W19)</f>
        <v>-0.99698490900000536</v>
      </c>
      <c r="X20" s="70">
        <f>X9-(X10+X11+X12-X19)</f>
        <v>-0.50836522300002684</v>
      </c>
      <c r="Y20" s="27">
        <f t="shared" si="11"/>
        <v>-28.507518713</v>
      </c>
      <c r="Z20" s="27">
        <v>2.7806879580000023</v>
      </c>
      <c r="AA20" s="27">
        <v>-16.41540904</v>
      </c>
      <c r="AB20" s="27">
        <v>-9.813551854</v>
      </c>
      <c r="AC20" s="27">
        <v>-5.059245777000001</v>
      </c>
      <c r="AD20" s="369"/>
      <c r="AE20" s="369"/>
      <c r="AF20" s="369"/>
      <c r="AG20" s="369"/>
      <c r="AH20" s="369"/>
    </row>
    <row r="21" spans="2:34" s="112" customFormat="1" x14ac:dyDescent="0.3">
      <c r="B21" s="378" t="s">
        <v>1926</v>
      </c>
      <c r="C21" s="378"/>
      <c r="D21" s="110" t="s">
        <v>248</v>
      </c>
      <c r="E21" s="29">
        <f t="shared" si="8"/>
        <v>73.866156524000075</v>
      </c>
      <c r="F21" s="29">
        <f t="shared" si="9"/>
        <v>-4.3366400269998167</v>
      </c>
      <c r="G21" s="71">
        <f t="shared" si="3"/>
        <v>18.03303849618856</v>
      </c>
      <c r="H21" s="220"/>
      <c r="J21" s="185">
        <f t="shared" ref="J21:K21" si="16">J22+J23-J24-J25+J26</f>
        <v>73.866156524000075</v>
      </c>
      <c r="K21" s="185">
        <f t="shared" si="16"/>
        <v>28.90744540500009</v>
      </c>
      <c r="L21" s="185">
        <f t="shared" ref="L21:T21" si="17">L22+L23-L24-L25+L26</f>
        <v>24.543100803000016</v>
      </c>
      <c r="M21" s="185">
        <f t="shared" si="17"/>
        <v>20.06300143500016</v>
      </c>
      <c r="N21" s="185">
        <f t="shared" si="17"/>
        <v>0.35260888099996279</v>
      </c>
      <c r="O21" s="185">
        <f t="shared" si="17"/>
        <v>-4.3366400269998167</v>
      </c>
      <c r="P21" s="185">
        <f t="shared" si="17"/>
        <v>33.294063319000017</v>
      </c>
      <c r="Q21" s="185">
        <f t="shared" si="17"/>
        <v>-27.967507092999767</v>
      </c>
      <c r="R21" s="185">
        <f t="shared" si="17"/>
        <v>-30.821484392000023</v>
      </c>
      <c r="S21" s="185">
        <f t="shared" si="17"/>
        <v>21.158288138999943</v>
      </c>
      <c r="T21" s="185">
        <f t="shared" si="17"/>
        <v>-22.624423384000167</v>
      </c>
      <c r="U21" s="382">
        <v>-99.003378261000307</v>
      </c>
      <c r="V21" s="382">
        <v>-0.74453508599992801</v>
      </c>
      <c r="W21" s="382">
        <v>3.7496379290000732</v>
      </c>
      <c r="X21" s="348">
        <v>93.769318227000213</v>
      </c>
      <c r="Y21" s="185">
        <f>Y22+Y23-Y24-Y25+Y26</f>
        <v>27.482494770000024</v>
      </c>
      <c r="Z21" s="185">
        <f>Z22+Z23-Z24-Z25+Z26</f>
        <v>-79.301651224999418</v>
      </c>
      <c r="AA21" s="185">
        <f>AA22+AA23-AA24-AA25+AA26</f>
        <v>46.291231505999917</v>
      </c>
      <c r="AB21" s="29">
        <v>21.904040807000129</v>
      </c>
      <c r="AC21" s="29">
        <f>[17]실적!$H$20/1000</f>
        <v>38.588873681999992</v>
      </c>
      <c r="AD21" s="737"/>
      <c r="AE21" s="737">
        <f>+SUM([16]실적!$N$20:$P$20)/1000</f>
        <v>-27.967507093000002</v>
      </c>
      <c r="AF21" s="758">
        <f>+Q21-AE21</f>
        <v>2.3447910280083306E-13</v>
      </c>
      <c r="AG21" s="737"/>
      <c r="AH21" s="737"/>
    </row>
    <row r="22" spans="2:34" x14ac:dyDescent="0.3">
      <c r="B22" s="317" t="s">
        <v>1283</v>
      </c>
      <c r="C22" s="317"/>
      <c r="D22" s="68" t="s">
        <v>1323</v>
      </c>
      <c r="E22" s="27">
        <f t="shared" si="8"/>
        <v>663.73184779799999</v>
      </c>
      <c r="F22" s="70">
        <f t="shared" si="9"/>
        <v>319.18261055100004</v>
      </c>
      <c r="G22" s="67">
        <f t="shared" si="3"/>
        <v>1.0794737114663291</v>
      </c>
      <c r="H22" s="33"/>
      <c r="J22" s="69">
        <f t="shared" ref="J22:J29" si="18">SUM(K22:N22)</f>
        <v>663.73184779799999</v>
      </c>
      <c r="K22" s="69">
        <v>185.32795907200003</v>
      </c>
      <c r="L22" s="69">
        <v>18.616850101000001</v>
      </c>
      <c r="M22" s="69">
        <v>183.86293360499999</v>
      </c>
      <c r="N22" s="69">
        <v>275.92410502000001</v>
      </c>
      <c r="O22" s="69">
        <f t="shared" ref="O22:O26" si="19">SUM(P22:S22)</f>
        <v>319.18261055100004</v>
      </c>
      <c r="P22" s="69">
        <v>11.835091496</v>
      </c>
      <c r="Q22" s="69">
        <v>214.57858586900002</v>
      </c>
      <c r="R22" s="69">
        <v>80.214362126000012</v>
      </c>
      <c r="S22" s="69">
        <v>12.554571060000001</v>
      </c>
      <c r="T22" s="69">
        <v>612.08323974500001</v>
      </c>
      <c r="U22" s="69">
        <v>263.01093137300001</v>
      </c>
      <c r="V22" s="69">
        <v>297.14079543600002</v>
      </c>
      <c r="W22" s="69">
        <v>16.996266536000004</v>
      </c>
      <c r="X22" s="69">
        <v>34.935246399999997</v>
      </c>
      <c r="Y22" s="69">
        <f t="shared" ref="Y22:Y26" si="20">SUM(Z22:AC22)</f>
        <v>3190.7457085030001</v>
      </c>
      <c r="Z22" s="69">
        <v>402.69771109799996</v>
      </c>
      <c r="AA22" s="69">
        <v>491.15596187600005</v>
      </c>
      <c r="AB22" s="70">
        <v>1188.2831334970001</v>
      </c>
      <c r="AC22" s="70">
        <v>1108.6089020320001</v>
      </c>
      <c r="AD22" s="369"/>
      <c r="AE22" s="736"/>
      <c r="AF22" s="369"/>
      <c r="AG22" s="369"/>
      <c r="AH22" s="369"/>
    </row>
    <row r="23" spans="2:34" x14ac:dyDescent="0.3">
      <c r="B23" s="317" t="s">
        <v>1284</v>
      </c>
      <c r="C23" s="317"/>
      <c r="D23" s="68" t="s">
        <v>1324</v>
      </c>
      <c r="E23" s="27">
        <f t="shared" si="8"/>
        <v>3105.4851151019998</v>
      </c>
      <c r="F23" s="70">
        <f t="shared" si="9"/>
        <v>4181.4642482890004</v>
      </c>
      <c r="G23" s="67">
        <f t="shared" si="3"/>
        <v>-0.25732113663946232</v>
      </c>
      <c r="H23" s="33"/>
      <c r="J23" s="69">
        <f t="shared" si="18"/>
        <v>3105.4851151019998</v>
      </c>
      <c r="K23" s="69">
        <v>686.45942575699996</v>
      </c>
      <c r="L23" s="69">
        <v>869.58969965600011</v>
      </c>
      <c r="M23" s="69">
        <v>1079.494239334</v>
      </c>
      <c r="N23" s="69">
        <v>469.94175035500001</v>
      </c>
      <c r="O23" s="69">
        <f t="shared" si="19"/>
        <v>4181.4642482890004</v>
      </c>
      <c r="P23" s="69">
        <v>1179.7719318510001</v>
      </c>
      <c r="Q23" s="69">
        <v>1117.0385062800001</v>
      </c>
      <c r="R23" s="69">
        <v>687.66784896799993</v>
      </c>
      <c r="S23" s="69">
        <v>1196.9859611900001</v>
      </c>
      <c r="T23" s="69">
        <v>3194.7401847810002</v>
      </c>
      <c r="U23" s="69">
        <v>851.15005797200013</v>
      </c>
      <c r="V23" s="69">
        <v>216.42108966000004</v>
      </c>
      <c r="W23" s="69">
        <v>869.42072483699997</v>
      </c>
      <c r="X23" s="69">
        <v>1257.7483123120001</v>
      </c>
      <c r="Y23" s="69">
        <f t="shared" si="20"/>
        <v>1782.3932153560002</v>
      </c>
      <c r="Z23" s="69">
        <v>-472.99011143100006</v>
      </c>
      <c r="AA23" s="69">
        <v>1026.2269654720001</v>
      </c>
      <c r="AB23" s="70">
        <v>789.19725105700013</v>
      </c>
      <c r="AC23" s="70">
        <v>439.95911025799995</v>
      </c>
      <c r="AD23" s="369"/>
      <c r="AE23" s="369"/>
      <c r="AF23" s="369"/>
      <c r="AG23" s="369"/>
      <c r="AH23" s="369"/>
    </row>
    <row r="24" spans="2:34" x14ac:dyDescent="0.3">
      <c r="B24" s="317" t="s">
        <v>1285</v>
      </c>
      <c r="C24" s="317"/>
      <c r="D24" s="68" t="s">
        <v>1329</v>
      </c>
      <c r="E24" s="27">
        <f t="shared" si="8"/>
        <v>2936.510796988</v>
      </c>
      <c r="F24" s="70">
        <f t="shared" si="9"/>
        <v>2393.087757924</v>
      </c>
      <c r="G24" s="67">
        <f t="shared" si="3"/>
        <v>0.22708028038863848</v>
      </c>
      <c r="H24" s="33"/>
      <c r="J24" s="69">
        <f t="shared" si="18"/>
        <v>2936.510796988</v>
      </c>
      <c r="K24" s="69">
        <v>825.58451838700012</v>
      </c>
      <c r="L24" s="69">
        <v>1056.3990520780001</v>
      </c>
      <c r="M24" s="69">
        <v>762.45996052399994</v>
      </c>
      <c r="N24" s="69">
        <v>292.06726599899997</v>
      </c>
      <c r="O24" s="69">
        <f t="shared" si="19"/>
        <v>2393.087757924</v>
      </c>
      <c r="P24" s="69">
        <v>636.38013628299996</v>
      </c>
      <c r="Q24" s="69">
        <v>270.90059270300003</v>
      </c>
      <c r="R24" s="69">
        <v>583.96861621799997</v>
      </c>
      <c r="S24" s="69">
        <v>901.83841272000006</v>
      </c>
      <c r="T24" s="69">
        <v>2954.2410166950003</v>
      </c>
      <c r="U24" s="69">
        <v>1152.971590165</v>
      </c>
      <c r="V24" s="69">
        <v>280.52943565299995</v>
      </c>
      <c r="W24" s="69">
        <v>668.20469152700002</v>
      </c>
      <c r="X24" s="69">
        <v>852.53529934999995</v>
      </c>
      <c r="Y24" s="69">
        <f t="shared" si="20"/>
        <v>1300.0522827079999</v>
      </c>
      <c r="Z24" s="69">
        <v>369.46104734699986</v>
      </c>
      <c r="AA24" s="69">
        <v>504.94701701999998</v>
      </c>
      <c r="AB24" s="70">
        <v>161.66443758900004</v>
      </c>
      <c r="AC24" s="70">
        <v>263.97978075200001</v>
      </c>
      <c r="AD24" s="369"/>
      <c r="AE24" s="369"/>
      <c r="AF24" s="369"/>
      <c r="AG24" s="369"/>
      <c r="AH24" s="369"/>
    </row>
    <row r="25" spans="2:34" x14ac:dyDescent="0.3">
      <c r="B25" s="317" t="s">
        <v>1286</v>
      </c>
      <c r="C25" s="317"/>
      <c r="D25" s="68" t="s">
        <v>1328</v>
      </c>
      <c r="E25" s="27">
        <f t="shared" si="8"/>
        <v>799.07008906100009</v>
      </c>
      <c r="F25" s="70">
        <f t="shared" si="9"/>
        <v>1111.214895354</v>
      </c>
      <c r="G25" s="67">
        <f t="shared" si="3"/>
        <v>-0.28090408758745067</v>
      </c>
      <c r="H25" s="33"/>
      <c r="J25" s="69">
        <f t="shared" si="18"/>
        <v>799.07008906100009</v>
      </c>
      <c r="K25" s="69">
        <v>24.681236054000006</v>
      </c>
      <c r="L25" s="69">
        <v>-191.87345199399996</v>
      </c>
      <c r="M25" s="69">
        <v>489.54655399099994</v>
      </c>
      <c r="N25" s="69">
        <v>476.71575101000002</v>
      </c>
      <c r="O25" s="69">
        <f t="shared" si="19"/>
        <v>1111.214895354</v>
      </c>
      <c r="P25" s="69">
        <v>521.15258098799995</v>
      </c>
      <c r="Q25" s="69">
        <v>93.340890344999991</v>
      </c>
      <c r="R25" s="69">
        <v>212.97124653699996</v>
      </c>
      <c r="S25" s="69">
        <v>283.75017748400006</v>
      </c>
      <c r="T25" s="69">
        <v>846.87576700299996</v>
      </c>
      <c r="U25" s="69">
        <v>63.589762166999996</v>
      </c>
      <c r="V25" s="69">
        <v>224.643327126</v>
      </c>
      <c r="W25" s="69">
        <v>207.58647387799999</v>
      </c>
      <c r="X25" s="69">
        <v>351.05620383199999</v>
      </c>
      <c r="Y25" s="69">
        <f t="shared" si="20"/>
        <v>3623.8325703840001</v>
      </c>
      <c r="Z25" s="69">
        <v>-364.91800735299989</v>
      </c>
      <c r="AA25" s="69">
        <v>991.05222158900017</v>
      </c>
      <c r="AB25" s="70">
        <v>1745.2602340149999</v>
      </c>
      <c r="AC25" s="70">
        <v>1252.438122133</v>
      </c>
      <c r="AD25" s="369"/>
      <c r="AE25" s="369"/>
      <c r="AF25" s="369"/>
      <c r="AG25" s="369"/>
      <c r="AH25" s="369"/>
    </row>
    <row r="26" spans="2:34" x14ac:dyDescent="0.3">
      <c r="B26" s="317" t="s">
        <v>1281</v>
      </c>
      <c r="C26" s="317"/>
      <c r="D26" s="68" t="s">
        <v>132</v>
      </c>
      <c r="E26" s="27">
        <f t="shared" si="8"/>
        <v>40.230079673000212</v>
      </c>
      <c r="F26" s="27">
        <f t="shared" si="9"/>
        <v>-1000.6808455890001</v>
      </c>
      <c r="G26" s="67">
        <f t="shared" si="3"/>
        <v>1.0402027078367038</v>
      </c>
      <c r="H26" s="33"/>
      <c r="J26" s="70">
        <f t="shared" si="18"/>
        <v>40.230079673000212</v>
      </c>
      <c r="K26" s="70">
        <v>7.385815017000251</v>
      </c>
      <c r="L26" s="70">
        <v>0.86215113000005772</v>
      </c>
      <c r="M26" s="70">
        <v>8.7123430109999731</v>
      </c>
      <c r="N26" s="70">
        <v>23.26977051499993</v>
      </c>
      <c r="O26" s="70">
        <f t="shared" si="19"/>
        <v>-1000.6808455890001</v>
      </c>
      <c r="P26" s="70">
        <v>-0.7802427570000674</v>
      </c>
      <c r="Q26" s="70">
        <v>-995.343116194</v>
      </c>
      <c r="R26" s="70">
        <v>-1.7638327309999999</v>
      </c>
      <c r="S26" s="70">
        <v>-2.7936539069999999</v>
      </c>
      <c r="T26" s="70">
        <v>-28.33106421199993</v>
      </c>
      <c r="U26" s="70">
        <v>-16.998481466999991</v>
      </c>
      <c r="V26" s="70">
        <v>-9.1336574030000577</v>
      </c>
      <c r="W26" s="70">
        <v>-6.8761880389998851</v>
      </c>
      <c r="X26" s="70">
        <v>4.6772626970000033</v>
      </c>
      <c r="Y26" s="70">
        <f t="shared" si="20"/>
        <v>-21.771575997000006</v>
      </c>
      <c r="Z26" s="70">
        <v>-4.4662108979993498</v>
      </c>
      <c r="AA26" s="70">
        <v>24.907542766999992</v>
      </c>
      <c r="AB26" s="70">
        <v>-48.651672143000646</v>
      </c>
      <c r="AC26" s="69">
        <v>6.438764276999998</v>
      </c>
      <c r="AD26" s="369"/>
      <c r="AE26" s="369"/>
      <c r="AF26" s="369"/>
      <c r="AG26" s="369"/>
      <c r="AH26" s="369"/>
    </row>
    <row r="27" spans="2:34" s="112" customFormat="1" x14ac:dyDescent="0.3">
      <c r="B27" s="378" t="s">
        <v>1927</v>
      </c>
      <c r="C27" s="378"/>
      <c r="D27" s="110" t="s">
        <v>1325</v>
      </c>
      <c r="E27" s="29">
        <f t="shared" si="8"/>
        <v>3.4005107730000006</v>
      </c>
      <c r="F27" s="29">
        <f t="shared" si="9"/>
        <v>0.88398245200000058</v>
      </c>
      <c r="G27" s="71">
        <f t="shared" si="3"/>
        <v>2.8468080054150198</v>
      </c>
      <c r="H27" s="220"/>
      <c r="J27" s="29">
        <f t="shared" ref="J27:AC27" si="21">+J28-J29</f>
        <v>3.4005107730000006</v>
      </c>
      <c r="K27" s="29">
        <f t="shared" ref="K27" si="22">+K28-K29</f>
        <v>6.0941748280000017</v>
      </c>
      <c r="L27" s="29">
        <f t="shared" si="21"/>
        <v>-0.31653274699999989</v>
      </c>
      <c r="M27" s="29">
        <f t="shared" si="21"/>
        <v>-1.4037297080000002</v>
      </c>
      <c r="N27" s="29">
        <f t="shared" si="21"/>
        <v>-0.97340159999999987</v>
      </c>
      <c r="O27" s="29">
        <f t="shared" si="21"/>
        <v>0.88398245200000058</v>
      </c>
      <c r="P27" s="29">
        <f t="shared" si="21"/>
        <v>0.99597177999999997</v>
      </c>
      <c r="Q27" s="29">
        <f t="shared" si="21"/>
        <v>-2.0731538059999997</v>
      </c>
      <c r="R27" s="29">
        <f t="shared" si="21"/>
        <v>3.3419550579999999</v>
      </c>
      <c r="S27" s="29">
        <f t="shared" si="21"/>
        <v>-1.3807905799999998</v>
      </c>
      <c r="T27" s="29">
        <f t="shared" si="21"/>
        <v>-4.0171268370000011</v>
      </c>
      <c r="U27" s="348">
        <f t="shared" si="21"/>
        <v>-0.53146739599999981</v>
      </c>
      <c r="V27" s="348">
        <f t="shared" si="21"/>
        <v>-0.80410659400000029</v>
      </c>
      <c r="W27" s="348">
        <f t="shared" si="21"/>
        <v>-1.0082205270000004</v>
      </c>
      <c r="X27" s="348">
        <f t="shared" si="21"/>
        <v>-1.6733323200000003</v>
      </c>
      <c r="Y27" s="29">
        <f t="shared" si="21"/>
        <v>2.134592511000001</v>
      </c>
      <c r="Z27" s="29">
        <f t="shared" si="21"/>
        <v>3.7365746829999997</v>
      </c>
      <c r="AA27" s="29">
        <f t="shared" si="21"/>
        <v>1.1965875700000002</v>
      </c>
      <c r="AB27" s="29">
        <f t="shared" si="21"/>
        <v>-1.3374574269999997</v>
      </c>
      <c r="AC27" s="29">
        <f t="shared" si="21"/>
        <v>-1.4611123149999998</v>
      </c>
      <c r="AD27" s="737"/>
      <c r="AE27" s="737">
        <f>+SUM([16]실적!$N$31:$P$31)/1000</f>
        <v>-2.0731538059999997</v>
      </c>
      <c r="AF27" s="758">
        <f>+Q27-AE27</f>
        <v>0</v>
      </c>
      <c r="AG27" s="737"/>
      <c r="AH27" s="737"/>
    </row>
    <row r="28" spans="2:34" x14ac:dyDescent="0.3">
      <c r="B28" s="311" t="s">
        <v>1287</v>
      </c>
      <c r="C28" s="311"/>
      <c r="D28" s="40" t="s">
        <v>1326</v>
      </c>
      <c r="E28" s="27">
        <f t="shared" si="8"/>
        <v>12.711181077000001</v>
      </c>
      <c r="F28" s="27">
        <f t="shared" si="9"/>
        <v>7.9327293770000002</v>
      </c>
      <c r="G28" s="67">
        <f t="shared" si="3"/>
        <v>0.60237170246278038</v>
      </c>
      <c r="H28" s="33"/>
      <c r="J28" s="27">
        <f t="shared" si="18"/>
        <v>12.711181077000001</v>
      </c>
      <c r="K28" s="27">
        <v>8.7238049280000016</v>
      </c>
      <c r="L28" s="27">
        <v>1.3509088740000001</v>
      </c>
      <c r="M28" s="27">
        <v>1.162069604</v>
      </c>
      <c r="N28" s="27">
        <v>1.4743976710000002</v>
      </c>
      <c r="O28" s="27">
        <f t="shared" ref="O28:O29" si="23">SUM(P28:S28)</f>
        <v>7.9327293770000002</v>
      </c>
      <c r="P28" s="27">
        <v>1.072700303</v>
      </c>
      <c r="Q28" s="27">
        <v>1.796642004</v>
      </c>
      <c r="R28" s="27">
        <v>4.3399645849999997</v>
      </c>
      <c r="S28" s="27">
        <v>0.72342248500000006</v>
      </c>
      <c r="T28" s="27">
        <f t="shared" si="10"/>
        <v>6.0782987379999991</v>
      </c>
      <c r="U28" s="27">
        <v>1.1216140590000001</v>
      </c>
      <c r="V28" s="27">
        <v>2.6563930539999996</v>
      </c>
      <c r="W28" s="27">
        <v>1.2214277179999999</v>
      </c>
      <c r="X28" s="27">
        <v>1.0788639069999999</v>
      </c>
      <c r="Y28" s="27">
        <f t="shared" ref="Y28:Y29" si="24">SUM(Z28:AC28)</f>
        <v>6.5871176790000003</v>
      </c>
      <c r="Z28" s="27">
        <v>2.4483537829999995</v>
      </c>
      <c r="AA28" s="27">
        <v>1.6025223340000001</v>
      </c>
      <c r="AB28" s="27">
        <v>1.2106016650000002</v>
      </c>
      <c r="AC28" s="27">
        <v>1.3256398969999998</v>
      </c>
      <c r="AD28" s="369"/>
      <c r="AE28" s="369"/>
      <c r="AF28" s="369"/>
      <c r="AG28" s="369"/>
      <c r="AH28" s="369"/>
    </row>
    <row r="29" spans="2:34" x14ac:dyDescent="0.3">
      <c r="B29" s="379" t="s">
        <v>1288</v>
      </c>
      <c r="C29" s="379"/>
      <c r="D29" s="131" t="s">
        <v>1327</v>
      </c>
      <c r="E29" s="28">
        <f t="shared" si="8"/>
        <v>9.3106703040000003</v>
      </c>
      <c r="F29" s="28">
        <f t="shared" si="9"/>
        <v>7.0487469249999997</v>
      </c>
      <c r="G29" s="72">
        <f t="shared" si="3"/>
        <v>0.32089723224103417</v>
      </c>
      <c r="H29" s="33"/>
      <c r="J29" s="28">
        <f t="shared" si="18"/>
        <v>9.3106703040000003</v>
      </c>
      <c r="K29" s="28">
        <v>2.6296301000000004</v>
      </c>
      <c r="L29" s="28">
        <v>1.667441621</v>
      </c>
      <c r="M29" s="28">
        <v>2.5657993120000002</v>
      </c>
      <c r="N29" s="28">
        <v>2.4477992710000001</v>
      </c>
      <c r="O29" s="28">
        <f t="shared" si="23"/>
        <v>7.0487469249999997</v>
      </c>
      <c r="P29" s="28">
        <v>7.6728522999999993E-2</v>
      </c>
      <c r="Q29" s="28">
        <v>3.8697958099999998</v>
      </c>
      <c r="R29" s="28">
        <v>0.99800952700000001</v>
      </c>
      <c r="S29" s="28">
        <v>2.1042130649999997</v>
      </c>
      <c r="T29" s="28">
        <f t="shared" si="10"/>
        <v>10.095425575</v>
      </c>
      <c r="U29" s="28">
        <v>1.6530814549999999</v>
      </c>
      <c r="V29" s="28">
        <v>3.4604996479999999</v>
      </c>
      <c r="W29" s="28">
        <v>2.2296482450000004</v>
      </c>
      <c r="X29" s="28">
        <v>2.7521962270000002</v>
      </c>
      <c r="Y29" s="28">
        <f t="shared" si="24"/>
        <v>4.4525251679999993</v>
      </c>
      <c r="Z29" s="28">
        <v>-1.2882209000000002</v>
      </c>
      <c r="AA29" s="28">
        <v>0.405934764</v>
      </c>
      <c r="AB29" s="28">
        <v>2.5480590919999999</v>
      </c>
      <c r="AC29" s="28">
        <v>2.7867522119999997</v>
      </c>
      <c r="AD29" s="369"/>
      <c r="AE29" s="369"/>
      <c r="AF29" s="369"/>
      <c r="AG29" s="369"/>
      <c r="AH29" s="369"/>
    </row>
    <row r="30" spans="2:34" s="112" customFormat="1" x14ac:dyDescent="0.3">
      <c r="B30" s="378" t="s">
        <v>1923</v>
      </c>
      <c r="C30" s="378"/>
      <c r="D30" s="110" t="s">
        <v>1325</v>
      </c>
      <c r="E30" s="29">
        <f t="shared" si="8"/>
        <v>9.4527833877399985</v>
      </c>
      <c r="F30" s="29">
        <f t="shared" si="9"/>
        <v>7.3020986060000004</v>
      </c>
      <c r="G30" s="71">
        <f t="shared" si="3"/>
        <v>0.29452968218928466</v>
      </c>
      <c r="H30" s="220"/>
      <c r="J30" s="29">
        <f t="shared" ref="J30" si="25">SUM(K30:N30)</f>
        <v>9.4527833877399985</v>
      </c>
      <c r="K30" s="29">
        <v>5.7677115846929983</v>
      </c>
      <c r="L30" s="29">
        <v>3.1671167480000002</v>
      </c>
      <c r="M30" s="29">
        <v>0.41680114304699989</v>
      </c>
      <c r="N30" s="29">
        <v>0.10115391200000005</v>
      </c>
      <c r="O30" s="29">
        <f t="shared" ref="O30" si="26">SUM(P30:S30)</f>
        <v>7.3020986060000004</v>
      </c>
      <c r="P30" s="29">
        <v>-0.79608151599999954</v>
      </c>
      <c r="Q30" s="29">
        <f>0.948029486-0.007</f>
        <v>0.94102948600000003</v>
      </c>
      <c r="R30" s="29">
        <v>2.8587535720000004</v>
      </c>
      <c r="S30" s="783">
        <v>4.2983970639999995</v>
      </c>
      <c r="T30" s="29">
        <f t="shared" ref="T30" si="27">SUM(U30:X30)</f>
        <v>2.2134374830000021</v>
      </c>
      <c r="U30" s="348">
        <f>[18]연결!$K$17/10</f>
        <v>-47.277285889999995</v>
      </c>
      <c r="V30" s="348">
        <f>+[18]연결!$I$17/10</f>
        <v>37.780914441999997</v>
      </c>
      <c r="W30" s="348">
        <f>+[18]연결!$G$17/10</f>
        <v>9.019616525</v>
      </c>
      <c r="X30" s="348">
        <f>+[18]연결!$F$17/10</f>
        <v>2.690192406</v>
      </c>
      <c r="AD30" s="737"/>
      <c r="AE30" s="737">
        <f>+'[19]연결 (소급)'!$I$17/10</f>
        <v>0.94802948699999945</v>
      </c>
      <c r="AF30" s="758">
        <f>+Q30-AE30</f>
        <v>-7.0000009999994228E-3</v>
      </c>
      <c r="AG30" s="737"/>
      <c r="AH30" s="737"/>
    </row>
    <row r="31" spans="2:34" s="141" customFormat="1" x14ac:dyDescent="0.3">
      <c r="B31" s="520" t="s">
        <v>1924</v>
      </c>
      <c r="C31" s="68"/>
      <c r="D31" s="68"/>
      <c r="E31" s="193"/>
      <c r="F31" s="193"/>
      <c r="G31" s="194"/>
      <c r="H31" s="194"/>
      <c r="J31" s="193"/>
      <c r="K31" s="193"/>
      <c r="L31" s="193"/>
      <c r="M31" s="193"/>
      <c r="N31" s="193"/>
      <c r="O31" s="193"/>
      <c r="P31" s="193"/>
      <c r="Q31" s="193"/>
      <c r="R31" s="193"/>
      <c r="S31" s="193"/>
      <c r="T31" s="193"/>
      <c r="U31" s="193"/>
      <c r="V31" s="193"/>
      <c r="W31" s="193"/>
      <c r="X31" s="356" t="s">
        <v>1883</v>
      </c>
      <c r="AD31" s="369"/>
      <c r="AE31" s="369"/>
      <c r="AF31" s="369"/>
      <c r="AG31" s="369"/>
      <c r="AH31" s="369"/>
    </row>
    <row r="32" spans="2:34" x14ac:dyDescent="0.3">
      <c r="E32" s="32"/>
      <c r="F32" s="32"/>
      <c r="G32" s="33"/>
      <c r="H32" s="33"/>
      <c r="AD32" s="369"/>
      <c r="AE32" s="369"/>
      <c r="AF32" s="369"/>
      <c r="AG32" s="369"/>
      <c r="AH32" s="369"/>
    </row>
    <row r="33" spans="5:41" x14ac:dyDescent="0.3">
      <c r="E33" s="32"/>
      <c r="F33" s="32"/>
      <c r="G33" s="33"/>
      <c r="H33" s="33"/>
      <c r="O33" s="55"/>
      <c r="P33" s="55"/>
      <c r="AD33" s="369"/>
      <c r="AE33" s="369"/>
      <c r="AF33" s="369"/>
      <c r="AG33" s="369"/>
      <c r="AH33" s="369"/>
    </row>
    <row r="34" spans="5:41" x14ac:dyDescent="0.3">
      <c r="E34" s="32"/>
      <c r="F34" s="32"/>
      <c r="G34" s="33"/>
      <c r="H34" s="33"/>
      <c r="R34" s="129"/>
      <c r="V34" s="129"/>
      <c r="AD34" s="369"/>
      <c r="AE34" s="369"/>
      <c r="AF34" s="369"/>
      <c r="AG34" s="369"/>
      <c r="AH34" s="369"/>
    </row>
    <row r="35" spans="5:41" x14ac:dyDescent="0.3">
      <c r="E35" s="32"/>
      <c r="F35" s="32"/>
      <c r="G35" s="33"/>
      <c r="H35" s="33"/>
      <c r="AD35" s="369"/>
      <c r="AE35" s="369"/>
      <c r="AF35" s="369"/>
      <c r="AG35" s="369"/>
      <c r="AH35" s="369"/>
    </row>
    <row r="36" spans="5:41" x14ac:dyDescent="0.3">
      <c r="E36" s="104"/>
      <c r="F36" s="747"/>
      <c r="G36" s="368"/>
      <c r="H36" s="368"/>
      <c r="Q36" s="129"/>
      <c r="R36" s="129"/>
      <c r="S36" s="129"/>
      <c r="AD36" s="369"/>
      <c r="AE36" s="369"/>
      <c r="AF36" s="369"/>
      <c r="AG36" s="369"/>
      <c r="AH36" s="369"/>
    </row>
    <row r="37" spans="5:41" x14ac:dyDescent="0.3">
      <c r="E37" s="104"/>
      <c r="F37" s="33"/>
      <c r="G37" s="368"/>
      <c r="H37" s="368"/>
      <c r="AD37" s="369"/>
      <c r="AE37" s="369"/>
      <c r="AF37" s="369"/>
      <c r="AG37" s="369"/>
      <c r="AH37" s="369"/>
    </row>
    <row r="38" spans="5:41" s="112" customFormat="1" x14ac:dyDescent="0.3">
      <c r="E38" s="380"/>
      <c r="F38" s="58"/>
      <c r="G38" s="220"/>
      <c r="H38" s="220"/>
      <c r="S38" s="527"/>
    </row>
    <row r="39" spans="5:41" x14ac:dyDescent="0.3">
      <c r="E39" s="104"/>
      <c r="F39" s="32"/>
      <c r="G39" s="33"/>
      <c r="H39" s="33"/>
      <c r="Q39" s="748"/>
    </row>
    <row r="40" spans="5:41" x14ac:dyDescent="0.3">
      <c r="E40" s="104"/>
      <c r="F40" s="32"/>
      <c r="G40" s="33"/>
      <c r="H40" s="33"/>
      <c r="Q40" s="749"/>
    </row>
    <row r="41" spans="5:41" s="112" customFormat="1" x14ac:dyDescent="0.3">
      <c r="E41" s="381"/>
      <c r="F41" s="58"/>
      <c r="G41" s="220"/>
      <c r="H41" s="220"/>
    </row>
    <row r="42" spans="5:41" s="40" customFormat="1" x14ac:dyDescent="0.3">
      <c r="E42" s="33"/>
      <c r="F42" s="33"/>
      <c r="S42" s="493"/>
      <c r="T42" s="493"/>
      <c r="U42" s="493"/>
      <c r="V42" s="493"/>
      <c r="W42" s="493"/>
      <c r="X42" s="493"/>
      <c r="Y42" s="493"/>
      <c r="Z42" s="493"/>
      <c r="AA42" s="493"/>
      <c r="AD42" s="493"/>
      <c r="AE42" s="493"/>
      <c r="AF42" s="493"/>
      <c r="AG42" s="493"/>
      <c r="AH42" s="493"/>
      <c r="AI42" s="493"/>
      <c r="AJ42" s="493"/>
      <c r="AK42" s="493"/>
      <c r="AL42" s="493"/>
      <c r="AM42" s="493"/>
      <c r="AN42" s="493"/>
      <c r="AO42" s="493"/>
    </row>
    <row r="43" spans="5:41" x14ac:dyDescent="0.3">
      <c r="E43" s="40"/>
      <c r="F43" s="40"/>
      <c r="G43" s="40"/>
      <c r="H43" s="40"/>
    </row>
    <row r="44" spans="5:41" s="36" customFormat="1" x14ac:dyDescent="0.3">
      <c r="E44" s="812"/>
      <c r="F44" s="812"/>
      <c r="G44" s="851"/>
      <c r="H44" s="812"/>
    </row>
    <row r="45" spans="5:41" s="36" customFormat="1" x14ac:dyDescent="0.3">
      <c r="E45" s="812"/>
      <c r="F45" s="812"/>
      <c r="G45" s="851"/>
      <c r="H45" s="812"/>
    </row>
    <row r="46" spans="5:41" s="112" customFormat="1" x14ac:dyDescent="0.3">
      <c r="E46" s="58"/>
      <c r="F46" s="58"/>
      <c r="G46" s="220"/>
      <c r="H46" s="220"/>
    </row>
    <row r="47" spans="5:41" s="40" customFormat="1" x14ac:dyDescent="0.3">
      <c r="E47" s="32"/>
      <c r="F47" s="32"/>
      <c r="G47" s="33"/>
      <c r="H47" s="33"/>
    </row>
    <row r="48" spans="5:41" s="40" customFormat="1" x14ac:dyDescent="0.3">
      <c r="E48" s="32"/>
      <c r="F48" s="32"/>
      <c r="G48" s="33"/>
      <c r="H48" s="33"/>
    </row>
    <row r="49" spans="5:8" s="40" customFormat="1" x14ac:dyDescent="0.3">
      <c r="E49" s="32"/>
      <c r="F49" s="32"/>
      <c r="G49" s="33"/>
      <c r="H49" s="33"/>
    </row>
    <row r="50" spans="5:8" s="40" customFormat="1" x14ac:dyDescent="0.3">
      <c r="E50" s="32"/>
      <c r="F50" s="32"/>
      <c r="G50" s="33"/>
      <c r="H50" s="33"/>
    </row>
    <row r="51" spans="5:8" s="112" customFormat="1" x14ac:dyDescent="0.3">
      <c r="E51" s="58"/>
      <c r="F51" s="58"/>
      <c r="G51" s="220"/>
      <c r="H51" s="220"/>
    </row>
    <row r="52" spans="5:8" x14ac:dyDescent="0.3">
      <c r="E52" s="32"/>
      <c r="F52" s="32"/>
      <c r="G52" s="33"/>
      <c r="H52" s="33"/>
    </row>
    <row r="53" spans="5:8" x14ac:dyDescent="0.3">
      <c r="E53" s="33"/>
      <c r="F53" s="33"/>
      <c r="G53" s="33"/>
      <c r="H53" s="33"/>
    </row>
    <row r="54" spans="5:8" x14ac:dyDescent="0.3">
      <c r="E54" s="33"/>
      <c r="F54" s="33"/>
      <c r="G54" s="33"/>
      <c r="H54" s="33"/>
    </row>
    <row r="55" spans="5:8" s="112" customFormat="1" x14ac:dyDescent="0.3">
      <c r="E55" s="58"/>
      <c r="F55" s="58"/>
      <c r="G55" s="220"/>
      <c r="H55" s="220"/>
    </row>
    <row r="56" spans="5:8" s="112" customFormat="1" x14ac:dyDescent="0.3">
      <c r="E56" s="58"/>
      <c r="F56" s="58"/>
      <c r="G56" s="220"/>
      <c r="H56" s="220"/>
    </row>
    <row r="57" spans="5:8" s="112" customFormat="1" x14ac:dyDescent="0.3">
      <c r="E57" s="58"/>
      <c r="F57" s="58"/>
      <c r="G57" s="220"/>
      <c r="H57" s="220"/>
    </row>
    <row r="58" spans="5:8" x14ac:dyDescent="0.3">
      <c r="E58" s="40"/>
      <c r="F58" s="40"/>
      <c r="G58" s="40"/>
      <c r="H58" s="40"/>
    </row>
    <row r="59" spans="5:8" x14ac:dyDescent="0.3">
      <c r="E59" s="33"/>
      <c r="F59" s="33"/>
      <c r="G59" s="74"/>
      <c r="H59" s="74"/>
    </row>
    <row r="60" spans="5:8" x14ac:dyDescent="0.3">
      <c r="E60" s="33"/>
      <c r="F60" s="33"/>
      <c r="G60" s="33"/>
      <c r="H60" s="33"/>
    </row>
    <row r="61" spans="5:8" x14ac:dyDescent="0.3">
      <c r="E61" s="40"/>
      <c r="F61" s="40"/>
      <c r="G61" s="40"/>
      <c r="H61" s="40"/>
    </row>
    <row r="62" spans="5:8" x14ac:dyDescent="0.3">
      <c r="E62" s="40"/>
      <c r="F62" s="40"/>
      <c r="G62" s="40"/>
      <c r="H62" s="40"/>
    </row>
    <row r="63" spans="5:8" x14ac:dyDescent="0.3">
      <c r="E63" s="40"/>
      <c r="F63" s="40"/>
      <c r="G63" s="40"/>
      <c r="H63" s="40"/>
    </row>
    <row r="64" spans="5:8" x14ac:dyDescent="0.3">
      <c r="E64" s="40"/>
      <c r="F64" s="40"/>
      <c r="G64" s="40"/>
      <c r="H64" s="40"/>
    </row>
    <row r="65" spans="5:8" x14ac:dyDescent="0.3">
      <c r="E65" s="40"/>
      <c r="F65" s="40"/>
      <c r="G65" s="40"/>
      <c r="H65" s="40"/>
    </row>
    <row r="66" spans="5:8" x14ac:dyDescent="0.3">
      <c r="E66" s="40"/>
      <c r="F66" s="40"/>
      <c r="G66" s="40"/>
      <c r="H66" s="40"/>
    </row>
    <row r="67" spans="5:8" x14ac:dyDescent="0.3">
      <c r="E67" s="40"/>
      <c r="F67" s="40"/>
      <c r="G67" s="40"/>
      <c r="H67" s="40"/>
    </row>
    <row r="68" spans="5:8" x14ac:dyDescent="0.3">
      <c r="E68" s="40"/>
      <c r="F68" s="40"/>
      <c r="G68" s="40"/>
      <c r="H68" s="40"/>
    </row>
    <row r="69" spans="5:8" x14ac:dyDescent="0.3">
      <c r="E69" s="40"/>
      <c r="F69" s="40"/>
      <c r="G69" s="40"/>
      <c r="H69" s="40"/>
    </row>
  </sheetData>
  <mergeCells count="6">
    <mergeCell ref="Y4:AC4"/>
    <mergeCell ref="G44:G45"/>
    <mergeCell ref="G4:G5"/>
    <mergeCell ref="L4:N4"/>
    <mergeCell ref="T4:X4"/>
    <mergeCell ref="O4:S4"/>
  </mergeCells>
  <phoneticPr fontId="1" type="noConversion"/>
  <pageMargins left="0.23622047244094491" right="0.23622047244094491" top="0.78740157480314965" bottom="0.23622047244094491" header="0.31496062992125984" footer="0.31496062992125984"/>
  <pageSetup paperSize="9"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R50"/>
  <sheetViews>
    <sheetView showGridLines="0" view="pageBreakPreview" zoomScale="85" zoomScaleNormal="110" zoomScaleSheetLayoutView="85" workbookViewId="0">
      <selection activeCell="F65" sqref="F65"/>
    </sheetView>
  </sheetViews>
  <sheetFormatPr defaultRowHeight="15" outlineLevelCol="3" x14ac:dyDescent="0.3"/>
  <cols>
    <col min="1" max="1" width="5.875" style="468" customWidth="1"/>
    <col min="2" max="2" width="1.625" style="468" customWidth="1"/>
    <col min="3" max="3" width="19.75" style="468" customWidth="1"/>
    <col min="4" max="4" width="28.75" style="468" bestFit="1" customWidth="1"/>
    <col min="5" max="6" width="10.75" style="468" bestFit="1" customWidth="1"/>
    <col min="7" max="7" width="10.125" style="468" bestFit="1" customWidth="1"/>
    <col min="8" max="9" width="1.625" style="468" customWidth="1"/>
    <col min="10" max="19" width="9" style="468" hidden="1" customWidth="1" outlineLevel="2"/>
    <col min="20" max="29" width="9" style="468" hidden="1" customWidth="1" outlineLevel="3"/>
    <col min="30" max="30" width="11.25" style="468" hidden="1" customWidth="1" outlineLevel="1"/>
    <col min="31" max="31" width="9" style="468" collapsed="1"/>
    <col min="32" max="32" width="13.625" style="468" bestFit="1" customWidth="1"/>
    <col min="33" max="33" width="9" style="468"/>
    <col min="34" max="34" width="9.75" style="468" bestFit="1" customWidth="1"/>
    <col min="35" max="35" width="9" style="468"/>
    <col min="36" max="36" width="9" style="468" customWidth="1"/>
    <col min="37" max="38" width="9" style="468"/>
    <col min="39" max="39" width="9.5" style="468" bestFit="1" customWidth="1"/>
    <col min="40" max="16384" width="9" style="468"/>
  </cols>
  <sheetData>
    <row r="1" spans="2:44" x14ac:dyDescent="0.3">
      <c r="B1" s="374" t="s">
        <v>1361</v>
      </c>
      <c r="D1" s="468" t="s">
        <v>1748</v>
      </c>
    </row>
    <row r="2" spans="2:44" x14ac:dyDescent="0.3">
      <c r="B2" s="468" t="s">
        <v>18</v>
      </c>
      <c r="D2" s="553"/>
    </row>
    <row r="3" spans="2:44" x14ac:dyDescent="0.3">
      <c r="C3" s="553"/>
      <c r="D3" s="553"/>
    </row>
    <row r="4" spans="2:44" x14ac:dyDescent="0.3">
      <c r="C4" s="559"/>
      <c r="D4" s="559"/>
    </row>
    <row r="5" spans="2:44" ht="16.5" customHeight="1" x14ac:dyDescent="0.3">
      <c r="C5" s="383" t="s">
        <v>1698</v>
      </c>
      <c r="D5" s="383" t="s">
        <v>1309</v>
      </c>
      <c r="E5" s="816">
        <v>2025</v>
      </c>
      <c r="F5" s="816">
        <v>2024</v>
      </c>
      <c r="G5" s="852" t="s">
        <v>32</v>
      </c>
      <c r="H5" s="566"/>
      <c r="I5" s="311"/>
      <c r="J5" s="511"/>
      <c r="K5" s="511"/>
      <c r="L5" s="667">
        <v>2025</v>
      </c>
      <c r="M5" s="667"/>
      <c r="N5" s="567"/>
      <c r="O5" s="854">
        <v>2024</v>
      </c>
      <c r="P5" s="854"/>
      <c r="Q5" s="854"/>
      <c r="R5" s="854"/>
      <c r="S5" s="855"/>
      <c r="T5" s="856">
        <v>2023</v>
      </c>
      <c r="U5" s="854"/>
      <c r="V5" s="854"/>
      <c r="W5" s="854"/>
      <c r="X5" s="855"/>
      <c r="Y5" s="856">
        <v>2022</v>
      </c>
      <c r="Z5" s="854"/>
      <c r="AA5" s="854"/>
      <c r="AB5" s="854"/>
      <c r="AC5" s="855"/>
      <c r="AD5" s="566"/>
    </row>
    <row r="6" spans="2:44" ht="15" customHeight="1" x14ac:dyDescent="0.3">
      <c r="C6" s="383"/>
      <c r="D6" s="383"/>
      <c r="E6" s="519" t="str">
        <f>J6</f>
        <v>FY</v>
      </c>
      <c r="F6" s="519" t="str">
        <f>O6</f>
        <v>FY</v>
      </c>
      <c r="G6" s="853"/>
      <c r="H6" s="566"/>
      <c r="I6" s="311"/>
      <c r="J6" s="693" t="s">
        <v>1973</v>
      </c>
      <c r="K6" s="693">
        <v>4</v>
      </c>
      <c r="L6" s="693">
        <v>3</v>
      </c>
      <c r="M6" s="693">
        <v>2</v>
      </c>
      <c r="N6" s="693">
        <v>1</v>
      </c>
      <c r="O6" s="815" t="s">
        <v>31</v>
      </c>
      <c r="P6" s="693">
        <v>4</v>
      </c>
      <c r="Q6" s="693">
        <v>3</v>
      </c>
      <c r="R6" s="693">
        <v>2</v>
      </c>
      <c r="S6" s="693">
        <v>1</v>
      </c>
      <c r="T6" s="815" t="s">
        <v>31</v>
      </c>
      <c r="U6" s="815" t="s">
        <v>28</v>
      </c>
      <c r="V6" s="815" t="s">
        <v>30</v>
      </c>
      <c r="W6" s="815" t="s">
        <v>27</v>
      </c>
      <c r="X6" s="816" t="s">
        <v>29</v>
      </c>
      <c r="Y6" s="813" t="s">
        <v>31</v>
      </c>
      <c r="Z6" s="813" t="s">
        <v>28</v>
      </c>
      <c r="AA6" s="813" t="s">
        <v>30</v>
      </c>
      <c r="AB6" s="813" t="s">
        <v>27</v>
      </c>
      <c r="AC6" s="813" t="s">
        <v>29</v>
      </c>
      <c r="AD6" s="566"/>
    </row>
    <row r="7" spans="2:44" s="374" customFormat="1" x14ac:dyDescent="0.3">
      <c r="B7" s="474"/>
      <c r="C7" s="315" t="s">
        <v>1699</v>
      </c>
      <c r="D7" s="629" t="s">
        <v>1599</v>
      </c>
      <c r="E7" s="384">
        <f>N7</f>
        <v>2078.212038826</v>
      </c>
      <c r="F7" s="384">
        <f>S7</f>
        <v>2021.4508246509999</v>
      </c>
      <c r="G7" s="385">
        <f>IFERROR(IF(F7&lt;0, -(E7/F7-1), (E7/F7-1)),0)</f>
        <v>2.8079443478324473E-2</v>
      </c>
      <c r="H7" s="574"/>
      <c r="I7" s="630"/>
      <c r="J7" s="384">
        <v>2078.212038826</v>
      </c>
      <c r="K7" s="384">
        <v>2332.9323932819993</v>
      </c>
      <c r="L7" s="384">
        <v>2185.2269224699994</v>
      </c>
      <c r="M7" s="384">
        <v>2084.7266355959996</v>
      </c>
      <c r="N7" s="384">
        <v>2078.212038826</v>
      </c>
      <c r="O7" s="384">
        <v>2021.4508246509999</v>
      </c>
      <c r="P7" s="384">
        <v>2065.409430918</v>
      </c>
      <c r="Q7" s="384">
        <v>2090.3196775609999</v>
      </c>
      <c r="R7" s="384">
        <v>2092.523565815</v>
      </c>
      <c r="S7" s="384">
        <v>2021.4508246509999</v>
      </c>
      <c r="T7" s="384">
        <v>1979.494577592</v>
      </c>
      <c r="U7" s="384">
        <v>1943.9845330140001</v>
      </c>
      <c r="V7" s="384">
        <v>2094.1540034300001</v>
      </c>
      <c r="W7" s="384">
        <v>2006.8573210479999</v>
      </c>
      <c r="X7" s="384">
        <v>1979.494577592</v>
      </c>
      <c r="Y7" s="384">
        <v>1983.721915549</v>
      </c>
      <c r="Z7" s="384">
        <v>2151.8004705489998</v>
      </c>
      <c r="AA7" s="384">
        <v>2087.3143492139998</v>
      </c>
      <c r="AB7" s="384">
        <v>2019.9653520290001</v>
      </c>
      <c r="AC7" s="399">
        <v>1983.721915549</v>
      </c>
      <c r="AD7" s="631"/>
      <c r="AF7" s="588"/>
      <c r="AK7" s="588"/>
      <c r="AL7" s="587"/>
      <c r="AM7" s="587"/>
      <c r="AP7" s="632"/>
      <c r="AQ7" s="587"/>
      <c r="AR7" s="588"/>
    </row>
    <row r="8" spans="2:44" s="374" customFormat="1" x14ac:dyDescent="0.3">
      <c r="B8" s="474"/>
      <c r="C8" s="386" t="s">
        <v>1700</v>
      </c>
      <c r="D8" s="633" t="s">
        <v>1331</v>
      </c>
      <c r="E8" s="384">
        <f>SUM(E9:E12)</f>
        <v>539.87811534299999</v>
      </c>
      <c r="F8" s="384">
        <f>SUM(F9:F12)</f>
        <v>394.604826468</v>
      </c>
      <c r="G8" s="385">
        <f t="shared" ref="G8:G18" si="0">IFERROR(IF(F8&lt;0, -(E8/F8-1), (E8/F8-1)),0)</f>
        <v>0.36814878868893097</v>
      </c>
      <c r="H8" s="574"/>
      <c r="I8" s="630"/>
      <c r="J8" s="384">
        <v>539.87811534299999</v>
      </c>
      <c r="K8" s="384">
        <v>143.588816796</v>
      </c>
      <c r="L8" s="384">
        <v>151.09432585599998</v>
      </c>
      <c r="M8" s="384">
        <f>+SUM(M9:M12)</f>
        <v>104.15580076000001</v>
      </c>
      <c r="N8" s="384">
        <f t="shared" ref="N8:S8" si="1">+SUM(N9:N12)</f>
        <v>141.039171931</v>
      </c>
      <c r="O8" s="384">
        <f t="shared" si="1"/>
        <v>394.604826468</v>
      </c>
      <c r="P8" s="384">
        <f t="shared" si="1"/>
        <v>120.34869334999999</v>
      </c>
      <c r="Q8" s="384">
        <f t="shared" si="1"/>
        <v>101.867476877</v>
      </c>
      <c r="R8" s="384">
        <f t="shared" si="1"/>
        <v>76.193003499</v>
      </c>
      <c r="S8" s="384">
        <f t="shared" si="1"/>
        <v>96.195652741999993</v>
      </c>
      <c r="T8" s="384">
        <v>291.84618826400003</v>
      </c>
      <c r="U8" s="384">
        <v>80.29447196400001</v>
      </c>
      <c r="V8" s="384">
        <v>85.409988503000008</v>
      </c>
      <c r="W8" s="384">
        <v>68.894470518000006</v>
      </c>
      <c r="X8" s="399">
        <v>57.247257278999996</v>
      </c>
      <c r="Y8" s="384">
        <v>272.318261533</v>
      </c>
      <c r="Z8" s="384">
        <v>56.454253145000003</v>
      </c>
      <c r="AA8" s="384">
        <v>67.901434825999999</v>
      </c>
      <c r="AB8" s="384">
        <v>69.880944769999999</v>
      </c>
      <c r="AC8" s="399">
        <v>78.081628792000004</v>
      </c>
      <c r="AD8" s="632"/>
      <c r="AE8" s="587"/>
      <c r="AM8" s="587"/>
    </row>
    <row r="9" spans="2:44" x14ac:dyDescent="0.3">
      <c r="B9" s="311"/>
      <c r="C9" s="310" t="s">
        <v>1701</v>
      </c>
      <c r="D9" s="634" t="s">
        <v>1332</v>
      </c>
      <c r="E9" s="387">
        <f t="shared" ref="E9:E15" si="2">SUM(K9:N9)</f>
        <v>471.499248588</v>
      </c>
      <c r="F9" s="387">
        <f>SUM(P9:S9)</f>
        <v>341.50019118799997</v>
      </c>
      <c r="G9" s="388">
        <f t="shared" si="0"/>
        <v>0.38067052597471007</v>
      </c>
      <c r="H9" s="579"/>
      <c r="I9" s="635"/>
      <c r="J9" s="387">
        <v>471.499248588</v>
      </c>
      <c r="K9" s="387">
        <v>125.680810925</v>
      </c>
      <c r="L9" s="387">
        <v>129.03723662899998</v>
      </c>
      <c r="M9" s="387">
        <v>91.345472649000001</v>
      </c>
      <c r="N9" s="387">
        <v>125.435728385</v>
      </c>
      <c r="O9" s="387">
        <f>SUM(P9:S9)</f>
        <v>341.50019118799997</v>
      </c>
      <c r="P9" s="387">
        <v>103.891562939</v>
      </c>
      <c r="Q9" s="387">
        <v>89.631877102999994</v>
      </c>
      <c r="R9" s="387">
        <v>63.741161870999996</v>
      </c>
      <c r="S9" s="387">
        <v>84.235589274999995</v>
      </c>
      <c r="T9" s="387">
        <v>279.721415998</v>
      </c>
      <c r="U9" s="387">
        <v>76.71355277100001</v>
      </c>
      <c r="V9" s="387">
        <v>81.291891311000001</v>
      </c>
      <c r="W9" s="387">
        <v>66.472175640000003</v>
      </c>
      <c r="X9" s="401">
        <v>55.243796275999998</v>
      </c>
      <c r="Y9" s="387">
        <v>241.29919465</v>
      </c>
      <c r="Z9" s="387">
        <v>53.210825426</v>
      </c>
      <c r="AA9" s="387">
        <v>62.839092326000006</v>
      </c>
      <c r="AB9" s="387">
        <v>62.786995918999999</v>
      </c>
      <c r="AC9" s="401">
        <v>62.462280978999999</v>
      </c>
      <c r="AD9" s="636"/>
      <c r="AE9" s="636"/>
      <c r="AM9" s="637"/>
    </row>
    <row r="10" spans="2:44" x14ac:dyDescent="0.3">
      <c r="B10" s="311"/>
      <c r="C10" s="310" t="s">
        <v>1702</v>
      </c>
      <c r="D10" s="634" t="s">
        <v>1344</v>
      </c>
      <c r="E10" s="387">
        <f t="shared" si="2"/>
        <v>0.23192137499999999</v>
      </c>
      <c r="F10" s="387">
        <f>SUM(P10:S10)</f>
        <v>0.64306447500000008</v>
      </c>
      <c r="G10" s="388">
        <f t="shared" si="0"/>
        <v>-0.6393497323888091</v>
      </c>
      <c r="H10" s="579"/>
      <c r="I10" s="635"/>
      <c r="J10" s="387">
        <v>0.23192137499999999</v>
      </c>
      <c r="K10" s="387">
        <v>3.7562016000000004E-2</v>
      </c>
      <c r="L10" s="387">
        <v>3.1405817000000003E-2</v>
      </c>
      <c r="M10" s="387">
        <v>0.10404696699999999</v>
      </c>
      <c r="N10" s="387">
        <v>5.8906574999999996E-2</v>
      </c>
      <c r="O10" s="387">
        <f t="shared" ref="O10:O15" si="3">SUM(P10:S10)</f>
        <v>0.64306447500000008</v>
      </c>
      <c r="P10" s="387">
        <v>4.9737348000000001E-2</v>
      </c>
      <c r="Q10" s="387">
        <v>0.22836558400000001</v>
      </c>
      <c r="R10" s="387">
        <v>0.194009021</v>
      </c>
      <c r="S10" s="387">
        <v>0.170952522</v>
      </c>
      <c r="T10" s="387">
        <v>0.20430715400000002</v>
      </c>
      <c r="U10" s="387">
        <v>0</v>
      </c>
      <c r="V10" s="387">
        <v>7.9243644000000002E-2</v>
      </c>
      <c r="W10" s="387">
        <v>0.10252408700000001</v>
      </c>
      <c r="X10" s="401">
        <v>2.2539422999999999E-2</v>
      </c>
      <c r="Y10" s="387">
        <v>2.0526694000000002E-2</v>
      </c>
      <c r="Z10" s="387">
        <v>0</v>
      </c>
      <c r="AA10" s="387">
        <v>0</v>
      </c>
      <c r="AB10" s="387">
        <v>0</v>
      </c>
      <c r="AC10" s="401">
        <v>2.0526694000000002E-2</v>
      </c>
      <c r="AD10" s="638"/>
      <c r="AM10" s="637"/>
    </row>
    <row r="11" spans="2:44" x14ac:dyDescent="0.3">
      <c r="B11" s="311"/>
      <c r="C11" s="310" t="s">
        <v>1703</v>
      </c>
      <c r="D11" s="634" t="s">
        <v>1345</v>
      </c>
      <c r="E11" s="387">
        <f t="shared" si="2"/>
        <v>64.334014147999994</v>
      </c>
      <c r="F11" s="387">
        <f t="shared" ref="F11:F15" si="4">SUM(P11:S11)</f>
        <v>52.461570804999994</v>
      </c>
      <c r="G11" s="388">
        <f t="shared" si="0"/>
        <v>0.22630743153173882</v>
      </c>
      <c r="H11" s="579"/>
      <c r="I11" s="635"/>
      <c r="J11" s="387">
        <v>64.334014147999994</v>
      </c>
      <c r="K11" s="387">
        <v>17.030450531</v>
      </c>
      <c r="L11" s="387">
        <v>20.486036135999999</v>
      </c>
      <c r="M11" s="387">
        <v>11.27299051</v>
      </c>
      <c r="N11" s="387">
        <v>15.544536971000001</v>
      </c>
      <c r="O11" s="387">
        <f t="shared" si="3"/>
        <v>52.461570804999994</v>
      </c>
      <c r="P11" s="387">
        <v>16.407393063000001</v>
      </c>
      <c r="Q11" s="387">
        <v>12.00723419</v>
      </c>
      <c r="R11" s="387">
        <v>12.257832606999999</v>
      </c>
      <c r="S11" s="387">
        <v>11.789110945000001</v>
      </c>
      <c r="T11" s="639">
        <v>11.920465112</v>
      </c>
      <c r="U11" s="639">
        <v>3.5809191930000002</v>
      </c>
      <c r="V11" s="639">
        <v>4.0388535479999996</v>
      </c>
      <c r="W11" s="639">
        <v>2.3197707909999998</v>
      </c>
      <c r="X11" s="402">
        <v>1.98092158</v>
      </c>
      <c r="Y11" s="639">
        <v>30.998540189</v>
      </c>
      <c r="Z11" s="639">
        <v>3.243427719</v>
      </c>
      <c r="AA11" s="639">
        <v>5.0623424999999997</v>
      </c>
      <c r="AB11" s="639">
        <v>7.0939488509999995</v>
      </c>
      <c r="AC11" s="402">
        <v>15.598821119</v>
      </c>
      <c r="AD11" s="638"/>
    </row>
    <row r="12" spans="2:44" x14ac:dyDescent="0.3">
      <c r="B12" s="311"/>
      <c r="C12" s="310" t="s">
        <v>1281</v>
      </c>
      <c r="D12" s="634" t="s">
        <v>132</v>
      </c>
      <c r="E12" s="387">
        <f t="shared" si="2"/>
        <v>3.8129312319999999</v>
      </c>
      <c r="F12" s="387">
        <f t="shared" si="4"/>
        <v>0</v>
      </c>
      <c r="G12" s="389">
        <f t="shared" si="0"/>
        <v>0</v>
      </c>
      <c r="H12" s="579"/>
      <c r="I12" s="635"/>
      <c r="J12" s="639">
        <v>3.8129312319999999</v>
      </c>
      <c r="K12" s="639">
        <v>0.83999332400000004</v>
      </c>
      <c r="L12" s="639">
        <v>1.539647274</v>
      </c>
      <c r="M12" s="639">
        <v>1.433290634</v>
      </c>
      <c r="N12" s="639">
        <v>0</v>
      </c>
      <c r="O12" s="639">
        <v>0</v>
      </c>
      <c r="P12" s="639">
        <v>0</v>
      </c>
      <c r="Q12" s="639">
        <v>0</v>
      </c>
      <c r="R12" s="639">
        <v>0</v>
      </c>
      <c r="S12" s="639">
        <v>0</v>
      </c>
      <c r="T12" s="639"/>
      <c r="U12" s="639"/>
      <c r="V12" s="639"/>
      <c r="W12" s="639"/>
      <c r="X12" s="402"/>
      <c r="Y12" s="639"/>
      <c r="Z12" s="639"/>
      <c r="AA12" s="639"/>
      <c r="AB12" s="639"/>
      <c r="AC12" s="402"/>
      <c r="AD12" s="638"/>
    </row>
    <row r="13" spans="2:44" x14ac:dyDescent="0.3">
      <c r="B13" s="311"/>
      <c r="C13" s="310" t="s">
        <v>779</v>
      </c>
      <c r="D13" s="634" t="s">
        <v>1333</v>
      </c>
      <c r="E13" s="312">
        <f t="shared" si="2"/>
        <v>60.657923332999999</v>
      </c>
      <c r="F13" s="308">
        <f t="shared" si="4"/>
        <v>51.398244942000005</v>
      </c>
      <c r="G13" s="390">
        <f t="shared" si="0"/>
        <v>0.18015553646722782</v>
      </c>
      <c r="H13" s="579"/>
      <c r="I13" s="635"/>
      <c r="J13" s="312">
        <v>60.657923332999999</v>
      </c>
      <c r="K13" s="312">
        <v>15.789384714000001</v>
      </c>
      <c r="L13" s="312">
        <v>15.291674382999998</v>
      </c>
      <c r="M13" s="312">
        <v>14.872392038000001</v>
      </c>
      <c r="N13" s="312">
        <v>14.704472197999999</v>
      </c>
      <c r="O13" s="312">
        <f t="shared" si="3"/>
        <v>51.398244942000005</v>
      </c>
      <c r="P13" s="312">
        <v>13.930687400000002</v>
      </c>
      <c r="Q13" s="312">
        <v>13.135543520000001</v>
      </c>
      <c r="R13" s="312">
        <v>12.508062813</v>
      </c>
      <c r="S13" s="312">
        <v>11.823951208999999</v>
      </c>
      <c r="T13" s="312">
        <v>45.451335620000002</v>
      </c>
      <c r="U13" s="312">
        <v>11.600474188</v>
      </c>
      <c r="V13" s="312">
        <v>11.722313749</v>
      </c>
      <c r="W13" s="312">
        <v>10.528034221</v>
      </c>
      <c r="X13" s="640">
        <v>11.600513462</v>
      </c>
      <c r="Y13" s="308">
        <v>37.030500128999996</v>
      </c>
      <c r="Z13" s="308">
        <v>10.947224983</v>
      </c>
      <c r="AA13" s="308">
        <v>9.9997367060000002</v>
      </c>
      <c r="AB13" s="308">
        <v>8.8037195419999996</v>
      </c>
      <c r="AC13" s="641">
        <v>7.2798188980000003</v>
      </c>
      <c r="AD13" s="642"/>
      <c r="AM13" s="636"/>
    </row>
    <row r="14" spans="2:44" x14ac:dyDescent="0.3">
      <c r="B14" s="311"/>
      <c r="C14" s="310" t="s">
        <v>1704</v>
      </c>
      <c r="D14" s="634" t="s">
        <v>1334</v>
      </c>
      <c r="E14" s="312">
        <f t="shared" si="2"/>
        <v>-414.49350384300004</v>
      </c>
      <c r="F14" s="308">
        <f t="shared" si="4"/>
        <v>-191.5509332809998</v>
      </c>
      <c r="G14" s="390">
        <f t="shared" si="0"/>
        <v>-1.1638814112951867</v>
      </c>
      <c r="H14" s="579"/>
      <c r="I14" s="635"/>
      <c r="J14" s="312">
        <v>-414.49350384300004</v>
      </c>
      <c r="K14" s="312">
        <v>-381.17650743700017</v>
      </c>
      <c r="L14" s="312">
        <v>35.232589511999983</v>
      </c>
      <c r="M14" s="312">
        <v>32.306787823000036</v>
      </c>
      <c r="N14" s="312">
        <v>-100.85637374099991</v>
      </c>
      <c r="O14" s="312">
        <f t="shared" si="3"/>
        <v>-191.5509332809998</v>
      </c>
      <c r="P14" s="312">
        <v>-72.498668412000001</v>
      </c>
      <c r="Q14" s="312">
        <v>-91.896827417999987</v>
      </c>
      <c r="R14" s="312">
        <v>-40.967672314999845</v>
      </c>
      <c r="S14" s="312">
        <v>13.812234864000033</v>
      </c>
      <c r="T14" s="312">
        <v>-97.576282861000195</v>
      </c>
      <c r="U14" s="312">
        <v>34.970119697999962</v>
      </c>
      <c r="V14" s="312">
        <v>-201.33289288900002</v>
      </c>
      <c r="W14" s="312">
        <v>58.257818007999944</v>
      </c>
      <c r="X14" s="640">
        <v>10.52867232199992</v>
      </c>
      <c r="Y14" s="308">
        <v>-99.614959988999885</v>
      </c>
      <c r="Z14" s="308">
        <v>-187.95912802599992</v>
      </c>
      <c r="AA14" s="308">
        <v>41.836136713999906</v>
      </c>
      <c r="AB14" s="308">
        <v>42.667752072999974</v>
      </c>
      <c r="AC14" s="641">
        <v>3.8402792500000373</v>
      </c>
      <c r="AD14" s="642"/>
      <c r="AM14" s="636"/>
    </row>
    <row r="15" spans="2:44" x14ac:dyDescent="0.3">
      <c r="B15" s="311"/>
      <c r="C15" s="310" t="s">
        <v>1705</v>
      </c>
      <c r="D15" s="634" t="s">
        <v>1313</v>
      </c>
      <c r="E15" s="312">
        <f t="shared" si="2"/>
        <v>-205.831483765</v>
      </c>
      <c r="F15" s="308">
        <f t="shared" si="4"/>
        <v>-197.690923954</v>
      </c>
      <c r="G15" s="390">
        <f t="shared" si="0"/>
        <v>-4.1178217230115166E-2</v>
      </c>
      <c r="H15" s="579"/>
      <c r="I15" s="635"/>
      <c r="J15" s="312">
        <v>-205.831483765</v>
      </c>
      <c r="K15" s="312">
        <v>-52.710967308000001</v>
      </c>
      <c r="L15" s="312">
        <v>-53.913118939</v>
      </c>
      <c r="M15" s="312">
        <v>-50.834693746999996</v>
      </c>
      <c r="N15" s="312">
        <v>-48.372703770999998</v>
      </c>
      <c r="O15" s="312">
        <f t="shared" si="3"/>
        <v>-197.690923954</v>
      </c>
      <c r="P15" s="312">
        <v>-48.978104430000002</v>
      </c>
      <c r="Q15" s="312">
        <v>-48.016439622</v>
      </c>
      <c r="R15" s="312">
        <v>-49.937282250999999</v>
      </c>
      <c r="S15" s="312">
        <v>-50.759097650999998</v>
      </c>
      <c r="T15" s="312">
        <v>-197.76499396399998</v>
      </c>
      <c r="U15" s="312">
        <v>-49.398744061000002</v>
      </c>
      <c r="V15" s="312">
        <v>-45.968879778999998</v>
      </c>
      <c r="W15" s="312">
        <v>-50.383640365000005</v>
      </c>
      <c r="X15" s="640">
        <v>-52.013729759</v>
      </c>
      <c r="Y15" s="308">
        <v>-213.96113962999999</v>
      </c>
      <c r="Z15" s="308">
        <v>-51.748243059000004</v>
      </c>
      <c r="AA15" s="308">
        <v>-55.251186910999998</v>
      </c>
      <c r="AB15" s="308">
        <v>-54.003419199999996</v>
      </c>
      <c r="AC15" s="641">
        <v>-52.958290459999994</v>
      </c>
      <c r="AD15" s="642"/>
      <c r="AM15" s="636"/>
    </row>
    <row r="16" spans="2:44" s="374" customFormat="1" x14ac:dyDescent="0.3">
      <c r="B16" s="474"/>
      <c r="C16" s="386" t="s">
        <v>1706</v>
      </c>
      <c r="D16" s="643" t="s">
        <v>1335</v>
      </c>
      <c r="E16" s="391">
        <f>E7+E8+E13+E14+E15</f>
        <v>2058.423089894</v>
      </c>
      <c r="F16" s="392">
        <f>F7+F8+F13+F14+F15</f>
        <v>2078.212038826</v>
      </c>
      <c r="G16" s="393">
        <f t="shared" si="0"/>
        <v>-9.5221029241938648E-3</v>
      </c>
      <c r="H16" s="644"/>
      <c r="I16" s="645"/>
      <c r="J16" s="391">
        <v>2058.4231200469999</v>
      </c>
      <c r="K16" s="391">
        <v>2058.4231200469999</v>
      </c>
      <c r="L16" s="391">
        <v>2332.9323932819993</v>
      </c>
      <c r="M16" s="391">
        <f>M7+M8+M13+M14+M15</f>
        <v>2185.2269224699994</v>
      </c>
      <c r="N16" s="391">
        <f>N7+N8+N13+N14+N15</f>
        <v>2084.7266054430002</v>
      </c>
      <c r="O16" s="391">
        <f>O7+O8+O13+O14+O15</f>
        <v>2078.212038826</v>
      </c>
      <c r="P16" s="391">
        <f>P7+P8+P13+P14+P15</f>
        <v>2078.212038826</v>
      </c>
      <c r="Q16" s="391">
        <f t="shared" ref="Q16:X16" si="5">Q7+Q8+Q13+Q14+Q15</f>
        <v>2065.409430918</v>
      </c>
      <c r="R16" s="391">
        <f t="shared" si="5"/>
        <v>2090.3196775609999</v>
      </c>
      <c r="S16" s="391">
        <f t="shared" si="5"/>
        <v>2092.523565815</v>
      </c>
      <c r="T16" s="391">
        <f t="shared" si="5"/>
        <v>2021.4508246509999</v>
      </c>
      <c r="U16" s="391">
        <f t="shared" si="5"/>
        <v>2021.4508548029999</v>
      </c>
      <c r="V16" s="391">
        <f t="shared" si="5"/>
        <v>1943.9845330140001</v>
      </c>
      <c r="W16" s="391">
        <f t="shared" si="5"/>
        <v>2094.1540034300001</v>
      </c>
      <c r="X16" s="391">
        <f t="shared" si="5"/>
        <v>2006.8572908960004</v>
      </c>
      <c r="Y16" s="392">
        <v>1979.494577592</v>
      </c>
      <c r="Z16" s="392">
        <v>1979.494577592</v>
      </c>
      <c r="AA16" s="392">
        <v>2151.8004705489998</v>
      </c>
      <c r="AB16" s="392">
        <v>2087.3143492139998</v>
      </c>
      <c r="AC16" s="646">
        <v>2019.9653520290001</v>
      </c>
      <c r="AD16" s="647"/>
      <c r="AE16" s="588"/>
      <c r="AM16" s="587"/>
    </row>
    <row r="17" spans="2:44" s="374" customFormat="1" x14ac:dyDescent="0.3">
      <c r="B17" s="474"/>
      <c r="C17" s="386" t="s">
        <v>1707</v>
      </c>
      <c r="D17" s="643" t="s">
        <v>1722</v>
      </c>
      <c r="E17" s="481">
        <f>-E15/SUM(E7,E8,E13,E14)</f>
        <v>9.0904744616405714E-2</v>
      </c>
      <c r="F17" s="481">
        <f>-F15/SUM(F7,F8,F13,F14)</f>
        <v>8.6862633067853592E-2</v>
      </c>
      <c r="G17" s="526">
        <f t="shared" si="0"/>
        <v>4.6534527054856722E-2</v>
      </c>
      <c r="H17" s="644"/>
      <c r="I17" s="648"/>
      <c r="J17" s="481">
        <v>9.0904744616405714E-2</v>
      </c>
      <c r="K17" s="481">
        <v>9.9872324782630154E-2</v>
      </c>
      <c r="L17" s="481">
        <f>-L15/SUM(L7,L8,L13,L14)*4/1</f>
        <v>9.0350412145163012E-2</v>
      </c>
      <c r="M17" s="481">
        <f>-M15/SUM(M7,M8,M13,M14)*4/1</f>
        <v>9.0936123366766333E-2</v>
      </c>
      <c r="N17" s="481">
        <f>-N15/SUM(N7,N8,N13,N14)*4/1</f>
        <v>9.0708770214405571E-2</v>
      </c>
      <c r="O17" s="481">
        <f>-O15/SUM(O7,O8,O13,O14)</f>
        <v>8.6862633067853592E-2</v>
      </c>
      <c r="P17" s="481">
        <f>-P15/SUM(P7,P8,P13,P14)*4</f>
        <v>9.2099156411154279E-2</v>
      </c>
      <c r="Q17" s="481">
        <f>-Q15/SUM(Q7,Q8,Q13,Q14)*4/1</f>
        <v>9.0878871677162465E-2</v>
      </c>
      <c r="R17" s="481">
        <f>-R15/SUM(R7,R8,R13,R14)*4/1</f>
        <v>9.3329507977185117E-2</v>
      </c>
      <c r="S17" s="481">
        <f>-S15/SUM(S7,S8,S13,S14)*4/1</f>
        <v>9.4731504185108548E-2</v>
      </c>
      <c r="T17" s="481">
        <f>+U17</f>
        <v>0.1188197454284694</v>
      </c>
      <c r="U17" s="481">
        <f>-SUM(U15:X15)
/SUM(X7,SUM(U8:X8),SUM(U13:X13),SUM(U14:X14))
*4/3</f>
        <v>0.1188197454284694</v>
      </c>
      <c r="V17" s="481">
        <f>-SUM(V15:X15)
/SUM(X7,SUM(V8:X8),SUM(V13:X13),SUM(V14:X14))
*4/3</f>
        <v>9.4545174261971107E-2</v>
      </c>
      <c r="W17" s="481">
        <f>-SUM(W15:X15)/SUM(X7,SUM(W8:X8),SUM(W13:X13),SUM(W14:X14))*4/2</f>
        <v>9.3234670276732851E-2</v>
      </c>
      <c r="X17" s="481">
        <f>-X15/SUM(X7,X8,X13,X14)*4/1</f>
        <v>0.10105291538360198</v>
      </c>
      <c r="Y17" s="649">
        <f>-Y15/SUM(AC7,Y8,Y13,Y14,Y15)*4/4</f>
        <v>0.10808877278677761</v>
      </c>
      <c r="Z17" s="649">
        <f>-SUM(Z15:AC15)
/SUM(AC7,SUM(Z8:AC8),SUM(Z13:AC13),SUM(Z14:AC14))
*4/3</f>
        <v>0.13006030496388329</v>
      </c>
      <c r="AA17" s="649">
        <f>-SUM(AA15:AC15)/SUM(AC7,AA8:AC8,AA13:AC13,AA14:AC14)*4/3</f>
        <v>9.346698907096268E-2</v>
      </c>
      <c r="AB17" s="649">
        <f>-SUM(AB15:AC15)/SUM(AC7,AB8:AC8,AB13:AC13,AB14:AC14)*4/1</f>
        <v>0.19498314120947524</v>
      </c>
      <c r="AC17" s="650">
        <f>-AC15/SUM(AC7,AC13,AC14)</f>
        <v>2.6547611337828941E-2</v>
      </c>
      <c r="AD17" s="647"/>
      <c r="AE17" s="651"/>
      <c r="AM17" s="587"/>
    </row>
    <row r="18" spans="2:44" s="374" customFormat="1" x14ac:dyDescent="0.3">
      <c r="B18" s="474"/>
      <c r="C18" s="482" t="s">
        <v>1708</v>
      </c>
      <c r="D18" s="652" t="s">
        <v>1336</v>
      </c>
      <c r="E18" s="391">
        <f>E16-E7</f>
        <v>-19.788948932000039</v>
      </c>
      <c r="F18" s="483">
        <f>F16-F7</f>
        <v>56.761214175000077</v>
      </c>
      <c r="G18" s="484">
        <f t="shared" si="0"/>
        <v>-1.3486350533480289</v>
      </c>
      <c r="H18" s="644"/>
      <c r="I18" s="653"/>
      <c r="J18" s="391">
        <v>-19.788918779000142</v>
      </c>
      <c r="K18" s="391">
        <v>-274.50927323499945</v>
      </c>
      <c r="L18" s="391">
        <f>L16-L7</f>
        <v>147.70547081199993</v>
      </c>
      <c r="M18" s="391">
        <f>M16-M7</f>
        <v>100.50028687399981</v>
      </c>
      <c r="N18" s="391">
        <f>N16-N7</f>
        <v>6.5145666170001277</v>
      </c>
      <c r="O18" s="391">
        <f>O16-O7</f>
        <v>56.761214175000077</v>
      </c>
      <c r="P18" s="391">
        <f>P16-P7</f>
        <v>12.802607908000027</v>
      </c>
      <c r="Q18" s="391">
        <f>+Q16-Q7</f>
        <v>-24.910246642999937</v>
      </c>
      <c r="R18" s="391">
        <f>+R16-R7</f>
        <v>-2.2038882540000486</v>
      </c>
      <c r="S18" s="391">
        <f>+S16-S7</f>
        <v>71.072741164000035</v>
      </c>
      <c r="T18" s="391">
        <f>+T16-T7</f>
        <v>41.956247058999907</v>
      </c>
      <c r="U18" s="391">
        <f t="shared" ref="U18:AC18" si="6">+U16-U7</f>
        <v>77.466321788999721</v>
      </c>
      <c r="V18" s="391">
        <f t="shared" si="6"/>
        <v>-150.16947041599997</v>
      </c>
      <c r="W18" s="391">
        <f t="shared" si="6"/>
        <v>87.296682382000199</v>
      </c>
      <c r="X18" s="391">
        <f t="shared" si="6"/>
        <v>27.362713304000408</v>
      </c>
      <c r="Y18" s="483">
        <f t="shared" si="6"/>
        <v>-4.2273379569999179</v>
      </c>
      <c r="Z18" s="483">
        <f t="shared" si="6"/>
        <v>-172.30589295699974</v>
      </c>
      <c r="AA18" s="483">
        <f t="shared" si="6"/>
        <v>64.486121335000007</v>
      </c>
      <c r="AB18" s="483">
        <f t="shared" si="6"/>
        <v>67.348997184999689</v>
      </c>
      <c r="AC18" s="483">
        <f t="shared" si="6"/>
        <v>36.243436480000128</v>
      </c>
      <c r="AD18" s="631"/>
      <c r="AE18" s="587"/>
      <c r="AG18" s="587"/>
      <c r="AH18" s="632"/>
      <c r="AI18" s="587"/>
      <c r="AK18" s="588"/>
      <c r="AO18" s="587"/>
      <c r="AR18" s="587"/>
    </row>
    <row r="19" spans="2:44" x14ac:dyDescent="0.3">
      <c r="C19" s="395" t="s">
        <v>1709</v>
      </c>
      <c r="D19" s="396"/>
      <c r="E19" s="475"/>
      <c r="F19" s="475"/>
      <c r="G19" s="396"/>
      <c r="H19" s="396"/>
      <c r="I19" s="396"/>
      <c r="J19" s="657">
        <f>J16/J7-1</f>
        <v>-9.522088415087393E-3</v>
      </c>
      <c r="K19" s="654"/>
      <c r="L19" s="654"/>
      <c r="M19" s="654"/>
      <c r="N19" s="654"/>
      <c r="O19" s="654"/>
      <c r="P19" s="654"/>
      <c r="Q19" s="654"/>
      <c r="R19" s="654"/>
      <c r="S19" s="654"/>
      <c r="T19" s="654"/>
      <c r="U19" s="396"/>
      <c r="V19" s="655"/>
      <c r="W19" s="655"/>
      <c r="X19" s="654"/>
      <c r="Y19" s="655"/>
      <c r="Z19" s="655"/>
      <c r="AA19" s="655"/>
      <c r="AB19" s="655"/>
      <c r="AC19" s="655"/>
      <c r="AD19" s="656"/>
    </row>
    <row r="20" spans="2:44" x14ac:dyDescent="0.3">
      <c r="C20" s="395" t="s">
        <v>1683</v>
      </c>
      <c r="D20" s="396"/>
      <c r="S20" s="396"/>
      <c r="T20" s="657"/>
      <c r="U20" s="396"/>
      <c r="V20" s="655"/>
      <c r="W20" s="655"/>
      <c r="X20" s="655"/>
      <c r="Y20" s="655"/>
      <c r="Z20" s="655"/>
      <c r="AA20" s="655"/>
      <c r="AB20" s="655"/>
      <c r="AC20" s="655"/>
      <c r="AD20" s="656"/>
    </row>
    <row r="21" spans="2:44" x14ac:dyDescent="0.3">
      <c r="C21" s="395" t="s">
        <v>1960</v>
      </c>
      <c r="D21" s="396"/>
      <c r="S21" s="396"/>
      <c r="T21" s="396"/>
      <c r="U21" s="396"/>
      <c r="V21" s="655"/>
      <c r="W21" s="655"/>
      <c r="X21" s="655"/>
      <c r="Y21" s="655"/>
      <c r="Z21" s="655"/>
      <c r="AA21" s="655"/>
      <c r="AB21" s="655"/>
      <c r="AC21" s="655"/>
      <c r="AD21" s="656"/>
    </row>
    <row r="22" spans="2:44" x14ac:dyDescent="0.3">
      <c r="C22" s="395" t="s">
        <v>1961</v>
      </c>
      <c r="D22" s="396"/>
      <c r="S22" s="396"/>
      <c r="T22" s="396"/>
      <c r="U22" s="396"/>
      <c r="V22" s="655"/>
      <c r="W22" s="655"/>
      <c r="X22" s="655"/>
      <c r="Y22" s="655"/>
      <c r="Z22" s="655"/>
      <c r="AA22" s="655"/>
      <c r="AB22" s="655"/>
      <c r="AC22" s="655"/>
      <c r="AD22" s="656"/>
    </row>
    <row r="23" spans="2:44" x14ac:dyDescent="0.3">
      <c r="C23" s="395"/>
      <c r="D23" s="396"/>
      <c r="S23" s="396"/>
      <c r="T23" s="396"/>
      <c r="U23" s="396"/>
      <c r="V23" s="655"/>
      <c r="W23" s="655"/>
      <c r="X23" s="655"/>
      <c r="Y23" s="655"/>
      <c r="Z23" s="655"/>
      <c r="AA23" s="655"/>
      <c r="AB23" s="655"/>
      <c r="AC23" s="655"/>
      <c r="AD23" s="656"/>
    </row>
    <row r="24" spans="2:44" x14ac:dyDescent="0.3">
      <c r="C24" s="658"/>
      <c r="D24" s="658"/>
      <c r="O24" s="403">
        <f>E27/P27-1</f>
        <v>-9.5221027860367125E-3</v>
      </c>
    </row>
    <row r="25" spans="2:44" ht="16.5" customHeight="1" x14ac:dyDescent="0.3">
      <c r="B25" s="311"/>
      <c r="C25" s="397" t="s">
        <v>1710</v>
      </c>
      <c r="D25" s="659" t="s">
        <v>1552</v>
      </c>
      <c r="E25" s="816">
        <f>E5</f>
        <v>2025</v>
      </c>
      <c r="F25" s="816">
        <f>F5</f>
        <v>2024</v>
      </c>
      <c r="G25" s="852" t="s">
        <v>32</v>
      </c>
      <c r="H25" s="566"/>
      <c r="J25" s="511"/>
      <c r="K25" s="511"/>
      <c r="L25" s="667">
        <v>2025</v>
      </c>
      <c r="M25" s="667"/>
      <c r="N25" s="567"/>
      <c r="O25" s="854">
        <v>2024</v>
      </c>
      <c r="P25" s="854"/>
      <c r="Q25" s="854"/>
      <c r="R25" s="854"/>
      <c r="S25" s="855"/>
      <c r="T25" s="856">
        <v>2023</v>
      </c>
      <c r="U25" s="854"/>
      <c r="V25" s="854"/>
      <c r="W25" s="854"/>
      <c r="X25" s="855"/>
      <c r="Y25" s="856">
        <v>2022</v>
      </c>
      <c r="Z25" s="854"/>
      <c r="AA25" s="854"/>
      <c r="AB25" s="854"/>
      <c r="AC25" s="855"/>
      <c r="AD25" s="566"/>
    </row>
    <row r="26" spans="2:44" x14ac:dyDescent="0.3">
      <c r="B26" s="311"/>
      <c r="C26" s="398"/>
      <c r="D26" s="660"/>
      <c r="E26" s="519" t="str">
        <f>E6</f>
        <v>FY</v>
      </c>
      <c r="F26" s="519" t="str">
        <f>F6</f>
        <v>FY</v>
      </c>
      <c r="G26" s="853"/>
      <c r="H26" s="566"/>
      <c r="J26" s="815" t="s">
        <v>31</v>
      </c>
      <c r="K26" s="815" t="s">
        <v>28</v>
      </c>
      <c r="L26" s="815" t="s">
        <v>30</v>
      </c>
      <c r="M26" s="815" t="s">
        <v>27</v>
      </c>
      <c r="N26" s="815" t="s">
        <v>29</v>
      </c>
      <c r="O26" s="815" t="s">
        <v>31</v>
      </c>
      <c r="P26" s="815" t="s">
        <v>28</v>
      </c>
      <c r="Q26" s="815" t="s">
        <v>30</v>
      </c>
      <c r="R26" s="815" t="s">
        <v>27</v>
      </c>
      <c r="S26" s="815" t="s">
        <v>29</v>
      </c>
      <c r="T26" s="815" t="s">
        <v>31</v>
      </c>
      <c r="U26" s="815" t="s">
        <v>28</v>
      </c>
      <c r="V26" s="815" t="s">
        <v>30</v>
      </c>
      <c r="W26" s="818" t="s">
        <v>27</v>
      </c>
      <c r="X26" s="813" t="s">
        <v>29</v>
      </c>
      <c r="Y26" s="813" t="s">
        <v>31</v>
      </c>
      <c r="Z26" s="818" t="s">
        <v>1680</v>
      </c>
      <c r="AA26" s="815" t="s">
        <v>30</v>
      </c>
      <c r="AB26" s="813" t="s">
        <v>1555</v>
      </c>
      <c r="AC26" s="813" t="s">
        <v>29</v>
      </c>
      <c r="AD26" s="566"/>
      <c r="AL26" s="403"/>
    </row>
    <row r="27" spans="2:44" s="374" customFormat="1" x14ac:dyDescent="0.3">
      <c r="B27" s="474"/>
      <c r="C27" s="386" t="s">
        <v>1975</v>
      </c>
      <c r="D27" s="386" t="s">
        <v>1330</v>
      </c>
      <c r="E27" s="399">
        <f>K27</f>
        <v>2058.4231200469999</v>
      </c>
      <c r="F27" s="399">
        <f>SUM(F28:F33)</f>
        <v>2078.2120689789999</v>
      </c>
      <c r="G27" s="400">
        <f t="shared" ref="G27:G33" si="7">IFERROR(IF(F27&lt;0, -(E27/F27-1), (E27/F27-1)),0)</f>
        <v>-9.5221027860367125E-3</v>
      </c>
      <c r="H27" s="574"/>
      <c r="J27" s="384">
        <f t="shared" ref="J27" si="8">SUM(J28:J33)</f>
        <v>2058.4231200469999</v>
      </c>
      <c r="K27" s="384">
        <f t="shared" ref="K27:L27" si="9">SUM(K28:K33)</f>
        <v>2058.4231200469999</v>
      </c>
      <c r="L27" s="384">
        <f t="shared" si="9"/>
        <v>2332.9323932820002</v>
      </c>
      <c r="M27" s="384">
        <f t="shared" ref="M27:U27" si="10">SUM(M28:M33)</f>
        <v>2185.2269224699999</v>
      </c>
      <c r="N27" s="384">
        <f t="shared" si="10"/>
        <v>2084.7266355960001</v>
      </c>
      <c r="O27" s="384">
        <f t="shared" si="10"/>
        <v>2078.2120689789999</v>
      </c>
      <c r="P27" s="384">
        <f t="shared" si="10"/>
        <v>2078.2120689789999</v>
      </c>
      <c r="Q27" s="384">
        <f t="shared" si="10"/>
        <v>2065.4094610710004</v>
      </c>
      <c r="R27" s="384">
        <f t="shared" si="10"/>
        <v>2090.3197077140003</v>
      </c>
      <c r="S27" s="384">
        <f t="shared" si="10"/>
        <v>2092.5235959660004</v>
      </c>
      <c r="T27" s="384">
        <f t="shared" si="10"/>
        <v>2021.4508548030001</v>
      </c>
      <c r="U27" s="384">
        <f t="shared" si="10"/>
        <v>2021.4508548030001</v>
      </c>
      <c r="V27" s="384">
        <v>1943.9845330139999</v>
      </c>
      <c r="W27" s="384">
        <f>SUM(W28:W33)</f>
        <v>2094.1540034300001</v>
      </c>
      <c r="X27" s="399">
        <f t="shared" ref="X27:AC27" si="11">SUM(X28:X33)</f>
        <v>2006.857290896</v>
      </c>
      <c r="Y27" s="399">
        <f t="shared" si="11"/>
        <v>1979.494577592</v>
      </c>
      <c r="Z27" s="384">
        <f>SUM(Z28:Z33)</f>
        <v>1979.494577592</v>
      </c>
      <c r="AA27" s="384">
        <v>2151.8004705489998</v>
      </c>
      <c r="AB27" s="399">
        <f t="shared" ref="AB27" si="12">SUM(AB28:AB33)</f>
        <v>2087.3143492139998</v>
      </c>
      <c r="AC27" s="714">
        <f t="shared" si="11"/>
        <v>2019.9653520290001</v>
      </c>
      <c r="AD27" s="740"/>
      <c r="AE27" s="718"/>
      <c r="AF27" s="718"/>
      <c r="AG27" s="574"/>
      <c r="AH27" s="474"/>
      <c r="AI27" s="647"/>
      <c r="AJ27" s="719"/>
      <c r="AK27" s="574"/>
      <c r="AL27" s="574"/>
      <c r="AM27" s="474"/>
      <c r="AN27" s="474"/>
      <c r="AO27" s="474"/>
    </row>
    <row r="28" spans="2:44" ht="16.5" x14ac:dyDescent="0.3">
      <c r="B28" s="311"/>
      <c r="C28" s="310" t="s">
        <v>1711</v>
      </c>
      <c r="D28" s="310" t="s">
        <v>1340</v>
      </c>
      <c r="E28" s="401">
        <f>+K28</f>
        <v>408.5912393989999</v>
      </c>
      <c r="F28" s="401">
        <f>+P28</f>
        <v>602.26124492300005</v>
      </c>
      <c r="G28" s="388">
        <f t="shared" si="7"/>
        <v>-0.32157142296074714</v>
      </c>
      <c r="H28" s="579"/>
      <c r="J28" s="387">
        <v>408.5912393989999</v>
      </c>
      <c r="K28" s="387">
        <v>408.5912393989999</v>
      </c>
      <c r="L28" s="387">
        <v>568.25814186299999</v>
      </c>
      <c r="M28" s="387">
        <v>573.35063348399979</v>
      </c>
      <c r="N28" s="387">
        <v>583.42947440499995</v>
      </c>
      <c r="O28" s="387">
        <v>602.26124492300005</v>
      </c>
      <c r="P28" s="387">
        <v>602.26124492300005</v>
      </c>
      <c r="Q28" s="387">
        <v>763.53889336500004</v>
      </c>
      <c r="R28" s="387">
        <v>768.96441574699998</v>
      </c>
      <c r="S28" s="387">
        <v>762.55255636300012</v>
      </c>
      <c r="T28" s="387">
        <v>756.02169916100002</v>
      </c>
      <c r="U28" s="387">
        <v>756.02169916100002</v>
      </c>
      <c r="V28" s="387">
        <v>738.78305117499997</v>
      </c>
      <c r="W28" s="387">
        <v>716.18978012999992</v>
      </c>
      <c r="X28" s="401">
        <v>707.51621599099997</v>
      </c>
      <c r="Y28" s="401">
        <v>713.68931008699997</v>
      </c>
      <c r="Z28" s="387">
        <v>713.68931008699997</v>
      </c>
      <c r="AA28" s="387">
        <v>726.74594455399995</v>
      </c>
      <c r="AB28" s="401">
        <v>701.18968574699988</v>
      </c>
      <c r="AC28" s="715">
        <v>672.47367164000002</v>
      </c>
      <c r="AD28" s="775">
        <f>E28/$E$27</f>
        <v>0.19849720663343043</v>
      </c>
      <c r="AE28" s="579"/>
      <c r="AF28" s="311"/>
      <c r="AG28" s="471"/>
      <c r="AH28" s="255"/>
      <c r="AI28" s="720"/>
      <c r="AJ28" s="721"/>
      <c r="AK28" s="386"/>
      <c r="AL28" s="631"/>
      <c r="AM28" s="311"/>
      <c r="AN28" s="311"/>
      <c r="AO28" s="311"/>
    </row>
    <row r="29" spans="2:44" ht="16.5" x14ac:dyDescent="0.3">
      <c r="B29" s="311"/>
      <c r="C29" s="310" t="s">
        <v>1712</v>
      </c>
      <c r="D29" s="310" t="s">
        <v>1341</v>
      </c>
      <c r="E29" s="401">
        <f t="shared" ref="E29:E33" si="13">+K29</f>
        <v>942.95823576699991</v>
      </c>
      <c r="F29" s="401">
        <f t="shared" ref="F29:F33" si="14">+P29</f>
        <v>883.68815970599996</v>
      </c>
      <c r="G29" s="388">
        <f t="shared" si="7"/>
        <v>6.7071257445294741E-2</v>
      </c>
      <c r="H29" s="579"/>
      <c r="J29" s="387">
        <v>942.95823576699991</v>
      </c>
      <c r="K29" s="387">
        <v>942.95823576699991</v>
      </c>
      <c r="L29" s="387">
        <v>1085.9012883530002</v>
      </c>
      <c r="M29" s="387">
        <v>1005.7360093270001</v>
      </c>
      <c r="N29" s="387">
        <v>951.27283991699994</v>
      </c>
      <c r="O29" s="387">
        <v>883.68815970599996</v>
      </c>
      <c r="P29" s="387">
        <v>883.68815970599996</v>
      </c>
      <c r="Q29" s="387">
        <v>712.76676534500007</v>
      </c>
      <c r="R29" s="387">
        <v>654.59635498099999</v>
      </c>
      <c r="S29" s="387">
        <v>624.57346431600001</v>
      </c>
      <c r="T29" s="387">
        <v>578.15771676700001</v>
      </c>
      <c r="U29" s="387">
        <v>578.15771676700001</v>
      </c>
      <c r="V29" s="387">
        <v>590.07979356700002</v>
      </c>
      <c r="W29" s="387">
        <v>669.31332349700006</v>
      </c>
      <c r="X29" s="401">
        <v>625.95035556799996</v>
      </c>
      <c r="Y29" s="401">
        <v>595.48617809300004</v>
      </c>
      <c r="Z29" s="387">
        <v>595.48617809300004</v>
      </c>
      <c r="AA29" s="387">
        <v>714.65197778000004</v>
      </c>
      <c r="AB29" s="401">
        <v>696.74289817600004</v>
      </c>
      <c r="AC29" s="715">
        <v>665.17549932299994</v>
      </c>
      <c r="AD29" s="775">
        <f t="shared" ref="AD29:AD33" si="15">E29/$E$27</f>
        <v>0.45809737880590334</v>
      </c>
      <c r="AE29" s="579"/>
      <c r="AF29" s="311"/>
      <c r="AG29" s="471"/>
      <c r="AH29" s="255"/>
      <c r="AI29" s="522"/>
      <c r="AJ29" s="721"/>
      <c r="AK29" s="311"/>
      <c r="AL29" s="638"/>
      <c r="AM29" s="642"/>
      <c r="AN29" s="642"/>
      <c r="AO29" s="311"/>
    </row>
    <row r="30" spans="2:44" ht="16.5" x14ac:dyDescent="0.3">
      <c r="B30" s="311"/>
      <c r="C30" s="310" t="s">
        <v>1713</v>
      </c>
      <c r="D30" s="310" t="s">
        <v>1342</v>
      </c>
      <c r="E30" s="401">
        <f t="shared" si="13"/>
        <v>174.76565207000002</v>
      </c>
      <c r="F30" s="401">
        <f t="shared" si="14"/>
        <v>183.67958326899998</v>
      </c>
      <c r="G30" s="388">
        <f t="shared" si="7"/>
        <v>-4.8529787798709534E-2</v>
      </c>
      <c r="H30" s="579"/>
      <c r="J30" s="387">
        <v>174.76565207000002</v>
      </c>
      <c r="K30" s="387">
        <v>174.76565207000002</v>
      </c>
      <c r="L30" s="387">
        <v>206.087645589</v>
      </c>
      <c r="M30" s="387">
        <v>174.37166684599998</v>
      </c>
      <c r="N30" s="387">
        <v>140.627356647</v>
      </c>
      <c r="O30" s="387">
        <v>183.67958326899998</v>
      </c>
      <c r="P30" s="387">
        <v>183.67958326899998</v>
      </c>
      <c r="Q30" s="387">
        <v>155.050199384</v>
      </c>
      <c r="R30" s="387">
        <v>202.23676287099997</v>
      </c>
      <c r="S30" s="387">
        <v>217.064058757</v>
      </c>
      <c r="T30" s="387">
        <v>213.11181147999994</v>
      </c>
      <c r="U30" s="387">
        <v>213.11181147999994</v>
      </c>
      <c r="V30" s="387">
        <v>265.13087889899998</v>
      </c>
      <c r="W30" s="387">
        <v>303.90982648099998</v>
      </c>
      <c r="X30" s="401">
        <v>278.76015652500001</v>
      </c>
      <c r="Y30" s="401">
        <v>286.36724315100003</v>
      </c>
      <c r="Z30" s="387">
        <v>286.36724315100003</v>
      </c>
      <c r="AA30" s="387">
        <v>330.11859854800002</v>
      </c>
      <c r="AB30" s="401">
        <v>333.90001364</v>
      </c>
      <c r="AC30" s="715">
        <v>323.03831758800004</v>
      </c>
      <c r="AD30" s="775">
        <f t="shared" si="15"/>
        <v>8.4902686123157031E-2</v>
      </c>
      <c r="AE30" s="579"/>
      <c r="AF30" s="311"/>
      <c r="AG30" s="471"/>
      <c r="AH30" s="255"/>
      <c r="AI30" s="522"/>
      <c r="AJ30" s="721"/>
      <c r="AK30" s="311"/>
      <c r="AL30" s="638"/>
      <c r="AM30" s="642"/>
      <c r="AN30" s="642"/>
      <c r="AO30" s="311"/>
    </row>
    <row r="31" spans="2:44" ht="16.5" x14ac:dyDescent="0.3">
      <c r="B31" s="311"/>
      <c r="C31" s="310" t="s">
        <v>1714</v>
      </c>
      <c r="D31" s="310" t="s">
        <v>1353</v>
      </c>
      <c r="E31" s="401">
        <f t="shared" si="13"/>
        <v>348.68903431999991</v>
      </c>
      <c r="F31" s="401">
        <f t="shared" si="14"/>
        <v>203.55037081500001</v>
      </c>
      <c r="G31" s="388">
        <f t="shared" si="7"/>
        <v>0.71303561336624388</v>
      </c>
      <c r="H31" s="579"/>
      <c r="J31" s="387">
        <v>348.68903431999991</v>
      </c>
      <c r="K31" s="387">
        <v>348.68903431999991</v>
      </c>
      <c r="L31" s="387">
        <v>276.14947129799998</v>
      </c>
      <c r="M31" s="387">
        <v>233.07716351099992</v>
      </c>
      <c r="N31" s="387">
        <v>204.2809877520001</v>
      </c>
      <c r="O31" s="387">
        <v>203.55037081500001</v>
      </c>
      <c r="P31" s="387">
        <v>203.55037081500001</v>
      </c>
      <c r="Q31" s="387">
        <v>235.23478104800003</v>
      </c>
      <c r="R31" s="387">
        <v>261.26777433600029</v>
      </c>
      <c r="S31" s="387">
        <v>276.89684983400008</v>
      </c>
      <c r="T31" s="387">
        <v>260.98463329399999</v>
      </c>
      <c r="U31" s="387">
        <v>260.98463329399999</v>
      </c>
      <c r="V31" s="387">
        <v>107.660415914</v>
      </c>
      <c r="W31" s="387">
        <v>154.793024191</v>
      </c>
      <c r="X31" s="401">
        <v>137.409573929</v>
      </c>
      <c r="Y31" s="401">
        <v>119.05977277499998</v>
      </c>
      <c r="Z31" s="387">
        <v>119.059772775</v>
      </c>
      <c r="AA31" s="387">
        <v>148.22435612800001</v>
      </c>
      <c r="AB31" s="401">
        <v>163.99093618800001</v>
      </c>
      <c r="AC31" s="715">
        <v>213.045200545</v>
      </c>
      <c r="AD31" s="775">
        <f t="shared" si="15"/>
        <v>0.16939619018272506</v>
      </c>
      <c r="AE31" s="579"/>
      <c r="AF31" s="311"/>
      <c r="AG31" s="697"/>
      <c r="AH31" s="698"/>
      <c r="AI31" s="722"/>
      <c r="AJ31" s="721"/>
      <c r="AK31" s="311"/>
      <c r="AL31" s="638"/>
      <c r="AM31" s="642"/>
      <c r="AN31" s="642"/>
      <c r="AO31" s="311"/>
    </row>
    <row r="32" spans="2:44" ht="16.5" x14ac:dyDescent="0.3">
      <c r="B32" s="311"/>
      <c r="C32" s="310" t="s">
        <v>1715</v>
      </c>
      <c r="D32" s="310" t="s">
        <v>1352</v>
      </c>
      <c r="E32" s="401">
        <f t="shared" si="13"/>
        <v>180.22531546199997</v>
      </c>
      <c r="F32" s="401">
        <f t="shared" si="14"/>
        <v>204.38387094799998</v>
      </c>
      <c r="G32" s="388">
        <f t="shared" si="7"/>
        <v>-0.1182018687381966</v>
      </c>
      <c r="H32" s="579"/>
      <c r="J32" s="387">
        <v>180.22531546199997</v>
      </c>
      <c r="K32" s="387">
        <v>180.22531546199997</v>
      </c>
      <c r="L32" s="387">
        <v>192.92776687100002</v>
      </c>
      <c r="M32" s="387">
        <v>196.587041994</v>
      </c>
      <c r="N32" s="387">
        <v>204.46157177000003</v>
      </c>
      <c r="O32" s="387">
        <v>204.38387094799998</v>
      </c>
      <c r="P32" s="387">
        <v>204.38387094799998</v>
      </c>
      <c r="Q32" s="387">
        <v>197.92297276999997</v>
      </c>
      <c r="R32" s="387">
        <v>202.33342335699996</v>
      </c>
      <c r="S32" s="387">
        <v>210.521554563</v>
      </c>
      <c r="T32" s="387">
        <v>212.26518648000001</v>
      </c>
      <c r="U32" s="387">
        <v>212.26518648000001</v>
      </c>
      <c r="V32" s="387">
        <v>241.71994341600001</v>
      </c>
      <c r="W32" s="387">
        <v>249.47348938099998</v>
      </c>
      <c r="X32" s="401">
        <v>256.801656546</v>
      </c>
      <c r="Y32" s="401">
        <v>264.66252042600001</v>
      </c>
      <c r="Z32" s="387">
        <v>264.66252042600001</v>
      </c>
      <c r="AA32" s="387">
        <v>231.51985218799999</v>
      </c>
      <c r="AB32" s="401">
        <v>191.21984235000002</v>
      </c>
      <c r="AC32" s="715">
        <v>146.117447325</v>
      </c>
      <c r="AD32" s="775">
        <f t="shared" si="15"/>
        <v>8.7555038469391513E-2</v>
      </c>
      <c r="AE32" s="579"/>
      <c r="AF32" s="311"/>
      <c r="AG32" s="697"/>
      <c r="AH32" s="698"/>
      <c r="AI32" s="723"/>
      <c r="AJ32" s="311"/>
      <c r="AK32" s="311"/>
      <c r="AL32" s="638"/>
      <c r="AM32" s="642"/>
      <c r="AN32" s="642"/>
      <c r="AO32" s="311"/>
    </row>
    <row r="33" spans="2:42" ht="16.5" x14ac:dyDescent="0.3">
      <c r="B33" s="311"/>
      <c r="C33" s="729" t="s">
        <v>1281</v>
      </c>
      <c r="D33" s="310" t="s">
        <v>1343</v>
      </c>
      <c r="E33" s="401">
        <f t="shared" si="13"/>
        <v>3.193643029</v>
      </c>
      <c r="F33" s="401">
        <f t="shared" si="14"/>
        <v>0.64883931799999994</v>
      </c>
      <c r="G33" s="388">
        <f t="shared" si="7"/>
        <v>3.9220861627870711</v>
      </c>
      <c r="H33" s="579"/>
      <c r="J33" s="639">
        <v>3.193643029</v>
      </c>
      <c r="K33" s="639">
        <v>3.193643029</v>
      </c>
      <c r="L33" s="639">
        <v>3.6080793079999998</v>
      </c>
      <c r="M33" s="639">
        <v>2.1044073080000003</v>
      </c>
      <c r="N33" s="639">
        <v>0.65440510500000004</v>
      </c>
      <c r="O33" s="639">
        <v>0.64883931799999994</v>
      </c>
      <c r="P33" s="639">
        <v>0.64883931799999994</v>
      </c>
      <c r="Q33" s="639">
        <v>0.89584915899999995</v>
      </c>
      <c r="R33" s="639">
        <v>0.92097642200000018</v>
      </c>
      <c r="S33" s="639">
        <v>0.91511213299999994</v>
      </c>
      <c r="T33" s="639">
        <v>0.9098076209999999</v>
      </c>
      <c r="U33" s="639">
        <v>0.9098076209999999</v>
      </c>
      <c r="V33" s="387">
        <v>0.61045004300000005</v>
      </c>
      <c r="W33" s="387">
        <v>0.47455975000000006</v>
      </c>
      <c r="X33" s="401">
        <v>0.419332337</v>
      </c>
      <c r="Y33" s="401">
        <v>0.22955305999999998</v>
      </c>
      <c r="Z33" s="387">
        <v>0.22955306</v>
      </c>
      <c r="AA33" s="387">
        <v>0.53974135099999998</v>
      </c>
      <c r="AB33" s="401">
        <v>0.27097311300000004</v>
      </c>
      <c r="AC33" s="715">
        <v>0.11521560800000001</v>
      </c>
      <c r="AD33" s="775">
        <f t="shared" si="15"/>
        <v>1.5514997853925581E-3</v>
      </c>
      <c r="AE33" s="579"/>
      <c r="AF33" s="311"/>
      <c r="AG33" s="471"/>
      <c r="AH33" s="255"/>
      <c r="AI33" s="720"/>
      <c r="AJ33" s="311"/>
      <c r="AK33" s="696"/>
      <c r="AL33" s="724"/>
      <c r="AM33" s="311"/>
      <c r="AN33" s="642"/>
      <c r="AO33" s="311"/>
    </row>
    <row r="34" spans="2:42" ht="16.5" x14ac:dyDescent="0.3">
      <c r="B34" s="311"/>
      <c r="C34" s="311"/>
      <c r="D34" s="511"/>
      <c r="E34" s="733"/>
      <c r="F34" s="733"/>
      <c r="G34" s="734"/>
      <c r="H34" s="403"/>
      <c r="V34" s="663"/>
      <c r="W34" s="663"/>
      <c r="X34" s="663"/>
      <c r="Y34" s="663"/>
      <c r="Z34" s="663"/>
      <c r="AA34" s="663"/>
      <c r="AB34" s="663"/>
      <c r="AC34" s="663"/>
      <c r="AD34" s="662"/>
      <c r="AE34" s="311"/>
      <c r="AF34" s="311"/>
      <c r="AG34" s="471"/>
      <c r="AH34" s="255"/>
      <c r="AI34" s="522"/>
      <c r="AJ34" s="311"/>
      <c r="AK34" s="696"/>
      <c r="AL34" s="724"/>
      <c r="AM34" s="311"/>
      <c r="AN34" s="642"/>
      <c r="AO34" s="311"/>
    </row>
    <row r="35" spans="2:42" s="374" customFormat="1" ht="16.5" x14ac:dyDescent="0.3">
      <c r="B35" s="474"/>
      <c r="C35" s="315" t="s">
        <v>1700</v>
      </c>
      <c r="D35" s="386" t="s">
        <v>1331</v>
      </c>
      <c r="E35" s="665">
        <f>SUM(E36:E41)</f>
        <v>539.87811534299988</v>
      </c>
      <c r="F35" s="665">
        <f>SUM(F36:F41)</f>
        <v>394.60482646799994</v>
      </c>
      <c r="G35" s="400">
        <f t="shared" ref="G35:G41" si="16">IFERROR(IF(F35&lt;0, -(E35/F35-1), (E35/F35-1)),0)</f>
        <v>0.36814878868893075</v>
      </c>
      <c r="H35" s="574"/>
      <c r="J35" s="384">
        <f t="shared" ref="J35" si="17">SUM(J36:J41)</f>
        <v>539.87811534299988</v>
      </c>
      <c r="K35" s="384">
        <f t="shared" ref="K35:L35" si="18">SUM(K36:K41)</f>
        <v>143.588816796</v>
      </c>
      <c r="L35" s="384">
        <f t="shared" si="18"/>
        <v>151.09432585599998</v>
      </c>
      <c r="M35" s="384">
        <f t="shared" ref="M35:U35" si="19">SUM(M36:M41)</f>
        <v>104.15580076000001</v>
      </c>
      <c r="N35" s="384">
        <f t="shared" si="19"/>
        <v>141.03917193100003</v>
      </c>
      <c r="O35" s="384">
        <f t="shared" si="19"/>
        <v>394.60482646799994</v>
      </c>
      <c r="P35" s="384">
        <f t="shared" si="19"/>
        <v>120.34869334999999</v>
      </c>
      <c r="Q35" s="384">
        <f t="shared" si="19"/>
        <v>101.867476877</v>
      </c>
      <c r="R35" s="384">
        <f t="shared" si="19"/>
        <v>76.193003499</v>
      </c>
      <c r="S35" s="384">
        <f t="shared" si="19"/>
        <v>96.195652741999993</v>
      </c>
      <c r="T35" s="384">
        <f t="shared" si="19"/>
        <v>291.84618826399998</v>
      </c>
      <c r="U35" s="384">
        <f t="shared" si="19"/>
        <v>80.29447196400001</v>
      </c>
      <c r="V35" s="664">
        <v>85.409988503000008</v>
      </c>
      <c r="W35" s="664">
        <f>SUM(W36:W41)</f>
        <v>68.894470518000006</v>
      </c>
      <c r="X35" s="665">
        <f t="shared" ref="X35:AC35" si="20">SUM(X36:X41)</f>
        <v>57.247257278999996</v>
      </c>
      <c r="Y35" s="665">
        <f t="shared" si="20"/>
        <v>272.318261533</v>
      </c>
      <c r="Z35" s="664">
        <f>SUM(Z36:Z41)</f>
        <v>56.454253145000003</v>
      </c>
      <c r="AA35" s="384">
        <v>67.901434826000013</v>
      </c>
      <c r="AB35" s="665">
        <f t="shared" ref="AB35" si="21">SUM(AB36:AB41)</f>
        <v>69.880944769999999</v>
      </c>
      <c r="AC35" s="716">
        <f t="shared" si="20"/>
        <v>78.081628791999989</v>
      </c>
      <c r="AD35" s="740"/>
      <c r="AE35" s="725"/>
      <c r="AF35" s="726"/>
      <c r="AG35" s="471"/>
      <c r="AH35" s="255"/>
      <c r="AI35" s="522"/>
      <c r="AJ35" s="647"/>
      <c r="AK35" s="647"/>
      <c r="AL35" s="727"/>
      <c r="AM35" s="474"/>
      <c r="AN35" s="474"/>
      <c r="AO35" s="474"/>
      <c r="AP35" s="588"/>
    </row>
    <row r="36" spans="2:42" ht="16.5" x14ac:dyDescent="0.3">
      <c r="B36" s="311"/>
      <c r="C36" s="311" t="s">
        <v>1716</v>
      </c>
      <c r="D36" s="311" t="s">
        <v>1337</v>
      </c>
      <c r="E36" s="401">
        <f>SUM(K36:N36)</f>
        <v>24.144121542999997</v>
      </c>
      <c r="F36" s="401">
        <f>SUM(P36:S36)</f>
        <v>92.059262219999994</v>
      </c>
      <c r="G36" s="388">
        <f t="shared" si="16"/>
        <v>-0.73773283686218094</v>
      </c>
      <c r="H36" s="579"/>
      <c r="J36" s="387">
        <v>24.144121542999997</v>
      </c>
      <c r="K36" s="387">
        <v>6.3860294129999993</v>
      </c>
      <c r="L36" s="387">
        <v>7.2167633280000008</v>
      </c>
      <c r="M36" s="387">
        <v>4.2094864960000002</v>
      </c>
      <c r="N36" s="387">
        <v>6.3318423060000004</v>
      </c>
      <c r="O36" s="387">
        <v>92.059262219999994</v>
      </c>
      <c r="P36" s="387">
        <v>16.130321084000002</v>
      </c>
      <c r="Q36" s="387">
        <v>19.233053199</v>
      </c>
      <c r="R36" s="387">
        <v>26.982352233999997</v>
      </c>
      <c r="S36" s="387">
        <v>29.713535703000002</v>
      </c>
      <c r="T36" s="387">
        <v>132.97593730299999</v>
      </c>
      <c r="U36" s="387">
        <v>41.674530068000003</v>
      </c>
      <c r="V36" s="387">
        <v>43.669783553000002</v>
      </c>
      <c r="W36" s="387">
        <v>26.984017561000002</v>
      </c>
      <c r="X36" s="401">
        <v>20.647606120999999</v>
      </c>
      <c r="Y36" s="401">
        <v>87.268440646000016</v>
      </c>
      <c r="Z36" s="387">
        <v>22.484999825999999</v>
      </c>
      <c r="AA36" s="387">
        <v>25.187585163000001</v>
      </c>
      <c r="AB36" s="401">
        <v>23.663085248000002</v>
      </c>
      <c r="AC36" s="717">
        <v>15.932770409</v>
      </c>
      <c r="AD36" s="742"/>
      <c r="AE36" s="642"/>
      <c r="AF36" s="721"/>
      <c r="AG36" s="697"/>
      <c r="AH36" s="698"/>
      <c r="AI36" s="723"/>
      <c r="AJ36" s="642"/>
      <c r="AK36" s="642"/>
      <c r="AL36" s="728"/>
      <c r="AM36" s="311"/>
      <c r="AN36" s="311"/>
      <c r="AO36" s="311"/>
    </row>
    <row r="37" spans="2:42" ht="16.5" x14ac:dyDescent="0.3">
      <c r="B37" s="311"/>
      <c r="C37" s="311" t="s">
        <v>1717</v>
      </c>
      <c r="D37" s="311" t="s">
        <v>1338</v>
      </c>
      <c r="E37" s="401">
        <f t="shared" ref="E37:E41" si="22">SUM(K37:N37)</f>
        <v>429.25026724999998</v>
      </c>
      <c r="F37" s="401">
        <f t="shared" ref="F37:F41" si="23">SUM(P37:S37)</f>
        <v>231.73579239199998</v>
      </c>
      <c r="G37" s="388">
        <f t="shared" si="16"/>
        <v>0.85232614616514724</v>
      </c>
      <c r="H37" s="579"/>
      <c r="J37" s="387">
        <v>429.25026724999998</v>
      </c>
      <c r="K37" s="387">
        <v>113.89704561400001</v>
      </c>
      <c r="L37" s="387">
        <v>116.78752640299999</v>
      </c>
      <c r="M37" s="387">
        <v>83.398474692000008</v>
      </c>
      <c r="N37" s="387">
        <v>115.16722054100001</v>
      </c>
      <c r="O37" s="387">
        <v>231.73579239199998</v>
      </c>
      <c r="P37" s="387">
        <v>82.428985085999997</v>
      </c>
      <c r="Q37" s="387">
        <v>65.297471231000003</v>
      </c>
      <c r="R37" s="387">
        <v>32.723914704999999</v>
      </c>
      <c r="S37" s="387">
        <v>51.285421370000002</v>
      </c>
      <c r="T37" s="387">
        <v>127.234109589</v>
      </c>
      <c r="U37" s="387">
        <v>31.630753742</v>
      </c>
      <c r="V37" s="387">
        <v>33.726360341000003</v>
      </c>
      <c r="W37" s="387">
        <v>33.749300968</v>
      </c>
      <c r="X37" s="401">
        <v>28.127694538</v>
      </c>
      <c r="Y37" s="401">
        <v>104.75716717</v>
      </c>
      <c r="Z37" s="387">
        <v>21.614978116</v>
      </c>
      <c r="AA37" s="387">
        <v>27.016756245</v>
      </c>
      <c r="AB37" s="401">
        <v>26.440714898</v>
      </c>
      <c r="AC37" s="717">
        <v>29.684717911</v>
      </c>
      <c r="AD37" s="742"/>
      <c r="AE37" s="311"/>
      <c r="AF37" s="721"/>
      <c r="AG37" s="471"/>
      <c r="AH37" s="255"/>
      <c r="AI37" s="522"/>
      <c r="AJ37" s="721"/>
      <c r="AK37" s="642"/>
      <c r="AL37" s="728"/>
      <c r="AM37" s="311"/>
      <c r="AN37" s="311"/>
      <c r="AO37" s="311"/>
    </row>
    <row r="38" spans="2:42" x14ac:dyDescent="0.3">
      <c r="B38" s="311"/>
      <c r="C38" s="311" t="s">
        <v>1718</v>
      </c>
      <c r="D38" s="311" t="s">
        <v>1351</v>
      </c>
      <c r="E38" s="401">
        <f t="shared" si="22"/>
        <v>18.104859794999999</v>
      </c>
      <c r="F38" s="401">
        <f t="shared" si="23"/>
        <v>17.705136576000001</v>
      </c>
      <c r="G38" s="388">
        <f t="shared" si="16"/>
        <v>2.2576680913144687E-2</v>
      </c>
      <c r="H38" s="579"/>
      <c r="J38" s="387">
        <v>18.104859794999999</v>
      </c>
      <c r="K38" s="387">
        <v>5.3977358980000005</v>
      </c>
      <c r="L38" s="387">
        <v>5.0329468980000005</v>
      </c>
      <c r="M38" s="387">
        <v>3.7375114609999995</v>
      </c>
      <c r="N38" s="387">
        <v>3.9366655379999997</v>
      </c>
      <c r="O38" s="387">
        <v>17.705136576000001</v>
      </c>
      <c r="P38" s="387">
        <v>5.3322567689999998</v>
      </c>
      <c r="Q38" s="387">
        <v>5.1013526730000001</v>
      </c>
      <c r="R38" s="387">
        <v>4.0348949320000003</v>
      </c>
      <c r="S38" s="387">
        <v>3.236632202</v>
      </c>
      <c r="T38" s="387">
        <v>19.511369106000004</v>
      </c>
      <c r="U38" s="387">
        <v>3.4082689610000001</v>
      </c>
      <c r="V38" s="387">
        <v>3.8957474169999999</v>
      </c>
      <c r="W38" s="387">
        <v>5.7388571110000006</v>
      </c>
      <c r="X38" s="401">
        <v>6.4684956170000003</v>
      </c>
      <c r="Y38" s="401">
        <v>49.273586834</v>
      </c>
      <c r="Z38" s="387">
        <v>9.1108474840000007</v>
      </c>
      <c r="AA38" s="387">
        <v>10.634750918</v>
      </c>
      <c r="AB38" s="401">
        <v>12.683195773</v>
      </c>
      <c r="AC38" s="717">
        <v>16.844792658999999</v>
      </c>
      <c r="AD38" s="742"/>
      <c r="AE38" s="311"/>
      <c r="AF38" s="721"/>
      <c r="AG38" s="579"/>
      <c r="AH38" s="721"/>
      <c r="AI38" s="579"/>
      <c r="AJ38" s="721"/>
      <c r="AK38" s="642"/>
      <c r="AL38" s="728"/>
      <c r="AM38" s="311"/>
      <c r="AN38" s="311"/>
      <c r="AO38" s="311"/>
    </row>
    <row r="39" spans="2:42" x14ac:dyDescent="0.3">
      <c r="B39" s="311"/>
      <c r="C39" s="311" t="s">
        <v>1719</v>
      </c>
      <c r="D39" s="311" t="s">
        <v>1350</v>
      </c>
      <c r="E39" s="401">
        <f t="shared" si="22"/>
        <v>64.334014147999994</v>
      </c>
      <c r="F39" s="401">
        <f t="shared" si="23"/>
        <v>52.461570804999994</v>
      </c>
      <c r="G39" s="388">
        <f t="shared" si="16"/>
        <v>0.22630743153173882</v>
      </c>
      <c r="H39" s="579"/>
      <c r="J39" s="387">
        <v>64.334014147999994</v>
      </c>
      <c r="K39" s="387">
        <v>17.030450531</v>
      </c>
      <c r="L39" s="387">
        <v>20.486036135999999</v>
      </c>
      <c r="M39" s="387">
        <v>11.27299051</v>
      </c>
      <c r="N39" s="387">
        <v>15.544536971000001</v>
      </c>
      <c r="O39" s="387">
        <v>52.461570804999994</v>
      </c>
      <c r="P39" s="387">
        <v>16.407393063000001</v>
      </c>
      <c r="Q39" s="387">
        <v>12.00723419</v>
      </c>
      <c r="R39" s="387">
        <v>12.257832606999999</v>
      </c>
      <c r="S39" s="387">
        <v>11.789110945000001</v>
      </c>
      <c r="T39" s="387">
        <v>11.920465112</v>
      </c>
      <c r="U39" s="387">
        <v>3.5809191930000002</v>
      </c>
      <c r="V39" s="387">
        <v>4.0388535479999996</v>
      </c>
      <c r="W39" s="387">
        <v>2.3197707909999998</v>
      </c>
      <c r="X39" s="401">
        <v>1.98092158</v>
      </c>
      <c r="Y39" s="401">
        <v>30.998540189</v>
      </c>
      <c r="Z39" s="387">
        <v>3.243427719</v>
      </c>
      <c r="AA39" s="387">
        <v>5.0623424999999997</v>
      </c>
      <c r="AB39" s="401">
        <v>7.0939488509999995</v>
      </c>
      <c r="AC39" s="717">
        <v>15.598821119</v>
      </c>
      <c r="AD39" s="742"/>
      <c r="AE39" s="642"/>
      <c r="AF39" s="721"/>
      <c r="AG39" s="579"/>
      <c r="AH39" s="721"/>
      <c r="AI39" s="579"/>
      <c r="AJ39" s="721"/>
      <c r="AK39" s="642"/>
      <c r="AL39" s="728"/>
      <c r="AM39" s="311"/>
      <c r="AN39" s="311"/>
      <c r="AO39" s="311"/>
    </row>
    <row r="40" spans="2:42" x14ac:dyDescent="0.3">
      <c r="B40" s="311"/>
      <c r="C40" s="311" t="s">
        <v>1720</v>
      </c>
      <c r="D40" s="311" t="s">
        <v>1349</v>
      </c>
      <c r="E40" s="401">
        <f t="shared" si="22"/>
        <v>0.23192137499999999</v>
      </c>
      <c r="F40" s="401">
        <f t="shared" si="23"/>
        <v>0.64306447500000008</v>
      </c>
      <c r="G40" s="388">
        <f t="shared" si="16"/>
        <v>-0.6393497323888091</v>
      </c>
      <c r="H40" s="579"/>
      <c r="J40" s="387">
        <v>0.23192137499999999</v>
      </c>
      <c r="K40" s="387">
        <v>3.7562016000000004E-2</v>
      </c>
      <c r="L40" s="387">
        <v>3.1405817000000003E-2</v>
      </c>
      <c r="M40" s="387">
        <v>0.10404696699999999</v>
      </c>
      <c r="N40" s="387">
        <v>5.8906574999999996E-2</v>
      </c>
      <c r="O40" s="387">
        <v>0.64306447500000008</v>
      </c>
      <c r="P40" s="387">
        <v>4.9737348000000001E-2</v>
      </c>
      <c r="Q40" s="387">
        <v>0.22836558400000001</v>
      </c>
      <c r="R40" s="387">
        <v>0.194009021</v>
      </c>
      <c r="S40" s="387">
        <v>0.170952522</v>
      </c>
      <c r="T40" s="387">
        <v>0.20430715400000002</v>
      </c>
      <c r="U40" s="387">
        <v>0</v>
      </c>
      <c r="V40" s="387">
        <v>7.9243644000000002E-2</v>
      </c>
      <c r="W40" s="387">
        <v>0.10252408700000001</v>
      </c>
      <c r="X40" s="401">
        <v>2.2539422999999999E-2</v>
      </c>
      <c r="Y40" s="401">
        <v>2.0526694000000002E-2</v>
      </c>
      <c r="Z40" s="387">
        <v>0</v>
      </c>
      <c r="AA40" s="387">
        <v>0</v>
      </c>
      <c r="AB40" s="401">
        <v>0</v>
      </c>
      <c r="AC40" s="717">
        <v>2.0526694000000002E-2</v>
      </c>
      <c r="AD40" s="742"/>
      <c r="AE40" s="311"/>
      <c r="AF40" s="721"/>
      <c r="AG40" s="311"/>
      <c r="AH40" s="721"/>
      <c r="AI40" s="579"/>
      <c r="AJ40" s="721"/>
      <c r="AK40" s="642"/>
      <c r="AL40" s="728"/>
      <c r="AM40" s="311"/>
      <c r="AN40" s="311"/>
      <c r="AO40" s="311"/>
    </row>
    <row r="41" spans="2:42" x14ac:dyDescent="0.3">
      <c r="B41" s="311"/>
      <c r="C41" s="379" t="s">
        <v>1721</v>
      </c>
      <c r="D41" s="379" t="s">
        <v>132</v>
      </c>
      <c r="E41" s="402">
        <f t="shared" si="22"/>
        <v>3.8129312319999999</v>
      </c>
      <c r="F41" s="402">
        <f t="shared" si="23"/>
        <v>0</v>
      </c>
      <c r="G41" s="389">
        <f t="shared" si="16"/>
        <v>0</v>
      </c>
      <c r="H41" s="579"/>
      <c r="J41" s="639">
        <v>3.8129312319999999</v>
      </c>
      <c r="K41" s="639">
        <v>0.83999332400000004</v>
      </c>
      <c r="L41" s="639">
        <v>1.539647274</v>
      </c>
      <c r="M41" s="639">
        <v>1.433290634</v>
      </c>
      <c r="N41" s="639">
        <v>0</v>
      </c>
      <c r="O41" s="639">
        <v>0</v>
      </c>
      <c r="P41" s="639">
        <v>0</v>
      </c>
      <c r="Q41" s="639">
        <v>0</v>
      </c>
      <c r="R41" s="639">
        <v>0</v>
      </c>
      <c r="S41" s="639">
        <v>0</v>
      </c>
      <c r="T41" s="639">
        <v>0</v>
      </c>
      <c r="U41" s="639">
        <v>0</v>
      </c>
      <c r="V41" s="639">
        <v>0</v>
      </c>
      <c r="W41" s="639">
        <v>0</v>
      </c>
      <c r="X41" s="402">
        <v>0</v>
      </c>
      <c r="Y41" s="402">
        <v>0</v>
      </c>
      <c r="Z41" s="402">
        <v>0</v>
      </c>
      <c r="AA41" s="402">
        <v>0</v>
      </c>
      <c r="AB41" s="402">
        <v>0</v>
      </c>
      <c r="AC41" s="741">
        <v>0</v>
      </c>
      <c r="AD41" s="742"/>
      <c r="AF41" s="661"/>
      <c r="AH41" s="661"/>
      <c r="AI41" s="403"/>
      <c r="AJ41" s="661"/>
      <c r="AK41" s="636"/>
      <c r="AL41" s="666"/>
    </row>
    <row r="42" spans="2:42" x14ac:dyDescent="0.3">
      <c r="E42" s="403"/>
      <c r="F42" s="636"/>
      <c r="J42" s="636"/>
      <c r="K42" s="636"/>
      <c r="L42" s="636"/>
      <c r="M42" s="636"/>
      <c r="N42" s="636"/>
      <c r="O42" s="636"/>
      <c r="P42" s="636"/>
      <c r="Q42" s="636"/>
      <c r="R42" s="636"/>
      <c r="S42" s="636"/>
      <c r="AJ42" s="636"/>
      <c r="AK42" s="656"/>
      <c r="AN42" s="636"/>
      <c r="AO42" s="636"/>
    </row>
    <row r="43" spans="2:42" x14ac:dyDescent="0.3">
      <c r="U43" s="403"/>
      <c r="AJ43" s="636"/>
      <c r="AK43" s="656"/>
      <c r="AN43" s="636"/>
      <c r="AO43" s="636"/>
    </row>
    <row r="44" spans="2:42" x14ac:dyDescent="0.3">
      <c r="E44" s="636"/>
      <c r="F44" s="636"/>
      <c r="G44" s="636"/>
      <c r="H44" s="636"/>
      <c r="I44" s="636"/>
      <c r="J44" s="636"/>
      <c r="K44" s="636"/>
      <c r="L44" s="636"/>
      <c r="M44" s="636"/>
      <c r="N44" s="636"/>
      <c r="O44" s="636"/>
      <c r="P44" s="636"/>
      <c r="Q44" s="636"/>
      <c r="R44" s="636"/>
      <c r="S44" s="636"/>
      <c r="T44" s="636"/>
      <c r="U44" s="636"/>
      <c r="V44" s="636"/>
      <c r="W44" s="636"/>
      <c r="X44" s="636"/>
      <c r="Y44" s="636"/>
      <c r="Z44" s="636"/>
      <c r="AA44" s="636"/>
      <c r="AB44" s="636"/>
      <c r="AC44" s="636"/>
    </row>
    <row r="45" spans="2:42" x14ac:dyDescent="0.3">
      <c r="E45" s="636"/>
      <c r="F45" s="403"/>
      <c r="G45" s="636"/>
      <c r="H45" s="636"/>
      <c r="I45" s="636"/>
      <c r="J45" s="636"/>
      <c r="K45" s="636"/>
      <c r="L45" s="636"/>
      <c r="M45" s="636"/>
      <c r="N45" s="636"/>
      <c r="O45" s="636"/>
      <c r="P45" s="636"/>
      <c r="Q45" s="636"/>
      <c r="R45" s="636"/>
      <c r="S45" s="636"/>
      <c r="T45" s="636"/>
    </row>
    <row r="46" spans="2:42" hidden="1" x14ac:dyDescent="0.3">
      <c r="E46" s="636"/>
      <c r="J46" s="636"/>
      <c r="K46" s="636"/>
      <c r="L46" s="636"/>
      <c r="M46" s="636"/>
      <c r="N46" s="636"/>
      <c r="O46" s="636"/>
      <c r="P46" s="636"/>
      <c r="Q46" s="636"/>
      <c r="R46" s="636"/>
      <c r="S46" s="636"/>
      <c r="T46" s="636"/>
    </row>
    <row r="47" spans="2:42" x14ac:dyDescent="0.3">
      <c r="E47" s="636"/>
      <c r="J47" s="636"/>
      <c r="K47" s="636"/>
      <c r="L47" s="636"/>
      <c r="M47" s="636"/>
      <c r="N47" s="636"/>
      <c r="O47" s="636"/>
      <c r="P47" s="636"/>
      <c r="Q47" s="636"/>
      <c r="R47" s="636"/>
      <c r="S47" s="636"/>
      <c r="T47" s="636"/>
    </row>
    <row r="48" spans="2:42" x14ac:dyDescent="0.3">
      <c r="E48" s="636"/>
      <c r="G48" s="403"/>
      <c r="H48" s="403"/>
      <c r="J48" s="636"/>
      <c r="K48" s="636"/>
      <c r="L48" s="636"/>
      <c r="M48" s="636"/>
      <c r="N48" s="636"/>
      <c r="O48" s="636"/>
      <c r="P48" s="636"/>
      <c r="Q48" s="636"/>
      <c r="R48" s="636"/>
      <c r="S48" s="636"/>
      <c r="T48" s="636"/>
    </row>
    <row r="49" spans="10:20" x14ac:dyDescent="0.3">
      <c r="J49" s="636"/>
      <c r="K49" s="636"/>
      <c r="L49" s="636"/>
      <c r="M49" s="636"/>
      <c r="N49" s="636"/>
      <c r="O49" s="636"/>
      <c r="P49" s="636"/>
      <c r="Q49" s="636"/>
      <c r="R49" s="636"/>
      <c r="S49" s="636"/>
      <c r="T49" s="636"/>
    </row>
    <row r="50" spans="10:20" x14ac:dyDescent="0.3">
      <c r="J50" s="636"/>
      <c r="K50" s="636"/>
      <c r="L50" s="636"/>
      <c r="M50" s="636"/>
      <c r="N50" s="636"/>
      <c r="O50" s="636"/>
      <c r="P50" s="636"/>
      <c r="Q50" s="636"/>
      <c r="R50" s="636"/>
      <c r="S50" s="636"/>
      <c r="T50" s="636"/>
    </row>
  </sheetData>
  <mergeCells count="8">
    <mergeCell ref="G25:G26"/>
    <mergeCell ref="O25:S25"/>
    <mergeCell ref="T25:X25"/>
    <mergeCell ref="Y25:AC25"/>
    <mergeCell ref="G5:G6"/>
    <mergeCell ref="O5:S5"/>
    <mergeCell ref="T5:X5"/>
    <mergeCell ref="Y5:AC5"/>
  </mergeCells>
  <phoneticPr fontId="1" type="noConversion"/>
  <pageMargins left="0.7" right="0.7" top="0.75" bottom="0.75" header="0.3" footer="0.3"/>
  <pageSetup paperSize="9" scale="46" orientation="portrait" r:id="rId1"/>
  <colBreaks count="1" manualBreakCount="1">
    <brk id="30" max="35"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B1:CB45"/>
  <sheetViews>
    <sheetView showGridLines="0" view="pageBreakPreview" zoomScale="85" zoomScaleNormal="90" zoomScaleSheetLayoutView="85" workbookViewId="0">
      <pane xSplit="14" ySplit="6" topLeftCell="Q7" activePane="bottomRight" state="frozen"/>
      <selection activeCell="G47" sqref="G47"/>
      <selection pane="topRight" activeCell="G47" sqref="G47"/>
      <selection pane="bottomLeft" activeCell="G47" sqref="G47"/>
      <selection pane="bottomRight" activeCell="C61" sqref="C61"/>
    </sheetView>
  </sheetViews>
  <sheetFormatPr defaultRowHeight="15" outlineLevelCol="2" x14ac:dyDescent="0.3"/>
  <cols>
    <col min="1" max="1" width="5" style="468" customWidth="1"/>
    <col min="2" max="2" width="17" style="468" customWidth="1"/>
    <col min="3" max="3" width="23" style="468" bestFit="1" customWidth="1"/>
    <col min="4" max="9" width="9.25" style="468" bestFit="1" customWidth="1"/>
    <col min="10" max="12" width="8.625" style="468" bestFit="1" customWidth="1"/>
    <col min="13" max="14" width="1.25" style="468" customWidth="1"/>
    <col min="15" max="17" width="9.25" style="468" hidden="1" customWidth="1" outlineLevel="1"/>
    <col min="18" max="18" width="7.5" style="468" hidden="1" customWidth="1" outlineLevel="1"/>
    <col min="19" max="19" width="8.75" style="468" hidden="1" customWidth="1" outlineLevel="1"/>
    <col min="20" max="20" width="9.25" style="468" hidden="1" customWidth="1" outlineLevel="1"/>
    <col min="21" max="22" width="7.5" style="468" hidden="1" customWidth="1" outlineLevel="1"/>
    <col min="23" max="23" width="9.25" style="468" hidden="1" customWidth="1" outlineLevel="1"/>
    <col min="24" max="29" width="7.5" style="468" hidden="1" customWidth="1" outlineLevel="1"/>
    <col min="30" max="32" width="9.25" style="468" hidden="1" customWidth="1" outlineLevel="1"/>
    <col min="33" max="44" width="7.5" style="468" hidden="1" customWidth="1" outlineLevel="1"/>
    <col min="45" max="47" width="9.25" style="468" hidden="1" customWidth="1" outlineLevel="2"/>
    <col min="48" max="71" width="7.5" style="468" hidden="1" customWidth="1" outlineLevel="2"/>
    <col min="72" max="74" width="9" style="468" hidden="1" customWidth="1" outlineLevel="2"/>
    <col min="75" max="75" width="9" style="468" hidden="1" customWidth="1" outlineLevel="1" collapsed="1"/>
    <col min="76" max="76" width="9" style="468" collapsed="1"/>
    <col min="77" max="77" width="10.875" style="468" bestFit="1" customWidth="1"/>
    <col min="78" max="16384" width="9" style="468"/>
  </cols>
  <sheetData>
    <row r="1" spans="2:74" x14ac:dyDescent="0.3">
      <c r="B1" s="374" t="str">
        <f>[6]INDEX!G13</f>
        <v>수입보험료</v>
      </c>
      <c r="C1" s="468" t="s">
        <v>1747</v>
      </c>
    </row>
    <row r="2" spans="2:74" x14ac:dyDescent="0.3">
      <c r="B2" s="235" t="s">
        <v>18</v>
      </c>
    </row>
    <row r="3" spans="2:74" s="560" customFormat="1" x14ac:dyDescent="0.3"/>
    <row r="4" spans="2:74" s="560" customFormat="1" ht="16.5" customHeight="1" x14ac:dyDescent="0.3">
      <c r="B4" s="559" t="s">
        <v>91</v>
      </c>
      <c r="C4" s="559" t="s">
        <v>130</v>
      </c>
      <c r="D4" s="856">
        <f>U4</f>
        <v>2025</v>
      </c>
      <c r="E4" s="854"/>
      <c r="F4" s="855"/>
      <c r="G4" s="856">
        <f>AD4</f>
        <v>2024</v>
      </c>
      <c r="H4" s="854"/>
      <c r="I4" s="855"/>
      <c r="J4" s="858" t="s">
        <v>32</v>
      </c>
      <c r="K4" s="859"/>
      <c r="L4" s="859"/>
      <c r="M4" s="565"/>
      <c r="N4" s="566"/>
      <c r="O4" s="814"/>
      <c r="P4" s="814"/>
      <c r="Q4" s="814"/>
      <c r="R4" s="814"/>
      <c r="S4" s="814"/>
      <c r="T4" s="814"/>
      <c r="U4" s="667">
        <v>2025</v>
      </c>
      <c r="V4" s="667"/>
      <c r="W4" s="667"/>
      <c r="X4" s="667"/>
      <c r="Y4" s="667"/>
      <c r="Z4" s="667"/>
      <c r="AA4" s="667"/>
      <c r="AB4" s="667"/>
      <c r="AC4" s="567"/>
      <c r="AD4" s="856">
        <v>2024</v>
      </c>
      <c r="AE4" s="854"/>
      <c r="AF4" s="854"/>
      <c r="AG4" s="854"/>
      <c r="AH4" s="854"/>
      <c r="AI4" s="854"/>
      <c r="AJ4" s="854"/>
      <c r="AK4" s="854"/>
      <c r="AL4" s="854"/>
      <c r="AM4" s="854"/>
      <c r="AN4" s="854"/>
      <c r="AO4" s="854"/>
      <c r="AP4" s="854"/>
      <c r="AQ4" s="854"/>
      <c r="AR4" s="567"/>
      <c r="AS4" s="856">
        <v>2023</v>
      </c>
      <c r="AT4" s="854"/>
      <c r="AU4" s="854"/>
      <c r="AV4" s="854"/>
      <c r="AW4" s="854"/>
      <c r="AX4" s="854"/>
      <c r="AY4" s="854"/>
      <c r="AZ4" s="854"/>
      <c r="BA4" s="854"/>
      <c r="BB4" s="854"/>
      <c r="BC4" s="854"/>
      <c r="BD4" s="854"/>
      <c r="BE4" s="854"/>
      <c r="BF4" s="854"/>
      <c r="BG4" s="855"/>
      <c r="BH4" s="856">
        <v>2022</v>
      </c>
      <c r="BI4" s="854"/>
      <c r="BJ4" s="854"/>
      <c r="BK4" s="854"/>
      <c r="BL4" s="854"/>
      <c r="BM4" s="854"/>
      <c r="BN4" s="854"/>
      <c r="BO4" s="854"/>
      <c r="BP4" s="854"/>
      <c r="BQ4" s="854"/>
      <c r="BR4" s="854"/>
      <c r="BS4" s="854"/>
      <c r="BT4" s="854"/>
      <c r="BU4" s="854"/>
      <c r="BV4" s="855"/>
    </row>
    <row r="5" spans="2:74" s="560" customFormat="1" x14ac:dyDescent="0.3">
      <c r="B5" s="559"/>
      <c r="C5" s="559"/>
      <c r="D5" s="857" t="str">
        <f>O5</f>
        <v>FY</v>
      </c>
      <c r="E5" s="857"/>
      <c r="F5" s="857"/>
      <c r="G5" s="857" t="str">
        <f>AD5</f>
        <v>FY</v>
      </c>
      <c r="H5" s="857"/>
      <c r="I5" s="857"/>
      <c r="J5" s="860"/>
      <c r="K5" s="861"/>
      <c r="L5" s="861"/>
      <c r="M5" s="565"/>
      <c r="N5" s="566"/>
      <c r="O5" s="857" t="s">
        <v>31</v>
      </c>
      <c r="P5" s="857"/>
      <c r="Q5" s="857"/>
      <c r="R5" s="857" t="s">
        <v>28</v>
      </c>
      <c r="S5" s="857"/>
      <c r="T5" s="857"/>
      <c r="U5" s="857" t="s">
        <v>30</v>
      </c>
      <c r="V5" s="857"/>
      <c r="W5" s="857"/>
      <c r="X5" s="857" t="s">
        <v>27</v>
      </c>
      <c r="Y5" s="857"/>
      <c r="Z5" s="857"/>
      <c r="AA5" s="857" t="s">
        <v>29</v>
      </c>
      <c r="AB5" s="857"/>
      <c r="AC5" s="857"/>
      <c r="AD5" s="857" t="s">
        <v>31</v>
      </c>
      <c r="AE5" s="857"/>
      <c r="AF5" s="857"/>
      <c r="AG5" s="857" t="s">
        <v>28</v>
      </c>
      <c r="AH5" s="857"/>
      <c r="AI5" s="857"/>
      <c r="AJ5" s="857" t="s">
        <v>30</v>
      </c>
      <c r="AK5" s="857"/>
      <c r="AL5" s="857"/>
      <c r="AM5" s="857" t="s">
        <v>27</v>
      </c>
      <c r="AN5" s="857"/>
      <c r="AO5" s="857"/>
      <c r="AP5" s="857" t="s">
        <v>29</v>
      </c>
      <c r="AQ5" s="857"/>
      <c r="AR5" s="857"/>
      <c r="AS5" s="857" t="s">
        <v>31</v>
      </c>
      <c r="AT5" s="857"/>
      <c r="AU5" s="857"/>
      <c r="AV5" s="857" t="s">
        <v>28</v>
      </c>
      <c r="AW5" s="857"/>
      <c r="AX5" s="857"/>
      <c r="AY5" s="857" t="s">
        <v>30</v>
      </c>
      <c r="AZ5" s="857"/>
      <c r="BA5" s="857"/>
      <c r="BB5" s="857" t="s">
        <v>27</v>
      </c>
      <c r="BC5" s="857"/>
      <c r="BD5" s="857"/>
      <c r="BE5" s="857" t="s">
        <v>29</v>
      </c>
      <c r="BF5" s="857"/>
      <c r="BG5" s="857"/>
      <c r="BH5" s="856" t="s">
        <v>772</v>
      </c>
      <c r="BI5" s="854"/>
      <c r="BJ5" s="855"/>
      <c r="BK5" s="856" t="s">
        <v>28</v>
      </c>
      <c r="BL5" s="854"/>
      <c r="BM5" s="855"/>
      <c r="BN5" s="857" t="s">
        <v>30</v>
      </c>
      <c r="BO5" s="857"/>
      <c r="BP5" s="857"/>
      <c r="BQ5" s="857" t="s">
        <v>27</v>
      </c>
      <c r="BR5" s="857"/>
      <c r="BS5" s="857"/>
      <c r="BT5" s="857" t="s">
        <v>29</v>
      </c>
      <c r="BU5" s="857"/>
      <c r="BV5" s="857"/>
    </row>
    <row r="6" spans="2:74" s="560" customFormat="1" ht="45" x14ac:dyDescent="0.3">
      <c r="B6" s="817"/>
      <c r="C6" s="817"/>
      <c r="D6" s="568" t="s">
        <v>1940</v>
      </c>
      <c r="E6" s="568" t="s">
        <v>1941</v>
      </c>
      <c r="F6" s="568" t="s">
        <v>1942</v>
      </c>
      <c r="G6" s="568" t="s">
        <v>1940</v>
      </c>
      <c r="H6" s="568" t="s">
        <v>1941</v>
      </c>
      <c r="I6" s="568" t="s">
        <v>1942</v>
      </c>
      <c r="J6" s="568" t="s">
        <v>1940</v>
      </c>
      <c r="K6" s="568" t="s">
        <v>1941</v>
      </c>
      <c r="L6" s="569" t="s">
        <v>1942</v>
      </c>
      <c r="M6" s="570"/>
      <c r="N6" s="571"/>
      <c r="O6" s="568" t="s">
        <v>1940</v>
      </c>
      <c r="P6" s="568" t="s">
        <v>1941</v>
      </c>
      <c r="Q6" s="568" t="s">
        <v>1942</v>
      </c>
      <c r="R6" s="568" t="s">
        <v>1940</v>
      </c>
      <c r="S6" s="568" t="s">
        <v>1941</v>
      </c>
      <c r="T6" s="568" t="s">
        <v>1942</v>
      </c>
      <c r="U6" s="568" t="s">
        <v>1940</v>
      </c>
      <c r="V6" s="568" t="s">
        <v>1941</v>
      </c>
      <c r="W6" s="568" t="s">
        <v>1942</v>
      </c>
      <c r="X6" s="568" t="s">
        <v>1940</v>
      </c>
      <c r="Y6" s="568" t="s">
        <v>1941</v>
      </c>
      <c r="Z6" s="568" t="s">
        <v>1942</v>
      </c>
      <c r="AA6" s="568" t="s">
        <v>1940</v>
      </c>
      <c r="AB6" s="568" t="s">
        <v>1941</v>
      </c>
      <c r="AC6" s="568" t="s">
        <v>1942</v>
      </c>
      <c r="AD6" s="568" t="s">
        <v>1940</v>
      </c>
      <c r="AE6" s="568" t="s">
        <v>1941</v>
      </c>
      <c r="AF6" s="568" t="s">
        <v>1942</v>
      </c>
      <c r="AG6" s="568" t="s">
        <v>1940</v>
      </c>
      <c r="AH6" s="568" t="s">
        <v>1941</v>
      </c>
      <c r="AI6" s="568" t="s">
        <v>1942</v>
      </c>
      <c r="AJ6" s="568" t="s">
        <v>1940</v>
      </c>
      <c r="AK6" s="568" t="s">
        <v>1941</v>
      </c>
      <c r="AL6" s="568" t="s">
        <v>1942</v>
      </c>
      <c r="AM6" s="568" t="s">
        <v>1940</v>
      </c>
      <c r="AN6" s="568" t="s">
        <v>1941</v>
      </c>
      <c r="AO6" s="568" t="s">
        <v>1942</v>
      </c>
      <c r="AP6" s="568" t="s">
        <v>1940</v>
      </c>
      <c r="AQ6" s="568" t="s">
        <v>1941</v>
      </c>
      <c r="AR6" s="568" t="s">
        <v>1942</v>
      </c>
      <c r="AS6" s="568" t="s">
        <v>1940</v>
      </c>
      <c r="AT6" s="568" t="s">
        <v>1941</v>
      </c>
      <c r="AU6" s="568" t="s">
        <v>1942</v>
      </c>
      <c r="AV6" s="568" t="s">
        <v>1940</v>
      </c>
      <c r="AW6" s="568" t="s">
        <v>1941</v>
      </c>
      <c r="AX6" s="568" t="s">
        <v>1942</v>
      </c>
      <c r="AY6" s="568" t="s">
        <v>1940</v>
      </c>
      <c r="AZ6" s="568" t="s">
        <v>1941</v>
      </c>
      <c r="BA6" s="568" t="s">
        <v>1942</v>
      </c>
      <c r="BB6" s="568" t="s">
        <v>1940</v>
      </c>
      <c r="BC6" s="568" t="s">
        <v>1941</v>
      </c>
      <c r="BD6" s="568" t="s">
        <v>1942</v>
      </c>
      <c r="BE6" s="568" t="s">
        <v>1940</v>
      </c>
      <c r="BF6" s="568" t="s">
        <v>1941</v>
      </c>
      <c r="BG6" s="568" t="s">
        <v>1942</v>
      </c>
      <c r="BH6" s="568" t="s">
        <v>773</v>
      </c>
      <c r="BI6" s="568" t="s">
        <v>774</v>
      </c>
      <c r="BJ6" s="568" t="s">
        <v>775</v>
      </c>
      <c r="BK6" s="568" t="s">
        <v>773</v>
      </c>
      <c r="BL6" s="568" t="s">
        <v>774</v>
      </c>
      <c r="BM6" s="568" t="s">
        <v>775</v>
      </c>
      <c r="BN6" s="568" t="s">
        <v>1940</v>
      </c>
      <c r="BO6" s="568" t="s">
        <v>1941</v>
      </c>
      <c r="BP6" s="568" t="s">
        <v>1942</v>
      </c>
      <c r="BQ6" s="568" t="s">
        <v>1940</v>
      </c>
      <c r="BR6" s="568" t="s">
        <v>1941</v>
      </c>
      <c r="BS6" s="568" t="s">
        <v>1942</v>
      </c>
      <c r="BT6" s="568" t="s">
        <v>1940</v>
      </c>
      <c r="BU6" s="568" t="s">
        <v>1941</v>
      </c>
      <c r="BV6" s="568" t="s">
        <v>1942</v>
      </c>
    </row>
    <row r="7" spans="2:74" s="374" customFormat="1" x14ac:dyDescent="0.3">
      <c r="B7" s="553" t="s">
        <v>102</v>
      </c>
      <c r="C7" s="374" t="s">
        <v>126</v>
      </c>
      <c r="D7" s="572">
        <f>SUM(D8,D12,D15)</f>
        <v>1622.0583156330001</v>
      </c>
      <c r="E7" s="572">
        <f t="shared" ref="E7" si="0">E8+E12+E15</f>
        <v>2372.9175122930001</v>
      </c>
      <c r="F7" s="572">
        <f t="shared" ref="F7:F22" si="1">D7+E7</f>
        <v>3994.9758279260004</v>
      </c>
      <c r="G7" s="572">
        <f>SUM(G8,G12,G15)</f>
        <v>1557.1112346199998</v>
      </c>
      <c r="H7" s="572">
        <f t="shared" ref="H7" si="2">H8+H12+H15</f>
        <v>1761.5118108780002</v>
      </c>
      <c r="I7" s="572">
        <f t="shared" ref="I7:I22" si="3">G7+H7</f>
        <v>3318.623045498</v>
      </c>
      <c r="J7" s="400">
        <f t="shared" ref="J7:L22" si="4">+IFERROR(IF(G7&lt;0,-(D7/G7-1),(D7/G7-1)),0)</f>
        <v>4.1709981643572203E-2</v>
      </c>
      <c r="K7" s="400">
        <f t="shared" si="4"/>
        <v>0.34709145725810009</v>
      </c>
      <c r="L7" s="573">
        <f t="shared" si="4"/>
        <v>0.20380524487272855</v>
      </c>
      <c r="M7" s="573"/>
      <c r="N7" s="574"/>
      <c r="O7" s="572">
        <v>1622.0583156329999</v>
      </c>
      <c r="P7" s="572">
        <v>2372.9175122930001</v>
      </c>
      <c r="Q7" s="572">
        <f t="shared" ref="Q7:Q9" si="5">O7+P7</f>
        <v>3994.975827926</v>
      </c>
      <c r="R7" s="572">
        <v>416.80244218199994</v>
      </c>
      <c r="S7" s="572">
        <v>665.29835834500011</v>
      </c>
      <c r="T7" s="572">
        <f t="shared" ref="T7:T9" si="6">R7+S7</f>
        <v>1082.100800527</v>
      </c>
      <c r="U7" s="572">
        <f t="shared" ref="U7:V7" si="7">U8+U12+U15</f>
        <v>409.15469272899986</v>
      </c>
      <c r="V7" s="572">
        <f t="shared" si="7"/>
        <v>699.22767335200001</v>
      </c>
      <c r="W7" s="572">
        <f t="shared" ref="W7:W9" si="8">U7+V7</f>
        <v>1108.3823660809999</v>
      </c>
      <c r="X7" s="572">
        <f t="shared" ref="X7:Y7" si="9">X8+X12+X15</f>
        <v>397.506219832</v>
      </c>
      <c r="Y7" s="572">
        <f t="shared" si="9"/>
        <v>451.54081366100002</v>
      </c>
      <c r="Z7" s="572">
        <f t="shared" ref="Z7:Z9" si="10">X7+Y7</f>
        <v>849.04703349300007</v>
      </c>
      <c r="AA7" s="572">
        <f t="shared" ref="AA7:AB7" si="11">AA8+AA12+AA15</f>
        <v>398.59496088999998</v>
      </c>
      <c r="AB7" s="572">
        <f t="shared" si="11"/>
        <v>556.85066693499994</v>
      </c>
      <c r="AC7" s="572">
        <f t="shared" ref="AC7:AC9" si="12">AA7+AB7</f>
        <v>955.44562782499997</v>
      </c>
      <c r="AD7" s="572">
        <f t="shared" ref="AD7:AE7" si="13">AD8+AD12+AD15</f>
        <v>1557.1112346199998</v>
      </c>
      <c r="AE7" s="572">
        <f t="shared" si="13"/>
        <v>1761.5118108780002</v>
      </c>
      <c r="AF7" s="572">
        <f t="shared" ref="AF7:AF9" si="14">AD7+AE7</f>
        <v>3318.623045498</v>
      </c>
      <c r="AG7" s="572">
        <f t="shared" ref="AG7:AH7" si="15">AG8+AG12+AG15</f>
        <v>395.92229525600004</v>
      </c>
      <c r="AH7" s="572">
        <f t="shared" si="15"/>
        <v>505.23042970799992</v>
      </c>
      <c r="AI7" s="572">
        <f t="shared" ref="AI7:AI9" si="16">AG7+AH7</f>
        <v>901.15272496399996</v>
      </c>
      <c r="AJ7" s="572">
        <f t="shared" ref="AJ7:AK7" si="17">AJ8+AJ12+AJ15</f>
        <v>387.76807725299994</v>
      </c>
      <c r="AK7" s="572">
        <f t="shared" si="17"/>
        <v>455.83477731400001</v>
      </c>
      <c r="AL7" s="572">
        <f t="shared" ref="AL7:AL9" si="18">AJ7+AK7</f>
        <v>843.60285456699989</v>
      </c>
      <c r="AM7" s="572">
        <f t="shared" ref="AM7:AN7" si="19">AM8+AM12+AM15</f>
        <v>388.55788174899999</v>
      </c>
      <c r="AN7" s="572">
        <f t="shared" si="19"/>
        <v>400.64807172500002</v>
      </c>
      <c r="AO7" s="572">
        <f t="shared" ref="AO7:AO9" si="20">AM7+AN7</f>
        <v>789.20595347400001</v>
      </c>
      <c r="AP7" s="572">
        <f t="shared" ref="AP7:AQ7" si="21">AP8+AP12+AP15</f>
        <v>384.86298036200003</v>
      </c>
      <c r="AQ7" s="572">
        <f t="shared" si="21"/>
        <v>399.79853213100006</v>
      </c>
      <c r="AR7" s="572">
        <f t="shared" ref="AR7:AR9" si="22">AP7+AQ7</f>
        <v>784.66151249300015</v>
      </c>
      <c r="AS7" s="572">
        <f t="shared" ref="AS7:AT7" si="23">AS8+AS12+AS15</f>
        <v>1540.4087691739999</v>
      </c>
      <c r="AT7" s="572">
        <f t="shared" si="23"/>
        <v>1303.6974563899998</v>
      </c>
      <c r="AU7" s="572">
        <f t="shared" ref="AU7:AU22" si="24">AS7+AT7</f>
        <v>2844.1062255639999</v>
      </c>
      <c r="AV7" s="572">
        <f t="shared" ref="AV7:AW7" si="25">AV8+AV12+AV15</f>
        <v>387.28431368399987</v>
      </c>
      <c r="AW7" s="572">
        <f t="shared" si="25"/>
        <v>322.01345420500002</v>
      </c>
      <c r="AX7" s="572">
        <f t="shared" ref="AX7:AX22" si="26">AV7+AW7</f>
        <v>709.29776788899994</v>
      </c>
      <c r="AY7" s="572">
        <f t="shared" ref="AY7:AZ7" si="27">AY8+AY12+AY15</f>
        <v>383.44670297900001</v>
      </c>
      <c r="AZ7" s="572">
        <f t="shared" si="27"/>
        <v>346.29633848800006</v>
      </c>
      <c r="BA7" s="572">
        <f t="shared" ref="BA7:BA22" si="28">AY7+AZ7</f>
        <v>729.74304146700001</v>
      </c>
      <c r="BB7" s="572">
        <f t="shared" ref="BB7:BC7" si="29">BB8+BB12+BB15</f>
        <v>382.767311216</v>
      </c>
      <c r="BC7" s="572">
        <f t="shared" si="29"/>
        <v>318.075115493</v>
      </c>
      <c r="BD7" s="572">
        <f t="shared" ref="BD7:BD22" si="30">BB7+BC7</f>
        <v>700.84242670899994</v>
      </c>
      <c r="BE7" s="572">
        <f t="shared" ref="BE7:BF7" si="31">BE8+BE12+BE15</f>
        <v>386.91044129499994</v>
      </c>
      <c r="BF7" s="572">
        <f t="shared" si="31"/>
        <v>317.31254820400005</v>
      </c>
      <c r="BG7" s="572">
        <f t="shared" ref="BG7:BG22" si="32">BE7+BF7</f>
        <v>704.22298949900005</v>
      </c>
      <c r="BH7" s="572">
        <f t="shared" ref="BH7:BI7" si="33">BH8+BH12+BH15</f>
        <v>1633.656665085</v>
      </c>
      <c r="BI7" s="572">
        <f t="shared" si="33"/>
        <v>1663.4779069210003</v>
      </c>
      <c r="BJ7" s="572">
        <f t="shared" ref="BJ7:BJ22" si="34">BH7+BI7</f>
        <v>3297.1345720060003</v>
      </c>
      <c r="BK7" s="572">
        <f t="shared" ref="BK7:BL7" si="35">BK8+BK12+BK15</f>
        <v>399.508281506</v>
      </c>
      <c r="BL7" s="572">
        <f t="shared" si="35"/>
        <v>333.51337727100002</v>
      </c>
      <c r="BM7" s="572">
        <f t="shared" ref="BM7:BM22" si="36">BK7+BL7</f>
        <v>733.02165877700008</v>
      </c>
      <c r="BN7" s="572">
        <f t="shared" ref="BN7:BO7" si="37">BN8+BN12+BN15</f>
        <v>404.607648149</v>
      </c>
      <c r="BO7" s="572">
        <f t="shared" si="37"/>
        <v>370.48826351499997</v>
      </c>
      <c r="BP7" s="572">
        <f t="shared" ref="BP7:BP22" si="38">BN7+BO7</f>
        <v>775.09591166399991</v>
      </c>
      <c r="BQ7" s="572">
        <f t="shared" ref="BQ7:BR7" si="39">BQ8+BQ12+BQ15</f>
        <v>408.239450535</v>
      </c>
      <c r="BR7" s="572">
        <f t="shared" si="39"/>
        <v>409.36294350500009</v>
      </c>
      <c r="BS7" s="572">
        <f t="shared" ref="BS7:BS22" si="40">BQ7+BR7</f>
        <v>817.60239404000004</v>
      </c>
      <c r="BT7" s="572">
        <f t="shared" ref="BT7:BU7" si="41">BT8+BT12+BT15</f>
        <v>421.30128489500004</v>
      </c>
      <c r="BU7" s="572">
        <f t="shared" si="41"/>
        <v>550.11332263000008</v>
      </c>
      <c r="BV7" s="572">
        <f t="shared" ref="BV7:BV22" si="42">BT7+BU7</f>
        <v>971.41460752500006</v>
      </c>
    </row>
    <row r="8" spans="2:74" x14ac:dyDescent="0.3">
      <c r="B8" s="554" t="s">
        <v>92</v>
      </c>
      <c r="C8" s="554" t="s">
        <v>125</v>
      </c>
      <c r="D8" s="575">
        <f>SUM(D9:D11)</f>
        <v>1509.47131737</v>
      </c>
      <c r="E8" s="575">
        <f>SUM(E9:E11)</f>
        <v>294.89586122400004</v>
      </c>
      <c r="F8" s="575">
        <f t="shared" si="1"/>
        <v>1804.3671785940001</v>
      </c>
      <c r="G8" s="575">
        <f t="shared" ref="G8:H8" si="43">SUM(G9:G11)</f>
        <v>1412.9265777219998</v>
      </c>
      <c r="H8" s="575">
        <f t="shared" si="43"/>
        <v>300.91363976000002</v>
      </c>
      <c r="I8" s="575">
        <f t="shared" si="3"/>
        <v>1713.8402174819998</v>
      </c>
      <c r="J8" s="576">
        <f t="shared" si="4"/>
        <v>6.8329622480210572E-2</v>
      </c>
      <c r="K8" s="576">
        <f t="shared" si="4"/>
        <v>-1.9998357471597505E-2</v>
      </c>
      <c r="L8" s="577">
        <f t="shared" si="4"/>
        <v>5.2821120772275743E-2</v>
      </c>
      <c r="M8" s="578"/>
      <c r="N8" s="579"/>
      <c r="O8" s="575">
        <v>1509.4713173699997</v>
      </c>
      <c r="P8" s="575">
        <v>294.89586122400004</v>
      </c>
      <c r="Q8" s="575">
        <f t="shared" si="5"/>
        <v>1804.3671785939998</v>
      </c>
      <c r="R8" s="575">
        <v>389.46828707199995</v>
      </c>
      <c r="S8" s="575">
        <v>74.289381530999989</v>
      </c>
      <c r="T8" s="575">
        <f t="shared" si="6"/>
        <v>463.75766860299996</v>
      </c>
      <c r="U8" s="575">
        <v>380.51266508099991</v>
      </c>
      <c r="V8" s="575">
        <v>74.034432642000013</v>
      </c>
      <c r="W8" s="575">
        <f t="shared" si="8"/>
        <v>454.54709772299992</v>
      </c>
      <c r="X8" s="575">
        <f>SUM(X9:X11)</f>
        <v>371.80019701099997</v>
      </c>
      <c r="Y8" s="575">
        <f>SUM(Y9:Y11)</f>
        <v>72.83547379800001</v>
      </c>
      <c r="Z8" s="575">
        <f t="shared" si="10"/>
        <v>444.63567080899998</v>
      </c>
      <c r="AA8" s="575">
        <f>SUM(AA9:AA11)</f>
        <v>367.69016820599995</v>
      </c>
      <c r="AB8" s="575">
        <f>SUM(AB9:AB11)</f>
        <v>73.736573253000003</v>
      </c>
      <c r="AC8" s="575">
        <f t="shared" si="12"/>
        <v>441.42674145899997</v>
      </c>
      <c r="AD8" s="575">
        <f>SUM(AD9:AD11)</f>
        <v>1412.9265777219998</v>
      </c>
      <c r="AE8" s="575">
        <f>SUM(AE9:AE11)</f>
        <v>300.91363976000002</v>
      </c>
      <c r="AF8" s="575">
        <f t="shared" si="14"/>
        <v>1713.8402174819998</v>
      </c>
      <c r="AG8" s="575">
        <f>SUM(AG9:AG11)</f>
        <v>362.39423868900002</v>
      </c>
      <c r="AH8" s="575">
        <f>SUM(AH9:AH11)</f>
        <v>74.041309700999989</v>
      </c>
      <c r="AI8" s="575">
        <f t="shared" si="16"/>
        <v>436.43554839000001</v>
      </c>
      <c r="AJ8" s="575">
        <f>SUM(AJ9:AJ11)</f>
        <v>355.36849424999997</v>
      </c>
      <c r="AK8" s="575">
        <f>SUM(AK9:AK11)</f>
        <v>74.966110689000004</v>
      </c>
      <c r="AL8" s="575">
        <f t="shared" si="18"/>
        <v>430.33460493899997</v>
      </c>
      <c r="AM8" s="575">
        <f>SUM(AM9:AM11)</f>
        <v>349.48903611899999</v>
      </c>
      <c r="AN8" s="575">
        <f>SUM(AN9:AN11)</f>
        <v>75.454580779000011</v>
      </c>
      <c r="AO8" s="575">
        <f t="shared" si="20"/>
        <v>424.94361689800002</v>
      </c>
      <c r="AP8" s="575">
        <f>SUM(AP9:AP11)</f>
        <v>345.67480866400001</v>
      </c>
      <c r="AQ8" s="575">
        <f>SUM(AQ9:AQ11)</f>
        <v>76.451638591000005</v>
      </c>
      <c r="AR8" s="575">
        <f t="shared" si="22"/>
        <v>422.12644725500002</v>
      </c>
      <c r="AS8" s="575">
        <f>SUM(AS9:AS11)</f>
        <v>1360.656005331</v>
      </c>
      <c r="AT8" s="575">
        <f>SUM(AT9:AT11)</f>
        <v>324.86105172999999</v>
      </c>
      <c r="AU8" s="575">
        <f t="shared" si="24"/>
        <v>1685.5170570609998</v>
      </c>
      <c r="AV8" s="575">
        <f>SUM(AV9:AV11)</f>
        <v>342.49483594099991</v>
      </c>
      <c r="AW8" s="575">
        <f>SUM(AW9:AW11)</f>
        <v>77.698791221999997</v>
      </c>
      <c r="AX8" s="575">
        <f t="shared" si="26"/>
        <v>420.19362716299992</v>
      </c>
      <c r="AY8" s="575">
        <f>SUM(AY9:AY11)</f>
        <v>340.77879096499998</v>
      </c>
      <c r="AZ8" s="575">
        <f>SUM(AZ9:AZ11)</f>
        <v>79.831597254000002</v>
      </c>
      <c r="BA8" s="575">
        <f t="shared" si="28"/>
        <v>420.61038821900001</v>
      </c>
      <c r="BB8" s="575">
        <f>SUM(BB9:BB11)</f>
        <v>338.02064156599999</v>
      </c>
      <c r="BC8" s="575">
        <f>SUM(BC9:BC11)</f>
        <v>82.531166610000014</v>
      </c>
      <c r="BD8" s="575">
        <f t="shared" si="30"/>
        <v>420.55180817600001</v>
      </c>
      <c r="BE8" s="575">
        <f t="shared" ref="BE8:BF8" si="44">SUM(BE9:BE11)</f>
        <v>339.36173685899996</v>
      </c>
      <c r="BF8" s="575">
        <f t="shared" si="44"/>
        <v>84.799496644000001</v>
      </c>
      <c r="BG8" s="575">
        <f t="shared" si="32"/>
        <v>424.16123350299995</v>
      </c>
      <c r="BH8" s="575">
        <f t="shared" ref="BH8:BI8" si="45">SUM(BH9:BH11)</f>
        <v>1380.4006330929999</v>
      </c>
      <c r="BI8" s="575">
        <f t="shared" si="45"/>
        <v>367.86186509200007</v>
      </c>
      <c r="BJ8" s="575">
        <f t="shared" si="34"/>
        <v>1748.2624981849999</v>
      </c>
      <c r="BK8" s="575">
        <f t="shared" ref="BK8:BL8" si="46">SUM(BK9:BK11)</f>
        <v>343.59694801799998</v>
      </c>
      <c r="BL8" s="575">
        <f t="shared" si="46"/>
        <v>88.597827147999993</v>
      </c>
      <c r="BM8" s="575">
        <f t="shared" si="36"/>
        <v>432.194775166</v>
      </c>
      <c r="BN8" s="575">
        <f t="shared" ref="BN8:BO8" si="47">SUM(BN9:BN11)</f>
        <v>345.87070374899997</v>
      </c>
      <c r="BO8" s="575">
        <f t="shared" si="47"/>
        <v>90.803184532999992</v>
      </c>
      <c r="BP8" s="575">
        <f t="shared" si="38"/>
        <v>436.67388828199995</v>
      </c>
      <c r="BQ8" s="575">
        <f t="shared" ref="BQ8:BR8" si="48">SUM(BQ9:BQ11)</f>
        <v>345.12579007800002</v>
      </c>
      <c r="BR8" s="575">
        <f t="shared" si="48"/>
        <v>92.807600640000004</v>
      </c>
      <c r="BS8" s="575">
        <f t="shared" si="40"/>
        <v>437.93339071800006</v>
      </c>
      <c r="BT8" s="575">
        <f t="shared" ref="BT8:BU8" si="49">SUM(BT9:BT11)</f>
        <v>345.80719124800004</v>
      </c>
      <c r="BU8" s="575">
        <f t="shared" si="49"/>
        <v>95.653252771000027</v>
      </c>
      <c r="BV8" s="575">
        <f t="shared" si="42"/>
        <v>441.46044401900008</v>
      </c>
    </row>
    <row r="9" spans="2:74" x14ac:dyDescent="0.3">
      <c r="B9" s="555" t="s">
        <v>93</v>
      </c>
      <c r="C9" s="580" t="s">
        <v>117</v>
      </c>
      <c r="D9" s="581">
        <f>SUM(X9,AA9,U9,R9)</f>
        <v>588.37122848800004</v>
      </c>
      <c r="E9" s="581">
        <f>SUM(Y9,AB9,V9,S9)</f>
        <v>0</v>
      </c>
      <c r="F9" s="581">
        <f t="shared" si="1"/>
        <v>588.37122848800004</v>
      </c>
      <c r="G9" s="581">
        <f>SUM(AM9,AP9,AJ9,AG9)</f>
        <v>613.04789552699992</v>
      </c>
      <c r="H9" s="581">
        <f>SUM(AN9,AQ9,AK9,AH9)</f>
        <v>0</v>
      </c>
      <c r="I9" s="581">
        <f t="shared" si="3"/>
        <v>613.04789552699992</v>
      </c>
      <c r="J9" s="388">
        <f t="shared" si="4"/>
        <v>-4.0252429245820731E-2</v>
      </c>
      <c r="K9" s="388">
        <f t="shared" si="4"/>
        <v>0</v>
      </c>
      <c r="L9" s="578">
        <f t="shared" si="4"/>
        <v>-4.0252429245820731E-2</v>
      </c>
      <c r="M9" s="578"/>
      <c r="N9" s="579"/>
      <c r="O9" s="581">
        <v>588.37122848799993</v>
      </c>
      <c r="P9" s="581">
        <v>0</v>
      </c>
      <c r="Q9" s="581">
        <f t="shared" si="5"/>
        <v>588.37122848799993</v>
      </c>
      <c r="R9" s="581">
        <v>143.94566008999999</v>
      </c>
      <c r="S9" s="581">
        <v>0</v>
      </c>
      <c r="T9" s="581">
        <f t="shared" si="6"/>
        <v>143.94566008999999</v>
      </c>
      <c r="U9" s="581">
        <v>146.252240591</v>
      </c>
      <c r="V9" s="581">
        <v>0</v>
      </c>
      <c r="W9" s="581">
        <f t="shared" si="8"/>
        <v>146.252240591</v>
      </c>
      <c r="X9" s="581">
        <v>147.83100257899997</v>
      </c>
      <c r="Y9" s="581">
        <v>0</v>
      </c>
      <c r="Z9" s="581">
        <f t="shared" si="10"/>
        <v>147.83100257899997</v>
      </c>
      <c r="AA9" s="581">
        <v>150.34232522799999</v>
      </c>
      <c r="AB9" s="581">
        <v>0</v>
      </c>
      <c r="AC9" s="581">
        <f t="shared" si="12"/>
        <v>150.34232522799999</v>
      </c>
      <c r="AD9" s="581">
        <f>+AG9+AJ9+AM9+AP9</f>
        <v>613.04789552699992</v>
      </c>
      <c r="AE9" s="581">
        <f>+AH9+AK9+AN9+AQ9</f>
        <v>0</v>
      </c>
      <c r="AF9" s="581">
        <f t="shared" si="14"/>
        <v>613.04789552699992</v>
      </c>
      <c r="AG9" s="581">
        <v>152.04430805600001</v>
      </c>
      <c r="AH9" s="581">
        <v>0</v>
      </c>
      <c r="AI9" s="581">
        <f t="shared" si="16"/>
        <v>152.04430805600001</v>
      </c>
      <c r="AJ9" s="581">
        <v>153.15094092699997</v>
      </c>
      <c r="AK9" s="581">
        <v>0</v>
      </c>
      <c r="AL9" s="581">
        <f t="shared" si="18"/>
        <v>153.15094092699997</v>
      </c>
      <c r="AM9" s="581">
        <v>153.50130197199999</v>
      </c>
      <c r="AN9" s="581">
        <v>0</v>
      </c>
      <c r="AO9" s="581">
        <f t="shared" si="20"/>
        <v>153.50130197199999</v>
      </c>
      <c r="AP9" s="581">
        <v>154.35134457200002</v>
      </c>
      <c r="AQ9" s="581">
        <v>0</v>
      </c>
      <c r="AR9" s="581">
        <f t="shared" si="22"/>
        <v>154.35134457200002</v>
      </c>
      <c r="AS9" s="581">
        <v>616.10789457299995</v>
      </c>
      <c r="AT9" s="581">
        <v>0</v>
      </c>
      <c r="AU9" s="581">
        <f t="shared" si="24"/>
        <v>616.10789457299995</v>
      </c>
      <c r="AV9" s="581">
        <v>155.00520805799999</v>
      </c>
      <c r="AW9" s="581">
        <v>0</v>
      </c>
      <c r="AX9" s="581">
        <f t="shared" si="26"/>
        <v>155.00520805799999</v>
      </c>
      <c r="AY9" s="581">
        <v>154.10115632999998</v>
      </c>
      <c r="AZ9" s="581">
        <v>0</v>
      </c>
      <c r="BA9" s="581">
        <f t="shared" si="28"/>
        <v>154.10115632999998</v>
      </c>
      <c r="BB9" s="581">
        <v>152.97367390799997</v>
      </c>
      <c r="BC9" s="581">
        <v>0</v>
      </c>
      <c r="BD9" s="581">
        <f t="shared" si="30"/>
        <v>152.97367390799997</v>
      </c>
      <c r="BE9" s="581">
        <v>154.02785627700001</v>
      </c>
      <c r="BF9" s="581">
        <v>0</v>
      </c>
      <c r="BG9" s="581">
        <f t="shared" si="32"/>
        <v>154.02785627700001</v>
      </c>
      <c r="BH9" s="581">
        <f>SUM(BK9,BN9,BQ9,BT9)</f>
        <v>637.47001641199995</v>
      </c>
      <c r="BI9" s="581">
        <f t="shared" ref="BI9:BI11" si="50">SUM(BL9,BO9,BR9,BU9)</f>
        <v>0</v>
      </c>
      <c r="BJ9" s="581">
        <f t="shared" si="34"/>
        <v>637.47001641199995</v>
      </c>
      <c r="BK9" s="581">
        <v>156.80005896399999</v>
      </c>
      <c r="BL9" s="581">
        <v>0</v>
      </c>
      <c r="BM9" s="581">
        <f t="shared" si="36"/>
        <v>156.80005896399999</v>
      </c>
      <c r="BN9" s="581">
        <v>158.84474148799998</v>
      </c>
      <c r="BO9" s="581">
        <v>0</v>
      </c>
      <c r="BP9" s="581">
        <f t="shared" si="38"/>
        <v>158.84474148799998</v>
      </c>
      <c r="BQ9" s="581">
        <v>159.816006418</v>
      </c>
      <c r="BR9" s="581">
        <v>0</v>
      </c>
      <c r="BS9" s="581">
        <f t="shared" si="40"/>
        <v>159.816006418</v>
      </c>
      <c r="BT9" s="581">
        <v>162.00920954200004</v>
      </c>
      <c r="BU9" s="581">
        <v>0</v>
      </c>
      <c r="BV9" s="581">
        <f t="shared" si="42"/>
        <v>162.00920954200004</v>
      </c>
    </row>
    <row r="10" spans="2:74" x14ac:dyDescent="0.3">
      <c r="B10" s="555" t="s">
        <v>94</v>
      </c>
      <c r="C10" s="580" t="s">
        <v>118</v>
      </c>
      <c r="D10" s="581">
        <f t="shared" ref="D10:D11" si="51">SUM(X10,AA10,U10,R10)</f>
        <v>74.270877548000001</v>
      </c>
      <c r="E10" s="581">
        <f t="shared" ref="E10:E11" si="52">SUM(Y10,AB10,V10,S10)</f>
        <v>294.89586122400004</v>
      </c>
      <c r="F10" s="581">
        <f t="shared" si="1"/>
        <v>369.16673877200003</v>
      </c>
      <c r="G10" s="581">
        <f t="shared" ref="G10:G11" si="53">SUM(AM10,AP10,AJ10,AG10)</f>
        <v>68.517725009999992</v>
      </c>
      <c r="H10" s="581">
        <f t="shared" ref="H10:H11" si="54">SUM(AN10,AQ10,AK10,AH10)</f>
        <v>300.91363976000002</v>
      </c>
      <c r="I10" s="581">
        <f t="shared" si="3"/>
        <v>369.43136477000002</v>
      </c>
      <c r="J10" s="388">
        <f t="shared" si="4"/>
        <v>8.3965901336630067E-2</v>
      </c>
      <c r="K10" s="388">
        <f t="shared" si="4"/>
        <v>-1.9998357471597505E-2</v>
      </c>
      <c r="L10" s="578">
        <f t="shared" si="4"/>
        <v>-7.1630625668384074E-4</v>
      </c>
      <c r="M10" s="578"/>
      <c r="N10" s="579"/>
      <c r="O10" s="581">
        <v>74.270877548000001</v>
      </c>
      <c r="P10" s="581">
        <v>294.89586122400004</v>
      </c>
      <c r="Q10" s="581">
        <f>O10+P10</f>
        <v>369.16673877200003</v>
      </c>
      <c r="R10" s="581">
        <v>19.429261512</v>
      </c>
      <c r="S10" s="581">
        <v>74.289381530999989</v>
      </c>
      <c r="T10" s="581">
        <f>R10+S10</f>
        <v>93.718643042999986</v>
      </c>
      <c r="U10" s="581">
        <v>18.772320971999999</v>
      </c>
      <c r="V10" s="581">
        <v>74.034432642000013</v>
      </c>
      <c r="W10" s="581">
        <f>U10+V10</f>
        <v>92.806753614000016</v>
      </c>
      <c r="X10" s="581">
        <v>18.176193424000001</v>
      </c>
      <c r="Y10" s="581">
        <v>72.83547379800001</v>
      </c>
      <c r="Z10" s="581">
        <f>X10+Y10</f>
        <v>91.011667222000014</v>
      </c>
      <c r="AA10" s="581">
        <v>17.893101639999998</v>
      </c>
      <c r="AB10" s="581">
        <v>73.736573253000003</v>
      </c>
      <c r="AC10" s="581">
        <f>AA10+AB10</f>
        <v>91.629674893000001</v>
      </c>
      <c r="AD10" s="581">
        <f t="shared" ref="AD10:AE11" si="55">+AG10+AJ10+AM10+AP10</f>
        <v>68.517725009999992</v>
      </c>
      <c r="AE10" s="581">
        <f t="shared" si="55"/>
        <v>300.91363976000002</v>
      </c>
      <c r="AF10" s="581">
        <f>AD10+AE10</f>
        <v>369.43136477000002</v>
      </c>
      <c r="AG10" s="581">
        <v>17.563654759999999</v>
      </c>
      <c r="AH10" s="581">
        <v>74.041309700999989</v>
      </c>
      <c r="AI10" s="581">
        <f>AG10+AH10</f>
        <v>91.60496446099998</v>
      </c>
      <c r="AJ10" s="581">
        <v>17.214433890999999</v>
      </c>
      <c r="AK10" s="581">
        <v>74.966110689000004</v>
      </c>
      <c r="AL10" s="581">
        <f>AJ10+AK10</f>
        <v>92.180544580000003</v>
      </c>
      <c r="AM10" s="581">
        <v>16.845016663999999</v>
      </c>
      <c r="AN10" s="581">
        <v>75.454580779000011</v>
      </c>
      <c r="AO10" s="581">
        <f>AM10+AN10</f>
        <v>92.29959744300001</v>
      </c>
      <c r="AP10" s="581">
        <v>16.894619695000003</v>
      </c>
      <c r="AQ10" s="581">
        <v>76.451638591000005</v>
      </c>
      <c r="AR10" s="581">
        <f>AP10+AQ10</f>
        <v>93.346258286000008</v>
      </c>
      <c r="AS10" s="581">
        <v>77.953956637999994</v>
      </c>
      <c r="AT10" s="581">
        <v>324.86105172999999</v>
      </c>
      <c r="AU10" s="581">
        <f>AS10+AT10</f>
        <v>402.81500836800001</v>
      </c>
      <c r="AV10" s="581">
        <v>17.635327732</v>
      </c>
      <c r="AW10" s="581">
        <v>77.698791221999997</v>
      </c>
      <c r="AX10" s="581">
        <f t="shared" si="26"/>
        <v>95.33411895399999</v>
      </c>
      <c r="AY10" s="581">
        <v>18.740078455999999</v>
      </c>
      <c r="AZ10" s="581">
        <v>79.831597254000002</v>
      </c>
      <c r="BA10" s="581">
        <f t="shared" si="28"/>
        <v>98.571675709999994</v>
      </c>
      <c r="BB10" s="581">
        <v>20.150210843</v>
      </c>
      <c r="BC10" s="581">
        <v>82.531166610000014</v>
      </c>
      <c r="BD10" s="581">
        <f t="shared" si="30"/>
        <v>102.68137745300001</v>
      </c>
      <c r="BE10" s="581">
        <v>21.428339607000002</v>
      </c>
      <c r="BF10" s="581">
        <v>84.799496644000001</v>
      </c>
      <c r="BG10" s="581">
        <f t="shared" si="32"/>
        <v>106.227836251</v>
      </c>
      <c r="BH10" s="581">
        <f>SUM(BK10,BN10,BQ10,BT10)</f>
        <v>96.093268473999998</v>
      </c>
      <c r="BI10" s="581">
        <f t="shared" si="50"/>
        <v>367.86186509200007</v>
      </c>
      <c r="BJ10" s="581">
        <f t="shared" si="34"/>
        <v>463.95513356600009</v>
      </c>
      <c r="BK10" s="581">
        <v>22.770500333000001</v>
      </c>
      <c r="BL10" s="581">
        <v>88.597827147999993</v>
      </c>
      <c r="BM10" s="581">
        <f t="shared" si="36"/>
        <v>111.36832748099999</v>
      </c>
      <c r="BN10" s="581">
        <v>23.784583867999999</v>
      </c>
      <c r="BO10" s="581">
        <v>90.803184532999992</v>
      </c>
      <c r="BP10" s="581">
        <f t="shared" si="38"/>
        <v>114.58776840099999</v>
      </c>
      <c r="BQ10" s="581">
        <v>24.457026814000002</v>
      </c>
      <c r="BR10" s="581">
        <v>92.807600640000004</v>
      </c>
      <c r="BS10" s="581">
        <f t="shared" si="40"/>
        <v>117.26462745400001</v>
      </c>
      <c r="BT10" s="581">
        <v>25.081157459</v>
      </c>
      <c r="BU10" s="581">
        <v>95.653252771000027</v>
      </c>
      <c r="BV10" s="581">
        <f t="shared" si="42"/>
        <v>120.73441023000002</v>
      </c>
    </row>
    <row r="11" spans="2:74" x14ac:dyDescent="0.3">
      <c r="B11" s="555" t="s">
        <v>95</v>
      </c>
      <c r="C11" s="580" t="s">
        <v>132</v>
      </c>
      <c r="D11" s="581">
        <f t="shared" si="51"/>
        <v>846.82921133399987</v>
      </c>
      <c r="E11" s="581">
        <f t="shared" si="52"/>
        <v>0</v>
      </c>
      <c r="F11" s="581">
        <f t="shared" si="1"/>
        <v>846.82921133399987</v>
      </c>
      <c r="G11" s="581">
        <f t="shared" si="53"/>
        <v>731.36095718499996</v>
      </c>
      <c r="H11" s="581">
        <f t="shared" si="54"/>
        <v>0</v>
      </c>
      <c r="I11" s="581">
        <f t="shared" si="3"/>
        <v>731.36095718499996</v>
      </c>
      <c r="J11" s="388">
        <f t="shared" si="4"/>
        <v>0.15788134848411373</v>
      </c>
      <c r="K11" s="388">
        <f t="shared" si="4"/>
        <v>0</v>
      </c>
      <c r="L11" s="578">
        <f t="shared" si="4"/>
        <v>0.15788134848411373</v>
      </c>
      <c r="M11" s="578"/>
      <c r="N11" s="579"/>
      <c r="O11" s="581">
        <v>846.82921133399987</v>
      </c>
      <c r="P11" s="581">
        <v>0</v>
      </c>
      <c r="Q11" s="581">
        <f t="shared" ref="Q11:Q22" si="56">O11+P11</f>
        <v>846.82921133399987</v>
      </c>
      <c r="R11" s="581">
        <v>226.09336546999998</v>
      </c>
      <c r="S11" s="581">
        <v>0</v>
      </c>
      <c r="T11" s="581">
        <f t="shared" ref="T11:T22" si="57">R11+S11</f>
        <v>226.09336546999998</v>
      </c>
      <c r="U11" s="581">
        <v>215.48810351799995</v>
      </c>
      <c r="V11" s="581">
        <v>0</v>
      </c>
      <c r="W11" s="581">
        <f t="shared" ref="W11:W22" si="58">U11+V11</f>
        <v>215.48810351799995</v>
      </c>
      <c r="X11" s="581">
        <v>205.793001008</v>
      </c>
      <c r="Y11" s="581">
        <v>0</v>
      </c>
      <c r="Z11" s="581">
        <f t="shared" ref="Z11:Z22" si="59">X11+Y11</f>
        <v>205.793001008</v>
      </c>
      <c r="AA11" s="581">
        <v>199.45474133799996</v>
      </c>
      <c r="AB11" s="581">
        <v>0</v>
      </c>
      <c r="AC11" s="581">
        <f t="shared" ref="AC11:AC22" si="60">AA11+AB11</f>
        <v>199.45474133799996</v>
      </c>
      <c r="AD11" s="581">
        <f t="shared" si="55"/>
        <v>731.36095718499996</v>
      </c>
      <c r="AE11" s="581">
        <f t="shared" si="55"/>
        <v>0</v>
      </c>
      <c r="AF11" s="581">
        <f t="shared" ref="AF11:AF22" si="61">AD11+AE11</f>
        <v>731.36095718499996</v>
      </c>
      <c r="AG11" s="581">
        <v>192.78627587300002</v>
      </c>
      <c r="AH11" s="581">
        <v>0</v>
      </c>
      <c r="AI11" s="581">
        <f t="shared" ref="AI11:AI22" si="62">AG11+AH11</f>
        <v>192.78627587300002</v>
      </c>
      <c r="AJ11" s="581">
        <v>185.00311943200001</v>
      </c>
      <c r="AK11" s="581">
        <v>0</v>
      </c>
      <c r="AL11" s="581">
        <f t="shared" ref="AL11:AL22" si="63">AJ11+AK11</f>
        <v>185.00311943200001</v>
      </c>
      <c r="AM11" s="581">
        <v>179.14271748300001</v>
      </c>
      <c r="AN11" s="581">
        <v>0</v>
      </c>
      <c r="AO11" s="581">
        <f t="shared" ref="AO11:AO22" si="64">AM11+AN11</f>
        <v>179.14271748300001</v>
      </c>
      <c r="AP11" s="581">
        <v>174.42884439699995</v>
      </c>
      <c r="AQ11" s="581">
        <v>0</v>
      </c>
      <c r="AR11" s="581">
        <f t="shared" ref="AR11:AR22" si="65">AP11+AQ11</f>
        <v>174.42884439699995</v>
      </c>
      <c r="AS11" s="581">
        <v>666.59415411999987</v>
      </c>
      <c r="AT11" s="581">
        <v>0</v>
      </c>
      <c r="AU11" s="581">
        <f t="shared" si="24"/>
        <v>666.59415411999987</v>
      </c>
      <c r="AV11" s="581">
        <v>169.85430015099993</v>
      </c>
      <c r="AW11" s="581">
        <v>0</v>
      </c>
      <c r="AX11" s="581">
        <f t="shared" si="26"/>
        <v>169.85430015099993</v>
      </c>
      <c r="AY11" s="581">
        <v>167.93755617899998</v>
      </c>
      <c r="AZ11" s="581">
        <v>0</v>
      </c>
      <c r="BA11" s="581">
        <f t="shared" si="28"/>
        <v>167.93755617899998</v>
      </c>
      <c r="BB11" s="581">
        <v>164.896756815</v>
      </c>
      <c r="BC11" s="581">
        <v>0</v>
      </c>
      <c r="BD11" s="581">
        <f t="shared" si="30"/>
        <v>164.896756815</v>
      </c>
      <c r="BE11" s="581">
        <v>163.90554097499998</v>
      </c>
      <c r="BF11" s="581">
        <v>0</v>
      </c>
      <c r="BG11" s="581">
        <f t="shared" si="32"/>
        <v>163.90554097499998</v>
      </c>
      <c r="BH11" s="581">
        <f>SUM(BK11,BN11,BQ11,BT11)</f>
        <v>646.83734820699999</v>
      </c>
      <c r="BI11" s="581">
        <f t="shared" si="50"/>
        <v>0</v>
      </c>
      <c r="BJ11" s="581">
        <f t="shared" si="34"/>
        <v>646.83734820699999</v>
      </c>
      <c r="BK11" s="581">
        <v>164.02638872099999</v>
      </c>
      <c r="BL11" s="581">
        <v>0</v>
      </c>
      <c r="BM11" s="581">
        <f t="shared" si="36"/>
        <v>164.02638872099999</v>
      </c>
      <c r="BN11" s="581">
        <v>163.24137839299996</v>
      </c>
      <c r="BO11" s="581">
        <v>0</v>
      </c>
      <c r="BP11" s="581">
        <f t="shared" si="38"/>
        <v>163.24137839299996</v>
      </c>
      <c r="BQ11" s="581">
        <v>160.85275684600003</v>
      </c>
      <c r="BR11" s="581">
        <v>0</v>
      </c>
      <c r="BS11" s="581">
        <f t="shared" si="40"/>
        <v>160.85275684600003</v>
      </c>
      <c r="BT11" s="581">
        <v>158.71682424700001</v>
      </c>
      <c r="BU11" s="581">
        <v>0</v>
      </c>
      <c r="BV11" s="581">
        <f t="shared" si="42"/>
        <v>158.71682424700001</v>
      </c>
    </row>
    <row r="12" spans="2:74" x14ac:dyDescent="0.3">
      <c r="B12" s="554" t="s">
        <v>96</v>
      </c>
      <c r="C12" s="554" t="s">
        <v>119</v>
      </c>
      <c r="D12" s="575">
        <f>SUM(D13:D14)</f>
        <v>84.077703675000009</v>
      </c>
      <c r="E12" s="575">
        <f>SUM(E13:E14)</f>
        <v>877.67769831700002</v>
      </c>
      <c r="F12" s="575">
        <f t="shared" si="1"/>
        <v>961.75540199200009</v>
      </c>
      <c r="G12" s="575">
        <f>SUM(G13:G14)</f>
        <v>106.045357985</v>
      </c>
      <c r="H12" s="575">
        <f>SUM(H13:H14)</f>
        <v>671.11753996000004</v>
      </c>
      <c r="I12" s="575">
        <f t="shared" si="3"/>
        <v>777.16289794500005</v>
      </c>
      <c r="J12" s="576">
        <f t="shared" si="4"/>
        <v>-0.20715337971801917</v>
      </c>
      <c r="K12" s="576">
        <f t="shared" si="4"/>
        <v>0.30778536703020953</v>
      </c>
      <c r="L12" s="577">
        <f t="shared" si="4"/>
        <v>0.2375209940349774</v>
      </c>
      <c r="M12" s="578"/>
      <c r="N12" s="579"/>
      <c r="O12" s="575">
        <v>84.077703674999995</v>
      </c>
      <c r="P12" s="575">
        <v>877.67769831700002</v>
      </c>
      <c r="Q12" s="575">
        <f t="shared" si="56"/>
        <v>961.75540199199997</v>
      </c>
      <c r="R12" s="575">
        <v>20.965021735999997</v>
      </c>
      <c r="S12" s="575">
        <v>269.82666230700005</v>
      </c>
      <c r="T12" s="575">
        <f t="shared" si="57"/>
        <v>290.79168404300003</v>
      </c>
      <c r="U12" s="575">
        <v>21.166202877999996</v>
      </c>
      <c r="V12" s="575">
        <v>247.85772037300003</v>
      </c>
      <c r="W12" s="575">
        <f t="shared" si="58"/>
        <v>269.02392325100004</v>
      </c>
      <c r="X12" s="575">
        <f t="shared" ref="X12:Y12" si="66">SUM(X13:X14)</f>
        <v>19.477108561000001</v>
      </c>
      <c r="Y12" s="575">
        <f t="shared" si="66"/>
        <v>171.64336874899999</v>
      </c>
      <c r="Z12" s="575">
        <f t="shared" si="59"/>
        <v>191.12047730999998</v>
      </c>
      <c r="AA12" s="575">
        <f t="shared" ref="AA12:AB12" si="67">SUM(AA13:AA14)</f>
        <v>22.4693705</v>
      </c>
      <c r="AB12" s="575">
        <f t="shared" si="67"/>
        <v>188.34994688800001</v>
      </c>
      <c r="AC12" s="575">
        <f t="shared" si="60"/>
        <v>210.819317388</v>
      </c>
      <c r="AD12" s="575">
        <f t="shared" ref="AD12:AE12" si="68">SUM(AD13:AD14)</f>
        <v>106.045357985</v>
      </c>
      <c r="AE12" s="575">
        <f t="shared" si="68"/>
        <v>671.11753996000016</v>
      </c>
      <c r="AF12" s="575">
        <f t="shared" si="61"/>
        <v>777.16289794500017</v>
      </c>
      <c r="AG12" s="575">
        <f t="shared" ref="AG12:AH12" si="69">SUM(AG13:AG14)</f>
        <v>25.912797517000001</v>
      </c>
      <c r="AH12" s="575">
        <f t="shared" si="69"/>
        <v>210.38109947699999</v>
      </c>
      <c r="AI12" s="575">
        <f t="shared" si="62"/>
        <v>236.29389699399999</v>
      </c>
      <c r="AJ12" s="575">
        <f t="shared" ref="AJ12:AK12" si="70">SUM(AJ13:AJ14)</f>
        <v>24.881129788999999</v>
      </c>
      <c r="AK12" s="575">
        <f t="shared" si="70"/>
        <v>156.06274921900001</v>
      </c>
      <c r="AL12" s="575">
        <f t="shared" si="63"/>
        <v>180.94387900800001</v>
      </c>
      <c r="AM12" s="575">
        <f t="shared" ref="AM12:AN12" si="71">SUM(AM13:AM14)</f>
        <v>26.505829684999998</v>
      </c>
      <c r="AN12" s="575">
        <f t="shared" si="71"/>
        <v>157.43789021700002</v>
      </c>
      <c r="AO12" s="575">
        <f t="shared" si="64"/>
        <v>183.94371990200003</v>
      </c>
      <c r="AP12" s="575">
        <f t="shared" ref="AP12:AQ12" si="72">SUM(AP13:AP14)</f>
        <v>28.745600994</v>
      </c>
      <c r="AQ12" s="575">
        <f t="shared" si="72"/>
        <v>147.23580104700005</v>
      </c>
      <c r="AR12" s="575">
        <f t="shared" si="65"/>
        <v>175.98140204100005</v>
      </c>
      <c r="AS12" s="575">
        <f t="shared" ref="AS12:AT12" si="73">SUM(AS13:AS14)</f>
        <v>133.536766059</v>
      </c>
      <c r="AT12" s="575">
        <f t="shared" si="73"/>
        <v>455.46777282600004</v>
      </c>
      <c r="AU12" s="575">
        <f t="shared" si="24"/>
        <v>589.0045388850001</v>
      </c>
      <c r="AV12" s="575">
        <f t="shared" ref="AV12:AW12" si="74">SUM(AV13:AV14)</f>
        <v>32.753401792000005</v>
      </c>
      <c r="AW12" s="575">
        <f t="shared" si="74"/>
        <v>119.47360861099999</v>
      </c>
      <c r="AX12" s="575">
        <f t="shared" si="26"/>
        <v>152.22701040300001</v>
      </c>
      <c r="AY12" s="575">
        <f t="shared" ref="AY12:AZ12" si="75">SUM(AY13:AY14)</f>
        <v>31.905282390999993</v>
      </c>
      <c r="AZ12" s="575">
        <f t="shared" si="75"/>
        <v>118.41852115600001</v>
      </c>
      <c r="BA12" s="575">
        <f t="shared" si="28"/>
        <v>150.32380354700001</v>
      </c>
      <c r="BB12" s="575">
        <f t="shared" ref="BB12:BC12" si="76">SUM(BB13:BB14)</f>
        <v>33.309045917999995</v>
      </c>
      <c r="BC12" s="575">
        <f t="shared" si="76"/>
        <v>108.89784356600001</v>
      </c>
      <c r="BD12" s="575">
        <f t="shared" si="30"/>
        <v>142.20688948399999</v>
      </c>
      <c r="BE12" s="575">
        <f t="shared" ref="BE12:BF12" si="77">SUM(BE13:BE14)</f>
        <v>35.569035958000001</v>
      </c>
      <c r="BF12" s="575">
        <f t="shared" si="77"/>
        <v>108.67779949299999</v>
      </c>
      <c r="BG12" s="575">
        <f t="shared" si="32"/>
        <v>144.24683545099998</v>
      </c>
      <c r="BH12" s="575">
        <f t="shared" ref="BH12:BI12" si="78">SUM(BH13:BH14)</f>
        <v>184.16801474099998</v>
      </c>
      <c r="BI12" s="575">
        <f t="shared" si="78"/>
        <v>564.71445986300012</v>
      </c>
      <c r="BJ12" s="575">
        <f t="shared" si="34"/>
        <v>748.88247460400009</v>
      </c>
      <c r="BK12" s="575">
        <f t="shared" ref="BK12:BL12" si="79">SUM(BK13:BK14)</f>
        <v>41.820566396000004</v>
      </c>
      <c r="BL12" s="575">
        <f t="shared" si="79"/>
        <v>116.74466500900002</v>
      </c>
      <c r="BM12" s="575">
        <f t="shared" si="36"/>
        <v>158.56523140500002</v>
      </c>
      <c r="BN12" s="575">
        <f t="shared" ref="BN12:BO12" si="80">SUM(BN13:BN14)</f>
        <v>42.966465953000004</v>
      </c>
      <c r="BO12" s="575">
        <f t="shared" si="80"/>
        <v>121.76704712700001</v>
      </c>
      <c r="BP12" s="575">
        <f t="shared" si="38"/>
        <v>164.73351308000002</v>
      </c>
      <c r="BQ12" s="575">
        <f t="shared" ref="BQ12:BR12" si="81">SUM(BQ13:BQ14)</f>
        <v>46.632497984000004</v>
      </c>
      <c r="BR12" s="575">
        <f t="shared" si="81"/>
        <v>142.88776264800001</v>
      </c>
      <c r="BS12" s="575">
        <f t="shared" si="40"/>
        <v>189.520260632</v>
      </c>
      <c r="BT12" s="575">
        <f t="shared" ref="BT12:BU12" si="82">SUM(BT13:BT14)</f>
        <v>52.748484407999996</v>
      </c>
      <c r="BU12" s="575">
        <f t="shared" si="82"/>
        <v>183.31498507900002</v>
      </c>
      <c r="BV12" s="575">
        <f t="shared" si="42"/>
        <v>236.06346948700002</v>
      </c>
    </row>
    <row r="13" spans="2:74" x14ac:dyDescent="0.3">
      <c r="B13" s="555" t="s">
        <v>97</v>
      </c>
      <c r="C13" s="580" t="s">
        <v>121</v>
      </c>
      <c r="D13" s="581">
        <f t="shared" ref="D13:D14" si="83">SUM(X13,AA13,U13,R13)</f>
        <v>51.465698211000003</v>
      </c>
      <c r="E13" s="581">
        <f t="shared" ref="E13:E14" si="84">SUM(Y13,AB13,V13,S13)</f>
        <v>0</v>
      </c>
      <c r="F13" s="581">
        <f t="shared" si="1"/>
        <v>51.465698211000003</v>
      </c>
      <c r="G13" s="581">
        <f t="shared" ref="G13:G14" si="85">SUM(AM13,AP13,AJ13,AG13)</f>
        <v>73.734829554000001</v>
      </c>
      <c r="H13" s="581">
        <f t="shared" ref="H13:H14" si="86">SUM(AN13,AQ13,AK13,AH13)</f>
        <v>0</v>
      </c>
      <c r="I13" s="581">
        <f t="shared" si="3"/>
        <v>73.734829554000001</v>
      </c>
      <c r="J13" s="388">
        <f t="shared" si="4"/>
        <v>-0.30201644836909958</v>
      </c>
      <c r="K13" s="388">
        <f t="shared" si="4"/>
        <v>0</v>
      </c>
      <c r="L13" s="578">
        <f t="shared" si="4"/>
        <v>-0.30201644836909958</v>
      </c>
      <c r="M13" s="578"/>
      <c r="N13" s="579"/>
      <c r="O13" s="581">
        <v>51.465698210999996</v>
      </c>
      <c r="P13" s="581">
        <v>0</v>
      </c>
      <c r="Q13" s="581">
        <f t="shared" si="56"/>
        <v>51.465698210999996</v>
      </c>
      <c r="R13" s="581">
        <v>12.026214131</v>
      </c>
      <c r="S13" s="581">
        <v>0</v>
      </c>
      <c r="T13" s="581">
        <f t="shared" si="57"/>
        <v>12.026214131</v>
      </c>
      <c r="U13" s="581">
        <v>12.635356942</v>
      </c>
      <c r="V13" s="581">
        <v>0</v>
      </c>
      <c r="W13" s="581">
        <f t="shared" si="58"/>
        <v>12.635356942</v>
      </c>
      <c r="X13" s="581">
        <v>12.048030037</v>
      </c>
      <c r="Y13" s="581">
        <v>0</v>
      </c>
      <c r="Z13" s="581">
        <f t="shared" si="59"/>
        <v>12.048030037</v>
      </c>
      <c r="AA13" s="581">
        <v>14.756097101000002</v>
      </c>
      <c r="AB13" s="581">
        <v>0</v>
      </c>
      <c r="AC13" s="581">
        <f t="shared" si="60"/>
        <v>14.756097101000002</v>
      </c>
      <c r="AD13" s="581">
        <f>+AG13+AJ13+AM13+AP13</f>
        <v>73.734829554000001</v>
      </c>
      <c r="AE13" s="581">
        <f>+AH13+AK13+AN13+AQ13</f>
        <v>0</v>
      </c>
      <c r="AF13" s="581">
        <f t="shared" si="61"/>
        <v>73.734829554000001</v>
      </c>
      <c r="AG13" s="581">
        <v>17.890150643999998</v>
      </c>
      <c r="AH13" s="581">
        <v>0</v>
      </c>
      <c r="AI13" s="581">
        <f t="shared" si="62"/>
        <v>17.890150643999998</v>
      </c>
      <c r="AJ13" s="581">
        <v>17.130478449000002</v>
      </c>
      <c r="AK13" s="581">
        <v>0</v>
      </c>
      <c r="AL13" s="581">
        <f t="shared" si="63"/>
        <v>17.130478449000002</v>
      </c>
      <c r="AM13" s="581">
        <v>18.320157268999999</v>
      </c>
      <c r="AN13" s="581">
        <v>0</v>
      </c>
      <c r="AO13" s="581">
        <f t="shared" si="64"/>
        <v>18.320157268999999</v>
      </c>
      <c r="AP13" s="581">
        <v>20.394043192000002</v>
      </c>
      <c r="AQ13" s="581">
        <v>0</v>
      </c>
      <c r="AR13" s="581">
        <f t="shared" si="65"/>
        <v>20.394043192000002</v>
      </c>
      <c r="AS13" s="581">
        <v>99.296086102000004</v>
      </c>
      <c r="AT13" s="581">
        <v>0</v>
      </c>
      <c r="AU13" s="581">
        <f t="shared" si="24"/>
        <v>99.296086102000004</v>
      </c>
      <c r="AV13" s="581">
        <v>24.577701671000003</v>
      </c>
      <c r="AW13" s="581">
        <v>0</v>
      </c>
      <c r="AX13" s="581">
        <f t="shared" si="26"/>
        <v>24.577701671000003</v>
      </c>
      <c r="AY13" s="581">
        <v>23.451959663999997</v>
      </c>
      <c r="AZ13" s="581">
        <v>0</v>
      </c>
      <c r="BA13" s="581">
        <f t="shared" si="28"/>
        <v>23.451959663999997</v>
      </c>
      <c r="BB13" s="581">
        <v>24.611819465</v>
      </c>
      <c r="BC13" s="581">
        <v>0</v>
      </c>
      <c r="BD13" s="581">
        <f t="shared" si="30"/>
        <v>24.611819465</v>
      </c>
      <c r="BE13" s="581">
        <v>26.654605302</v>
      </c>
      <c r="BF13" s="581">
        <v>0</v>
      </c>
      <c r="BG13" s="581">
        <f t="shared" si="32"/>
        <v>26.654605302</v>
      </c>
      <c r="BH13" s="581">
        <f t="shared" ref="BH13:BI14" si="87">SUM(BK13,BN13,BQ13,BT13)</f>
        <v>144.857611865</v>
      </c>
      <c r="BI13" s="581">
        <f t="shared" si="87"/>
        <v>0</v>
      </c>
      <c r="BJ13" s="581">
        <f t="shared" si="34"/>
        <v>144.857611865</v>
      </c>
      <c r="BK13" s="581">
        <v>32.470304354</v>
      </c>
      <c r="BL13" s="581">
        <v>0</v>
      </c>
      <c r="BM13" s="581">
        <f t="shared" si="36"/>
        <v>32.470304354</v>
      </c>
      <c r="BN13" s="581">
        <v>33.319157785000002</v>
      </c>
      <c r="BO13" s="581">
        <v>0</v>
      </c>
      <c r="BP13" s="581">
        <f t="shared" si="38"/>
        <v>33.319157785000002</v>
      </c>
      <c r="BQ13" s="581">
        <v>36.725729276000003</v>
      </c>
      <c r="BR13" s="581">
        <v>0</v>
      </c>
      <c r="BS13" s="581">
        <f t="shared" si="40"/>
        <v>36.725729276000003</v>
      </c>
      <c r="BT13" s="581">
        <v>42.342420449999999</v>
      </c>
      <c r="BU13" s="581">
        <v>0</v>
      </c>
      <c r="BV13" s="581">
        <f t="shared" si="42"/>
        <v>42.342420449999999</v>
      </c>
    </row>
    <row r="14" spans="2:74" x14ac:dyDescent="0.3">
      <c r="B14" s="555" t="s">
        <v>98</v>
      </c>
      <c r="C14" s="580" t="s">
        <v>122</v>
      </c>
      <c r="D14" s="581">
        <f t="shared" si="83"/>
        <v>32.612005463999999</v>
      </c>
      <c r="E14" s="581">
        <f t="shared" si="84"/>
        <v>877.67769831700002</v>
      </c>
      <c r="F14" s="581">
        <f t="shared" si="1"/>
        <v>910.28970378100007</v>
      </c>
      <c r="G14" s="581">
        <f t="shared" si="85"/>
        <v>32.310528430999994</v>
      </c>
      <c r="H14" s="581">
        <f t="shared" si="86"/>
        <v>671.11753996000004</v>
      </c>
      <c r="I14" s="581">
        <f t="shared" si="3"/>
        <v>703.42806839100001</v>
      </c>
      <c r="J14" s="388">
        <f t="shared" si="4"/>
        <v>9.3306128881123218E-3</v>
      </c>
      <c r="K14" s="388">
        <f t="shared" si="4"/>
        <v>0.30778536703020953</v>
      </c>
      <c r="L14" s="578">
        <f t="shared" si="4"/>
        <v>0.29407645882423927</v>
      </c>
      <c r="M14" s="578"/>
      <c r="N14" s="579"/>
      <c r="O14" s="581">
        <v>32.612005463999999</v>
      </c>
      <c r="P14" s="581">
        <v>877.67769831700002</v>
      </c>
      <c r="Q14" s="581">
        <f t="shared" si="56"/>
        <v>910.28970378100007</v>
      </c>
      <c r="R14" s="581">
        <v>8.9388076049999992</v>
      </c>
      <c r="S14" s="581">
        <v>269.82666230700005</v>
      </c>
      <c r="T14" s="581">
        <f t="shared" si="57"/>
        <v>278.76546991200007</v>
      </c>
      <c r="U14" s="581">
        <v>8.5308459359999969</v>
      </c>
      <c r="V14" s="581">
        <v>247.85772037300003</v>
      </c>
      <c r="W14" s="581">
        <f t="shared" si="58"/>
        <v>256.38856630900005</v>
      </c>
      <c r="X14" s="581">
        <v>7.4290785240000003</v>
      </c>
      <c r="Y14" s="581">
        <v>171.64336874899999</v>
      </c>
      <c r="Z14" s="581">
        <f t="shared" si="59"/>
        <v>179.07244727299999</v>
      </c>
      <c r="AA14" s="581">
        <v>7.7132733989999993</v>
      </c>
      <c r="AB14" s="581">
        <v>188.34994688800001</v>
      </c>
      <c r="AC14" s="581">
        <f t="shared" si="60"/>
        <v>196.06322028700001</v>
      </c>
      <c r="AD14" s="581">
        <f>+AG14+AJ14+AM14+AP14</f>
        <v>32.310528430999994</v>
      </c>
      <c r="AE14" s="581">
        <f>+AH14+AK14+AN14+AQ14</f>
        <v>671.11753996000016</v>
      </c>
      <c r="AF14" s="581">
        <f t="shared" si="61"/>
        <v>703.42806839100012</v>
      </c>
      <c r="AG14" s="581">
        <v>8.0226468730000011</v>
      </c>
      <c r="AH14" s="581">
        <v>210.38109947699999</v>
      </c>
      <c r="AI14" s="581">
        <f t="shared" si="62"/>
        <v>218.40374635000001</v>
      </c>
      <c r="AJ14" s="581">
        <v>7.7506513399999992</v>
      </c>
      <c r="AK14" s="581">
        <v>156.06274921900001</v>
      </c>
      <c r="AL14" s="581">
        <f t="shared" si="63"/>
        <v>163.813400559</v>
      </c>
      <c r="AM14" s="581">
        <v>8.1856724159999992</v>
      </c>
      <c r="AN14" s="581">
        <v>157.43789021700002</v>
      </c>
      <c r="AO14" s="581">
        <f t="shared" si="64"/>
        <v>165.62356263300001</v>
      </c>
      <c r="AP14" s="581">
        <v>8.3515578019999985</v>
      </c>
      <c r="AQ14" s="581">
        <v>147.23580104700005</v>
      </c>
      <c r="AR14" s="581">
        <f t="shared" si="65"/>
        <v>155.58735884900005</v>
      </c>
      <c r="AS14" s="581">
        <v>34.240679956999998</v>
      </c>
      <c r="AT14" s="581">
        <v>455.46777282600004</v>
      </c>
      <c r="AU14" s="581">
        <f t="shared" si="24"/>
        <v>489.70845278300004</v>
      </c>
      <c r="AV14" s="581">
        <v>8.1757001210000002</v>
      </c>
      <c r="AW14" s="581">
        <v>119.47360861099999</v>
      </c>
      <c r="AX14" s="581">
        <f t="shared" si="26"/>
        <v>127.64930873199999</v>
      </c>
      <c r="AY14" s="581">
        <v>8.453322726999998</v>
      </c>
      <c r="AZ14" s="581">
        <v>118.41852115600001</v>
      </c>
      <c r="BA14" s="581">
        <f t="shared" si="28"/>
        <v>126.87184388300001</v>
      </c>
      <c r="BB14" s="581">
        <v>8.697226452999999</v>
      </c>
      <c r="BC14" s="581">
        <v>108.89784356600001</v>
      </c>
      <c r="BD14" s="581">
        <f t="shared" si="30"/>
        <v>117.595070019</v>
      </c>
      <c r="BE14" s="581">
        <v>8.9144306560000004</v>
      </c>
      <c r="BF14" s="581">
        <v>108.67779949299999</v>
      </c>
      <c r="BG14" s="581">
        <f t="shared" si="32"/>
        <v>117.59223014899999</v>
      </c>
      <c r="BH14" s="581">
        <f t="shared" si="87"/>
        <v>39.310402875999998</v>
      </c>
      <c r="BI14" s="581">
        <f t="shared" si="87"/>
        <v>564.71445986300012</v>
      </c>
      <c r="BJ14" s="581">
        <f t="shared" si="34"/>
        <v>604.02486273900013</v>
      </c>
      <c r="BK14" s="581">
        <v>9.3502620420000007</v>
      </c>
      <c r="BL14" s="581">
        <v>116.74466500900002</v>
      </c>
      <c r="BM14" s="581">
        <f t="shared" si="36"/>
        <v>126.09492705100001</v>
      </c>
      <c r="BN14" s="581">
        <v>9.6473081680000021</v>
      </c>
      <c r="BO14" s="581">
        <v>121.76704712700001</v>
      </c>
      <c r="BP14" s="581">
        <f t="shared" si="38"/>
        <v>131.41435529500001</v>
      </c>
      <c r="BQ14" s="581">
        <v>9.9067687079999995</v>
      </c>
      <c r="BR14" s="581">
        <v>142.88776264800001</v>
      </c>
      <c r="BS14" s="581">
        <f t="shared" si="40"/>
        <v>152.79453135599999</v>
      </c>
      <c r="BT14" s="581">
        <v>10.406063958000001</v>
      </c>
      <c r="BU14" s="581">
        <v>183.31498507900002</v>
      </c>
      <c r="BV14" s="581">
        <f t="shared" si="42"/>
        <v>193.72104903700003</v>
      </c>
    </row>
    <row r="15" spans="2:74" x14ac:dyDescent="0.3">
      <c r="B15" s="554" t="s">
        <v>99</v>
      </c>
      <c r="C15" s="554" t="s">
        <v>120</v>
      </c>
      <c r="D15" s="575">
        <f>SUM(D16:D17)</f>
        <v>28.509294588000003</v>
      </c>
      <c r="E15" s="575">
        <f>SUM(E16:E17)</f>
        <v>1200.343952752</v>
      </c>
      <c r="F15" s="575">
        <f t="shared" si="1"/>
        <v>1228.8532473400001</v>
      </c>
      <c r="G15" s="575">
        <f>SUM(G16:G17)</f>
        <v>38.139298912999998</v>
      </c>
      <c r="H15" s="575">
        <f>SUM(H16:H17)</f>
        <v>789.48063115800005</v>
      </c>
      <c r="I15" s="575">
        <f t="shared" si="3"/>
        <v>827.619930071</v>
      </c>
      <c r="J15" s="576">
        <f t="shared" si="4"/>
        <v>-0.25249557803794742</v>
      </c>
      <c r="K15" s="576">
        <f t="shared" si="4"/>
        <v>0.52042229458036338</v>
      </c>
      <c r="L15" s="577">
        <f t="shared" si="4"/>
        <v>0.48480383650811665</v>
      </c>
      <c r="M15" s="578"/>
      <c r="N15" s="579"/>
      <c r="O15" s="575">
        <v>28.509294587999999</v>
      </c>
      <c r="P15" s="575">
        <v>1200.343952752</v>
      </c>
      <c r="Q15" s="575">
        <f t="shared" si="56"/>
        <v>1228.8532473400001</v>
      </c>
      <c r="R15" s="575">
        <v>6.3691333740000005</v>
      </c>
      <c r="S15" s="575">
        <v>321.18231450700006</v>
      </c>
      <c r="T15" s="575">
        <f t="shared" si="57"/>
        <v>327.55144788100006</v>
      </c>
      <c r="U15" s="575">
        <v>7.4758247699999991</v>
      </c>
      <c r="V15" s="575">
        <v>377.33552033699993</v>
      </c>
      <c r="W15" s="575">
        <f t="shared" si="58"/>
        <v>384.81134510699991</v>
      </c>
      <c r="X15" s="575">
        <f t="shared" ref="X15:Y15" si="88">SUM(X16:X17)</f>
        <v>6.2289142599999989</v>
      </c>
      <c r="Y15" s="575">
        <f t="shared" si="88"/>
        <v>207.06197111399999</v>
      </c>
      <c r="Z15" s="575">
        <f t="shared" si="59"/>
        <v>213.290885374</v>
      </c>
      <c r="AA15" s="575">
        <f t="shared" ref="AA15:AB15" si="89">SUM(AA16:AA17)</f>
        <v>8.4354221840000001</v>
      </c>
      <c r="AB15" s="575">
        <f t="shared" si="89"/>
        <v>294.764146794</v>
      </c>
      <c r="AC15" s="575">
        <f t="shared" si="60"/>
        <v>303.199568978</v>
      </c>
      <c r="AD15" s="575">
        <f t="shared" ref="AD15:AE15" si="90">SUM(AD16:AD17)</f>
        <v>38.139298912999998</v>
      </c>
      <c r="AE15" s="575">
        <f t="shared" si="90"/>
        <v>789.48063115799994</v>
      </c>
      <c r="AF15" s="575">
        <f t="shared" si="61"/>
        <v>827.61993007099989</v>
      </c>
      <c r="AG15" s="575">
        <f t="shared" ref="AG15:AH15" si="91">SUM(AG16:AG17)</f>
        <v>7.6152590499999988</v>
      </c>
      <c r="AH15" s="575">
        <f t="shared" si="91"/>
        <v>220.80802052999996</v>
      </c>
      <c r="AI15" s="575">
        <f t="shared" si="62"/>
        <v>228.42327957999996</v>
      </c>
      <c r="AJ15" s="575">
        <f t="shared" ref="AJ15:AK15" si="92">SUM(AJ16:AJ17)</f>
        <v>7.518453214</v>
      </c>
      <c r="AK15" s="575">
        <f t="shared" si="92"/>
        <v>224.80591740599999</v>
      </c>
      <c r="AL15" s="575">
        <f t="shared" si="63"/>
        <v>232.32437062</v>
      </c>
      <c r="AM15" s="575">
        <f t="shared" ref="AM15:AN15" si="93">SUM(AM16:AM17)</f>
        <v>12.563015945000002</v>
      </c>
      <c r="AN15" s="575">
        <f t="shared" si="93"/>
        <v>167.75560072899998</v>
      </c>
      <c r="AO15" s="575">
        <f t="shared" si="64"/>
        <v>180.31861667399997</v>
      </c>
      <c r="AP15" s="575">
        <f t="shared" ref="AP15:AQ15" si="94">SUM(AP16:AP17)</f>
        <v>10.442570703999998</v>
      </c>
      <c r="AQ15" s="575">
        <f t="shared" si="94"/>
        <v>176.111092493</v>
      </c>
      <c r="AR15" s="575">
        <f t="shared" si="65"/>
        <v>186.55366319699999</v>
      </c>
      <c r="AS15" s="575">
        <f t="shared" ref="AS15:AT15" si="95">SUM(AS16:AS17)</f>
        <v>46.215997783999995</v>
      </c>
      <c r="AT15" s="575">
        <f t="shared" si="95"/>
        <v>523.36863183399998</v>
      </c>
      <c r="AU15" s="575">
        <f t="shared" si="24"/>
        <v>569.58462961800001</v>
      </c>
      <c r="AV15" s="575">
        <f t="shared" ref="AV15:AW15" si="96">SUM(AV16:AV17)</f>
        <v>12.036075951000001</v>
      </c>
      <c r="AW15" s="575">
        <f t="shared" si="96"/>
        <v>124.84105437200002</v>
      </c>
      <c r="AX15" s="575">
        <f t="shared" si="26"/>
        <v>136.87713032300002</v>
      </c>
      <c r="AY15" s="575">
        <f t="shared" ref="AY15:AZ15" si="97">SUM(AY16:AY17)</f>
        <v>10.762629623</v>
      </c>
      <c r="AZ15" s="575">
        <f t="shared" si="97"/>
        <v>148.046220078</v>
      </c>
      <c r="BA15" s="575">
        <f t="shared" si="28"/>
        <v>158.80884970100001</v>
      </c>
      <c r="BB15" s="575">
        <f t="shared" ref="BB15:BC15" si="98">SUM(BB16:BB17)</f>
        <v>11.437623731999999</v>
      </c>
      <c r="BC15" s="575">
        <f t="shared" si="98"/>
        <v>126.64610531699999</v>
      </c>
      <c r="BD15" s="575">
        <f t="shared" si="30"/>
        <v>138.083729049</v>
      </c>
      <c r="BE15" s="575">
        <f t="shared" ref="BE15:BF15" si="99">SUM(BE16:BE17)</f>
        <v>11.979668477999999</v>
      </c>
      <c r="BF15" s="575">
        <f t="shared" si="99"/>
        <v>123.83525206700004</v>
      </c>
      <c r="BG15" s="575">
        <f t="shared" si="32"/>
        <v>135.81492054500004</v>
      </c>
      <c r="BH15" s="575">
        <f t="shared" ref="BH15:BI15" si="100">SUM(BH16:BH17)</f>
        <v>69.088017250999997</v>
      </c>
      <c r="BI15" s="575">
        <f t="shared" si="100"/>
        <v>730.90158196600009</v>
      </c>
      <c r="BJ15" s="575">
        <f t="shared" si="34"/>
        <v>799.98959921700009</v>
      </c>
      <c r="BK15" s="575">
        <f t="shared" ref="BK15:BL15" si="101">SUM(BK16:BK17)</f>
        <v>14.090767092</v>
      </c>
      <c r="BL15" s="575">
        <f t="shared" si="101"/>
        <v>128.17088511400001</v>
      </c>
      <c r="BM15" s="575">
        <f t="shared" si="36"/>
        <v>142.26165220600001</v>
      </c>
      <c r="BN15" s="575">
        <f t="shared" ref="BN15:BO15" si="102">SUM(BN16:BN17)</f>
        <v>15.770478446999999</v>
      </c>
      <c r="BO15" s="575">
        <f t="shared" si="102"/>
        <v>157.91803185499998</v>
      </c>
      <c r="BP15" s="575">
        <f t="shared" si="38"/>
        <v>173.68851030199997</v>
      </c>
      <c r="BQ15" s="575">
        <f t="shared" ref="BQ15:BR15" si="103">SUM(BQ16:BQ17)</f>
        <v>16.481162473000001</v>
      </c>
      <c r="BR15" s="575">
        <f t="shared" si="103"/>
        <v>173.66758021700005</v>
      </c>
      <c r="BS15" s="575">
        <f t="shared" si="40"/>
        <v>190.14874269000006</v>
      </c>
      <c r="BT15" s="575">
        <f t="shared" ref="BT15:BU15" si="104">SUM(BT16:BT17)</f>
        <v>22.745609238999997</v>
      </c>
      <c r="BU15" s="575">
        <f t="shared" si="104"/>
        <v>271.14508477999999</v>
      </c>
      <c r="BV15" s="575">
        <f t="shared" si="42"/>
        <v>293.89069401899997</v>
      </c>
    </row>
    <row r="16" spans="2:74" x14ac:dyDescent="0.3">
      <c r="B16" s="555" t="s">
        <v>100</v>
      </c>
      <c r="C16" s="580" t="s">
        <v>123</v>
      </c>
      <c r="D16" s="581">
        <f t="shared" ref="D16:D17" si="105">SUM(X16,AA16,U16,R16)</f>
        <v>11.275805484000001</v>
      </c>
      <c r="E16" s="581">
        <f t="shared" ref="E16:E17" si="106">SUM(Y16,AB16,V16,S16)</f>
        <v>0</v>
      </c>
      <c r="F16" s="581">
        <f t="shared" si="1"/>
        <v>11.275805484000001</v>
      </c>
      <c r="G16" s="581">
        <f t="shared" ref="G16:G17" si="107">SUM(AM16,AP16,AJ16,AG16)</f>
        <v>19.687271543999998</v>
      </c>
      <c r="H16" s="581">
        <f t="shared" ref="H16:H17" si="108">SUM(AN16,AQ16,AK16,AH16)</f>
        <v>0</v>
      </c>
      <c r="I16" s="581">
        <f t="shared" si="3"/>
        <v>19.687271543999998</v>
      </c>
      <c r="J16" s="388">
        <f t="shared" si="4"/>
        <v>-0.42725402761885112</v>
      </c>
      <c r="K16" s="388">
        <f t="shared" si="4"/>
        <v>0</v>
      </c>
      <c r="L16" s="578">
        <f t="shared" si="4"/>
        <v>-0.42725402761885112</v>
      </c>
      <c r="M16" s="578"/>
      <c r="N16" s="579"/>
      <c r="O16" s="581">
        <v>11.275805483999999</v>
      </c>
      <c r="P16" s="581">
        <v>0</v>
      </c>
      <c r="Q16" s="581">
        <f t="shared" si="56"/>
        <v>11.275805483999999</v>
      </c>
      <c r="R16" s="581">
        <v>2.0617717590000004</v>
      </c>
      <c r="S16" s="581">
        <v>0</v>
      </c>
      <c r="T16" s="581">
        <f t="shared" si="57"/>
        <v>2.0617717590000004</v>
      </c>
      <c r="U16" s="581">
        <v>3.0275711959999998</v>
      </c>
      <c r="V16" s="581">
        <v>0</v>
      </c>
      <c r="W16" s="581">
        <f t="shared" si="58"/>
        <v>3.0275711959999998</v>
      </c>
      <c r="X16" s="581">
        <v>2.0222229179999998</v>
      </c>
      <c r="Y16" s="581">
        <v>0</v>
      </c>
      <c r="Z16" s="581">
        <f t="shared" si="59"/>
        <v>2.0222229179999998</v>
      </c>
      <c r="AA16" s="581">
        <v>4.1642396110000002</v>
      </c>
      <c r="AB16" s="581">
        <v>0</v>
      </c>
      <c r="AC16" s="581">
        <f t="shared" si="60"/>
        <v>4.1642396110000002</v>
      </c>
      <c r="AD16" s="581">
        <f>+AG16+AJ16+AM16+AP16</f>
        <v>19.687271543999998</v>
      </c>
      <c r="AE16" s="581">
        <f>+AH16+AK16+AN16+AQ16</f>
        <v>0</v>
      </c>
      <c r="AF16" s="581">
        <f t="shared" si="61"/>
        <v>19.687271543999998</v>
      </c>
      <c r="AG16" s="581">
        <v>3.3394316810000002</v>
      </c>
      <c r="AH16" s="581">
        <v>0</v>
      </c>
      <c r="AI16" s="581">
        <f t="shared" si="62"/>
        <v>3.3394316810000002</v>
      </c>
      <c r="AJ16" s="581">
        <v>2.9181644879999995</v>
      </c>
      <c r="AK16" s="581">
        <v>0</v>
      </c>
      <c r="AL16" s="581">
        <f t="shared" si="63"/>
        <v>2.9181644879999995</v>
      </c>
      <c r="AM16" s="581">
        <v>7.898265791</v>
      </c>
      <c r="AN16" s="581">
        <v>0</v>
      </c>
      <c r="AO16" s="581">
        <f t="shared" si="64"/>
        <v>7.898265791</v>
      </c>
      <c r="AP16" s="581">
        <v>5.5314095839999995</v>
      </c>
      <c r="AQ16" s="581">
        <v>0</v>
      </c>
      <c r="AR16" s="581">
        <f t="shared" si="65"/>
        <v>5.5314095839999995</v>
      </c>
      <c r="AS16" s="581">
        <v>23.743087986999999</v>
      </c>
      <c r="AT16" s="581">
        <v>0</v>
      </c>
      <c r="AU16" s="581">
        <f t="shared" si="24"/>
        <v>23.743087986999999</v>
      </c>
      <c r="AV16" s="581">
        <v>6.882194116</v>
      </c>
      <c r="AW16" s="581">
        <v>0</v>
      </c>
      <c r="AX16" s="581">
        <f t="shared" si="26"/>
        <v>6.882194116</v>
      </c>
      <c r="AY16" s="581">
        <v>5.31814827</v>
      </c>
      <c r="AZ16" s="581">
        <v>0</v>
      </c>
      <c r="BA16" s="581">
        <f t="shared" si="28"/>
        <v>5.31814827</v>
      </c>
      <c r="BB16" s="581">
        <v>5.6624199179999994</v>
      </c>
      <c r="BC16" s="581">
        <v>0</v>
      </c>
      <c r="BD16" s="581">
        <f t="shared" si="30"/>
        <v>5.6624199179999994</v>
      </c>
      <c r="BE16" s="581">
        <v>5.8803256829999988</v>
      </c>
      <c r="BF16" s="581">
        <v>0</v>
      </c>
      <c r="BG16" s="581">
        <f t="shared" si="32"/>
        <v>5.8803256829999988</v>
      </c>
      <c r="BH16" s="581">
        <f t="shared" ref="BH16:BI17" si="109">SUM(BK16,BN16,BQ16,BT16)</f>
        <v>40.276996569000005</v>
      </c>
      <c r="BI16" s="581">
        <f t="shared" si="109"/>
        <v>0</v>
      </c>
      <c r="BJ16" s="581">
        <f t="shared" si="34"/>
        <v>40.276996569000005</v>
      </c>
      <c r="BK16" s="581">
        <v>7.5812220299999993</v>
      </c>
      <c r="BL16" s="581">
        <v>0</v>
      </c>
      <c r="BM16" s="581">
        <f t="shared" si="36"/>
        <v>7.5812220299999993</v>
      </c>
      <c r="BN16" s="581">
        <v>8.8011384469999978</v>
      </c>
      <c r="BO16" s="581">
        <v>0</v>
      </c>
      <c r="BP16" s="581">
        <f t="shared" si="38"/>
        <v>8.8011384469999978</v>
      </c>
      <c r="BQ16" s="581">
        <v>9.1181030620000012</v>
      </c>
      <c r="BR16" s="581">
        <v>0</v>
      </c>
      <c r="BS16" s="581">
        <f>BQ16+BR16</f>
        <v>9.1181030620000012</v>
      </c>
      <c r="BT16" s="581">
        <v>14.77653303</v>
      </c>
      <c r="BU16" s="581">
        <v>0</v>
      </c>
      <c r="BV16" s="581">
        <f t="shared" si="42"/>
        <v>14.77653303</v>
      </c>
    </row>
    <row r="17" spans="2:80" x14ac:dyDescent="0.3">
      <c r="B17" s="555" t="s">
        <v>101</v>
      </c>
      <c r="C17" s="580" t="s">
        <v>124</v>
      </c>
      <c r="D17" s="581">
        <f t="shared" si="105"/>
        <v>17.233489104</v>
      </c>
      <c r="E17" s="581">
        <f t="shared" si="106"/>
        <v>1200.343952752</v>
      </c>
      <c r="F17" s="581">
        <f t="shared" si="1"/>
        <v>1217.577441856</v>
      </c>
      <c r="G17" s="581">
        <f t="shared" si="107"/>
        <v>18.452027369</v>
      </c>
      <c r="H17" s="581">
        <f t="shared" si="108"/>
        <v>789.48063115800005</v>
      </c>
      <c r="I17" s="581">
        <f t="shared" si="3"/>
        <v>807.93265852700006</v>
      </c>
      <c r="J17" s="388">
        <f t="shared" si="4"/>
        <v>-6.603817784528021E-2</v>
      </c>
      <c r="K17" s="388">
        <f t="shared" si="4"/>
        <v>0.52042229458036338</v>
      </c>
      <c r="L17" s="578">
        <f t="shared" si="4"/>
        <v>0.50702837545378188</v>
      </c>
      <c r="M17" s="578"/>
      <c r="N17" s="579"/>
      <c r="O17" s="581">
        <v>17.233489104</v>
      </c>
      <c r="P17" s="581">
        <v>1200.343952752</v>
      </c>
      <c r="Q17" s="581">
        <f t="shared" si="56"/>
        <v>1217.577441856</v>
      </c>
      <c r="R17" s="581">
        <v>4.3073616149999996</v>
      </c>
      <c r="S17" s="581">
        <v>321.18231450700006</v>
      </c>
      <c r="T17" s="581">
        <f t="shared" si="57"/>
        <v>325.48967612200005</v>
      </c>
      <c r="U17" s="581">
        <v>4.4482535739999998</v>
      </c>
      <c r="V17" s="581">
        <v>377.33552033699993</v>
      </c>
      <c r="W17" s="581">
        <f t="shared" si="58"/>
        <v>381.78377391099991</v>
      </c>
      <c r="X17" s="581">
        <v>4.2066913419999992</v>
      </c>
      <c r="Y17" s="581">
        <v>207.06197111399999</v>
      </c>
      <c r="Z17" s="581">
        <f t="shared" si="59"/>
        <v>211.26866245599999</v>
      </c>
      <c r="AA17" s="581">
        <v>4.271182572999999</v>
      </c>
      <c r="AB17" s="581">
        <v>294.764146794</v>
      </c>
      <c r="AC17" s="581">
        <f t="shared" si="60"/>
        <v>299.03532936699997</v>
      </c>
      <c r="AD17" s="581">
        <f>+AG17+AJ17+AM17+AP17</f>
        <v>18.452027369</v>
      </c>
      <c r="AE17" s="581">
        <f>+AH17+AK17+AN17+AQ17</f>
        <v>789.48063115799994</v>
      </c>
      <c r="AF17" s="581">
        <f t="shared" si="61"/>
        <v>807.93265852699994</v>
      </c>
      <c r="AG17" s="581">
        <v>4.275827368999999</v>
      </c>
      <c r="AH17" s="581">
        <v>220.80802052999996</v>
      </c>
      <c r="AI17" s="581">
        <f t="shared" si="62"/>
        <v>225.08384789899998</v>
      </c>
      <c r="AJ17" s="581">
        <v>4.6002887260000005</v>
      </c>
      <c r="AK17" s="581">
        <v>224.80591740599999</v>
      </c>
      <c r="AL17" s="581">
        <f t="shared" si="63"/>
        <v>229.40620613199999</v>
      </c>
      <c r="AM17" s="581">
        <v>4.6647501540000018</v>
      </c>
      <c r="AN17" s="581">
        <v>167.75560072899998</v>
      </c>
      <c r="AO17" s="581">
        <f t="shared" si="64"/>
        <v>172.42035088299997</v>
      </c>
      <c r="AP17" s="581">
        <v>4.9111611199999992</v>
      </c>
      <c r="AQ17" s="581">
        <v>176.111092493</v>
      </c>
      <c r="AR17" s="581">
        <f t="shared" si="65"/>
        <v>181.022253613</v>
      </c>
      <c r="AS17" s="581">
        <v>22.472909797</v>
      </c>
      <c r="AT17" s="581">
        <v>523.36863183399998</v>
      </c>
      <c r="AU17" s="581">
        <f t="shared" si="24"/>
        <v>545.84154163099993</v>
      </c>
      <c r="AV17" s="581">
        <v>5.1538818350000009</v>
      </c>
      <c r="AW17" s="581">
        <v>124.84105437200002</v>
      </c>
      <c r="AX17" s="581">
        <f t="shared" si="26"/>
        <v>129.99493620700002</v>
      </c>
      <c r="AY17" s="581">
        <v>5.4444813530000005</v>
      </c>
      <c r="AZ17" s="581">
        <v>148.046220078</v>
      </c>
      <c r="BA17" s="581">
        <f t="shared" si="28"/>
        <v>153.49070143099999</v>
      </c>
      <c r="BB17" s="581">
        <v>5.7752038140000002</v>
      </c>
      <c r="BC17" s="581">
        <v>126.64610531699999</v>
      </c>
      <c r="BD17" s="581">
        <f t="shared" si="30"/>
        <v>132.42130913099999</v>
      </c>
      <c r="BE17" s="581">
        <v>6.0993427950000001</v>
      </c>
      <c r="BF17" s="581">
        <v>123.83525206700004</v>
      </c>
      <c r="BG17" s="581">
        <f t="shared" si="32"/>
        <v>129.93459486200004</v>
      </c>
      <c r="BH17" s="581">
        <f t="shared" si="109"/>
        <v>28.811020681999999</v>
      </c>
      <c r="BI17" s="581">
        <f t="shared" si="109"/>
        <v>730.90158196600009</v>
      </c>
      <c r="BJ17" s="581">
        <f t="shared" si="34"/>
        <v>759.71260264800014</v>
      </c>
      <c r="BK17" s="581">
        <v>6.5095450620000008</v>
      </c>
      <c r="BL17" s="581">
        <v>128.17088511400001</v>
      </c>
      <c r="BM17" s="581">
        <f t="shared" si="36"/>
        <v>134.68043017600002</v>
      </c>
      <c r="BN17" s="581">
        <v>6.9693399999999999</v>
      </c>
      <c r="BO17" s="581">
        <v>157.91803185499998</v>
      </c>
      <c r="BP17" s="581">
        <f t="shared" si="38"/>
        <v>164.88737185499997</v>
      </c>
      <c r="BQ17" s="581">
        <v>7.3630594109999992</v>
      </c>
      <c r="BR17" s="581">
        <v>173.66758021700005</v>
      </c>
      <c r="BS17" s="581">
        <f>BQ17+BR17</f>
        <v>181.03063962800005</v>
      </c>
      <c r="BT17" s="581">
        <v>7.9690762089999989</v>
      </c>
      <c r="BU17" s="581">
        <v>271.14508477999999</v>
      </c>
      <c r="BV17" s="581">
        <f t="shared" si="42"/>
        <v>279.11416098899997</v>
      </c>
    </row>
    <row r="18" spans="2:80" s="374" customFormat="1" x14ac:dyDescent="0.3">
      <c r="B18" s="556" t="s">
        <v>103</v>
      </c>
      <c r="C18" s="378" t="s">
        <v>127</v>
      </c>
      <c r="D18" s="582">
        <f t="shared" ref="D18:E18" si="110">SUM(D19:D20)</f>
        <v>9.4668426369999992</v>
      </c>
      <c r="E18" s="582">
        <f t="shared" si="110"/>
        <v>0</v>
      </c>
      <c r="F18" s="582">
        <f t="shared" si="1"/>
        <v>9.4668426369999992</v>
      </c>
      <c r="G18" s="582">
        <f>SUM(G19:G20)</f>
        <v>11.803656453999999</v>
      </c>
      <c r="H18" s="582">
        <f t="shared" ref="H18" si="111">SUM(H19:H20)</f>
        <v>0</v>
      </c>
      <c r="I18" s="582">
        <f t="shared" si="3"/>
        <v>11.803656453999999</v>
      </c>
      <c r="J18" s="583">
        <f t="shared" si="4"/>
        <v>-0.19797372332097185</v>
      </c>
      <c r="K18" s="583">
        <f t="shared" si="4"/>
        <v>0</v>
      </c>
      <c r="L18" s="584">
        <f t="shared" si="4"/>
        <v>-0.19797372332097185</v>
      </c>
      <c r="M18" s="573"/>
      <c r="N18" s="574"/>
      <c r="O18" s="582">
        <v>9.4668426369999992</v>
      </c>
      <c r="P18" s="582">
        <v>0</v>
      </c>
      <c r="Q18" s="582">
        <f t="shared" si="56"/>
        <v>9.4668426369999992</v>
      </c>
      <c r="R18" s="582">
        <v>2.1547327109999999</v>
      </c>
      <c r="S18" s="582">
        <v>0</v>
      </c>
      <c r="T18" s="582">
        <f t="shared" si="57"/>
        <v>2.1547327109999999</v>
      </c>
      <c r="U18" s="582">
        <f t="shared" ref="U18:V18" si="112">SUM(U19:U20)</f>
        <v>2.3092303039999997</v>
      </c>
      <c r="V18" s="582">
        <f t="shared" si="112"/>
        <v>0</v>
      </c>
      <c r="W18" s="582">
        <f t="shared" si="58"/>
        <v>2.3092303039999997</v>
      </c>
      <c r="X18" s="582">
        <f t="shared" ref="X18:Y18" si="113">SUM(X19:X20)</f>
        <v>2.4416919679999998</v>
      </c>
      <c r="Y18" s="582">
        <f t="shared" si="113"/>
        <v>0</v>
      </c>
      <c r="Z18" s="582">
        <f t="shared" si="59"/>
        <v>2.4416919679999998</v>
      </c>
      <c r="AA18" s="582">
        <f t="shared" ref="AA18:AB18" si="114">SUM(AA19:AA20)</f>
        <v>2.5611876539999998</v>
      </c>
      <c r="AB18" s="582">
        <f t="shared" si="114"/>
        <v>0</v>
      </c>
      <c r="AC18" s="582">
        <f t="shared" si="60"/>
        <v>2.5611876539999998</v>
      </c>
      <c r="AD18" s="582">
        <f t="shared" ref="AD18:AE18" si="115">SUM(AD19:AD20)</f>
        <v>11.803656453999999</v>
      </c>
      <c r="AE18" s="582">
        <f t="shared" si="115"/>
        <v>0</v>
      </c>
      <c r="AF18" s="582">
        <f t="shared" si="61"/>
        <v>11.803656453999999</v>
      </c>
      <c r="AG18" s="582">
        <f t="shared" ref="AG18:AH18" si="116">SUM(AG19:AG20)</f>
        <v>2.7448624419999996</v>
      </c>
      <c r="AH18" s="582">
        <f t="shared" si="116"/>
        <v>0</v>
      </c>
      <c r="AI18" s="582">
        <f t="shared" si="62"/>
        <v>2.7448624419999996</v>
      </c>
      <c r="AJ18" s="582">
        <f t="shared" ref="AJ18:AK18" si="117">SUM(AJ19:AJ20)</f>
        <v>2.8679430049999999</v>
      </c>
      <c r="AK18" s="582">
        <f t="shared" si="117"/>
        <v>0</v>
      </c>
      <c r="AL18" s="582">
        <f t="shared" si="63"/>
        <v>2.8679430049999999</v>
      </c>
      <c r="AM18" s="582">
        <f t="shared" ref="AM18:AN18" si="118">SUM(AM19:AM20)</f>
        <v>3.0096578050000002</v>
      </c>
      <c r="AN18" s="582">
        <f t="shared" si="118"/>
        <v>0</v>
      </c>
      <c r="AO18" s="582">
        <f t="shared" si="64"/>
        <v>3.0096578050000002</v>
      </c>
      <c r="AP18" s="582">
        <f t="shared" ref="AP18:AQ18" si="119">SUM(AP19:AP20)</f>
        <v>3.1811932019999998</v>
      </c>
      <c r="AQ18" s="582">
        <f t="shared" si="119"/>
        <v>0</v>
      </c>
      <c r="AR18" s="582">
        <f t="shared" si="65"/>
        <v>3.1811932019999998</v>
      </c>
      <c r="AS18" s="582">
        <f t="shared" ref="AS18:AT18" si="120">SUM(AS19:AS20)</f>
        <v>14.878783395000001</v>
      </c>
      <c r="AT18" s="582">
        <f t="shared" si="120"/>
        <v>0</v>
      </c>
      <c r="AU18" s="582">
        <f t="shared" si="24"/>
        <v>14.878783395000001</v>
      </c>
      <c r="AV18" s="582">
        <f t="shared" ref="AV18:AW18" si="121">SUM(AV19:AV20)</f>
        <v>3.4415607470000005</v>
      </c>
      <c r="AW18" s="582">
        <f t="shared" si="121"/>
        <v>0</v>
      </c>
      <c r="AX18" s="582">
        <f t="shared" si="26"/>
        <v>3.4415607470000005</v>
      </c>
      <c r="AY18" s="582">
        <f t="shared" ref="AY18:AZ18" si="122">SUM(AY19:AY20)</f>
        <v>3.5393954350000003</v>
      </c>
      <c r="AZ18" s="582">
        <f t="shared" si="122"/>
        <v>0</v>
      </c>
      <c r="BA18" s="582">
        <f t="shared" si="28"/>
        <v>3.5393954350000003</v>
      </c>
      <c r="BB18" s="582">
        <f t="shared" ref="BB18:BC18" si="123">SUM(BB19:BB20)</f>
        <v>3.8159431080000004</v>
      </c>
      <c r="BC18" s="582">
        <f t="shared" si="123"/>
        <v>0</v>
      </c>
      <c r="BD18" s="582">
        <f t="shared" si="30"/>
        <v>3.8159431080000004</v>
      </c>
      <c r="BE18" s="582">
        <f t="shared" ref="BE18:BF18" si="124">SUM(BE19:BE20)</f>
        <v>4.0818841050000003</v>
      </c>
      <c r="BF18" s="582">
        <f t="shared" si="124"/>
        <v>0</v>
      </c>
      <c r="BG18" s="582">
        <f t="shared" si="32"/>
        <v>4.0818841050000003</v>
      </c>
      <c r="BH18" s="582">
        <f t="shared" ref="BH18:BI18" si="125">SUM(BH19:BH20)</f>
        <v>18.846618078999999</v>
      </c>
      <c r="BI18" s="582">
        <f t="shared" si="125"/>
        <v>0</v>
      </c>
      <c r="BJ18" s="582">
        <f t="shared" si="34"/>
        <v>18.846618078999999</v>
      </c>
      <c r="BK18" s="582">
        <f t="shared" ref="BK18:BL18" si="126">SUM(BK19:BK20)</f>
        <v>4.4879835259999998</v>
      </c>
      <c r="BL18" s="582">
        <f t="shared" si="126"/>
        <v>0</v>
      </c>
      <c r="BM18" s="582">
        <f t="shared" si="36"/>
        <v>4.4879835259999998</v>
      </c>
      <c r="BN18" s="582">
        <f t="shared" ref="BN18:BO18" si="127">SUM(BN19:BN20)</f>
        <v>4.548521419000001</v>
      </c>
      <c r="BO18" s="582">
        <f t="shared" si="127"/>
        <v>0</v>
      </c>
      <c r="BP18" s="582">
        <f t="shared" si="38"/>
        <v>4.548521419000001</v>
      </c>
      <c r="BQ18" s="582">
        <f t="shared" ref="BQ18:BR18" si="128">SUM(BQ19:BQ20)</f>
        <v>4.7908052679999997</v>
      </c>
      <c r="BR18" s="582">
        <f t="shared" si="128"/>
        <v>0</v>
      </c>
      <c r="BS18" s="582">
        <f>BQ18+BR18</f>
        <v>4.7908052679999997</v>
      </c>
      <c r="BT18" s="582">
        <f t="shared" ref="BT18:BU18" si="129">SUM(BT19:BT20)</f>
        <v>5.019307866000001</v>
      </c>
      <c r="BU18" s="582">
        <f t="shared" si="129"/>
        <v>0</v>
      </c>
      <c r="BV18" s="582">
        <f t="shared" si="42"/>
        <v>5.019307866000001</v>
      </c>
    </row>
    <row r="19" spans="2:80" x14ac:dyDescent="0.3">
      <c r="B19" s="555" t="s">
        <v>104</v>
      </c>
      <c r="C19" s="555" t="s">
        <v>125</v>
      </c>
      <c r="D19" s="581">
        <f t="shared" ref="D19:D20" si="130">SUM(X19,AA19,U19,R19)</f>
        <v>8.1012176369999995</v>
      </c>
      <c r="E19" s="581">
        <f t="shared" ref="E19:E20" si="131">SUM(Y19,AB19,V19,S19)</f>
        <v>0</v>
      </c>
      <c r="F19" s="581">
        <f t="shared" si="1"/>
        <v>8.1012176369999995</v>
      </c>
      <c r="G19" s="581">
        <f t="shared" ref="G19:G20" si="132">SUM(AM19,AP19,AJ19,AG19)</f>
        <v>10.381806453999999</v>
      </c>
      <c r="H19" s="581">
        <f t="shared" ref="H19:H20" si="133">SUM(AN19,AQ19,AK19,AH19)</f>
        <v>0</v>
      </c>
      <c r="I19" s="581">
        <f t="shared" si="3"/>
        <v>10.381806453999999</v>
      </c>
      <c r="J19" s="388">
        <f t="shared" si="4"/>
        <v>-0.21967167535870535</v>
      </c>
      <c r="K19" s="388">
        <f t="shared" si="4"/>
        <v>0</v>
      </c>
      <c r="L19" s="578">
        <f t="shared" si="4"/>
        <v>-0.21967167535870535</v>
      </c>
      <c r="M19" s="578"/>
      <c r="N19" s="579"/>
      <c r="O19" s="581">
        <v>8.1012176369999995</v>
      </c>
      <c r="P19" s="581">
        <v>0</v>
      </c>
      <c r="Q19" s="581">
        <f t="shared" si="56"/>
        <v>8.1012176369999995</v>
      </c>
      <c r="R19" s="581">
        <v>1.8104027110000001</v>
      </c>
      <c r="S19" s="581">
        <v>0</v>
      </c>
      <c r="T19" s="581">
        <f t="shared" si="57"/>
        <v>1.8104027110000001</v>
      </c>
      <c r="U19" s="581">
        <v>1.9739003039999998</v>
      </c>
      <c r="V19" s="581">
        <v>0</v>
      </c>
      <c r="W19" s="581">
        <f t="shared" si="58"/>
        <v>1.9739003039999998</v>
      </c>
      <c r="X19" s="581">
        <v>2.1028819679999997</v>
      </c>
      <c r="Y19" s="581">
        <v>0</v>
      </c>
      <c r="Z19" s="581">
        <f t="shared" si="59"/>
        <v>2.1028819679999997</v>
      </c>
      <c r="AA19" s="581">
        <v>2.2140326539999999</v>
      </c>
      <c r="AB19" s="581">
        <v>0</v>
      </c>
      <c r="AC19" s="581">
        <f t="shared" si="60"/>
        <v>2.2140326539999999</v>
      </c>
      <c r="AD19" s="581">
        <f>+AG19+AJ19+AM19+AP19</f>
        <v>10.381806453999999</v>
      </c>
      <c r="AE19" s="581">
        <f>+AH19+AK19+AN19+AQ19</f>
        <v>0</v>
      </c>
      <c r="AF19" s="581">
        <f t="shared" si="61"/>
        <v>10.381806453999999</v>
      </c>
      <c r="AG19" s="581">
        <v>2.3956874419999998</v>
      </c>
      <c r="AH19" s="581">
        <v>0</v>
      </c>
      <c r="AI19" s="581">
        <f t="shared" si="62"/>
        <v>2.3956874419999998</v>
      </c>
      <c r="AJ19" s="581">
        <v>2.5131680049999998</v>
      </c>
      <c r="AK19" s="581">
        <v>0</v>
      </c>
      <c r="AL19" s="581">
        <f t="shared" si="63"/>
        <v>2.5131680049999998</v>
      </c>
      <c r="AM19" s="581">
        <v>2.6556828050000001</v>
      </c>
      <c r="AN19" s="581">
        <v>0</v>
      </c>
      <c r="AO19" s="581">
        <f t="shared" si="64"/>
        <v>2.6556828050000001</v>
      </c>
      <c r="AP19" s="581">
        <v>2.8172682019999997</v>
      </c>
      <c r="AQ19" s="581">
        <v>0</v>
      </c>
      <c r="AR19" s="581">
        <f t="shared" si="65"/>
        <v>2.8172682019999997</v>
      </c>
      <c r="AS19" s="581">
        <v>13.353838395</v>
      </c>
      <c r="AT19" s="581">
        <v>0</v>
      </c>
      <c r="AU19" s="581">
        <f t="shared" si="24"/>
        <v>13.353838395</v>
      </c>
      <c r="AV19" s="581">
        <v>3.0707657470000003</v>
      </c>
      <c r="AW19" s="581">
        <v>0</v>
      </c>
      <c r="AX19" s="581">
        <f t="shared" si="26"/>
        <v>3.0707657470000003</v>
      </c>
      <c r="AY19" s="581">
        <v>3.1609204350000004</v>
      </c>
      <c r="AZ19" s="581">
        <v>0</v>
      </c>
      <c r="BA19" s="581">
        <f t="shared" si="28"/>
        <v>3.1609204350000004</v>
      </c>
      <c r="BB19" s="581">
        <v>3.4335231080000002</v>
      </c>
      <c r="BC19" s="581">
        <v>0</v>
      </c>
      <c r="BD19" s="581">
        <f t="shared" si="30"/>
        <v>3.4335231080000002</v>
      </c>
      <c r="BE19" s="581">
        <v>3.688629105</v>
      </c>
      <c r="BF19" s="581">
        <v>0</v>
      </c>
      <c r="BG19" s="581">
        <f t="shared" si="32"/>
        <v>3.688629105</v>
      </c>
      <c r="BH19" s="581">
        <f t="shared" ref="BH19:BI20" si="134">SUM(BK19,BN19,BQ19,BT19)</f>
        <v>17.193760079</v>
      </c>
      <c r="BI19" s="581">
        <f t="shared" si="134"/>
        <v>0</v>
      </c>
      <c r="BJ19" s="581">
        <f t="shared" si="34"/>
        <v>17.193760079</v>
      </c>
      <c r="BK19" s="581">
        <v>4.0835025260000002</v>
      </c>
      <c r="BL19" s="581">
        <v>0</v>
      </c>
      <c r="BM19" s="581">
        <f t="shared" si="36"/>
        <v>4.0835025260000002</v>
      </c>
      <c r="BN19" s="581">
        <v>4.1353804190000005</v>
      </c>
      <c r="BO19" s="581">
        <v>0</v>
      </c>
      <c r="BP19" s="581">
        <f t="shared" si="38"/>
        <v>4.1353804190000005</v>
      </c>
      <c r="BQ19" s="581">
        <v>4.3790342679999998</v>
      </c>
      <c r="BR19" s="581">
        <v>0</v>
      </c>
      <c r="BS19" s="581">
        <f>BQ19+BR19</f>
        <v>4.3790342679999998</v>
      </c>
      <c r="BT19" s="581">
        <v>4.5958428660000008</v>
      </c>
      <c r="BU19" s="581">
        <v>0</v>
      </c>
      <c r="BV19" s="581">
        <f t="shared" si="42"/>
        <v>4.5958428660000008</v>
      </c>
    </row>
    <row r="20" spans="2:80" x14ac:dyDescent="0.3">
      <c r="B20" s="555" t="s">
        <v>105</v>
      </c>
      <c r="C20" s="555" t="s">
        <v>128</v>
      </c>
      <c r="D20" s="581">
        <f t="shared" si="130"/>
        <v>1.3656249999999999</v>
      </c>
      <c r="E20" s="581">
        <f t="shared" si="131"/>
        <v>0</v>
      </c>
      <c r="F20" s="581">
        <f t="shared" si="1"/>
        <v>1.3656249999999999</v>
      </c>
      <c r="G20" s="581">
        <f t="shared" si="132"/>
        <v>1.4218500000000001</v>
      </c>
      <c r="H20" s="581">
        <f t="shared" si="133"/>
        <v>0</v>
      </c>
      <c r="I20" s="581">
        <f t="shared" si="3"/>
        <v>1.4218500000000001</v>
      </c>
      <c r="J20" s="388">
        <f t="shared" si="4"/>
        <v>-3.9543552414108563E-2</v>
      </c>
      <c r="K20" s="388">
        <f t="shared" si="4"/>
        <v>0</v>
      </c>
      <c r="L20" s="578">
        <f t="shared" si="4"/>
        <v>-3.9543552414108563E-2</v>
      </c>
      <c r="M20" s="578"/>
      <c r="N20" s="579"/>
      <c r="O20" s="581">
        <v>1.3656250000000001</v>
      </c>
      <c r="P20" s="581">
        <v>0</v>
      </c>
      <c r="Q20" s="581">
        <f t="shared" si="56"/>
        <v>1.3656250000000001</v>
      </c>
      <c r="R20" s="581">
        <v>0.34432999999999997</v>
      </c>
      <c r="S20" s="581">
        <v>0</v>
      </c>
      <c r="T20" s="581">
        <f t="shared" si="57"/>
        <v>0.34432999999999997</v>
      </c>
      <c r="U20" s="581">
        <v>0.33532999999999996</v>
      </c>
      <c r="V20" s="581">
        <v>0</v>
      </c>
      <c r="W20" s="581">
        <f t="shared" si="58"/>
        <v>0.33532999999999996</v>
      </c>
      <c r="X20" s="581">
        <v>0.33881</v>
      </c>
      <c r="Y20" s="581">
        <v>0</v>
      </c>
      <c r="Z20" s="581">
        <f t="shared" si="59"/>
        <v>0.33881</v>
      </c>
      <c r="AA20" s="581">
        <v>0.34715499999999999</v>
      </c>
      <c r="AB20" s="581">
        <v>0</v>
      </c>
      <c r="AC20" s="581">
        <f t="shared" si="60"/>
        <v>0.34715499999999999</v>
      </c>
      <c r="AD20" s="581">
        <f>+AG20+AJ20+AM20+AP20</f>
        <v>1.4218500000000001</v>
      </c>
      <c r="AE20" s="581">
        <f>+AH20+AK20+AN20+AQ20</f>
        <v>0</v>
      </c>
      <c r="AF20" s="581">
        <f t="shared" si="61"/>
        <v>1.4218500000000001</v>
      </c>
      <c r="AG20" s="581">
        <v>0.34917499999999996</v>
      </c>
      <c r="AH20" s="581">
        <v>0</v>
      </c>
      <c r="AI20" s="581">
        <f t="shared" si="62"/>
        <v>0.34917499999999996</v>
      </c>
      <c r="AJ20" s="581">
        <v>0.35477500000000001</v>
      </c>
      <c r="AK20" s="581">
        <v>0</v>
      </c>
      <c r="AL20" s="581">
        <f t="shared" si="63"/>
        <v>0.35477500000000001</v>
      </c>
      <c r="AM20" s="581">
        <v>0.35397499999999998</v>
      </c>
      <c r="AN20" s="581">
        <v>0</v>
      </c>
      <c r="AO20" s="581">
        <f t="shared" si="64"/>
        <v>0.35397499999999998</v>
      </c>
      <c r="AP20" s="581">
        <v>0.363925</v>
      </c>
      <c r="AQ20" s="581">
        <v>0</v>
      </c>
      <c r="AR20" s="581">
        <f t="shared" si="65"/>
        <v>0.363925</v>
      </c>
      <c r="AS20" s="581">
        <v>1.524945</v>
      </c>
      <c r="AT20" s="581">
        <v>0</v>
      </c>
      <c r="AU20" s="581">
        <f t="shared" si="24"/>
        <v>1.524945</v>
      </c>
      <c r="AV20" s="581">
        <v>0.37079500000000004</v>
      </c>
      <c r="AW20" s="581">
        <v>0</v>
      </c>
      <c r="AX20" s="581">
        <f t="shared" si="26"/>
        <v>0.37079500000000004</v>
      </c>
      <c r="AY20" s="581">
        <v>0.37847500000000001</v>
      </c>
      <c r="AZ20" s="581">
        <v>0</v>
      </c>
      <c r="BA20" s="581">
        <f t="shared" si="28"/>
        <v>0.37847500000000001</v>
      </c>
      <c r="BB20" s="581">
        <v>0.38242000000000004</v>
      </c>
      <c r="BC20" s="581">
        <v>0</v>
      </c>
      <c r="BD20" s="581">
        <f t="shared" si="30"/>
        <v>0.38242000000000004</v>
      </c>
      <c r="BE20" s="581">
        <v>0.39325499999999997</v>
      </c>
      <c r="BF20" s="581">
        <v>0</v>
      </c>
      <c r="BG20" s="581">
        <f t="shared" si="32"/>
        <v>0.39325499999999997</v>
      </c>
      <c r="BH20" s="581">
        <f t="shared" si="134"/>
        <v>1.6528579999999999</v>
      </c>
      <c r="BI20" s="581">
        <f t="shared" si="134"/>
        <v>0</v>
      </c>
      <c r="BJ20" s="581">
        <f t="shared" si="34"/>
        <v>1.6528579999999999</v>
      </c>
      <c r="BK20" s="581">
        <v>0.40448099999999998</v>
      </c>
      <c r="BL20" s="581">
        <v>0</v>
      </c>
      <c r="BM20" s="581">
        <f t="shared" si="36"/>
        <v>0.40448099999999998</v>
      </c>
      <c r="BN20" s="581">
        <v>0.41314100000000004</v>
      </c>
      <c r="BO20" s="581">
        <v>0</v>
      </c>
      <c r="BP20" s="581">
        <f t="shared" si="38"/>
        <v>0.41314100000000004</v>
      </c>
      <c r="BQ20" s="581">
        <v>0.411771</v>
      </c>
      <c r="BR20" s="581">
        <v>0</v>
      </c>
      <c r="BS20" s="581">
        <f t="shared" si="40"/>
        <v>0.411771</v>
      </c>
      <c r="BT20" s="581">
        <v>0.42346499999999998</v>
      </c>
      <c r="BU20" s="581">
        <v>0</v>
      </c>
      <c r="BV20" s="581">
        <f t="shared" si="42"/>
        <v>0.42346499999999998</v>
      </c>
    </row>
    <row r="21" spans="2:80" s="374" customFormat="1" x14ac:dyDescent="0.3">
      <c r="B21" s="315" t="s">
        <v>112</v>
      </c>
      <c r="C21" s="375" t="s">
        <v>129</v>
      </c>
      <c r="D21" s="585">
        <f>SUM(D7,D18)</f>
        <v>1631.52515827</v>
      </c>
      <c r="E21" s="585">
        <f>SUM(E7,E18)</f>
        <v>2372.9175122930001</v>
      </c>
      <c r="F21" s="585">
        <f t="shared" si="1"/>
        <v>4004.4426705630003</v>
      </c>
      <c r="G21" s="585">
        <f>SUM(G7,G18)</f>
        <v>1568.9148910739998</v>
      </c>
      <c r="H21" s="585">
        <f>SUM(H7,H18)</f>
        <v>1761.5118108780002</v>
      </c>
      <c r="I21" s="585">
        <f t="shared" si="3"/>
        <v>3330.4267019520003</v>
      </c>
      <c r="J21" s="385">
        <f t="shared" si="4"/>
        <v>3.9906732705647485E-2</v>
      </c>
      <c r="K21" s="385">
        <f t="shared" si="4"/>
        <v>0.34709145725810009</v>
      </c>
      <c r="L21" s="586">
        <f t="shared" si="4"/>
        <v>0.20238126490396913</v>
      </c>
      <c r="M21" s="573"/>
      <c r="N21" s="574"/>
      <c r="O21" s="585">
        <v>1631.5251582699998</v>
      </c>
      <c r="P21" s="585">
        <v>2372.9175122930001</v>
      </c>
      <c r="Q21" s="585">
        <f t="shared" si="56"/>
        <v>4004.4426705629999</v>
      </c>
      <c r="R21" s="585">
        <v>418.95717489299994</v>
      </c>
      <c r="S21" s="585">
        <v>665.29835834500011</v>
      </c>
      <c r="T21" s="585">
        <f t="shared" si="57"/>
        <v>1084.255533238</v>
      </c>
      <c r="U21" s="585">
        <f t="shared" ref="U21:V21" si="135">U7+U18</f>
        <v>411.46392303299984</v>
      </c>
      <c r="V21" s="585">
        <f t="shared" si="135"/>
        <v>699.22767335200001</v>
      </c>
      <c r="W21" s="585">
        <f t="shared" si="58"/>
        <v>1110.6915963849999</v>
      </c>
      <c r="X21" s="585">
        <f t="shared" ref="X21:Y21" si="136">X7+X18</f>
        <v>399.94791179999999</v>
      </c>
      <c r="Y21" s="585">
        <f t="shared" si="136"/>
        <v>451.54081366100002</v>
      </c>
      <c r="Z21" s="585">
        <f t="shared" si="59"/>
        <v>851.48872546100006</v>
      </c>
      <c r="AA21" s="585">
        <f t="shared" ref="AA21:AB21" si="137">AA7+AA18</f>
        <v>401.15614854399996</v>
      </c>
      <c r="AB21" s="585">
        <f t="shared" si="137"/>
        <v>556.85066693499994</v>
      </c>
      <c r="AC21" s="585">
        <f t="shared" si="60"/>
        <v>958.0068154789999</v>
      </c>
      <c r="AD21" s="585">
        <f t="shared" ref="AD21:AE21" si="138">AD7+AD18</f>
        <v>1568.9148910739998</v>
      </c>
      <c r="AE21" s="585">
        <f t="shared" si="138"/>
        <v>1761.5118108780002</v>
      </c>
      <c r="AF21" s="585">
        <f t="shared" si="61"/>
        <v>3330.4267019520003</v>
      </c>
      <c r="AG21" s="585">
        <f t="shared" ref="AG21:AH21" si="139">AG7+AG18</f>
        <v>398.66715769800004</v>
      </c>
      <c r="AH21" s="585">
        <f t="shared" si="139"/>
        <v>505.23042970799992</v>
      </c>
      <c r="AI21" s="585">
        <f t="shared" si="62"/>
        <v>903.89758740599996</v>
      </c>
      <c r="AJ21" s="585">
        <f t="shared" ref="AJ21:AK21" si="140">AJ7+AJ18</f>
        <v>390.63602025799992</v>
      </c>
      <c r="AK21" s="585">
        <f t="shared" si="140"/>
        <v>455.83477731400001</v>
      </c>
      <c r="AL21" s="585">
        <f t="shared" si="63"/>
        <v>846.47079757199992</v>
      </c>
      <c r="AM21" s="585">
        <f t="shared" ref="AM21:AN21" si="141">AM7+AM18</f>
        <v>391.56753955400001</v>
      </c>
      <c r="AN21" s="585">
        <f t="shared" si="141"/>
        <v>400.64807172500002</v>
      </c>
      <c r="AO21" s="585">
        <f t="shared" si="64"/>
        <v>792.21561127900009</v>
      </c>
      <c r="AP21" s="585">
        <f t="shared" ref="AP21:AQ21" si="142">AP7+AP18</f>
        <v>388.044173564</v>
      </c>
      <c r="AQ21" s="585">
        <f t="shared" si="142"/>
        <v>399.79853213100006</v>
      </c>
      <c r="AR21" s="585">
        <f t="shared" si="65"/>
        <v>787.84270569500006</v>
      </c>
      <c r="AS21" s="585">
        <f t="shared" ref="AS21:AT21" si="143">AS7+AS18</f>
        <v>1555.2875525689999</v>
      </c>
      <c r="AT21" s="585">
        <f t="shared" si="143"/>
        <v>1303.6974563899998</v>
      </c>
      <c r="AU21" s="585">
        <f t="shared" si="24"/>
        <v>2858.985008959</v>
      </c>
      <c r="AV21" s="585">
        <f t="shared" ref="AV21:AW21" si="144">AV7+AV18</f>
        <v>390.72587443099985</v>
      </c>
      <c r="AW21" s="585">
        <f t="shared" si="144"/>
        <v>322.01345420500002</v>
      </c>
      <c r="AX21" s="585">
        <f t="shared" si="26"/>
        <v>712.73932863599987</v>
      </c>
      <c r="AY21" s="585">
        <f t="shared" ref="AY21:AZ21" si="145">AY7+AY18</f>
        <v>386.98609841400003</v>
      </c>
      <c r="AZ21" s="585">
        <f t="shared" si="145"/>
        <v>346.29633848800006</v>
      </c>
      <c r="BA21" s="585">
        <f t="shared" si="28"/>
        <v>733.28243690200009</v>
      </c>
      <c r="BB21" s="585">
        <f t="shared" ref="BB21:BC21" si="146">BB7+BB18</f>
        <v>386.58325432399999</v>
      </c>
      <c r="BC21" s="585">
        <f t="shared" si="146"/>
        <v>318.075115493</v>
      </c>
      <c r="BD21" s="585">
        <f t="shared" si="30"/>
        <v>704.65836981699999</v>
      </c>
      <c r="BE21" s="585">
        <f t="shared" ref="BE21:BF21" si="147">BE7+BE18</f>
        <v>390.99232539999991</v>
      </c>
      <c r="BF21" s="585">
        <f t="shared" si="147"/>
        <v>317.31254820400005</v>
      </c>
      <c r="BG21" s="585">
        <f t="shared" si="32"/>
        <v>708.30487360400002</v>
      </c>
      <c r="BH21" s="585">
        <f t="shared" ref="BH21:BI21" si="148">BH7+BH18</f>
        <v>1652.5032831640001</v>
      </c>
      <c r="BI21" s="585">
        <f t="shared" si="148"/>
        <v>1663.4779069210003</v>
      </c>
      <c r="BJ21" s="585">
        <f t="shared" si="34"/>
        <v>3315.9811900850004</v>
      </c>
      <c r="BK21" s="585">
        <f t="shared" ref="BK21:BL21" si="149">BK7+BK18</f>
        <v>403.996265032</v>
      </c>
      <c r="BL21" s="585">
        <f t="shared" si="149"/>
        <v>333.51337727100002</v>
      </c>
      <c r="BM21" s="585">
        <f t="shared" si="36"/>
        <v>737.50964230299996</v>
      </c>
      <c r="BN21" s="585">
        <f t="shared" ref="BN21:BO21" si="150">BN7+BN18</f>
        <v>409.156169568</v>
      </c>
      <c r="BO21" s="585">
        <f t="shared" si="150"/>
        <v>370.48826351499997</v>
      </c>
      <c r="BP21" s="585">
        <f t="shared" si="38"/>
        <v>779.64443308299997</v>
      </c>
      <c r="BQ21" s="585">
        <f t="shared" ref="BQ21:BR21" si="151">BQ7+BQ18</f>
        <v>413.03025580299999</v>
      </c>
      <c r="BR21" s="585">
        <f t="shared" si="151"/>
        <v>409.36294350500009</v>
      </c>
      <c r="BS21" s="585">
        <f t="shared" si="40"/>
        <v>822.39319930800002</v>
      </c>
      <c r="BT21" s="585">
        <f t="shared" ref="BT21:BU21" si="152">BT7+BT18</f>
        <v>426.32059276100006</v>
      </c>
      <c r="BU21" s="585">
        <f t="shared" si="152"/>
        <v>550.11332263000008</v>
      </c>
      <c r="BV21" s="585">
        <f t="shared" si="42"/>
        <v>976.43391539100014</v>
      </c>
      <c r="BZ21" s="587"/>
      <c r="CA21" s="587"/>
      <c r="CB21" s="588"/>
    </row>
    <row r="22" spans="2:80" x14ac:dyDescent="0.3">
      <c r="B22" s="589" t="s">
        <v>106</v>
      </c>
      <c r="C22" s="377" t="s">
        <v>133</v>
      </c>
      <c r="D22" s="575">
        <f>SUM(X22,AA22,U22,R22)</f>
        <v>0</v>
      </c>
      <c r="E22" s="575">
        <f>SUM(Y22,AB22,V22,S22)</f>
        <v>967.19479185699993</v>
      </c>
      <c r="F22" s="575">
        <f t="shared" si="1"/>
        <v>967.19479185699993</v>
      </c>
      <c r="G22" s="575">
        <f>SUM(AM22,AP22,AJ22,AG22)</f>
        <v>0</v>
      </c>
      <c r="H22" s="575">
        <f>SUM(AN22,AQ22,AK22,AH22)</f>
        <v>1011.665151681</v>
      </c>
      <c r="I22" s="575">
        <f t="shared" si="3"/>
        <v>1011.665151681</v>
      </c>
      <c r="J22" s="576">
        <f t="shared" si="4"/>
        <v>0</v>
      </c>
      <c r="K22" s="576">
        <f t="shared" si="4"/>
        <v>-4.3957587893689309E-2</v>
      </c>
      <c r="L22" s="577">
        <f t="shared" si="4"/>
        <v>-4.3957587893689309E-2</v>
      </c>
      <c r="M22" s="578"/>
      <c r="N22" s="579"/>
      <c r="O22" s="575">
        <v>0</v>
      </c>
      <c r="P22" s="575">
        <v>967.19479185700015</v>
      </c>
      <c r="Q22" s="575">
        <f t="shared" si="56"/>
        <v>967.19479185700015</v>
      </c>
      <c r="R22" s="575">
        <v>0</v>
      </c>
      <c r="S22" s="575">
        <v>461.02524912400003</v>
      </c>
      <c r="T22" s="575">
        <f t="shared" si="57"/>
        <v>461.02524912400003</v>
      </c>
      <c r="U22" s="575">
        <v>0</v>
      </c>
      <c r="V22" s="575">
        <v>138.36769504500003</v>
      </c>
      <c r="W22" s="575">
        <f t="shared" si="58"/>
        <v>138.36769504500003</v>
      </c>
      <c r="X22" s="575">
        <v>0</v>
      </c>
      <c r="Y22" s="575">
        <v>131.87548805899996</v>
      </c>
      <c r="Z22" s="575">
        <f t="shared" si="59"/>
        <v>131.87548805899996</v>
      </c>
      <c r="AA22" s="575">
        <v>0</v>
      </c>
      <c r="AB22" s="575">
        <v>235.92635962900002</v>
      </c>
      <c r="AC22" s="575">
        <f t="shared" si="60"/>
        <v>235.92635962900002</v>
      </c>
      <c r="AD22" s="575">
        <f>+AG22+AJ22+AM22+AP22</f>
        <v>0</v>
      </c>
      <c r="AE22" s="575">
        <f>+AH22+AK22+AN22+AQ22</f>
        <v>1011.665151681</v>
      </c>
      <c r="AF22" s="575">
        <f t="shared" si="61"/>
        <v>1011.665151681</v>
      </c>
      <c r="AG22" s="575">
        <v>0</v>
      </c>
      <c r="AH22" s="575">
        <v>486.49098051100003</v>
      </c>
      <c r="AI22" s="575">
        <f t="shared" si="62"/>
        <v>486.49098051100003</v>
      </c>
      <c r="AJ22" s="575">
        <v>0</v>
      </c>
      <c r="AK22" s="575">
        <v>122.51843421400001</v>
      </c>
      <c r="AL22" s="575">
        <f t="shared" si="63"/>
        <v>122.51843421400001</v>
      </c>
      <c r="AM22" s="575">
        <v>0</v>
      </c>
      <c r="AN22" s="575">
        <v>140.88855535300002</v>
      </c>
      <c r="AO22" s="575">
        <f t="shared" si="64"/>
        <v>140.88855535300002</v>
      </c>
      <c r="AP22" s="575">
        <v>0</v>
      </c>
      <c r="AQ22" s="575">
        <v>261.76718160299998</v>
      </c>
      <c r="AR22" s="575">
        <f t="shared" si="65"/>
        <v>261.76718160299998</v>
      </c>
      <c r="AS22" s="575">
        <v>0</v>
      </c>
      <c r="AT22" s="575">
        <v>1210.170832669</v>
      </c>
      <c r="AU22" s="575">
        <f t="shared" si="24"/>
        <v>1210.170832669</v>
      </c>
      <c r="AV22" s="575">
        <v>0</v>
      </c>
      <c r="AW22" s="575">
        <v>702.61193976799996</v>
      </c>
      <c r="AX22" s="575">
        <f t="shared" si="26"/>
        <v>702.61193976799996</v>
      </c>
      <c r="AY22" s="575">
        <v>0</v>
      </c>
      <c r="AZ22" s="575">
        <v>137.79428473200005</v>
      </c>
      <c r="BA22" s="575">
        <f t="shared" si="28"/>
        <v>137.79428473200005</v>
      </c>
      <c r="BB22" s="575">
        <v>0</v>
      </c>
      <c r="BC22" s="575">
        <v>134.49513715800003</v>
      </c>
      <c r="BD22" s="575">
        <f t="shared" si="30"/>
        <v>134.49513715800003</v>
      </c>
      <c r="BE22" s="575">
        <v>0</v>
      </c>
      <c r="BF22" s="575">
        <v>235.26947101099998</v>
      </c>
      <c r="BG22" s="575">
        <f t="shared" si="32"/>
        <v>235.26947101099998</v>
      </c>
      <c r="BH22" s="575">
        <f>SUM(BK22,BN22,BQ22,BT22)</f>
        <v>0</v>
      </c>
      <c r="BI22" s="575">
        <f>SUM(BL22,BO22,BR22,BU22)</f>
        <v>1982.9866042150004</v>
      </c>
      <c r="BJ22" s="575">
        <f t="shared" si="34"/>
        <v>1982.9866042150004</v>
      </c>
      <c r="BK22" s="575">
        <v>0</v>
      </c>
      <c r="BL22" s="575">
        <v>1349.4183729510003</v>
      </c>
      <c r="BM22" s="575">
        <f t="shared" si="36"/>
        <v>1349.4183729510003</v>
      </c>
      <c r="BN22" s="575">
        <v>0</v>
      </c>
      <c r="BO22" s="575">
        <v>214.44872225700001</v>
      </c>
      <c r="BP22" s="575">
        <f t="shared" si="38"/>
        <v>214.44872225700001</v>
      </c>
      <c r="BQ22" s="575">
        <v>0</v>
      </c>
      <c r="BR22" s="575">
        <v>198.48702666200001</v>
      </c>
      <c r="BS22" s="575">
        <f t="shared" si="40"/>
        <v>198.48702666200001</v>
      </c>
      <c r="BT22" s="575">
        <v>0</v>
      </c>
      <c r="BU22" s="575">
        <v>220.63248234500003</v>
      </c>
      <c r="BV22" s="575">
        <f t="shared" si="42"/>
        <v>220.63248234500003</v>
      </c>
    </row>
    <row r="23" spans="2:80" x14ac:dyDescent="0.3">
      <c r="B23" s="377"/>
      <c r="C23" s="377"/>
      <c r="D23" s="377"/>
      <c r="E23" s="590"/>
      <c r="F23" s="377"/>
      <c r="G23" s="377"/>
      <c r="H23" s="590"/>
      <c r="I23" s="377"/>
      <c r="J23" s="377"/>
      <c r="K23" s="377"/>
      <c r="L23" s="377"/>
      <c r="M23" s="311"/>
      <c r="N23" s="311"/>
      <c r="O23" s="377"/>
      <c r="P23" s="377"/>
      <c r="Q23" s="377"/>
      <c r="R23" s="377"/>
      <c r="S23" s="377"/>
      <c r="T23" s="377"/>
      <c r="U23" s="377"/>
      <c r="V23" s="377"/>
      <c r="W23" s="377"/>
      <c r="X23" s="377"/>
      <c r="Y23" s="377"/>
      <c r="Z23" s="377"/>
      <c r="AA23" s="377"/>
      <c r="AB23" s="377"/>
      <c r="AC23" s="377"/>
      <c r="AD23" s="377"/>
      <c r="AE23" s="377"/>
      <c r="AF23" s="377"/>
      <c r="AG23" s="377"/>
      <c r="AH23" s="377"/>
      <c r="AI23" s="377"/>
      <c r="AJ23" s="377"/>
      <c r="AK23" s="377"/>
      <c r="AL23" s="377"/>
      <c r="AM23" s="377"/>
      <c r="AN23" s="377"/>
      <c r="AO23" s="377"/>
      <c r="AP23" s="377"/>
      <c r="AQ23" s="377"/>
      <c r="AR23" s="377"/>
      <c r="AS23" s="377"/>
      <c r="AT23" s="377"/>
      <c r="AU23" s="377"/>
      <c r="AV23" s="377"/>
      <c r="AW23" s="377"/>
      <c r="AX23" s="377"/>
      <c r="AY23" s="377"/>
      <c r="AZ23" s="377"/>
      <c r="BA23" s="377"/>
      <c r="BB23" s="377"/>
      <c r="BC23" s="377"/>
      <c r="BD23" s="377"/>
      <c r="BE23" s="377"/>
      <c r="BF23" s="377"/>
      <c r="BG23" s="377"/>
      <c r="BH23" s="377"/>
      <c r="BI23" s="377"/>
      <c r="BJ23" s="377"/>
      <c r="BK23" s="377"/>
      <c r="BL23" s="377"/>
      <c r="BM23" s="377"/>
      <c r="BN23" s="377"/>
      <c r="BO23" s="377"/>
      <c r="BP23" s="377"/>
      <c r="BQ23" s="377"/>
      <c r="BR23" s="377"/>
      <c r="BS23" s="377"/>
      <c r="BT23" s="377"/>
      <c r="BU23" s="377"/>
      <c r="BV23" s="377"/>
    </row>
    <row r="24" spans="2:80" x14ac:dyDescent="0.3">
      <c r="B24" s="468" t="s">
        <v>131</v>
      </c>
      <c r="C24" s="468" t="s">
        <v>1724</v>
      </c>
    </row>
    <row r="25" spans="2:80" s="374" customFormat="1" x14ac:dyDescent="0.3">
      <c r="B25" s="378" t="s">
        <v>113</v>
      </c>
      <c r="C25" s="378" t="s">
        <v>115</v>
      </c>
      <c r="D25" s="582">
        <f>D26+D27</f>
        <v>1507.4087861539999</v>
      </c>
      <c r="E25" s="582">
        <f t="shared" ref="E25:I25" si="153">E26+E27</f>
        <v>0</v>
      </c>
      <c r="F25" s="582">
        <f t="shared" si="153"/>
        <v>1507.4087861539999</v>
      </c>
      <c r="G25" s="582">
        <f t="shared" si="153"/>
        <v>1449.6346102639998</v>
      </c>
      <c r="H25" s="582">
        <f t="shared" si="153"/>
        <v>0</v>
      </c>
      <c r="I25" s="582">
        <f t="shared" si="153"/>
        <v>1449.6346102639998</v>
      </c>
      <c r="J25" s="583">
        <f t="shared" ref="J25:L31" si="154">+IFERROR(IF(G25&lt;0,-(D25/G25-1),(D25/G25-1)),0)</f>
        <v>3.9854302236532968E-2</v>
      </c>
      <c r="K25" s="583">
        <f t="shared" si="154"/>
        <v>0</v>
      </c>
      <c r="L25" s="583">
        <f t="shared" si="154"/>
        <v>3.9854302236532968E-2</v>
      </c>
      <c r="M25" s="574"/>
      <c r="N25" s="574"/>
      <c r="O25" s="582">
        <f t="shared" ref="O25:Q25" si="155">O26+O27</f>
        <v>1507.4087861539997</v>
      </c>
      <c r="P25" s="582">
        <f t="shared" si="155"/>
        <v>0</v>
      </c>
      <c r="Q25" s="582">
        <f t="shared" si="155"/>
        <v>1507.4087861539997</v>
      </c>
      <c r="R25" s="582">
        <f t="shared" ref="R25:T25" si="156">R26+R27</f>
        <v>386.28174416099995</v>
      </c>
      <c r="S25" s="582">
        <f t="shared" si="156"/>
        <v>0</v>
      </c>
      <c r="T25" s="582">
        <f t="shared" si="156"/>
        <v>386.28174416099995</v>
      </c>
      <c r="U25" s="582">
        <f t="shared" ref="U25:W25" si="157">U26+U27</f>
        <v>379.71250255099989</v>
      </c>
      <c r="V25" s="582">
        <f t="shared" si="157"/>
        <v>0</v>
      </c>
      <c r="W25" s="582">
        <f t="shared" si="157"/>
        <v>379.71250255099989</v>
      </c>
      <c r="X25" s="582">
        <f t="shared" ref="X25:Z25" si="158">X26+X27</f>
        <v>370.13594850999999</v>
      </c>
      <c r="Y25" s="582">
        <f t="shared" si="158"/>
        <v>0</v>
      </c>
      <c r="Z25" s="582">
        <f t="shared" si="158"/>
        <v>370.13594850999999</v>
      </c>
      <c r="AA25" s="582">
        <f t="shared" ref="AA25:AC25" si="159">AA26+AA27</f>
        <v>371.27859093199993</v>
      </c>
      <c r="AB25" s="582">
        <f t="shared" si="159"/>
        <v>0</v>
      </c>
      <c r="AC25" s="582">
        <f t="shared" si="159"/>
        <v>371.27859093199993</v>
      </c>
      <c r="AD25" s="582">
        <f t="shared" ref="AD25:BV25" si="160">AD26+AD27</f>
        <v>1449.6346102639998</v>
      </c>
      <c r="AE25" s="582">
        <f t="shared" si="160"/>
        <v>0</v>
      </c>
      <c r="AF25" s="582">
        <f t="shared" si="160"/>
        <v>1449.6346102639998</v>
      </c>
      <c r="AG25" s="582">
        <f t="shared" si="160"/>
        <v>368.80502869600002</v>
      </c>
      <c r="AH25" s="582">
        <f t="shared" si="160"/>
        <v>0</v>
      </c>
      <c r="AI25" s="582">
        <f t="shared" si="160"/>
        <v>368.80502869600002</v>
      </c>
      <c r="AJ25" s="582">
        <f t="shared" si="160"/>
        <v>361.07064630100001</v>
      </c>
      <c r="AK25" s="582">
        <f t="shared" si="160"/>
        <v>0</v>
      </c>
      <c r="AL25" s="582">
        <f t="shared" si="160"/>
        <v>361.07064630100001</v>
      </c>
      <c r="AM25" s="582">
        <f t="shared" si="160"/>
        <v>361.87210032000007</v>
      </c>
      <c r="AN25" s="582">
        <f t="shared" si="160"/>
        <v>0</v>
      </c>
      <c r="AO25" s="582">
        <f t="shared" si="160"/>
        <v>361.87210032000007</v>
      </c>
      <c r="AP25" s="582">
        <f t="shared" si="160"/>
        <v>357.8868349469999</v>
      </c>
      <c r="AQ25" s="582">
        <f t="shared" si="160"/>
        <v>0</v>
      </c>
      <c r="AR25" s="582">
        <f t="shared" si="160"/>
        <v>357.8868349469999</v>
      </c>
      <c r="AS25" s="582">
        <f t="shared" si="160"/>
        <v>1420.6200061769998</v>
      </c>
      <c r="AT25" s="582">
        <f t="shared" si="160"/>
        <v>0</v>
      </c>
      <c r="AU25" s="582">
        <f t="shared" si="160"/>
        <v>1420.6200061769998</v>
      </c>
      <c r="AV25" s="582">
        <f t="shared" si="160"/>
        <v>359.76096474299993</v>
      </c>
      <c r="AW25" s="582">
        <f t="shared" si="160"/>
        <v>0</v>
      </c>
      <c r="AX25" s="582">
        <f t="shared" si="160"/>
        <v>359.76096474299993</v>
      </c>
      <c r="AY25" s="582">
        <f t="shared" si="160"/>
        <v>354.34821587799996</v>
      </c>
      <c r="AZ25" s="582">
        <f t="shared" si="160"/>
        <v>0</v>
      </c>
      <c r="BA25" s="582">
        <f t="shared" si="160"/>
        <v>354.34821587799996</v>
      </c>
      <c r="BB25" s="582">
        <f t="shared" si="160"/>
        <v>351.96061321399992</v>
      </c>
      <c r="BC25" s="582">
        <f t="shared" si="160"/>
        <v>0</v>
      </c>
      <c r="BD25" s="582">
        <f t="shared" si="160"/>
        <v>351.96061321399992</v>
      </c>
      <c r="BE25" s="582">
        <f t="shared" si="160"/>
        <v>354.55021234200001</v>
      </c>
      <c r="BF25" s="582">
        <f t="shared" si="160"/>
        <v>0</v>
      </c>
      <c r="BG25" s="582">
        <f t="shared" si="160"/>
        <v>354.55021234200001</v>
      </c>
      <c r="BH25" s="582">
        <f t="shared" si="160"/>
        <v>1488.288591132</v>
      </c>
      <c r="BI25" s="582">
        <f t="shared" si="160"/>
        <v>0</v>
      </c>
      <c r="BJ25" s="582">
        <f t="shared" si="160"/>
        <v>1488.288591132</v>
      </c>
      <c r="BK25" s="582">
        <f t="shared" si="160"/>
        <v>365.36595759499994</v>
      </c>
      <c r="BL25" s="582">
        <f t="shared" si="160"/>
        <v>0</v>
      </c>
      <c r="BM25" s="582">
        <f t="shared" si="160"/>
        <v>365.36595759499994</v>
      </c>
      <c r="BN25" s="582">
        <f t="shared" si="160"/>
        <v>368.75493753199993</v>
      </c>
      <c r="BO25" s="582">
        <f t="shared" si="160"/>
        <v>0</v>
      </c>
      <c r="BP25" s="582">
        <f t="shared" si="160"/>
        <v>368.75493753199993</v>
      </c>
      <c r="BQ25" s="582">
        <f t="shared" si="160"/>
        <v>371.30340087000008</v>
      </c>
      <c r="BR25" s="582">
        <f t="shared" si="160"/>
        <v>0</v>
      </c>
      <c r="BS25" s="582">
        <f t="shared" si="160"/>
        <v>371.30340087000008</v>
      </c>
      <c r="BT25" s="582">
        <f t="shared" si="160"/>
        <v>382.86429513500002</v>
      </c>
      <c r="BU25" s="582">
        <f t="shared" si="160"/>
        <v>0</v>
      </c>
      <c r="BV25" s="582">
        <f t="shared" si="160"/>
        <v>382.86429513500002</v>
      </c>
    </row>
    <row r="26" spans="2:80" x14ac:dyDescent="0.3">
      <c r="B26" s="561" t="s">
        <v>114</v>
      </c>
      <c r="C26" s="561" t="s">
        <v>107</v>
      </c>
      <c r="D26" s="581">
        <f>D9+D11+D19</f>
        <v>1443.3016574589999</v>
      </c>
      <c r="E26" s="581">
        <f t="shared" ref="E26:I26" si="161">E9+E11+E19</f>
        <v>0</v>
      </c>
      <c r="F26" s="581">
        <f t="shared" si="161"/>
        <v>1443.3016574589999</v>
      </c>
      <c r="G26" s="581">
        <f t="shared" si="161"/>
        <v>1354.7906591659998</v>
      </c>
      <c r="H26" s="581">
        <f t="shared" ref="H26:H27" si="162">SUM(BC26,BF26)</f>
        <v>0</v>
      </c>
      <c r="I26" s="581">
        <f t="shared" si="161"/>
        <v>1354.7906591659998</v>
      </c>
      <c r="J26" s="388">
        <f t="shared" si="154"/>
        <v>6.5331863409426649E-2</v>
      </c>
      <c r="K26" s="388">
        <f t="shared" si="154"/>
        <v>0</v>
      </c>
      <c r="L26" s="388">
        <f t="shared" si="154"/>
        <v>6.5331863409426649E-2</v>
      </c>
      <c r="M26" s="579"/>
      <c r="N26" s="579"/>
      <c r="O26" s="581">
        <f t="shared" ref="O26:Q26" si="163">O9+O11+O19</f>
        <v>1443.3016574589997</v>
      </c>
      <c r="P26" s="581">
        <f t="shared" si="163"/>
        <v>0</v>
      </c>
      <c r="Q26" s="581">
        <f t="shared" si="163"/>
        <v>1443.3016574589997</v>
      </c>
      <c r="R26" s="581">
        <f t="shared" ref="R26:T26" si="164">R9+R11+R19</f>
        <v>371.84942827099997</v>
      </c>
      <c r="S26" s="581">
        <f t="shared" si="164"/>
        <v>0</v>
      </c>
      <c r="T26" s="581">
        <f t="shared" si="164"/>
        <v>371.84942827099997</v>
      </c>
      <c r="U26" s="581">
        <f t="shared" ref="U26:W26" si="165">U9+U11+U19</f>
        <v>363.7142444129999</v>
      </c>
      <c r="V26" s="581">
        <f t="shared" si="165"/>
        <v>0</v>
      </c>
      <c r="W26" s="581">
        <f t="shared" si="165"/>
        <v>363.7142444129999</v>
      </c>
      <c r="X26" s="581">
        <f t="shared" ref="X26:Z26" si="166">X9+X11+X19</f>
        <v>355.72688555499997</v>
      </c>
      <c r="Y26" s="581">
        <f t="shared" si="166"/>
        <v>0</v>
      </c>
      <c r="Z26" s="581">
        <f t="shared" si="166"/>
        <v>355.72688555499997</v>
      </c>
      <c r="AA26" s="581">
        <f t="shared" ref="AA26:AC26" si="167">AA9+AA11+AA19</f>
        <v>352.01109921999995</v>
      </c>
      <c r="AB26" s="581">
        <f t="shared" si="167"/>
        <v>0</v>
      </c>
      <c r="AC26" s="581">
        <f t="shared" si="167"/>
        <v>352.01109921999995</v>
      </c>
      <c r="AD26" s="581">
        <f t="shared" ref="AD26:BV26" si="168">AD9+AD11+AD19</f>
        <v>1354.7906591659998</v>
      </c>
      <c r="AE26" s="581">
        <f t="shared" si="168"/>
        <v>0</v>
      </c>
      <c r="AF26" s="581">
        <f t="shared" si="168"/>
        <v>1354.7906591659998</v>
      </c>
      <c r="AG26" s="581">
        <f t="shared" si="168"/>
        <v>347.226271371</v>
      </c>
      <c r="AH26" s="581">
        <f t="shared" si="168"/>
        <v>0</v>
      </c>
      <c r="AI26" s="581">
        <f t="shared" si="168"/>
        <v>347.226271371</v>
      </c>
      <c r="AJ26" s="581">
        <f t="shared" si="168"/>
        <v>340.66722836399998</v>
      </c>
      <c r="AK26" s="581">
        <f t="shared" si="168"/>
        <v>0</v>
      </c>
      <c r="AL26" s="581">
        <f t="shared" si="168"/>
        <v>340.66722836399998</v>
      </c>
      <c r="AM26" s="581">
        <f t="shared" si="168"/>
        <v>335.29970226000006</v>
      </c>
      <c r="AN26" s="581">
        <f t="shared" si="168"/>
        <v>0</v>
      </c>
      <c r="AO26" s="581">
        <f t="shared" si="168"/>
        <v>335.29970226000006</v>
      </c>
      <c r="AP26" s="581">
        <f t="shared" si="168"/>
        <v>331.59745717099992</v>
      </c>
      <c r="AQ26" s="581">
        <f t="shared" si="168"/>
        <v>0</v>
      </c>
      <c r="AR26" s="581">
        <f t="shared" si="168"/>
        <v>331.59745717099992</v>
      </c>
      <c r="AS26" s="581">
        <f t="shared" si="168"/>
        <v>1296.0558870879997</v>
      </c>
      <c r="AT26" s="581">
        <f t="shared" si="168"/>
        <v>0</v>
      </c>
      <c r="AU26" s="581">
        <f t="shared" si="168"/>
        <v>1296.0558870879997</v>
      </c>
      <c r="AV26" s="581">
        <f t="shared" si="168"/>
        <v>327.93027395599995</v>
      </c>
      <c r="AW26" s="581">
        <f t="shared" si="168"/>
        <v>0</v>
      </c>
      <c r="AX26" s="581">
        <f t="shared" si="168"/>
        <v>327.93027395599995</v>
      </c>
      <c r="AY26" s="581">
        <f t="shared" si="168"/>
        <v>325.19963294399997</v>
      </c>
      <c r="AZ26" s="581">
        <f t="shared" si="168"/>
        <v>0</v>
      </c>
      <c r="BA26" s="581">
        <f t="shared" si="168"/>
        <v>325.19963294399997</v>
      </c>
      <c r="BB26" s="581">
        <f t="shared" si="168"/>
        <v>321.30395383099994</v>
      </c>
      <c r="BC26" s="581">
        <f t="shared" si="168"/>
        <v>0</v>
      </c>
      <c r="BD26" s="581">
        <f t="shared" si="168"/>
        <v>321.30395383099994</v>
      </c>
      <c r="BE26" s="581">
        <f t="shared" si="168"/>
        <v>321.62202635699998</v>
      </c>
      <c r="BF26" s="581">
        <f t="shared" si="168"/>
        <v>0</v>
      </c>
      <c r="BG26" s="581">
        <f t="shared" si="168"/>
        <v>321.62202635699998</v>
      </c>
      <c r="BH26" s="581">
        <f t="shared" si="168"/>
        <v>1301.501124698</v>
      </c>
      <c r="BI26" s="581">
        <f t="shared" si="168"/>
        <v>0</v>
      </c>
      <c r="BJ26" s="581">
        <f t="shared" si="168"/>
        <v>1301.501124698</v>
      </c>
      <c r="BK26" s="581">
        <f t="shared" si="168"/>
        <v>324.90995021099997</v>
      </c>
      <c r="BL26" s="581">
        <f t="shared" si="168"/>
        <v>0</v>
      </c>
      <c r="BM26" s="581">
        <f t="shared" si="168"/>
        <v>324.90995021099997</v>
      </c>
      <c r="BN26" s="581">
        <f>BN9+BN11+BN19</f>
        <v>326.22150029999995</v>
      </c>
      <c r="BO26" s="581">
        <f t="shared" ref="BO26:BP26" si="169">BO9+BO11+BO19</f>
        <v>0</v>
      </c>
      <c r="BP26" s="581">
        <f t="shared" si="169"/>
        <v>326.22150029999995</v>
      </c>
      <c r="BQ26" s="581">
        <f>BQ9+BQ11+BQ19</f>
        <v>325.04779753200006</v>
      </c>
      <c r="BR26" s="581">
        <f t="shared" si="168"/>
        <v>0</v>
      </c>
      <c r="BS26" s="581">
        <f t="shared" si="168"/>
        <v>325.04779753200006</v>
      </c>
      <c r="BT26" s="581">
        <f t="shared" si="168"/>
        <v>325.32187665500004</v>
      </c>
      <c r="BU26" s="581">
        <f t="shared" si="168"/>
        <v>0</v>
      </c>
      <c r="BV26" s="581">
        <f t="shared" si="168"/>
        <v>325.32187665500004</v>
      </c>
    </row>
    <row r="27" spans="2:80" x14ac:dyDescent="0.3">
      <c r="B27" s="618" t="s">
        <v>111</v>
      </c>
      <c r="C27" s="618" t="s">
        <v>108</v>
      </c>
      <c r="D27" s="581">
        <f>D13+D16+D20</f>
        <v>64.107128695</v>
      </c>
      <c r="E27" s="581">
        <f t="shared" ref="E27:I27" si="170">E13+E16+E20</f>
        <v>0</v>
      </c>
      <c r="F27" s="581">
        <f t="shared" si="170"/>
        <v>64.107128695</v>
      </c>
      <c r="G27" s="581">
        <f t="shared" si="170"/>
        <v>94.843951098000005</v>
      </c>
      <c r="H27" s="581">
        <f t="shared" si="162"/>
        <v>0</v>
      </c>
      <c r="I27" s="581">
        <f t="shared" si="170"/>
        <v>94.843951098000005</v>
      </c>
      <c r="J27" s="389">
        <f t="shared" si="154"/>
        <v>-0.32407783572028093</v>
      </c>
      <c r="K27" s="389">
        <f t="shared" si="154"/>
        <v>0</v>
      </c>
      <c r="L27" s="389">
        <f t="shared" si="154"/>
        <v>-0.32407783572028093</v>
      </c>
      <c r="M27" s="579"/>
      <c r="N27" s="579"/>
      <c r="O27" s="581">
        <f t="shared" ref="O27:Q27" si="171">O13+O16+O20</f>
        <v>64.107128694999986</v>
      </c>
      <c r="P27" s="581">
        <f t="shared" si="171"/>
        <v>0</v>
      </c>
      <c r="Q27" s="581">
        <f t="shared" si="171"/>
        <v>64.107128694999986</v>
      </c>
      <c r="R27" s="581">
        <f t="shared" ref="R27:T27" si="172">R13+R16+R20</f>
        <v>14.43231589</v>
      </c>
      <c r="S27" s="581">
        <f t="shared" si="172"/>
        <v>0</v>
      </c>
      <c r="T27" s="581">
        <f t="shared" si="172"/>
        <v>14.43231589</v>
      </c>
      <c r="U27" s="581">
        <f t="shared" ref="U27:W27" si="173">U13+U16+U20</f>
        <v>15.998258138000001</v>
      </c>
      <c r="V27" s="581">
        <f t="shared" si="173"/>
        <v>0</v>
      </c>
      <c r="W27" s="581">
        <f t="shared" si="173"/>
        <v>15.998258138000001</v>
      </c>
      <c r="X27" s="581">
        <f t="shared" ref="X27:Z27" si="174">X13+X16+X20</f>
        <v>14.409062955000001</v>
      </c>
      <c r="Y27" s="581">
        <f t="shared" si="174"/>
        <v>0</v>
      </c>
      <c r="Z27" s="581">
        <f t="shared" si="174"/>
        <v>14.409062955000001</v>
      </c>
      <c r="AA27" s="581">
        <f t="shared" ref="AA27:AC27" si="175">AA13+AA16+AA20</f>
        <v>19.267491712000002</v>
      </c>
      <c r="AB27" s="581">
        <f t="shared" si="175"/>
        <v>0</v>
      </c>
      <c r="AC27" s="581">
        <f t="shared" si="175"/>
        <v>19.267491712000002</v>
      </c>
      <c r="AD27" s="581">
        <f t="shared" ref="AD27:BV27" si="176">AD13+AD16+AD20</f>
        <v>94.843951098000005</v>
      </c>
      <c r="AE27" s="581">
        <f t="shared" si="176"/>
        <v>0</v>
      </c>
      <c r="AF27" s="581">
        <f t="shared" si="176"/>
        <v>94.843951098000005</v>
      </c>
      <c r="AG27" s="581">
        <f t="shared" si="176"/>
        <v>21.578757324999998</v>
      </c>
      <c r="AH27" s="581">
        <f t="shared" si="176"/>
        <v>0</v>
      </c>
      <c r="AI27" s="581">
        <f t="shared" si="176"/>
        <v>21.578757324999998</v>
      </c>
      <c r="AJ27" s="581">
        <f t="shared" si="176"/>
        <v>20.403417937</v>
      </c>
      <c r="AK27" s="581">
        <f t="shared" si="176"/>
        <v>0</v>
      </c>
      <c r="AL27" s="581">
        <f t="shared" si="176"/>
        <v>20.403417937</v>
      </c>
      <c r="AM27" s="581">
        <f t="shared" si="176"/>
        <v>26.572398059999998</v>
      </c>
      <c r="AN27" s="581">
        <f t="shared" si="176"/>
        <v>0</v>
      </c>
      <c r="AO27" s="581">
        <f t="shared" si="176"/>
        <v>26.572398059999998</v>
      </c>
      <c r="AP27" s="581">
        <f t="shared" si="176"/>
        <v>26.289377775999998</v>
      </c>
      <c r="AQ27" s="581">
        <f t="shared" si="176"/>
        <v>0</v>
      </c>
      <c r="AR27" s="581">
        <f t="shared" si="176"/>
        <v>26.289377775999998</v>
      </c>
      <c r="AS27" s="581">
        <f t="shared" si="176"/>
        <v>124.564119089</v>
      </c>
      <c r="AT27" s="581">
        <f t="shared" si="176"/>
        <v>0</v>
      </c>
      <c r="AU27" s="581">
        <f t="shared" si="176"/>
        <v>124.564119089</v>
      </c>
      <c r="AV27" s="581">
        <f t="shared" si="176"/>
        <v>31.830690787000005</v>
      </c>
      <c r="AW27" s="581">
        <f t="shared" si="176"/>
        <v>0</v>
      </c>
      <c r="AX27" s="581">
        <f t="shared" si="176"/>
        <v>31.830690787000005</v>
      </c>
      <c r="AY27" s="581">
        <f t="shared" si="176"/>
        <v>29.148582933999997</v>
      </c>
      <c r="AZ27" s="581">
        <f t="shared" si="176"/>
        <v>0</v>
      </c>
      <c r="BA27" s="581">
        <f t="shared" si="176"/>
        <v>29.148582933999997</v>
      </c>
      <c r="BB27" s="581">
        <f t="shared" si="176"/>
        <v>30.656659383000001</v>
      </c>
      <c r="BC27" s="581">
        <f t="shared" si="176"/>
        <v>0</v>
      </c>
      <c r="BD27" s="581">
        <f t="shared" si="176"/>
        <v>30.656659383000001</v>
      </c>
      <c r="BE27" s="581">
        <f t="shared" si="176"/>
        <v>32.928185985000006</v>
      </c>
      <c r="BF27" s="581">
        <f t="shared" si="176"/>
        <v>0</v>
      </c>
      <c r="BG27" s="581">
        <f t="shared" si="176"/>
        <v>32.928185985000006</v>
      </c>
      <c r="BH27" s="581">
        <f t="shared" si="176"/>
        <v>186.78746643400001</v>
      </c>
      <c r="BI27" s="581">
        <f t="shared" si="176"/>
        <v>0</v>
      </c>
      <c r="BJ27" s="581">
        <f t="shared" si="176"/>
        <v>186.78746643400001</v>
      </c>
      <c r="BK27" s="581">
        <f t="shared" si="176"/>
        <v>40.456007383999996</v>
      </c>
      <c r="BL27" s="581">
        <f t="shared" si="176"/>
        <v>0</v>
      </c>
      <c r="BM27" s="581">
        <f t="shared" si="176"/>
        <v>40.456007383999996</v>
      </c>
      <c r="BN27" s="581">
        <f t="shared" si="176"/>
        <v>42.533437232000004</v>
      </c>
      <c r="BO27" s="581">
        <f t="shared" si="176"/>
        <v>0</v>
      </c>
      <c r="BP27" s="581">
        <f t="shared" si="176"/>
        <v>42.533437232000004</v>
      </c>
      <c r="BQ27" s="581">
        <f t="shared" si="176"/>
        <v>46.255603338000007</v>
      </c>
      <c r="BR27" s="581">
        <f t="shared" si="176"/>
        <v>0</v>
      </c>
      <c r="BS27" s="581">
        <f t="shared" si="176"/>
        <v>46.255603338000007</v>
      </c>
      <c r="BT27" s="581">
        <f t="shared" si="176"/>
        <v>57.542418480000002</v>
      </c>
      <c r="BU27" s="581">
        <f t="shared" si="176"/>
        <v>0</v>
      </c>
      <c r="BV27" s="581">
        <f t="shared" si="176"/>
        <v>57.542418480000002</v>
      </c>
    </row>
    <row r="28" spans="2:80" s="374" customFormat="1" x14ac:dyDescent="0.3">
      <c r="B28" s="378" t="s">
        <v>5</v>
      </c>
      <c r="C28" s="378" t="s">
        <v>116</v>
      </c>
      <c r="D28" s="582">
        <f>D29+D30</f>
        <v>124.11637211600001</v>
      </c>
      <c r="E28" s="582">
        <f t="shared" ref="E28:I28" si="177">E29+E30</f>
        <v>2372.9175122929996</v>
      </c>
      <c r="F28" s="582">
        <f t="shared" si="177"/>
        <v>2497.0338844090002</v>
      </c>
      <c r="G28" s="582">
        <f t="shared" si="177"/>
        <v>119.28028080999999</v>
      </c>
      <c r="H28" s="582">
        <f t="shared" si="177"/>
        <v>635.38766369699999</v>
      </c>
      <c r="I28" s="582">
        <f t="shared" si="177"/>
        <v>1880.7920916880003</v>
      </c>
      <c r="J28" s="583">
        <f t="shared" si="154"/>
        <v>4.0543929584667682E-2</v>
      </c>
      <c r="K28" s="583">
        <f t="shared" si="154"/>
        <v>2.734598022388711</v>
      </c>
      <c r="L28" s="583">
        <f t="shared" si="154"/>
        <v>0.32765014030228423</v>
      </c>
      <c r="M28" s="574"/>
      <c r="N28" s="574"/>
      <c r="O28" s="582">
        <f t="shared" ref="O28:Q28" si="178">O29+O30</f>
        <v>124.11637211600001</v>
      </c>
      <c r="P28" s="582">
        <f t="shared" si="178"/>
        <v>2372.9175122929996</v>
      </c>
      <c r="Q28" s="582">
        <f t="shared" si="178"/>
        <v>2497.0338844090002</v>
      </c>
      <c r="R28" s="582">
        <f t="shared" ref="R28:T28" si="179">R29+R30</f>
        <v>32.675430731999995</v>
      </c>
      <c r="S28" s="582">
        <f t="shared" si="179"/>
        <v>665.29835834500011</v>
      </c>
      <c r="T28" s="582">
        <f t="shared" si="179"/>
        <v>697.97378907699999</v>
      </c>
      <c r="U28" s="582">
        <f t="shared" ref="U28:W28" si="180">U29+U30</f>
        <v>31.751420481999997</v>
      </c>
      <c r="V28" s="582">
        <f t="shared" si="180"/>
        <v>699.22767335200001</v>
      </c>
      <c r="W28" s="582">
        <f t="shared" si="180"/>
        <v>730.97909383400008</v>
      </c>
      <c r="X28" s="582">
        <f t="shared" ref="X28:Z28" si="181">X29+X30</f>
        <v>29.811963290000001</v>
      </c>
      <c r="Y28" s="582">
        <f t="shared" si="181"/>
        <v>451.54081366099996</v>
      </c>
      <c r="Z28" s="582">
        <f t="shared" si="181"/>
        <v>481.35277695100001</v>
      </c>
      <c r="AA28" s="582">
        <f t="shared" ref="AA28:AC28" si="182">AA29+AA30</f>
        <v>29.877557611999997</v>
      </c>
      <c r="AB28" s="582">
        <f t="shared" si="182"/>
        <v>556.85066693499994</v>
      </c>
      <c r="AC28" s="582">
        <f t="shared" si="182"/>
        <v>586.72822454699997</v>
      </c>
      <c r="AD28" s="582">
        <f t="shared" ref="AD28:BV28" si="183">AD29+AD30</f>
        <v>119.28028080999999</v>
      </c>
      <c r="AE28" s="582">
        <f t="shared" si="183"/>
        <v>1761.5118108780002</v>
      </c>
      <c r="AF28" s="582">
        <f t="shared" si="183"/>
        <v>1880.7920916880003</v>
      </c>
      <c r="AG28" s="582">
        <f t="shared" si="183"/>
        <v>29.862129002</v>
      </c>
      <c r="AH28" s="582">
        <f t="shared" si="183"/>
        <v>505.23042970799992</v>
      </c>
      <c r="AI28" s="582">
        <f t="shared" si="183"/>
        <v>535.09255870999993</v>
      </c>
      <c r="AJ28" s="582">
        <f t="shared" si="183"/>
        <v>29.565373956999998</v>
      </c>
      <c r="AK28" s="582">
        <f t="shared" si="183"/>
        <v>455.83477731400001</v>
      </c>
      <c r="AL28" s="582">
        <f t="shared" si="183"/>
        <v>485.40015127099997</v>
      </c>
      <c r="AM28" s="582">
        <f t="shared" si="183"/>
        <v>29.695439233999998</v>
      </c>
      <c r="AN28" s="582">
        <f t="shared" si="183"/>
        <v>400.64807172500002</v>
      </c>
      <c r="AO28" s="582">
        <f t="shared" si="183"/>
        <v>430.34351095900001</v>
      </c>
      <c r="AP28" s="582">
        <f t="shared" si="183"/>
        <v>30.157338617000001</v>
      </c>
      <c r="AQ28" s="582">
        <f t="shared" si="183"/>
        <v>399.79853213100006</v>
      </c>
      <c r="AR28" s="582">
        <f t="shared" si="183"/>
        <v>429.95587074800011</v>
      </c>
      <c r="AS28" s="582">
        <f t="shared" si="183"/>
        <v>134.66754639199999</v>
      </c>
      <c r="AT28" s="582">
        <f t="shared" si="183"/>
        <v>1303.6974563899998</v>
      </c>
      <c r="AU28" s="582">
        <f t="shared" si="183"/>
        <v>1438.3650027819999</v>
      </c>
      <c r="AV28" s="582">
        <f t="shared" si="183"/>
        <v>30.964909688000002</v>
      </c>
      <c r="AW28" s="582">
        <f t="shared" si="183"/>
        <v>322.01345420500002</v>
      </c>
      <c r="AX28" s="582">
        <f t="shared" si="183"/>
        <v>352.97836389300005</v>
      </c>
      <c r="AY28" s="582">
        <f t="shared" si="183"/>
        <v>32.637882535999999</v>
      </c>
      <c r="AZ28" s="582">
        <f t="shared" si="183"/>
        <v>346.29633848800006</v>
      </c>
      <c r="BA28" s="582">
        <f t="shared" si="183"/>
        <v>378.93422102399995</v>
      </c>
      <c r="BB28" s="582">
        <f t="shared" si="183"/>
        <v>34.622641110000004</v>
      </c>
      <c r="BC28" s="582">
        <f t="shared" si="183"/>
        <v>318.075115493</v>
      </c>
      <c r="BD28" s="582">
        <f t="shared" si="183"/>
        <v>352.69775660300002</v>
      </c>
      <c r="BE28" s="582">
        <f t="shared" si="183"/>
        <v>36.442113058000004</v>
      </c>
      <c r="BF28" s="582">
        <f t="shared" si="183"/>
        <v>317.31254820400005</v>
      </c>
      <c r="BG28" s="582">
        <f t="shared" si="183"/>
        <v>353.75466126200001</v>
      </c>
      <c r="BH28" s="582">
        <f t="shared" si="183"/>
        <v>164.21469203200002</v>
      </c>
      <c r="BI28" s="582">
        <f t="shared" si="183"/>
        <v>1663.4779069210001</v>
      </c>
      <c r="BJ28" s="582">
        <f t="shared" si="183"/>
        <v>1827.6925989530002</v>
      </c>
      <c r="BK28" s="582">
        <f t="shared" si="183"/>
        <v>38.630307436999999</v>
      </c>
      <c r="BL28" s="582">
        <f t="shared" si="183"/>
        <v>333.51337727100002</v>
      </c>
      <c r="BM28" s="582">
        <f t="shared" si="183"/>
        <v>372.14368470800002</v>
      </c>
      <c r="BN28" s="582">
        <f t="shared" si="183"/>
        <v>40.401232035999996</v>
      </c>
      <c r="BO28" s="582">
        <f t="shared" si="183"/>
        <v>370.48826351499997</v>
      </c>
      <c r="BP28" s="582">
        <f t="shared" si="183"/>
        <v>410.88949555099998</v>
      </c>
      <c r="BQ28" s="582">
        <f t="shared" si="183"/>
        <v>41.726854932999998</v>
      </c>
      <c r="BR28" s="582">
        <f t="shared" si="183"/>
        <v>409.36294350500009</v>
      </c>
      <c r="BS28" s="582">
        <f t="shared" si="183"/>
        <v>451.089798438</v>
      </c>
      <c r="BT28" s="582">
        <f t="shared" si="183"/>
        <v>43.456297625999994</v>
      </c>
      <c r="BU28" s="582">
        <f t="shared" si="183"/>
        <v>550.11332262999997</v>
      </c>
      <c r="BV28" s="582">
        <f t="shared" si="183"/>
        <v>593.56962025600001</v>
      </c>
    </row>
    <row r="29" spans="2:80" x14ac:dyDescent="0.3">
      <c r="B29" s="561" t="s">
        <v>191</v>
      </c>
      <c r="C29" s="561" t="s">
        <v>109</v>
      </c>
      <c r="D29" s="581">
        <f>D10</f>
        <v>74.270877548000001</v>
      </c>
      <c r="E29" s="581">
        <f t="shared" ref="E29:G29" si="184">E10</f>
        <v>294.89586122400004</v>
      </c>
      <c r="F29" s="581">
        <f t="shared" si="184"/>
        <v>369.16673877200003</v>
      </c>
      <c r="G29" s="581">
        <f t="shared" si="184"/>
        <v>68.517725009999992</v>
      </c>
      <c r="H29" s="581">
        <f t="shared" ref="H29:H30" si="185">SUM(BC29,BF29)</f>
        <v>167.330663254</v>
      </c>
      <c r="I29" s="581">
        <f>I10</f>
        <v>369.43136477000002</v>
      </c>
      <c r="J29" s="388">
        <f t="shared" si="154"/>
        <v>8.3965901336630067E-2</v>
      </c>
      <c r="K29" s="388">
        <f t="shared" si="154"/>
        <v>0.76235398515311048</v>
      </c>
      <c r="L29" s="388">
        <f t="shared" si="154"/>
        <v>-7.1630625668384074E-4</v>
      </c>
      <c r="M29" s="579"/>
      <c r="N29" s="579"/>
      <c r="O29" s="581">
        <f t="shared" ref="O29:Q29" si="186">O10</f>
        <v>74.270877548000001</v>
      </c>
      <c r="P29" s="581">
        <f t="shared" si="186"/>
        <v>294.89586122400004</v>
      </c>
      <c r="Q29" s="581">
        <f t="shared" si="186"/>
        <v>369.16673877200003</v>
      </c>
      <c r="R29" s="581">
        <f t="shared" ref="R29:T29" si="187">R10</f>
        <v>19.429261512</v>
      </c>
      <c r="S29" s="581">
        <f t="shared" si="187"/>
        <v>74.289381530999989</v>
      </c>
      <c r="T29" s="581">
        <f t="shared" si="187"/>
        <v>93.718643042999986</v>
      </c>
      <c r="U29" s="581">
        <f t="shared" ref="U29:W29" si="188">U10</f>
        <v>18.772320971999999</v>
      </c>
      <c r="V29" s="581">
        <f t="shared" si="188"/>
        <v>74.034432642000013</v>
      </c>
      <c r="W29" s="581">
        <f t="shared" si="188"/>
        <v>92.806753614000016</v>
      </c>
      <c r="X29" s="581">
        <f t="shared" ref="X29:Z29" si="189">X10</f>
        <v>18.176193424000001</v>
      </c>
      <c r="Y29" s="581">
        <f t="shared" si="189"/>
        <v>72.83547379800001</v>
      </c>
      <c r="Z29" s="581">
        <f t="shared" si="189"/>
        <v>91.011667222000014</v>
      </c>
      <c r="AA29" s="581">
        <f t="shared" ref="AA29:AC29" si="190">AA10</f>
        <v>17.893101639999998</v>
      </c>
      <c r="AB29" s="581">
        <f t="shared" si="190"/>
        <v>73.736573253000003</v>
      </c>
      <c r="AC29" s="581">
        <f t="shared" si="190"/>
        <v>91.629674893000001</v>
      </c>
      <c r="AD29" s="581">
        <f t="shared" ref="AD29:BV29" si="191">AD10</f>
        <v>68.517725009999992</v>
      </c>
      <c r="AE29" s="581">
        <f t="shared" si="191"/>
        <v>300.91363976000002</v>
      </c>
      <c r="AF29" s="581">
        <f t="shared" si="191"/>
        <v>369.43136477000002</v>
      </c>
      <c r="AG29" s="581">
        <f t="shared" si="191"/>
        <v>17.563654759999999</v>
      </c>
      <c r="AH29" s="581">
        <f t="shared" si="191"/>
        <v>74.041309700999989</v>
      </c>
      <c r="AI29" s="581">
        <f t="shared" si="191"/>
        <v>91.60496446099998</v>
      </c>
      <c r="AJ29" s="581">
        <f t="shared" si="191"/>
        <v>17.214433890999999</v>
      </c>
      <c r="AK29" s="581">
        <f t="shared" si="191"/>
        <v>74.966110689000004</v>
      </c>
      <c r="AL29" s="581">
        <f t="shared" si="191"/>
        <v>92.180544580000003</v>
      </c>
      <c r="AM29" s="581">
        <f t="shared" si="191"/>
        <v>16.845016663999999</v>
      </c>
      <c r="AN29" s="581">
        <f t="shared" si="191"/>
        <v>75.454580779000011</v>
      </c>
      <c r="AO29" s="581">
        <f t="shared" si="191"/>
        <v>92.29959744300001</v>
      </c>
      <c r="AP29" s="581">
        <f t="shared" si="191"/>
        <v>16.894619695000003</v>
      </c>
      <c r="AQ29" s="581">
        <f t="shared" si="191"/>
        <v>76.451638591000005</v>
      </c>
      <c r="AR29" s="581">
        <f t="shared" si="191"/>
        <v>93.346258286000008</v>
      </c>
      <c r="AS29" s="581">
        <f t="shared" si="191"/>
        <v>77.953956637999994</v>
      </c>
      <c r="AT29" s="581">
        <f t="shared" si="191"/>
        <v>324.86105172999999</v>
      </c>
      <c r="AU29" s="581">
        <f t="shared" si="191"/>
        <v>402.81500836800001</v>
      </c>
      <c r="AV29" s="581">
        <f t="shared" si="191"/>
        <v>17.635327732</v>
      </c>
      <c r="AW29" s="581">
        <f t="shared" si="191"/>
        <v>77.698791221999997</v>
      </c>
      <c r="AX29" s="581">
        <f t="shared" si="191"/>
        <v>95.33411895399999</v>
      </c>
      <c r="AY29" s="581">
        <f t="shared" si="191"/>
        <v>18.740078455999999</v>
      </c>
      <c r="AZ29" s="581">
        <f t="shared" si="191"/>
        <v>79.831597254000002</v>
      </c>
      <c r="BA29" s="581">
        <f t="shared" si="191"/>
        <v>98.571675709999994</v>
      </c>
      <c r="BB29" s="581">
        <f t="shared" si="191"/>
        <v>20.150210843</v>
      </c>
      <c r="BC29" s="581">
        <f t="shared" si="191"/>
        <v>82.531166610000014</v>
      </c>
      <c r="BD29" s="581">
        <f t="shared" si="191"/>
        <v>102.68137745300001</v>
      </c>
      <c r="BE29" s="581">
        <f t="shared" si="191"/>
        <v>21.428339607000002</v>
      </c>
      <c r="BF29" s="581">
        <f t="shared" si="191"/>
        <v>84.799496644000001</v>
      </c>
      <c r="BG29" s="581">
        <f t="shared" si="191"/>
        <v>106.227836251</v>
      </c>
      <c r="BH29" s="581">
        <f t="shared" si="191"/>
        <v>96.093268473999998</v>
      </c>
      <c r="BI29" s="581">
        <f t="shared" si="191"/>
        <v>367.86186509200007</v>
      </c>
      <c r="BJ29" s="581">
        <f t="shared" si="191"/>
        <v>463.95513356600009</v>
      </c>
      <c r="BK29" s="581">
        <f t="shared" si="191"/>
        <v>22.770500333000001</v>
      </c>
      <c r="BL29" s="581">
        <f t="shared" si="191"/>
        <v>88.597827147999993</v>
      </c>
      <c r="BM29" s="581">
        <f t="shared" si="191"/>
        <v>111.36832748099999</v>
      </c>
      <c r="BN29" s="581">
        <f t="shared" si="191"/>
        <v>23.784583867999999</v>
      </c>
      <c r="BO29" s="581">
        <f t="shared" si="191"/>
        <v>90.803184532999992</v>
      </c>
      <c r="BP29" s="581">
        <f t="shared" si="191"/>
        <v>114.58776840099999</v>
      </c>
      <c r="BQ29" s="581">
        <f t="shared" si="191"/>
        <v>24.457026814000002</v>
      </c>
      <c r="BR29" s="581">
        <f t="shared" si="191"/>
        <v>92.807600640000004</v>
      </c>
      <c r="BS29" s="581">
        <f t="shared" si="191"/>
        <v>117.26462745400001</v>
      </c>
      <c r="BT29" s="581">
        <f t="shared" si="191"/>
        <v>25.081157459</v>
      </c>
      <c r="BU29" s="581">
        <f t="shared" si="191"/>
        <v>95.653252771000027</v>
      </c>
      <c r="BV29" s="581">
        <f t="shared" si="191"/>
        <v>120.73441023000002</v>
      </c>
    </row>
    <row r="30" spans="2:80" x14ac:dyDescent="0.3">
      <c r="B30" s="618" t="s">
        <v>190</v>
      </c>
      <c r="C30" s="618" t="s">
        <v>110</v>
      </c>
      <c r="D30" s="619">
        <f>D14+D17</f>
        <v>49.845494567999999</v>
      </c>
      <c r="E30" s="619">
        <f t="shared" ref="E30:I30" si="192">E14+E17</f>
        <v>2078.0216510689997</v>
      </c>
      <c r="F30" s="619">
        <f t="shared" si="192"/>
        <v>2127.8671456370002</v>
      </c>
      <c r="G30" s="619">
        <f t="shared" si="192"/>
        <v>50.762555799999994</v>
      </c>
      <c r="H30" s="619">
        <f t="shared" si="185"/>
        <v>468.05700044299999</v>
      </c>
      <c r="I30" s="619">
        <f t="shared" si="192"/>
        <v>1511.3607269180002</v>
      </c>
      <c r="J30" s="389">
        <f t="shared" si="154"/>
        <v>-1.806570251531725E-2</v>
      </c>
      <c r="K30" s="389">
        <f t="shared" si="154"/>
        <v>3.4396764691100081</v>
      </c>
      <c r="L30" s="389">
        <f t="shared" si="154"/>
        <v>0.40791480666312752</v>
      </c>
      <c r="M30" s="579"/>
      <c r="N30" s="579"/>
      <c r="O30" s="619">
        <f t="shared" ref="O30:Q30" si="193">O14+O17</f>
        <v>49.845494567999999</v>
      </c>
      <c r="P30" s="619">
        <f t="shared" si="193"/>
        <v>2078.0216510689997</v>
      </c>
      <c r="Q30" s="619">
        <f t="shared" si="193"/>
        <v>2127.8671456370002</v>
      </c>
      <c r="R30" s="619">
        <f t="shared" ref="R30:T30" si="194">R14+R17</f>
        <v>13.246169219999999</v>
      </c>
      <c r="S30" s="619">
        <f t="shared" si="194"/>
        <v>591.00897681400011</v>
      </c>
      <c r="T30" s="619">
        <f t="shared" si="194"/>
        <v>604.25514603400006</v>
      </c>
      <c r="U30" s="619">
        <f t="shared" ref="U30:W30" si="195">U14+U17</f>
        <v>12.979099509999998</v>
      </c>
      <c r="V30" s="619">
        <f t="shared" si="195"/>
        <v>625.19324070999994</v>
      </c>
      <c r="W30" s="619">
        <f t="shared" si="195"/>
        <v>638.17234022000002</v>
      </c>
      <c r="X30" s="619">
        <f t="shared" ref="X30:Z30" si="196">X14+X17</f>
        <v>11.635769866</v>
      </c>
      <c r="Y30" s="619">
        <f t="shared" si="196"/>
        <v>378.70533986299995</v>
      </c>
      <c r="Z30" s="619">
        <f t="shared" si="196"/>
        <v>390.34110972899998</v>
      </c>
      <c r="AA30" s="619">
        <f t="shared" ref="AA30:AC30" si="197">AA14+AA17</f>
        <v>11.984455971999999</v>
      </c>
      <c r="AB30" s="619">
        <f t="shared" si="197"/>
        <v>483.11409368199998</v>
      </c>
      <c r="AC30" s="619">
        <f t="shared" si="197"/>
        <v>495.09854965399995</v>
      </c>
      <c r="AD30" s="619">
        <f t="shared" ref="AD30:BV30" si="198">AD14+AD17</f>
        <v>50.762555799999994</v>
      </c>
      <c r="AE30" s="619">
        <f t="shared" si="198"/>
        <v>1460.5981711180002</v>
      </c>
      <c r="AF30" s="619">
        <f t="shared" si="198"/>
        <v>1511.3607269180002</v>
      </c>
      <c r="AG30" s="619">
        <f t="shared" si="198"/>
        <v>12.298474242000001</v>
      </c>
      <c r="AH30" s="619">
        <f t="shared" si="198"/>
        <v>431.18912000699993</v>
      </c>
      <c r="AI30" s="619">
        <f t="shared" si="198"/>
        <v>443.48759424899998</v>
      </c>
      <c r="AJ30" s="619">
        <f t="shared" si="198"/>
        <v>12.350940066</v>
      </c>
      <c r="AK30" s="619">
        <f t="shared" si="198"/>
        <v>380.868666625</v>
      </c>
      <c r="AL30" s="619">
        <f t="shared" si="198"/>
        <v>393.21960669099997</v>
      </c>
      <c r="AM30" s="619">
        <f t="shared" si="198"/>
        <v>12.850422570000001</v>
      </c>
      <c r="AN30" s="619">
        <f t="shared" si="198"/>
        <v>325.193490946</v>
      </c>
      <c r="AO30" s="619">
        <f t="shared" si="198"/>
        <v>338.04391351599998</v>
      </c>
      <c r="AP30" s="619">
        <f t="shared" si="198"/>
        <v>13.262718921999998</v>
      </c>
      <c r="AQ30" s="619">
        <f t="shared" si="198"/>
        <v>323.34689354000005</v>
      </c>
      <c r="AR30" s="619">
        <f t="shared" si="198"/>
        <v>336.60961246200009</v>
      </c>
      <c r="AS30" s="619">
        <f t="shared" si="198"/>
        <v>56.713589753999997</v>
      </c>
      <c r="AT30" s="619">
        <f t="shared" si="198"/>
        <v>978.83640465999997</v>
      </c>
      <c r="AU30" s="619">
        <f t="shared" si="198"/>
        <v>1035.5499944139999</v>
      </c>
      <c r="AV30" s="619">
        <f t="shared" si="198"/>
        <v>13.329581956000002</v>
      </c>
      <c r="AW30" s="619">
        <f t="shared" si="198"/>
        <v>244.31466298300001</v>
      </c>
      <c r="AX30" s="619">
        <f t="shared" si="198"/>
        <v>257.64424493900003</v>
      </c>
      <c r="AY30" s="619">
        <f t="shared" si="198"/>
        <v>13.897804079999998</v>
      </c>
      <c r="AZ30" s="619">
        <f t="shared" si="198"/>
        <v>266.46474123400003</v>
      </c>
      <c r="BA30" s="619">
        <f t="shared" si="198"/>
        <v>280.36254531399999</v>
      </c>
      <c r="BB30" s="619">
        <f t="shared" si="198"/>
        <v>14.472430267</v>
      </c>
      <c r="BC30" s="619">
        <f t="shared" si="198"/>
        <v>235.54394888299998</v>
      </c>
      <c r="BD30" s="619">
        <f t="shared" si="198"/>
        <v>250.01637914999998</v>
      </c>
      <c r="BE30" s="619">
        <f t="shared" si="198"/>
        <v>15.013773451</v>
      </c>
      <c r="BF30" s="619">
        <f t="shared" si="198"/>
        <v>232.51305156000004</v>
      </c>
      <c r="BG30" s="619">
        <f t="shared" si="198"/>
        <v>247.52682501100003</v>
      </c>
      <c r="BH30" s="619">
        <f t="shared" si="198"/>
        <v>68.121423558000004</v>
      </c>
      <c r="BI30" s="619">
        <f t="shared" si="198"/>
        <v>1295.6160418290001</v>
      </c>
      <c r="BJ30" s="619">
        <f t="shared" si="198"/>
        <v>1363.7374653870002</v>
      </c>
      <c r="BK30" s="619">
        <f t="shared" si="198"/>
        <v>15.859807104000001</v>
      </c>
      <c r="BL30" s="619">
        <f t="shared" si="198"/>
        <v>244.91555012300003</v>
      </c>
      <c r="BM30" s="619">
        <f t="shared" si="198"/>
        <v>260.77535722700003</v>
      </c>
      <c r="BN30" s="619">
        <f t="shared" si="198"/>
        <v>16.616648168000001</v>
      </c>
      <c r="BO30" s="619">
        <f t="shared" si="198"/>
        <v>279.68507898199999</v>
      </c>
      <c r="BP30" s="619">
        <f t="shared" si="198"/>
        <v>296.30172714999998</v>
      </c>
      <c r="BQ30" s="619">
        <f t="shared" si="198"/>
        <v>17.269828119</v>
      </c>
      <c r="BR30" s="619">
        <f t="shared" si="198"/>
        <v>316.55534286500006</v>
      </c>
      <c r="BS30" s="619">
        <f t="shared" si="198"/>
        <v>333.82517098400001</v>
      </c>
      <c r="BT30" s="619">
        <f t="shared" si="198"/>
        <v>18.375140166999998</v>
      </c>
      <c r="BU30" s="619">
        <f t="shared" si="198"/>
        <v>454.46006985899999</v>
      </c>
      <c r="BV30" s="619">
        <f t="shared" si="198"/>
        <v>472.83521002600003</v>
      </c>
    </row>
    <row r="31" spans="2:80" s="374" customFormat="1" x14ac:dyDescent="0.3">
      <c r="B31" s="386" t="s">
        <v>112</v>
      </c>
      <c r="C31" s="386" t="s">
        <v>129</v>
      </c>
      <c r="D31" s="572">
        <f>D25+D28</f>
        <v>1631.52515827</v>
      </c>
      <c r="E31" s="572">
        <f t="shared" ref="E31:I31" si="199">E25+E28</f>
        <v>2372.9175122929996</v>
      </c>
      <c r="F31" s="572">
        <f t="shared" si="199"/>
        <v>4004.4426705630003</v>
      </c>
      <c r="G31" s="572">
        <f t="shared" si="199"/>
        <v>1568.9148910739998</v>
      </c>
      <c r="H31" s="572">
        <f t="shared" si="199"/>
        <v>635.38766369699999</v>
      </c>
      <c r="I31" s="572">
        <f t="shared" si="199"/>
        <v>3330.4267019520003</v>
      </c>
      <c r="J31" s="400">
        <f t="shared" si="154"/>
        <v>3.9906732705647485E-2</v>
      </c>
      <c r="K31" s="400">
        <f t="shared" si="154"/>
        <v>2.734598022388711</v>
      </c>
      <c r="L31" s="400">
        <f t="shared" si="154"/>
        <v>0.20238126490396913</v>
      </c>
      <c r="M31" s="574"/>
      <c r="N31" s="574"/>
      <c r="O31" s="572">
        <f t="shared" ref="O31:Q31" si="200">O25+O28</f>
        <v>1631.5251582699998</v>
      </c>
      <c r="P31" s="572">
        <f t="shared" si="200"/>
        <v>2372.9175122929996</v>
      </c>
      <c r="Q31" s="572">
        <f t="shared" si="200"/>
        <v>4004.4426705629999</v>
      </c>
      <c r="R31" s="572">
        <f t="shared" ref="R31:T31" si="201">R25+R28</f>
        <v>418.95717489299994</v>
      </c>
      <c r="S31" s="572">
        <f t="shared" si="201"/>
        <v>665.29835834500011</v>
      </c>
      <c r="T31" s="572">
        <f t="shared" si="201"/>
        <v>1084.255533238</v>
      </c>
      <c r="U31" s="572">
        <f t="shared" ref="U31:W31" si="202">U25+U28</f>
        <v>411.4639230329999</v>
      </c>
      <c r="V31" s="572">
        <f t="shared" si="202"/>
        <v>699.22767335200001</v>
      </c>
      <c r="W31" s="572">
        <f t="shared" si="202"/>
        <v>1110.6915963849999</v>
      </c>
      <c r="X31" s="572">
        <f t="shared" ref="X31:Z31" si="203">X25+X28</f>
        <v>399.94791179999999</v>
      </c>
      <c r="Y31" s="572">
        <f t="shared" si="203"/>
        <v>451.54081366099996</v>
      </c>
      <c r="Z31" s="572">
        <f t="shared" si="203"/>
        <v>851.48872546100006</v>
      </c>
      <c r="AA31" s="572">
        <f t="shared" ref="AA31:AC31" si="204">AA25+AA28</f>
        <v>401.1561485439999</v>
      </c>
      <c r="AB31" s="572">
        <f t="shared" si="204"/>
        <v>556.85066693499994</v>
      </c>
      <c r="AC31" s="572">
        <f t="shared" si="204"/>
        <v>958.0068154789999</v>
      </c>
      <c r="AD31" s="572">
        <f t="shared" ref="AD31:BV31" si="205">AD25+AD28</f>
        <v>1568.9148910739998</v>
      </c>
      <c r="AE31" s="572">
        <f t="shared" si="205"/>
        <v>1761.5118108780002</v>
      </c>
      <c r="AF31" s="572">
        <f t="shared" si="205"/>
        <v>3330.4267019520003</v>
      </c>
      <c r="AG31" s="572">
        <f t="shared" si="205"/>
        <v>398.66715769800004</v>
      </c>
      <c r="AH31" s="572">
        <f t="shared" si="205"/>
        <v>505.23042970799992</v>
      </c>
      <c r="AI31" s="572">
        <f t="shared" si="205"/>
        <v>903.89758740599996</v>
      </c>
      <c r="AJ31" s="572">
        <f t="shared" si="205"/>
        <v>390.63602025800003</v>
      </c>
      <c r="AK31" s="572">
        <f t="shared" si="205"/>
        <v>455.83477731400001</v>
      </c>
      <c r="AL31" s="572">
        <f t="shared" si="205"/>
        <v>846.47079757200004</v>
      </c>
      <c r="AM31" s="572">
        <f t="shared" si="205"/>
        <v>391.56753955400006</v>
      </c>
      <c r="AN31" s="572">
        <f t="shared" si="205"/>
        <v>400.64807172500002</v>
      </c>
      <c r="AO31" s="572">
        <f t="shared" si="205"/>
        <v>792.21561127900009</v>
      </c>
      <c r="AP31" s="572">
        <f t="shared" si="205"/>
        <v>388.04417356399989</v>
      </c>
      <c r="AQ31" s="572">
        <f t="shared" si="205"/>
        <v>399.79853213100006</v>
      </c>
      <c r="AR31" s="572">
        <f t="shared" si="205"/>
        <v>787.84270569499995</v>
      </c>
      <c r="AS31" s="572">
        <f t="shared" si="205"/>
        <v>1555.2875525689999</v>
      </c>
      <c r="AT31" s="572">
        <f t="shared" si="205"/>
        <v>1303.6974563899998</v>
      </c>
      <c r="AU31" s="572">
        <f t="shared" si="205"/>
        <v>2858.985008959</v>
      </c>
      <c r="AV31" s="572">
        <f t="shared" si="205"/>
        <v>390.72587443099991</v>
      </c>
      <c r="AW31" s="572">
        <f t="shared" si="205"/>
        <v>322.01345420500002</v>
      </c>
      <c r="AX31" s="572">
        <f t="shared" si="205"/>
        <v>712.73932863599998</v>
      </c>
      <c r="AY31" s="572">
        <f t="shared" si="205"/>
        <v>386.98609841399997</v>
      </c>
      <c r="AZ31" s="572">
        <f t="shared" si="205"/>
        <v>346.29633848800006</v>
      </c>
      <c r="BA31" s="572">
        <f t="shared" si="205"/>
        <v>733.28243690199997</v>
      </c>
      <c r="BB31" s="572">
        <f t="shared" si="205"/>
        <v>386.58325432399994</v>
      </c>
      <c r="BC31" s="572">
        <f t="shared" si="205"/>
        <v>318.075115493</v>
      </c>
      <c r="BD31" s="572">
        <f t="shared" si="205"/>
        <v>704.65836981699999</v>
      </c>
      <c r="BE31" s="572">
        <f t="shared" si="205"/>
        <v>390.99232540000003</v>
      </c>
      <c r="BF31" s="572">
        <f t="shared" si="205"/>
        <v>317.31254820400005</v>
      </c>
      <c r="BG31" s="572">
        <f t="shared" si="205"/>
        <v>708.30487360400002</v>
      </c>
      <c r="BH31" s="572">
        <f t="shared" si="205"/>
        <v>1652.5032831640001</v>
      </c>
      <c r="BI31" s="572">
        <f t="shared" si="205"/>
        <v>1663.4779069210001</v>
      </c>
      <c r="BJ31" s="572">
        <f t="shared" si="205"/>
        <v>3315.981190085</v>
      </c>
      <c r="BK31" s="572">
        <f t="shared" si="205"/>
        <v>403.99626503199994</v>
      </c>
      <c r="BL31" s="572">
        <f t="shared" si="205"/>
        <v>333.51337727100002</v>
      </c>
      <c r="BM31" s="572">
        <f t="shared" si="205"/>
        <v>737.50964230299996</v>
      </c>
      <c r="BN31" s="572">
        <f t="shared" si="205"/>
        <v>409.15616956799994</v>
      </c>
      <c r="BO31" s="572">
        <f t="shared" si="205"/>
        <v>370.48826351499997</v>
      </c>
      <c r="BP31" s="572">
        <f t="shared" si="205"/>
        <v>779.64443308299997</v>
      </c>
      <c r="BQ31" s="572">
        <f t="shared" si="205"/>
        <v>413.03025580300005</v>
      </c>
      <c r="BR31" s="572">
        <f t="shared" si="205"/>
        <v>409.36294350500009</v>
      </c>
      <c r="BS31" s="572">
        <f t="shared" si="205"/>
        <v>822.39319930800002</v>
      </c>
      <c r="BT31" s="572">
        <f t="shared" si="205"/>
        <v>426.320592761</v>
      </c>
      <c r="BU31" s="572">
        <f t="shared" si="205"/>
        <v>550.11332262999997</v>
      </c>
      <c r="BV31" s="572">
        <f t="shared" si="205"/>
        <v>976.43391539100003</v>
      </c>
    </row>
    <row r="32" spans="2:80" x14ac:dyDescent="0.3">
      <c r="B32" s="377"/>
      <c r="C32" s="377"/>
      <c r="D32" s="377"/>
      <c r="E32" s="377"/>
      <c r="F32" s="377"/>
      <c r="G32" s="377"/>
      <c r="H32" s="377"/>
      <c r="I32" s="377"/>
      <c r="J32" s="377"/>
      <c r="K32" s="377"/>
      <c r="L32" s="377"/>
      <c r="M32" s="311"/>
      <c r="N32" s="311"/>
      <c r="O32" s="377"/>
      <c r="P32" s="377"/>
      <c r="Q32" s="377"/>
      <c r="R32" s="377"/>
      <c r="S32" s="377"/>
      <c r="T32" s="377"/>
      <c r="U32" s="377"/>
      <c r="V32" s="377"/>
      <c r="W32" s="377"/>
      <c r="X32" s="377"/>
      <c r="Y32" s="377"/>
      <c r="Z32" s="377"/>
      <c r="AA32" s="377"/>
      <c r="AB32" s="377"/>
      <c r="AC32" s="377"/>
      <c r="AD32" s="377"/>
      <c r="AE32" s="377"/>
      <c r="AF32" s="377"/>
      <c r="AG32" s="377"/>
      <c r="AH32" s="377"/>
      <c r="AI32" s="377"/>
      <c r="AJ32" s="377"/>
      <c r="AK32" s="377"/>
      <c r="AL32" s="377"/>
      <c r="AM32" s="377"/>
      <c r="AN32" s="377"/>
      <c r="AO32" s="377"/>
      <c r="AP32" s="377"/>
      <c r="AQ32" s="377"/>
      <c r="AR32" s="377"/>
      <c r="AS32" s="377"/>
      <c r="AT32" s="377"/>
      <c r="AU32" s="377"/>
      <c r="AV32" s="377"/>
      <c r="AW32" s="377"/>
      <c r="AX32" s="377"/>
      <c r="AY32" s="377"/>
      <c r="AZ32" s="377"/>
      <c r="BA32" s="377"/>
      <c r="BB32" s="377"/>
      <c r="BC32" s="377"/>
      <c r="BD32" s="377"/>
      <c r="BE32" s="377"/>
      <c r="BF32" s="377"/>
      <c r="BG32" s="377"/>
      <c r="BH32" s="377"/>
      <c r="BI32" s="377"/>
      <c r="BJ32" s="377"/>
      <c r="BK32" s="377"/>
      <c r="BL32" s="377"/>
      <c r="BM32" s="377"/>
      <c r="BN32" s="377"/>
      <c r="BO32" s="377"/>
      <c r="BP32" s="377"/>
      <c r="BQ32" s="377"/>
      <c r="BR32" s="377"/>
      <c r="BS32" s="377"/>
    </row>
    <row r="33" spans="2:71" x14ac:dyDescent="0.3">
      <c r="B33" s="386" t="s">
        <v>744</v>
      </c>
      <c r="C33" s="593" t="s">
        <v>1725</v>
      </c>
      <c r="D33" s="856" t="str">
        <f>CONCATENATE(D4," ",D5)</f>
        <v>2025 FY</v>
      </c>
      <c r="E33" s="854"/>
      <c r="F33" s="855"/>
      <c r="G33" s="856" t="str">
        <f>CONCATENATE(G4," ",G5)</f>
        <v>2024 FY</v>
      </c>
      <c r="H33" s="854"/>
      <c r="I33" s="855"/>
      <c r="J33" s="854" t="str">
        <f>J4</f>
        <v>YoY</v>
      </c>
      <c r="K33" s="854"/>
      <c r="L33" s="855"/>
      <c r="M33" s="566"/>
      <c r="N33" s="566"/>
      <c r="Q33" s="594"/>
      <c r="T33" s="594"/>
      <c r="W33" s="594"/>
      <c r="Z33" s="594"/>
      <c r="AC33" s="594"/>
      <c r="AF33" s="594"/>
      <c r="AI33" s="594"/>
      <c r="AL33" s="594"/>
      <c r="AO33" s="594"/>
      <c r="AR33" s="594"/>
      <c r="AU33" s="594"/>
      <c r="AX33" s="594"/>
      <c r="AY33" s="594"/>
      <c r="AZ33" s="594"/>
      <c r="BA33" s="594"/>
      <c r="BD33" s="594"/>
      <c r="BG33" s="594"/>
      <c r="BJ33" s="594"/>
      <c r="BM33" s="594"/>
      <c r="BP33" s="594"/>
      <c r="BS33" s="594"/>
    </row>
    <row r="34" spans="2:71" ht="30" x14ac:dyDescent="0.3">
      <c r="B34" s="558"/>
      <c r="C34" s="595"/>
      <c r="D34" s="568" t="s">
        <v>1940</v>
      </c>
      <c r="E34" s="568" t="s">
        <v>1941</v>
      </c>
      <c r="F34" s="568" t="s">
        <v>1942</v>
      </c>
      <c r="G34" s="568" t="s">
        <v>1940</v>
      </c>
      <c r="H34" s="568" t="s">
        <v>1941</v>
      </c>
      <c r="I34" s="568" t="s">
        <v>1942</v>
      </c>
      <c r="J34" s="568" t="s">
        <v>1940</v>
      </c>
      <c r="K34" s="568" t="s">
        <v>1941</v>
      </c>
      <c r="L34" s="568" t="s">
        <v>1942</v>
      </c>
      <c r="M34" s="571"/>
      <c r="N34" s="571"/>
    </row>
    <row r="35" spans="2:71" x14ac:dyDescent="0.3">
      <c r="B35" s="596" t="s">
        <v>104</v>
      </c>
      <c r="C35" s="593" t="s">
        <v>1332</v>
      </c>
      <c r="D35" s="388">
        <f t="shared" ref="D35:I35" si="206">(D8+D19)/D$21</f>
        <v>0.93015576702241565</v>
      </c>
      <c r="E35" s="388">
        <f t="shared" si="206"/>
        <v>0.12427564788758122</v>
      </c>
      <c r="F35" s="388">
        <f t="shared" si="206"/>
        <v>0.45261439489560179</v>
      </c>
      <c r="G35" s="388">
        <f t="shared" si="206"/>
        <v>0.90719285811716333</v>
      </c>
      <c r="H35" s="388">
        <f t="shared" si="206"/>
        <v>0.17082692145561826</v>
      </c>
      <c r="I35" s="388">
        <f t="shared" si="206"/>
        <v>0.51771805184164965</v>
      </c>
      <c r="J35" s="597">
        <f>D35-G35</f>
        <v>2.2962908905252322E-2</v>
      </c>
      <c r="K35" s="597">
        <f t="shared" ref="K35:L40" si="207">E35-H35</f>
        <v>-4.6551273568037038E-2</v>
      </c>
      <c r="L35" s="597">
        <f t="shared" si="207"/>
        <v>-6.5103656946047861E-2</v>
      </c>
      <c r="M35" s="598"/>
      <c r="N35" s="598"/>
    </row>
    <row r="36" spans="2:71" x14ac:dyDescent="0.3">
      <c r="B36" s="596" t="s">
        <v>742</v>
      </c>
      <c r="C36" s="593" t="s">
        <v>1346</v>
      </c>
      <c r="D36" s="388">
        <f t="shared" ref="D36:I36" si="208">(D12)/D$21</f>
        <v>5.1533194722018526E-2</v>
      </c>
      <c r="E36" s="388">
        <f t="shared" si="208"/>
        <v>0.36987282270460453</v>
      </c>
      <c r="F36" s="388">
        <f t="shared" si="208"/>
        <v>0.24017209911929721</v>
      </c>
      <c r="G36" s="388">
        <f t="shared" si="208"/>
        <v>6.7591530036665473E-2</v>
      </c>
      <c r="H36" s="388">
        <f t="shared" si="208"/>
        <v>0.38098952037425804</v>
      </c>
      <c r="I36" s="388">
        <f t="shared" si="208"/>
        <v>0.2333523501626672</v>
      </c>
      <c r="J36" s="597">
        <f t="shared" ref="J36:J40" si="209">D36-G36</f>
        <v>-1.6058335314646947E-2</v>
      </c>
      <c r="K36" s="597">
        <f t="shared" si="207"/>
        <v>-1.1116697669653508E-2</v>
      </c>
      <c r="L36" s="597">
        <f t="shared" si="207"/>
        <v>6.8197489566300118E-3</v>
      </c>
      <c r="M36" s="598"/>
      <c r="N36" s="598"/>
    </row>
    <row r="37" spans="2:71" x14ac:dyDescent="0.3">
      <c r="B37" s="558" t="s">
        <v>105</v>
      </c>
      <c r="C37" s="595" t="s">
        <v>128</v>
      </c>
      <c r="D37" s="389">
        <f t="shared" ref="D37:I37" si="210">(D15+D20)/D$21</f>
        <v>1.8311038255565792E-2</v>
      </c>
      <c r="E37" s="389">
        <f t="shared" si="210"/>
        <v>0.50585152940781419</v>
      </c>
      <c r="F37" s="389">
        <f t="shared" si="210"/>
        <v>0.30721350598510094</v>
      </c>
      <c r="G37" s="389">
        <f t="shared" si="210"/>
        <v>2.5215611846171233E-2</v>
      </c>
      <c r="H37" s="389">
        <f t="shared" si="210"/>
        <v>0.44818355817012362</v>
      </c>
      <c r="I37" s="389">
        <f t="shared" si="210"/>
        <v>0.24892959799568304</v>
      </c>
      <c r="J37" s="599">
        <f t="shared" si="209"/>
        <v>-6.9045735906054402E-3</v>
      </c>
      <c r="K37" s="599">
        <f t="shared" si="207"/>
        <v>5.7667971237690574E-2</v>
      </c>
      <c r="L37" s="599">
        <f t="shared" si="207"/>
        <v>5.8283907989417905E-2</v>
      </c>
      <c r="M37" s="598"/>
      <c r="N37" s="598"/>
    </row>
    <row r="38" spans="2:71" x14ac:dyDescent="0.3">
      <c r="B38" s="596" t="s">
        <v>114</v>
      </c>
      <c r="C38" s="593" t="s">
        <v>1347</v>
      </c>
      <c r="D38" s="388">
        <f t="shared" ref="D38:I38" si="211">(D9+D11+D19)/D$21</f>
        <v>0.88463340583078454</v>
      </c>
      <c r="E38" s="388">
        <f t="shared" si="211"/>
        <v>0</v>
      </c>
      <c r="F38" s="388">
        <f t="shared" si="211"/>
        <v>0.36042510186719201</v>
      </c>
      <c r="G38" s="388">
        <f t="shared" si="211"/>
        <v>0.86352081102282019</v>
      </c>
      <c r="H38" s="388">
        <f t="shared" si="211"/>
        <v>0</v>
      </c>
      <c r="I38" s="388">
        <f t="shared" si="211"/>
        <v>0.40679191599441056</v>
      </c>
      <c r="J38" s="597">
        <f t="shared" si="209"/>
        <v>2.1112594807964347E-2</v>
      </c>
      <c r="K38" s="597">
        <f t="shared" si="207"/>
        <v>0</v>
      </c>
      <c r="L38" s="597">
        <f t="shared" si="207"/>
        <v>-4.6366814127218547E-2</v>
      </c>
      <c r="M38" s="598"/>
      <c r="N38" s="598"/>
    </row>
    <row r="39" spans="2:71" x14ac:dyDescent="0.3">
      <c r="B39" s="596" t="s">
        <v>111</v>
      </c>
      <c r="C39" s="593" t="s">
        <v>1344</v>
      </c>
      <c r="D39" s="388">
        <f t="shared" ref="D39:I39" si="212">(D13+D16+D20)/D$21</f>
        <v>3.929276135893392E-2</v>
      </c>
      <c r="E39" s="388">
        <f t="shared" si="212"/>
        <v>0</v>
      </c>
      <c r="F39" s="388">
        <f t="shared" si="212"/>
        <v>1.6009001493830083E-2</v>
      </c>
      <c r="G39" s="388">
        <f t="shared" si="212"/>
        <v>6.0451941426264769E-2</v>
      </c>
      <c r="H39" s="388">
        <f t="shared" si="212"/>
        <v>0</v>
      </c>
      <c r="I39" s="388">
        <f t="shared" si="212"/>
        <v>2.8478017859516591E-2</v>
      </c>
      <c r="J39" s="597">
        <f t="shared" si="209"/>
        <v>-2.1159180067330849E-2</v>
      </c>
      <c r="K39" s="597">
        <f t="shared" si="207"/>
        <v>0</v>
      </c>
      <c r="L39" s="597">
        <f t="shared" si="207"/>
        <v>-1.2469016365686508E-2</v>
      </c>
      <c r="M39" s="598"/>
      <c r="N39" s="598"/>
    </row>
    <row r="40" spans="2:71" x14ac:dyDescent="0.3">
      <c r="B40" s="558" t="s">
        <v>743</v>
      </c>
      <c r="C40" s="595" t="s">
        <v>1348</v>
      </c>
      <c r="D40" s="389">
        <f t="shared" ref="D40:I40" si="213">(D10+D14+D17)/D$21</f>
        <v>7.6073832810281475E-2</v>
      </c>
      <c r="E40" s="389">
        <f t="shared" si="213"/>
        <v>1</v>
      </c>
      <c r="F40" s="389">
        <f t="shared" si="213"/>
        <v>0.62356589663897777</v>
      </c>
      <c r="G40" s="389">
        <f t="shared" si="213"/>
        <v>7.6027247550915111E-2</v>
      </c>
      <c r="H40" s="389">
        <f t="shared" si="213"/>
        <v>1</v>
      </c>
      <c r="I40" s="389">
        <f t="shared" si="213"/>
        <v>0.5647300661460728</v>
      </c>
      <c r="J40" s="599">
        <f t="shared" si="209"/>
        <v>4.6585259366363485E-5</v>
      </c>
      <c r="K40" s="599">
        <f t="shared" si="207"/>
        <v>0</v>
      </c>
      <c r="L40" s="599">
        <f t="shared" si="207"/>
        <v>5.8835830492904972E-2</v>
      </c>
      <c r="M40" s="598"/>
      <c r="N40" s="598"/>
    </row>
    <row r="42" spans="2:71" x14ac:dyDescent="0.3">
      <c r="B42" s="374"/>
    </row>
    <row r="43" spans="2:71" x14ac:dyDescent="0.3">
      <c r="B43" s="596"/>
      <c r="BH43" s="403"/>
    </row>
    <row r="44" spans="2:71" x14ac:dyDescent="0.3">
      <c r="B44" s="596"/>
    </row>
    <row r="45" spans="2:71" x14ac:dyDescent="0.3">
      <c r="B45" s="596"/>
    </row>
  </sheetData>
  <mergeCells count="31">
    <mergeCell ref="D33:F33"/>
    <mergeCell ref="G33:I33"/>
    <mergeCell ref="J33:L33"/>
    <mergeCell ref="BB5:BD5"/>
    <mergeCell ref="BE5:BG5"/>
    <mergeCell ref="AJ5:AL5"/>
    <mergeCell ref="AM5:AO5"/>
    <mergeCell ref="AP5:AR5"/>
    <mergeCell ref="AS5:AU5"/>
    <mergeCell ref="AV5:AX5"/>
    <mergeCell ref="AY5:BA5"/>
    <mergeCell ref="AA5:AC5"/>
    <mergeCell ref="D5:F5"/>
    <mergeCell ref="G5:I5"/>
    <mergeCell ref="AD5:AF5"/>
    <mergeCell ref="AG5:AI5"/>
    <mergeCell ref="D4:F4"/>
    <mergeCell ref="G4:I4"/>
    <mergeCell ref="J4:L5"/>
    <mergeCell ref="AD4:AQ4"/>
    <mergeCell ref="U5:W5"/>
    <mergeCell ref="R5:T5"/>
    <mergeCell ref="O5:Q5"/>
    <mergeCell ref="AS4:BG4"/>
    <mergeCell ref="BT5:BV5"/>
    <mergeCell ref="BH5:BJ5"/>
    <mergeCell ref="BK5:BM5"/>
    <mergeCell ref="X5:Z5"/>
    <mergeCell ref="BN5:BP5"/>
    <mergeCell ref="BQ5:BS5"/>
    <mergeCell ref="BH4:BV4"/>
  </mergeCells>
  <phoneticPr fontId="1" type="noConversion"/>
  <pageMargins left="0.23622047244094491" right="0.23622047244094491" top="0.78740157480314965" bottom="0.23622047244094491" header="0.31496062992125984" footer="0.31496062992125984"/>
  <pageSetup paperSize="9" scale="79"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B1:BX39"/>
  <sheetViews>
    <sheetView showGridLines="0" view="pageBreakPreview" zoomScale="85" zoomScaleNormal="100" zoomScaleSheetLayoutView="85" workbookViewId="0">
      <pane xSplit="14" ySplit="6" topLeftCell="AR7" activePane="bottomRight" state="frozen"/>
      <selection activeCell="G47" sqref="G47"/>
      <selection pane="topRight" activeCell="G47" sqref="G47"/>
      <selection pane="bottomLeft" activeCell="G47" sqref="G47"/>
      <selection pane="bottomRight" activeCell="C65" sqref="C65"/>
    </sheetView>
  </sheetViews>
  <sheetFormatPr defaultRowHeight="15" outlineLevelCol="3" x14ac:dyDescent="0.3"/>
  <cols>
    <col min="1" max="1" width="5" style="468" customWidth="1"/>
    <col min="2" max="2" width="17" style="468" customWidth="1"/>
    <col min="3" max="3" width="23" style="468" bestFit="1" customWidth="1"/>
    <col min="4" max="4" width="7.5" style="468" customWidth="1"/>
    <col min="5" max="6" width="9.25" style="468" bestFit="1" customWidth="1"/>
    <col min="7" max="12" width="7.5" style="468" customWidth="1"/>
    <col min="13" max="13" width="2.5" style="468" customWidth="1"/>
    <col min="14" max="14" width="2.875" style="311" customWidth="1"/>
    <col min="15" max="15" width="7.5" style="468" hidden="1" customWidth="1" outlineLevel="2"/>
    <col min="16" max="17" width="9.25" style="468" hidden="1" customWidth="1" outlineLevel="2"/>
    <col min="18" max="44" width="7.5" style="468" hidden="1" customWidth="1" outlineLevel="2"/>
    <col min="45" max="74" width="7.5" style="468" hidden="1" customWidth="1" outlineLevel="3"/>
    <col min="75" max="75" width="9" style="468" hidden="1" customWidth="1" outlineLevel="1"/>
    <col min="76" max="76" width="9" style="468" collapsed="1"/>
    <col min="77" max="16384" width="9" style="468"/>
  </cols>
  <sheetData>
    <row r="1" spans="2:74" x14ac:dyDescent="0.3">
      <c r="B1" s="374" t="str">
        <f>[6]INDEX!G14</f>
        <v>초회보험료</v>
      </c>
      <c r="C1" s="468" t="s">
        <v>177</v>
      </c>
    </row>
    <row r="2" spans="2:74" x14ac:dyDescent="0.3">
      <c r="B2" s="235" t="s">
        <v>18</v>
      </c>
    </row>
    <row r="3" spans="2:74" s="560" customFormat="1" x14ac:dyDescent="0.3">
      <c r="N3" s="566"/>
      <c r="O3" s="781"/>
      <c r="P3" s="781"/>
      <c r="Q3" s="781"/>
      <c r="R3" s="781"/>
      <c r="S3" s="781"/>
      <c r="T3" s="781"/>
      <c r="U3" s="744"/>
      <c r="V3" s="744"/>
      <c r="W3" s="744"/>
      <c r="X3" s="744"/>
      <c r="Y3" s="744"/>
      <c r="Z3" s="744"/>
      <c r="AA3" s="744"/>
      <c r="AB3" s="744"/>
      <c r="AC3" s="744"/>
      <c r="AD3" s="744"/>
      <c r="AE3" s="744"/>
      <c r="AF3" s="744"/>
      <c r="AG3" s="744"/>
      <c r="AH3" s="744"/>
      <c r="AI3" s="744"/>
      <c r="AJ3" s="744"/>
      <c r="AK3" s="744"/>
      <c r="AL3" s="744"/>
    </row>
    <row r="4" spans="2:74" s="560" customFormat="1" x14ac:dyDescent="0.3">
      <c r="B4" s="559" t="s">
        <v>1</v>
      </c>
      <c r="C4" s="559" t="s">
        <v>177</v>
      </c>
      <c r="D4" s="856">
        <f>X4</f>
        <v>2025</v>
      </c>
      <c r="E4" s="854"/>
      <c r="F4" s="855"/>
      <c r="G4" s="856">
        <f>AD4</f>
        <v>2024</v>
      </c>
      <c r="H4" s="854"/>
      <c r="I4" s="855"/>
      <c r="J4" s="858" t="s">
        <v>32</v>
      </c>
      <c r="K4" s="859"/>
      <c r="L4" s="859"/>
      <c r="M4" s="565"/>
      <c r="N4" s="566"/>
      <c r="O4" s="566"/>
      <c r="P4" s="566"/>
      <c r="Q4" s="566"/>
      <c r="R4" s="566"/>
      <c r="S4" s="566"/>
      <c r="T4" s="566"/>
      <c r="U4" s="566"/>
      <c r="V4" s="566"/>
      <c r="W4" s="566"/>
      <c r="X4" s="854">
        <v>2025</v>
      </c>
      <c r="Y4" s="854"/>
      <c r="Z4" s="854"/>
      <c r="AA4" s="854"/>
      <c r="AB4" s="854"/>
      <c r="AC4" s="855"/>
      <c r="AD4" s="854">
        <v>2024</v>
      </c>
      <c r="AE4" s="854"/>
      <c r="AF4" s="854"/>
      <c r="AG4" s="854"/>
      <c r="AH4" s="854"/>
      <c r="AI4" s="854"/>
      <c r="AJ4" s="854"/>
      <c r="AK4" s="854"/>
      <c r="AL4" s="854"/>
      <c r="AM4" s="854"/>
      <c r="AN4" s="854"/>
      <c r="AO4" s="854"/>
      <c r="AP4" s="854"/>
      <c r="AQ4" s="854"/>
      <c r="AR4" s="855"/>
      <c r="AS4" s="856">
        <v>2023</v>
      </c>
      <c r="AT4" s="854"/>
      <c r="AU4" s="854"/>
      <c r="AV4" s="854"/>
      <c r="AW4" s="854"/>
      <c r="AX4" s="854"/>
      <c r="AY4" s="854"/>
      <c r="AZ4" s="854"/>
      <c r="BA4" s="854"/>
      <c r="BB4" s="854"/>
      <c r="BC4" s="854"/>
      <c r="BD4" s="854"/>
      <c r="BE4" s="854"/>
      <c r="BF4" s="854"/>
      <c r="BG4" s="855"/>
      <c r="BH4" s="856">
        <v>2022</v>
      </c>
      <c r="BI4" s="854"/>
      <c r="BJ4" s="854"/>
      <c r="BK4" s="854"/>
      <c r="BL4" s="854"/>
      <c r="BM4" s="854"/>
      <c r="BN4" s="854"/>
      <c r="BO4" s="854"/>
      <c r="BP4" s="854"/>
      <c r="BQ4" s="854"/>
      <c r="BR4" s="854"/>
      <c r="BS4" s="854"/>
      <c r="BT4" s="667"/>
      <c r="BU4" s="667"/>
      <c r="BV4" s="567"/>
    </row>
    <row r="5" spans="2:74" s="560" customFormat="1" x14ac:dyDescent="0.3">
      <c r="B5" s="559"/>
      <c r="C5" s="559"/>
      <c r="D5" s="857" t="str">
        <f>O5</f>
        <v>FY</v>
      </c>
      <c r="E5" s="857"/>
      <c r="F5" s="857"/>
      <c r="G5" s="857" t="str">
        <f>AD5</f>
        <v>FY</v>
      </c>
      <c r="H5" s="857"/>
      <c r="I5" s="857"/>
      <c r="J5" s="860"/>
      <c r="K5" s="861"/>
      <c r="L5" s="861"/>
      <c r="M5" s="565"/>
      <c r="N5" s="566"/>
      <c r="O5" s="856" t="s">
        <v>31</v>
      </c>
      <c r="P5" s="854"/>
      <c r="Q5" s="855"/>
      <c r="R5" s="856" t="s">
        <v>28</v>
      </c>
      <c r="S5" s="854"/>
      <c r="T5" s="855"/>
      <c r="U5" s="856" t="s">
        <v>30</v>
      </c>
      <c r="V5" s="854"/>
      <c r="W5" s="855"/>
      <c r="X5" s="856" t="s">
        <v>27</v>
      </c>
      <c r="Y5" s="854"/>
      <c r="Z5" s="855"/>
      <c r="AA5" s="856" t="s">
        <v>29</v>
      </c>
      <c r="AB5" s="854"/>
      <c r="AC5" s="855"/>
      <c r="AD5" s="856" t="s">
        <v>31</v>
      </c>
      <c r="AE5" s="854"/>
      <c r="AF5" s="855"/>
      <c r="AG5" s="856" t="s">
        <v>28</v>
      </c>
      <c r="AH5" s="854"/>
      <c r="AI5" s="855"/>
      <c r="AJ5" s="856" t="s">
        <v>30</v>
      </c>
      <c r="AK5" s="854"/>
      <c r="AL5" s="855"/>
      <c r="AM5" s="856" t="s">
        <v>27</v>
      </c>
      <c r="AN5" s="854"/>
      <c r="AO5" s="855"/>
      <c r="AP5" s="856" t="s">
        <v>29</v>
      </c>
      <c r="AQ5" s="854"/>
      <c r="AR5" s="855"/>
      <c r="AS5" s="856" t="s">
        <v>31</v>
      </c>
      <c r="AT5" s="854"/>
      <c r="AU5" s="855"/>
      <c r="AV5" s="857" t="s">
        <v>28</v>
      </c>
      <c r="AW5" s="857"/>
      <c r="AX5" s="857"/>
      <c r="AY5" s="857" t="s">
        <v>30</v>
      </c>
      <c r="AZ5" s="857"/>
      <c r="BA5" s="857"/>
      <c r="BB5" s="857" t="s">
        <v>27</v>
      </c>
      <c r="BC5" s="857"/>
      <c r="BD5" s="857"/>
      <c r="BE5" s="857" t="s">
        <v>29</v>
      </c>
      <c r="BF5" s="857"/>
      <c r="BG5" s="857"/>
      <c r="BH5" s="856" t="s">
        <v>31</v>
      </c>
      <c r="BI5" s="854"/>
      <c r="BJ5" s="855"/>
      <c r="BK5" s="857" t="s">
        <v>28</v>
      </c>
      <c r="BL5" s="857"/>
      <c r="BM5" s="857"/>
      <c r="BN5" s="857" t="s">
        <v>30</v>
      </c>
      <c r="BO5" s="857"/>
      <c r="BP5" s="857"/>
      <c r="BQ5" s="857" t="s">
        <v>27</v>
      </c>
      <c r="BR5" s="857"/>
      <c r="BS5" s="857"/>
      <c r="BT5" s="857" t="s">
        <v>29</v>
      </c>
      <c r="BU5" s="857"/>
      <c r="BV5" s="857"/>
    </row>
    <row r="6" spans="2:74" s="560" customFormat="1" ht="45" x14ac:dyDescent="0.3">
      <c r="B6" s="744"/>
      <c r="C6" s="744"/>
      <c r="D6" s="568" t="s">
        <v>1940</v>
      </c>
      <c r="E6" s="568" t="s">
        <v>1941</v>
      </c>
      <c r="F6" s="568" t="s">
        <v>1942</v>
      </c>
      <c r="G6" s="568" t="s">
        <v>1940</v>
      </c>
      <c r="H6" s="568" t="s">
        <v>1941</v>
      </c>
      <c r="I6" s="568" t="s">
        <v>1942</v>
      </c>
      <c r="J6" s="568" t="s">
        <v>1940</v>
      </c>
      <c r="K6" s="568" t="s">
        <v>1941</v>
      </c>
      <c r="L6" s="569" t="s">
        <v>1942</v>
      </c>
      <c r="M6" s="570"/>
      <c r="N6" s="566"/>
      <c r="O6" s="568" t="s">
        <v>1940</v>
      </c>
      <c r="P6" s="568" t="s">
        <v>1941</v>
      </c>
      <c r="Q6" s="568" t="s">
        <v>1942</v>
      </c>
      <c r="R6" s="568" t="s">
        <v>1940</v>
      </c>
      <c r="S6" s="568" t="s">
        <v>1941</v>
      </c>
      <c r="T6" s="568" t="s">
        <v>1942</v>
      </c>
      <c r="U6" s="568" t="s">
        <v>1940</v>
      </c>
      <c r="V6" s="568" t="s">
        <v>1941</v>
      </c>
      <c r="W6" s="568" t="s">
        <v>1942</v>
      </c>
      <c r="X6" s="568" t="s">
        <v>1940</v>
      </c>
      <c r="Y6" s="568" t="s">
        <v>1941</v>
      </c>
      <c r="Z6" s="568" t="s">
        <v>1942</v>
      </c>
      <c r="AA6" s="568" t="s">
        <v>1940</v>
      </c>
      <c r="AB6" s="568" t="s">
        <v>1941</v>
      </c>
      <c r="AC6" s="568" t="s">
        <v>1942</v>
      </c>
      <c r="AD6" s="568" t="s">
        <v>1940</v>
      </c>
      <c r="AE6" s="568" t="s">
        <v>1941</v>
      </c>
      <c r="AF6" s="568" t="s">
        <v>1942</v>
      </c>
      <c r="AG6" s="568" t="s">
        <v>1940</v>
      </c>
      <c r="AH6" s="568" t="s">
        <v>1941</v>
      </c>
      <c r="AI6" s="568" t="s">
        <v>1942</v>
      </c>
      <c r="AJ6" s="568" t="s">
        <v>1940</v>
      </c>
      <c r="AK6" s="568" t="s">
        <v>1941</v>
      </c>
      <c r="AL6" s="568" t="s">
        <v>1942</v>
      </c>
      <c r="AM6" s="568" t="s">
        <v>1940</v>
      </c>
      <c r="AN6" s="568" t="s">
        <v>1941</v>
      </c>
      <c r="AO6" s="568" t="s">
        <v>1942</v>
      </c>
      <c r="AP6" s="568" t="s">
        <v>1940</v>
      </c>
      <c r="AQ6" s="568" t="s">
        <v>1941</v>
      </c>
      <c r="AR6" s="568" t="s">
        <v>1942</v>
      </c>
      <c r="AS6" s="568" t="s">
        <v>1940</v>
      </c>
      <c r="AT6" s="568" t="s">
        <v>1941</v>
      </c>
      <c r="AU6" s="568" t="s">
        <v>1942</v>
      </c>
      <c r="AV6" s="568" t="s">
        <v>1940</v>
      </c>
      <c r="AW6" s="568" t="s">
        <v>1941</v>
      </c>
      <c r="AX6" s="568" t="s">
        <v>1942</v>
      </c>
      <c r="AY6" s="568" t="s">
        <v>1940</v>
      </c>
      <c r="AZ6" s="568" t="s">
        <v>1941</v>
      </c>
      <c r="BA6" s="568" t="s">
        <v>1942</v>
      </c>
      <c r="BB6" s="568" t="s">
        <v>1940</v>
      </c>
      <c r="BC6" s="568" t="s">
        <v>1941</v>
      </c>
      <c r="BD6" s="568" t="s">
        <v>1942</v>
      </c>
      <c r="BE6" s="568" t="s">
        <v>1940</v>
      </c>
      <c r="BF6" s="568" t="s">
        <v>1941</v>
      </c>
      <c r="BG6" s="568" t="s">
        <v>1942</v>
      </c>
      <c r="BH6" s="568" t="s">
        <v>1940</v>
      </c>
      <c r="BI6" s="568" t="s">
        <v>1941</v>
      </c>
      <c r="BJ6" s="568" t="s">
        <v>1942</v>
      </c>
      <c r="BK6" s="568" t="s">
        <v>1940</v>
      </c>
      <c r="BL6" s="568" t="s">
        <v>1941</v>
      </c>
      <c r="BM6" s="568" t="s">
        <v>1942</v>
      </c>
      <c r="BN6" s="568" t="s">
        <v>1940</v>
      </c>
      <c r="BO6" s="568" t="s">
        <v>1941</v>
      </c>
      <c r="BP6" s="568" t="s">
        <v>1942</v>
      </c>
      <c r="BQ6" s="568" t="s">
        <v>1940</v>
      </c>
      <c r="BR6" s="568" t="s">
        <v>1941</v>
      </c>
      <c r="BS6" s="568" t="s">
        <v>1942</v>
      </c>
      <c r="BT6" s="568" t="s">
        <v>1940</v>
      </c>
      <c r="BU6" s="568" t="s">
        <v>1941</v>
      </c>
      <c r="BV6" s="568" t="s">
        <v>1942</v>
      </c>
    </row>
    <row r="7" spans="2:74" s="374" customFormat="1" x14ac:dyDescent="0.3">
      <c r="B7" s="553" t="s">
        <v>102</v>
      </c>
      <c r="C7" s="374" t="s">
        <v>126</v>
      </c>
      <c r="D7" s="572">
        <f t="shared" ref="D7:H7" si="0">D8+D12+D15</f>
        <v>33.41372045</v>
      </c>
      <c r="E7" s="572">
        <f t="shared" si="0"/>
        <v>1090.392473264</v>
      </c>
      <c r="F7" s="572">
        <f>D7+E7</f>
        <v>1123.8061937140001</v>
      </c>
      <c r="G7" s="572">
        <f t="shared" si="0"/>
        <v>28.352873397000003</v>
      </c>
      <c r="H7" s="572">
        <f t="shared" si="0"/>
        <v>591.570598238</v>
      </c>
      <c r="I7" s="572">
        <f>G7+H7</f>
        <v>619.92347163500006</v>
      </c>
      <c r="J7" s="400">
        <f t="shared" ref="J7:L24" si="1">+IFERROR(IF(G7&lt;0,-(D7/G7-1),(D7/G7-1)),0)</f>
        <v>0.17849503230721875</v>
      </c>
      <c r="K7" s="400">
        <f t="shared" si="1"/>
        <v>0.84321613770486037</v>
      </c>
      <c r="L7" s="573">
        <f t="shared" si="1"/>
        <v>0.8128143958641354</v>
      </c>
      <c r="M7" s="573"/>
      <c r="N7" s="474"/>
      <c r="O7" s="572">
        <f>O8+O12+O15</f>
        <v>33.413720450000007</v>
      </c>
      <c r="P7" s="572">
        <f>P8+P12+P15</f>
        <v>1090.3924732639998</v>
      </c>
      <c r="Q7" s="572">
        <f t="shared" ref="Q7:Q24" si="2">O7+P7</f>
        <v>1123.8061937139998</v>
      </c>
      <c r="R7" s="572">
        <f>R8+R12+R15</f>
        <v>10.262717335</v>
      </c>
      <c r="S7" s="572">
        <f>S8+S12+S15</f>
        <v>323.95061019400003</v>
      </c>
      <c r="T7" s="572">
        <f t="shared" ref="T7:T24" si="3">R7+S7</f>
        <v>334.21332752900003</v>
      </c>
      <c r="U7" s="572">
        <f>U8+U12+U15</f>
        <v>9.6997560200000006</v>
      </c>
      <c r="V7" s="572">
        <f>V8+V12+V15</f>
        <v>374.86697586299999</v>
      </c>
      <c r="W7" s="572">
        <f t="shared" ref="W7:W24" si="4">U7+V7</f>
        <v>384.56673188299999</v>
      </c>
      <c r="X7" s="572">
        <f>X8+X12+X15</f>
        <v>6.0877316300000004</v>
      </c>
      <c r="Y7" s="572">
        <f>Y8+Y12+Y15</f>
        <v>150.378187223</v>
      </c>
      <c r="Z7" s="572">
        <f t="shared" ref="Z7:Z24" si="5">X7+Y7</f>
        <v>156.46591885300001</v>
      </c>
      <c r="AA7" s="572">
        <f>AA8+AA12+AA15</f>
        <v>7.3635154650000008</v>
      </c>
      <c r="AB7" s="572">
        <f>AB8+AB12+AB15</f>
        <v>241.19669998399999</v>
      </c>
      <c r="AC7" s="572">
        <f t="shared" ref="AC7:AC24" si="6">AA7+AB7</f>
        <v>248.560215449</v>
      </c>
      <c r="AD7" s="572">
        <f>AD8+AD12+AD15</f>
        <v>28.352873397000003</v>
      </c>
      <c r="AE7" s="572">
        <f>AE8+AE12+AE15</f>
        <v>591.570598238</v>
      </c>
      <c r="AF7" s="572">
        <f t="shared" ref="AF7:AF24" si="7">AD7+AE7</f>
        <v>619.92347163500006</v>
      </c>
      <c r="AG7" s="572">
        <f>AG8+AG12+AG15</f>
        <v>8.1954249229999991</v>
      </c>
      <c r="AH7" s="572">
        <f>AH8+AH12+AH15</f>
        <v>213.46304551700001</v>
      </c>
      <c r="AI7" s="572">
        <f t="shared" ref="AI7:AI24" si="8">AG7+AH7</f>
        <v>221.65847044</v>
      </c>
      <c r="AJ7" s="572">
        <f>AJ8+AJ12+AJ15</f>
        <v>7.260281752</v>
      </c>
      <c r="AK7" s="572">
        <f>AK8+AK12+AK15</f>
        <v>168.36298865099999</v>
      </c>
      <c r="AL7" s="572">
        <f t="shared" ref="AL7:AL24" si="9">AJ7+AK7</f>
        <v>175.62327040299999</v>
      </c>
      <c r="AM7" s="572">
        <f>AM8+AM12+AM15</f>
        <v>6.3629742980000001</v>
      </c>
      <c r="AN7" s="572">
        <f>AN8+AN12+AN15</f>
        <v>109.761679853</v>
      </c>
      <c r="AO7" s="572">
        <f t="shared" ref="AO7:AO24" si="10">AM7+AN7</f>
        <v>116.124654151</v>
      </c>
      <c r="AP7" s="572">
        <f>AP8+AP12+AP15</f>
        <v>6.5341924239999996</v>
      </c>
      <c r="AQ7" s="572">
        <f>AQ8+AQ12+AQ15</f>
        <v>99.982884216999992</v>
      </c>
      <c r="AR7" s="572">
        <f t="shared" ref="AR7:AR24" si="11">AP7+AQ7</f>
        <v>106.51707664099999</v>
      </c>
      <c r="AS7" s="572">
        <f t="shared" ref="AS7:AT7" si="12">AS8+AS12+AS15</f>
        <v>17.697873940000001</v>
      </c>
      <c r="AT7" s="572">
        <f t="shared" si="12"/>
        <v>115.16154314000001</v>
      </c>
      <c r="AU7" s="572">
        <f t="shared" ref="AU7:AU24" si="13">AS7+AT7</f>
        <v>132.85941708000001</v>
      </c>
      <c r="AV7" s="572">
        <f t="shared" ref="AV7:AW7" si="14">AV8+AV12+AV15</f>
        <v>5.0599444310000008</v>
      </c>
      <c r="AW7" s="572">
        <f t="shared" si="14"/>
        <v>37.776591654000001</v>
      </c>
      <c r="AX7" s="572">
        <f t="shared" ref="AX7:AX24" si="15">AV7+AW7</f>
        <v>42.836536084999999</v>
      </c>
      <c r="AY7" s="572">
        <f t="shared" ref="AY7:AZ7" si="16">AY8+AY12+AY15</f>
        <v>5.2351003019999993</v>
      </c>
      <c r="AZ7" s="572">
        <f t="shared" si="16"/>
        <v>38.026191029000003</v>
      </c>
      <c r="BA7" s="572">
        <f t="shared" ref="BA7:BA24" si="17">AY7+AZ7</f>
        <v>43.261291331000002</v>
      </c>
      <c r="BB7" s="572">
        <f t="shared" ref="BB7:BC7" si="18">BB8+BB12+BB15</f>
        <v>4.1819100729999992</v>
      </c>
      <c r="BC7" s="572">
        <f t="shared" si="18"/>
        <v>27.002052765000002</v>
      </c>
      <c r="BD7" s="572">
        <f t="shared" ref="BD7:BD24" si="19">BB7+BC7</f>
        <v>31.183962837999999</v>
      </c>
      <c r="BE7" s="572">
        <f t="shared" ref="BE7:BF7" si="20">BE8+BE12+BE15</f>
        <v>3.2209191339999994</v>
      </c>
      <c r="BF7" s="572">
        <f t="shared" si="20"/>
        <v>12.356707691999999</v>
      </c>
      <c r="BG7" s="572">
        <f t="shared" ref="BG7:BG24" si="21">BE7+BF7</f>
        <v>15.577626825999998</v>
      </c>
      <c r="BH7" s="572">
        <f t="shared" ref="BH7:BI7" si="22">BH8+BH12+BH15</f>
        <v>15.144007379999998</v>
      </c>
      <c r="BI7" s="572">
        <f t="shared" si="22"/>
        <v>277.37857470699998</v>
      </c>
      <c r="BJ7" s="572">
        <f t="shared" ref="BJ7:BJ24" si="23">BH7+BI7</f>
        <v>292.52258208699999</v>
      </c>
      <c r="BK7" s="572">
        <f t="shared" ref="BK7:BL7" si="24">BK8+BK12+BK15</f>
        <v>3.1209451700000002</v>
      </c>
      <c r="BL7" s="572">
        <f t="shared" si="24"/>
        <v>15.585063701000001</v>
      </c>
      <c r="BM7" s="572">
        <f t="shared" ref="BM7:BM24" si="25">BK7+BL7</f>
        <v>18.706008871000002</v>
      </c>
      <c r="BN7" s="572">
        <f t="shared" ref="BN7:BO7" si="26">BN8+BN12+BN15</f>
        <v>3.7417922399999997</v>
      </c>
      <c r="BO7" s="572">
        <f t="shared" si="26"/>
        <v>40.319491587999998</v>
      </c>
      <c r="BP7" s="572">
        <f t="shared" ref="BP7:BP24" si="27">BN7+BO7</f>
        <v>44.061283828000001</v>
      </c>
      <c r="BQ7" s="572">
        <f t="shared" ref="BQ7:BR7" si="28">BQ8+BQ12+BQ15</f>
        <v>3.9003214469999996</v>
      </c>
      <c r="BR7" s="572">
        <f t="shared" si="28"/>
        <v>56.951029173999999</v>
      </c>
      <c r="BS7" s="572">
        <f t="shared" ref="BS7:BS24" si="29">BQ7+BR7</f>
        <v>60.851350620999995</v>
      </c>
      <c r="BT7" s="572">
        <f t="shared" ref="BT7:BU7" si="30">BT8+BT12+BT15</f>
        <v>4.3809485229999998</v>
      </c>
      <c r="BU7" s="572">
        <f t="shared" si="30"/>
        <v>164.522990244</v>
      </c>
      <c r="BV7" s="572">
        <f t="shared" ref="BV7:BV24" si="31">BT7+BU7</f>
        <v>168.903938767</v>
      </c>
    </row>
    <row r="8" spans="2:74" x14ac:dyDescent="0.3">
      <c r="B8" s="554" t="s">
        <v>92</v>
      </c>
      <c r="C8" s="554" t="s">
        <v>125</v>
      </c>
      <c r="D8" s="575">
        <f t="shared" ref="D8:E8" si="32">SUM(D9:D11)</f>
        <v>25.921721192</v>
      </c>
      <c r="E8" s="575">
        <f t="shared" si="32"/>
        <v>5.1165285090000001</v>
      </c>
      <c r="F8" s="575">
        <f>D8+E8</f>
        <v>31.038249700999998</v>
      </c>
      <c r="G8" s="575">
        <f t="shared" ref="G8:H8" si="33">SUM(G9:G11)</f>
        <v>22.911610484000001</v>
      </c>
      <c r="H8" s="575">
        <f t="shared" si="33"/>
        <v>3.7618271600000002</v>
      </c>
      <c r="I8" s="575">
        <f t="shared" ref="I8:I24" si="34">G8+H8</f>
        <v>26.673437644</v>
      </c>
      <c r="J8" s="576">
        <f t="shared" si="1"/>
        <v>0.13137927209883693</v>
      </c>
      <c r="K8" s="576">
        <f t="shared" si="1"/>
        <v>0.36011791381717817</v>
      </c>
      <c r="L8" s="577">
        <f t="shared" si="1"/>
        <v>0.16363890231380918</v>
      </c>
      <c r="M8" s="578"/>
      <c r="O8" s="575">
        <v>25.921721192000003</v>
      </c>
      <c r="P8" s="575">
        <v>5.1165285090000001</v>
      </c>
      <c r="Q8" s="575">
        <f t="shared" si="2"/>
        <v>31.038249701000005</v>
      </c>
      <c r="R8" s="575">
        <v>7.7110692719999996</v>
      </c>
      <c r="S8" s="575">
        <v>1.637158018</v>
      </c>
      <c r="T8" s="575">
        <f t="shared" si="3"/>
        <v>9.3482272900000005</v>
      </c>
      <c r="U8" s="575">
        <v>7.5102261490000011</v>
      </c>
      <c r="V8" s="575">
        <v>1.5057402200000001</v>
      </c>
      <c r="W8" s="575">
        <f t="shared" si="4"/>
        <v>9.0159663690000009</v>
      </c>
      <c r="X8" s="575">
        <f>SUM(X9:X11)</f>
        <v>4.9623771110000003</v>
      </c>
      <c r="Y8" s="575">
        <f>SUM(Y9:Y11)</f>
        <v>0.84091257200000002</v>
      </c>
      <c r="Z8" s="575">
        <f t="shared" si="5"/>
        <v>5.803289683</v>
      </c>
      <c r="AA8" s="575">
        <f>SUM(AA9:AA11)</f>
        <v>5.7380486600000014</v>
      </c>
      <c r="AB8" s="575">
        <f>SUM(AB9:AB11)</f>
        <v>1.1327176990000001</v>
      </c>
      <c r="AC8" s="575">
        <f t="shared" si="6"/>
        <v>6.870766359000001</v>
      </c>
      <c r="AD8" s="575">
        <f>SUM(AD9:AD11)</f>
        <v>22.911610484000001</v>
      </c>
      <c r="AE8" s="575">
        <f>SUM(AE9:AE11)</f>
        <v>3.7618271600000002</v>
      </c>
      <c r="AF8" s="575">
        <f t="shared" si="7"/>
        <v>26.673437644</v>
      </c>
      <c r="AG8" s="575">
        <f>SUM(AG9:AG11)</f>
        <v>6.5104683769999996</v>
      </c>
      <c r="AH8" s="575">
        <f>SUM(AH9:AH11)</f>
        <v>1.0460904229999999</v>
      </c>
      <c r="AI8" s="575">
        <f t="shared" si="8"/>
        <v>7.5565587999999995</v>
      </c>
      <c r="AJ8" s="575">
        <f>SUM(AJ9:AJ11)</f>
        <v>6.0442233679999999</v>
      </c>
      <c r="AK8" s="575">
        <f>SUM(AK9:AK11)</f>
        <v>0.96844525000000004</v>
      </c>
      <c r="AL8" s="575">
        <f t="shared" si="9"/>
        <v>7.0126686180000002</v>
      </c>
      <c r="AM8" s="575">
        <f>SUM(AM9:AM11)</f>
        <v>4.9738864100000004</v>
      </c>
      <c r="AN8" s="575">
        <f>SUM(AN9:AN11)</f>
        <v>1.254717031</v>
      </c>
      <c r="AO8" s="575">
        <f t="shared" si="10"/>
        <v>6.2286034410000006</v>
      </c>
      <c r="AP8" s="575">
        <f>SUM(AP9:AP11)</f>
        <v>5.3830323289999997</v>
      </c>
      <c r="AQ8" s="575">
        <f>SUM(AQ9:AQ11)</f>
        <v>0.49257445600000005</v>
      </c>
      <c r="AR8" s="575">
        <f t="shared" si="11"/>
        <v>5.8756067849999996</v>
      </c>
      <c r="AS8" s="575">
        <f t="shared" ref="AS8:AT8" si="35">SUM(AS9:AS11)</f>
        <v>16.706406215000001</v>
      </c>
      <c r="AT8" s="575">
        <f t="shared" si="35"/>
        <v>2.1417173200000001</v>
      </c>
      <c r="AU8" s="575">
        <f t="shared" si="13"/>
        <v>18.848123535000003</v>
      </c>
      <c r="AV8" s="575">
        <f t="shared" ref="AV8:AW8" si="36">SUM(AV9:AV11)</f>
        <v>4.6988065450000001</v>
      </c>
      <c r="AW8" s="575">
        <f t="shared" si="36"/>
        <v>0.483714335</v>
      </c>
      <c r="AX8" s="575">
        <f t="shared" si="15"/>
        <v>5.1825208800000002</v>
      </c>
      <c r="AY8" s="575">
        <f t="shared" ref="AY8:AZ8" si="37">SUM(AY9:AY11)</f>
        <v>4.9053866799999994</v>
      </c>
      <c r="AZ8" s="575">
        <f t="shared" si="37"/>
        <v>0.34444533599999999</v>
      </c>
      <c r="BA8" s="575">
        <f t="shared" si="17"/>
        <v>5.2498320159999992</v>
      </c>
      <c r="BB8" s="575">
        <f t="shared" ref="BB8:BC8" si="38">SUM(BB9:BB11)</f>
        <v>3.9952182779999998</v>
      </c>
      <c r="BC8" s="575">
        <f t="shared" si="38"/>
        <v>0.64688769499999998</v>
      </c>
      <c r="BD8" s="575">
        <f t="shared" si="19"/>
        <v>4.6421059729999996</v>
      </c>
      <c r="BE8" s="575">
        <f t="shared" ref="BE8:BF8" si="39">SUM(BE9:BE11)</f>
        <v>3.1069947119999997</v>
      </c>
      <c r="BF8" s="575">
        <f t="shared" si="39"/>
        <v>0.66666995400000006</v>
      </c>
      <c r="BG8" s="575">
        <f t="shared" si="21"/>
        <v>3.7736646659999997</v>
      </c>
      <c r="BH8" s="575">
        <f t="shared" ref="BH8:BI8" si="40">SUM(BH9:BH11)</f>
        <v>12.970356220999998</v>
      </c>
      <c r="BI8" s="575">
        <f t="shared" si="40"/>
        <v>5.7011008830000005</v>
      </c>
      <c r="BJ8" s="575">
        <f t="shared" si="23"/>
        <v>18.671457103999998</v>
      </c>
      <c r="BK8" s="575">
        <f t="shared" ref="BK8:BL8" si="41">SUM(BK9:BK11)</f>
        <v>2.9424234930000002</v>
      </c>
      <c r="BL8" s="575">
        <f t="shared" si="41"/>
        <v>1.0160340329999999</v>
      </c>
      <c r="BM8" s="575">
        <f t="shared" si="25"/>
        <v>3.9584575260000001</v>
      </c>
      <c r="BN8" s="575">
        <f t="shared" ref="BN8:BO8" si="42">SUM(BN9:BN11)</f>
        <v>3.3987359769999999</v>
      </c>
      <c r="BO8" s="575">
        <f t="shared" si="42"/>
        <v>1.0333746070000001</v>
      </c>
      <c r="BP8" s="575">
        <f t="shared" si="27"/>
        <v>4.4321105840000001</v>
      </c>
      <c r="BQ8" s="575">
        <f t="shared" ref="BQ8:BR8" si="43">SUM(BQ9:BQ11)</f>
        <v>3.3794212019999996</v>
      </c>
      <c r="BR8" s="575">
        <f t="shared" si="43"/>
        <v>1.3586520289999999</v>
      </c>
      <c r="BS8" s="575">
        <f t="shared" si="29"/>
        <v>4.7380732309999996</v>
      </c>
      <c r="BT8" s="575">
        <f t="shared" ref="BT8:BU8" si="44">SUM(BT9:BT11)</f>
        <v>3.2497755489999998</v>
      </c>
      <c r="BU8" s="575">
        <f t="shared" si="44"/>
        <v>2.2930402139999999</v>
      </c>
      <c r="BV8" s="575">
        <f t="shared" si="31"/>
        <v>5.5428157630000001</v>
      </c>
    </row>
    <row r="9" spans="2:74" x14ac:dyDescent="0.3">
      <c r="B9" s="555" t="s">
        <v>93</v>
      </c>
      <c r="C9" s="580" t="s">
        <v>117</v>
      </c>
      <c r="D9" s="581">
        <f>SUM(X9,AA9,U9,R9)</f>
        <v>2.0060431510000001</v>
      </c>
      <c r="E9" s="581">
        <f>SUM(Y9,AB9,V9,S9)</f>
        <v>0</v>
      </c>
      <c r="F9" s="581">
        <f t="shared" ref="F9:F24" si="45">D9+E9</f>
        <v>2.0060431510000001</v>
      </c>
      <c r="G9" s="581">
        <f>SUM(AM9,AP9,AJ9,AG9)</f>
        <v>4.076989073</v>
      </c>
      <c r="H9" s="581">
        <f>SUM(AN9,AQ9,AK9,AH9)</f>
        <v>0</v>
      </c>
      <c r="I9" s="581">
        <f t="shared" si="34"/>
        <v>4.076989073</v>
      </c>
      <c r="J9" s="388">
        <f t="shared" si="1"/>
        <v>-0.50795964495340695</v>
      </c>
      <c r="K9" s="388">
        <f t="shared" si="1"/>
        <v>0</v>
      </c>
      <c r="L9" s="578">
        <f t="shared" si="1"/>
        <v>-0.50795964495340695</v>
      </c>
      <c r="M9" s="578"/>
      <c r="O9" s="581">
        <v>2.0060431510000001</v>
      </c>
      <c r="P9" s="581">
        <v>0</v>
      </c>
      <c r="Q9" s="581">
        <f t="shared" si="2"/>
        <v>2.0060431510000001</v>
      </c>
      <c r="R9" s="581">
        <v>0.50864311099999993</v>
      </c>
      <c r="S9" s="581">
        <v>0</v>
      </c>
      <c r="T9" s="581">
        <f t="shared" si="3"/>
        <v>0.50864311099999993</v>
      </c>
      <c r="U9" s="581">
        <v>0.52775715199999995</v>
      </c>
      <c r="V9" s="581">
        <v>0</v>
      </c>
      <c r="W9" s="581">
        <f t="shared" si="4"/>
        <v>0.52775715199999995</v>
      </c>
      <c r="X9" s="581">
        <v>0.44888046600000003</v>
      </c>
      <c r="Y9" s="581">
        <v>0</v>
      </c>
      <c r="Z9" s="581">
        <f t="shared" si="5"/>
        <v>0.44888046600000003</v>
      </c>
      <c r="AA9" s="581">
        <v>0.520762422</v>
      </c>
      <c r="AB9" s="581">
        <v>0</v>
      </c>
      <c r="AC9" s="581">
        <f t="shared" si="6"/>
        <v>0.520762422</v>
      </c>
      <c r="AD9" s="581">
        <f>+AG9+AJ9+AM9+AP9</f>
        <v>4.076989073</v>
      </c>
      <c r="AE9" s="581">
        <f t="shared" ref="AE9:AE11" si="46">+AH9+AK9+AN9+AQ9</f>
        <v>0</v>
      </c>
      <c r="AF9" s="581">
        <f t="shared" si="7"/>
        <v>4.076989073</v>
      </c>
      <c r="AG9" s="581">
        <v>0.90095861799999999</v>
      </c>
      <c r="AH9" s="581">
        <v>0</v>
      </c>
      <c r="AI9" s="581">
        <f t="shared" si="8"/>
        <v>0.90095861799999999</v>
      </c>
      <c r="AJ9" s="581">
        <v>0.97583783499999999</v>
      </c>
      <c r="AK9" s="581">
        <v>0</v>
      </c>
      <c r="AL9" s="581">
        <f t="shared" si="9"/>
        <v>0.97583783499999999</v>
      </c>
      <c r="AM9" s="581">
        <v>0.98922700100000005</v>
      </c>
      <c r="AN9" s="581">
        <v>0</v>
      </c>
      <c r="AO9" s="581">
        <f t="shared" si="10"/>
        <v>0.98922700100000005</v>
      </c>
      <c r="AP9" s="581">
        <v>1.210965619</v>
      </c>
      <c r="AQ9" s="581">
        <v>0</v>
      </c>
      <c r="AR9" s="581">
        <f t="shared" si="11"/>
        <v>1.210965619</v>
      </c>
      <c r="AS9" s="581">
        <f>+AV9+AY9+BB9+BE9</f>
        <v>5.1802440189999999</v>
      </c>
      <c r="AT9" s="581">
        <f t="shared" ref="AT9:AT11" si="47">+AW9+AZ9+BC9+BF9</f>
        <v>0</v>
      </c>
      <c r="AU9" s="581">
        <f t="shared" si="13"/>
        <v>5.1802440189999999</v>
      </c>
      <c r="AV9" s="581">
        <v>1.4547215710000001</v>
      </c>
      <c r="AW9" s="581">
        <v>0</v>
      </c>
      <c r="AX9" s="581">
        <f t="shared" si="15"/>
        <v>1.4547215710000001</v>
      </c>
      <c r="AY9" s="581">
        <v>1.9580653619999999</v>
      </c>
      <c r="AZ9" s="581">
        <v>0</v>
      </c>
      <c r="BA9" s="581">
        <f t="shared" si="17"/>
        <v>1.9580653619999999</v>
      </c>
      <c r="BB9" s="581">
        <v>1.1245481019999999</v>
      </c>
      <c r="BC9" s="581">
        <v>0</v>
      </c>
      <c r="BD9" s="581">
        <f t="shared" si="19"/>
        <v>1.1245481019999999</v>
      </c>
      <c r="BE9" s="581">
        <v>0.64290898400000007</v>
      </c>
      <c r="BF9" s="581">
        <v>0</v>
      </c>
      <c r="BG9" s="581">
        <f t="shared" si="21"/>
        <v>0.64290898400000007</v>
      </c>
      <c r="BH9" s="581">
        <f t="shared" ref="BH9:BI11" si="48">SUM(BK9,BN9,BQ9,BT9)</f>
        <v>2.8678144619999997</v>
      </c>
      <c r="BI9" s="581">
        <f t="shared" si="48"/>
        <v>0</v>
      </c>
      <c r="BJ9" s="581">
        <f t="shared" si="23"/>
        <v>2.8678144619999997</v>
      </c>
      <c r="BK9" s="581">
        <v>0.70245772799999995</v>
      </c>
      <c r="BL9" s="581">
        <v>0</v>
      </c>
      <c r="BM9" s="581">
        <f t="shared" si="25"/>
        <v>0.70245772799999995</v>
      </c>
      <c r="BN9" s="581">
        <v>0.95914017499999993</v>
      </c>
      <c r="BO9" s="581">
        <v>0</v>
      </c>
      <c r="BP9" s="581">
        <f t="shared" si="27"/>
        <v>0.95914017499999993</v>
      </c>
      <c r="BQ9" s="581">
        <v>0.77799655599999995</v>
      </c>
      <c r="BR9" s="581">
        <v>0</v>
      </c>
      <c r="BS9" s="581">
        <f t="shared" si="29"/>
        <v>0.77799655599999995</v>
      </c>
      <c r="BT9" s="581">
        <v>0.42822000300000002</v>
      </c>
      <c r="BU9" s="581">
        <v>0</v>
      </c>
      <c r="BV9" s="581">
        <f t="shared" si="31"/>
        <v>0.42822000300000002</v>
      </c>
    </row>
    <row r="10" spans="2:74" x14ac:dyDescent="0.3">
      <c r="B10" s="555" t="s">
        <v>94</v>
      </c>
      <c r="C10" s="580" t="s">
        <v>118</v>
      </c>
      <c r="D10" s="581">
        <f t="shared" ref="D10:D11" si="49">SUM(X10,AA10,U10,R10)</f>
        <v>2.3473917440000003</v>
      </c>
      <c r="E10" s="581">
        <f t="shared" ref="E10:E11" si="50">SUM(Y10,AB10,V10,S10)</f>
        <v>5.1165285090000001</v>
      </c>
      <c r="F10" s="581">
        <f t="shared" si="45"/>
        <v>7.4639202530000004</v>
      </c>
      <c r="G10" s="581">
        <f t="shared" ref="G10:G11" si="51">SUM(AM10,AP10,AJ10,AG10)</f>
        <v>1.836262794</v>
      </c>
      <c r="H10" s="581">
        <f t="shared" ref="H10:H11" si="52">SUM(AN10,AQ10,AK10,AH10)</f>
        <v>3.7618271600000002</v>
      </c>
      <c r="I10" s="581">
        <f t="shared" si="34"/>
        <v>5.5980899540000006</v>
      </c>
      <c r="J10" s="388">
        <f t="shared" si="1"/>
        <v>0.27835283254124477</v>
      </c>
      <c r="K10" s="388">
        <f t="shared" si="1"/>
        <v>0.36011791381717817</v>
      </c>
      <c r="L10" s="578">
        <f t="shared" si="1"/>
        <v>0.33329766301215091</v>
      </c>
      <c r="M10" s="578"/>
      <c r="O10" s="581">
        <v>2.3473917440000003</v>
      </c>
      <c r="P10" s="581">
        <v>5.1165285090000001</v>
      </c>
      <c r="Q10" s="581">
        <f t="shared" si="2"/>
        <v>7.4639202530000004</v>
      </c>
      <c r="R10" s="581">
        <v>0.70639555500000006</v>
      </c>
      <c r="S10" s="581">
        <v>1.637158018</v>
      </c>
      <c r="T10" s="581">
        <f t="shared" si="3"/>
        <v>2.3435535730000003</v>
      </c>
      <c r="U10" s="581">
        <v>0.67146126699999997</v>
      </c>
      <c r="V10" s="581">
        <v>1.5057402200000001</v>
      </c>
      <c r="W10" s="581">
        <f t="shared" si="4"/>
        <v>2.177201487</v>
      </c>
      <c r="X10" s="581">
        <v>0.47764533199999998</v>
      </c>
      <c r="Y10" s="581">
        <v>0.84091257200000002</v>
      </c>
      <c r="Z10" s="581">
        <f t="shared" si="5"/>
        <v>1.3185579039999999</v>
      </c>
      <c r="AA10" s="581">
        <v>0.49188958999999999</v>
      </c>
      <c r="AB10" s="581">
        <v>1.1327176990000001</v>
      </c>
      <c r="AC10" s="581">
        <f t="shared" si="6"/>
        <v>1.6246072890000001</v>
      </c>
      <c r="AD10" s="581">
        <f t="shared" ref="AD10:AD11" si="53">+AG10+AJ10+AM10+AP10</f>
        <v>1.8362627939999998</v>
      </c>
      <c r="AE10" s="581">
        <f t="shared" si="46"/>
        <v>3.7618271600000002</v>
      </c>
      <c r="AF10" s="581">
        <f t="shared" si="7"/>
        <v>5.5980899539999998</v>
      </c>
      <c r="AG10" s="581">
        <v>0.50865922099999994</v>
      </c>
      <c r="AH10" s="581">
        <v>1.0460904229999999</v>
      </c>
      <c r="AI10" s="581">
        <f t="shared" si="8"/>
        <v>1.5547496439999997</v>
      </c>
      <c r="AJ10" s="581">
        <v>0.52568557800000004</v>
      </c>
      <c r="AK10" s="581">
        <v>0.96844525000000004</v>
      </c>
      <c r="AL10" s="581">
        <f t="shared" si="9"/>
        <v>1.4941308280000001</v>
      </c>
      <c r="AM10" s="581">
        <v>0.52456750699999999</v>
      </c>
      <c r="AN10" s="581">
        <v>1.254717031</v>
      </c>
      <c r="AO10" s="581">
        <f t="shared" si="10"/>
        <v>1.779284538</v>
      </c>
      <c r="AP10" s="581">
        <v>0.27735048800000001</v>
      </c>
      <c r="AQ10" s="581">
        <v>0.49257445600000005</v>
      </c>
      <c r="AR10" s="581">
        <f t="shared" si="11"/>
        <v>0.769924944</v>
      </c>
      <c r="AS10" s="581">
        <f>+AV10+AY10+BB10+BE10</f>
        <v>0.88627432299999986</v>
      </c>
      <c r="AT10" s="581">
        <f t="shared" si="47"/>
        <v>2.1417173200000001</v>
      </c>
      <c r="AU10" s="581">
        <f t="shared" si="13"/>
        <v>3.027991643</v>
      </c>
      <c r="AV10" s="581">
        <v>0.18274902600000001</v>
      </c>
      <c r="AW10" s="581">
        <v>0.483714335</v>
      </c>
      <c r="AX10" s="581">
        <f t="shared" si="15"/>
        <v>0.66646336100000003</v>
      </c>
      <c r="AY10" s="581">
        <v>0.15562081999999999</v>
      </c>
      <c r="AZ10" s="581">
        <v>0.34444533599999999</v>
      </c>
      <c r="BA10" s="581">
        <f t="shared" si="17"/>
        <v>0.50006615599999993</v>
      </c>
      <c r="BB10" s="581">
        <v>0.283964465</v>
      </c>
      <c r="BC10" s="581">
        <v>0.64688769499999998</v>
      </c>
      <c r="BD10" s="581">
        <f t="shared" si="19"/>
        <v>0.93085215999999993</v>
      </c>
      <c r="BE10" s="581">
        <v>0.263940012</v>
      </c>
      <c r="BF10" s="581">
        <v>0.66666995400000006</v>
      </c>
      <c r="BG10" s="581">
        <f t="shared" si="21"/>
        <v>0.93060996600000001</v>
      </c>
      <c r="BH10" s="581">
        <f t="shared" si="48"/>
        <v>1.9177003749999999</v>
      </c>
      <c r="BI10" s="581">
        <f t="shared" si="48"/>
        <v>5.7011008830000005</v>
      </c>
      <c r="BJ10" s="581">
        <f t="shared" si="23"/>
        <v>7.6188012580000004</v>
      </c>
      <c r="BK10" s="581">
        <v>0.35116651199999999</v>
      </c>
      <c r="BL10" s="581">
        <v>1.0160340329999999</v>
      </c>
      <c r="BM10" s="581">
        <f t="shared" si="25"/>
        <v>1.367200545</v>
      </c>
      <c r="BN10" s="581">
        <v>0.36013957699999999</v>
      </c>
      <c r="BO10" s="581">
        <v>1.0333746070000001</v>
      </c>
      <c r="BP10" s="581">
        <f t="shared" si="27"/>
        <v>1.393514184</v>
      </c>
      <c r="BQ10" s="581">
        <v>0.47809420899999999</v>
      </c>
      <c r="BR10" s="581">
        <v>1.3586520289999999</v>
      </c>
      <c r="BS10" s="581">
        <f t="shared" si="29"/>
        <v>1.8367462379999999</v>
      </c>
      <c r="BT10" s="581">
        <v>0.72830007699999999</v>
      </c>
      <c r="BU10" s="581">
        <v>2.2930402139999999</v>
      </c>
      <c r="BV10" s="581">
        <f t="shared" si="31"/>
        <v>3.021340291</v>
      </c>
    </row>
    <row r="11" spans="2:74" x14ac:dyDescent="0.3">
      <c r="B11" s="555" t="s">
        <v>95</v>
      </c>
      <c r="C11" s="580" t="s">
        <v>132</v>
      </c>
      <c r="D11" s="581">
        <f t="shared" si="49"/>
        <v>21.568286297</v>
      </c>
      <c r="E11" s="581">
        <f t="shared" si="50"/>
        <v>0</v>
      </c>
      <c r="F11" s="581">
        <f t="shared" si="45"/>
        <v>21.568286297</v>
      </c>
      <c r="G11" s="581">
        <f t="shared" si="51"/>
        <v>16.998358617000001</v>
      </c>
      <c r="H11" s="581">
        <f t="shared" si="52"/>
        <v>0</v>
      </c>
      <c r="I11" s="581">
        <f t="shared" si="34"/>
        <v>16.998358617000001</v>
      </c>
      <c r="J11" s="388">
        <f t="shared" si="1"/>
        <v>0.2688452328232227</v>
      </c>
      <c r="K11" s="388">
        <f t="shared" si="1"/>
        <v>0</v>
      </c>
      <c r="L11" s="578">
        <f t="shared" si="1"/>
        <v>0.2688452328232227</v>
      </c>
      <c r="M11" s="578"/>
      <c r="O11" s="581">
        <v>21.568286297</v>
      </c>
      <c r="P11" s="581">
        <v>0</v>
      </c>
      <c r="Q11" s="581">
        <f t="shared" si="2"/>
        <v>21.568286297</v>
      </c>
      <c r="R11" s="581">
        <v>6.4960306059999997</v>
      </c>
      <c r="S11" s="581">
        <v>0</v>
      </c>
      <c r="T11" s="581">
        <f t="shared" si="3"/>
        <v>6.4960306059999997</v>
      </c>
      <c r="U11" s="581">
        <v>6.3110077300000009</v>
      </c>
      <c r="V11" s="581">
        <v>0</v>
      </c>
      <c r="W11" s="581">
        <f t="shared" si="4"/>
        <v>6.3110077300000009</v>
      </c>
      <c r="X11" s="581">
        <v>4.0358513130000002</v>
      </c>
      <c r="Y11" s="581">
        <v>0</v>
      </c>
      <c r="Z11" s="581">
        <f t="shared" si="5"/>
        <v>4.0358513130000002</v>
      </c>
      <c r="AA11" s="581">
        <v>4.7253966480000011</v>
      </c>
      <c r="AB11" s="581">
        <v>0</v>
      </c>
      <c r="AC11" s="581">
        <f t="shared" si="6"/>
        <v>4.7253966480000011</v>
      </c>
      <c r="AD11" s="581">
        <f t="shared" si="53"/>
        <v>16.998358617000001</v>
      </c>
      <c r="AE11" s="581">
        <f t="shared" si="46"/>
        <v>0</v>
      </c>
      <c r="AF11" s="581">
        <f t="shared" si="7"/>
        <v>16.998358617000001</v>
      </c>
      <c r="AG11" s="581">
        <v>5.1008505379999995</v>
      </c>
      <c r="AH11" s="581">
        <v>0</v>
      </c>
      <c r="AI11" s="581">
        <f t="shared" si="8"/>
        <v>5.1008505379999995</v>
      </c>
      <c r="AJ11" s="581">
        <v>4.5426999549999998</v>
      </c>
      <c r="AK11" s="581">
        <v>0</v>
      </c>
      <c r="AL11" s="581">
        <f t="shared" si="9"/>
        <v>4.5426999549999998</v>
      </c>
      <c r="AM11" s="581">
        <v>3.4600919019999998</v>
      </c>
      <c r="AN11" s="581">
        <v>0</v>
      </c>
      <c r="AO11" s="581">
        <f t="shared" si="10"/>
        <v>3.4600919019999998</v>
      </c>
      <c r="AP11" s="581">
        <v>3.894716222</v>
      </c>
      <c r="AQ11" s="581">
        <v>0</v>
      </c>
      <c r="AR11" s="581">
        <f t="shared" si="11"/>
        <v>3.894716222</v>
      </c>
      <c r="AS11" s="581">
        <f>+AV11+AY11+BB11+BE11</f>
        <v>10.639887872999999</v>
      </c>
      <c r="AT11" s="581">
        <f t="shared" si="47"/>
        <v>0</v>
      </c>
      <c r="AU11" s="581">
        <f t="shared" si="13"/>
        <v>10.639887872999999</v>
      </c>
      <c r="AV11" s="581">
        <v>3.061335948</v>
      </c>
      <c r="AW11" s="581">
        <v>0</v>
      </c>
      <c r="AX11" s="581">
        <f t="shared" si="15"/>
        <v>3.061335948</v>
      </c>
      <c r="AY11" s="581">
        <v>2.791700498</v>
      </c>
      <c r="AZ11" s="581">
        <v>0</v>
      </c>
      <c r="BA11" s="581">
        <f t="shared" si="17"/>
        <v>2.791700498</v>
      </c>
      <c r="BB11" s="581">
        <v>2.586705711</v>
      </c>
      <c r="BC11" s="581">
        <v>0</v>
      </c>
      <c r="BD11" s="581">
        <f t="shared" si="19"/>
        <v>2.586705711</v>
      </c>
      <c r="BE11" s="581">
        <v>2.2001457159999998</v>
      </c>
      <c r="BF11" s="581">
        <v>0</v>
      </c>
      <c r="BG11" s="581">
        <f t="shared" si="21"/>
        <v>2.2001457159999998</v>
      </c>
      <c r="BH11" s="581">
        <f t="shared" si="48"/>
        <v>8.1848413839999985</v>
      </c>
      <c r="BI11" s="581">
        <f t="shared" si="48"/>
        <v>0</v>
      </c>
      <c r="BJ11" s="581">
        <f t="shared" si="23"/>
        <v>8.1848413839999985</v>
      </c>
      <c r="BK11" s="581">
        <v>1.8887992530000002</v>
      </c>
      <c r="BL11" s="581">
        <v>0</v>
      </c>
      <c r="BM11" s="581">
        <f t="shared" si="25"/>
        <v>1.8887992530000002</v>
      </c>
      <c r="BN11" s="581">
        <v>2.0794562249999999</v>
      </c>
      <c r="BO11" s="581">
        <v>0</v>
      </c>
      <c r="BP11" s="581">
        <f t="shared" si="27"/>
        <v>2.0794562249999999</v>
      </c>
      <c r="BQ11" s="581">
        <v>2.1233304369999999</v>
      </c>
      <c r="BR11" s="581">
        <v>0</v>
      </c>
      <c r="BS11" s="581">
        <f t="shared" si="29"/>
        <v>2.1233304369999999</v>
      </c>
      <c r="BT11" s="581">
        <v>2.0932554689999998</v>
      </c>
      <c r="BU11" s="581">
        <v>0</v>
      </c>
      <c r="BV11" s="581">
        <f t="shared" si="31"/>
        <v>2.0932554689999998</v>
      </c>
    </row>
    <row r="12" spans="2:74" x14ac:dyDescent="0.3">
      <c r="B12" s="554" t="s">
        <v>96</v>
      </c>
      <c r="C12" s="554" t="s">
        <v>119</v>
      </c>
      <c r="D12" s="575">
        <f>SUM(D13:D14)</f>
        <v>5.7690886119999991</v>
      </c>
      <c r="E12" s="575">
        <f>SUM(E13:E14)</f>
        <v>374.01551540100002</v>
      </c>
      <c r="F12" s="575">
        <f>D12+E12</f>
        <v>379.78460401300003</v>
      </c>
      <c r="G12" s="575">
        <f>SUM(G13:G14)</f>
        <v>4.4744522450000002</v>
      </c>
      <c r="H12" s="575">
        <f>SUM(H13:H14)</f>
        <v>251.51947174600002</v>
      </c>
      <c r="I12" s="575">
        <f t="shared" si="34"/>
        <v>255.99392399100003</v>
      </c>
      <c r="J12" s="576">
        <f t="shared" si="1"/>
        <v>0.28933963223022374</v>
      </c>
      <c r="K12" s="576">
        <f t="shared" si="1"/>
        <v>0.4870240971987414</v>
      </c>
      <c r="L12" s="577">
        <f t="shared" si="1"/>
        <v>0.48356882105667509</v>
      </c>
      <c r="M12" s="578"/>
      <c r="O12" s="575">
        <v>5.7690886119999991</v>
      </c>
      <c r="P12" s="575">
        <v>374.01551540100002</v>
      </c>
      <c r="Q12" s="575">
        <f t="shared" si="2"/>
        <v>379.78460401300003</v>
      </c>
      <c r="R12" s="575">
        <v>2.1290536969999998</v>
      </c>
      <c r="S12" s="575">
        <v>129.420076542</v>
      </c>
      <c r="T12" s="575">
        <f t="shared" si="3"/>
        <v>131.54913023899999</v>
      </c>
      <c r="U12" s="575">
        <v>1.5878106559999998</v>
      </c>
      <c r="V12" s="575">
        <v>116.58687485799999</v>
      </c>
      <c r="W12" s="575">
        <f t="shared" si="4"/>
        <v>118.17468551399999</v>
      </c>
      <c r="X12" s="575">
        <f>SUM(X13:X14)</f>
        <v>0.85770273499999994</v>
      </c>
      <c r="Y12" s="575">
        <f>SUM(Y13:Y14)</f>
        <v>57.772506434999997</v>
      </c>
      <c r="Z12" s="575">
        <f t="shared" si="5"/>
        <v>58.630209169999993</v>
      </c>
      <c r="AA12" s="575">
        <f>SUM(AA13:AA14)</f>
        <v>1.1945215239999998</v>
      </c>
      <c r="AB12" s="575">
        <f>SUM(AB13:AB14)</f>
        <v>70.236057566000014</v>
      </c>
      <c r="AC12" s="575">
        <f t="shared" si="6"/>
        <v>71.430579090000009</v>
      </c>
      <c r="AD12" s="575">
        <f>SUM(AD13:AD14)</f>
        <v>4.4744522450000002</v>
      </c>
      <c r="AE12" s="575">
        <f>SUM(AE13:AE14)</f>
        <v>251.51947174599999</v>
      </c>
      <c r="AF12" s="575">
        <f t="shared" si="7"/>
        <v>255.993923991</v>
      </c>
      <c r="AG12" s="575">
        <f>SUM(AG13:AG14)</f>
        <v>1.444796172</v>
      </c>
      <c r="AH12" s="575">
        <f>SUM(AH13:AH14)</f>
        <v>103.01692546800001</v>
      </c>
      <c r="AI12" s="575">
        <f t="shared" si="8"/>
        <v>104.46172164000001</v>
      </c>
      <c r="AJ12" s="575">
        <f>SUM(AJ13:AJ14)</f>
        <v>0.944478029</v>
      </c>
      <c r="AK12" s="575">
        <f>SUM(AK13:AK14)</f>
        <v>52.701923755999999</v>
      </c>
      <c r="AL12" s="575">
        <f t="shared" si="9"/>
        <v>53.646401785000002</v>
      </c>
      <c r="AM12" s="575">
        <f>SUM(AM13:AM14)</f>
        <v>1.163990783</v>
      </c>
      <c r="AN12" s="575">
        <f>SUM(AN13:AN14)</f>
        <v>51.787039926999995</v>
      </c>
      <c r="AO12" s="575">
        <f t="shared" si="10"/>
        <v>52.951030709999998</v>
      </c>
      <c r="AP12" s="575">
        <f>SUM(AP13:AP14)</f>
        <v>0.92118726100000003</v>
      </c>
      <c r="AQ12" s="575">
        <f>SUM(AQ13:AQ14)</f>
        <v>44.013582594999995</v>
      </c>
      <c r="AR12" s="575">
        <f t="shared" si="11"/>
        <v>44.934769855999996</v>
      </c>
      <c r="AS12" s="575">
        <f t="shared" ref="AS12:AT12" si="54">SUM(AS13:AS14)</f>
        <v>0.75040748899999998</v>
      </c>
      <c r="AT12" s="575">
        <f t="shared" si="54"/>
        <v>41.219566056000005</v>
      </c>
      <c r="AU12" s="575">
        <f t="shared" si="13"/>
        <v>41.969973545000002</v>
      </c>
      <c r="AV12" s="575">
        <f t="shared" ref="AV12:AW12" si="55">SUM(AV13:AV14)</f>
        <v>0.30464205499999997</v>
      </c>
      <c r="AW12" s="575">
        <f t="shared" si="55"/>
        <v>16.344203150000002</v>
      </c>
      <c r="AX12" s="575">
        <f t="shared" si="15"/>
        <v>16.648845205000001</v>
      </c>
      <c r="AY12" s="575">
        <f t="shared" ref="AY12:AZ12" si="56">SUM(AY13:AY14)</f>
        <v>0.24018986000000003</v>
      </c>
      <c r="AZ12" s="575">
        <f t="shared" si="56"/>
        <v>14.571259455000003</v>
      </c>
      <c r="BA12" s="575">
        <f t="shared" si="17"/>
        <v>14.811449315000003</v>
      </c>
      <c r="BB12" s="575">
        <f t="shared" ref="BB12:BC12" si="57">SUM(BB13:BB14)</f>
        <v>0.12678050499999999</v>
      </c>
      <c r="BC12" s="575">
        <f t="shared" si="57"/>
        <v>7.0495263599999998</v>
      </c>
      <c r="BD12" s="575">
        <f t="shared" si="19"/>
        <v>7.1763068649999999</v>
      </c>
      <c r="BE12" s="575">
        <f t="shared" ref="BE12:BF12" si="58">SUM(BE13:BE14)</f>
        <v>7.8795068999999995E-2</v>
      </c>
      <c r="BF12" s="575">
        <f t="shared" si="58"/>
        <v>3.2545770909999998</v>
      </c>
      <c r="BG12" s="575">
        <f t="shared" si="21"/>
        <v>3.3333721599999997</v>
      </c>
      <c r="BH12" s="575">
        <f t="shared" ref="BH12:BI12" si="59">SUM(BH13:BH14)</f>
        <v>1.6605565040000001</v>
      </c>
      <c r="BI12" s="575">
        <f t="shared" si="59"/>
        <v>99.415198478999997</v>
      </c>
      <c r="BJ12" s="575">
        <f t="shared" si="23"/>
        <v>101.075754983</v>
      </c>
      <c r="BK12" s="575">
        <f t="shared" ref="BK12:BL12" si="60">SUM(BK13:BK14)</f>
        <v>0.15149899500000003</v>
      </c>
      <c r="BL12" s="575">
        <f t="shared" si="60"/>
        <v>5.9011323500000001</v>
      </c>
      <c r="BM12" s="575">
        <f t="shared" si="25"/>
        <v>6.052631345</v>
      </c>
      <c r="BN12" s="575">
        <f t="shared" ref="BN12:BO12" si="61">SUM(BN13:BN14)</f>
        <v>0.24075782700000001</v>
      </c>
      <c r="BO12" s="575">
        <f t="shared" si="61"/>
        <v>9.1262254170000023</v>
      </c>
      <c r="BP12" s="575">
        <f t="shared" si="27"/>
        <v>9.3669832440000018</v>
      </c>
      <c r="BQ12" s="575">
        <f t="shared" ref="BQ12:BR12" si="62">SUM(BQ13:BQ14)</f>
        <v>0.42976557399999993</v>
      </c>
      <c r="BR12" s="575">
        <f t="shared" si="62"/>
        <v>27.069411815999999</v>
      </c>
      <c r="BS12" s="575">
        <f t="shared" si="29"/>
        <v>27.49917739</v>
      </c>
      <c r="BT12" s="575">
        <f t="shared" ref="BT12:BU12" si="63">SUM(BT13:BT14)</f>
        <v>0.83853410800000006</v>
      </c>
      <c r="BU12" s="575">
        <f t="shared" si="63"/>
        <v>57.318428895999993</v>
      </c>
      <c r="BV12" s="575">
        <f t="shared" si="31"/>
        <v>58.156963003999991</v>
      </c>
    </row>
    <row r="13" spans="2:74" x14ac:dyDescent="0.3">
      <c r="B13" s="555" t="s">
        <v>97</v>
      </c>
      <c r="C13" s="580" t="s">
        <v>121</v>
      </c>
      <c r="D13" s="581">
        <f t="shared" ref="D13:D14" si="64">SUM(X13,AA13,U13,R13)</f>
        <v>0</v>
      </c>
      <c r="E13" s="581">
        <f t="shared" ref="E13:E14" si="65">SUM(Y13,AB13,V13,S13)</f>
        <v>0</v>
      </c>
      <c r="F13" s="581">
        <f t="shared" si="45"/>
        <v>0</v>
      </c>
      <c r="G13" s="581">
        <f t="shared" ref="G13:G14" si="66">SUM(AM13,AP13,AJ13,AG13)</f>
        <v>0</v>
      </c>
      <c r="H13" s="581">
        <f t="shared" ref="H13:H14" si="67">SUM(AN13,AQ13,AK13,AH13)</f>
        <v>0</v>
      </c>
      <c r="I13" s="581">
        <f t="shared" si="34"/>
        <v>0</v>
      </c>
      <c r="J13" s="388">
        <f t="shared" si="1"/>
        <v>0</v>
      </c>
      <c r="K13" s="388">
        <f t="shared" si="1"/>
        <v>0</v>
      </c>
      <c r="L13" s="578">
        <f t="shared" si="1"/>
        <v>0</v>
      </c>
      <c r="M13" s="578"/>
      <c r="O13" s="581">
        <v>0</v>
      </c>
      <c r="P13" s="581">
        <v>0</v>
      </c>
      <c r="Q13" s="581">
        <f t="shared" si="2"/>
        <v>0</v>
      </c>
      <c r="R13" s="581">
        <v>0</v>
      </c>
      <c r="S13" s="581">
        <v>0</v>
      </c>
      <c r="T13" s="581">
        <f t="shared" si="3"/>
        <v>0</v>
      </c>
      <c r="U13" s="581">
        <v>0</v>
      </c>
      <c r="V13" s="581">
        <v>0</v>
      </c>
      <c r="W13" s="581">
        <f t="shared" si="4"/>
        <v>0</v>
      </c>
      <c r="X13" s="581">
        <v>0</v>
      </c>
      <c r="Y13" s="581">
        <v>0</v>
      </c>
      <c r="Z13" s="581">
        <f t="shared" si="5"/>
        <v>0</v>
      </c>
      <c r="AA13" s="581">
        <v>0</v>
      </c>
      <c r="AB13" s="581">
        <v>0</v>
      </c>
      <c r="AC13" s="581">
        <f t="shared" si="6"/>
        <v>0</v>
      </c>
      <c r="AD13" s="581">
        <f t="shared" ref="AD13:AE14" si="68">+AG13+AJ13+AM13+AP13</f>
        <v>0</v>
      </c>
      <c r="AE13" s="581">
        <f t="shared" si="68"/>
        <v>0</v>
      </c>
      <c r="AF13" s="581">
        <f t="shared" si="7"/>
        <v>0</v>
      </c>
      <c r="AG13" s="581">
        <v>0</v>
      </c>
      <c r="AH13" s="581">
        <v>0</v>
      </c>
      <c r="AI13" s="581">
        <f t="shared" si="8"/>
        <v>0</v>
      </c>
      <c r="AJ13" s="581">
        <v>0</v>
      </c>
      <c r="AK13" s="581">
        <v>0</v>
      </c>
      <c r="AL13" s="581">
        <f t="shared" si="9"/>
        <v>0</v>
      </c>
      <c r="AM13" s="581">
        <v>0</v>
      </c>
      <c r="AN13" s="581">
        <v>0</v>
      </c>
      <c r="AO13" s="581">
        <f t="shared" si="10"/>
        <v>0</v>
      </c>
      <c r="AP13" s="581">
        <v>0</v>
      </c>
      <c r="AQ13" s="581">
        <v>0</v>
      </c>
      <c r="AR13" s="581">
        <f t="shared" si="11"/>
        <v>0</v>
      </c>
      <c r="AS13" s="581">
        <f>+AV13+AY13+BB13+BE13</f>
        <v>0</v>
      </c>
      <c r="AT13" s="581">
        <f t="shared" ref="AT13:AT14" si="69">+AW13+AZ13+BC13+BF13</f>
        <v>0</v>
      </c>
      <c r="AU13" s="581">
        <f t="shared" si="13"/>
        <v>0</v>
      </c>
      <c r="AV13" s="581">
        <v>0</v>
      </c>
      <c r="AW13" s="581">
        <v>0</v>
      </c>
      <c r="AX13" s="581">
        <f t="shared" si="15"/>
        <v>0</v>
      </c>
      <c r="AY13" s="581">
        <v>0</v>
      </c>
      <c r="AZ13" s="581">
        <v>0</v>
      </c>
      <c r="BA13" s="581">
        <f t="shared" si="17"/>
        <v>0</v>
      </c>
      <c r="BB13" s="581">
        <v>0</v>
      </c>
      <c r="BC13" s="581">
        <v>0</v>
      </c>
      <c r="BD13" s="581">
        <f t="shared" si="19"/>
        <v>0</v>
      </c>
      <c r="BE13" s="581">
        <v>0</v>
      </c>
      <c r="BF13" s="581">
        <v>0</v>
      </c>
      <c r="BG13" s="581">
        <f t="shared" si="21"/>
        <v>0</v>
      </c>
      <c r="BH13" s="581">
        <f t="shared" ref="BH13:BI14" si="70">SUM(BK13,BN13,BQ13,BT13)</f>
        <v>0</v>
      </c>
      <c r="BI13" s="581">
        <f t="shared" si="70"/>
        <v>0</v>
      </c>
      <c r="BJ13" s="581">
        <f t="shared" si="23"/>
        <v>0</v>
      </c>
      <c r="BK13" s="581">
        <v>0</v>
      </c>
      <c r="BL13" s="581">
        <v>0</v>
      </c>
      <c r="BM13" s="581">
        <f t="shared" si="25"/>
        <v>0</v>
      </c>
      <c r="BN13" s="581">
        <v>0</v>
      </c>
      <c r="BO13" s="581">
        <v>0</v>
      </c>
      <c r="BP13" s="581">
        <f t="shared" si="27"/>
        <v>0</v>
      </c>
      <c r="BQ13" s="581">
        <v>0</v>
      </c>
      <c r="BR13" s="581">
        <v>0</v>
      </c>
      <c r="BS13" s="581">
        <f t="shared" si="29"/>
        <v>0</v>
      </c>
      <c r="BT13" s="581">
        <v>0</v>
      </c>
      <c r="BU13" s="581">
        <v>0</v>
      </c>
      <c r="BV13" s="581">
        <f t="shared" si="31"/>
        <v>0</v>
      </c>
    </row>
    <row r="14" spans="2:74" x14ac:dyDescent="0.3">
      <c r="B14" s="555" t="s">
        <v>98</v>
      </c>
      <c r="C14" s="580" t="s">
        <v>122</v>
      </c>
      <c r="D14" s="581">
        <f t="shared" si="64"/>
        <v>5.7690886119999991</v>
      </c>
      <c r="E14" s="581">
        <f t="shared" si="65"/>
        <v>374.01551540100002</v>
      </c>
      <c r="F14" s="581">
        <f t="shared" si="45"/>
        <v>379.78460401300003</v>
      </c>
      <c r="G14" s="581">
        <f t="shared" si="66"/>
        <v>4.4744522450000002</v>
      </c>
      <c r="H14" s="581">
        <f t="shared" si="67"/>
        <v>251.51947174600002</v>
      </c>
      <c r="I14" s="581">
        <f t="shared" si="34"/>
        <v>255.99392399100003</v>
      </c>
      <c r="J14" s="388">
        <f t="shared" si="1"/>
        <v>0.28933963223022374</v>
      </c>
      <c r="K14" s="388">
        <f t="shared" si="1"/>
        <v>0.4870240971987414</v>
      </c>
      <c r="L14" s="578">
        <f t="shared" si="1"/>
        <v>0.48356882105667509</v>
      </c>
      <c r="M14" s="578"/>
      <c r="O14" s="581">
        <v>5.7690886119999991</v>
      </c>
      <c r="P14" s="581">
        <v>374.01551540100002</v>
      </c>
      <c r="Q14" s="581">
        <f t="shared" si="2"/>
        <v>379.78460401300003</v>
      </c>
      <c r="R14" s="581">
        <v>2.1290536969999998</v>
      </c>
      <c r="S14" s="581">
        <v>129.420076542</v>
      </c>
      <c r="T14" s="581">
        <f t="shared" si="3"/>
        <v>131.54913023899999</v>
      </c>
      <c r="U14" s="581">
        <v>1.5878106559999998</v>
      </c>
      <c r="V14" s="581">
        <v>116.58687485799999</v>
      </c>
      <c r="W14" s="581">
        <f t="shared" si="4"/>
        <v>118.17468551399999</v>
      </c>
      <c r="X14" s="581">
        <v>0.85770273499999994</v>
      </c>
      <c r="Y14" s="581">
        <v>57.772506434999997</v>
      </c>
      <c r="Z14" s="581">
        <f t="shared" si="5"/>
        <v>58.630209169999993</v>
      </c>
      <c r="AA14" s="581">
        <v>1.1945215239999998</v>
      </c>
      <c r="AB14" s="581">
        <v>70.236057566000014</v>
      </c>
      <c r="AC14" s="581">
        <f t="shared" si="6"/>
        <v>71.430579090000009</v>
      </c>
      <c r="AD14" s="581">
        <f t="shared" si="68"/>
        <v>4.4744522450000002</v>
      </c>
      <c r="AE14" s="581">
        <f t="shared" si="68"/>
        <v>251.51947174599999</v>
      </c>
      <c r="AF14" s="581">
        <f t="shared" si="7"/>
        <v>255.993923991</v>
      </c>
      <c r="AG14" s="581">
        <v>1.444796172</v>
      </c>
      <c r="AH14" s="581">
        <v>103.01692546800001</v>
      </c>
      <c r="AI14" s="581">
        <f t="shared" si="8"/>
        <v>104.46172164000001</v>
      </c>
      <c r="AJ14" s="581">
        <v>0.944478029</v>
      </c>
      <c r="AK14" s="581">
        <v>52.701923755999999</v>
      </c>
      <c r="AL14" s="581">
        <f t="shared" si="9"/>
        <v>53.646401785000002</v>
      </c>
      <c r="AM14" s="581">
        <v>1.163990783</v>
      </c>
      <c r="AN14" s="581">
        <v>51.787039926999995</v>
      </c>
      <c r="AO14" s="581">
        <f t="shared" si="10"/>
        <v>52.951030709999998</v>
      </c>
      <c r="AP14" s="581">
        <v>0.92118726100000003</v>
      </c>
      <c r="AQ14" s="581">
        <v>44.013582594999995</v>
      </c>
      <c r="AR14" s="581">
        <f t="shared" si="11"/>
        <v>44.934769855999996</v>
      </c>
      <c r="AS14" s="581">
        <f>+AV14+AY14+BB14+BE14</f>
        <v>0.75040748899999998</v>
      </c>
      <c r="AT14" s="581">
        <f t="shared" si="69"/>
        <v>41.219566056000005</v>
      </c>
      <c r="AU14" s="581">
        <f t="shared" si="13"/>
        <v>41.969973545000002</v>
      </c>
      <c r="AV14" s="581">
        <v>0.30464205499999997</v>
      </c>
      <c r="AW14" s="581">
        <v>16.344203150000002</v>
      </c>
      <c r="AX14" s="581">
        <f t="shared" si="15"/>
        <v>16.648845205000001</v>
      </c>
      <c r="AY14" s="581">
        <v>0.24018986000000003</v>
      </c>
      <c r="AZ14" s="581">
        <v>14.571259455000003</v>
      </c>
      <c r="BA14" s="581">
        <f t="shared" si="17"/>
        <v>14.811449315000003</v>
      </c>
      <c r="BB14" s="581">
        <v>0.12678050499999999</v>
      </c>
      <c r="BC14" s="581">
        <v>7.0495263599999998</v>
      </c>
      <c r="BD14" s="581">
        <f t="shared" si="19"/>
        <v>7.1763068649999999</v>
      </c>
      <c r="BE14" s="581">
        <v>7.8795068999999995E-2</v>
      </c>
      <c r="BF14" s="581">
        <v>3.2545770909999998</v>
      </c>
      <c r="BG14" s="581">
        <f t="shared" si="21"/>
        <v>3.3333721599999997</v>
      </c>
      <c r="BH14" s="581">
        <f t="shared" si="70"/>
        <v>1.6605565040000001</v>
      </c>
      <c r="BI14" s="581">
        <f t="shared" si="70"/>
        <v>99.415198478999997</v>
      </c>
      <c r="BJ14" s="581">
        <f t="shared" si="23"/>
        <v>101.075754983</v>
      </c>
      <c r="BK14" s="581">
        <v>0.15149899500000003</v>
      </c>
      <c r="BL14" s="581">
        <v>5.9011323500000001</v>
      </c>
      <c r="BM14" s="581">
        <f t="shared" si="25"/>
        <v>6.052631345</v>
      </c>
      <c r="BN14" s="581">
        <v>0.24075782700000001</v>
      </c>
      <c r="BO14" s="581">
        <v>9.1262254170000023</v>
      </c>
      <c r="BP14" s="581">
        <f t="shared" si="27"/>
        <v>9.3669832440000018</v>
      </c>
      <c r="BQ14" s="581">
        <v>0.42976557399999993</v>
      </c>
      <c r="BR14" s="581">
        <v>27.069411815999999</v>
      </c>
      <c r="BS14" s="581">
        <f t="shared" si="29"/>
        <v>27.49917739</v>
      </c>
      <c r="BT14" s="581">
        <v>0.83853410800000006</v>
      </c>
      <c r="BU14" s="581">
        <v>57.318428895999993</v>
      </c>
      <c r="BV14" s="581">
        <f t="shared" si="31"/>
        <v>58.156963003999991</v>
      </c>
    </row>
    <row r="15" spans="2:74" x14ac:dyDescent="0.3">
      <c r="B15" s="554" t="s">
        <v>99</v>
      </c>
      <c r="C15" s="554" t="s">
        <v>120</v>
      </c>
      <c r="D15" s="575">
        <f t="shared" ref="D15:E15" si="71">SUM(D16:D17)</f>
        <v>1.7229106460000001</v>
      </c>
      <c r="E15" s="575">
        <f t="shared" si="71"/>
        <v>711.26042935400005</v>
      </c>
      <c r="F15" s="575">
        <f t="shared" si="45"/>
        <v>712.98334</v>
      </c>
      <c r="G15" s="575">
        <f>SUM(G16:G17)</f>
        <v>0.96681066799999993</v>
      </c>
      <c r="H15" s="575">
        <f>SUM(H16:H17)</f>
        <v>336.28929933199998</v>
      </c>
      <c r="I15" s="575">
        <f t="shared" si="34"/>
        <v>337.25610999999998</v>
      </c>
      <c r="J15" s="576">
        <f t="shared" si="1"/>
        <v>0.78205589059553104</v>
      </c>
      <c r="K15" s="576">
        <f t="shared" si="1"/>
        <v>1.1150254580411483</v>
      </c>
      <c r="L15" s="577">
        <f t="shared" si="1"/>
        <v>1.1140709355866081</v>
      </c>
      <c r="M15" s="578"/>
      <c r="O15" s="575">
        <v>1.7229106460000001</v>
      </c>
      <c r="P15" s="575">
        <v>711.26042935399994</v>
      </c>
      <c r="Q15" s="575">
        <f t="shared" si="2"/>
        <v>712.98333999999988</v>
      </c>
      <c r="R15" s="575">
        <v>0.42259436600000005</v>
      </c>
      <c r="S15" s="575">
        <v>192.89337563400002</v>
      </c>
      <c r="T15" s="575">
        <f t="shared" si="3"/>
        <v>193.31597000000002</v>
      </c>
      <c r="U15" s="575">
        <v>0.60171921500000003</v>
      </c>
      <c r="V15" s="575">
        <v>256.774360785</v>
      </c>
      <c r="W15" s="575">
        <f t="shared" si="4"/>
        <v>257.37608</v>
      </c>
      <c r="X15" s="575">
        <f>SUM(X16:X17)</f>
        <v>0.26765178399999995</v>
      </c>
      <c r="Y15" s="575">
        <f>SUM(Y16:Y17)</f>
        <v>91.764768216000007</v>
      </c>
      <c r="Z15" s="575">
        <f t="shared" si="5"/>
        <v>92.032420000000002</v>
      </c>
      <c r="AA15" s="575">
        <f>SUM(AA16:AA17)</f>
        <v>0.43094528100000001</v>
      </c>
      <c r="AB15" s="575">
        <f>SUM(AB16:AB17)</f>
        <v>169.82792471899998</v>
      </c>
      <c r="AC15" s="575">
        <f t="shared" si="6"/>
        <v>170.25886999999997</v>
      </c>
      <c r="AD15" s="575">
        <f>SUM(AD16:AD17)</f>
        <v>0.96681066800000004</v>
      </c>
      <c r="AE15" s="575">
        <f>SUM(AE16:AE17)</f>
        <v>336.28929933199998</v>
      </c>
      <c r="AF15" s="575">
        <f t="shared" si="7"/>
        <v>337.25610999999998</v>
      </c>
      <c r="AG15" s="575">
        <f>SUM(AG16:AG17)</f>
        <v>0.24016037400000004</v>
      </c>
      <c r="AH15" s="575">
        <f>SUM(AH16:AH17)</f>
        <v>109.40002962600001</v>
      </c>
      <c r="AI15" s="575">
        <f t="shared" si="8"/>
        <v>109.64019</v>
      </c>
      <c r="AJ15" s="575">
        <f>SUM(AJ16:AJ17)</f>
        <v>0.271580355</v>
      </c>
      <c r="AK15" s="575">
        <f>SUM(AK16:AK17)</f>
        <v>114.69261964499999</v>
      </c>
      <c r="AL15" s="575">
        <f t="shared" si="9"/>
        <v>114.96419999999999</v>
      </c>
      <c r="AM15" s="575">
        <f>SUM(AM16:AM17)</f>
        <v>0.22509710499999999</v>
      </c>
      <c r="AN15" s="575">
        <f>SUM(AN16:AN17)</f>
        <v>56.719922895000003</v>
      </c>
      <c r="AO15" s="575">
        <f t="shared" si="10"/>
        <v>56.945020000000007</v>
      </c>
      <c r="AP15" s="575">
        <f>SUM(AP16:AP17)</f>
        <v>0.22997283399999999</v>
      </c>
      <c r="AQ15" s="575">
        <f>SUM(AQ16:AQ17)</f>
        <v>55.476727166000003</v>
      </c>
      <c r="AR15" s="575">
        <f t="shared" si="11"/>
        <v>55.706700000000005</v>
      </c>
      <c r="AS15" s="575">
        <f t="shared" ref="AS15:AT15" si="72">SUM(AS16:AS17)</f>
        <v>0.24106023600000001</v>
      </c>
      <c r="AT15" s="575">
        <f t="shared" si="72"/>
        <v>71.800259764000003</v>
      </c>
      <c r="AU15" s="575">
        <f t="shared" si="13"/>
        <v>72.041319999999999</v>
      </c>
      <c r="AV15" s="575">
        <f t="shared" ref="AV15:AW15" si="73">SUM(AV16:AV17)</f>
        <v>5.6495830999999996E-2</v>
      </c>
      <c r="AW15" s="575">
        <f t="shared" si="73"/>
        <v>20.948674169</v>
      </c>
      <c r="AX15" s="575">
        <f t="shared" si="15"/>
        <v>21.00517</v>
      </c>
      <c r="AY15" s="575">
        <f t="shared" ref="AY15:AZ15" si="74">SUM(AY16:AY17)</f>
        <v>8.9523762000000007E-2</v>
      </c>
      <c r="AZ15" s="575">
        <f t="shared" si="74"/>
        <v>23.110486238000004</v>
      </c>
      <c r="BA15" s="575">
        <f t="shared" si="17"/>
        <v>23.200010000000002</v>
      </c>
      <c r="BB15" s="575">
        <f t="shared" ref="BB15:BC15" si="75">SUM(BB16:BB17)</f>
        <v>5.9911289999999999E-2</v>
      </c>
      <c r="BC15" s="575">
        <f t="shared" si="75"/>
        <v>19.305638710000004</v>
      </c>
      <c r="BD15" s="575">
        <f t="shared" si="19"/>
        <v>19.365550000000002</v>
      </c>
      <c r="BE15" s="575">
        <f t="shared" ref="BE15:BF15" si="76">SUM(BE16:BE17)</f>
        <v>3.5129353000000002E-2</v>
      </c>
      <c r="BF15" s="575">
        <f t="shared" si="76"/>
        <v>8.4354606469999993</v>
      </c>
      <c r="BG15" s="575">
        <f t="shared" si="21"/>
        <v>8.4705899999999996</v>
      </c>
      <c r="BH15" s="575">
        <f t="shared" ref="BH15:BI15" si="77">SUM(BH16:BH17)</f>
        <v>0.51309465499999996</v>
      </c>
      <c r="BI15" s="575">
        <f t="shared" si="77"/>
        <v>172.26227534499998</v>
      </c>
      <c r="BJ15" s="575">
        <f t="shared" si="23"/>
        <v>172.77536999999998</v>
      </c>
      <c r="BK15" s="575">
        <f t="shared" ref="BK15:BL15" si="78">SUM(BK16:BK17)</f>
        <v>2.7022682000000003E-2</v>
      </c>
      <c r="BL15" s="575">
        <f t="shared" si="78"/>
        <v>8.6678973180000014</v>
      </c>
      <c r="BM15" s="575">
        <f t="shared" si="25"/>
        <v>8.6949200000000015</v>
      </c>
      <c r="BN15" s="575">
        <f t="shared" ref="BN15:BO15" si="79">SUM(BN16:BN17)</f>
        <v>0.10229843599999999</v>
      </c>
      <c r="BO15" s="575">
        <f t="shared" si="79"/>
        <v>30.159891563999995</v>
      </c>
      <c r="BP15" s="575">
        <f t="shared" si="27"/>
        <v>30.262189999999997</v>
      </c>
      <c r="BQ15" s="575">
        <f t="shared" ref="BQ15:BR15" si="80">SUM(BQ16:BQ17)</f>
        <v>9.1134671E-2</v>
      </c>
      <c r="BR15" s="575">
        <f t="shared" si="80"/>
        <v>28.522965329000002</v>
      </c>
      <c r="BS15" s="575">
        <f t="shared" si="29"/>
        <v>28.614100000000001</v>
      </c>
      <c r="BT15" s="575">
        <f t="shared" ref="BT15:BU15" si="81">SUM(BT16:BT17)</f>
        <v>0.292638866</v>
      </c>
      <c r="BU15" s="575">
        <f t="shared" si="81"/>
        <v>104.911521134</v>
      </c>
      <c r="BV15" s="575">
        <f t="shared" si="31"/>
        <v>105.20416</v>
      </c>
    </row>
    <row r="16" spans="2:74" x14ac:dyDescent="0.3">
      <c r="B16" s="555" t="s">
        <v>100</v>
      </c>
      <c r="C16" s="580" t="s">
        <v>123</v>
      </c>
      <c r="D16" s="581">
        <f t="shared" ref="D16:D17" si="82">SUM(X16,AA16,U16,R16)</f>
        <v>0</v>
      </c>
      <c r="E16" s="581">
        <f t="shared" ref="E16:E17" si="83">SUM(Y16,AB16,V16,S16)</f>
        <v>0</v>
      </c>
      <c r="F16" s="581">
        <f t="shared" si="45"/>
        <v>0</v>
      </c>
      <c r="G16" s="581">
        <f t="shared" ref="G16:G17" si="84">SUM(AM16,AP16,AJ16,AG16)</f>
        <v>0</v>
      </c>
      <c r="H16" s="581">
        <f t="shared" ref="H16:H17" si="85">SUM(AN16,AQ16,AK16,AH16)</f>
        <v>0</v>
      </c>
      <c r="I16" s="581">
        <f t="shared" si="34"/>
        <v>0</v>
      </c>
      <c r="J16" s="388">
        <f t="shared" si="1"/>
        <v>0</v>
      </c>
      <c r="K16" s="388">
        <f t="shared" si="1"/>
        <v>0</v>
      </c>
      <c r="L16" s="578">
        <f t="shared" si="1"/>
        <v>0</v>
      </c>
      <c r="M16" s="578"/>
      <c r="O16" s="581">
        <v>0</v>
      </c>
      <c r="P16" s="581">
        <v>0</v>
      </c>
      <c r="Q16" s="581">
        <f t="shared" si="2"/>
        <v>0</v>
      </c>
      <c r="R16" s="581">
        <v>0</v>
      </c>
      <c r="S16" s="581">
        <v>0</v>
      </c>
      <c r="T16" s="581">
        <f t="shared" si="3"/>
        <v>0</v>
      </c>
      <c r="U16" s="581">
        <v>0</v>
      </c>
      <c r="V16" s="581">
        <v>0</v>
      </c>
      <c r="W16" s="581">
        <f t="shared" si="4"/>
        <v>0</v>
      </c>
      <c r="X16" s="581">
        <v>0</v>
      </c>
      <c r="Y16" s="581">
        <v>0</v>
      </c>
      <c r="Z16" s="581">
        <f t="shared" si="5"/>
        <v>0</v>
      </c>
      <c r="AA16" s="581">
        <v>0</v>
      </c>
      <c r="AB16" s="581">
        <v>0</v>
      </c>
      <c r="AC16" s="581">
        <f t="shared" si="6"/>
        <v>0</v>
      </c>
      <c r="AD16" s="581">
        <f t="shared" ref="AD16:AE17" si="86">+AG16+AJ16+AM16+AP16</f>
        <v>0</v>
      </c>
      <c r="AE16" s="581">
        <f t="shared" si="86"/>
        <v>0</v>
      </c>
      <c r="AF16" s="581">
        <f t="shared" si="7"/>
        <v>0</v>
      </c>
      <c r="AG16" s="581">
        <v>0</v>
      </c>
      <c r="AH16" s="581">
        <v>0</v>
      </c>
      <c r="AI16" s="581">
        <f t="shared" si="8"/>
        <v>0</v>
      </c>
      <c r="AJ16" s="581">
        <v>0</v>
      </c>
      <c r="AK16" s="581">
        <v>0</v>
      </c>
      <c r="AL16" s="581">
        <f t="shared" si="9"/>
        <v>0</v>
      </c>
      <c r="AM16" s="581">
        <v>0</v>
      </c>
      <c r="AN16" s="581">
        <v>0</v>
      </c>
      <c r="AO16" s="581">
        <f t="shared" si="10"/>
        <v>0</v>
      </c>
      <c r="AP16" s="581">
        <v>0</v>
      </c>
      <c r="AQ16" s="581">
        <v>0</v>
      </c>
      <c r="AR16" s="581">
        <f t="shared" si="11"/>
        <v>0</v>
      </c>
      <c r="AS16" s="581">
        <f>+AV16+AY16+BB16+BE16</f>
        <v>0</v>
      </c>
      <c r="AT16" s="581">
        <f t="shared" ref="AT16:AT17" si="87">+AW16+AZ16+BC16+BF16</f>
        <v>0</v>
      </c>
      <c r="AU16" s="581">
        <f t="shared" si="13"/>
        <v>0</v>
      </c>
      <c r="AV16" s="581">
        <v>0</v>
      </c>
      <c r="AW16" s="581">
        <v>0</v>
      </c>
      <c r="AX16" s="581">
        <f t="shared" si="15"/>
        <v>0</v>
      </c>
      <c r="AY16" s="581">
        <v>0</v>
      </c>
      <c r="AZ16" s="581">
        <v>0</v>
      </c>
      <c r="BA16" s="581">
        <f t="shared" si="17"/>
        <v>0</v>
      </c>
      <c r="BB16" s="581">
        <v>0</v>
      </c>
      <c r="BC16" s="581">
        <v>0</v>
      </c>
      <c r="BD16" s="581">
        <f t="shared" si="19"/>
        <v>0</v>
      </c>
      <c r="BE16" s="581">
        <v>0</v>
      </c>
      <c r="BF16" s="581">
        <v>0</v>
      </c>
      <c r="BG16" s="581">
        <f t="shared" si="21"/>
        <v>0</v>
      </c>
      <c r="BH16" s="581">
        <f t="shared" ref="BH16:BI17" si="88">SUM(BK16,BN16,BQ16,BT16)</f>
        <v>0</v>
      </c>
      <c r="BI16" s="581">
        <f t="shared" si="88"/>
        <v>0</v>
      </c>
      <c r="BJ16" s="581">
        <f t="shared" si="23"/>
        <v>0</v>
      </c>
      <c r="BK16" s="581">
        <v>0</v>
      </c>
      <c r="BL16" s="581">
        <v>0</v>
      </c>
      <c r="BM16" s="581">
        <f t="shared" si="25"/>
        <v>0</v>
      </c>
      <c r="BN16" s="581">
        <v>0</v>
      </c>
      <c r="BO16" s="581">
        <v>0</v>
      </c>
      <c r="BP16" s="581">
        <f t="shared" si="27"/>
        <v>0</v>
      </c>
      <c r="BQ16" s="581">
        <v>0</v>
      </c>
      <c r="BR16" s="581">
        <v>0</v>
      </c>
      <c r="BS16" s="581">
        <f t="shared" si="29"/>
        <v>0</v>
      </c>
      <c r="BT16" s="581">
        <v>0</v>
      </c>
      <c r="BU16" s="581">
        <v>0</v>
      </c>
      <c r="BV16" s="581">
        <f t="shared" si="31"/>
        <v>0</v>
      </c>
    </row>
    <row r="17" spans="2:74" x14ac:dyDescent="0.3">
      <c r="B17" s="555" t="s">
        <v>101</v>
      </c>
      <c r="C17" s="580" t="s">
        <v>124</v>
      </c>
      <c r="D17" s="581">
        <f t="shared" si="82"/>
        <v>1.7229106460000001</v>
      </c>
      <c r="E17" s="581">
        <f t="shared" si="83"/>
        <v>711.26042935400005</v>
      </c>
      <c r="F17" s="581">
        <f t="shared" si="45"/>
        <v>712.98334</v>
      </c>
      <c r="G17" s="581">
        <f t="shared" si="84"/>
        <v>0.96681066799999993</v>
      </c>
      <c r="H17" s="581">
        <f t="shared" si="85"/>
        <v>336.28929933199998</v>
      </c>
      <c r="I17" s="581">
        <f t="shared" si="34"/>
        <v>337.25610999999998</v>
      </c>
      <c r="J17" s="388">
        <f t="shared" si="1"/>
        <v>0.78205589059553104</v>
      </c>
      <c r="K17" s="388">
        <f t="shared" si="1"/>
        <v>1.1150254580411483</v>
      </c>
      <c r="L17" s="578">
        <f t="shared" si="1"/>
        <v>1.1140709355866081</v>
      </c>
      <c r="M17" s="578"/>
      <c r="O17" s="581">
        <v>1.7229106460000001</v>
      </c>
      <c r="P17" s="581">
        <v>711.26042935399994</v>
      </c>
      <c r="Q17" s="581">
        <f t="shared" si="2"/>
        <v>712.98333999999988</v>
      </c>
      <c r="R17" s="581">
        <v>0.42259436600000005</v>
      </c>
      <c r="S17" s="581">
        <v>192.89337563400002</v>
      </c>
      <c r="T17" s="581">
        <f t="shared" si="3"/>
        <v>193.31597000000002</v>
      </c>
      <c r="U17" s="581">
        <v>0.60171921500000003</v>
      </c>
      <c r="V17" s="581">
        <v>256.774360785</v>
      </c>
      <c r="W17" s="581">
        <f t="shared" si="4"/>
        <v>257.37608</v>
      </c>
      <c r="X17" s="581">
        <v>0.26765178399999995</v>
      </c>
      <c r="Y17" s="581">
        <v>91.764768216000007</v>
      </c>
      <c r="Z17" s="581">
        <f t="shared" si="5"/>
        <v>92.032420000000002</v>
      </c>
      <c r="AA17" s="581">
        <v>0.43094528100000001</v>
      </c>
      <c r="AB17" s="581">
        <v>169.82792471899998</v>
      </c>
      <c r="AC17" s="581">
        <f t="shared" si="6"/>
        <v>170.25886999999997</v>
      </c>
      <c r="AD17" s="581">
        <f t="shared" si="86"/>
        <v>0.96681066800000004</v>
      </c>
      <c r="AE17" s="581">
        <f t="shared" si="86"/>
        <v>336.28929933199998</v>
      </c>
      <c r="AF17" s="581">
        <f t="shared" si="7"/>
        <v>337.25610999999998</v>
      </c>
      <c r="AG17" s="581">
        <v>0.24016037400000004</v>
      </c>
      <c r="AH17" s="581">
        <v>109.40002962600001</v>
      </c>
      <c r="AI17" s="581">
        <f t="shared" si="8"/>
        <v>109.64019</v>
      </c>
      <c r="AJ17" s="581">
        <v>0.271580355</v>
      </c>
      <c r="AK17" s="581">
        <v>114.69261964499999</v>
      </c>
      <c r="AL17" s="581">
        <f t="shared" si="9"/>
        <v>114.96419999999999</v>
      </c>
      <c r="AM17" s="581">
        <v>0.22509710499999999</v>
      </c>
      <c r="AN17" s="581">
        <v>56.719922895000003</v>
      </c>
      <c r="AO17" s="581">
        <f t="shared" si="10"/>
        <v>56.945020000000007</v>
      </c>
      <c r="AP17" s="581">
        <v>0.22997283399999999</v>
      </c>
      <c r="AQ17" s="581">
        <v>55.476727166000003</v>
      </c>
      <c r="AR17" s="581">
        <f t="shared" si="11"/>
        <v>55.706700000000005</v>
      </c>
      <c r="AS17" s="581">
        <f>+AV17+AY17+BB17+BE17</f>
        <v>0.24106023600000001</v>
      </c>
      <c r="AT17" s="581">
        <f t="shared" si="87"/>
        <v>71.800259764000003</v>
      </c>
      <c r="AU17" s="581">
        <f t="shared" si="13"/>
        <v>72.041319999999999</v>
      </c>
      <c r="AV17" s="581">
        <v>5.6495830999999996E-2</v>
      </c>
      <c r="AW17" s="581">
        <v>20.948674169</v>
      </c>
      <c r="AX17" s="581">
        <f t="shared" si="15"/>
        <v>21.00517</v>
      </c>
      <c r="AY17" s="581">
        <v>8.9523762000000007E-2</v>
      </c>
      <c r="AZ17" s="581">
        <v>23.110486238000004</v>
      </c>
      <c r="BA17" s="581">
        <f t="shared" si="17"/>
        <v>23.200010000000002</v>
      </c>
      <c r="BB17" s="581">
        <v>5.9911289999999999E-2</v>
      </c>
      <c r="BC17" s="581">
        <v>19.305638710000004</v>
      </c>
      <c r="BD17" s="581">
        <f t="shared" si="19"/>
        <v>19.365550000000002</v>
      </c>
      <c r="BE17" s="581">
        <v>3.5129353000000002E-2</v>
      </c>
      <c r="BF17" s="581">
        <v>8.4354606469999993</v>
      </c>
      <c r="BG17" s="581">
        <f t="shared" si="21"/>
        <v>8.4705899999999996</v>
      </c>
      <c r="BH17" s="581">
        <f t="shared" si="88"/>
        <v>0.51309465499999996</v>
      </c>
      <c r="BI17" s="581">
        <f t="shared" si="88"/>
        <v>172.26227534499998</v>
      </c>
      <c r="BJ17" s="581">
        <f t="shared" si="23"/>
        <v>172.77536999999998</v>
      </c>
      <c r="BK17" s="581">
        <v>2.7022682000000003E-2</v>
      </c>
      <c r="BL17" s="581">
        <v>8.6678973180000014</v>
      </c>
      <c r="BM17" s="581">
        <f t="shared" si="25"/>
        <v>8.6949200000000015</v>
      </c>
      <c r="BN17" s="581">
        <v>0.10229843599999999</v>
      </c>
      <c r="BO17" s="581">
        <v>30.159891563999995</v>
      </c>
      <c r="BP17" s="581">
        <f t="shared" si="27"/>
        <v>30.262189999999997</v>
      </c>
      <c r="BQ17" s="581">
        <v>9.1134671E-2</v>
      </c>
      <c r="BR17" s="581">
        <v>28.522965329000002</v>
      </c>
      <c r="BS17" s="581">
        <f t="shared" si="29"/>
        <v>28.614100000000001</v>
      </c>
      <c r="BT17" s="581">
        <v>0.292638866</v>
      </c>
      <c r="BU17" s="581">
        <v>104.911521134</v>
      </c>
      <c r="BV17" s="581">
        <f t="shared" si="31"/>
        <v>105.20416</v>
      </c>
    </row>
    <row r="18" spans="2:74" s="374" customFormat="1" x14ac:dyDescent="0.3">
      <c r="B18" s="556" t="s">
        <v>103</v>
      </c>
      <c r="C18" s="378" t="s">
        <v>127</v>
      </c>
      <c r="D18" s="582">
        <f t="shared" ref="D18:H18" si="89">SUM(D19:D20)</f>
        <v>1.7317236999999999E-2</v>
      </c>
      <c r="E18" s="582">
        <f t="shared" si="89"/>
        <v>0</v>
      </c>
      <c r="F18" s="582">
        <f>D18+E18</f>
        <v>1.7317236999999999E-2</v>
      </c>
      <c r="G18" s="582">
        <f t="shared" si="89"/>
        <v>2.1374219999999999E-2</v>
      </c>
      <c r="H18" s="582">
        <f t="shared" si="89"/>
        <v>0</v>
      </c>
      <c r="I18" s="582">
        <f t="shared" si="34"/>
        <v>2.1374219999999999E-2</v>
      </c>
      <c r="J18" s="583">
        <f t="shared" si="1"/>
        <v>-0.18980730057050033</v>
      </c>
      <c r="K18" s="583">
        <f t="shared" si="1"/>
        <v>0</v>
      </c>
      <c r="L18" s="584">
        <f t="shared" si="1"/>
        <v>-0.18980730057050033</v>
      </c>
      <c r="M18" s="573"/>
      <c r="N18" s="474"/>
      <c r="O18" s="582">
        <v>1.3362881E-2</v>
      </c>
      <c r="P18" s="582">
        <v>0</v>
      </c>
      <c r="Q18" s="582">
        <f t="shared" si="2"/>
        <v>1.3362881E-2</v>
      </c>
      <c r="R18" s="582">
        <v>1.72747E-3</v>
      </c>
      <c r="S18" s="582">
        <v>0</v>
      </c>
      <c r="T18" s="582">
        <f t="shared" si="3"/>
        <v>1.72747E-3</v>
      </c>
      <c r="U18" s="582">
        <f>SUM(U19:U20)</f>
        <v>5.1965889999999997E-3</v>
      </c>
      <c r="V18" s="582">
        <f>SUM(V19:V20)</f>
        <v>0</v>
      </c>
      <c r="W18" s="582">
        <f t="shared" si="4"/>
        <v>5.1965889999999997E-3</v>
      </c>
      <c r="X18" s="582">
        <f>SUM(X19:X20)</f>
        <v>5.1965889999999997E-3</v>
      </c>
      <c r="Y18" s="582">
        <f>SUM(Y19:Y20)</f>
        <v>0</v>
      </c>
      <c r="Z18" s="582">
        <f t="shared" si="5"/>
        <v>5.1965889999999997E-3</v>
      </c>
      <c r="AA18" s="582">
        <f>SUM(AA19:AA20)</f>
        <v>5.1965889999999997E-3</v>
      </c>
      <c r="AB18" s="582">
        <f>SUM(AB19:AB20)</f>
        <v>0</v>
      </c>
      <c r="AC18" s="582">
        <f t="shared" si="6"/>
        <v>5.1965889999999997E-3</v>
      </c>
      <c r="AD18" s="582">
        <f>SUM(AD19:AD20)</f>
        <v>2.1374219999999999E-2</v>
      </c>
      <c r="AE18" s="582">
        <f>SUM(AE19:AE20)</f>
        <v>0</v>
      </c>
      <c r="AF18" s="582">
        <f t="shared" si="7"/>
        <v>2.1374219999999999E-2</v>
      </c>
      <c r="AG18" s="582">
        <f>SUM(AG19:AG20)</f>
        <v>5.2472999999999999E-3</v>
      </c>
      <c r="AH18" s="582">
        <f>SUM(AH19:AH20)</f>
        <v>0</v>
      </c>
      <c r="AI18" s="582">
        <f t="shared" si="8"/>
        <v>5.2472999999999999E-3</v>
      </c>
      <c r="AJ18" s="582">
        <f>SUM(AJ19:AJ20)</f>
        <v>1.6615790000000001E-3</v>
      </c>
      <c r="AK18" s="582">
        <f>SUM(AK19:AK20)</f>
        <v>0</v>
      </c>
      <c r="AL18" s="582">
        <f t="shared" si="9"/>
        <v>1.6615790000000001E-3</v>
      </c>
      <c r="AM18" s="582">
        <f>SUM(AM19:AM20)</f>
        <v>6.8866259999999999E-3</v>
      </c>
      <c r="AN18" s="582">
        <f>SUM(AN19:AN20)</f>
        <v>0</v>
      </c>
      <c r="AO18" s="582">
        <f t="shared" si="10"/>
        <v>6.8866259999999999E-3</v>
      </c>
      <c r="AP18" s="582">
        <f>SUM(AP19:AP20)</f>
        <v>7.5787149999999998E-3</v>
      </c>
      <c r="AQ18" s="582">
        <f>SUM(AQ19:AQ20)</f>
        <v>0</v>
      </c>
      <c r="AR18" s="582">
        <f t="shared" si="11"/>
        <v>7.5787149999999998E-3</v>
      </c>
      <c r="AS18" s="582">
        <f t="shared" ref="AS18:AT18" si="90">SUM(AS19:AS20)</f>
        <v>3.4267079000000006E-2</v>
      </c>
      <c r="AT18" s="582">
        <f t="shared" si="90"/>
        <v>0</v>
      </c>
      <c r="AU18" s="582">
        <f t="shared" si="13"/>
        <v>3.4267079000000006E-2</v>
      </c>
      <c r="AV18" s="582">
        <f t="shared" ref="AV18:AW18" si="91">SUM(AV19:AV20)</f>
        <v>6.025608E-3</v>
      </c>
      <c r="AW18" s="582">
        <f t="shared" si="91"/>
        <v>0</v>
      </c>
      <c r="AX18" s="582">
        <f t="shared" si="15"/>
        <v>6.025608E-3</v>
      </c>
      <c r="AY18" s="582">
        <f t="shared" ref="AY18:AZ18" si="92">SUM(AY19:AY20)</f>
        <v>6.1484690000000002E-3</v>
      </c>
      <c r="AZ18" s="582">
        <f t="shared" si="92"/>
        <v>0</v>
      </c>
      <c r="BA18" s="582">
        <f t="shared" si="17"/>
        <v>6.1484690000000002E-3</v>
      </c>
      <c r="BB18" s="582">
        <f t="shared" ref="BB18:BC18" si="93">SUM(BB19:BB20)</f>
        <v>5.9355520000000002E-3</v>
      </c>
      <c r="BC18" s="582">
        <f t="shared" si="93"/>
        <v>0</v>
      </c>
      <c r="BD18" s="582">
        <f t="shared" si="19"/>
        <v>5.9355520000000002E-3</v>
      </c>
      <c r="BE18" s="582">
        <f t="shared" ref="BE18:BF18" si="94">SUM(BE19:BE20)</f>
        <v>1.615745E-2</v>
      </c>
      <c r="BF18" s="582">
        <f t="shared" si="94"/>
        <v>0</v>
      </c>
      <c r="BG18" s="582">
        <f t="shared" si="21"/>
        <v>1.615745E-2</v>
      </c>
      <c r="BH18" s="582">
        <f t="shared" ref="BH18:BI18" si="95">SUM(BH19:BH20)</f>
        <v>4.7245861000000007E-2</v>
      </c>
      <c r="BI18" s="582">
        <f t="shared" si="95"/>
        <v>0</v>
      </c>
      <c r="BJ18" s="582">
        <f t="shared" si="23"/>
        <v>4.7245861000000007E-2</v>
      </c>
      <c r="BK18" s="582">
        <f t="shared" ref="BK18:BL18" si="96">SUM(BK19:BK20)</f>
        <v>8.885993E-3</v>
      </c>
      <c r="BL18" s="582">
        <f t="shared" si="96"/>
        <v>0</v>
      </c>
      <c r="BM18" s="582">
        <f t="shared" si="25"/>
        <v>8.885993E-3</v>
      </c>
      <c r="BN18" s="582">
        <f t="shared" ref="BN18:BO18" si="97">SUM(BN19:BN20)</f>
        <v>8.3357640000000007E-3</v>
      </c>
      <c r="BO18" s="582">
        <f t="shared" si="97"/>
        <v>0</v>
      </c>
      <c r="BP18" s="582">
        <f t="shared" si="27"/>
        <v>8.3357640000000007E-3</v>
      </c>
      <c r="BQ18" s="582">
        <f t="shared" ref="BQ18:BR18" si="98">SUM(BQ19:BQ20)</f>
        <v>1.7088877000000002E-2</v>
      </c>
      <c r="BR18" s="582">
        <f t="shared" si="98"/>
        <v>0</v>
      </c>
      <c r="BS18" s="582">
        <f t="shared" si="29"/>
        <v>1.7088877000000002E-2</v>
      </c>
      <c r="BT18" s="582">
        <f t="shared" ref="BT18:BU18" si="99">SUM(BT19:BT20)</f>
        <v>1.2935227000000001E-2</v>
      </c>
      <c r="BU18" s="582">
        <f t="shared" si="99"/>
        <v>0</v>
      </c>
      <c r="BV18" s="582">
        <f t="shared" si="31"/>
        <v>1.2935227000000001E-2</v>
      </c>
    </row>
    <row r="19" spans="2:74" x14ac:dyDescent="0.3">
      <c r="B19" s="555" t="s">
        <v>104</v>
      </c>
      <c r="C19" s="555" t="s">
        <v>125</v>
      </c>
      <c r="D19" s="581">
        <f t="shared" ref="D19:D20" si="100">SUM(X19,AA19,U19,R19)</f>
        <v>1.7317236999999999E-2</v>
      </c>
      <c r="E19" s="581">
        <f t="shared" ref="E19:E20" si="101">SUM(Y19,AB19,V19,S19)</f>
        <v>0</v>
      </c>
      <c r="F19" s="581">
        <f t="shared" si="45"/>
        <v>1.7317236999999999E-2</v>
      </c>
      <c r="G19" s="581">
        <f t="shared" ref="G19:G20" si="102">SUM(AM19,AP19,AJ19,AG19)</f>
        <v>2.1374219999999999E-2</v>
      </c>
      <c r="H19" s="581">
        <f t="shared" ref="H19:H20" si="103">SUM(AN19,AQ19,AK19,AH19)</f>
        <v>0</v>
      </c>
      <c r="I19" s="581">
        <f t="shared" si="34"/>
        <v>2.1374219999999999E-2</v>
      </c>
      <c r="J19" s="388">
        <f t="shared" si="1"/>
        <v>-0.18980730057050033</v>
      </c>
      <c r="K19" s="388">
        <f t="shared" si="1"/>
        <v>0</v>
      </c>
      <c r="L19" s="578">
        <f t="shared" si="1"/>
        <v>-0.18980730057050033</v>
      </c>
      <c r="M19" s="578"/>
      <c r="O19" s="581">
        <v>1.3362881E-2</v>
      </c>
      <c r="P19" s="581">
        <v>0</v>
      </c>
      <c r="Q19" s="581">
        <f t="shared" si="2"/>
        <v>1.3362881E-2</v>
      </c>
      <c r="R19" s="581">
        <v>1.72747E-3</v>
      </c>
      <c r="S19" s="581">
        <v>0</v>
      </c>
      <c r="T19" s="581">
        <f t="shared" si="3"/>
        <v>1.72747E-3</v>
      </c>
      <c r="U19" s="581">
        <v>5.1965889999999997E-3</v>
      </c>
      <c r="V19" s="581">
        <v>0</v>
      </c>
      <c r="W19" s="581">
        <f t="shared" si="4"/>
        <v>5.1965889999999997E-3</v>
      </c>
      <c r="X19" s="581">
        <v>5.1965889999999997E-3</v>
      </c>
      <c r="Y19" s="581">
        <v>0</v>
      </c>
      <c r="Z19" s="581">
        <f t="shared" si="5"/>
        <v>5.1965889999999997E-3</v>
      </c>
      <c r="AA19" s="581">
        <v>5.1965889999999997E-3</v>
      </c>
      <c r="AB19" s="581">
        <v>0</v>
      </c>
      <c r="AC19" s="581">
        <f t="shared" si="6"/>
        <v>5.1965889999999997E-3</v>
      </c>
      <c r="AD19" s="581">
        <f t="shared" ref="AD19:AE20" si="104">+AG19+AJ19+AM19+AP19</f>
        <v>2.1374219999999999E-2</v>
      </c>
      <c r="AE19" s="581">
        <f t="shared" si="104"/>
        <v>0</v>
      </c>
      <c r="AF19" s="581">
        <f t="shared" si="7"/>
        <v>2.1374219999999999E-2</v>
      </c>
      <c r="AG19" s="581">
        <v>5.2472999999999999E-3</v>
      </c>
      <c r="AH19" s="581">
        <v>0</v>
      </c>
      <c r="AI19" s="581">
        <f t="shared" si="8"/>
        <v>5.2472999999999999E-3</v>
      </c>
      <c r="AJ19" s="581">
        <v>1.6615790000000001E-3</v>
      </c>
      <c r="AK19" s="581">
        <v>0</v>
      </c>
      <c r="AL19" s="581">
        <f t="shared" si="9"/>
        <v>1.6615790000000001E-3</v>
      </c>
      <c r="AM19" s="581">
        <v>6.8866259999999999E-3</v>
      </c>
      <c r="AN19" s="581">
        <v>0</v>
      </c>
      <c r="AO19" s="581">
        <f t="shared" si="10"/>
        <v>6.8866259999999999E-3</v>
      </c>
      <c r="AP19" s="581">
        <v>7.5787149999999998E-3</v>
      </c>
      <c r="AQ19" s="581">
        <v>0</v>
      </c>
      <c r="AR19" s="581">
        <f t="shared" si="11"/>
        <v>7.5787149999999998E-3</v>
      </c>
      <c r="AS19" s="581">
        <f>+AV19+AY19+BB19+BE19</f>
        <v>3.4267079000000006E-2</v>
      </c>
      <c r="AT19" s="581">
        <f t="shared" ref="AT19:AT20" si="105">+AW19+AZ19+BC19+BF19</f>
        <v>0</v>
      </c>
      <c r="AU19" s="581">
        <f t="shared" si="13"/>
        <v>3.4267079000000006E-2</v>
      </c>
      <c r="AV19" s="581">
        <v>6.025608E-3</v>
      </c>
      <c r="AW19" s="581">
        <v>0</v>
      </c>
      <c r="AX19" s="581">
        <f t="shared" si="15"/>
        <v>6.025608E-3</v>
      </c>
      <c r="AY19" s="581">
        <v>6.1484690000000002E-3</v>
      </c>
      <c r="AZ19" s="581">
        <v>0</v>
      </c>
      <c r="BA19" s="581">
        <f t="shared" si="17"/>
        <v>6.1484690000000002E-3</v>
      </c>
      <c r="BB19" s="581">
        <v>5.9355520000000002E-3</v>
      </c>
      <c r="BC19" s="581">
        <v>0</v>
      </c>
      <c r="BD19" s="581">
        <f t="shared" si="19"/>
        <v>5.9355520000000002E-3</v>
      </c>
      <c r="BE19" s="581">
        <v>1.615745E-2</v>
      </c>
      <c r="BF19" s="581">
        <v>0</v>
      </c>
      <c r="BG19" s="581">
        <f t="shared" si="21"/>
        <v>1.615745E-2</v>
      </c>
      <c r="BH19" s="581">
        <f t="shared" ref="BH19:BI20" si="106">SUM(BK19,BN19,BQ19,BT19)</f>
        <v>4.7245861000000007E-2</v>
      </c>
      <c r="BI19" s="581">
        <f t="shared" si="106"/>
        <v>0</v>
      </c>
      <c r="BJ19" s="581">
        <f t="shared" si="23"/>
        <v>4.7245861000000007E-2</v>
      </c>
      <c r="BK19" s="581">
        <v>8.885993E-3</v>
      </c>
      <c r="BL19" s="581">
        <v>0</v>
      </c>
      <c r="BM19" s="581">
        <f t="shared" si="25"/>
        <v>8.885993E-3</v>
      </c>
      <c r="BN19" s="581">
        <v>8.3357640000000007E-3</v>
      </c>
      <c r="BO19" s="581">
        <v>0</v>
      </c>
      <c r="BP19" s="581">
        <f t="shared" si="27"/>
        <v>8.3357640000000007E-3</v>
      </c>
      <c r="BQ19" s="581">
        <v>1.7088877000000002E-2</v>
      </c>
      <c r="BR19" s="581">
        <v>0</v>
      </c>
      <c r="BS19" s="581">
        <f t="shared" si="29"/>
        <v>1.7088877000000002E-2</v>
      </c>
      <c r="BT19" s="581">
        <v>1.2935227000000001E-2</v>
      </c>
      <c r="BU19" s="581">
        <v>0</v>
      </c>
      <c r="BV19" s="581">
        <f t="shared" si="31"/>
        <v>1.2935227000000001E-2</v>
      </c>
    </row>
    <row r="20" spans="2:74" x14ac:dyDescent="0.3">
      <c r="B20" s="555" t="s">
        <v>105</v>
      </c>
      <c r="C20" s="555" t="s">
        <v>128</v>
      </c>
      <c r="D20" s="581">
        <f t="shared" si="100"/>
        <v>0</v>
      </c>
      <c r="E20" s="581">
        <f t="shared" si="101"/>
        <v>0</v>
      </c>
      <c r="F20" s="581">
        <f t="shared" si="45"/>
        <v>0</v>
      </c>
      <c r="G20" s="581">
        <f t="shared" si="102"/>
        <v>0</v>
      </c>
      <c r="H20" s="581">
        <f t="shared" si="103"/>
        <v>0</v>
      </c>
      <c r="I20" s="581">
        <f t="shared" si="34"/>
        <v>0</v>
      </c>
      <c r="J20" s="388">
        <f t="shared" si="1"/>
        <v>0</v>
      </c>
      <c r="K20" s="388">
        <f t="shared" si="1"/>
        <v>0</v>
      </c>
      <c r="L20" s="578">
        <f t="shared" si="1"/>
        <v>0</v>
      </c>
      <c r="M20" s="578"/>
      <c r="O20" s="581">
        <v>0</v>
      </c>
      <c r="P20" s="581">
        <v>0</v>
      </c>
      <c r="Q20" s="581">
        <f t="shared" si="2"/>
        <v>0</v>
      </c>
      <c r="R20" s="581">
        <v>0</v>
      </c>
      <c r="S20" s="581">
        <v>0</v>
      </c>
      <c r="T20" s="581">
        <f t="shared" si="3"/>
        <v>0</v>
      </c>
      <c r="U20" s="581">
        <v>0</v>
      </c>
      <c r="V20" s="581">
        <v>0</v>
      </c>
      <c r="W20" s="581">
        <f t="shared" si="4"/>
        <v>0</v>
      </c>
      <c r="X20" s="581">
        <v>0</v>
      </c>
      <c r="Y20" s="581">
        <v>0</v>
      </c>
      <c r="Z20" s="581">
        <f t="shared" si="5"/>
        <v>0</v>
      </c>
      <c r="AA20" s="581">
        <v>0</v>
      </c>
      <c r="AB20" s="581">
        <v>0</v>
      </c>
      <c r="AC20" s="581">
        <f t="shared" si="6"/>
        <v>0</v>
      </c>
      <c r="AD20" s="581">
        <f t="shared" si="104"/>
        <v>0</v>
      </c>
      <c r="AE20" s="581">
        <f t="shared" si="104"/>
        <v>0</v>
      </c>
      <c r="AF20" s="581">
        <f t="shared" si="7"/>
        <v>0</v>
      </c>
      <c r="AG20" s="581">
        <v>0</v>
      </c>
      <c r="AH20" s="581">
        <v>0</v>
      </c>
      <c r="AI20" s="581">
        <f t="shared" si="8"/>
        <v>0</v>
      </c>
      <c r="AJ20" s="581">
        <v>0</v>
      </c>
      <c r="AK20" s="581">
        <v>0</v>
      </c>
      <c r="AL20" s="581">
        <f t="shared" si="9"/>
        <v>0</v>
      </c>
      <c r="AM20" s="581">
        <v>0</v>
      </c>
      <c r="AN20" s="581">
        <v>0</v>
      </c>
      <c r="AO20" s="581">
        <f t="shared" si="10"/>
        <v>0</v>
      </c>
      <c r="AP20" s="581">
        <v>0</v>
      </c>
      <c r="AQ20" s="581">
        <v>0</v>
      </c>
      <c r="AR20" s="581">
        <f t="shared" si="11"/>
        <v>0</v>
      </c>
      <c r="AS20" s="581">
        <f>+AV20+AY20+BB20+BE20</f>
        <v>0</v>
      </c>
      <c r="AT20" s="581">
        <f t="shared" si="105"/>
        <v>0</v>
      </c>
      <c r="AU20" s="581">
        <f t="shared" si="13"/>
        <v>0</v>
      </c>
      <c r="AV20" s="581">
        <v>0</v>
      </c>
      <c r="AW20" s="581">
        <v>0</v>
      </c>
      <c r="AX20" s="581">
        <f t="shared" si="15"/>
        <v>0</v>
      </c>
      <c r="AY20" s="581">
        <v>0</v>
      </c>
      <c r="AZ20" s="581">
        <v>0</v>
      </c>
      <c r="BA20" s="581">
        <f t="shared" si="17"/>
        <v>0</v>
      </c>
      <c r="BB20" s="581">
        <v>0</v>
      </c>
      <c r="BC20" s="581">
        <v>0</v>
      </c>
      <c r="BD20" s="581">
        <f t="shared" si="19"/>
        <v>0</v>
      </c>
      <c r="BE20" s="581">
        <v>0</v>
      </c>
      <c r="BF20" s="581">
        <v>0</v>
      </c>
      <c r="BG20" s="581">
        <f t="shared" si="21"/>
        <v>0</v>
      </c>
      <c r="BH20" s="581">
        <f t="shared" si="106"/>
        <v>0</v>
      </c>
      <c r="BI20" s="581">
        <f t="shared" si="106"/>
        <v>0</v>
      </c>
      <c r="BJ20" s="581">
        <f t="shared" si="23"/>
        <v>0</v>
      </c>
      <c r="BK20" s="581">
        <v>0</v>
      </c>
      <c r="BL20" s="581">
        <v>0</v>
      </c>
      <c r="BM20" s="581">
        <f t="shared" si="25"/>
        <v>0</v>
      </c>
      <c r="BN20" s="581">
        <v>0</v>
      </c>
      <c r="BO20" s="581">
        <v>0</v>
      </c>
      <c r="BP20" s="581">
        <f t="shared" si="27"/>
        <v>0</v>
      </c>
      <c r="BQ20" s="581">
        <v>0</v>
      </c>
      <c r="BR20" s="581">
        <v>0</v>
      </c>
      <c r="BS20" s="581">
        <f t="shared" si="29"/>
        <v>0</v>
      </c>
      <c r="BT20" s="581">
        <v>0</v>
      </c>
      <c r="BU20" s="581">
        <v>0</v>
      </c>
      <c r="BV20" s="581">
        <f t="shared" si="31"/>
        <v>0</v>
      </c>
    </row>
    <row r="21" spans="2:74" s="374" customFormat="1" x14ac:dyDescent="0.3">
      <c r="B21" s="315" t="s">
        <v>112</v>
      </c>
      <c r="C21" s="375" t="s">
        <v>129</v>
      </c>
      <c r="D21" s="585">
        <f>D7+D18</f>
        <v>33.431037687</v>
      </c>
      <c r="E21" s="585">
        <f t="shared" ref="E21:H21" si="107">E7+E18</f>
        <v>1090.392473264</v>
      </c>
      <c r="F21" s="585">
        <f>D21+E21</f>
        <v>1123.8235109510001</v>
      </c>
      <c r="G21" s="585">
        <f>G7+G18</f>
        <v>28.374247617000002</v>
      </c>
      <c r="H21" s="585">
        <f t="shared" si="107"/>
        <v>591.570598238</v>
      </c>
      <c r="I21" s="585">
        <f t="shared" si="34"/>
        <v>619.94484585500004</v>
      </c>
      <c r="J21" s="385">
        <f t="shared" si="1"/>
        <v>0.17821759146735228</v>
      </c>
      <c r="K21" s="385">
        <f t="shared" si="1"/>
        <v>0.84321613770486037</v>
      </c>
      <c r="L21" s="586">
        <f t="shared" si="1"/>
        <v>0.81277982785883696</v>
      </c>
      <c r="M21" s="573"/>
      <c r="N21" s="474"/>
      <c r="O21" s="585">
        <v>33.427083330999999</v>
      </c>
      <c r="P21" s="585">
        <v>1090.392473264</v>
      </c>
      <c r="Q21" s="585">
        <f t="shared" si="2"/>
        <v>1123.819556595</v>
      </c>
      <c r="R21" s="585">
        <v>10.264444805</v>
      </c>
      <c r="S21" s="585">
        <v>323.95061019400003</v>
      </c>
      <c r="T21" s="585">
        <f t="shared" si="3"/>
        <v>334.21505499900002</v>
      </c>
      <c r="U21" s="585">
        <f>U7+U18</f>
        <v>9.7049526090000011</v>
      </c>
      <c r="V21" s="585">
        <f>V7+V18</f>
        <v>374.86697586299999</v>
      </c>
      <c r="W21" s="585">
        <f t="shared" si="4"/>
        <v>384.57192847199997</v>
      </c>
      <c r="X21" s="585">
        <f>X7+X18</f>
        <v>6.092928219</v>
      </c>
      <c r="Y21" s="585">
        <f>Y7+Y18</f>
        <v>150.378187223</v>
      </c>
      <c r="Z21" s="585">
        <f t="shared" si="5"/>
        <v>156.47111544199998</v>
      </c>
      <c r="AA21" s="585">
        <f>AA7+AA18</f>
        <v>7.3687120540000004</v>
      </c>
      <c r="AB21" s="585">
        <f>AB7+AB18</f>
        <v>241.19669998399999</v>
      </c>
      <c r="AC21" s="585">
        <f t="shared" si="6"/>
        <v>248.56541203800001</v>
      </c>
      <c r="AD21" s="585">
        <f>AD7+AD18</f>
        <v>28.374247617000002</v>
      </c>
      <c r="AE21" s="585">
        <f>AE7+AE18</f>
        <v>591.570598238</v>
      </c>
      <c r="AF21" s="585">
        <f t="shared" si="7"/>
        <v>619.94484585500004</v>
      </c>
      <c r="AG21" s="585">
        <f>AG7+AG18</f>
        <v>8.2006722229999998</v>
      </c>
      <c r="AH21" s="585">
        <f>AH7+AH18</f>
        <v>213.46304551700001</v>
      </c>
      <c r="AI21" s="585">
        <f t="shared" si="8"/>
        <v>221.66371774000001</v>
      </c>
      <c r="AJ21" s="585">
        <f>AJ7+AJ18</f>
        <v>7.2619433310000003</v>
      </c>
      <c r="AK21" s="585">
        <f>AK7+AK18</f>
        <v>168.36298865099999</v>
      </c>
      <c r="AL21" s="585">
        <f t="shared" si="9"/>
        <v>175.62493198199999</v>
      </c>
      <c r="AM21" s="585">
        <f>AM7+AM18</f>
        <v>6.3698609240000001</v>
      </c>
      <c r="AN21" s="585">
        <f>AN7+AN18</f>
        <v>109.761679853</v>
      </c>
      <c r="AO21" s="585">
        <f t="shared" si="10"/>
        <v>116.131540777</v>
      </c>
      <c r="AP21" s="585">
        <f>AP7+AP18</f>
        <v>6.5417711389999997</v>
      </c>
      <c r="AQ21" s="585">
        <f>AQ7+AQ18</f>
        <v>99.982884216999992</v>
      </c>
      <c r="AR21" s="585">
        <f t="shared" si="11"/>
        <v>106.524655356</v>
      </c>
      <c r="AS21" s="585">
        <f t="shared" ref="AS21:AT21" si="108">AS7+AS18</f>
        <v>17.732141019</v>
      </c>
      <c r="AT21" s="585">
        <f t="shared" si="108"/>
        <v>115.16154314000001</v>
      </c>
      <c r="AU21" s="585">
        <f t="shared" si="13"/>
        <v>132.893684159</v>
      </c>
      <c r="AV21" s="585">
        <f t="shared" ref="AV21:AW21" si="109">AV7+AV18</f>
        <v>5.0659700390000006</v>
      </c>
      <c r="AW21" s="585">
        <f t="shared" si="109"/>
        <v>37.776591654000001</v>
      </c>
      <c r="AX21" s="585">
        <f t="shared" si="15"/>
        <v>42.842561693</v>
      </c>
      <c r="AY21" s="585">
        <f t="shared" ref="AY21:AZ21" si="110">AY7+AY18</f>
        <v>5.2412487709999995</v>
      </c>
      <c r="AZ21" s="585">
        <f t="shared" si="110"/>
        <v>38.026191029000003</v>
      </c>
      <c r="BA21" s="585">
        <f t="shared" si="17"/>
        <v>43.267439800000005</v>
      </c>
      <c r="BB21" s="585">
        <f t="shared" ref="BB21:BC21" si="111">BB7+BB18</f>
        <v>4.1878456249999996</v>
      </c>
      <c r="BC21" s="585">
        <f t="shared" si="111"/>
        <v>27.002052765000002</v>
      </c>
      <c r="BD21" s="585">
        <f t="shared" si="19"/>
        <v>31.189898390000003</v>
      </c>
      <c r="BE21" s="585">
        <f t="shared" ref="BE21:BF21" si="112">BE7+BE18</f>
        <v>3.2370765839999995</v>
      </c>
      <c r="BF21" s="585">
        <f t="shared" si="112"/>
        <v>12.356707691999999</v>
      </c>
      <c r="BG21" s="585">
        <f t="shared" si="21"/>
        <v>15.593784275999997</v>
      </c>
      <c r="BH21" s="585">
        <f t="shared" ref="BH21:BI21" si="113">BH7+BH18</f>
        <v>15.191253240999998</v>
      </c>
      <c r="BI21" s="585">
        <f t="shared" si="113"/>
        <v>277.37857470699998</v>
      </c>
      <c r="BJ21" s="585">
        <f t="shared" si="23"/>
        <v>292.56982794800001</v>
      </c>
      <c r="BK21" s="585">
        <f t="shared" ref="BK21:BL21" si="114">BK7+BK18</f>
        <v>3.129831163</v>
      </c>
      <c r="BL21" s="585">
        <f t="shared" si="114"/>
        <v>15.585063701000001</v>
      </c>
      <c r="BM21" s="585">
        <f t="shared" si="25"/>
        <v>18.714894864000001</v>
      </c>
      <c r="BN21" s="585">
        <f t="shared" ref="BN21:BO21" si="115">BN7+BN18</f>
        <v>3.7501280039999996</v>
      </c>
      <c r="BO21" s="585">
        <f t="shared" si="115"/>
        <v>40.319491587999998</v>
      </c>
      <c r="BP21" s="585">
        <f t="shared" si="27"/>
        <v>44.069619591999995</v>
      </c>
      <c r="BQ21" s="585">
        <f t="shared" ref="BQ21:BR21" si="116">BQ7+BQ18</f>
        <v>3.9174103239999996</v>
      </c>
      <c r="BR21" s="585">
        <f t="shared" si="116"/>
        <v>56.951029173999999</v>
      </c>
      <c r="BS21" s="585">
        <f t="shared" si="29"/>
        <v>60.868439498000001</v>
      </c>
      <c r="BT21" s="585">
        <f t="shared" ref="BT21:BU21" si="117">BT7+BT18</f>
        <v>4.3938837499999996</v>
      </c>
      <c r="BU21" s="585">
        <f t="shared" si="117"/>
        <v>164.522990244</v>
      </c>
      <c r="BV21" s="585">
        <f t="shared" si="31"/>
        <v>168.91687399399999</v>
      </c>
    </row>
    <row r="22" spans="2:74" s="311" customFormat="1" x14ac:dyDescent="0.3">
      <c r="B22" s="554" t="s">
        <v>178</v>
      </c>
      <c r="C22" s="554" t="s">
        <v>181</v>
      </c>
      <c r="D22" s="575">
        <f t="shared" ref="D22:D24" si="118">SUM(X22,AA22,U22,R22)</f>
        <v>6.9015296369999994</v>
      </c>
      <c r="E22" s="575">
        <f t="shared" ref="E22:E24" si="119">SUM(Y22,AB22,V22,S22)</f>
        <v>1069.259985597</v>
      </c>
      <c r="F22" s="575">
        <f t="shared" si="45"/>
        <v>1076.161515234</v>
      </c>
      <c r="G22" s="575">
        <f t="shared" ref="G22:G24" si="120">SUM(AM22,AP22,AJ22,AG22)</f>
        <v>5.0110298340000003</v>
      </c>
      <c r="H22" s="575">
        <f t="shared" ref="H22:H24" si="121">SUM(AN22,AQ22,AK22,AH22)</f>
        <v>575.379776677</v>
      </c>
      <c r="I22" s="575">
        <f t="shared" si="34"/>
        <v>580.39080651100005</v>
      </c>
      <c r="J22" s="576">
        <f t="shared" si="1"/>
        <v>0.37726772053379065</v>
      </c>
      <c r="K22" s="576">
        <f t="shared" si="1"/>
        <v>0.85835517503293945</v>
      </c>
      <c r="L22" s="577">
        <f t="shared" si="1"/>
        <v>0.85420151932334876</v>
      </c>
      <c r="M22" s="578"/>
      <c r="O22" s="575">
        <v>6.9015296369999994</v>
      </c>
      <c r="P22" s="575">
        <v>1069.259985597</v>
      </c>
      <c r="Q22" s="575">
        <f t="shared" si="2"/>
        <v>1076.161515234</v>
      </c>
      <c r="R22" s="575">
        <v>2.4452171749999998</v>
      </c>
      <c r="S22" s="575">
        <v>319.72666525799991</v>
      </c>
      <c r="T22" s="575">
        <f t="shared" si="3"/>
        <v>322.17188243299989</v>
      </c>
      <c r="U22" s="575">
        <v>2.0608665349999997</v>
      </c>
      <c r="V22" s="575">
        <v>368.388923852</v>
      </c>
      <c r="W22" s="575">
        <f t="shared" si="4"/>
        <v>370.44979038700001</v>
      </c>
      <c r="X22" s="575">
        <v>0.98759163399999994</v>
      </c>
      <c r="Y22" s="575">
        <v>146.05593096199996</v>
      </c>
      <c r="Z22" s="575">
        <f t="shared" si="5"/>
        <v>147.04352259599997</v>
      </c>
      <c r="AA22" s="575">
        <v>1.407854293</v>
      </c>
      <c r="AB22" s="575">
        <v>235.088465525</v>
      </c>
      <c r="AC22" s="575">
        <f t="shared" si="6"/>
        <v>236.49631981800002</v>
      </c>
      <c r="AD22" s="575">
        <f t="shared" ref="AD22:AE24" si="122">+AG22+AJ22+AM22+AP22</f>
        <v>5.0110298340000003</v>
      </c>
      <c r="AE22" s="575">
        <f t="shared" si="122"/>
        <v>575.379776677</v>
      </c>
      <c r="AF22" s="575">
        <f t="shared" si="7"/>
        <v>580.39080651100005</v>
      </c>
      <c r="AG22" s="575">
        <v>1.5736247239999999</v>
      </c>
      <c r="AH22" s="575">
        <v>210.069877886</v>
      </c>
      <c r="AI22" s="575">
        <f t="shared" si="8"/>
        <v>211.64350261000001</v>
      </c>
      <c r="AJ22" s="575">
        <v>1.1152148100000001</v>
      </c>
      <c r="AK22" s="575">
        <v>164.891702823</v>
      </c>
      <c r="AL22" s="575">
        <f t="shared" si="9"/>
        <v>166.006917633</v>
      </c>
      <c r="AM22" s="575">
        <v>1.304813199</v>
      </c>
      <c r="AN22" s="575">
        <v>104.93144305</v>
      </c>
      <c r="AO22" s="575">
        <f t="shared" si="10"/>
        <v>106.23625624899999</v>
      </c>
      <c r="AP22" s="575">
        <v>1.0173771010000001</v>
      </c>
      <c r="AQ22" s="575">
        <v>95.486752918000008</v>
      </c>
      <c r="AR22" s="575">
        <f t="shared" si="11"/>
        <v>96.504130019000002</v>
      </c>
      <c r="AS22" s="575">
        <f>+AV22+AY22+BB22+BE22</f>
        <v>1.0481561320000001</v>
      </c>
      <c r="AT22" s="575">
        <f t="shared" ref="AT22:AT24" si="123">+AW22+AZ22+BC22+BF22</f>
        <v>108.912633317</v>
      </c>
      <c r="AU22" s="575">
        <f t="shared" si="13"/>
        <v>109.960789449</v>
      </c>
      <c r="AV22" s="575">
        <v>0.34819264799999999</v>
      </c>
      <c r="AW22" s="575">
        <v>36.37110259</v>
      </c>
      <c r="AX22" s="575">
        <f t="shared" si="15"/>
        <v>36.719295238000001</v>
      </c>
      <c r="AY22" s="575">
        <v>0.29013940199999999</v>
      </c>
      <c r="AZ22" s="575">
        <v>35.907594129999993</v>
      </c>
      <c r="BA22" s="575">
        <f t="shared" si="17"/>
        <v>36.197733531999994</v>
      </c>
      <c r="BB22" s="575">
        <v>0.26229889000000001</v>
      </c>
      <c r="BC22" s="575">
        <v>25.576206959999997</v>
      </c>
      <c r="BD22" s="575">
        <f t="shared" si="19"/>
        <v>25.838505849999997</v>
      </c>
      <c r="BE22" s="575">
        <v>0.147525192</v>
      </c>
      <c r="BF22" s="575">
        <v>11.057729637000001</v>
      </c>
      <c r="BG22" s="575">
        <f t="shared" si="21"/>
        <v>11.205254829000001</v>
      </c>
      <c r="BH22" s="575">
        <f t="shared" ref="BH22:BI24" si="124">SUM(BK22,BN22,BQ22,BT22)</f>
        <v>2.5414665350000001</v>
      </c>
      <c r="BI22" s="575">
        <f t="shared" si="124"/>
        <v>267.066095389</v>
      </c>
      <c r="BJ22" s="575">
        <f t="shared" si="23"/>
        <v>269.60756192399998</v>
      </c>
      <c r="BK22" s="575">
        <v>0.31257789699999999</v>
      </c>
      <c r="BL22" s="575">
        <v>13.994274764</v>
      </c>
      <c r="BM22" s="575">
        <f t="shared" si="25"/>
        <v>14.306852661000001</v>
      </c>
      <c r="BN22" s="575">
        <v>0.36284977999999996</v>
      </c>
      <c r="BO22" s="575">
        <v>38.194251442999985</v>
      </c>
      <c r="BP22" s="575">
        <f t="shared" si="27"/>
        <v>38.557101222999982</v>
      </c>
      <c r="BQ22" s="575">
        <v>0.57902836000000013</v>
      </c>
      <c r="BR22" s="575">
        <v>54.442018029999993</v>
      </c>
      <c r="BS22" s="575">
        <f t="shared" si="29"/>
        <v>55.021046389999995</v>
      </c>
      <c r="BT22" s="575">
        <v>1.2870104979999999</v>
      </c>
      <c r="BU22" s="575">
        <v>160.43555115199999</v>
      </c>
      <c r="BV22" s="575">
        <f t="shared" si="31"/>
        <v>161.72256164999999</v>
      </c>
    </row>
    <row r="23" spans="2:74" s="311" customFormat="1" x14ac:dyDescent="0.3">
      <c r="B23" s="561" t="s">
        <v>179</v>
      </c>
      <c r="C23" s="561" t="s">
        <v>180</v>
      </c>
      <c r="D23" s="581">
        <f t="shared" si="118"/>
        <v>26.525553694000003</v>
      </c>
      <c r="E23" s="581">
        <f t="shared" si="119"/>
        <v>21.13248766700011</v>
      </c>
      <c r="F23" s="581">
        <f t="shared" si="45"/>
        <v>47.658041361000116</v>
      </c>
      <c r="G23" s="581">
        <f t="shared" si="120"/>
        <v>23.363217783</v>
      </c>
      <c r="H23" s="581">
        <f t="shared" si="121"/>
        <v>16.190821561000021</v>
      </c>
      <c r="I23" s="581">
        <f t="shared" si="34"/>
        <v>39.554039344000017</v>
      </c>
      <c r="J23" s="388">
        <f t="shared" si="1"/>
        <v>0.13535532392721361</v>
      </c>
      <c r="K23" s="388">
        <f t="shared" si="1"/>
        <v>0.30521404286879616</v>
      </c>
      <c r="L23" s="578">
        <f t="shared" si="1"/>
        <v>0.20488430894553877</v>
      </c>
      <c r="M23" s="578"/>
      <c r="O23" s="581">
        <v>26.525553693999999</v>
      </c>
      <c r="P23" s="581">
        <v>21.132487667000056</v>
      </c>
      <c r="Q23" s="581">
        <f t="shared" si="2"/>
        <v>47.658041361000059</v>
      </c>
      <c r="R23" s="581">
        <v>7.8192276300000003</v>
      </c>
      <c r="S23" s="581">
        <v>4.2239449360000805</v>
      </c>
      <c r="T23" s="581">
        <f t="shared" si="3"/>
        <v>12.043172566000081</v>
      </c>
      <c r="U23" s="581">
        <v>7.640504088000001</v>
      </c>
      <c r="V23" s="581">
        <v>6.4780520109999671</v>
      </c>
      <c r="W23" s="581">
        <f t="shared" si="4"/>
        <v>14.118556098999967</v>
      </c>
      <c r="X23" s="581">
        <v>5.1049642149999999</v>
      </c>
      <c r="Y23" s="581">
        <v>4.3222562610000672</v>
      </c>
      <c r="Z23" s="581">
        <f t="shared" si="5"/>
        <v>9.4272204760000662</v>
      </c>
      <c r="AA23" s="581">
        <v>5.9608577610000006</v>
      </c>
      <c r="AB23" s="581">
        <v>6.1082344589999948</v>
      </c>
      <c r="AC23" s="581">
        <f t="shared" si="6"/>
        <v>12.069092219999995</v>
      </c>
      <c r="AD23" s="581">
        <f t="shared" si="122"/>
        <v>23.363217782999996</v>
      </c>
      <c r="AE23" s="581">
        <f t="shared" si="122"/>
        <v>16.190821561000021</v>
      </c>
      <c r="AF23" s="581">
        <f t="shared" si="7"/>
        <v>39.554039344000017</v>
      </c>
      <c r="AG23" s="581">
        <v>6.6270474989999997</v>
      </c>
      <c r="AH23" s="581">
        <v>3.3931676309999901</v>
      </c>
      <c r="AI23" s="581">
        <f t="shared" si="8"/>
        <v>10.02021512999999</v>
      </c>
      <c r="AJ23" s="581">
        <v>6.146728521</v>
      </c>
      <c r="AK23" s="581">
        <v>3.4712858280000347</v>
      </c>
      <c r="AL23" s="581">
        <f t="shared" si="9"/>
        <v>9.6180143490000347</v>
      </c>
      <c r="AM23" s="581">
        <v>5.0650477250000003</v>
      </c>
      <c r="AN23" s="581">
        <v>4.8302368030000125</v>
      </c>
      <c r="AO23" s="581">
        <f t="shared" si="10"/>
        <v>9.8952845280000119</v>
      </c>
      <c r="AP23" s="581">
        <v>5.5243940379999987</v>
      </c>
      <c r="AQ23" s="581">
        <v>4.496131298999984</v>
      </c>
      <c r="AR23" s="581">
        <f t="shared" si="11"/>
        <v>10.020525336999983</v>
      </c>
      <c r="AS23" s="581">
        <f>+AV23+AY23+BB23+BE23</f>
        <v>16.683984886999998</v>
      </c>
      <c r="AT23" s="581">
        <f t="shared" si="123"/>
        <v>6.2489098229999946</v>
      </c>
      <c r="AU23" s="581">
        <f t="shared" si="13"/>
        <v>22.932894709999992</v>
      </c>
      <c r="AV23" s="581">
        <v>4.7177773909999985</v>
      </c>
      <c r="AW23" s="581">
        <v>1.4054890639999975</v>
      </c>
      <c r="AX23" s="581">
        <f t="shared" si="15"/>
        <v>6.123266454999996</v>
      </c>
      <c r="AY23" s="581">
        <v>4.9511093690000001</v>
      </c>
      <c r="AZ23" s="581">
        <v>2.1185968989999999</v>
      </c>
      <c r="BA23" s="581">
        <f t="shared" si="17"/>
        <v>7.069706268</v>
      </c>
      <c r="BB23" s="581">
        <v>3.9255467349999997</v>
      </c>
      <c r="BC23" s="581">
        <v>1.425845804999998</v>
      </c>
      <c r="BD23" s="581">
        <f t="shared" si="19"/>
        <v>5.3513925399999973</v>
      </c>
      <c r="BE23" s="581">
        <v>3.0895513920000002</v>
      </c>
      <c r="BF23" s="581">
        <v>1.2989780549999992</v>
      </c>
      <c r="BG23" s="581">
        <f t="shared" si="21"/>
        <v>4.3885294469999998</v>
      </c>
      <c r="BH23" s="581">
        <f t="shared" si="124"/>
        <v>12.649786706</v>
      </c>
      <c r="BI23" s="581">
        <f t="shared" si="124"/>
        <v>10.312479318000008</v>
      </c>
      <c r="BJ23" s="581">
        <f t="shared" si="23"/>
        <v>22.962266024000009</v>
      </c>
      <c r="BK23" s="581">
        <v>2.8172532660000003</v>
      </c>
      <c r="BL23" s="581">
        <v>1.5907889369999992</v>
      </c>
      <c r="BM23" s="581">
        <f t="shared" si="25"/>
        <v>4.408042202999999</v>
      </c>
      <c r="BN23" s="581">
        <v>3.3872782239999997</v>
      </c>
      <c r="BO23" s="581">
        <v>2.1252401450000207</v>
      </c>
      <c r="BP23" s="581">
        <f t="shared" si="27"/>
        <v>5.5125183690000199</v>
      </c>
      <c r="BQ23" s="581">
        <v>3.3383819639999999</v>
      </c>
      <c r="BR23" s="581">
        <v>2.5090111439999987</v>
      </c>
      <c r="BS23" s="581">
        <f t="shared" si="29"/>
        <v>5.8473931079999986</v>
      </c>
      <c r="BT23" s="581">
        <v>3.1068732519999989</v>
      </c>
      <c r="BU23" s="581">
        <v>4.0874390919999897</v>
      </c>
      <c r="BV23" s="581">
        <f t="shared" si="31"/>
        <v>7.1943123439999885</v>
      </c>
    </row>
    <row r="24" spans="2:74" x14ac:dyDescent="0.3">
      <c r="B24" s="557" t="s">
        <v>106</v>
      </c>
      <c r="C24" s="511" t="s">
        <v>133</v>
      </c>
      <c r="D24" s="668">
        <f t="shared" si="118"/>
        <v>0</v>
      </c>
      <c r="E24" s="668">
        <f t="shared" si="119"/>
        <v>185.42358455300001</v>
      </c>
      <c r="F24" s="668">
        <f t="shared" si="45"/>
        <v>185.42358455300001</v>
      </c>
      <c r="G24" s="668">
        <f t="shared" si="120"/>
        <v>0</v>
      </c>
      <c r="H24" s="668">
        <f t="shared" si="121"/>
        <v>119.334711787</v>
      </c>
      <c r="I24" s="668">
        <f t="shared" si="34"/>
        <v>119.334711787</v>
      </c>
      <c r="J24" s="390">
        <f t="shared" si="1"/>
        <v>0</v>
      </c>
      <c r="K24" s="390">
        <f t="shared" si="1"/>
        <v>0.55381097231760812</v>
      </c>
      <c r="L24" s="669">
        <f t="shared" si="1"/>
        <v>0.55381097231760812</v>
      </c>
      <c r="M24" s="578"/>
      <c r="O24" s="668">
        <v>0</v>
      </c>
      <c r="P24" s="668">
        <v>185.42358455300001</v>
      </c>
      <c r="Q24" s="668">
        <f t="shared" si="2"/>
        <v>185.42358455300001</v>
      </c>
      <c r="R24" s="668">
        <v>0</v>
      </c>
      <c r="S24" s="668">
        <v>64.464327839000006</v>
      </c>
      <c r="T24" s="668">
        <f t="shared" si="3"/>
        <v>64.464327839000006</v>
      </c>
      <c r="U24" s="668">
        <v>0</v>
      </c>
      <c r="V24" s="668">
        <v>40.83739825</v>
      </c>
      <c r="W24" s="668">
        <f t="shared" si="4"/>
        <v>40.83739825</v>
      </c>
      <c r="X24" s="668">
        <v>0</v>
      </c>
      <c r="Y24" s="668">
        <v>31.668948916000002</v>
      </c>
      <c r="Z24" s="668">
        <f t="shared" si="5"/>
        <v>31.668948916000002</v>
      </c>
      <c r="AA24" s="668">
        <v>0</v>
      </c>
      <c r="AB24" s="668">
        <v>48.452909548000001</v>
      </c>
      <c r="AC24" s="668">
        <f t="shared" si="6"/>
        <v>48.452909548000001</v>
      </c>
      <c r="AD24" s="668">
        <f t="shared" si="122"/>
        <v>0</v>
      </c>
      <c r="AE24" s="668">
        <f t="shared" si="122"/>
        <v>119.334711787</v>
      </c>
      <c r="AF24" s="668">
        <f t="shared" si="7"/>
        <v>119.334711787</v>
      </c>
      <c r="AG24" s="668">
        <v>0</v>
      </c>
      <c r="AH24" s="668">
        <v>23.468583891000002</v>
      </c>
      <c r="AI24" s="668">
        <f t="shared" si="8"/>
        <v>23.468583891000002</v>
      </c>
      <c r="AJ24" s="668">
        <v>0</v>
      </c>
      <c r="AK24" s="668">
        <v>18.795905292</v>
      </c>
      <c r="AL24" s="668">
        <f t="shared" si="9"/>
        <v>18.795905292</v>
      </c>
      <c r="AM24" s="668">
        <v>0</v>
      </c>
      <c r="AN24" s="668">
        <v>21.847338954000001</v>
      </c>
      <c r="AO24" s="668">
        <f t="shared" si="10"/>
        <v>21.847338954000001</v>
      </c>
      <c r="AP24" s="668">
        <v>0</v>
      </c>
      <c r="AQ24" s="668">
        <v>55.22288365</v>
      </c>
      <c r="AR24" s="668">
        <f t="shared" si="11"/>
        <v>55.22288365</v>
      </c>
      <c r="AS24" s="668">
        <f>+AV24+AY24+BB24+BE24</f>
        <v>0</v>
      </c>
      <c r="AT24" s="668">
        <f t="shared" si="123"/>
        <v>105.29943888400001</v>
      </c>
      <c r="AU24" s="668">
        <f t="shared" si="13"/>
        <v>105.29943888400001</v>
      </c>
      <c r="AV24" s="668">
        <v>0</v>
      </c>
      <c r="AW24" s="668">
        <v>20.253667509</v>
      </c>
      <c r="AX24" s="668">
        <f t="shared" si="15"/>
        <v>20.253667509</v>
      </c>
      <c r="AY24" s="668">
        <v>0</v>
      </c>
      <c r="AZ24" s="668">
        <v>22.700892321000001</v>
      </c>
      <c r="BA24" s="668">
        <f t="shared" si="17"/>
        <v>22.700892321000001</v>
      </c>
      <c r="BB24" s="668">
        <v>0</v>
      </c>
      <c r="BC24" s="668">
        <v>26.070753705000001</v>
      </c>
      <c r="BD24" s="668">
        <f t="shared" si="19"/>
        <v>26.070753705000001</v>
      </c>
      <c r="BE24" s="668">
        <v>0</v>
      </c>
      <c r="BF24" s="668">
        <v>36.274125348999995</v>
      </c>
      <c r="BG24" s="668">
        <f t="shared" si="21"/>
        <v>36.274125348999995</v>
      </c>
      <c r="BH24" s="668">
        <f t="shared" si="124"/>
        <v>0</v>
      </c>
      <c r="BI24" s="668">
        <f t="shared" si="124"/>
        <v>158.48913837500001</v>
      </c>
      <c r="BJ24" s="668">
        <f t="shared" si="23"/>
        <v>158.48913837500001</v>
      </c>
      <c r="BK24" s="668">
        <v>0</v>
      </c>
      <c r="BL24" s="668">
        <v>51.649307120000003</v>
      </c>
      <c r="BM24" s="668">
        <f t="shared" si="25"/>
        <v>51.649307120000003</v>
      </c>
      <c r="BN24" s="668">
        <v>0</v>
      </c>
      <c r="BO24" s="668">
        <v>33.923165081999997</v>
      </c>
      <c r="BP24" s="668">
        <f t="shared" si="27"/>
        <v>33.923165081999997</v>
      </c>
      <c r="BQ24" s="668">
        <v>0</v>
      </c>
      <c r="BR24" s="668">
        <v>31.837706912999998</v>
      </c>
      <c r="BS24" s="668">
        <f t="shared" si="29"/>
        <v>31.837706912999998</v>
      </c>
      <c r="BT24" s="668">
        <v>0</v>
      </c>
      <c r="BU24" s="668">
        <v>41.078959259999998</v>
      </c>
      <c r="BV24" s="668">
        <f t="shared" si="31"/>
        <v>41.078959259999998</v>
      </c>
    </row>
    <row r="25" spans="2:74" x14ac:dyDescent="0.3">
      <c r="B25" s="377"/>
      <c r="C25" s="377"/>
      <c r="D25" s="377"/>
      <c r="E25" s="377"/>
      <c r="F25" s="377"/>
      <c r="G25" s="377"/>
      <c r="H25" s="377"/>
      <c r="I25" s="377"/>
      <c r="J25" s="377"/>
      <c r="K25" s="377"/>
      <c r="L25" s="377"/>
      <c r="M25" s="311"/>
      <c r="O25" s="377"/>
      <c r="P25" s="377"/>
      <c r="Q25" s="377"/>
      <c r="R25" s="377"/>
      <c r="S25" s="377"/>
      <c r="T25" s="377"/>
      <c r="U25" s="377"/>
      <c r="V25" s="377"/>
      <c r="W25" s="377"/>
      <c r="X25" s="377"/>
      <c r="Y25" s="377"/>
      <c r="Z25" s="377"/>
      <c r="AA25" s="377"/>
      <c r="AB25" s="377"/>
      <c r="AC25" s="377"/>
      <c r="AD25" s="377"/>
      <c r="AE25" s="377"/>
      <c r="AF25" s="377"/>
      <c r="AG25" s="377"/>
      <c r="AH25" s="377"/>
      <c r="AI25" s="377"/>
      <c r="AJ25" s="377"/>
      <c r="AK25" s="377"/>
      <c r="AL25" s="377"/>
      <c r="AM25" s="377"/>
      <c r="AN25" s="377"/>
      <c r="AO25" s="377"/>
      <c r="AP25" s="377"/>
      <c r="AQ25" s="377"/>
      <c r="AR25" s="377"/>
      <c r="AS25" s="377"/>
      <c r="AT25" s="377"/>
      <c r="AU25" s="377"/>
      <c r="AV25" s="377"/>
      <c r="AW25" s="377"/>
      <c r="AX25" s="377"/>
      <c r="AY25" s="377"/>
      <c r="AZ25" s="377"/>
      <c r="BA25" s="377"/>
      <c r="BB25" s="377"/>
      <c r="BC25" s="377"/>
      <c r="BD25" s="377"/>
      <c r="BE25" s="377"/>
      <c r="BF25" s="377"/>
      <c r="BG25" s="377"/>
      <c r="BH25" s="377"/>
      <c r="BI25" s="377"/>
      <c r="BJ25" s="377"/>
      <c r="BK25" s="377"/>
      <c r="BL25" s="377"/>
      <c r="BM25" s="377"/>
      <c r="BN25" s="377"/>
      <c r="BO25" s="377"/>
      <c r="BP25" s="377"/>
      <c r="BQ25" s="377"/>
      <c r="BR25" s="377"/>
      <c r="BS25" s="377"/>
      <c r="BT25" s="377"/>
      <c r="BU25" s="377"/>
      <c r="BV25" s="377"/>
    </row>
    <row r="26" spans="2:74" x14ac:dyDescent="0.3">
      <c r="B26" s="468" t="s">
        <v>131</v>
      </c>
      <c r="C26" s="468" t="s">
        <v>1724</v>
      </c>
    </row>
    <row r="27" spans="2:74" s="374" customFormat="1" x14ac:dyDescent="0.3">
      <c r="B27" s="378" t="s">
        <v>113</v>
      </c>
      <c r="C27" s="378" t="s">
        <v>115</v>
      </c>
      <c r="D27" s="582">
        <f>D28+D29</f>
        <v>31.708127041000001</v>
      </c>
      <c r="E27" s="582">
        <f t="shared" ref="E27:I27" si="125">E28+E29</f>
        <v>0</v>
      </c>
      <c r="F27" s="582">
        <f t="shared" si="125"/>
        <v>23.591646685000001</v>
      </c>
      <c r="G27" s="582">
        <f t="shared" si="125"/>
        <v>21.096721909999999</v>
      </c>
      <c r="H27" s="582">
        <f t="shared" si="125"/>
        <v>0</v>
      </c>
      <c r="I27" s="582">
        <f t="shared" si="125"/>
        <v>21.096721909999999</v>
      </c>
      <c r="J27" s="583">
        <f t="shared" ref="J27:L33" si="126">+IFERROR(IF(G27&lt;0,-(D27/G27-1),(D27/G27-1)),0)</f>
        <v>0.50298833990744884</v>
      </c>
      <c r="K27" s="583">
        <f t="shared" si="126"/>
        <v>0</v>
      </c>
      <c r="L27" s="583">
        <f t="shared" si="126"/>
        <v>0.11826125336644777</v>
      </c>
      <c r="M27" s="574"/>
      <c r="N27" s="474"/>
      <c r="O27" s="582">
        <f t="shared" ref="O27:Q27" si="127">O28+O29</f>
        <v>23.587692328999999</v>
      </c>
      <c r="P27" s="582">
        <f t="shared" si="127"/>
        <v>0</v>
      </c>
      <c r="Q27" s="582">
        <f t="shared" si="127"/>
        <v>23.587692328999999</v>
      </c>
      <c r="R27" s="582">
        <f t="shared" ref="R27:T27" si="128">R28+R29</f>
        <v>7.0064011869999989</v>
      </c>
      <c r="S27" s="582">
        <f t="shared" si="128"/>
        <v>0</v>
      </c>
      <c r="T27" s="582">
        <f t="shared" si="128"/>
        <v>7.0064011869999989</v>
      </c>
      <c r="U27" s="582">
        <f t="shared" ref="U27:W27" si="129">U28+U29</f>
        <v>6.843961471000001</v>
      </c>
      <c r="V27" s="582">
        <f t="shared" si="129"/>
        <v>0</v>
      </c>
      <c r="W27" s="582">
        <f t="shared" si="129"/>
        <v>6.843961471000001</v>
      </c>
      <c r="X27" s="582">
        <f t="shared" ref="X27:Z27" si="130">X28+X29</f>
        <v>4.4899283680000002</v>
      </c>
      <c r="Y27" s="582">
        <f t="shared" si="130"/>
        <v>0</v>
      </c>
      <c r="Z27" s="582">
        <f t="shared" si="130"/>
        <v>4.4899283680000002</v>
      </c>
      <c r="AA27" s="582">
        <f t="shared" ref="AA27:AC27" si="131">AA28+AA29</f>
        <v>5.2513556590000006</v>
      </c>
      <c r="AB27" s="582">
        <f t="shared" si="131"/>
        <v>0</v>
      </c>
      <c r="AC27" s="582">
        <f t="shared" si="131"/>
        <v>5.2513556590000006</v>
      </c>
      <c r="AD27" s="582">
        <f t="shared" ref="AD27:BV27" si="132">AD28+AD29</f>
        <v>21.096721909999999</v>
      </c>
      <c r="AE27" s="582">
        <f t="shared" si="132"/>
        <v>0</v>
      </c>
      <c r="AF27" s="582">
        <f t="shared" si="132"/>
        <v>21.096721909999999</v>
      </c>
      <c r="AG27" s="582">
        <f t="shared" si="132"/>
        <v>6.007056455999999</v>
      </c>
      <c r="AH27" s="582">
        <f t="shared" si="132"/>
        <v>0</v>
      </c>
      <c r="AI27" s="582">
        <f t="shared" si="132"/>
        <v>6.007056455999999</v>
      </c>
      <c r="AJ27" s="582">
        <f t="shared" si="132"/>
        <v>5.5201993690000002</v>
      </c>
      <c r="AK27" s="582">
        <f t="shared" si="132"/>
        <v>0</v>
      </c>
      <c r="AL27" s="582">
        <f t="shared" si="132"/>
        <v>5.5201993690000002</v>
      </c>
      <c r="AM27" s="582">
        <f t="shared" si="132"/>
        <v>4.456205529</v>
      </c>
      <c r="AN27" s="582">
        <f t="shared" si="132"/>
        <v>0</v>
      </c>
      <c r="AO27" s="582">
        <f t="shared" si="132"/>
        <v>4.456205529</v>
      </c>
      <c r="AP27" s="582">
        <f t="shared" si="132"/>
        <v>5.1132605560000002</v>
      </c>
      <c r="AQ27" s="582">
        <f t="shared" si="132"/>
        <v>0</v>
      </c>
      <c r="AR27" s="582">
        <f t="shared" si="132"/>
        <v>5.1132605560000002</v>
      </c>
      <c r="AS27" s="582">
        <f t="shared" si="132"/>
        <v>15.854398970999998</v>
      </c>
      <c r="AT27" s="582">
        <f t="shared" si="132"/>
        <v>0</v>
      </c>
      <c r="AU27" s="582">
        <f t="shared" si="132"/>
        <v>15.854398970999998</v>
      </c>
      <c r="AV27" s="582">
        <f t="shared" si="132"/>
        <v>4.5220831270000001</v>
      </c>
      <c r="AW27" s="582">
        <f t="shared" si="132"/>
        <v>0</v>
      </c>
      <c r="AX27" s="582">
        <f t="shared" si="132"/>
        <v>4.5220831270000001</v>
      </c>
      <c r="AY27" s="582">
        <f t="shared" si="132"/>
        <v>4.7559143290000003</v>
      </c>
      <c r="AZ27" s="582">
        <f t="shared" si="132"/>
        <v>0</v>
      </c>
      <c r="BA27" s="582">
        <f t="shared" si="132"/>
        <v>4.7559143290000003</v>
      </c>
      <c r="BB27" s="582">
        <f t="shared" si="132"/>
        <v>3.7171893649999999</v>
      </c>
      <c r="BC27" s="582">
        <f t="shared" si="132"/>
        <v>0</v>
      </c>
      <c r="BD27" s="582">
        <f t="shared" si="132"/>
        <v>3.7171893649999999</v>
      </c>
      <c r="BE27" s="582">
        <f t="shared" si="132"/>
        <v>2.8592121499999998</v>
      </c>
      <c r="BF27" s="582">
        <f t="shared" si="132"/>
        <v>0</v>
      </c>
      <c r="BG27" s="582">
        <f t="shared" si="132"/>
        <v>2.8592121499999998</v>
      </c>
      <c r="BH27" s="582">
        <f t="shared" si="132"/>
        <v>11.099901706999999</v>
      </c>
      <c r="BI27" s="582">
        <f t="shared" si="132"/>
        <v>0</v>
      </c>
      <c r="BJ27" s="582">
        <f t="shared" si="132"/>
        <v>11.099901706999999</v>
      </c>
      <c r="BK27" s="582">
        <f t="shared" si="132"/>
        <v>2.6001429739999997</v>
      </c>
      <c r="BL27" s="582">
        <f t="shared" si="132"/>
        <v>0</v>
      </c>
      <c r="BM27" s="582">
        <f t="shared" si="132"/>
        <v>2.6001429739999997</v>
      </c>
      <c r="BN27" s="582">
        <f t="shared" si="132"/>
        <v>3.0469321639999998</v>
      </c>
      <c r="BO27" s="582">
        <f t="shared" si="132"/>
        <v>0</v>
      </c>
      <c r="BP27" s="582">
        <f t="shared" si="132"/>
        <v>3.0469321639999998</v>
      </c>
      <c r="BQ27" s="582">
        <f t="shared" si="132"/>
        <v>2.9184158699999996</v>
      </c>
      <c r="BR27" s="582">
        <f t="shared" si="132"/>
        <v>0</v>
      </c>
      <c r="BS27" s="582">
        <f t="shared" si="132"/>
        <v>2.9184158699999996</v>
      </c>
      <c r="BT27" s="582">
        <f t="shared" si="132"/>
        <v>2.5344106989999995</v>
      </c>
      <c r="BU27" s="582">
        <f t="shared" si="132"/>
        <v>0</v>
      </c>
      <c r="BV27" s="582">
        <f t="shared" si="132"/>
        <v>2.5344106989999995</v>
      </c>
    </row>
    <row r="28" spans="2:74" x14ac:dyDescent="0.3">
      <c r="B28" s="561" t="s">
        <v>114</v>
      </c>
      <c r="C28" s="561" t="s">
        <v>107</v>
      </c>
      <c r="D28" s="581">
        <f t="shared" ref="D28:D29" si="133">D9+D11+D19</f>
        <v>23.591646685000001</v>
      </c>
      <c r="E28" s="581">
        <f>E9+E11+E19</f>
        <v>0</v>
      </c>
      <c r="F28" s="581">
        <f t="shared" ref="F28:I28" si="134">F9+F11+F19</f>
        <v>23.591646685000001</v>
      </c>
      <c r="G28" s="581">
        <f t="shared" si="134"/>
        <v>21.096721909999999</v>
      </c>
      <c r="H28" s="581">
        <f t="shared" si="134"/>
        <v>0</v>
      </c>
      <c r="I28" s="581">
        <f t="shared" si="134"/>
        <v>21.096721909999999</v>
      </c>
      <c r="J28" s="388">
        <f t="shared" si="126"/>
        <v>0.11826125336644777</v>
      </c>
      <c r="K28" s="388">
        <f t="shared" si="126"/>
        <v>0</v>
      </c>
      <c r="L28" s="388">
        <f t="shared" si="126"/>
        <v>0.11826125336644777</v>
      </c>
      <c r="M28" s="579"/>
      <c r="O28" s="581">
        <f t="shared" ref="O28:Q28" si="135">O9+O11+O19</f>
        <v>23.587692328999999</v>
      </c>
      <c r="P28" s="581">
        <f t="shared" si="135"/>
        <v>0</v>
      </c>
      <c r="Q28" s="581">
        <f t="shared" si="135"/>
        <v>23.587692328999999</v>
      </c>
      <c r="R28" s="581">
        <f t="shared" ref="R28:T28" si="136">R9+R11+R19</f>
        <v>7.0064011869999989</v>
      </c>
      <c r="S28" s="581">
        <f t="shared" si="136"/>
        <v>0</v>
      </c>
      <c r="T28" s="581">
        <f t="shared" si="136"/>
        <v>7.0064011869999989</v>
      </c>
      <c r="U28" s="581">
        <f t="shared" ref="U28:W28" si="137">U9+U11+U19</f>
        <v>6.843961471000001</v>
      </c>
      <c r="V28" s="581">
        <f t="shared" si="137"/>
        <v>0</v>
      </c>
      <c r="W28" s="581">
        <f t="shared" si="137"/>
        <v>6.843961471000001</v>
      </c>
      <c r="X28" s="581">
        <f t="shared" ref="X28:Z28" si="138">X9+X11+X19</f>
        <v>4.4899283680000002</v>
      </c>
      <c r="Y28" s="581">
        <f t="shared" si="138"/>
        <v>0</v>
      </c>
      <c r="Z28" s="581">
        <f t="shared" si="138"/>
        <v>4.4899283680000002</v>
      </c>
      <c r="AA28" s="581">
        <f t="shared" ref="AA28:AC28" si="139">AA9+AA11+AA19</f>
        <v>5.2513556590000006</v>
      </c>
      <c r="AB28" s="581">
        <f t="shared" si="139"/>
        <v>0</v>
      </c>
      <c r="AC28" s="581">
        <f t="shared" si="139"/>
        <v>5.2513556590000006</v>
      </c>
      <c r="AD28" s="581">
        <f t="shared" ref="AD28:BV28" si="140">AD9+AD11+AD19</f>
        <v>21.096721909999999</v>
      </c>
      <c r="AE28" s="581">
        <f t="shared" si="140"/>
        <v>0</v>
      </c>
      <c r="AF28" s="581">
        <f t="shared" si="140"/>
        <v>21.096721909999999</v>
      </c>
      <c r="AG28" s="581">
        <f t="shared" si="140"/>
        <v>6.007056455999999</v>
      </c>
      <c r="AH28" s="581">
        <f t="shared" si="140"/>
        <v>0</v>
      </c>
      <c r="AI28" s="581">
        <f t="shared" si="140"/>
        <v>6.007056455999999</v>
      </c>
      <c r="AJ28" s="581">
        <f t="shared" si="140"/>
        <v>5.5201993690000002</v>
      </c>
      <c r="AK28" s="581">
        <f t="shared" si="140"/>
        <v>0</v>
      </c>
      <c r="AL28" s="581">
        <f t="shared" si="140"/>
        <v>5.5201993690000002</v>
      </c>
      <c r="AM28" s="581">
        <f t="shared" si="140"/>
        <v>4.456205529</v>
      </c>
      <c r="AN28" s="581">
        <f t="shared" si="140"/>
        <v>0</v>
      </c>
      <c r="AO28" s="581">
        <f t="shared" si="140"/>
        <v>4.456205529</v>
      </c>
      <c r="AP28" s="581">
        <f t="shared" si="140"/>
        <v>5.1132605560000002</v>
      </c>
      <c r="AQ28" s="581">
        <f t="shared" si="140"/>
        <v>0</v>
      </c>
      <c r="AR28" s="581">
        <f t="shared" si="140"/>
        <v>5.1132605560000002</v>
      </c>
      <c r="AS28" s="581">
        <f t="shared" si="140"/>
        <v>15.854398970999998</v>
      </c>
      <c r="AT28" s="581">
        <f t="shared" si="140"/>
        <v>0</v>
      </c>
      <c r="AU28" s="581">
        <f t="shared" si="140"/>
        <v>15.854398970999998</v>
      </c>
      <c r="AV28" s="581">
        <f t="shared" si="140"/>
        <v>4.5220831270000001</v>
      </c>
      <c r="AW28" s="581">
        <f t="shared" si="140"/>
        <v>0</v>
      </c>
      <c r="AX28" s="581">
        <f t="shared" si="140"/>
        <v>4.5220831270000001</v>
      </c>
      <c r="AY28" s="581">
        <f t="shared" si="140"/>
        <v>4.7559143290000003</v>
      </c>
      <c r="AZ28" s="581">
        <f t="shared" si="140"/>
        <v>0</v>
      </c>
      <c r="BA28" s="581">
        <f t="shared" si="140"/>
        <v>4.7559143290000003</v>
      </c>
      <c r="BB28" s="581">
        <f t="shared" si="140"/>
        <v>3.7171893649999999</v>
      </c>
      <c r="BC28" s="581">
        <f t="shared" si="140"/>
        <v>0</v>
      </c>
      <c r="BD28" s="581">
        <f t="shared" si="140"/>
        <v>3.7171893649999999</v>
      </c>
      <c r="BE28" s="581">
        <f t="shared" si="140"/>
        <v>2.8592121499999998</v>
      </c>
      <c r="BF28" s="581">
        <f t="shared" si="140"/>
        <v>0</v>
      </c>
      <c r="BG28" s="581">
        <f t="shared" si="140"/>
        <v>2.8592121499999998</v>
      </c>
      <c r="BH28" s="581">
        <f t="shared" si="140"/>
        <v>11.099901706999999</v>
      </c>
      <c r="BI28" s="581">
        <f t="shared" si="140"/>
        <v>0</v>
      </c>
      <c r="BJ28" s="581">
        <f t="shared" si="140"/>
        <v>11.099901706999999</v>
      </c>
      <c r="BK28" s="581">
        <f t="shared" si="140"/>
        <v>2.6001429739999997</v>
      </c>
      <c r="BL28" s="581">
        <f t="shared" si="140"/>
        <v>0</v>
      </c>
      <c r="BM28" s="581">
        <f t="shared" si="140"/>
        <v>2.6001429739999997</v>
      </c>
      <c r="BN28" s="581">
        <f t="shared" si="140"/>
        <v>3.0469321639999998</v>
      </c>
      <c r="BO28" s="581">
        <f t="shared" si="140"/>
        <v>0</v>
      </c>
      <c r="BP28" s="581">
        <f t="shared" si="140"/>
        <v>3.0469321639999998</v>
      </c>
      <c r="BQ28" s="581">
        <f t="shared" si="140"/>
        <v>2.9184158699999996</v>
      </c>
      <c r="BR28" s="581">
        <f t="shared" si="140"/>
        <v>0</v>
      </c>
      <c r="BS28" s="581">
        <f t="shared" si="140"/>
        <v>2.9184158699999996</v>
      </c>
      <c r="BT28" s="581">
        <f t="shared" si="140"/>
        <v>2.5344106989999995</v>
      </c>
      <c r="BU28" s="581">
        <f t="shared" si="140"/>
        <v>0</v>
      </c>
      <c r="BV28" s="581">
        <f t="shared" si="140"/>
        <v>2.5344106989999995</v>
      </c>
    </row>
    <row r="29" spans="2:74" x14ac:dyDescent="0.3">
      <c r="B29" s="618" t="s">
        <v>111</v>
      </c>
      <c r="C29" s="618" t="s">
        <v>108</v>
      </c>
      <c r="D29" s="581">
        <f t="shared" si="133"/>
        <v>8.1164803560000003</v>
      </c>
      <c r="E29" s="581">
        <f t="shared" ref="E29:I29" si="141">E13+E16+E20</f>
        <v>0</v>
      </c>
      <c r="F29" s="581">
        <f t="shared" si="141"/>
        <v>0</v>
      </c>
      <c r="G29" s="581">
        <f t="shared" si="141"/>
        <v>0</v>
      </c>
      <c r="H29" s="581">
        <f t="shared" si="141"/>
        <v>0</v>
      </c>
      <c r="I29" s="581">
        <f t="shared" si="141"/>
        <v>0</v>
      </c>
      <c r="J29" s="389">
        <f t="shared" si="126"/>
        <v>0</v>
      </c>
      <c r="K29" s="389">
        <f t="shared" si="126"/>
        <v>0</v>
      </c>
      <c r="L29" s="389">
        <f t="shared" si="126"/>
        <v>0</v>
      </c>
      <c r="M29" s="579"/>
      <c r="O29" s="581">
        <f t="shared" ref="O29:Q29" si="142">O13+O16+O20</f>
        <v>0</v>
      </c>
      <c r="P29" s="581">
        <f t="shared" si="142"/>
        <v>0</v>
      </c>
      <c r="Q29" s="581">
        <f t="shared" si="142"/>
        <v>0</v>
      </c>
      <c r="R29" s="581">
        <f t="shared" ref="R29:T29" si="143">R13+R16+R20</f>
        <v>0</v>
      </c>
      <c r="S29" s="581">
        <f t="shared" si="143"/>
        <v>0</v>
      </c>
      <c r="T29" s="581">
        <f t="shared" si="143"/>
        <v>0</v>
      </c>
      <c r="U29" s="581">
        <f t="shared" ref="U29:W29" si="144">U13+U16+U20</f>
        <v>0</v>
      </c>
      <c r="V29" s="581">
        <f t="shared" si="144"/>
        <v>0</v>
      </c>
      <c r="W29" s="581">
        <f t="shared" si="144"/>
        <v>0</v>
      </c>
      <c r="X29" s="581">
        <f t="shared" ref="X29:Z29" si="145">X13+X16+X20</f>
        <v>0</v>
      </c>
      <c r="Y29" s="581">
        <f t="shared" si="145"/>
        <v>0</v>
      </c>
      <c r="Z29" s="581">
        <f t="shared" si="145"/>
        <v>0</v>
      </c>
      <c r="AA29" s="581">
        <f t="shared" ref="AA29:AC29" si="146">AA13+AA16+AA20</f>
        <v>0</v>
      </c>
      <c r="AB29" s="581">
        <f t="shared" si="146"/>
        <v>0</v>
      </c>
      <c r="AC29" s="581">
        <f t="shared" si="146"/>
        <v>0</v>
      </c>
      <c r="AD29" s="581">
        <f t="shared" ref="AD29:BV29" si="147">AD13+AD16+AD20</f>
        <v>0</v>
      </c>
      <c r="AE29" s="581">
        <f t="shared" si="147"/>
        <v>0</v>
      </c>
      <c r="AF29" s="581">
        <f t="shared" si="147"/>
        <v>0</v>
      </c>
      <c r="AG29" s="581">
        <f t="shared" si="147"/>
        <v>0</v>
      </c>
      <c r="AH29" s="581">
        <f t="shared" si="147"/>
        <v>0</v>
      </c>
      <c r="AI29" s="581">
        <f t="shared" si="147"/>
        <v>0</v>
      </c>
      <c r="AJ29" s="581">
        <f t="shared" si="147"/>
        <v>0</v>
      </c>
      <c r="AK29" s="581">
        <f t="shared" si="147"/>
        <v>0</v>
      </c>
      <c r="AL29" s="581">
        <f t="shared" si="147"/>
        <v>0</v>
      </c>
      <c r="AM29" s="581">
        <f t="shared" si="147"/>
        <v>0</v>
      </c>
      <c r="AN29" s="581">
        <f t="shared" si="147"/>
        <v>0</v>
      </c>
      <c r="AO29" s="581">
        <f t="shared" si="147"/>
        <v>0</v>
      </c>
      <c r="AP29" s="581">
        <f t="shared" si="147"/>
        <v>0</v>
      </c>
      <c r="AQ29" s="581">
        <f t="shared" si="147"/>
        <v>0</v>
      </c>
      <c r="AR29" s="581">
        <f t="shared" si="147"/>
        <v>0</v>
      </c>
      <c r="AS29" s="581">
        <f t="shared" si="147"/>
        <v>0</v>
      </c>
      <c r="AT29" s="581">
        <f t="shared" si="147"/>
        <v>0</v>
      </c>
      <c r="AU29" s="581">
        <f t="shared" si="147"/>
        <v>0</v>
      </c>
      <c r="AV29" s="581">
        <f t="shared" si="147"/>
        <v>0</v>
      </c>
      <c r="AW29" s="581">
        <f t="shared" si="147"/>
        <v>0</v>
      </c>
      <c r="AX29" s="581">
        <f t="shared" si="147"/>
        <v>0</v>
      </c>
      <c r="AY29" s="581">
        <f t="shared" si="147"/>
        <v>0</v>
      </c>
      <c r="AZ29" s="581">
        <f t="shared" si="147"/>
        <v>0</v>
      </c>
      <c r="BA29" s="581">
        <f t="shared" si="147"/>
        <v>0</v>
      </c>
      <c r="BB29" s="581">
        <f t="shared" si="147"/>
        <v>0</v>
      </c>
      <c r="BC29" s="581">
        <f t="shared" si="147"/>
        <v>0</v>
      </c>
      <c r="BD29" s="581">
        <f t="shared" si="147"/>
        <v>0</v>
      </c>
      <c r="BE29" s="581">
        <f t="shared" si="147"/>
        <v>0</v>
      </c>
      <c r="BF29" s="581">
        <f t="shared" si="147"/>
        <v>0</v>
      </c>
      <c r="BG29" s="581">
        <f t="shared" si="147"/>
        <v>0</v>
      </c>
      <c r="BH29" s="581">
        <f t="shared" si="147"/>
        <v>0</v>
      </c>
      <c r="BI29" s="581">
        <f t="shared" si="147"/>
        <v>0</v>
      </c>
      <c r="BJ29" s="581">
        <f t="shared" si="147"/>
        <v>0</v>
      </c>
      <c r="BK29" s="581">
        <f t="shared" si="147"/>
        <v>0</v>
      </c>
      <c r="BL29" s="581">
        <f t="shared" si="147"/>
        <v>0</v>
      </c>
      <c r="BM29" s="581">
        <f t="shared" si="147"/>
        <v>0</v>
      </c>
      <c r="BN29" s="581">
        <f t="shared" si="147"/>
        <v>0</v>
      </c>
      <c r="BO29" s="581">
        <f t="shared" si="147"/>
        <v>0</v>
      </c>
      <c r="BP29" s="581">
        <f t="shared" si="147"/>
        <v>0</v>
      </c>
      <c r="BQ29" s="581">
        <f t="shared" si="147"/>
        <v>0</v>
      </c>
      <c r="BR29" s="581">
        <f t="shared" si="147"/>
        <v>0</v>
      </c>
      <c r="BS29" s="581">
        <f t="shared" si="147"/>
        <v>0</v>
      </c>
      <c r="BT29" s="581">
        <f t="shared" si="147"/>
        <v>0</v>
      </c>
      <c r="BU29" s="581">
        <f t="shared" si="147"/>
        <v>0</v>
      </c>
      <c r="BV29" s="581">
        <f t="shared" si="147"/>
        <v>0</v>
      </c>
    </row>
    <row r="30" spans="2:74" s="374" customFormat="1" x14ac:dyDescent="0.3">
      <c r="B30" s="378" t="s">
        <v>5</v>
      </c>
      <c r="C30" s="378" t="s">
        <v>116</v>
      </c>
      <c r="D30" s="582">
        <f>D31+D32</f>
        <v>9.8393910019999993</v>
      </c>
      <c r="E30" s="582">
        <f t="shared" ref="E30:I30" si="148">E31+E32</f>
        <v>1090.3924732640003</v>
      </c>
      <c r="F30" s="582">
        <f t="shared" si="148"/>
        <v>1100.231864266</v>
      </c>
      <c r="G30" s="582">
        <f t="shared" si="148"/>
        <v>7.2775257070000006</v>
      </c>
      <c r="H30" s="582">
        <f t="shared" si="148"/>
        <v>591.57059823800012</v>
      </c>
      <c r="I30" s="582">
        <f t="shared" si="148"/>
        <v>598.848123945</v>
      </c>
      <c r="J30" s="583">
        <f t="shared" si="126"/>
        <v>0.35202421786512272</v>
      </c>
      <c r="K30" s="583">
        <f t="shared" si="126"/>
        <v>0.84321613770486037</v>
      </c>
      <c r="L30" s="583">
        <f t="shared" si="126"/>
        <v>0.8372469083113443</v>
      </c>
      <c r="M30" s="574"/>
      <c r="N30" s="474"/>
      <c r="O30" s="582">
        <f t="shared" ref="O30:Q30" si="149">O31+O32</f>
        <v>9.8393910019999993</v>
      </c>
      <c r="P30" s="582">
        <f t="shared" si="149"/>
        <v>1090.392473264</v>
      </c>
      <c r="Q30" s="582">
        <f t="shared" si="149"/>
        <v>1100.231864266</v>
      </c>
      <c r="R30" s="582">
        <f t="shared" ref="R30:T30" si="150">R31+R32</f>
        <v>3.2580436180000003</v>
      </c>
      <c r="S30" s="582">
        <f t="shared" si="150"/>
        <v>323.95061019400003</v>
      </c>
      <c r="T30" s="582">
        <f t="shared" si="150"/>
        <v>327.20865381200002</v>
      </c>
      <c r="U30" s="582">
        <f t="shared" ref="U30:W30" si="151">U31+U32</f>
        <v>2.8609911380000002</v>
      </c>
      <c r="V30" s="582">
        <f t="shared" si="151"/>
        <v>374.86697586299999</v>
      </c>
      <c r="W30" s="582">
        <f t="shared" si="151"/>
        <v>377.72796700099997</v>
      </c>
      <c r="X30" s="582">
        <f t="shared" ref="X30:Z30" si="152">X31+X32</f>
        <v>1.6029998509999999</v>
      </c>
      <c r="Y30" s="582">
        <f t="shared" si="152"/>
        <v>150.37818722300003</v>
      </c>
      <c r="Z30" s="582">
        <f t="shared" si="152"/>
        <v>151.98118707399999</v>
      </c>
      <c r="AA30" s="582">
        <f t="shared" ref="AA30:AC30" si="153">AA31+AA32</f>
        <v>2.1173563949999998</v>
      </c>
      <c r="AB30" s="582">
        <f t="shared" si="153"/>
        <v>241.19669998400002</v>
      </c>
      <c r="AC30" s="582">
        <f t="shared" si="153"/>
        <v>243.31405637899999</v>
      </c>
      <c r="AD30" s="582">
        <f t="shared" ref="AD30:BV30" si="154">AD31+AD32</f>
        <v>7.2775257069999997</v>
      </c>
      <c r="AE30" s="582">
        <f t="shared" si="154"/>
        <v>591.570598238</v>
      </c>
      <c r="AF30" s="582">
        <f t="shared" si="154"/>
        <v>598.848123945</v>
      </c>
      <c r="AG30" s="582">
        <f t="shared" si="154"/>
        <v>2.1936157669999998</v>
      </c>
      <c r="AH30" s="582">
        <f t="shared" si="154"/>
        <v>213.46304551700001</v>
      </c>
      <c r="AI30" s="582">
        <f t="shared" si="154"/>
        <v>215.65666128400002</v>
      </c>
      <c r="AJ30" s="582">
        <f t="shared" si="154"/>
        <v>1.7417439620000001</v>
      </c>
      <c r="AK30" s="582">
        <f t="shared" si="154"/>
        <v>168.36298865099999</v>
      </c>
      <c r="AL30" s="582">
        <f t="shared" si="154"/>
        <v>170.10473261300001</v>
      </c>
      <c r="AM30" s="582">
        <f t="shared" si="154"/>
        <v>1.9136553949999999</v>
      </c>
      <c r="AN30" s="582">
        <f t="shared" si="154"/>
        <v>109.76167985299999</v>
      </c>
      <c r="AO30" s="582">
        <f t="shared" si="154"/>
        <v>111.675335248</v>
      </c>
      <c r="AP30" s="582">
        <f t="shared" si="154"/>
        <v>1.428510583</v>
      </c>
      <c r="AQ30" s="582">
        <f t="shared" si="154"/>
        <v>99.982884216999992</v>
      </c>
      <c r="AR30" s="582">
        <f t="shared" si="154"/>
        <v>101.4113948</v>
      </c>
      <c r="AS30" s="582">
        <f t="shared" si="154"/>
        <v>1.877742048</v>
      </c>
      <c r="AT30" s="582">
        <f t="shared" si="154"/>
        <v>115.16154314000001</v>
      </c>
      <c r="AU30" s="582">
        <f t="shared" si="154"/>
        <v>117.03928518800001</v>
      </c>
      <c r="AV30" s="582">
        <f t="shared" si="154"/>
        <v>0.54388691199999994</v>
      </c>
      <c r="AW30" s="582">
        <f t="shared" si="154"/>
        <v>37.776591654000001</v>
      </c>
      <c r="AX30" s="582">
        <f t="shared" si="154"/>
        <v>38.320478565999998</v>
      </c>
      <c r="AY30" s="582">
        <f t="shared" si="154"/>
        <v>0.48533444200000003</v>
      </c>
      <c r="AZ30" s="582">
        <f t="shared" si="154"/>
        <v>38.02619102900001</v>
      </c>
      <c r="BA30" s="582">
        <f t="shared" si="154"/>
        <v>38.511525471000006</v>
      </c>
      <c r="BB30" s="582">
        <f t="shared" si="154"/>
        <v>0.47065625999999999</v>
      </c>
      <c r="BC30" s="582">
        <f t="shared" si="154"/>
        <v>27.002052765000006</v>
      </c>
      <c r="BD30" s="582">
        <f t="shared" si="154"/>
        <v>27.472709025000004</v>
      </c>
      <c r="BE30" s="582">
        <f t="shared" si="154"/>
        <v>0.37786443400000003</v>
      </c>
      <c r="BF30" s="582">
        <f t="shared" si="154"/>
        <v>12.356707691999999</v>
      </c>
      <c r="BG30" s="582">
        <f t="shared" si="154"/>
        <v>12.734572126</v>
      </c>
      <c r="BH30" s="582">
        <f t="shared" si="154"/>
        <v>4.0913515340000002</v>
      </c>
      <c r="BI30" s="582">
        <f t="shared" si="154"/>
        <v>277.37857470699998</v>
      </c>
      <c r="BJ30" s="582">
        <f t="shared" si="154"/>
        <v>281.469926241</v>
      </c>
      <c r="BK30" s="582">
        <f t="shared" si="154"/>
        <v>0.52968818900000003</v>
      </c>
      <c r="BL30" s="582">
        <f t="shared" si="154"/>
        <v>15.585063701000003</v>
      </c>
      <c r="BM30" s="582">
        <f t="shared" si="154"/>
        <v>16.114751890000001</v>
      </c>
      <c r="BN30" s="582">
        <f t="shared" si="154"/>
        <v>0.70319584000000002</v>
      </c>
      <c r="BO30" s="582">
        <f t="shared" si="154"/>
        <v>40.319491587999998</v>
      </c>
      <c r="BP30" s="582">
        <f t="shared" si="154"/>
        <v>41.022687427999998</v>
      </c>
      <c r="BQ30" s="582">
        <f t="shared" si="154"/>
        <v>0.99899445399999998</v>
      </c>
      <c r="BR30" s="582">
        <f t="shared" si="154"/>
        <v>56.951029173999999</v>
      </c>
      <c r="BS30" s="582">
        <f t="shared" si="154"/>
        <v>57.950023627999997</v>
      </c>
      <c r="BT30" s="582">
        <f t="shared" si="154"/>
        <v>1.8594730510000002</v>
      </c>
      <c r="BU30" s="582">
        <f t="shared" si="154"/>
        <v>164.522990244</v>
      </c>
      <c r="BV30" s="582">
        <f t="shared" si="154"/>
        <v>166.38246329499998</v>
      </c>
    </row>
    <row r="31" spans="2:74" x14ac:dyDescent="0.3">
      <c r="B31" s="561" t="s">
        <v>191</v>
      </c>
      <c r="C31" s="561" t="s">
        <v>109</v>
      </c>
      <c r="D31" s="581">
        <f t="shared" ref="D31:I31" si="155">D10</f>
        <v>2.3473917440000003</v>
      </c>
      <c r="E31" s="581">
        <f t="shared" si="155"/>
        <v>5.1165285090000001</v>
      </c>
      <c r="F31" s="581">
        <f t="shared" si="155"/>
        <v>7.4639202530000004</v>
      </c>
      <c r="G31" s="581">
        <f t="shared" si="155"/>
        <v>1.836262794</v>
      </c>
      <c r="H31" s="581">
        <f t="shared" si="155"/>
        <v>3.7618271600000002</v>
      </c>
      <c r="I31" s="581">
        <f t="shared" si="155"/>
        <v>5.5980899540000006</v>
      </c>
      <c r="J31" s="388">
        <f t="shared" si="126"/>
        <v>0.27835283254124477</v>
      </c>
      <c r="K31" s="388">
        <f t="shared" si="126"/>
        <v>0.36011791381717817</v>
      </c>
      <c r="L31" s="388">
        <f t="shared" si="126"/>
        <v>0.33329766301215091</v>
      </c>
      <c r="M31" s="579"/>
      <c r="O31" s="581">
        <f t="shared" ref="O31:Q31" si="156">O10</f>
        <v>2.3473917440000003</v>
      </c>
      <c r="P31" s="581">
        <f t="shared" si="156"/>
        <v>5.1165285090000001</v>
      </c>
      <c r="Q31" s="581">
        <f t="shared" si="156"/>
        <v>7.4639202530000004</v>
      </c>
      <c r="R31" s="581">
        <f t="shared" ref="R31:T31" si="157">R10</f>
        <v>0.70639555500000006</v>
      </c>
      <c r="S31" s="581">
        <f t="shared" si="157"/>
        <v>1.637158018</v>
      </c>
      <c r="T31" s="581">
        <f t="shared" si="157"/>
        <v>2.3435535730000003</v>
      </c>
      <c r="U31" s="581">
        <f t="shared" ref="U31:W31" si="158">U10</f>
        <v>0.67146126699999997</v>
      </c>
      <c r="V31" s="581">
        <f t="shared" si="158"/>
        <v>1.5057402200000001</v>
      </c>
      <c r="W31" s="581">
        <f t="shared" si="158"/>
        <v>2.177201487</v>
      </c>
      <c r="X31" s="581">
        <f t="shared" ref="X31:Z31" si="159">X10</f>
        <v>0.47764533199999998</v>
      </c>
      <c r="Y31" s="581">
        <f t="shared" si="159"/>
        <v>0.84091257200000002</v>
      </c>
      <c r="Z31" s="581">
        <f t="shared" si="159"/>
        <v>1.3185579039999999</v>
      </c>
      <c r="AA31" s="581">
        <f t="shared" ref="AA31:AC31" si="160">AA10</f>
        <v>0.49188958999999999</v>
      </c>
      <c r="AB31" s="581">
        <f t="shared" si="160"/>
        <v>1.1327176990000001</v>
      </c>
      <c r="AC31" s="581">
        <f t="shared" si="160"/>
        <v>1.6246072890000001</v>
      </c>
      <c r="AD31" s="581">
        <f t="shared" ref="AD31:BV31" si="161">AD10</f>
        <v>1.8362627939999998</v>
      </c>
      <c r="AE31" s="581">
        <f t="shared" si="161"/>
        <v>3.7618271600000002</v>
      </c>
      <c r="AF31" s="581">
        <f t="shared" si="161"/>
        <v>5.5980899539999998</v>
      </c>
      <c r="AG31" s="581">
        <f t="shared" si="161"/>
        <v>0.50865922099999994</v>
      </c>
      <c r="AH31" s="581">
        <f t="shared" si="161"/>
        <v>1.0460904229999999</v>
      </c>
      <c r="AI31" s="581">
        <f t="shared" si="161"/>
        <v>1.5547496439999997</v>
      </c>
      <c r="AJ31" s="581">
        <f t="shared" si="161"/>
        <v>0.52568557800000004</v>
      </c>
      <c r="AK31" s="581">
        <f t="shared" si="161"/>
        <v>0.96844525000000004</v>
      </c>
      <c r="AL31" s="581">
        <f t="shared" si="161"/>
        <v>1.4941308280000001</v>
      </c>
      <c r="AM31" s="581">
        <f t="shared" si="161"/>
        <v>0.52456750699999999</v>
      </c>
      <c r="AN31" s="581">
        <f t="shared" si="161"/>
        <v>1.254717031</v>
      </c>
      <c r="AO31" s="581">
        <f t="shared" si="161"/>
        <v>1.779284538</v>
      </c>
      <c r="AP31" s="581">
        <f t="shared" si="161"/>
        <v>0.27735048800000001</v>
      </c>
      <c r="AQ31" s="581">
        <f t="shared" si="161"/>
        <v>0.49257445600000005</v>
      </c>
      <c r="AR31" s="581">
        <f t="shared" si="161"/>
        <v>0.769924944</v>
      </c>
      <c r="AS31" s="581">
        <f t="shared" si="161"/>
        <v>0.88627432299999986</v>
      </c>
      <c r="AT31" s="581">
        <f t="shared" si="161"/>
        <v>2.1417173200000001</v>
      </c>
      <c r="AU31" s="581">
        <f t="shared" si="161"/>
        <v>3.027991643</v>
      </c>
      <c r="AV31" s="581">
        <f t="shared" si="161"/>
        <v>0.18274902600000001</v>
      </c>
      <c r="AW31" s="581">
        <f t="shared" si="161"/>
        <v>0.483714335</v>
      </c>
      <c r="AX31" s="581">
        <f t="shared" si="161"/>
        <v>0.66646336100000003</v>
      </c>
      <c r="AY31" s="581">
        <f t="shared" si="161"/>
        <v>0.15562081999999999</v>
      </c>
      <c r="AZ31" s="581">
        <f t="shared" si="161"/>
        <v>0.34444533599999999</v>
      </c>
      <c r="BA31" s="581">
        <f t="shared" si="161"/>
        <v>0.50006615599999993</v>
      </c>
      <c r="BB31" s="581">
        <f t="shared" si="161"/>
        <v>0.283964465</v>
      </c>
      <c r="BC31" s="581">
        <f t="shared" si="161"/>
        <v>0.64688769499999998</v>
      </c>
      <c r="BD31" s="581">
        <f t="shared" si="161"/>
        <v>0.93085215999999993</v>
      </c>
      <c r="BE31" s="581">
        <f t="shared" si="161"/>
        <v>0.263940012</v>
      </c>
      <c r="BF31" s="581">
        <f t="shared" si="161"/>
        <v>0.66666995400000006</v>
      </c>
      <c r="BG31" s="581">
        <f t="shared" si="161"/>
        <v>0.93060996600000001</v>
      </c>
      <c r="BH31" s="581">
        <f t="shared" si="161"/>
        <v>1.9177003749999999</v>
      </c>
      <c r="BI31" s="581">
        <f t="shared" si="161"/>
        <v>5.7011008830000005</v>
      </c>
      <c r="BJ31" s="581">
        <f t="shared" si="161"/>
        <v>7.6188012580000004</v>
      </c>
      <c r="BK31" s="581">
        <f t="shared" si="161"/>
        <v>0.35116651199999999</v>
      </c>
      <c r="BL31" s="581">
        <f t="shared" si="161"/>
        <v>1.0160340329999999</v>
      </c>
      <c r="BM31" s="581">
        <f t="shared" si="161"/>
        <v>1.367200545</v>
      </c>
      <c r="BN31" s="581">
        <f t="shared" si="161"/>
        <v>0.36013957699999999</v>
      </c>
      <c r="BO31" s="581">
        <f t="shared" si="161"/>
        <v>1.0333746070000001</v>
      </c>
      <c r="BP31" s="581">
        <f t="shared" si="161"/>
        <v>1.393514184</v>
      </c>
      <c r="BQ31" s="581">
        <f t="shared" si="161"/>
        <v>0.47809420899999999</v>
      </c>
      <c r="BR31" s="581">
        <f t="shared" si="161"/>
        <v>1.3586520289999999</v>
      </c>
      <c r="BS31" s="581">
        <f t="shared" si="161"/>
        <v>1.8367462379999999</v>
      </c>
      <c r="BT31" s="581">
        <f t="shared" si="161"/>
        <v>0.72830007699999999</v>
      </c>
      <c r="BU31" s="581">
        <f t="shared" si="161"/>
        <v>2.2930402139999999</v>
      </c>
      <c r="BV31" s="581">
        <f t="shared" si="161"/>
        <v>3.021340291</v>
      </c>
    </row>
    <row r="32" spans="2:74" x14ac:dyDescent="0.3">
      <c r="B32" s="618" t="s">
        <v>190</v>
      </c>
      <c r="C32" s="618" t="s">
        <v>110</v>
      </c>
      <c r="D32" s="619">
        <f t="shared" ref="D32:I32" si="162">D14+D17</f>
        <v>7.491999257999999</v>
      </c>
      <c r="E32" s="619">
        <f t="shared" si="162"/>
        <v>1085.2759447550002</v>
      </c>
      <c r="F32" s="619">
        <f t="shared" si="162"/>
        <v>1092.767944013</v>
      </c>
      <c r="G32" s="619">
        <f t="shared" si="162"/>
        <v>5.4412629130000001</v>
      </c>
      <c r="H32" s="619">
        <f t="shared" si="162"/>
        <v>587.80877107800006</v>
      </c>
      <c r="I32" s="619">
        <f t="shared" si="162"/>
        <v>593.25003399100001</v>
      </c>
      <c r="J32" s="389">
        <f t="shared" si="126"/>
        <v>0.3768860975455679</v>
      </c>
      <c r="K32" s="389">
        <f t="shared" si="126"/>
        <v>0.84630784390079827</v>
      </c>
      <c r="L32" s="389">
        <f t="shared" si="126"/>
        <v>0.84200232853181434</v>
      </c>
      <c r="M32" s="579"/>
      <c r="O32" s="619">
        <f t="shared" ref="O32:Q32" si="163">O14+O17</f>
        <v>7.491999257999999</v>
      </c>
      <c r="P32" s="619">
        <f t="shared" si="163"/>
        <v>1085.275944755</v>
      </c>
      <c r="Q32" s="619">
        <f t="shared" si="163"/>
        <v>1092.767944013</v>
      </c>
      <c r="R32" s="619">
        <f t="shared" ref="R32:T32" si="164">R14+R17</f>
        <v>2.551648063</v>
      </c>
      <c r="S32" s="619">
        <f t="shared" si="164"/>
        <v>322.31345217600006</v>
      </c>
      <c r="T32" s="619">
        <f t="shared" si="164"/>
        <v>324.86510023900001</v>
      </c>
      <c r="U32" s="619">
        <f t="shared" ref="U32:W32" si="165">U14+U17</f>
        <v>2.189529871</v>
      </c>
      <c r="V32" s="619">
        <f t="shared" si="165"/>
        <v>373.36123564299999</v>
      </c>
      <c r="W32" s="619">
        <f t="shared" si="165"/>
        <v>375.55076551399998</v>
      </c>
      <c r="X32" s="619">
        <f t="shared" ref="X32:Z32" si="166">X14+X17</f>
        <v>1.1253545189999998</v>
      </c>
      <c r="Y32" s="619">
        <f t="shared" si="166"/>
        <v>149.53727465100002</v>
      </c>
      <c r="Z32" s="619">
        <f t="shared" si="166"/>
        <v>150.66262917</v>
      </c>
      <c r="AA32" s="619">
        <f t="shared" ref="AA32:AC32" si="167">AA14+AA17</f>
        <v>1.6254668049999998</v>
      </c>
      <c r="AB32" s="619">
        <f t="shared" si="167"/>
        <v>240.06398228500001</v>
      </c>
      <c r="AC32" s="619">
        <f t="shared" si="167"/>
        <v>241.68944908999998</v>
      </c>
      <c r="AD32" s="619">
        <f t="shared" ref="AD32:BV32" si="168">AD14+AD17</f>
        <v>5.4412629130000001</v>
      </c>
      <c r="AE32" s="619">
        <f t="shared" si="168"/>
        <v>587.80877107799995</v>
      </c>
      <c r="AF32" s="619">
        <f t="shared" si="168"/>
        <v>593.25003399100001</v>
      </c>
      <c r="AG32" s="619">
        <f t="shared" si="168"/>
        <v>1.684956546</v>
      </c>
      <c r="AH32" s="619">
        <f t="shared" si="168"/>
        <v>212.416955094</v>
      </c>
      <c r="AI32" s="619">
        <f t="shared" si="168"/>
        <v>214.10191164000003</v>
      </c>
      <c r="AJ32" s="619">
        <f t="shared" si="168"/>
        <v>1.2160583840000001</v>
      </c>
      <c r="AK32" s="619">
        <f t="shared" si="168"/>
        <v>167.39454340099999</v>
      </c>
      <c r="AL32" s="619">
        <f t="shared" si="168"/>
        <v>168.610601785</v>
      </c>
      <c r="AM32" s="619">
        <f t="shared" si="168"/>
        <v>1.3890878879999999</v>
      </c>
      <c r="AN32" s="619">
        <f t="shared" si="168"/>
        <v>108.50696282199999</v>
      </c>
      <c r="AO32" s="619">
        <f t="shared" si="168"/>
        <v>109.89605071</v>
      </c>
      <c r="AP32" s="619">
        <f t="shared" si="168"/>
        <v>1.151160095</v>
      </c>
      <c r="AQ32" s="619">
        <f t="shared" si="168"/>
        <v>99.490309760999992</v>
      </c>
      <c r="AR32" s="619">
        <f t="shared" si="168"/>
        <v>100.641469856</v>
      </c>
      <c r="AS32" s="619">
        <f t="shared" si="168"/>
        <v>0.99146772500000002</v>
      </c>
      <c r="AT32" s="619">
        <f t="shared" si="168"/>
        <v>113.01982582000001</v>
      </c>
      <c r="AU32" s="619">
        <f t="shared" si="168"/>
        <v>114.011293545</v>
      </c>
      <c r="AV32" s="619">
        <f t="shared" si="168"/>
        <v>0.36113788599999996</v>
      </c>
      <c r="AW32" s="619">
        <f t="shared" si="168"/>
        <v>37.292877318999999</v>
      </c>
      <c r="AX32" s="619">
        <f t="shared" si="168"/>
        <v>37.654015205</v>
      </c>
      <c r="AY32" s="619">
        <f t="shared" si="168"/>
        <v>0.32971362200000004</v>
      </c>
      <c r="AZ32" s="619">
        <f t="shared" si="168"/>
        <v>37.681745693000011</v>
      </c>
      <c r="BA32" s="619">
        <f t="shared" si="168"/>
        <v>38.011459315000003</v>
      </c>
      <c r="BB32" s="619">
        <f t="shared" si="168"/>
        <v>0.18669179499999999</v>
      </c>
      <c r="BC32" s="619">
        <f t="shared" si="168"/>
        <v>26.355165070000005</v>
      </c>
      <c r="BD32" s="619">
        <f t="shared" si="168"/>
        <v>26.541856865000003</v>
      </c>
      <c r="BE32" s="619">
        <f t="shared" si="168"/>
        <v>0.113924422</v>
      </c>
      <c r="BF32" s="619">
        <f t="shared" si="168"/>
        <v>11.690037737999999</v>
      </c>
      <c r="BG32" s="619">
        <f t="shared" si="168"/>
        <v>11.803962159999999</v>
      </c>
      <c r="BH32" s="619">
        <f t="shared" si="168"/>
        <v>2.1736511590000003</v>
      </c>
      <c r="BI32" s="619">
        <f t="shared" si="168"/>
        <v>271.677473824</v>
      </c>
      <c r="BJ32" s="619">
        <f t="shared" si="168"/>
        <v>273.85112498299998</v>
      </c>
      <c r="BK32" s="619">
        <f t="shared" si="168"/>
        <v>0.17852167700000002</v>
      </c>
      <c r="BL32" s="619">
        <f t="shared" si="168"/>
        <v>14.569029668000002</v>
      </c>
      <c r="BM32" s="619">
        <f t="shared" si="168"/>
        <v>14.747551345000002</v>
      </c>
      <c r="BN32" s="619">
        <f t="shared" si="168"/>
        <v>0.34305626300000003</v>
      </c>
      <c r="BO32" s="619">
        <f t="shared" si="168"/>
        <v>39.286116980999999</v>
      </c>
      <c r="BP32" s="619">
        <f t="shared" si="168"/>
        <v>39.629173244</v>
      </c>
      <c r="BQ32" s="619">
        <f t="shared" si="168"/>
        <v>0.52090024499999998</v>
      </c>
      <c r="BR32" s="619">
        <f t="shared" si="168"/>
        <v>55.592377145</v>
      </c>
      <c r="BS32" s="619">
        <f t="shared" si="168"/>
        <v>56.11327739</v>
      </c>
      <c r="BT32" s="619">
        <f t="shared" si="168"/>
        <v>1.1311729740000001</v>
      </c>
      <c r="BU32" s="619">
        <f t="shared" si="168"/>
        <v>162.22995003</v>
      </c>
      <c r="BV32" s="619">
        <f t="shared" si="168"/>
        <v>163.36112300399998</v>
      </c>
    </row>
    <row r="33" spans="2:74" s="374" customFormat="1" x14ac:dyDescent="0.3">
      <c r="B33" s="482" t="s">
        <v>112</v>
      </c>
      <c r="C33" s="482" t="s">
        <v>129</v>
      </c>
      <c r="D33" s="592">
        <f>D27+D30</f>
        <v>41.547518042999997</v>
      </c>
      <c r="E33" s="592">
        <f t="shared" ref="E33:I33" si="169">E27+E30</f>
        <v>1090.3924732640003</v>
      </c>
      <c r="F33" s="592">
        <f t="shared" si="169"/>
        <v>1123.8235109510001</v>
      </c>
      <c r="G33" s="592">
        <f t="shared" si="169"/>
        <v>28.374247617000002</v>
      </c>
      <c r="H33" s="592">
        <f t="shared" si="169"/>
        <v>591.57059823800012</v>
      </c>
      <c r="I33" s="592">
        <f t="shared" si="169"/>
        <v>619.94484585500004</v>
      </c>
      <c r="J33" s="591">
        <f t="shared" si="126"/>
        <v>0.46426853687240777</v>
      </c>
      <c r="K33" s="591">
        <f t="shared" si="126"/>
        <v>0.84321613770486037</v>
      </c>
      <c r="L33" s="591">
        <f t="shared" si="126"/>
        <v>0.81277982785883696</v>
      </c>
      <c r="M33" s="574"/>
      <c r="N33" s="474"/>
      <c r="O33" s="592">
        <f t="shared" ref="O33:Q33" si="170">O27+O30</f>
        <v>33.427083330999999</v>
      </c>
      <c r="P33" s="592">
        <f t="shared" si="170"/>
        <v>1090.392473264</v>
      </c>
      <c r="Q33" s="592">
        <f t="shared" si="170"/>
        <v>1123.819556595</v>
      </c>
      <c r="R33" s="592">
        <f t="shared" ref="R33:T33" si="171">R27+R30</f>
        <v>10.264444805</v>
      </c>
      <c r="S33" s="592">
        <f t="shared" si="171"/>
        <v>323.95061019400003</v>
      </c>
      <c r="T33" s="592">
        <f t="shared" si="171"/>
        <v>334.21505499900002</v>
      </c>
      <c r="U33" s="592">
        <f t="shared" ref="U33:W33" si="172">U27+U30</f>
        <v>9.7049526090000011</v>
      </c>
      <c r="V33" s="592">
        <f t="shared" si="172"/>
        <v>374.86697586299999</v>
      </c>
      <c r="W33" s="592">
        <f t="shared" si="172"/>
        <v>384.57192847199997</v>
      </c>
      <c r="X33" s="592">
        <f t="shared" ref="X33:Z33" si="173">X27+X30</f>
        <v>6.092928219</v>
      </c>
      <c r="Y33" s="592">
        <f t="shared" si="173"/>
        <v>150.37818722300003</v>
      </c>
      <c r="Z33" s="592">
        <f t="shared" si="173"/>
        <v>156.47111544199998</v>
      </c>
      <c r="AA33" s="592">
        <f t="shared" ref="AA33:AC33" si="174">AA27+AA30</f>
        <v>7.3687120540000004</v>
      </c>
      <c r="AB33" s="592">
        <f t="shared" si="174"/>
        <v>241.19669998400002</v>
      </c>
      <c r="AC33" s="592">
        <f t="shared" si="174"/>
        <v>248.56541203800001</v>
      </c>
      <c r="AD33" s="592">
        <f t="shared" ref="AD33:BV33" si="175">AD27+AD30</f>
        <v>28.374247616999998</v>
      </c>
      <c r="AE33" s="592">
        <f t="shared" si="175"/>
        <v>591.570598238</v>
      </c>
      <c r="AF33" s="592">
        <f t="shared" si="175"/>
        <v>619.94484585500004</v>
      </c>
      <c r="AG33" s="592">
        <f t="shared" si="175"/>
        <v>8.200672222999998</v>
      </c>
      <c r="AH33" s="592">
        <f t="shared" si="175"/>
        <v>213.46304551700001</v>
      </c>
      <c r="AI33" s="592">
        <f t="shared" si="175"/>
        <v>221.66371774000001</v>
      </c>
      <c r="AJ33" s="592">
        <f t="shared" si="175"/>
        <v>7.2619433310000003</v>
      </c>
      <c r="AK33" s="592">
        <f t="shared" si="175"/>
        <v>168.36298865099999</v>
      </c>
      <c r="AL33" s="592">
        <f t="shared" si="175"/>
        <v>175.62493198200002</v>
      </c>
      <c r="AM33" s="592">
        <f t="shared" si="175"/>
        <v>6.3698609240000001</v>
      </c>
      <c r="AN33" s="592">
        <f t="shared" si="175"/>
        <v>109.76167985299999</v>
      </c>
      <c r="AO33" s="592">
        <f t="shared" si="175"/>
        <v>116.131540777</v>
      </c>
      <c r="AP33" s="592">
        <f t="shared" si="175"/>
        <v>6.5417711389999997</v>
      </c>
      <c r="AQ33" s="592">
        <f t="shared" si="175"/>
        <v>99.982884216999992</v>
      </c>
      <c r="AR33" s="592">
        <f t="shared" si="175"/>
        <v>106.524655356</v>
      </c>
      <c r="AS33" s="592">
        <f t="shared" si="175"/>
        <v>17.732141018999997</v>
      </c>
      <c r="AT33" s="592">
        <f t="shared" si="175"/>
        <v>115.16154314000001</v>
      </c>
      <c r="AU33" s="592">
        <f t="shared" si="175"/>
        <v>132.893684159</v>
      </c>
      <c r="AV33" s="592">
        <f t="shared" si="175"/>
        <v>5.0659700389999998</v>
      </c>
      <c r="AW33" s="592">
        <f t="shared" si="175"/>
        <v>37.776591654000001</v>
      </c>
      <c r="AX33" s="592">
        <f t="shared" si="175"/>
        <v>42.842561693</v>
      </c>
      <c r="AY33" s="592">
        <f t="shared" si="175"/>
        <v>5.2412487710000004</v>
      </c>
      <c r="AZ33" s="592">
        <f t="shared" si="175"/>
        <v>38.02619102900001</v>
      </c>
      <c r="BA33" s="592">
        <f t="shared" si="175"/>
        <v>43.267439800000005</v>
      </c>
      <c r="BB33" s="592">
        <f t="shared" si="175"/>
        <v>4.1878456249999996</v>
      </c>
      <c r="BC33" s="592">
        <f t="shared" si="175"/>
        <v>27.002052765000006</v>
      </c>
      <c r="BD33" s="592">
        <f t="shared" si="175"/>
        <v>31.189898390000003</v>
      </c>
      <c r="BE33" s="592">
        <f t="shared" si="175"/>
        <v>3.237076584</v>
      </c>
      <c r="BF33" s="592">
        <f t="shared" si="175"/>
        <v>12.356707691999999</v>
      </c>
      <c r="BG33" s="592">
        <f t="shared" si="175"/>
        <v>15.593784275999999</v>
      </c>
      <c r="BH33" s="592">
        <f t="shared" si="175"/>
        <v>15.191253240999998</v>
      </c>
      <c r="BI33" s="592">
        <f t="shared" si="175"/>
        <v>277.37857470699998</v>
      </c>
      <c r="BJ33" s="592">
        <f t="shared" si="175"/>
        <v>292.56982794800001</v>
      </c>
      <c r="BK33" s="592">
        <f t="shared" si="175"/>
        <v>3.1298311629999995</v>
      </c>
      <c r="BL33" s="592">
        <f t="shared" si="175"/>
        <v>15.585063701000003</v>
      </c>
      <c r="BM33" s="592">
        <f t="shared" si="175"/>
        <v>18.714894864000001</v>
      </c>
      <c r="BN33" s="592">
        <f t="shared" si="175"/>
        <v>3.7501280039999996</v>
      </c>
      <c r="BO33" s="592">
        <f t="shared" si="175"/>
        <v>40.319491587999998</v>
      </c>
      <c r="BP33" s="592">
        <f t="shared" si="175"/>
        <v>44.069619591999995</v>
      </c>
      <c r="BQ33" s="592">
        <f t="shared" si="175"/>
        <v>3.9174103239999996</v>
      </c>
      <c r="BR33" s="592">
        <f t="shared" si="175"/>
        <v>56.951029173999999</v>
      </c>
      <c r="BS33" s="592">
        <f t="shared" si="175"/>
        <v>60.868439497999994</v>
      </c>
      <c r="BT33" s="592">
        <f t="shared" si="175"/>
        <v>4.3938837499999996</v>
      </c>
      <c r="BU33" s="592">
        <f t="shared" si="175"/>
        <v>164.522990244</v>
      </c>
      <c r="BV33" s="592">
        <f t="shared" si="175"/>
        <v>168.91687399399999</v>
      </c>
    </row>
    <row r="34" spans="2:74" x14ac:dyDescent="0.3">
      <c r="B34" s="377"/>
      <c r="C34" s="377"/>
      <c r="D34" s="377"/>
      <c r="E34" s="377"/>
      <c r="F34" s="377"/>
      <c r="G34" s="377"/>
      <c r="H34" s="377"/>
      <c r="I34" s="377"/>
      <c r="J34" s="377"/>
      <c r="K34" s="377"/>
      <c r="L34" s="377"/>
      <c r="M34" s="311"/>
      <c r="O34" s="377"/>
      <c r="P34" s="377"/>
      <c r="Q34" s="377"/>
      <c r="R34" s="377"/>
      <c r="S34" s="377"/>
      <c r="T34" s="377"/>
      <c r="U34" s="377"/>
      <c r="V34" s="377"/>
      <c r="W34" s="377"/>
      <c r="X34" s="377"/>
      <c r="Y34" s="377"/>
      <c r="Z34" s="377"/>
      <c r="AA34" s="377"/>
      <c r="AB34" s="377"/>
      <c r="AC34" s="377"/>
      <c r="AD34" s="377"/>
      <c r="AE34" s="377"/>
      <c r="AF34" s="377"/>
      <c r="AG34" s="377"/>
      <c r="AH34" s="377"/>
      <c r="AI34" s="377"/>
      <c r="AJ34" s="377"/>
      <c r="AK34" s="377"/>
      <c r="AL34" s="377"/>
      <c r="AM34" s="377"/>
      <c r="AN34" s="377"/>
      <c r="AO34" s="377"/>
      <c r="AP34" s="377"/>
      <c r="AQ34" s="377"/>
      <c r="AR34" s="377"/>
      <c r="AS34" s="377"/>
      <c r="AT34" s="377"/>
      <c r="AU34" s="377"/>
      <c r="AV34" s="377"/>
      <c r="AW34" s="377"/>
      <c r="AX34" s="377"/>
      <c r="AY34" s="377"/>
      <c r="AZ34" s="377"/>
      <c r="BA34" s="377"/>
      <c r="BB34" s="377"/>
      <c r="BC34" s="377"/>
      <c r="BD34" s="377"/>
      <c r="BE34" s="377"/>
      <c r="BF34" s="377"/>
      <c r="BG34" s="377"/>
      <c r="BH34" s="377"/>
      <c r="BI34" s="377"/>
      <c r="BJ34" s="377"/>
      <c r="BK34" s="377"/>
      <c r="BL34" s="377"/>
      <c r="BM34" s="377"/>
      <c r="BN34" s="377"/>
      <c r="BO34" s="377"/>
      <c r="BP34" s="377"/>
      <c r="BQ34" s="377"/>
      <c r="BR34" s="377"/>
      <c r="BS34" s="377"/>
      <c r="BT34" s="377"/>
      <c r="BU34" s="377"/>
      <c r="BV34" s="377"/>
    </row>
    <row r="36" spans="2:74" x14ac:dyDescent="0.3">
      <c r="B36" s="374"/>
    </row>
    <row r="37" spans="2:74" x14ac:dyDescent="0.3">
      <c r="B37" s="596"/>
    </row>
    <row r="38" spans="2:74" x14ac:dyDescent="0.3">
      <c r="B38" s="596"/>
    </row>
    <row r="39" spans="2:74" x14ac:dyDescent="0.3">
      <c r="B39" s="596"/>
    </row>
  </sheetData>
  <mergeCells count="29">
    <mergeCell ref="R5:T5"/>
    <mergeCell ref="O5:Q5"/>
    <mergeCell ref="U5:W5"/>
    <mergeCell ref="AA5:AC5"/>
    <mergeCell ref="BH4:BS4"/>
    <mergeCell ref="AV5:AX5"/>
    <mergeCell ref="BT5:BV5"/>
    <mergeCell ref="BB5:BD5"/>
    <mergeCell ref="BE5:BG5"/>
    <mergeCell ref="BH5:BJ5"/>
    <mergeCell ref="BK5:BM5"/>
    <mergeCell ref="BN5:BP5"/>
    <mergeCell ref="BQ5:BS5"/>
    <mergeCell ref="D4:F4"/>
    <mergeCell ref="G4:I4"/>
    <mergeCell ref="J4:L5"/>
    <mergeCell ref="AD4:AR4"/>
    <mergeCell ref="AS4:BG4"/>
    <mergeCell ref="AJ5:AL5"/>
    <mergeCell ref="AM5:AO5"/>
    <mergeCell ref="AP5:AR5"/>
    <mergeCell ref="D5:F5"/>
    <mergeCell ref="G5:I5"/>
    <mergeCell ref="AD5:AF5"/>
    <mergeCell ref="AG5:AI5"/>
    <mergeCell ref="AY5:BA5"/>
    <mergeCell ref="X5:Z5"/>
    <mergeCell ref="X4:AC4"/>
    <mergeCell ref="AS5:AU5"/>
  </mergeCells>
  <phoneticPr fontId="1" type="noConversion"/>
  <pageMargins left="0.23622047244094491" right="0.23622047244094491" top="0.78740157480314965" bottom="0.23622047244094491" header="0.31496062992125984" footer="0.31496062992125984"/>
  <pageSetup paperSize="9" scale="88"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B1:BY37"/>
  <sheetViews>
    <sheetView showGridLines="0" view="pageBreakPreview" zoomScale="85" zoomScaleNormal="100" zoomScaleSheetLayoutView="85" workbookViewId="0">
      <pane xSplit="13" ySplit="6" topLeftCell="O7" activePane="bottomRight" state="frozen"/>
      <selection activeCell="G47" sqref="G47"/>
      <selection pane="topRight" activeCell="G47" sqref="G47"/>
      <selection pane="bottomLeft" activeCell="G47" sqref="G47"/>
      <selection pane="bottomRight" activeCell="D64" sqref="D64"/>
    </sheetView>
  </sheetViews>
  <sheetFormatPr defaultRowHeight="15" outlineLevelCol="3" x14ac:dyDescent="0.3"/>
  <cols>
    <col min="1" max="1" width="5" style="468" customWidth="1"/>
    <col min="2" max="2" width="17" style="468" customWidth="1"/>
    <col min="3" max="3" width="23" style="468" bestFit="1" customWidth="1"/>
    <col min="4" max="4" width="7.5" style="468" customWidth="1"/>
    <col min="5" max="6" width="9.25" style="468" bestFit="1" customWidth="1"/>
    <col min="7" max="8" width="7.5" style="468" customWidth="1"/>
    <col min="9" max="9" width="9.25" style="468" bestFit="1" customWidth="1"/>
    <col min="10" max="10" width="9.75" style="468" bestFit="1" customWidth="1"/>
    <col min="11" max="12" width="7.5" style="468" customWidth="1"/>
    <col min="13" max="13" width="1.625" style="311" customWidth="1"/>
    <col min="14" max="14" width="1.625" style="468" hidden="1" customWidth="1" outlineLevel="1"/>
    <col min="15" max="15" width="7.5" style="468" hidden="1" customWidth="1" outlineLevel="1"/>
    <col min="16" max="16" width="8.75" style="468" hidden="1" customWidth="1" outlineLevel="1"/>
    <col min="17" max="17" width="9.25" style="468" hidden="1" customWidth="1" outlineLevel="1"/>
    <col min="18" max="18" width="7.5" style="468" hidden="1" customWidth="1" outlineLevel="1"/>
    <col min="19" max="19" width="8.75" style="468" hidden="1" customWidth="1" outlineLevel="1"/>
    <col min="20" max="21" width="7.5" style="468" hidden="1" customWidth="1" outlineLevel="1"/>
    <col min="22" max="22" width="8.75" style="468" hidden="1" customWidth="1" outlineLevel="1"/>
    <col min="23" max="24" width="7.5" style="468" hidden="1" customWidth="1" outlineLevel="1"/>
    <col min="25" max="25" width="8.75" style="468" hidden="1" customWidth="1" outlineLevel="1"/>
    <col min="26" max="31" width="7.5" style="468" hidden="1" customWidth="1" outlineLevel="1"/>
    <col min="32" max="32" width="9.25" style="468" hidden="1" customWidth="1" outlineLevel="1"/>
    <col min="33" max="44" width="7.5" style="468" hidden="1" customWidth="1" outlineLevel="1"/>
    <col min="45" max="58" width="7.5" style="468" hidden="1" customWidth="1" outlineLevel="3"/>
    <col min="59" max="59" width="7.5" style="468" hidden="1" customWidth="1" outlineLevel="2" collapsed="1"/>
    <col min="60" max="74" width="7.5" style="468" hidden="1" customWidth="1" outlineLevel="2"/>
    <col min="75" max="75" width="9" style="468" hidden="1" customWidth="1" outlineLevel="2"/>
    <col min="76" max="76" width="9" style="468" hidden="1" customWidth="1" outlineLevel="1" collapsed="1"/>
    <col min="77" max="77" width="9" style="468" collapsed="1"/>
    <col min="78" max="16384" width="9" style="468"/>
  </cols>
  <sheetData>
    <row r="1" spans="2:74" x14ac:dyDescent="0.3">
      <c r="B1" s="374" t="str">
        <f>[6]INDEX!G15</f>
        <v>초년도보험료</v>
      </c>
      <c r="C1" s="468" t="s">
        <v>182</v>
      </c>
    </row>
    <row r="2" spans="2:74" x14ac:dyDescent="0.3">
      <c r="B2" s="235" t="s">
        <v>18</v>
      </c>
    </row>
    <row r="3" spans="2:74" s="560" customFormat="1" x14ac:dyDescent="0.3">
      <c r="M3" s="566"/>
    </row>
    <row r="4" spans="2:74" s="560" customFormat="1" ht="16.5" customHeight="1" x14ac:dyDescent="0.3">
      <c r="B4" s="559" t="s">
        <v>2</v>
      </c>
      <c r="C4" s="559" t="s">
        <v>182</v>
      </c>
      <c r="D4" s="856">
        <f>O4</f>
        <v>2025</v>
      </c>
      <c r="E4" s="854"/>
      <c r="F4" s="855"/>
      <c r="G4" s="856">
        <f>AD4</f>
        <v>2024</v>
      </c>
      <c r="H4" s="854"/>
      <c r="I4" s="855"/>
      <c r="J4" s="858" t="s">
        <v>32</v>
      </c>
      <c r="K4" s="859"/>
      <c r="L4" s="862"/>
      <c r="M4" s="565"/>
      <c r="N4" s="566"/>
      <c r="O4" s="854">
        <v>2025</v>
      </c>
      <c r="P4" s="854"/>
      <c r="Q4" s="854"/>
      <c r="R4" s="854"/>
      <c r="S4" s="854"/>
      <c r="T4" s="854"/>
      <c r="U4" s="854"/>
      <c r="V4" s="854"/>
      <c r="W4" s="854"/>
      <c r="X4" s="854"/>
      <c r="Y4" s="854"/>
      <c r="Z4" s="854"/>
      <c r="AA4" s="854"/>
      <c r="AB4" s="854"/>
      <c r="AC4" s="855"/>
      <c r="AD4" s="854">
        <v>2024</v>
      </c>
      <c r="AE4" s="854"/>
      <c r="AF4" s="854"/>
      <c r="AG4" s="854"/>
      <c r="AH4" s="854"/>
      <c r="AI4" s="854"/>
      <c r="AJ4" s="854"/>
      <c r="AK4" s="854"/>
      <c r="AL4" s="854"/>
      <c r="AM4" s="854"/>
      <c r="AN4" s="854"/>
      <c r="AO4" s="854"/>
      <c r="AP4" s="854"/>
      <c r="AQ4" s="854"/>
      <c r="AR4" s="855"/>
      <c r="AS4" s="856">
        <v>2023</v>
      </c>
      <c r="AT4" s="854"/>
      <c r="AU4" s="854"/>
      <c r="AV4" s="854"/>
      <c r="AW4" s="854"/>
      <c r="AX4" s="854"/>
      <c r="AY4" s="854"/>
      <c r="AZ4" s="854"/>
      <c r="BA4" s="854"/>
      <c r="BB4" s="854"/>
      <c r="BC4" s="854"/>
      <c r="BD4" s="854"/>
      <c r="BE4" s="854"/>
      <c r="BF4" s="854"/>
      <c r="BG4" s="855"/>
      <c r="BH4" s="856">
        <v>2022</v>
      </c>
      <c r="BI4" s="854"/>
      <c r="BJ4" s="854"/>
      <c r="BK4" s="854"/>
      <c r="BL4" s="854"/>
      <c r="BM4" s="854"/>
      <c r="BN4" s="854"/>
      <c r="BO4" s="854"/>
      <c r="BP4" s="854"/>
      <c r="BQ4" s="854"/>
      <c r="BR4" s="854"/>
      <c r="BS4" s="854"/>
      <c r="BT4" s="854"/>
      <c r="BU4" s="854"/>
      <c r="BV4" s="855"/>
    </row>
    <row r="5" spans="2:74" s="560" customFormat="1" x14ac:dyDescent="0.3">
      <c r="B5" s="559"/>
      <c r="C5" s="559"/>
      <c r="D5" s="857" t="str">
        <f>O5</f>
        <v>FY</v>
      </c>
      <c r="E5" s="857"/>
      <c r="F5" s="857"/>
      <c r="G5" s="857" t="str">
        <f>AD5</f>
        <v>FY</v>
      </c>
      <c r="H5" s="857"/>
      <c r="I5" s="857"/>
      <c r="J5" s="860"/>
      <c r="K5" s="861"/>
      <c r="L5" s="863"/>
      <c r="M5" s="565"/>
      <c r="N5" s="566"/>
      <c r="O5" s="855" t="s">
        <v>31</v>
      </c>
      <c r="P5" s="857"/>
      <c r="Q5" s="857"/>
      <c r="R5" s="855" t="s">
        <v>28</v>
      </c>
      <c r="S5" s="857"/>
      <c r="T5" s="857"/>
      <c r="U5" s="855" t="s">
        <v>30</v>
      </c>
      <c r="V5" s="857"/>
      <c r="W5" s="857"/>
      <c r="X5" s="855" t="s">
        <v>27</v>
      </c>
      <c r="Y5" s="857"/>
      <c r="Z5" s="857"/>
      <c r="AA5" s="855" t="s">
        <v>29</v>
      </c>
      <c r="AB5" s="857"/>
      <c r="AC5" s="857"/>
      <c r="AD5" s="855" t="s">
        <v>31</v>
      </c>
      <c r="AE5" s="857"/>
      <c r="AF5" s="857"/>
      <c r="AG5" s="855" t="s">
        <v>28</v>
      </c>
      <c r="AH5" s="857"/>
      <c r="AI5" s="857"/>
      <c r="AJ5" s="855" t="s">
        <v>30</v>
      </c>
      <c r="AK5" s="857"/>
      <c r="AL5" s="857"/>
      <c r="AM5" s="855" t="s">
        <v>27</v>
      </c>
      <c r="AN5" s="857"/>
      <c r="AO5" s="857"/>
      <c r="AP5" s="855" t="s">
        <v>29</v>
      </c>
      <c r="AQ5" s="857"/>
      <c r="AR5" s="857"/>
      <c r="AS5" s="855" t="s">
        <v>31</v>
      </c>
      <c r="AT5" s="857"/>
      <c r="AU5" s="857"/>
      <c r="AV5" s="857" t="s">
        <v>28</v>
      </c>
      <c r="AW5" s="857"/>
      <c r="AX5" s="857"/>
      <c r="AY5" s="857" t="s">
        <v>30</v>
      </c>
      <c r="AZ5" s="857"/>
      <c r="BA5" s="857"/>
      <c r="BB5" s="857" t="s">
        <v>27</v>
      </c>
      <c r="BC5" s="857"/>
      <c r="BD5" s="857"/>
      <c r="BE5" s="857" t="s">
        <v>29</v>
      </c>
      <c r="BF5" s="857"/>
      <c r="BG5" s="857"/>
      <c r="BH5" s="857" t="s">
        <v>31</v>
      </c>
      <c r="BI5" s="857"/>
      <c r="BJ5" s="857"/>
      <c r="BK5" s="857" t="s">
        <v>28</v>
      </c>
      <c r="BL5" s="857"/>
      <c r="BM5" s="857"/>
      <c r="BN5" s="857" t="s">
        <v>30</v>
      </c>
      <c r="BO5" s="857"/>
      <c r="BP5" s="857"/>
      <c r="BQ5" s="857" t="s">
        <v>27</v>
      </c>
      <c r="BR5" s="857"/>
      <c r="BS5" s="857"/>
      <c r="BT5" s="857" t="s">
        <v>29</v>
      </c>
      <c r="BU5" s="857"/>
      <c r="BV5" s="857"/>
    </row>
    <row r="6" spans="2:74" s="560" customFormat="1" ht="45" x14ac:dyDescent="0.3">
      <c r="B6" s="744"/>
      <c r="C6" s="744"/>
      <c r="D6" s="568" t="s">
        <v>1940</v>
      </c>
      <c r="E6" s="568" t="s">
        <v>1941</v>
      </c>
      <c r="F6" s="568" t="s">
        <v>1942</v>
      </c>
      <c r="G6" s="568" t="s">
        <v>1940</v>
      </c>
      <c r="H6" s="568" t="s">
        <v>1941</v>
      </c>
      <c r="I6" s="568" t="s">
        <v>1942</v>
      </c>
      <c r="J6" s="568" t="s">
        <v>1940</v>
      </c>
      <c r="K6" s="568" t="s">
        <v>1941</v>
      </c>
      <c r="L6" s="568" t="s">
        <v>1942</v>
      </c>
      <c r="M6" s="565"/>
      <c r="N6" s="571"/>
      <c r="O6" s="670" t="s">
        <v>1940</v>
      </c>
      <c r="P6" s="568" t="s">
        <v>1941</v>
      </c>
      <c r="Q6" s="568" t="s">
        <v>1942</v>
      </c>
      <c r="R6" s="670" t="s">
        <v>1940</v>
      </c>
      <c r="S6" s="568" t="s">
        <v>1941</v>
      </c>
      <c r="T6" s="568" t="s">
        <v>1942</v>
      </c>
      <c r="U6" s="670" t="s">
        <v>1940</v>
      </c>
      <c r="V6" s="568" t="s">
        <v>1941</v>
      </c>
      <c r="W6" s="568" t="s">
        <v>1942</v>
      </c>
      <c r="X6" s="670" t="s">
        <v>1940</v>
      </c>
      <c r="Y6" s="568" t="s">
        <v>1941</v>
      </c>
      <c r="Z6" s="568" t="s">
        <v>1942</v>
      </c>
      <c r="AA6" s="670" t="s">
        <v>1940</v>
      </c>
      <c r="AB6" s="568" t="s">
        <v>1941</v>
      </c>
      <c r="AC6" s="568" t="s">
        <v>1942</v>
      </c>
      <c r="AD6" s="670" t="s">
        <v>1940</v>
      </c>
      <c r="AE6" s="568" t="s">
        <v>1941</v>
      </c>
      <c r="AF6" s="568" t="s">
        <v>1942</v>
      </c>
      <c r="AG6" s="670" t="s">
        <v>1940</v>
      </c>
      <c r="AH6" s="568" t="s">
        <v>1941</v>
      </c>
      <c r="AI6" s="568" t="s">
        <v>1942</v>
      </c>
      <c r="AJ6" s="670" t="s">
        <v>1940</v>
      </c>
      <c r="AK6" s="568" t="s">
        <v>1941</v>
      </c>
      <c r="AL6" s="568" t="s">
        <v>1942</v>
      </c>
      <c r="AM6" s="670" t="s">
        <v>1940</v>
      </c>
      <c r="AN6" s="568" t="s">
        <v>1941</v>
      </c>
      <c r="AO6" s="568" t="s">
        <v>1942</v>
      </c>
      <c r="AP6" s="670" t="s">
        <v>1940</v>
      </c>
      <c r="AQ6" s="568" t="s">
        <v>1941</v>
      </c>
      <c r="AR6" s="568" t="s">
        <v>1942</v>
      </c>
      <c r="AS6" s="670" t="s">
        <v>1940</v>
      </c>
      <c r="AT6" s="568" t="s">
        <v>1941</v>
      </c>
      <c r="AU6" s="568" t="s">
        <v>1942</v>
      </c>
      <c r="AV6" s="568" t="s">
        <v>1940</v>
      </c>
      <c r="AW6" s="568" t="s">
        <v>1941</v>
      </c>
      <c r="AX6" s="568" t="s">
        <v>1942</v>
      </c>
      <c r="AY6" s="568" t="s">
        <v>1940</v>
      </c>
      <c r="AZ6" s="568" t="s">
        <v>1941</v>
      </c>
      <c r="BA6" s="568" t="s">
        <v>1942</v>
      </c>
      <c r="BB6" s="568" t="s">
        <v>1940</v>
      </c>
      <c r="BC6" s="568" t="s">
        <v>1941</v>
      </c>
      <c r="BD6" s="568" t="s">
        <v>1942</v>
      </c>
      <c r="BE6" s="568" t="s">
        <v>1940</v>
      </c>
      <c r="BF6" s="568" t="s">
        <v>1941</v>
      </c>
      <c r="BG6" s="568" t="s">
        <v>1942</v>
      </c>
      <c r="BH6" s="568" t="s">
        <v>1940</v>
      </c>
      <c r="BI6" s="568" t="s">
        <v>1941</v>
      </c>
      <c r="BJ6" s="568" t="s">
        <v>1942</v>
      </c>
      <c r="BK6" s="568" t="s">
        <v>1940</v>
      </c>
      <c r="BL6" s="568" t="s">
        <v>1941</v>
      </c>
      <c r="BM6" s="568" t="s">
        <v>1942</v>
      </c>
      <c r="BN6" s="568" t="s">
        <v>1940</v>
      </c>
      <c r="BO6" s="568" t="s">
        <v>1941</v>
      </c>
      <c r="BP6" s="568" t="s">
        <v>1942</v>
      </c>
      <c r="BQ6" s="568" t="s">
        <v>1940</v>
      </c>
      <c r="BR6" s="568" t="s">
        <v>1941</v>
      </c>
      <c r="BS6" s="568" t="s">
        <v>1942</v>
      </c>
      <c r="BT6" s="568" t="s">
        <v>1940</v>
      </c>
      <c r="BU6" s="568" t="s">
        <v>1941</v>
      </c>
      <c r="BV6" s="568" t="s">
        <v>1942</v>
      </c>
    </row>
    <row r="7" spans="2:74" s="374" customFormat="1" x14ac:dyDescent="0.3">
      <c r="B7" s="553" t="s">
        <v>102</v>
      </c>
      <c r="C7" s="374" t="s">
        <v>126</v>
      </c>
      <c r="D7" s="572">
        <f t="shared" ref="D7:H7" si="0">D8+D12+D15</f>
        <v>287.96833025400002</v>
      </c>
      <c r="E7" s="572">
        <f t="shared" si="0"/>
        <v>1378.5724106279999</v>
      </c>
      <c r="F7" s="572">
        <f>D7+E7</f>
        <v>1666.5407408819999</v>
      </c>
      <c r="G7" s="572">
        <f t="shared" si="0"/>
        <v>268.91618383799999</v>
      </c>
      <c r="H7" s="572">
        <f t="shared" si="0"/>
        <v>799.13152665600012</v>
      </c>
      <c r="I7" s="572">
        <f>G7+H7</f>
        <v>1068.0477104940001</v>
      </c>
      <c r="J7" s="400">
        <f t="shared" ref="J7:L22" si="1">+IFERROR(IF(G7&lt;0,-(D7/G7-1),(D7/G7-1)),0)</f>
        <v>7.0847898196701342E-2</v>
      </c>
      <c r="K7" s="400">
        <f t="shared" si="1"/>
        <v>0.72508825474161287</v>
      </c>
      <c r="L7" s="400">
        <f t="shared" si="1"/>
        <v>0.56036169967648841</v>
      </c>
      <c r="M7" s="671"/>
      <c r="N7" s="672"/>
      <c r="O7" s="673">
        <v>287.96833025399997</v>
      </c>
      <c r="P7" s="572">
        <v>1378.5724106279999</v>
      </c>
      <c r="Q7" s="572">
        <f t="shared" ref="Q7:Q22" si="2">O7+P7</f>
        <v>1666.5407408819999</v>
      </c>
      <c r="R7" s="673">
        <v>75.743004730999999</v>
      </c>
      <c r="S7" s="572">
        <v>410.06554415300002</v>
      </c>
      <c r="T7" s="572">
        <f t="shared" ref="T7:T22" si="3">R7+S7</f>
        <v>485.808548884</v>
      </c>
      <c r="U7" s="673">
        <v>71.995059851999997</v>
      </c>
      <c r="V7" s="572">
        <v>450.85336386400002</v>
      </c>
      <c r="W7" s="572">
        <f t="shared" ref="W7:W22" si="4">U7+V7</f>
        <v>522.84842371600007</v>
      </c>
      <c r="X7" s="673">
        <f t="shared" ref="X7:Y7" si="5">X8+X12+X15</f>
        <v>68.819011009999997</v>
      </c>
      <c r="Y7" s="572">
        <f t="shared" si="5"/>
        <v>211.53539906500001</v>
      </c>
      <c r="Z7" s="572">
        <f t="shared" ref="Z7:Z22" si="6">X7+Y7</f>
        <v>280.35441007500003</v>
      </c>
      <c r="AA7" s="673">
        <f t="shared" ref="AA7:AB7" si="7">AA8+AA12+AA15</f>
        <v>71.411254661000001</v>
      </c>
      <c r="AB7" s="572">
        <f t="shared" si="7"/>
        <v>306.11810354599999</v>
      </c>
      <c r="AC7" s="572">
        <f t="shared" ref="AC7:AC22" si="8">AA7+AB7</f>
        <v>377.52935820699997</v>
      </c>
      <c r="AD7" s="673">
        <f t="shared" ref="AD7:AE7" si="9">AD8+AD12+AD15</f>
        <v>268.91618383799999</v>
      </c>
      <c r="AE7" s="572">
        <f t="shared" si="9"/>
        <v>799.13152665600001</v>
      </c>
      <c r="AF7" s="572">
        <f t="shared" ref="AF7:AF22" si="10">AD7+AE7</f>
        <v>1068.0477104940001</v>
      </c>
      <c r="AG7" s="673">
        <f t="shared" ref="AG7:AH7" si="11">AG8+AG12+AG15</f>
        <v>71.723133918999991</v>
      </c>
      <c r="AH7" s="572">
        <f t="shared" si="11"/>
        <v>274.56786257600004</v>
      </c>
      <c r="AI7" s="572">
        <f t="shared" ref="AI7:AI22" si="12">AG7+AH7</f>
        <v>346.29099649500006</v>
      </c>
      <c r="AJ7" s="673">
        <f t="shared" ref="AJ7:AK7" si="13">AJ8+AJ12+AJ15</f>
        <v>68.863857792000005</v>
      </c>
      <c r="AK7" s="572">
        <f t="shared" si="13"/>
        <v>225.92962023300001</v>
      </c>
      <c r="AL7" s="572">
        <f t="shared" ref="AL7:AL22" si="14">AJ7+AK7</f>
        <v>294.79347802500001</v>
      </c>
      <c r="AM7" s="673">
        <f t="shared" ref="AM7:AN7" si="15">AM8+AM12+AM15</f>
        <v>67.349295737999995</v>
      </c>
      <c r="AN7" s="572">
        <f t="shared" si="15"/>
        <v>159.55100041399999</v>
      </c>
      <c r="AO7" s="572">
        <f t="shared" ref="AO7:AO22" si="16">AM7+AN7</f>
        <v>226.90029615199998</v>
      </c>
      <c r="AP7" s="673">
        <f t="shared" ref="AP7:AQ7" si="17">AP8+AP12+AP15</f>
        <v>60.979896388999997</v>
      </c>
      <c r="AQ7" s="572">
        <f t="shared" si="17"/>
        <v>139.083043433</v>
      </c>
      <c r="AR7" s="572">
        <f t="shared" ref="AR7:AR22" si="18">AP7+AQ7</f>
        <v>200.062939822</v>
      </c>
      <c r="AS7" s="673">
        <f t="shared" ref="AS7:AT7" si="19">AS8+AS12+AS15</f>
        <v>186.62729907100001</v>
      </c>
      <c r="AT7" s="572">
        <f t="shared" si="19"/>
        <v>223.44055005700002</v>
      </c>
      <c r="AU7" s="572">
        <f t="shared" ref="AU7:AU22" si="20">AS7+AT7</f>
        <v>410.06784912800003</v>
      </c>
      <c r="AV7" s="572">
        <f t="shared" ref="AV7:AW7" si="21">AV8+AV12+AV15</f>
        <v>53.080101610999996</v>
      </c>
      <c r="AW7" s="572">
        <f t="shared" si="21"/>
        <v>63.110274785999998</v>
      </c>
      <c r="AX7" s="572">
        <f t="shared" ref="AX7:AX22" si="22">AV7+AW7</f>
        <v>116.19037639699999</v>
      </c>
      <c r="AY7" s="572">
        <f t="shared" ref="AY7:AZ7" si="23">AY8+AY12+AY15</f>
        <v>47.449110265999998</v>
      </c>
      <c r="AZ7" s="572">
        <f t="shared" si="23"/>
        <v>78.775576334000007</v>
      </c>
      <c r="BA7" s="572">
        <f t="shared" ref="BA7:BA22" si="24">AY7+AZ7</f>
        <v>126.22468660000001</v>
      </c>
      <c r="BB7" s="572">
        <f t="shared" ref="BB7:BC7" si="25">BB8+BB12+BB15</f>
        <v>43.405558869000004</v>
      </c>
      <c r="BC7" s="572">
        <f t="shared" si="25"/>
        <v>45.559014242000003</v>
      </c>
      <c r="BD7" s="572">
        <f t="shared" ref="BD7:BD22" si="26">BB7+BC7</f>
        <v>88.964573111000007</v>
      </c>
      <c r="BE7" s="572">
        <f t="shared" ref="BE7:BF7" si="27">BE8+BE12+BE15</f>
        <v>42.692528324999998</v>
      </c>
      <c r="BF7" s="572">
        <f t="shared" si="27"/>
        <v>35.995684694999994</v>
      </c>
      <c r="BG7" s="572">
        <f t="shared" ref="BG7:BG22" si="28">BE7+BF7</f>
        <v>78.688213019999992</v>
      </c>
      <c r="BH7" s="572">
        <f t="shared" ref="BH7:BI7" si="29">BH8+BH12+BH15</f>
        <v>245.56898862699998</v>
      </c>
      <c r="BI7" s="572">
        <f t="shared" si="29"/>
        <v>553.227685888</v>
      </c>
      <c r="BJ7" s="572">
        <f t="shared" ref="BJ7:BJ22" si="30">BH7+BI7</f>
        <v>798.79667451499995</v>
      </c>
      <c r="BK7" s="572">
        <f t="shared" ref="BK7:BL7" si="31">BK8+BK12+BK15</f>
        <v>47.553969157000004</v>
      </c>
      <c r="BL7" s="572">
        <f t="shared" si="31"/>
        <v>53.582286558999996</v>
      </c>
      <c r="BM7" s="572">
        <f t="shared" ref="BM7:BM22" si="32">BK7+BL7</f>
        <v>101.13625571599999</v>
      </c>
      <c r="BN7" s="572">
        <f t="shared" ref="BN7:BO7" si="33">BN8+BN12+BN15</f>
        <v>56.415623210999996</v>
      </c>
      <c r="BO7" s="572">
        <f t="shared" si="33"/>
        <v>95.158185262000003</v>
      </c>
      <c r="BP7" s="572">
        <f t="shared" ref="BP7:BP22" si="34">BN7+BO7</f>
        <v>151.57380847299999</v>
      </c>
      <c r="BQ7" s="572">
        <f t="shared" ref="BQ7:BR7" si="35">BQ8+BQ12+BQ15</f>
        <v>65.968232152000013</v>
      </c>
      <c r="BR7" s="572">
        <f t="shared" si="35"/>
        <v>135.12769318299999</v>
      </c>
      <c r="BS7" s="572">
        <f t="shared" ref="BS7:BS22" si="36">BQ7+BR7</f>
        <v>201.095925335</v>
      </c>
      <c r="BT7" s="572">
        <f t="shared" ref="BT7:BU7" si="37">BT8+BT12+BT15</f>
        <v>75.631164107000004</v>
      </c>
      <c r="BU7" s="572">
        <f t="shared" si="37"/>
        <v>269.35952088400001</v>
      </c>
      <c r="BV7" s="572">
        <f t="shared" ref="BV7:BV22" si="38">BT7+BU7</f>
        <v>344.99068499100002</v>
      </c>
    </row>
    <row r="8" spans="2:74" x14ac:dyDescent="0.3">
      <c r="B8" s="554" t="s">
        <v>92</v>
      </c>
      <c r="C8" s="554" t="s">
        <v>125</v>
      </c>
      <c r="D8" s="575">
        <f t="shared" ref="D8:H8" si="39">SUM(D9:D11)</f>
        <v>270.30414580000001</v>
      </c>
      <c r="E8" s="575">
        <f t="shared" si="39"/>
        <v>36.506353234000002</v>
      </c>
      <c r="F8" s="575">
        <f t="shared" ref="F8:F22" si="40">D8+E8</f>
        <v>306.81049903400003</v>
      </c>
      <c r="G8" s="575">
        <f t="shared" si="39"/>
        <v>256.94392456899999</v>
      </c>
      <c r="H8" s="575">
        <f t="shared" si="39"/>
        <v>21.753126241</v>
      </c>
      <c r="I8" s="575">
        <f t="shared" ref="I8:I22" si="41">G8+H8</f>
        <v>278.69705081000001</v>
      </c>
      <c r="J8" s="576">
        <f t="shared" si="1"/>
        <v>5.199664188756592E-2</v>
      </c>
      <c r="K8" s="576">
        <f t="shared" si="1"/>
        <v>0.67821180411270343</v>
      </c>
      <c r="L8" s="576">
        <f t="shared" si="1"/>
        <v>0.10087458099140845</v>
      </c>
      <c r="M8" s="505"/>
      <c r="N8" s="674"/>
      <c r="O8" s="675">
        <v>270.30414580000001</v>
      </c>
      <c r="P8" s="575">
        <v>36.506353234000002</v>
      </c>
      <c r="Q8" s="575">
        <f t="shared" si="2"/>
        <v>306.81049903400003</v>
      </c>
      <c r="R8" s="675">
        <v>70.372670424999995</v>
      </c>
      <c r="S8" s="575">
        <v>9.9293153039999993</v>
      </c>
      <c r="T8" s="575">
        <f t="shared" si="3"/>
        <v>80.301985728999995</v>
      </c>
      <c r="U8" s="675">
        <v>67.241556514999999</v>
      </c>
      <c r="V8" s="575">
        <v>9.2424757549999992</v>
      </c>
      <c r="W8" s="575">
        <f t="shared" si="4"/>
        <v>76.48403227</v>
      </c>
      <c r="X8" s="675">
        <f t="shared" ref="X8:Y8" si="42">SUM(X9:X11)</f>
        <v>65.226951283000005</v>
      </c>
      <c r="Y8" s="575">
        <f t="shared" si="42"/>
        <v>8.7553598270000013</v>
      </c>
      <c r="Z8" s="575">
        <f t="shared" si="6"/>
        <v>73.982311110000012</v>
      </c>
      <c r="AA8" s="675">
        <f t="shared" ref="AA8:AB8" si="43">SUM(AA9:AA11)</f>
        <v>67.462967577000001</v>
      </c>
      <c r="AB8" s="575">
        <f t="shared" si="43"/>
        <v>8.5792023480000008</v>
      </c>
      <c r="AC8" s="575">
        <f t="shared" si="8"/>
        <v>76.042169924999996</v>
      </c>
      <c r="AD8" s="675">
        <f t="shared" ref="AD8:AE8" si="44">SUM(AD9:AD11)</f>
        <v>256.94392456899999</v>
      </c>
      <c r="AE8" s="575">
        <f t="shared" si="44"/>
        <v>21.753126241</v>
      </c>
      <c r="AF8" s="575">
        <f t="shared" si="10"/>
        <v>278.69705081000001</v>
      </c>
      <c r="AG8" s="675">
        <f t="shared" ref="AG8:AH8" si="45">SUM(AG9:AG11)</f>
        <v>67.891963801999992</v>
      </c>
      <c r="AH8" s="575">
        <f t="shared" si="45"/>
        <v>7.1970614500000005</v>
      </c>
      <c r="AI8" s="575">
        <f t="shared" si="12"/>
        <v>75.089025251999999</v>
      </c>
      <c r="AJ8" s="675">
        <f t="shared" ref="AJ8:AK8" si="46">SUM(AJ9:AJ11)</f>
        <v>65.669993221000013</v>
      </c>
      <c r="AK8" s="575">
        <f t="shared" si="46"/>
        <v>5.8348172609999995</v>
      </c>
      <c r="AL8" s="575">
        <f t="shared" si="14"/>
        <v>71.504810482000011</v>
      </c>
      <c r="AM8" s="675">
        <f t="shared" ref="AM8:AN8" si="47">SUM(AM9:AM11)</f>
        <v>64.458154457999996</v>
      </c>
      <c r="AN8" s="575">
        <f t="shared" si="47"/>
        <v>4.785105111</v>
      </c>
      <c r="AO8" s="575">
        <f t="shared" si="16"/>
        <v>69.243259569000003</v>
      </c>
      <c r="AP8" s="675">
        <f t="shared" ref="AP8:AQ8" si="48">SUM(AP9:AP11)</f>
        <v>58.923813087999996</v>
      </c>
      <c r="AQ8" s="575">
        <f t="shared" si="48"/>
        <v>3.9361424190000003</v>
      </c>
      <c r="AR8" s="575">
        <f t="shared" si="18"/>
        <v>62.859955506999995</v>
      </c>
      <c r="AS8" s="675">
        <f t="shared" ref="AS8:AT8" si="49">SUM(AS9:AS11)</f>
        <v>182.16735198800001</v>
      </c>
      <c r="AT8" s="575">
        <f t="shared" si="49"/>
        <v>23.236926371999999</v>
      </c>
      <c r="AU8" s="575">
        <f t="shared" si="20"/>
        <v>205.40427836000001</v>
      </c>
      <c r="AV8" s="575">
        <f t="shared" ref="AV8:AW8" si="50">SUM(AV9:AV11)</f>
        <v>51.973285787999998</v>
      </c>
      <c r="AW8" s="575">
        <f t="shared" si="50"/>
        <v>4.4860845500000002</v>
      </c>
      <c r="AX8" s="575">
        <f t="shared" si="22"/>
        <v>56.459370337999999</v>
      </c>
      <c r="AY8" s="575">
        <f t="shared" ref="AY8:AZ8" si="51">SUM(AY9:AY11)</f>
        <v>46.391977130999997</v>
      </c>
      <c r="AZ8" s="575">
        <f t="shared" si="51"/>
        <v>5.2259458309999998</v>
      </c>
      <c r="BA8" s="575">
        <f t="shared" si="24"/>
        <v>51.617922961999994</v>
      </c>
      <c r="BB8" s="575">
        <f t="shared" ref="BB8:BC8" si="52">SUM(BB9:BB11)</f>
        <v>42.372579309000002</v>
      </c>
      <c r="BC8" s="575">
        <f t="shared" si="52"/>
        <v>6.2963296800000004</v>
      </c>
      <c r="BD8" s="575">
        <f t="shared" si="26"/>
        <v>48.668908989000002</v>
      </c>
      <c r="BE8" s="575">
        <f t="shared" ref="BE8:BF8" si="53">SUM(BE9:BE11)</f>
        <v>41.429509760000002</v>
      </c>
      <c r="BF8" s="575">
        <f t="shared" si="53"/>
        <v>7.2285663109999998</v>
      </c>
      <c r="BG8" s="575">
        <f t="shared" si="28"/>
        <v>48.658076071000004</v>
      </c>
      <c r="BH8" s="575">
        <f t="shared" ref="BH8:BI8" si="54">SUM(BH9:BH11)</f>
        <v>231.28477202599998</v>
      </c>
      <c r="BI8" s="575">
        <f t="shared" si="54"/>
        <v>61.657721766999998</v>
      </c>
      <c r="BJ8" s="575">
        <f t="shared" si="30"/>
        <v>292.94249379299998</v>
      </c>
      <c r="BK8" s="575">
        <f t="shared" ref="BK8:BL8" si="55">SUM(BK9:BK11)</f>
        <v>45.565944996000006</v>
      </c>
      <c r="BL8" s="575">
        <f t="shared" si="55"/>
        <v>10.068515429</v>
      </c>
      <c r="BM8" s="575">
        <f t="shared" si="32"/>
        <v>55.634460425000007</v>
      </c>
      <c r="BN8" s="575">
        <f t="shared" ref="BN8:BO8" si="56">SUM(BN9:BN11)</f>
        <v>53.400489011999994</v>
      </c>
      <c r="BO8" s="575">
        <f t="shared" si="56"/>
        <v>13.346890641000002</v>
      </c>
      <c r="BP8" s="575">
        <f t="shared" si="34"/>
        <v>66.747379652999996</v>
      </c>
      <c r="BQ8" s="575">
        <f t="shared" ref="BQ8:BR8" si="57">SUM(BQ9:BQ11)</f>
        <v>61.992357302000002</v>
      </c>
      <c r="BR8" s="575">
        <f t="shared" si="57"/>
        <v>17.167325814999998</v>
      </c>
      <c r="BS8" s="575">
        <f t="shared" si="36"/>
        <v>79.159683117</v>
      </c>
      <c r="BT8" s="575">
        <f t="shared" ref="BT8:BU8" si="58">SUM(BT9:BT11)</f>
        <v>70.325980716000004</v>
      </c>
      <c r="BU8" s="575">
        <f t="shared" si="58"/>
        <v>21.074989882000001</v>
      </c>
      <c r="BV8" s="575">
        <f t="shared" si="38"/>
        <v>91.400970598000001</v>
      </c>
    </row>
    <row r="9" spans="2:74" x14ac:dyDescent="0.3">
      <c r="B9" s="555" t="s">
        <v>93</v>
      </c>
      <c r="C9" s="580" t="s">
        <v>117</v>
      </c>
      <c r="D9" s="581">
        <f>SUM(X9,AA9,U9,R9)</f>
        <v>32.459623252</v>
      </c>
      <c r="E9" s="581">
        <f>SUM(Y9,AB9,V9,S9)</f>
        <v>0</v>
      </c>
      <c r="F9" s="581">
        <f t="shared" si="40"/>
        <v>32.459623252</v>
      </c>
      <c r="G9" s="581">
        <f>SUM(AM9,AP9,AJ9,AG9)</f>
        <v>60.830608471999994</v>
      </c>
      <c r="H9" s="581">
        <f>SUM(AN9,AQ9,AK9,AH9)</f>
        <v>0</v>
      </c>
      <c r="I9" s="581">
        <f t="shared" si="41"/>
        <v>60.830608471999994</v>
      </c>
      <c r="J9" s="388">
        <f t="shared" si="1"/>
        <v>-0.46639325057974734</v>
      </c>
      <c r="K9" s="388">
        <f t="shared" si="1"/>
        <v>0</v>
      </c>
      <c r="L9" s="388">
        <f t="shared" si="1"/>
        <v>-0.46639325057974734</v>
      </c>
      <c r="M9" s="505"/>
      <c r="N9" s="674"/>
      <c r="O9" s="676">
        <v>32.459623252</v>
      </c>
      <c r="P9" s="581">
        <v>0</v>
      </c>
      <c r="Q9" s="581">
        <f t="shared" si="2"/>
        <v>32.459623252</v>
      </c>
      <c r="R9" s="676">
        <v>6.0212659710000001</v>
      </c>
      <c r="S9" s="581">
        <v>0</v>
      </c>
      <c r="T9" s="581">
        <f t="shared" si="3"/>
        <v>6.0212659710000001</v>
      </c>
      <c r="U9" s="676">
        <v>7.1360280280000001</v>
      </c>
      <c r="V9" s="581">
        <v>0</v>
      </c>
      <c r="W9" s="581">
        <f t="shared" si="4"/>
        <v>7.1360280280000001</v>
      </c>
      <c r="X9" s="676">
        <v>8.5908282000000007</v>
      </c>
      <c r="Y9" s="581">
        <v>0</v>
      </c>
      <c r="Z9" s="581">
        <f t="shared" si="6"/>
        <v>8.5908282000000007</v>
      </c>
      <c r="AA9" s="676">
        <v>10.711501053000001</v>
      </c>
      <c r="AB9" s="581">
        <v>0</v>
      </c>
      <c r="AC9" s="581">
        <f t="shared" si="8"/>
        <v>10.711501053000001</v>
      </c>
      <c r="AD9" s="676">
        <f>+AG9+AJ9+AM9+AP9</f>
        <v>60.830608471999994</v>
      </c>
      <c r="AE9" s="581">
        <f t="shared" ref="AE9:AE11" si="59">+AH9+AK9+AN9+AQ9</f>
        <v>0</v>
      </c>
      <c r="AF9" s="581">
        <f t="shared" si="10"/>
        <v>60.830608471999994</v>
      </c>
      <c r="AG9" s="676">
        <v>12.651862617999999</v>
      </c>
      <c r="AH9" s="581">
        <v>0</v>
      </c>
      <c r="AI9" s="581">
        <f t="shared" si="12"/>
        <v>12.651862617999999</v>
      </c>
      <c r="AJ9" s="676">
        <v>14.870675292</v>
      </c>
      <c r="AK9" s="581">
        <v>0</v>
      </c>
      <c r="AL9" s="581">
        <f t="shared" si="14"/>
        <v>14.870675292</v>
      </c>
      <c r="AM9" s="676">
        <v>16.946715325</v>
      </c>
      <c r="AN9" s="581">
        <v>0</v>
      </c>
      <c r="AO9" s="581">
        <f t="shared" si="16"/>
        <v>16.946715325</v>
      </c>
      <c r="AP9" s="676">
        <v>16.361355236999998</v>
      </c>
      <c r="AQ9" s="581">
        <v>0</v>
      </c>
      <c r="AR9" s="581">
        <f t="shared" si="18"/>
        <v>16.361355236999998</v>
      </c>
      <c r="AS9" s="676">
        <f t="shared" ref="AS9:AT11" si="60">+AV9+AY9+BB9+BE9</f>
        <v>44.609037800999992</v>
      </c>
      <c r="AT9" s="581">
        <f t="shared" si="60"/>
        <v>0</v>
      </c>
      <c r="AU9" s="581">
        <f t="shared" si="20"/>
        <v>44.609037800999992</v>
      </c>
      <c r="AV9" s="581">
        <v>14.319351451999999</v>
      </c>
      <c r="AW9" s="581">
        <v>0</v>
      </c>
      <c r="AX9" s="581">
        <f t="shared" si="22"/>
        <v>14.319351451999999</v>
      </c>
      <c r="AY9" s="581">
        <v>11.933263298999998</v>
      </c>
      <c r="AZ9" s="581">
        <v>0</v>
      </c>
      <c r="BA9" s="581">
        <f t="shared" si="24"/>
        <v>11.933263298999998</v>
      </c>
      <c r="BB9" s="581">
        <v>9.6025011120000006</v>
      </c>
      <c r="BC9" s="581">
        <v>0</v>
      </c>
      <c r="BD9" s="581">
        <f t="shared" si="26"/>
        <v>9.6025011120000006</v>
      </c>
      <c r="BE9" s="581">
        <v>8.7539219379999995</v>
      </c>
      <c r="BF9" s="581">
        <v>0</v>
      </c>
      <c r="BG9" s="581">
        <f t="shared" si="28"/>
        <v>8.7539219379999995</v>
      </c>
      <c r="BH9" s="581">
        <f>+BT9+BQ9+BN9+BK9</f>
        <v>42.771127614000001</v>
      </c>
      <c r="BI9" s="581">
        <f>+BU9+BR9+BO9+BL9</f>
        <v>0</v>
      </c>
      <c r="BJ9" s="581">
        <f t="shared" si="30"/>
        <v>42.771127614000001</v>
      </c>
      <c r="BK9" s="581">
        <v>9.1266539079999998</v>
      </c>
      <c r="BL9" s="581">
        <v>0</v>
      </c>
      <c r="BM9" s="581">
        <f t="shared" si="32"/>
        <v>9.1266539079999998</v>
      </c>
      <c r="BN9" s="581">
        <v>9.8276004169999993</v>
      </c>
      <c r="BO9" s="581">
        <v>0</v>
      </c>
      <c r="BP9" s="581">
        <f t="shared" si="34"/>
        <v>9.8276004169999993</v>
      </c>
      <c r="BQ9" s="581">
        <v>10.917250749999999</v>
      </c>
      <c r="BR9" s="581">
        <v>0</v>
      </c>
      <c r="BS9" s="581">
        <f t="shared" si="36"/>
        <v>10.917250749999999</v>
      </c>
      <c r="BT9" s="581">
        <v>12.899622539000001</v>
      </c>
      <c r="BU9" s="581">
        <v>0</v>
      </c>
      <c r="BV9" s="581">
        <f t="shared" si="38"/>
        <v>12.899622539000001</v>
      </c>
    </row>
    <row r="10" spans="2:74" x14ac:dyDescent="0.3">
      <c r="B10" s="555" t="s">
        <v>94</v>
      </c>
      <c r="C10" s="580" t="s">
        <v>118</v>
      </c>
      <c r="D10" s="581">
        <f t="shared" ref="D10:D11" si="61">SUM(X10,AA10,U10,R10)</f>
        <v>19.647207793</v>
      </c>
      <c r="E10" s="581">
        <f t="shared" ref="E10:E11" si="62">SUM(Y10,AB10,V10,S10)</f>
        <v>36.506353234000002</v>
      </c>
      <c r="F10" s="581">
        <f t="shared" si="40"/>
        <v>56.153561027000002</v>
      </c>
      <c r="G10" s="581">
        <f t="shared" ref="G10:G11" si="63">SUM(AM10,AP10,AJ10,AG10)</f>
        <v>11.488676326</v>
      </c>
      <c r="H10" s="581">
        <f t="shared" ref="H10:H11" si="64">SUM(AN10,AQ10,AK10,AH10)</f>
        <v>21.753126241</v>
      </c>
      <c r="I10" s="581">
        <f t="shared" si="41"/>
        <v>33.241802567000001</v>
      </c>
      <c r="J10" s="388">
        <f t="shared" si="1"/>
        <v>0.7101367673259662</v>
      </c>
      <c r="K10" s="388">
        <f t="shared" si="1"/>
        <v>0.67821180411270343</v>
      </c>
      <c r="L10" s="388">
        <f t="shared" si="1"/>
        <v>0.68924536850312368</v>
      </c>
      <c r="M10" s="505"/>
      <c r="N10" s="674"/>
      <c r="O10" s="676">
        <v>19.647207793</v>
      </c>
      <c r="P10" s="581">
        <v>36.506353234000002</v>
      </c>
      <c r="Q10" s="581">
        <f t="shared" si="2"/>
        <v>56.153561027000002</v>
      </c>
      <c r="R10" s="676">
        <v>5.2460679630000007</v>
      </c>
      <c r="S10" s="581">
        <v>9.9293153039999993</v>
      </c>
      <c r="T10" s="581">
        <f t="shared" si="3"/>
        <v>15.175383267000001</v>
      </c>
      <c r="U10" s="676">
        <v>4.8827371529999999</v>
      </c>
      <c r="V10" s="581">
        <v>9.2424757549999992</v>
      </c>
      <c r="W10" s="581">
        <f t="shared" si="4"/>
        <v>14.125212907999998</v>
      </c>
      <c r="X10" s="676">
        <v>4.882886826</v>
      </c>
      <c r="Y10" s="581">
        <v>8.7553598270000013</v>
      </c>
      <c r="Z10" s="581">
        <f t="shared" si="6"/>
        <v>13.638246653000001</v>
      </c>
      <c r="AA10" s="676">
        <v>4.6355158509999992</v>
      </c>
      <c r="AB10" s="581">
        <v>8.5792023480000008</v>
      </c>
      <c r="AC10" s="581">
        <f t="shared" si="8"/>
        <v>13.214718199</v>
      </c>
      <c r="AD10" s="676">
        <f t="shared" ref="AD10:AD11" si="65">+AG10+AJ10+AM10+AP10</f>
        <v>11.488676325999998</v>
      </c>
      <c r="AE10" s="581">
        <f t="shared" si="59"/>
        <v>21.753126241</v>
      </c>
      <c r="AF10" s="581">
        <f t="shared" si="10"/>
        <v>33.241802567000001</v>
      </c>
      <c r="AG10" s="676">
        <v>3.9775826140000001</v>
      </c>
      <c r="AH10" s="581">
        <v>7.1970614500000005</v>
      </c>
      <c r="AI10" s="581">
        <f t="shared" si="12"/>
        <v>11.174644064000001</v>
      </c>
      <c r="AJ10" s="676">
        <v>3.2298164580000002</v>
      </c>
      <c r="AK10" s="581">
        <v>5.8348172609999995</v>
      </c>
      <c r="AL10" s="581">
        <f t="shared" si="14"/>
        <v>9.0646337189999997</v>
      </c>
      <c r="AM10" s="676">
        <v>2.3484673699999998</v>
      </c>
      <c r="AN10" s="581">
        <v>4.785105111</v>
      </c>
      <c r="AO10" s="581">
        <f t="shared" si="16"/>
        <v>7.1335724809999999</v>
      </c>
      <c r="AP10" s="676">
        <v>1.9328098839999999</v>
      </c>
      <c r="AQ10" s="581">
        <v>3.9361424190000003</v>
      </c>
      <c r="AR10" s="581">
        <f t="shared" si="18"/>
        <v>5.8689523030000004</v>
      </c>
      <c r="AS10" s="676">
        <f t="shared" si="60"/>
        <v>10.160769788</v>
      </c>
      <c r="AT10" s="581">
        <f t="shared" si="60"/>
        <v>23.236926371999999</v>
      </c>
      <c r="AU10" s="581">
        <f t="shared" si="20"/>
        <v>33.397696159999995</v>
      </c>
      <c r="AV10" s="581">
        <v>2.006232287</v>
      </c>
      <c r="AW10" s="581">
        <v>4.4860845500000002</v>
      </c>
      <c r="AX10" s="581">
        <f t="shared" si="22"/>
        <v>6.4923168370000006</v>
      </c>
      <c r="AY10" s="581">
        <v>2.3081305539999999</v>
      </c>
      <c r="AZ10" s="581">
        <v>5.2259458309999998</v>
      </c>
      <c r="BA10" s="581">
        <f t="shared" si="24"/>
        <v>7.5340763849999997</v>
      </c>
      <c r="BB10" s="581">
        <v>2.7461958979999999</v>
      </c>
      <c r="BC10" s="581">
        <v>6.2963296800000004</v>
      </c>
      <c r="BD10" s="581">
        <f t="shared" si="26"/>
        <v>9.0425255779999993</v>
      </c>
      <c r="BE10" s="581">
        <v>3.1002110489999999</v>
      </c>
      <c r="BF10" s="581">
        <v>7.2285663109999998</v>
      </c>
      <c r="BG10" s="581">
        <f t="shared" si="28"/>
        <v>10.32877736</v>
      </c>
      <c r="BH10" s="581">
        <f t="shared" ref="BH10:BI11" si="66">+BT10+BQ10+BN10+BK10</f>
        <v>22.542443754000001</v>
      </c>
      <c r="BI10" s="581">
        <f t="shared" si="66"/>
        <v>61.657721766999998</v>
      </c>
      <c r="BJ10" s="581">
        <f t="shared" si="30"/>
        <v>84.200165521000002</v>
      </c>
      <c r="BK10" s="581">
        <v>4.0617170580000002</v>
      </c>
      <c r="BL10" s="581">
        <v>10.068515429</v>
      </c>
      <c r="BM10" s="581">
        <f t="shared" si="32"/>
        <v>14.130232487000001</v>
      </c>
      <c r="BN10" s="581">
        <v>5.0160838840000004</v>
      </c>
      <c r="BO10" s="581">
        <v>13.346890641000002</v>
      </c>
      <c r="BP10" s="581">
        <f t="shared" si="34"/>
        <v>18.362974525000002</v>
      </c>
      <c r="BQ10" s="581">
        <v>6.1734614580000002</v>
      </c>
      <c r="BR10" s="581">
        <v>17.167325814999998</v>
      </c>
      <c r="BS10" s="581">
        <f t="shared" si="36"/>
        <v>23.340787272999997</v>
      </c>
      <c r="BT10" s="581">
        <v>7.2911813539999999</v>
      </c>
      <c r="BU10" s="581">
        <v>21.074989882000001</v>
      </c>
      <c r="BV10" s="581">
        <f t="shared" si="38"/>
        <v>28.366171236</v>
      </c>
    </row>
    <row r="11" spans="2:74" x14ac:dyDescent="0.3">
      <c r="B11" s="555" t="s">
        <v>95</v>
      </c>
      <c r="C11" s="580" t="s">
        <v>132</v>
      </c>
      <c r="D11" s="581">
        <f t="shared" si="61"/>
        <v>218.19731475500001</v>
      </c>
      <c r="E11" s="581">
        <f t="shared" si="62"/>
        <v>0</v>
      </c>
      <c r="F11" s="581">
        <f t="shared" si="40"/>
        <v>218.19731475500001</v>
      </c>
      <c r="G11" s="581">
        <f t="shared" si="63"/>
        <v>184.62463977100001</v>
      </c>
      <c r="H11" s="581">
        <f t="shared" si="64"/>
        <v>0</v>
      </c>
      <c r="I11" s="581">
        <f t="shared" si="41"/>
        <v>184.62463977100001</v>
      </c>
      <c r="J11" s="388">
        <f t="shared" si="1"/>
        <v>0.18184287333284455</v>
      </c>
      <c r="K11" s="388">
        <f t="shared" si="1"/>
        <v>0</v>
      </c>
      <c r="L11" s="388">
        <f t="shared" si="1"/>
        <v>0.18184287333284455</v>
      </c>
      <c r="M11" s="505"/>
      <c r="N11" s="674"/>
      <c r="O11" s="676">
        <v>218.19731475500001</v>
      </c>
      <c r="P11" s="581">
        <v>0</v>
      </c>
      <c r="Q11" s="581">
        <f t="shared" si="2"/>
        <v>218.19731475500001</v>
      </c>
      <c r="R11" s="676">
        <v>59.105336491000003</v>
      </c>
      <c r="S11" s="581">
        <v>0</v>
      </c>
      <c r="T11" s="581">
        <f t="shared" si="3"/>
        <v>59.105336491000003</v>
      </c>
      <c r="U11" s="676">
        <v>55.222791334</v>
      </c>
      <c r="V11" s="581">
        <v>0</v>
      </c>
      <c r="W11" s="581">
        <f t="shared" si="4"/>
        <v>55.222791334</v>
      </c>
      <c r="X11" s="676">
        <v>51.753236256999998</v>
      </c>
      <c r="Y11" s="581">
        <v>0</v>
      </c>
      <c r="Z11" s="581">
        <f t="shared" si="6"/>
        <v>51.753236256999998</v>
      </c>
      <c r="AA11" s="676">
        <v>52.115950673</v>
      </c>
      <c r="AB11" s="581">
        <v>0</v>
      </c>
      <c r="AC11" s="581">
        <f t="shared" si="8"/>
        <v>52.115950673</v>
      </c>
      <c r="AD11" s="676">
        <f t="shared" si="65"/>
        <v>184.62463977099998</v>
      </c>
      <c r="AE11" s="581">
        <f t="shared" si="59"/>
        <v>0</v>
      </c>
      <c r="AF11" s="581">
        <f t="shared" si="10"/>
        <v>184.62463977099998</v>
      </c>
      <c r="AG11" s="676">
        <v>51.262518569999997</v>
      </c>
      <c r="AH11" s="581">
        <v>0</v>
      </c>
      <c r="AI11" s="581">
        <f t="shared" si="12"/>
        <v>51.262518569999997</v>
      </c>
      <c r="AJ11" s="676">
        <v>47.569501471000009</v>
      </c>
      <c r="AK11" s="581">
        <v>0</v>
      </c>
      <c r="AL11" s="581">
        <f t="shared" si="14"/>
        <v>47.569501471000009</v>
      </c>
      <c r="AM11" s="676">
        <v>45.162971763000002</v>
      </c>
      <c r="AN11" s="581">
        <v>0</v>
      </c>
      <c r="AO11" s="581">
        <f t="shared" si="16"/>
        <v>45.162971763000002</v>
      </c>
      <c r="AP11" s="676">
        <v>40.629647966999997</v>
      </c>
      <c r="AQ11" s="581">
        <v>0</v>
      </c>
      <c r="AR11" s="581">
        <f t="shared" si="18"/>
        <v>40.629647966999997</v>
      </c>
      <c r="AS11" s="676">
        <f t="shared" si="60"/>
        <v>127.39754439900001</v>
      </c>
      <c r="AT11" s="581">
        <f t="shared" si="60"/>
        <v>0</v>
      </c>
      <c r="AU11" s="581">
        <f t="shared" si="20"/>
        <v>127.39754439900001</v>
      </c>
      <c r="AV11" s="581">
        <v>35.647702048999996</v>
      </c>
      <c r="AW11" s="581">
        <v>0</v>
      </c>
      <c r="AX11" s="581">
        <f t="shared" si="22"/>
        <v>35.647702048999996</v>
      </c>
      <c r="AY11" s="581">
        <v>32.150583277999999</v>
      </c>
      <c r="AZ11" s="581">
        <v>0</v>
      </c>
      <c r="BA11" s="581">
        <f t="shared" si="24"/>
        <v>32.150583277999999</v>
      </c>
      <c r="BB11" s="581">
        <v>30.023882299</v>
      </c>
      <c r="BC11" s="581">
        <v>0</v>
      </c>
      <c r="BD11" s="581">
        <f t="shared" si="26"/>
        <v>30.023882299</v>
      </c>
      <c r="BE11" s="581">
        <v>29.575376773000002</v>
      </c>
      <c r="BF11" s="581">
        <v>0</v>
      </c>
      <c r="BG11" s="581">
        <f t="shared" si="28"/>
        <v>29.575376773000002</v>
      </c>
      <c r="BH11" s="581">
        <f t="shared" si="66"/>
        <v>165.97120065799999</v>
      </c>
      <c r="BI11" s="581">
        <f t="shared" si="66"/>
        <v>0</v>
      </c>
      <c r="BJ11" s="581">
        <f t="shared" si="30"/>
        <v>165.97120065799999</v>
      </c>
      <c r="BK11" s="581">
        <v>32.377574030000005</v>
      </c>
      <c r="BL11" s="581">
        <v>0</v>
      </c>
      <c r="BM11" s="581">
        <f t="shared" si="32"/>
        <v>32.377574030000005</v>
      </c>
      <c r="BN11" s="581">
        <v>38.556804710999998</v>
      </c>
      <c r="BO11" s="581">
        <v>0</v>
      </c>
      <c r="BP11" s="581">
        <f t="shared" si="34"/>
        <v>38.556804710999998</v>
      </c>
      <c r="BQ11" s="581">
        <v>44.901645094000003</v>
      </c>
      <c r="BR11" s="581">
        <v>0</v>
      </c>
      <c r="BS11" s="581">
        <f t="shared" si="36"/>
        <v>44.901645094000003</v>
      </c>
      <c r="BT11" s="581">
        <v>50.135176822999995</v>
      </c>
      <c r="BU11" s="581">
        <v>0</v>
      </c>
      <c r="BV11" s="581">
        <f t="shared" si="38"/>
        <v>50.135176822999995</v>
      </c>
    </row>
    <row r="12" spans="2:74" x14ac:dyDescent="0.3">
      <c r="B12" s="554" t="s">
        <v>96</v>
      </c>
      <c r="C12" s="554" t="s">
        <v>119</v>
      </c>
      <c r="D12" s="575">
        <f t="shared" ref="D12" si="67">SUM(D13:D14)</f>
        <v>12.940237207999999</v>
      </c>
      <c r="E12" s="575">
        <f t="shared" ref="E12" si="68">SUM(E13:E14)</f>
        <v>526.81175689999998</v>
      </c>
      <c r="F12" s="575">
        <f t="shared" si="40"/>
        <v>539.75199410799996</v>
      </c>
      <c r="G12" s="575">
        <f t="shared" ref="G12:H12" si="69">SUM(G13:G14)</f>
        <v>9.0139640559999989</v>
      </c>
      <c r="H12" s="575">
        <f t="shared" si="69"/>
        <v>359.58948593800005</v>
      </c>
      <c r="I12" s="575">
        <f t="shared" si="41"/>
        <v>368.60344999400007</v>
      </c>
      <c r="J12" s="576">
        <f t="shared" si="1"/>
        <v>0.43557674821063208</v>
      </c>
      <c r="K12" s="576">
        <f t="shared" si="1"/>
        <v>0.46503659729036739</v>
      </c>
      <c r="L12" s="576">
        <f t="shared" si="1"/>
        <v>0.46431617532821723</v>
      </c>
      <c r="M12" s="505"/>
      <c r="N12" s="674"/>
      <c r="O12" s="675">
        <v>12.940237207999999</v>
      </c>
      <c r="P12" s="575">
        <v>526.81175689999998</v>
      </c>
      <c r="Q12" s="575">
        <f t="shared" si="2"/>
        <v>539.75199410799996</v>
      </c>
      <c r="R12" s="675">
        <v>4.0702546430000002</v>
      </c>
      <c r="S12" s="575">
        <v>177.936374312</v>
      </c>
      <c r="T12" s="575">
        <f t="shared" si="3"/>
        <v>182.006628955</v>
      </c>
      <c r="U12" s="675">
        <v>3.3441652249999998</v>
      </c>
      <c r="V12" s="575">
        <v>156.60029652099999</v>
      </c>
      <c r="W12" s="575">
        <f t="shared" si="4"/>
        <v>159.944461746</v>
      </c>
      <c r="X12" s="675">
        <f t="shared" ref="X12:Y12" si="70">SUM(X13:X14)</f>
        <v>2.5940004889999999</v>
      </c>
      <c r="Y12" s="575">
        <f t="shared" si="70"/>
        <v>87.989234715999999</v>
      </c>
      <c r="Z12" s="575">
        <f t="shared" si="6"/>
        <v>90.583235204999994</v>
      </c>
      <c r="AA12" s="675">
        <f t="shared" ref="AA12:AB12" si="71">SUM(AA13:AA14)</f>
        <v>2.9318168509999998</v>
      </c>
      <c r="AB12" s="575">
        <f t="shared" si="71"/>
        <v>104.28585135100001</v>
      </c>
      <c r="AC12" s="575">
        <f t="shared" si="8"/>
        <v>107.217668202</v>
      </c>
      <c r="AD12" s="675">
        <f t="shared" ref="AD12:AE12" si="72">SUM(AD13:AD14)</f>
        <v>9.0139640559999989</v>
      </c>
      <c r="AE12" s="575">
        <f t="shared" si="72"/>
        <v>359.58948593799994</v>
      </c>
      <c r="AF12" s="575">
        <f t="shared" si="10"/>
        <v>368.60344999399996</v>
      </c>
      <c r="AG12" s="675">
        <f t="shared" ref="AG12:AH12" si="73">SUM(AG13:AG14)</f>
        <v>2.9966420359999999</v>
      </c>
      <c r="AH12" s="575">
        <f t="shared" si="73"/>
        <v>136.78335160700001</v>
      </c>
      <c r="AI12" s="575">
        <f t="shared" si="12"/>
        <v>139.77999364300001</v>
      </c>
      <c r="AJ12" s="675">
        <f t="shared" ref="AJ12:AK12" si="74">SUM(AJ13:AJ14)</f>
        <v>2.2903333689999998</v>
      </c>
      <c r="AK12" s="575">
        <f t="shared" si="74"/>
        <v>82.241013563999999</v>
      </c>
      <c r="AL12" s="575">
        <f t="shared" si="14"/>
        <v>84.531346932999995</v>
      </c>
      <c r="AM12" s="675">
        <f t="shared" ref="AM12:AN12" si="75">SUM(AM13:AM14)</f>
        <v>2.1752154699999999</v>
      </c>
      <c r="AN12" s="575">
        <f t="shared" si="75"/>
        <v>79.395585162999993</v>
      </c>
      <c r="AO12" s="575">
        <f t="shared" si="16"/>
        <v>81.57080063299999</v>
      </c>
      <c r="AP12" s="675">
        <f t="shared" ref="AP12:AQ12" si="76">SUM(AP13:AP14)</f>
        <v>1.5517731809999999</v>
      </c>
      <c r="AQ12" s="575">
        <f t="shared" si="76"/>
        <v>61.169535603999996</v>
      </c>
      <c r="AR12" s="575">
        <f t="shared" si="18"/>
        <v>62.721308784999998</v>
      </c>
      <c r="AS12" s="675">
        <f t="shared" ref="AS12:AT12" si="77">SUM(AS13:AS14)</f>
        <v>3.542697081</v>
      </c>
      <c r="AT12" s="575">
        <f t="shared" si="77"/>
        <v>85.465447687000008</v>
      </c>
      <c r="AU12" s="575">
        <f t="shared" si="20"/>
        <v>89.008144768000008</v>
      </c>
      <c r="AV12" s="575">
        <f t="shared" ref="AV12:AW12" si="78">SUM(AV13:AV14)</f>
        <v>0.83151757100000001</v>
      </c>
      <c r="AW12" s="575">
        <f t="shared" si="78"/>
        <v>28.598029708000002</v>
      </c>
      <c r="AX12" s="575">
        <f t="shared" si="22"/>
        <v>29.429547279000001</v>
      </c>
      <c r="AY12" s="575">
        <f t="shared" ref="AY12:AZ12" si="79">SUM(AY13:AY14)</f>
        <v>0.81224900999999994</v>
      </c>
      <c r="AZ12" s="575">
        <f t="shared" si="79"/>
        <v>25.230003548000003</v>
      </c>
      <c r="BA12" s="575">
        <f t="shared" si="24"/>
        <v>26.042252558000001</v>
      </c>
      <c r="BB12" s="575">
        <f t="shared" ref="BB12:BC12" si="80">SUM(BB13:BB14)</f>
        <v>0.83839224700000003</v>
      </c>
      <c r="BC12" s="575">
        <f t="shared" si="80"/>
        <v>16.011683054999999</v>
      </c>
      <c r="BD12" s="575">
        <f t="shared" si="26"/>
        <v>16.850075302</v>
      </c>
      <c r="BE12" s="575">
        <f t="shared" ref="BE12:BF12" si="81">SUM(BE13:BE14)</f>
        <v>1.0605382529999998</v>
      </c>
      <c r="BF12" s="575">
        <f t="shared" si="81"/>
        <v>15.625731375999999</v>
      </c>
      <c r="BG12" s="575">
        <f t="shared" si="28"/>
        <v>16.686269628999998</v>
      </c>
      <c r="BH12" s="575">
        <f t="shared" ref="BH12:BI12" si="82">SUM(BH13:BH14)</f>
        <v>11.340531404</v>
      </c>
      <c r="BI12" s="575">
        <f t="shared" si="82"/>
        <v>236.177901658</v>
      </c>
      <c r="BJ12" s="575">
        <f t="shared" si="30"/>
        <v>247.51843306199999</v>
      </c>
      <c r="BK12" s="575">
        <f t="shared" ref="BK12:BL12" si="83">SUM(BK13:BK14)</f>
        <v>1.6833126720000002</v>
      </c>
      <c r="BL12" s="575">
        <f t="shared" si="83"/>
        <v>27.165805698999996</v>
      </c>
      <c r="BM12" s="575">
        <f t="shared" si="32"/>
        <v>28.849118370999996</v>
      </c>
      <c r="BN12" s="575">
        <f t="shared" ref="BN12:BO12" si="84">SUM(BN13:BN14)</f>
        <v>2.4628894589999999</v>
      </c>
      <c r="BO12" s="575">
        <f t="shared" si="84"/>
        <v>38.155731221000003</v>
      </c>
      <c r="BP12" s="575">
        <f t="shared" si="34"/>
        <v>40.618620680000006</v>
      </c>
      <c r="BQ12" s="575">
        <f t="shared" ref="BQ12:BR12" si="85">SUM(BQ13:BQ14)</f>
        <v>3.1429692999999999</v>
      </c>
      <c r="BR12" s="575">
        <f t="shared" si="85"/>
        <v>63.928145037999997</v>
      </c>
      <c r="BS12" s="575">
        <f t="shared" si="36"/>
        <v>67.071114338000001</v>
      </c>
      <c r="BT12" s="575">
        <f t="shared" ref="BT12:BU12" si="86">SUM(BT13:BT14)</f>
        <v>4.0513599730000003</v>
      </c>
      <c r="BU12" s="575">
        <f t="shared" si="86"/>
        <v>106.9282197</v>
      </c>
      <c r="BV12" s="575">
        <f t="shared" si="38"/>
        <v>110.979579673</v>
      </c>
    </row>
    <row r="13" spans="2:74" x14ac:dyDescent="0.3">
      <c r="B13" s="555" t="s">
        <v>97</v>
      </c>
      <c r="C13" s="580" t="s">
        <v>121</v>
      </c>
      <c r="D13" s="581">
        <f t="shared" ref="D13:D14" si="87">SUM(X13,AA13,U13,R13)</f>
        <v>0</v>
      </c>
      <c r="E13" s="581">
        <f t="shared" ref="E13:E14" si="88">SUM(Y13,AB13,V13,S13)</f>
        <v>0</v>
      </c>
      <c r="F13" s="581">
        <f t="shared" si="40"/>
        <v>0</v>
      </c>
      <c r="G13" s="581">
        <f t="shared" ref="G13:G22" si="89">SUM(AM13,AP13,AJ13,AG13)</f>
        <v>0</v>
      </c>
      <c r="H13" s="581">
        <f t="shared" ref="H13:H14" si="90">SUM(AN13,AQ13,AK13,AH13)</f>
        <v>0</v>
      </c>
      <c r="I13" s="581">
        <f t="shared" si="41"/>
        <v>0</v>
      </c>
      <c r="J13" s="388">
        <f t="shared" si="1"/>
        <v>0</v>
      </c>
      <c r="K13" s="388">
        <f t="shared" si="1"/>
        <v>0</v>
      </c>
      <c r="L13" s="388">
        <f t="shared" si="1"/>
        <v>0</v>
      </c>
      <c r="M13" s="505"/>
      <c r="N13" s="674"/>
      <c r="O13" s="676">
        <v>0</v>
      </c>
      <c r="P13" s="581">
        <v>0</v>
      </c>
      <c r="Q13" s="581">
        <f t="shared" si="2"/>
        <v>0</v>
      </c>
      <c r="R13" s="676">
        <v>0</v>
      </c>
      <c r="S13" s="581">
        <v>0</v>
      </c>
      <c r="T13" s="581">
        <f t="shared" si="3"/>
        <v>0</v>
      </c>
      <c r="U13" s="676">
        <v>0</v>
      </c>
      <c r="V13" s="581">
        <v>0</v>
      </c>
      <c r="W13" s="581">
        <f t="shared" si="4"/>
        <v>0</v>
      </c>
      <c r="X13" s="676">
        <v>0</v>
      </c>
      <c r="Y13" s="581">
        <v>0</v>
      </c>
      <c r="Z13" s="581">
        <f t="shared" si="6"/>
        <v>0</v>
      </c>
      <c r="AA13" s="676">
        <v>0</v>
      </c>
      <c r="AB13" s="581">
        <v>0</v>
      </c>
      <c r="AC13" s="581">
        <f t="shared" si="8"/>
        <v>0</v>
      </c>
      <c r="AD13" s="676">
        <f t="shared" ref="AD13:AE14" si="91">+AG13+AJ13+AM13+AP13</f>
        <v>0</v>
      </c>
      <c r="AE13" s="581">
        <f t="shared" si="91"/>
        <v>0</v>
      </c>
      <c r="AF13" s="581">
        <f t="shared" si="10"/>
        <v>0</v>
      </c>
      <c r="AG13" s="676">
        <v>0</v>
      </c>
      <c r="AH13" s="581">
        <v>0</v>
      </c>
      <c r="AI13" s="581">
        <f t="shared" si="12"/>
        <v>0</v>
      </c>
      <c r="AJ13" s="676">
        <v>0</v>
      </c>
      <c r="AK13" s="581">
        <v>0</v>
      </c>
      <c r="AL13" s="581">
        <f t="shared" si="14"/>
        <v>0</v>
      </c>
      <c r="AM13" s="676">
        <v>0</v>
      </c>
      <c r="AN13" s="581">
        <v>0</v>
      </c>
      <c r="AO13" s="581">
        <f t="shared" si="16"/>
        <v>0</v>
      </c>
      <c r="AP13" s="676">
        <v>0</v>
      </c>
      <c r="AQ13" s="581">
        <v>0</v>
      </c>
      <c r="AR13" s="581">
        <f t="shared" si="18"/>
        <v>0</v>
      </c>
      <c r="AS13" s="676">
        <f>+AV13+AY13+BB13+BE13</f>
        <v>0</v>
      </c>
      <c r="AT13" s="581">
        <f>+AW13+AZ13+BC13+BF13</f>
        <v>0</v>
      </c>
      <c r="AU13" s="581">
        <f t="shared" si="20"/>
        <v>0</v>
      </c>
      <c r="AV13" s="581">
        <v>0</v>
      </c>
      <c r="AW13" s="581">
        <v>0</v>
      </c>
      <c r="AX13" s="581">
        <f t="shared" si="22"/>
        <v>0</v>
      </c>
      <c r="AY13" s="581">
        <v>0</v>
      </c>
      <c r="AZ13" s="581">
        <v>0</v>
      </c>
      <c r="BA13" s="581">
        <f t="shared" si="24"/>
        <v>0</v>
      </c>
      <c r="BB13" s="581">
        <v>0</v>
      </c>
      <c r="BC13" s="581">
        <v>0</v>
      </c>
      <c r="BD13" s="581">
        <f t="shared" si="26"/>
        <v>0</v>
      </c>
      <c r="BE13" s="581">
        <v>0</v>
      </c>
      <c r="BF13" s="581">
        <v>0</v>
      </c>
      <c r="BG13" s="581">
        <f t="shared" si="28"/>
        <v>0</v>
      </c>
      <c r="BH13" s="581">
        <f>+BT13+BQ13+BN13+BK13</f>
        <v>7.0515000000000008E-2</v>
      </c>
      <c r="BI13" s="581">
        <f>+BU13+BR13+BO13+BL13</f>
        <v>0</v>
      </c>
      <c r="BJ13" s="581">
        <f t="shared" si="30"/>
        <v>7.0515000000000008E-2</v>
      </c>
      <c r="BK13" s="581">
        <v>0</v>
      </c>
      <c r="BL13" s="581">
        <v>0</v>
      </c>
      <c r="BM13" s="581">
        <f t="shared" si="32"/>
        <v>0</v>
      </c>
      <c r="BN13" s="581">
        <v>0</v>
      </c>
      <c r="BO13" s="581">
        <v>0</v>
      </c>
      <c r="BP13" s="581">
        <f t="shared" si="34"/>
        <v>0</v>
      </c>
      <c r="BQ13" s="581">
        <v>5.8979999999999996E-3</v>
      </c>
      <c r="BR13" s="581">
        <v>0</v>
      </c>
      <c r="BS13" s="581">
        <f t="shared" si="36"/>
        <v>5.8979999999999996E-3</v>
      </c>
      <c r="BT13" s="581">
        <v>6.4617000000000008E-2</v>
      </c>
      <c r="BU13" s="581">
        <v>0</v>
      </c>
      <c r="BV13" s="581">
        <f t="shared" si="38"/>
        <v>6.4617000000000008E-2</v>
      </c>
    </row>
    <row r="14" spans="2:74" x14ac:dyDescent="0.3">
      <c r="B14" s="555" t="s">
        <v>98</v>
      </c>
      <c r="C14" s="580" t="s">
        <v>122</v>
      </c>
      <c r="D14" s="581">
        <f t="shared" si="87"/>
        <v>12.940237207999999</v>
      </c>
      <c r="E14" s="581">
        <f t="shared" si="88"/>
        <v>526.81175689999998</v>
      </c>
      <c r="F14" s="581">
        <f t="shared" si="40"/>
        <v>539.75199410799996</v>
      </c>
      <c r="G14" s="581">
        <f t="shared" si="89"/>
        <v>9.0139640559999989</v>
      </c>
      <c r="H14" s="581">
        <f t="shared" si="90"/>
        <v>359.58948593800005</v>
      </c>
      <c r="I14" s="581">
        <f t="shared" si="41"/>
        <v>368.60344999400007</v>
      </c>
      <c r="J14" s="388">
        <f t="shared" si="1"/>
        <v>0.43557674821063208</v>
      </c>
      <c r="K14" s="388">
        <f t="shared" si="1"/>
        <v>0.46503659729036739</v>
      </c>
      <c r="L14" s="388">
        <f t="shared" si="1"/>
        <v>0.46431617532821723</v>
      </c>
      <c r="M14" s="505"/>
      <c r="N14" s="674"/>
      <c r="O14" s="676">
        <v>12.940237207999999</v>
      </c>
      <c r="P14" s="581">
        <v>526.81175689999998</v>
      </c>
      <c r="Q14" s="581">
        <f t="shared" si="2"/>
        <v>539.75199410799996</v>
      </c>
      <c r="R14" s="676">
        <v>4.0702546430000002</v>
      </c>
      <c r="S14" s="581">
        <v>177.936374312</v>
      </c>
      <c r="T14" s="581">
        <f t="shared" si="3"/>
        <v>182.006628955</v>
      </c>
      <c r="U14" s="676">
        <v>3.3441652249999998</v>
      </c>
      <c r="V14" s="581">
        <v>156.60029652099999</v>
      </c>
      <c r="W14" s="581">
        <f t="shared" si="4"/>
        <v>159.944461746</v>
      </c>
      <c r="X14" s="676">
        <v>2.5940004889999999</v>
      </c>
      <c r="Y14" s="581">
        <v>87.989234715999999</v>
      </c>
      <c r="Z14" s="581">
        <f t="shared" si="6"/>
        <v>90.583235204999994</v>
      </c>
      <c r="AA14" s="676">
        <v>2.9318168509999998</v>
      </c>
      <c r="AB14" s="581">
        <v>104.28585135100001</v>
      </c>
      <c r="AC14" s="581">
        <f t="shared" si="8"/>
        <v>107.217668202</v>
      </c>
      <c r="AD14" s="676">
        <f t="shared" si="91"/>
        <v>9.0139640559999989</v>
      </c>
      <c r="AE14" s="581">
        <f t="shared" si="91"/>
        <v>359.58948593799994</v>
      </c>
      <c r="AF14" s="581">
        <f t="shared" si="10"/>
        <v>368.60344999399996</v>
      </c>
      <c r="AG14" s="676">
        <v>2.9966420359999999</v>
      </c>
      <c r="AH14" s="581">
        <v>136.78335160700001</v>
      </c>
      <c r="AI14" s="581">
        <f t="shared" si="12"/>
        <v>139.77999364300001</v>
      </c>
      <c r="AJ14" s="676">
        <v>2.2903333689999998</v>
      </c>
      <c r="AK14" s="581">
        <v>82.241013563999999</v>
      </c>
      <c r="AL14" s="581">
        <f t="shared" si="14"/>
        <v>84.531346932999995</v>
      </c>
      <c r="AM14" s="676">
        <v>2.1752154699999999</v>
      </c>
      <c r="AN14" s="581">
        <v>79.395585162999993</v>
      </c>
      <c r="AO14" s="581">
        <f t="shared" si="16"/>
        <v>81.57080063299999</v>
      </c>
      <c r="AP14" s="676">
        <v>1.5517731809999999</v>
      </c>
      <c r="AQ14" s="581">
        <v>61.169535603999996</v>
      </c>
      <c r="AR14" s="581">
        <f t="shared" si="18"/>
        <v>62.721308784999998</v>
      </c>
      <c r="AS14" s="676">
        <f>+AV14+AY14+BB14+BE14</f>
        <v>3.542697081</v>
      </c>
      <c r="AT14" s="581">
        <f>+AW14+AZ14+BC14+BF14</f>
        <v>85.465447687000008</v>
      </c>
      <c r="AU14" s="581">
        <f t="shared" si="20"/>
        <v>89.008144768000008</v>
      </c>
      <c r="AV14" s="581">
        <v>0.83151757100000001</v>
      </c>
      <c r="AW14" s="581">
        <v>28.598029708000002</v>
      </c>
      <c r="AX14" s="581">
        <f t="shared" si="22"/>
        <v>29.429547279000001</v>
      </c>
      <c r="AY14" s="581">
        <v>0.81224900999999994</v>
      </c>
      <c r="AZ14" s="581">
        <v>25.230003548000003</v>
      </c>
      <c r="BA14" s="581">
        <f t="shared" si="24"/>
        <v>26.042252558000001</v>
      </c>
      <c r="BB14" s="581">
        <v>0.83839224700000003</v>
      </c>
      <c r="BC14" s="581">
        <v>16.011683054999999</v>
      </c>
      <c r="BD14" s="581">
        <f t="shared" si="26"/>
        <v>16.850075302</v>
      </c>
      <c r="BE14" s="581">
        <v>1.0605382529999998</v>
      </c>
      <c r="BF14" s="581">
        <v>15.625731375999999</v>
      </c>
      <c r="BG14" s="581">
        <f t="shared" si="28"/>
        <v>16.686269628999998</v>
      </c>
      <c r="BH14" s="581">
        <f>+BT14+BQ14+BN14+BK14</f>
        <v>11.270016404</v>
      </c>
      <c r="BI14" s="581">
        <f>+BU14+BR14+BO14+BL14</f>
        <v>236.177901658</v>
      </c>
      <c r="BJ14" s="581">
        <f t="shared" si="30"/>
        <v>247.44791806199999</v>
      </c>
      <c r="BK14" s="581">
        <v>1.6833126720000002</v>
      </c>
      <c r="BL14" s="581">
        <v>27.165805698999996</v>
      </c>
      <c r="BM14" s="581">
        <f t="shared" si="32"/>
        <v>28.849118370999996</v>
      </c>
      <c r="BN14" s="581">
        <v>2.4628894589999999</v>
      </c>
      <c r="BO14" s="581">
        <v>38.155731221000003</v>
      </c>
      <c r="BP14" s="581">
        <f t="shared" si="34"/>
        <v>40.618620680000006</v>
      </c>
      <c r="BQ14" s="581">
        <v>3.1370712999999997</v>
      </c>
      <c r="BR14" s="581">
        <v>63.928145037999997</v>
      </c>
      <c r="BS14" s="581">
        <f t="shared" si="36"/>
        <v>67.065216337999999</v>
      </c>
      <c r="BT14" s="581">
        <v>3.9867429730000001</v>
      </c>
      <c r="BU14" s="581">
        <v>106.9282197</v>
      </c>
      <c r="BV14" s="581">
        <f t="shared" si="38"/>
        <v>110.91496267300001</v>
      </c>
    </row>
    <row r="15" spans="2:74" x14ac:dyDescent="0.3">
      <c r="B15" s="554" t="s">
        <v>99</v>
      </c>
      <c r="C15" s="554" t="s">
        <v>120</v>
      </c>
      <c r="D15" s="575">
        <f t="shared" ref="D15" si="92">SUM(D16:D17)</f>
        <v>4.7239472459999998</v>
      </c>
      <c r="E15" s="575">
        <f t="shared" ref="E15" si="93">SUM(E16:E17)</f>
        <v>815.25430049400006</v>
      </c>
      <c r="F15" s="575">
        <f t="shared" si="40"/>
        <v>819.97824774000003</v>
      </c>
      <c r="G15" s="575">
        <f t="shared" ref="G15:H15" si="94">SUM(G16:G17)</f>
        <v>2.9582952129999995</v>
      </c>
      <c r="H15" s="575">
        <f t="shared" si="94"/>
        <v>417.78891447700005</v>
      </c>
      <c r="I15" s="575">
        <f t="shared" si="41"/>
        <v>420.74720969000003</v>
      </c>
      <c r="J15" s="576">
        <f t="shared" si="1"/>
        <v>0.59684781466061221</v>
      </c>
      <c r="K15" s="576">
        <f t="shared" si="1"/>
        <v>0.95135455308707373</v>
      </c>
      <c r="L15" s="576">
        <f t="shared" si="1"/>
        <v>0.94886199802524462</v>
      </c>
      <c r="M15" s="505"/>
      <c r="N15" s="674"/>
      <c r="O15" s="675">
        <v>4.7239472459999998</v>
      </c>
      <c r="P15" s="575">
        <v>815.25430049400006</v>
      </c>
      <c r="Q15" s="575">
        <f t="shared" si="2"/>
        <v>819.97824774000003</v>
      </c>
      <c r="R15" s="675">
        <v>1.300079663</v>
      </c>
      <c r="S15" s="575">
        <v>222.19985453700002</v>
      </c>
      <c r="T15" s="575">
        <f t="shared" si="3"/>
        <v>223.49993420000001</v>
      </c>
      <c r="U15" s="675">
        <v>1.4093381119999999</v>
      </c>
      <c r="V15" s="575">
        <v>285.01059158800001</v>
      </c>
      <c r="W15" s="575">
        <f t="shared" si="4"/>
        <v>286.41992970000001</v>
      </c>
      <c r="X15" s="675">
        <f t="shared" ref="X15:Y15" si="95">SUM(X16:X17)</f>
        <v>0.99805923799999996</v>
      </c>
      <c r="Y15" s="575">
        <f t="shared" si="95"/>
        <v>114.790804522</v>
      </c>
      <c r="Z15" s="575">
        <f t="shared" si="6"/>
        <v>115.78886376</v>
      </c>
      <c r="AA15" s="675">
        <f t="shared" ref="AA15:AB15" si="96">SUM(AA16:AA17)</f>
        <v>1.0164702329999999</v>
      </c>
      <c r="AB15" s="575">
        <f t="shared" si="96"/>
        <v>193.25304984699997</v>
      </c>
      <c r="AC15" s="575">
        <f t="shared" si="8"/>
        <v>194.26952007999998</v>
      </c>
      <c r="AD15" s="675">
        <f t="shared" ref="AD15:AE15" si="97">SUM(AD16:AD17)</f>
        <v>2.958295213</v>
      </c>
      <c r="AE15" s="575">
        <f t="shared" si="97"/>
        <v>417.78891447700005</v>
      </c>
      <c r="AF15" s="575">
        <f t="shared" si="10"/>
        <v>420.74720969000003</v>
      </c>
      <c r="AG15" s="675">
        <f t="shared" ref="AG15:AH15" si="98">SUM(AG16:AG17)</f>
        <v>0.83452808099999998</v>
      </c>
      <c r="AH15" s="575">
        <f t="shared" si="98"/>
        <v>130.58744951900002</v>
      </c>
      <c r="AI15" s="575">
        <f t="shared" si="12"/>
        <v>131.42197760000002</v>
      </c>
      <c r="AJ15" s="675">
        <f t="shared" ref="AJ15:AK15" si="99">SUM(AJ16:AJ17)</f>
        <v>0.90353120200000003</v>
      </c>
      <c r="AK15" s="575">
        <f t="shared" si="99"/>
        <v>137.85378940800001</v>
      </c>
      <c r="AL15" s="575">
        <f t="shared" si="14"/>
        <v>138.75732061000002</v>
      </c>
      <c r="AM15" s="675">
        <f t="shared" ref="AM15:AN15" si="100">SUM(AM16:AM17)</f>
        <v>0.71592581</v>
      </c>
      <c r="AN15" s="575">
        <f t="shared" si="100"/>
        <v>75.370310140000001</v>
      </c>
      <c r="AO15" s="575">
        <f t="shared" si="16"/>
        <v>76.086235950000003</v>
      </c>
      <c r="AP15" s="675">
        <f t="shared" ref="AP15:AQ15" si="101">SUM(AP16:AP17)</f>
        <v>0.50431011999999997</v>
      </c>
      <c r="AQ15" s="575">
        <f t="shared" si="101"/>
        <v>73.977365410000004</v>
      </c>
      <c r="AR15" s="575">
        <f t="shared" si="18"/>
        <v>74.481675530000004</v>
      </c>
      <c r="AS15" s="675">
        <f t="shared" ref="AS15:AT15" si="102">SUM(AS16:AS17)</f>
        <v>0.91725000200000006</v>
      </c>
      <c r="AT15" s="575">
        <f t="shared" si="102"/>
        <v>114.73817599800002</v>
      </c>
      <c r="AU15" s="575">
        <f t="shared" si="20"/>
        <v>115.65542600000002</v>
      </c>
      <c r="AV15" s="575">
        <f t="shared" ref="AV15:AW15" si="103">SUM(AV16:AV17)</f>
        <v>0.27529825200000002</v>
      </c>
      <c r="AW15" s="575">
        <f t="shared" si="103"/>
        <v>30.026160527999998</v>
      </c>
      <c r="AX15" s="575">
        <f t="shared" si="22"/>
        <v>30.301458779999997</v>
      </c>
      <c r="AY15" s="575">
        <f t="shared" ref="AY15:AZ15" si="104">SUM(AY16:AY17)</f>
        <v>0.24488412500000001</v>
      </c>
      <c r="AZ15" s="575">
        <f t="shared" si="104"/>
        <v>48.319626955000004</v>
      </c>
      <c r="BA15" s="575">
        <f t="shared" si="24"/>
        <v>48.564511080000003</v>
      </c>
      <c r="BB15" s="575">
        <f t="shared" ref="BB15:BC15" si="105">SUM(BB16:BB17)</f>
        <v>0.19458731299999998</v>
      </c>
      <c r="BC15" s="575">
        <f t="shared" si="105"/>
        <v>23.251001507000005</v>
      </c>
      <c r="BD15" s="575">
        <f t="shared" si="26"/>
        <v>23.445588820000005</v>
      </c>
      <c r="BE15" s="575">
        <f t="shared" ref="BE15:BF15" si="106">SUM(BE16:BE17)</f>
        <v>0.202480312</v>
      </c>
      <c r="BF15" s="575">
        <f t="shared" si="106"/>
        <v>13.141387007999999</v>
      </c>
      <c r="BG15" s="575">
        <f t="shared" si="28"/>
        <v>13.343867319999999</v>
      </c>
      <c r="BH15" s="575">
        <f t="shared" ref="BH15:BI15" si="107">SUM(BH16:BH17)</f>
        <v>2.9436851970000002</v>
      </c>
      <c r="BI15" s="575">
        <f t="shared" si="107"/>
        <v>255.392062463</v>
      </c>
      <c r="BJ15" s="575">
        <f t="shared" si="30"/>
        <v>258.33574765999998</v>
      </c>
      <c r="BK15" s="575">
        <f t="shared" ref="BK15:BL15" si="108">SUM(BK16:BK17)</f>
        <v>0.30471148900000006</v>
      </c>
      <c r="BL15" s="575">
        <f t="shared" si="108"/>
        <v>16.347965430999999</v>
      </c>
      <c r="BM15" s="575">
        <f t="shared" si="32"/>
        <v>16.652676919999998</v>
      </c>
      <c r="BN15" s="575">
        <f t="shared" ref="BN15:BO15" si="109">SUM(BN16:BN17)</f>
        <v>0.5522447399999999</v>
      </c>
      <c r="BO15" s="575">
        <f t="shared" si="109"/>
        <v>43.655563399999998</v>
      </c>
      <c r="BP15" s="575">
        <f t="shared" si="34"/>
        <v>44.207808139999997</v>
      </c>
      <c r="BQ15" s="575">
        <f t="shared" ref="BQ15:BR15" si="110">SUM(BQ16:BQ17)</f>
        <v>0.83290554999999999</v>
      </c>
      <c r="BR15" s="575">
        <f t="shared" si="110"/>
        <v>54.032222329999996</v>
      </c>
      <c r="BS15" s="575">
        <f t="shared" si="36"/>
        <v>54.865127879999996</v>
      </c>
      <c r="BT15" s="575">
        <f t="shared" ref="BT15:BU15" si="111">SUM(BT16:BT17)</f>
        <v>1.2538234179999999</v>
      </c>
      <c r="BU15" s="575">
        <f t="shared" si="111"/>
        <v>141.35631130199999</v>
      </c>
      <c r="BV15" s="575">
        <f t="shared" si="38"/>
        <v>142.61013471999999</v>
      </c>
    </row>
    <row r="16" spans="2:74" x14ac:dyDescent="0.3">
      <c r="B16" s="555" t="s">
        <v>100</v>
      </c>
      <c r="C16" s="580" t="s">
        <v>123</v>
      </c>
      <c r="D16" s="581">
        <f t="shared" ref="D16:D17" si="112">SUM(X16,AA16,U16,R16)</f>
        <v>0</v>
      </c>
      <c r="E16" s="581">
        <f t="shared" ref="E16:E17" si="113">SUM(Y16,AB16,V16,S16)</f>
        <v>0</v>
      </c>
      <c r="F16" s="581">
        <f t="shared" si="40"/>
        <v>0</v>
      </c>
      <c r="G16" s="581">
        <f t="shared" si="89"/>
        <v>0</v>
      </c>
      <c r="H16" s="581">
        <f t="shared" ref="H16:H17" si="114">SUM(AN16,AQ16,AK16,AH16)</f>
        <v>0</v>
      </c>
      <c r="I16" s="581">
        <f t="shared" si="41"/>
        <v>0</v>
      </c>
      <c r="J16" s="388">
        <f t="shared" si="1"/>
        <v>0</v>
      </c>
      <c r="K16" s="388">
        <f t="shared" si="1"/>
        <v>0</v>
      </c>
      <c r="L16" s="388">
        <f t="shared" si="1"/>
        <v>0</v>
      </c>
      <c r="M16" s="505"/>
      <c r="N16" s="674"/>
      <c r="O16" s="676">
        <v>0</v>
      </c>
      <c r="P16" s="581">
        <v>0</v>
      </c>
      <c r="Q16" s="581">
        <f t="shared" si="2"/>
        <v>0</v>
      </c>
      <c r="R16" s="676">
        <v>0</v>
      </c>
      <c r="S16" s="581">
        <v>0</v>
      </c>
      <c r="T16" s="581">
        <f t="shared" si="3"/>
        <v>0</v>
      </c>
      <c r="U16" s="676">
        <v>0</v>
      </c>
      <c r="V16" s="581">
        <v>0</v>
      </c>
      <c r="W16" s="581">
        <f t="shared" si="4"/>
        <v>0</v>
      </c>
      <c r="X16" s="676">
        <v>0</v>
      </c>
      <c r="Y16" s="581">
        <v>0</v>
      </c>
      <c r="Z16" s="581">
        <f t="shared" si="6"/>
        <v>0</v>
      </c>
      <c r="AA16" s="676">
        <v>0</v>
      </c>
      <c r="AB16" s="581">
        <v>0</v>
      </c>
      <c r="AC16" s="581">
        <f t="shared" si="8"/>
        <v>0</v>
      </c>
      <c r="AD16" s="676">
        <f t="shared" ref="AD16:AE17" si="115">+AG16+AJ16+AM16+AP16</f>
        <v>0</v>
      </c>
      <c r="AE16" s="581">
        <f t="shared" si="115"/>
        <v>0</v>
      </c>
      <c r="AF16" s="581">
        <f t="shared" si="10"/>
        <v>0</v>
      </c>
      <c r="AG16" s="676">
        <v>0</v>
      </c>
      <c r="AH16" s="581">
        <v>0</v>
      </c>
      <c r="AI16" s="581">
        <f t="shared" si="12"/>
        <v>0</v>
      </c>
      <c r="AJ16" s="676">
        <v>0</v>
      </c>
      <c r="AK16" s="581">
        <v>0</v>
      </c>
      <c r="AL16" s="581">
        <f t="shared" si="14"/>
        <v>0</v>
      </c>
      <c r="AM16" s="676">
        <v>0</v>
      </c>
      <c r="AN16" s="581">
        <v>0</v>
      </c>
      <c r="AO16" s="581">
        <f t="shared" si="16"/>
        <v>0</v>
      </c>
      <c r="AP16" s="676">
        <v>0</v>
      </c>
      <c r="AQ16" s="581">
        <v>0</v>
      </c>
      <c r="AR16" s="581">
        <f t="shared" si="18"/>
        <v>0</v>
      </c>
      <c r="AS16" s="676">
        <f>+AV16+AY16+BB16+BE16</f>
        <v>0</v>
      </c>
      <c r="AT16" s="581">
        <f>+AW16+AZ16+BC16+BF16</f>
        <v>0</v>
      </c>
      <c r="AU16" s="581">
        <f t="shared" si="20"/>
        <v>0</v>
      </c>
      <c r="AV16" s="581">
        <v>0</v>
      </c>
      <c r="AW16" s="581">
        <v>0</v>
      </c>
      <c r="AX16" s="581">
        <f t="shared" si="22"/>
        <v>0</v>
      </c>
      <c r="AY16" s="581">
        <v>0</v>
      </c>
      <c r="AZ16" s="581">
        <v>0</v>
      </c>
      <c r="BA16" s="581">
        <f t="shared" si="24"/>
        <v>0</v>
      </c>
      <c r="BB16" s="581">
        <v>0</v>
      </c>
      <c r="BC16" s="581">
        <v>0</v>
      </c>
      <c r="BD16" s="581">
        <f t="shared" si="26"/>
        <v>0</v>
      </c>
      <c r="BE16" s="581">
        <v>0</v>
      </c>
      <c r="BF16" s="581">
        <v>0</v>
      </c>
      <c r="BG16" s="581">
        <f t="shared" si="28"/>
        <v>0</v>
      </c>
      <c r="BH16" s="581">
        <f>+BT16+BQ16+BN16+BK16</f>
        <v>0</v>
      </c>
      <c r="BI16" s="581">
        <f>+BU16+BR16+BO16+BL16</f>
        <v>0</v>
      </c>
      <c r="BJ16" s="581">
        <f t="shared" si="30"/>
        <v>0</v>
      </c>
      <c r="BK16" s="581">
        <v>0</v>
      </c>
      <c r="BL16" s="581">
        <v>0</v>
      </c>
      <c r="BM16" s="581">
        <f t="shared" si="32"/>
        <v>0</v>
      </c>
      <c r="BN16" s="581">
        <v>0</v>
      </c>
      <c r="BO16" s="581">
        <v>0</v>
      </c>
      <c r="BP16" s="581">
        <f t="shared" si="34"/>
        <v>0</v>
      </c>
      <c r="BQ16" s="581">
        <v>0</v>
      </c>
      <c r="BR16" s="581">
        <v>0</v>
      </c>
      <c r="BS16" s="581">
        <f t="shared" si="36"/>
        <v>0</v>
      </c>
      <c r="BT16" s="581">
        <v>0</v>
      </c>
      <c r="BU16" s="581">
        <v>0</v>
      </c>
      <c r="BV16" s="581">
        <f t="shared" si="38"/>
        <v>0</v>
      </c>
    </row>
    <row r="17" spans="2:74" x14ac:dyDescent="0.3">
      <c r="B17" s="555" t="s">
        <v>101</v>
      </c>
      <c r="C17" s="580" t="s">
        <v>124</v>
      </c>
      <c r="D17" s="581">
        <f t="shared" si="112"/>
        <v>4.7239472459999998</v>
      </c>
      <c r="E17" s="581">
        <f t="shared" si="113"/>
        <v>815.25430049400006</v>
      </c>
      <c r="F17" s="581">
        <f t="shared" si="40"/>
        <v>819.97824774000003</v>
      </c>
      <c r="G17" s="581">
        <f t="shared" si="89"/>
        <v>2.9582952129999995</v>
      </c>
      <c r="H17" s="581">
        <f t="shared" si="114"/>
        <v>417.78891447700005</v>
      </c>
      <c r="I17" s="581">
        <f t="shared" si="41"/>
        <v>420.74720969000003</v>
      </c>
      <c r="J17" s="388">
        <f t="shared" si="1"/>
        <v>0.59684781466061221</v>
      </c>
      <c r="K17" s="388">
        <f t="shared" si="1"/>
        <v>0.95135455308707373</v>
      </c>
      <c r="L17" s="388">
        <f t="shared" si="1"/>
        <v>0.94886199802524462</v>
      </c>
      <c r="M17" s="505"/>
      <c r="N17" s="674"/>
      <c r="O17" s="676">
        <v>4.7239472459999998</v>
      </c>
      <c r="P17" s="581">
        <v>815.25430049400006</v>
      </c>
      <c r="Q17" s="581">
        <f t="shared" si="2"/>
        <v>819.97824774000003</v>
      </c>
      <c r="R17" s="676">
        <v>1.300079663</v>
      </c>
      <c r="S17" s="581">
        <v>222.19985453700002</v>
      </c>
      <c r="T17" s="581">
        <f t="shared" si="3"/>
        <v>223.49993420000001</v>
      </c>
      <c r="U17" s="676">
        <v>1.4093381119999999</v>
      </c>
      <c r="V17" s="581">
        <v>285.01059158800001</v>
      </c>
      <c r="W17" s="581">
        <f t="shared" si="4"/>
        <v>286.41992970000001</v>
      </c>
      <c r="X17" s="676">
        <v>0.99805923799999996</v>
      </c>
      <c r="Y17" s="581">
        <v>114.790804522</v>
      </c>
      <c r="Z17" s="581">
        <f t="shared" si="6"/>
        <v>115.78886376</v>
      </c>
      <c r="AA17" s="676">
        <v>1.0164702329999999</v>
      </c>
      <c r="AB17" s="581">
        <v>193.25304984699997</v>
      </c>
      <c r="AC17" s="581">
        <f t="shared" si="8"/>
        <v>194.26952007999998</v>
      </c>
      <c r="AD17" s="676">
        <f t="shared" si="115"/>
        <v>2.958295213</v>
      </c>
      <c r="AE17" s="581">
        <f t="shared" si="115"/>
        <v>417.78891447700005</v>
      </c>
      <c r="AF17" s="581">
        <f t="shared" si="10"/>
        <v>420.74720969000003</v>
      </c>
      <c r="AG17" s="676">
        <v>0.83452808099999998</v>
      </c>
      <c r="AH17" s="581">
        <v>130.58744951900002</v>
      </c>
      <c r="AI17" s="581">
        <f t="shared" si="12"/>
        <v>131.42197760000002</v>
      </c>
      <c r="AJ17" s="676">
        <v>0.90353120200000003</v>
      </c>
      <c r="AK17" s="581">
        <v>137.85378940800001</v>
      </c>
      <c r="AL17" s="581">
        <f t="shared" si="14"/>
        <v>138.75732061000002</v>
      </c>
      <c r="AM17" s="676">
        <v>0.71592581</v>
      </c>
      <c r="AN17" s="581">
        <v>75.370310140000001</v>
      </c>
      <c r="AO17" s="581">
        <f t="shared" si="16"/>
        <v>76.086235950000003</v>
      </c>
      <c r="AP17" s="676">
        <v>0.50431011999999997</v>
      </c>
      <c r="AQ17" s="581">
        <v>73.977365410000004</v>
      </c>
      <c r="AR17" s="581">
        <f t="shared" si="18"/>
        <v>74.481675530000004</v>
      </c>
      <c r="AS17" s="676">
        <f>+AV17+AY17+BB17+BE17</f>
        <v>0.91725000200000006</v>
      </c>
      <c r="AT17" s="581">
        <f>+AW17+AZ17+BC17+BF17</f>
        <v>114.73817599800002</v>
      </c>
      <c r="AU17" s="581">
        <f t="shared" si="20"/>
        <v>115.65542600000002</v>
      </c>
      <c r="AV17" s="581">
        <v>0.27529825200000002</v>
      </c>
      <c r="AW17" s="581">
        <v>30.026160527999998</v>
      </c>
      <c r="AX17" s="581">
        <f t="shared" si="22"/>
        <v>30.301458779999997</v>
      </c>
      <c r="AY17" s="581">
        <v>0.24488412500000001</v>
      </c>
      <c r="AZ17" s="581">
        <v>48.319626955000004</v>
      </c>
      <c r="BA17" s="581">
        <f t="shared" si="24"/>
        <v>48.564511080000003</v>
      </c>
      <c r="BB17" s="581">
        <v>0.19458731299999998</v>
      </c>
      <c r="BC17" s="581">
        <v>23.251001507000005</v>
      </c>
      <c r="BD17" s="581">
        <f t="shared" si="26"/>
        <v>23.445588820000005</v>
      </c>
      <c r="BE17" s="581">
        <v>0.202480312</v>
      </c>
      <c r="BF17" s="581">
        <v>13.141387007999999</v>
      </c>
      <c r="BG17" s="581">
        <f t="shared" si="28"/>
        <v>13.343867319999999</v>
      </c>
      <c r="BH17" s="581">
        <f>+BT17+BQ17+BN17+BK17</f>
        <v>2.9436851970000002</v>
      </c>
      <c r="BI17" s="581">
        <f>+BU17+BR17+BO17+BL17</f>
        <v>255.392062463</v>
      </c>
      <c r="BJ17" s="581">
        <f t="shared" si="30"/>
        <v>258.33574765999998</v>
      </c>
      <c r="BK17" s="581">
        <v>0.30471148900000006</v>
      </c>
      <c r="BL17" s="581">
        <v>16.347965430999999</v>
      </c>
      <c r="BM17" s="581">
        <f t="shared" si="32"/>
        <v>16.652676919999998</v>
      </c>
      <c r="BN17" s="581">
        <v>0.5522447399999999</v>
      </c>
      <c r="BO17" s="581">
        <v>43.655563399999998</v>
      </c>
      <c r="BP17" s="581">
        <f t="shared" si="34"/>
        <v>44.207808139999997</v>
      </c>
      <c r="BQ17" s="581">
        <v>0.83290554999999999</v>
      </c>
      <c r="BR17" s="581">
        <v>54.032222329999996</v>
      </c>
      <c r="BS17" s="581">
        <f t="shared" si="36"/>
        <v>54.865127879999996</v>
      </c>
      <c r="BT17" s="581">
        <v>1.2538234179999999</v>
      </c>
      <c r="BU17" s="581">
        <v>141.35631130199999</v>
      </c>
      <c r="BV17" s="581">
        <f t="shared" si="38"/>
        <v>142.61013471999999</v>
      </c>
    </row>
    <row r="18" spans="2:74" s="374" customFormat="1" x14ac:dyDescent="0.3">
      <c r="B18" s="556" t="s">
        <v>103</v>
      </c>
      <c r="C18" s="378" t="s">
        <v>127</v>
      </c>
      <c r="D18" s="582">
        <f t="shared" ref="D18:E18" si="116">SUM(D19:D20)</f>
        <v>0.18301854299999998</v>
      </c>
      <c r="E18" s="582">
        <f t="shared" si="116"/>
        <v>0</v>
      </c>
      <c r="F18" s="582">
        <f t="shared" si="40"/>
        <v>0.18301854299999998</v>
      </c>
      <c r="G18" s="582">
        <f t="shared" ref="G18:H18" si="117">SUM(G19:G20)</f>
        <v>0.29066655000000002</v>
      </c>
      <c r="H18" s="582">
        <f t="shared" si="117"/>
        <v>0</v>
      </c>
      <c r="I18" s="582">
        <f t="shared" si="41"/>
        <v>0.29066655000000002</v>
      </c>
      <c r="J18" s="583">
        <f t="shared" si="1"/>
        <v>-0.3703487965849529</v>
      </c>
      <c r="K18" s="583">
        <f t="shared" si="1"/>
        <v>0</v>
      </c>
      <c r="L18" s="583">
        <f t="shared" si="1"/>
        <v>-0.3703487965849529</v>
      </c>
      <c r="M18" s="671"/>
      <c r="N18" s="672"/>
      <c r="O18" s="677">
        <v>0.18358790399999997</v>
      </c>
      <c r="P18" s="582">
        <v>0</v>
      </c>
      <c r="Q18" s="582">
        <f t="shared" si="2"/>
        <v>0.18358790399999997</v>
      </c>
      <c r="R18" s="677">
        <v>4.2219251999999999E-2</v>
      </c>
      <c r="S18" s="582">
        <v>0</v>
      </c>
      <c r="T18" s="582">
        <f t="shared" si="3"/>
        <v>4.2219251999999999E-2</v>
      </c>
      <c r="U18" s="677">
        <v>4.5042828E-2</v>
      </c>
      <c r="V18" s="582">
        <v>0</v>
      </c>
      <c r="W18" s="582">
        <f t="shared" si="4"/>
        <v>4.5042828E-2</v>
      </c>
      <c r="X18" s="677">
        <f t="shared" ref="X18:Y18" si="118">SUM(X19:X20)</f>
        <v>4.5042828E-2</v>
      </c>
      <c r="Y18" s="582">
        <f t="shared" si="118"/>
        <v>0</v>
      </c>
      <c r="Z18" s="582">
        <f t="shared" si="6"/>
        <v>4.5042828E-2</v>
      </c>
      <c r="AA18" s="677">
        <f t="shared" ref="AA18:AB18" si="119">SUM(AA19:AA20)</f>
        <v>5.0713635E-2</v>
      </c>
      <c r="AB18" s="582">
        <f t="shared" si="119"/>
        <v>0</v>
      </c>
      <c r="AC18" s="582">
        <f t="shared" si="8"/>
        <v>5.0713635E-2</v>
      </c>
      <c r="AD18" s="677">
        <f t="shared" ref="AD18:AE18" si="120">SUM(AD19:AD20)</f>
        <v>0.29066654999999997</v>
      </c>
      <c r="AE18" s="582">
        <f t="shared" si="120"/>
        <v>0</v>
      </c>
      <c r="AF18" s="582">
        <f t="shared" si="10"/>
        <v>0.29066654999999997</v>
      </c>
      <c r="AG18" s="677">
        <f t="shared" ref="AG18:AH18" si="121">SUM(AG19:AG20)</f>
        <v>5.7563548000000006E-2</v>
      </c>
      <c r="AH18" s="582">
        <f t="shared" si="121"/>
        <v>0</v>
      </c>
      <c r="AI18" s="582">
        <f t="shared" si="12"/>
        <v>5.7563548000000006E-2</v>
      </c>
      <c r="AJ18" s="677">
        <f t="shared" ref="AJ18:AK18" si="122">SUM(AJ19:AJ20)</f>
        <v>6.7229272999999992E-2</v>
      </c>
      <c r="AK18" s="582">
        <f t="shared" si="122"/>
        <v>0</v>
      </c>
      <c r="AL18" s="582">
        <f t="shared" si="14"/>
        <v>6.7229272999999992E-2</v>
      </c>
      <c r="AM18" s="677">
        <f t="shared" ref="AM18:AN18" si="123">SUM(AM19:AM20)</f>
        <v>7.6140335000000003E-2</v>
      </c>
      <c r="AN18" s="582">
        <f t="shared" si="123"/>
        <v>0</v>
      </c>
      <c r="AO18" s="582">
        <f t="shared" si="16"/>
        <v>7.6140335000000003E-2</v>
      </c>
      <c r="AP18" s="677">
        <f t="shared" ref="AP18:AQ18" si="124">SUM(AP19:AP20)</f>
        <v>8.9733393999999994E-2</v>
      </c>
      <c r="AQ18" s="582">
        <f t="shared" si="124"/>
        <v>0</v>
      </c>
      <c r="AR18" s="582">
        <f t="shared" si="18"/>
        <v>8.9733393999999994E-2</v>
      </c>
      <c r="AS18" s="677">
        <f t="shared" ref="AS18:AT18" si="125">SUM(AS19:AS20)</f>
        <v>0.44386618899999997</v>
      </c>
      <c r="AT18" s="582">
        <f t="shared" si="125"/>
        <v>0</v>
      </c>
      <c r="AU18" s="582">
        <f t="shared" si="20"/>
        <v>0.44386618899999997</v>
      </c>
      <c r="AV18" s="582">
        <f t="shared" ref="AV18:AW18" si="126">SUM(AV19:AV20)</f>
        <v>9.8259177000000003E-2</v>
      </c>
      <c r="AW18" s="582">
        <f t="shared" si="126"/>
        <v>0</v>
      </c>
      <c r="AX18" s="582">
        <f t="shared" si="22"/>
        <v>9.8259177000000003E-2</v>
      </c>
      <c r="AY18" s="582">
        <f t="shared" ref="AY18:AZ18" si="127">SUM(AY19:AY20)</f>
        <v>9.7733815000000002E-2</v>
      </c>
      <c r="AZ18" s="582">
        <f t="shared" si="127"/>
        <v>0</v>
      </c>
      <c r="BA18" s="582">
        <f t="shared" si="24"/>
        <v>9.7733815000000002E-2</v>
      </c>
      <c r="BB18" s="582">
        <f t="shared" ref="BB18:BC18" si="128">SUM(BB19:BB20)</f>
        <v>0.11482107999999999</v>
      </c>
      <c r="BC18" s="582">
        <f t="shared" si="128"/>
        <v>0</v>
      </c>
      <c r="BD18" s="582">
        <f t="shared" si="26"/>
        <v>0.11482107999999999</v>
      </c>
      <c r="BE18" s="582">
        <f t="shared" ref="BE18:BF18" si="129">SUM(BE19:BE20)</f>
        <v>0.133052117</v>
      </c>
      <c r="BF18" s="582">
        <f t="shared" si="129"/>
        <v>0</v>
      </c>
      <c r="BG18" s="582">
        <f t="shared" si="28"/>
        <v>0.133052117</v>
      </c>
      <c r="BH18" s="582">
        <f t="shared" ref="BH18:BI18" si="130">SUM(BH19:BH20)</f>
        <v>1.7443405059999997</v>
      </c>
      <c r="BI18" s="582">
        <f t="shared" si="130"/>
        <v>0</v>
      </c>
      <c r="BJ18" s="582">
        <f t="shared" si="30"/>
        <v>1.7443405059999997</v>
      </c>
      <c r="BK18" s="582">
        <f t="shared" ref="BK18:BL18" si="131">SUM(BK19:BK20)</f>
        <v>0.20129054700000001</v>
      </c>
      <c r="BL18" s="582">
        <f t="shared" si="131"/>
        <v>0</v>
      </c>
      <c r="BM18" s="582">
        <f t="shared" si="32"/>
        <v>0.20129054700000001</v>
      </c>
      <c r="BN18" s="582">
        <f t="shared" ref="BN18:BO18" si="132">SUM(BN19:BN20)</f>
        <v>0.34995900300000005</v>
      </c>
      <c r="BO18" s="582">
        <f t="shared" si="132"/>
        <v>0</v>
      </c>
      <c r="BP18" s="582">
        <f t="shared" si="34"/>
        <v>0.34995900300000005</v>
      </c>
      <c r="BQ18" s="582">
        <f t="shared" ref="BQ18:BR18" si="133">SUM(BQ19:BQ20)</f>
        <v>0.53892927299999993</v>
      </c>
      <c r="BR18" s="582">
        <f t="shared" si="133"/>
        <v>0</v>
      </c>
      <c r="BS18" s="582">
        <f t="shared" si="36"/>
        <v>0.53892927299999993</v>
      </c>
      <c r="BT18" s="582">
        <f t="shared" ref="BT18:BU18" si="134">SUM(BT19:BT20)</f>
        <v>0.65416168299999999</v>
      </c>
      <c r="BU18" s="582">
        <f t="shared" si="134"/>
        <v>0</v>
      </c>
      <c r="BV18" s="582">
        <f t="shared" si="38"/>
        <v>0.65416168299999999</v>
      </c>
    </row>
    <row r="19" spans="2:74" x14ac:dyDescent="0.3">
      <c r="B19" s="555" t="s">
        <v>104</v>
      </c>
      <c r="C19" s="555" t="s">
        <v>125</v>
      </c>
      <c r="D19" s="581">
        <f t="shared" ref="D19:D20" si="135">SUM(X19,AA19,U19,R19)</f>
        <v>0.18301854299999998</v>
      </c>
      <c r="E19" s="581">
        <f t="shared" ref="E19:E20" si="136">SUM(Y19,AB19,V19,S19)</f>
        <v>0</v>
      </c>
      <c r="F19" s="581">
        <f t="shared" si="40"/>
        <v>0.18301854299999998</v>
      </c>
      <c r="G19" s="581">
        <f t="shared" si="89"/>
        <v>0.29066655000000002</v>
      </c>
      <c r="H19" s="581">
        <f t="shared" ref="H19:H20" si="137">SUM(AN19,AQ19,AK19,AH19)</f>
        <v>0</v>
      </c>
      <c r="I19" s="581">
        <f t="shared" si="41"/>
        <v>0.29066655000000002</v>
      </c>
      <c r="J19" s="388">
        <f t="shared" si="1"/>
        <v>-0.3703487965849529</v>
      </c>
      <c r="K19" s="388">
        <f t="shared" si="1"/>
        <v>0</v>
      </c>
      <c r="L19" s="388">
        <f t="shared" si="1"/>
        <v>-0.3703487965849529</v>
      </c>
      <c r="M19" s="505"/>
      <c r="N19" s="674"/>
      <c r="O19" s="676">
        <v>0.18358790399999997</v>
      </c>
      <c r="P19" s="581">
        <v>0</v>
      </c>
      <c r="Q19" s="581">
        <f t="shared" si="2"/>
        <v>0.18358790399999997</v>
      </c>
      <c r="R19" s="676">
        <v>4.2219251999999999E-2</v>
      </c>
      <c r="S19" s="581">
        <v>0</v>
      </c>
      <c r="T19" s="581">
        <f t="shared" si="3"/>
        <v>4.2219251999999999E-2</v>
      </c>
      <c r="U19" s="676">
        <v>4.5042828E-2</v>
      </c>
      <c r="V19" s="581">
        <v>0</v>
      </c>
      <c r="W19" s="581">
        <f t="shared" si="4"/>
        <v>4.5042828E-2</v>
      </c>
      <c r="X19" s="676">
        <v>4.5042828E-2</v>
      </c>
      <c r="Y19" s="581">
        <v>0</v>
      </c>
      <c r="Z19" s="581">
        <f t="shared" si="6"/>
        <v>4.5042828E-2</v>
      </c>
      <c r="AA19" s="676">
        <v>5.0713635E-2</v>
      </c>
      <c r="AB19" s="581">
        <v>0</v>
      </c>
      <c r="AC19" s="581">
        <f t="shared" si="8"/>
        <v>5.0713635E-2</v>
      </c>
      <c r="AD19" s="676">
        <f t="shared" ref="AD19:AE20" si="138">+AG19+AJ19+AM19+AP19</f>
        <v>0.29066654999999997</v>
      </c>
      <c r="AE19" s="581">
        <f t="shared" si="138"/>
        <v>0</v>
      </c>
      <c r="AF19" s="581">
        <f t="shared" si="10"/>
        <v>0.29066654999999997</v>
      </c>
      <c r="AG19" s="676">
        <v>5.7563548000000006E-2</v>
      </c>
      <c r="AH19" s="581">
        <v>0</v>
      </c>
      <c r="AI19" s="581">
        <f t="shared" si="12"/>
        <v>5.7563548000000006E-2</v>
      </c>
      <c r="AJ19" s="676">
        <v>6.7229272999999992E-2</v>
      </c>
      <c r="AK19" s="581">
        <v>0</v>
      </c>
      <c r="AL19" s="581">
        <f t="shared" si="14"/>
        <v>6.7229272999999992E-2</v>
      </c>
      <c r="AM19" s="676">
        <v>7.6140335000000003E-2</v>
      </c>
      <c r="AN19" s="581">
        <v>0</v>
      </c>
      <c r="AO19" s="581">
        <f t="shared" si="16"/>
        <v>7.6140335000000003E-2</v>
      </c>
      <c r="AP19" s="676">
        <v>8.9733393999999994E-2</v>
      </c>
      <c r="AQ19" s="581">
        <v>0</v>
      </c>
      <c r="AR19" s="581">
        <f t="shared" si="18"/>
        <v>8.9733393999999994E-2</v>
      </c>
      <c r="AS19" s="676">
        <f>+AV19+AY19+BB19+BE19</f>
        <v>0.44386618899999997</v>
      </c>
      <c r="AT19" s="581">
        <f>+AW19+AZ19+BC19+BF19</f>
        <v>0</v>
      </c>
      <c r="AU19" s="581">
        <f t="shared" si="20"/>
        <v>0.44386618899999997</v>
      </c>
      <c r="AV19" s="581">
        <v>9.8259177000000003E-2</v>
      </c>
      <c r="AW19" s="581">
        <v>0</v>
      </c>
      <c r="AX19" s="581">
        <f t="shared" si="22"/>
        <v>9.8259177000000003E-2</v>
      </c>
      <c r="AY19" s="581">
        <v>9.7733815000000002E-2</v>
      </c>
      <c r="AZ19" s="581">
        <v>0</v>
      </c>
      <c r="BA19" s="581">
        <f t="shared" si="24"/>
        <v>9.7733815000000002E-2</v>
      </c>
      <c r="BB19" s="581">
        <v>0.11482107999999999</v>
      </c>
      <c r="BC19" s="581">
        <v>0</v>
      </c>
      <c r="BD19" s="581">
        <f t="shared" si="26"/>
        <v>0.11482107999999999</v>
      </c>
      <c r="BE19" s="581">
        <v>0.133052117</v>
      </c>
      <c r="BF19" s="581">
        <v>0</v>
      </c>
      <c r="BG19" s="581">
        <f t="shared" si="28"/>
        <v>0.133052117</v>
      </c>
      <c r="BH19" s="581">
        <f>+BT19+BQ19+BN19+BK19</f>
        <v>1.7443405059999997</v>
      </c>
      <c r="BI19" s="581">
        <f>+BU19+BR19+BO19+BL19</f>
        <v>0</v>
      </c>
      <c r="BJ19" s="581">
        <f t="shared" si="30"/>
        <v>1.7443405059999997</v>
      </c>
      <c r="BK19" s="581">
        <v>0.20129054700000001</v>
      </c>
      <c r="BL19" s="581">
        <v>0</v>
      </c>
      <c r="BM19" s="581">
        <f t="shared" si="32"/>
        <v>0.20129054700000001</v>
      </c>
      <c r="BN19" s="581">
        <v>0.34995900300000005</v>
      </c>
      <c r="BO19" s="581">
        <v>0</v>
      </c>
      <c r="BP19" s="581">
        <f t="shared" si="34"/>
        <v>0.34995900300000005</v>
      </c>
      <c r="BQ19" s="581">
        <v>0.53892927299999993</v>
      </c>
      <c r="BR19" s="581">
        <v>0</v>
      </c>
      <c r="BS19" s="581">
        <f t="shared" si="36"/>
        <v>0.53892927299999993</v>
      </c>
      <c r="BT19" s="581">
        <v>0.65416168299999999</v>
      </c>
      <c r="BU19" s="581">
        <v>0</v>
      </c>
      <c r="BV19" s="581">
        <f t="shared" si="38"/>
        <v>0.65416168299999999</v>
      </c>
    </row>
    <row r="20" spans="2:74" x14ac:dyDescent="0.3">
      <c r="B20" s="555" t="s">
        <v>105</v>
      </c>
      <c r="C20" s="555" t="s">
        <v>128</v>
      </c>
      <c r="D20" s="581">
        <f t="shared" si="135"/>
        <v>0</v>
      </c>
      <c r="E20" s="581">
        <f t="shared" si="136"/>
        <v>0</v>
      </c>
      <c r="F20" s="581">
        <f t="shared" si="40"/>
        <v>0</v>
      </c>
      <c r="G20" s="581">
        <f t="shared" si="89"/>
        <v>0</v>
      </c>
      <c r="H20" s="581">
        <f t="shared" si="137"/>
        <v>0</v>
      </c>
      <c r="I20" s="581">
        <f t="shared" si="41"/>
        <v>0</v>
      </c>
      <c r="J20" s="388">
        <f t="shared" si="1"/>
        <v>0</v>
      </c>
      <c r="K20" s="388">
        <f t="shared" si="1"/>
        <v>0</v>
      </c>
      <c r="L20" s="388">
        <f t="shared" si="1"/>
        <v>0</v>
      </c>
      <c r="M20" s="505"/>
      <c r="N20" s="674"/>
      <c r="O20" s="676">
        <v>0</v>
      </c>
      <c r="P20" s="581">
        <v>0</v>
      </c>
      <c r="Q20" s="581">
        <f t="shared" si="2"/>
        <v>0</v>
      </c>
      <c r="R20" s="676">
        <v>0</v>
      </c>
      <c r="S20" s="581">
        <v>0</v>
      </c>
      <c r="T20" s="581">
        <f t="shared" si="3"/>
        <v>0</v>
      </c>
      <c r="U20" s="676">
        <v>0</v>
      </c>
      <c r="V20" s="581">
        <v>0</v>
      </c>
      <c r="W20" s="581">
        <f t="shared" si="4"/>
        <v>0</v>
      </c>
      <c r="X20" s="676">
        <v>0</v>
      </c>
      <c r="Y20" s="581">
        <v>0</v>
      </c>
      <c r="Z20" s="581">
        <f t="shared" si="6"/>
        <v>0</v>
      </c>
      <c r="AA20" s="676">
        <v>0</v>
      </c>
      <c r="AB20" s="581">
        <v>0</v>
      </c>
      <c r="AC20" s="581">
        <f t="shared" si="8"/>
        <v>0</v>
      </c>
      <c r="AD20" s="676">
        <f t="shared" si="138"/>
        <v>0</v>
      </c>
      <c r="AE20" s="581">
        <f t="shared" si="138"/>
        <v>0</v>
      </c>
      <c r="AF20" s="581">
        <f t="shared" si="10"/>
        <v>0</v>
      </c>
      <c r="AG20" s="676">
        <v>0</v>
      </c>
      <c r="AH20" s="581">
        <v>0</v>
      </c>
      <c r="AI20" s="581">
        <f t="shared" si="12"/>
        <v>0</v>
      </c>
      <c r="AJ20" s="676">
        <v>0</v>
      </c>
      <c r="AK20" s="581">
        <v>0</v>
      </c>
      <c r="AL20" s="581">
        <f t="shared" si="14"/>
        <v>0</v>
      </c>
      <c r="AM20" s="676">
        <v>0</v>
      </c>
      <c r="AN20" s="581">
        <v>0</v>
      </c>
      <c r="AO20" s="581">
        <f t="shared" si="16"/>
        <v>0</v>
      </c>
      <c r="AP20" s="676">
        <v>0</v>
      </c>
      <c r="AQ20" s="581">
        <v>0</v>
      </c>
      <c r="AR20" s="581">
        <f t="shared" si="18"/>
        <v>0</v>
      </c>
      <c r="AS20" s="676">
        <f>+AV20+AY20+BB20+BE20</f>
        <v>0</v>
      </c>
      <c r="AT20" s="581">
        <f>+AW20+AZ20+BC20+BF20</f>
        <v>0</v>
      </c>
      <c r="AU20" s="581">
        <f t="shared" si="20"/>
        <v>0</v>
      </c>
      <c r="AV20" s="581">
        <v>0</v>
      </c>
      <c r="AW20" s="581">
        <v>0</v>
      </c>
      <c r="AX20" s="581">
        <f t="shared" si="22"/>
        <v>0</v>
      </c>
      <c r="AY20" s="581">
        <v>0</v>
      </c>
      <c r="AZ20" s="581">
        <v>0</v>
      </c>
      <c r="BA20" s="581">
        <f t="shared" si="24"/>
        <v>0</v>
      </c>
      <c r="BB20" s="581">
        <v>0</v>
      </c>
      <c r="BC20" s="581">
        <v>0</v>
      </c>
      <c r="BD20" s="581">
        <f t="shared" si="26"/>
        <v>0</v>
      </c>
      <c r="BE20" s="581">
        <v>0</v>
      </c>
      <c r="BF20" s="581">
        <v>0</v>
      </c>
      <c r="BG20" s="581">
        <f t="shared" si="28"/>
        <v>0</v>
      </c>
      <c r="BH20" s="581">
        <f>+BT20+BQ20+BN20+BK20</f>
        <v>0</v>
      </c>
      <c r="BI20" s="581">
        <f>+BU20+BR20+BO20+BL20</f>
        <v>0</v>
      </c>
      <c r="BJ20" s="581">
        <f t="shared" si="30"/>
        <v>0</v>
      </c>
      <c r="BK20" s="581">
        <v>0</v>
      </c>
      <c r="BL20" s="581">
        <v>0</v>
      </c>
      <c r="BM20" s="581">
        <f t="shared" si="32"/>
        <v>0</v>
      </c>
      <c r="BN20" s="581">
        <v>0</v>
      </c>
      <c r="BO20" s="581">
        <v>0</v>
      </c>
      <c r="BP20" s="581">
        <f t="shared" si="34"/>
        <v>0</v>
      </c>
      <c r="BQ20" s="581">
        <v>0</v>
      </c>
      <c r="BR20" s="581">
        <v>0</v>
      </c>
      <c r="BS20" s="581">
        <f t="shared" si="36"/>
        <v>0</v>
      </c>
      <c r="BT20" s="581">
        <v>0</v>
      </c>
      <c r="BU20" s="581">
        <v>0</v>
      </c>
      <c r="BV20" s="581">
        <f t="shared" si="38"/>
        <v>0</v>
      </c>
    </row>
    <row r="21" spans="2:74" s="374" customFormat="1" x14ac:dyDescent="0.3">
      <c r="B21" s="315" t="s">
        <v>112</v>
      </c>
      <c r="C21" s="375" t="s">
        <v>129</v>
      </c>
      <c r="D21" s="585">
        <f t="shared" ref="D21:E21" si="139">D7+D18</f>
        <v>288.15134879700003</v>
      </c>
      <c r="E21" s="585">
        <f t="shared" si="139"/>
        <v>1378.5724106279999</v>
      </c>
      <c r="F21" s="585">
        <f t="shared" si="40"/>
        <v>1666.723759425</v>
      </c>
      <c r="G21" s="585">
        <f t="shared" ref="G21:H21" si="140">G7+G18</f>
        <v>269.20685038800002</v>
      </c>
      <c r="H21" s="585">
        <f t="shared" si="140"/>
        <v>799.13152665600012</v>
      </c>
      <c r="I21" s="585">
        <f t="shared" si="41"/>
        <v>1068.338377044</v>
      </c>
      <c r="J21" s="385">
        <f t="shared" si="1"/>
        <v>7.0371531711380442E-2</v>
      </c>
      <c r="K21" s="385">
        <f t="shared" si="1"/>
        <v>0.72508825474161287</v>
      </c>
      <c r="L21" s="385">
        <f t="shared" si="1"/>
        <v>0.56010847802423869</v>
      </c>
      <c r="M21" s="671"/>
      <c r="N21" s="672"/>
      <c r="O21" s="678">
        <v>288.151918158</v>
      </c>
      <c r="P21" s="585">
        <v>1378.5724106279999</v>
      </c>
      <c r="Q21" s="585">
        <f t="shared" si="2"/>
        <v>1666.7243287859999</v>
      </c>
      <c r="R21" s="678">
        <v>75.785223982999995</v>
      </c>
      <c r="S21" s="585">
        <v>410.06554415300002</v>
      </c>
      <c r="T21" s="585">
        <f t="shared" si="3"/>
        <v>485.850768136</v>
      </c>
      <c r="U21" s="678">
        <v>72.040102680000004</v>
      </c>
      <c r="V21" s="585">
        <v>450.85336386400002</v>
      </c>
      <c r="W21" s="585">
        <f t="shared" si="4"/>
        <v>522.89346654400003</v>
      </c>
      <c r="X21" s="678">
        <f>X7+X18</f>
        <v>68.864053838000004</v>
      </c>
      <c r="Y21" s="585">
        <f t="shared" ref="Y21" si="141">Y7+Y18</f>
        <v>211.53539906500001</v>
      </c>
      <c r="Z21" s="585">
        <f t="shared" si="6"/>
        <v>280.399452903</v>
      </c>
      <c r="AA21" s="678">
        <f>AA7+AA18</f>
        <v>71.461968295999995</v>
      </c>
      <c r="AB21" s="585">
        <f t="shared" ref="AB21" si="142">AB7+AB18</f>
        <v>306.11810354599999</v>
      </c>
      <c r="AC21" s="585">
        <f t="shared" si="8"/>
        <v>377.580071842</v>
      </c>
      <c r="AD21" s="678">
        <f>AD7+AD18</f>
        <v>269.20685038800002</v>
      </c>
      <c r="AE21" s="585">
        <f t="shared" ref="AE21" si="143">AE7+AE18</f>
        <v>799.13152665600001</v>
      </c>
      <c r="AF21" s="585">
        <f t="shared" si="10"/>
        <v>1068.338377044</v>
      </c>
      <c r="AG21" s="678">
        <f>AG7+AG18</f>
        <v>71.780697466999996</v>
      </c>
      <c r="AH21" s="585">
        <f t="shared" ref="AH21" si="144">AH7+AH18</f>
        <v>274.56786257600004</v>
      </c>
      <c r="AI21" s="585">
        <f t="shared" si="12"/>
        <v>346.34856004300002</v>
      </c>
      <c r="AJ21" s="678">
        <f>AJ7+AJ18</f>
        <v>68.931087065</v>
      </c>
      <c r="AK21" s="585">
        <f t="shared" ref="AK21" si="145">AK7+AK18</f>
        <v>225.92962023300001</v>
      </c>
      <c r="AL21" s="585">
        <f t="shared" si="14"/>
        <v>294.86070729800002</v>
      </c>
      <c r="AM21" s="678">
        <f>AM7+AM18</f>
        <v>67.425436073</v>
      </c>
      <c r="AN21" s="585">
        <f t="shared" ref="AN21" si="146">AN7+AN18</f>
        <v>159.55100041399999</v>
      </c>
      <c r="AO21" s="585">
        <f t="shared" si="16"/>
        <v>226.976436487</v>
      </c>
      <c r="AP21" s="678">
        <f>AP7+AP18</f>
        <v>61.069629782999996</v>
      </c>
      <c r="AQ21" s="585">
        <f t="shared" ref="AQ21" si="147">AQ7+AQ18</f>
        <v>139.083043433</v>
      </c>
      <c r="AR21" s="585">
        <f t="shared" si="18"/>
        <v>200.15267321599998</v>
      </c>
      <c r="AS21" s="678">
        <f t="shared" ref="AS21:AT21" si="148">AS7+AS18</f>
        <v>187.07116526000001</v>
      </c>
      <c r="AT21" s="585">
        <f t="shared" si="148"/>
        <v>223.44055005700002</v>
      </c>
      <c r="AU21" s="585">
        <f t="shared" si="20"/>
        <v>410.51171531700004</v>
      </c>
      <c r="AV21" s="585">
        <f t="shared" ref="AV21:AW21" si="149">AV7+AV18</f>
        <v>53.178360787999999</v>
      </c>
      <c r="AW21" s="585">
        <f t="shared" si="149"/>
        <v>63.110274785999998</v>
      </c>
      <c r="AX21" s="585">
        <f t="shared" si="22"/>
        <v>116.288635574</v>
      </c>
      <c r="AY21" s="585">
        <f t="shared" ref="AY21:AZ21" si="150">AY7+AY18</f>
        <v>47.546844080999996</v>
      </c>
      <c r="AZ21" s="585">
        <f t="shared" si="150"/>
        <v>78.775576334000007</v>
      </c>
      <c r="BA21" s="585">
        <f t="shared" si="24"/>
        <v>126.32242041500001</v>
      </c>
      <c r="BB21" s="585">
        <f t="shared" ref="BB21:BC21" si="151">BB7+BB18</f>
        <v>43.520379949000002</v>
      </c>
      <c r="BC21" s="585">
        <f t="shared" si="151"/>
        <v>45.559014242000003</v>
      </c>
      <c r="BD21" s="585">
        <f t="shared" si="26"/>
        <v>89.079394191000006</v>
      </c>
      <c r="BE21" s="585">
        <f>BE7+BE18</f>
        <v>42.825580441999996</v>
      </c>
      <c r="BF21" s="585">
        <f t="shared" ref="BF21" si="152">BF7+BF18</f>
        <v>35.995684694999994</v>
      </c>
      <c r="BG21" s="585">
        <f t="shared" si="28"/>
        <v>78.821265136999983</v>
      </c>
      <c r="BH21" s="585">
        <f t="shared" ref="BH21:BI21" si="153">BH7+BH18</f>
        <v>247.31332913299997</v>
      </c>
      <c r="BI21" s="585">
        <f t="shared" si="153"/>
        <v>553.227685888</v>
      </c>
      <c r="BJ21" s="585">
        <f t="shared" si="30"/>
        <v>800.54101502100002</v>
      </c>
      <c r="BK21" s="585">
        <f t="shared" ref="BK21:BL21" si="154">BK7+BK18</f>
        <v>47.755259704000004</v>
      </c>
      <c r="BL21" s="585">
        <f t="shared" si="154"/>
        <v>53.582286558999996</v>
      </c>
      <c r="BM21" s="585">
        <f t="shared" si="32"/>
        <v>101.33754626300001</v>
      </c>
      <c r="BN21" s="585">
        <f t="shared" ref="BN21:BO21" si="155">BN7+BN18</f>
        <v>56.765582213999998</v>
      </c>
      <c r="BO21" s="585">
        <f t="shared" si="155"/>
        <v>95.158185262000003</v>
      </c>
      <c r="BP21" s="585">
        <f t="shared" si="34"/>
        <v>151.92376747599999</v>
      </c>
      <c r="BQ21" s="585">
        <f t="shared" ref="BQ21:BR21" si="156">BQ7+BQ18</f>
        <v>66.507161425000007</v>
      </c>
      <c r="BR21" s="585">
        <f t="shared" si="156"/>
        <v>135.12769318299999</v>
      </c>
      <c r="BS21" s="585">
        <f t="shared" si="36"/>
        <v>201.63485460800001</v>
      </c>
      <c r="BT21" s="585">
        <f t="shared" ref="BT21:BU21" si="157">BT7+BT18</f>
        <v>76.285325790000002</v>
      </c>
      <c r="BU21" s="585">
        <f t="shared" si="157"/>
        <v>269.35952088400001</v>
      </c>
      <c r="BV21" s="585">
        <f t="shared" si="38"/>
        <v>345.64484667400001</v>
      </c>
    </row>
    <row r="22" spans="2:74" x14ac:dyDescent="0.3">
      <c r="B22" s="557" t="s">
        <v>106</v>
      </c>
      <c r="C22" s="511" t="s">
        <v>133</v>
      </c>
      <c r="D22" s="668">
        <f>SUM(X22,AA22,U22,R22)</f>
        <v>0</v>
      </c>
      <c r="E22" s="668">
        <f>SUM(Y22,AB22,V22,S22)</f>
        <v>223.49260419000001</v>
      </c>
      <c r="F22" s="668">
        <f t="shared" si="40"/>
        <v>223.49260419000001</v>
      </c>
      <c r="G22" s="668">
        <f t="shared" si="89"/>
        <v>0</v>
      </c>
      <c r="H22" s="668">
        <f>SUM(AN22,AQ22,AK22,AH22)</f>
        <v>177.564161834</v>
      </c>
      <c r="I22" s="668">
        <f t="shared" si="41"/>
        <v>177.564161834</v>
      </c>
      <c r="J22" s="390">
        <f t="shared" si="1"/>
        <v>0</v>
      </c>
      <c r="K22" s="390">
        <f t="shared" si="1"/>
        <v>0.25865828938464097</v>
      </c>
      <c r="L22" s="390">
        <f t="shared" si="1"/>
        <v>0.25865828938464097</v>
      </c>
      <c r="M22" s="505"/>
      <c r="N22" s="674"/>
      <c r="O22" s="675">
        <v>0</v>
      </c>
      <c r="P22" s="575">
        <v>223.49260419000001</v>
      </c>
      <c r="Q22" s="575">
        <f t="shared" si="2"/>
        <v>223.49260419000001</v>
      </c>
      <c r="R22" s="675">
        <v>0</v>
      </c>
      <c r="S22" s="575">
        <v>73.006129946000001</v>
      </c>
      <c r="T22" s="575">
        <f t="shared" si="3"/>
        <v>73.006129946000001</v>
      </c>
      <c r="U22" s="675">
        <v>0</v>
      </c>
      <c r="V22" s="575">
        <v>48.645360109000002</v>
      </c>
      <c r="W22" s="575">
        <f t="shared" si="4"/>
        <v>48.645360109000002</v>
      </c>
      <c r="X22" s="675">
        <v>0</v>
      </c>
      <c r="Y22" s="575">
        <v>38.154595077000003</v>
      </c>
      <c r="Z22" s="575">
        <f t="shared" si="6"/>
        <v>38.154595077000003</v>
      </c>
      <c r="AA22" s="675">
        <v>0</v>
      </c>
      <c r="AB22" s="575">
        <v>63.686519058000002</v>
      </c>
      <c r="AC22" s="575">
        <f t="shared" si="8"/>
        <v>63.686519058000002</v>
      </c>
      <c r="AD22" s="675">
        <f t="shared" ref="AD22:AE22" si="158">+AG22+AJ22+AM22+AP22</f>
        <v>0</v>
      </c>
      <c r="AE22" s="575">
        <f t="shared" si="158"/>
        <v>177.564161834</v>
      </c>
      <c r="AF22" s="575">
        <f t="shared" si="10"/>
        <v>177.564161834</v>
      </c>
      <c r="AG22" s="675">
        <v>0</v>
      </c>
      <c r="AH22" s="575">
        <v>41.703102438000002</v>
      </c>
      <c r="AI22" s="575">
        <f t="shared" si="12"/>
        <v>41.703102438000002</v>
      </c>
      <c r="AJ22" s="675">
        <v>0</v>
      </c>
      <c r="AK22" s="575">
        <v>28.521854208000001</v>
      </c>
      <c r="AL22" s="575">
        <f t="shared" si="14"/>
        <v>28.521854208000001</v>
      </c>
      <c r="AM22" s="675">
        <v>0</v>
      </c>
      <c r="AN22" s="575">
        <v>30.304512381000002</v>
      </c>
      <c r="AO22" s="575">
        <f t="shared" si="16"/>
        <v>30.304512381000002</v>
      </c>
      <c r="AP22" s="675">
        <v>0</v>
      </c>
      <c r="AQ22" s="575">
        <v>77.034692806999999</v>
      </c>
      <c r="AR22" s="575">
        <f t="shared" si="18"/>
        <v>77.034692806999999</v>
      </c>
      <c r="AS22" s="675">
        <f>+AV22+AY22+BB22+BE22</f>
        <v>0</v>
      </c>
      <c r="AT22" s="575">
        <f>+AW22+AZ22+BC22+BF22</f>
        <v>175.43448089200001</v>
      </c>
      <c r="AU22" s="575">
        <f t="shared" si="20"/>
        <v>175.43448089200001</v>
      </c>
      <c r="AV22" s="575">
        <v>0</v>
      </c>
      <c r="AW22" s="575">
        <v>62.131836984000003</v>
      </c>
      <c r="AX22" s="575">
        <f t="shared" si="22"/>
        <v>62.131836984000003</v>
      </c>
      <c r="AY22" s="575">
        <v>0</v>
      </c>
      <c r="AZ22" s="575">
        <v>28.953078594000001</v>
      </c>
      <c r="BA22" s="575">
        <f t="shared" si="24"/>
        <v>28.953078594000001</v>
      </c>
      <c r="BB22" s="575">
        <v>0</v>
      </c>
      <c r="BC22" s="575">
        <v>36.614357908000002</v>
      </c>
      <c r="BD22" s="575">
        <f t="shared" si="26"/>
        <v>36.614357908000002</v>
      </c>
      <c r="BE22" s="575">
        <v>0</v>
      </c>
      <c r="BF22" s="575">
        <v>47.735207405999994</v>
      </c>
      <c r="BG22" s="575">
        <f t="shared" si="28"/>
        <v>47.735207405999994</v>
      </c>
      <c r="BH22" s="575">
        <f>+BT22+BQ22+BN22+BK22</f>
        <v>0</v>
      </c>
      <c r="BI22" s="575">
        <f>+BU22+BR22+BO22+BL22</f>
        <v>309.593399976</v>
      </c>
      <c r="BJ22" s="575">
        <f t="shared" si="30"/>
        <v>309.593399976</v>
      </c>
      <c r="BK22" s="575">
        <v>0</v>
      </c>
      <c r="BL22" s="575">
        <v>135.26086381599998</v>
      </c>
      <c r="BM22" s="575">
        <f t="shared" si="32"/>
        <v>135.26086381599998</v>
      </c>
      <c r="BN22" s="575">
        <v>0</v>
      </c>
      <c r="BO22" s="575">
        <v>51.929095912999998</v>
      </c>
      <c r="BP22" s="575">
        <f t="shared" si="34"/>
        <v>51.929095912999998</v>
      </c>
      <c r="BQ22" s="575">
        <v>0</v>
      </c>
      <c r="BR22" s="575">
        <v>52.495437787</v>
      </c>
      <c r="BS22" s="575">
        <f t="shared" si="36"/>
        <v>52.495437787</v>
      </c>
      <c r="BT22" s="575">
        <v>0</v>
      </c>
      <c r="BU22" s="575">
        <v>69.908002459999992</v>
      </c>
      <c r="BV22" s="575">
        <f t="shared" si="38"/>
        <v>69.908002459999992</v>
      </c>
    </row>
    <row r="23" spans="2:74" x14ac:dyDescent="0.3">
      <c r="B23" s="377"/>
      <c r="C23" s="377"/>
      <c r="D23" s="377"/>
      <c r="E23" s="377"/>
      <c r="F23" s="377"/>
      <c r="G23" s="377"/>
      <c r="H23" s="377"/>
      <c r="I23" s="377"/>
      <c r="J23" s="377"/>
      <c r="K23" s="377"/>
      <c r="L23" s="377"/>
      <c r="N23" s="311"/>
      <c r="O23" s="377"/>
      <c r="P23" s="377"/>
      <c r="Q23" s="377"/>
      <c r="R23" s="377"/>
      <c r="S23" s="377"/>
      <c r="T23" s="377"/>
      <c r="U23" s="377"/>
      <c r="V23" s="377"/>
      <c r="W23" s="377"/>
      <c r="X23" s="377"/>
      <c r="Y23" s="377"/>
      <c r="Z23" s="377"/>
      <c r="AA23" s="377"/>
      <c r="AB23" s="377"/>
      <c r="AC23" s="377"/>
      <c r="AD23" s="377"/>
      <c r="AE23" s="377"/>
      <c r="AF23" s="377"/>
      <c r="AG23" s="377"/>
      <c r="AH23" s="377"/>
      <c r="AI23" s="377"/>
      <c r="AJ23" s="377"/>
      <c r="AK23" s="377"/>
      <c r="AL23" s="377"/>
      <c r="AM23" s="377"/>
      <c r="AN23" s="377"/>
      <c r="AO23" s="377"/>
      <c r="AP23" s="377"/>
      <c r="AQ23" s="377"/>
      <c r="AR23" s="377"/>
      <c r="AS23" s="377"/>
      <c r="AT23" s="377"/>
      <c r="AU23" s="377"/>
      <c r="AV23" s="377"/>
      <c r="AW23" s="377"/>
      <c r="AX23" s="377"/>
      <c r="AY23" s="377"/>
      <c r="AZ23" s="377"/>
      <c r="BA23" s="377"/>
      <c r="BB23" s="377"/>
      <c r="BC23" s="377"/>
      <c r="BD23" s="377"/>
      <c r="BE23" s="377"/>
      <c r="BF23" s="377"/>
      <c r="BG23" s="377"/>
      <c r="BH23" s="377"/>
      <c r="BI23" s="377"/>
      <c r="BJ23" s="377"/>
      <c r="BK23" s="377"/>
      <c r="BL23" s="377"/>
      <c r="BM23" s="377"/>
      <c r="BN23" s="377"/>
      <c r="BO23" s="377"/>
      <c r="BP23" s="377"/>
      <c r="BQ23" s="377"/>
      <c r="BR23" s="377"/>
      <c r="BS23" s="377"/>
      <c r="BT23" s="377"/>
      <c r="BU23" s="377"/>
      <c r="BV23" s="377"/>
    </row>
    <row r="24" spans="2:74" x14ac:dyDescent="0.3">
      <c r="B24" s="468" t="s">
        <v>131</v>
      </c>
      <c r="C24" s="468" t="s">
        <v>192</v>
      </c>
      <c r="N24" s="311"/>
    </row>
    <row r="25" spans="2:74" s="374" customFormat="1" x14ac:dyDescent="0.3">
      <c r="B25" s="378" t="s">
        <v>113</v>
      </c>
      <c r="C25" s="378" t="s">
        <v>202</v>
      </c>
      <c r="D25" s="582">
        <f>D26+D27</f>
        <v>185.67113483600002</v>
      </c>
      <c r="E25" s="582">
        <f t="shared" ref="E25:I25" si="159">E26+E27</f>
        <v>0</v>
      </c>
      <c r="F25" s="582">
        <f t="shared" si="159"/>
        <v>250.83995655000001</v>
      </c>
      <c r="G25" s="582">
        <f t="shared" si="159"/>
        <v>245.745914793</v>
      </c>
      <c r="H25" s="582">
        <f t="shared" si="159"/>
        <v>0</v>
      </c>
      <c r="I25" s="582">
        <f t="shared" si="159"/>
        <v>245.745914793</v>
      </c>
      <c r="J25" s="583">
        <f t="shared" ref="J25:L31" si="160">+IFERROR(IF(G25&lt;0,-(D25/G25-1),(D25/G25-1)),0)</f>
        <v>-0.24445891606215697</v>
      </c>
      <c r="K25" s="583">
        <f t="shared" si="160"/>
        <v>0</v>
      </c>
      <c r="L25" s="583">
        <f t="shared" si="160"/>
        <v>2.0728897004415714E-2</v>
      </c>
      <c r="M25" s="474"/>
      <c r="N25" s="672"/>
      <c r="O25" s="677">
        <v>62.403862189999998</v>
      </c>
      <c r="P25" s="582">
        <v>0</v>
      </c>
      <c r="Q25" s="582">
        <f t="shared" ref="Q25" si="161">Q26+Q27</f>
        <v>250.84052591100001</v>
      </c>
      <c r="R25" s="677">
        <v>62.403862189999998</v>
      </c>
      <c r="S25" s="582">
        <v>0</v>
      </c>
      <c r="T25" s="582">
        <f t="shared" ref="T25" si="162">T26+T27</f>
        <v>65.168821714000003</v>
      </c>
      <c r="U25" s="677">
        <v>62.403862189999998</v>
      </c>
      <c r="V25" s="582">
        <v>0</v>
      </c>
      <c r="W25" s="582">
        <f t="shared" ref="W25" si="163">W26+W27</f>
        <v>62.403862189999998</v>
      </c>
      <c r="X25" s="677">
        <f t="shared" ref="X25:Z25" si="164">X26+X27</f>
        <v>60.389107285000001</v>
      </c>
      <c r="Y25" s="582">
        <f t="shared" si="164"/>
        <v>0</v>
      </c>
      <c r="Z25" s="582">
        <f t="shared" si="164"/>
        <v>60.389107285000001</v>
      </c>
      <c r="AA25" s="677">
        <f t="shared" ref="AA25:AC25" si="165">AA26+AA27</f>
        <v>62.878165361000001</v>
      </c>
      <c r="AB25" s="582">
        <f t="shared" si="165"/>
        <v>0</v>
      </c>
      <c r="AC25" s="582">
        <f t="shared" si="165"/>
        <v>62.878165361000001</v>
      </c>
      <c r="AD25" s="677">
        <f t="shared" ref="AD25:BV25" si="166">AD26+AD27</f>
        <v>245.74591479299997</v>
      </c>
      <c r="AE25" s="582">
        <f t="shared" si="166"/>
        <v>0</v>
      </c>
      <c r="AF25" s="582">
        <f t="shared" si="166"/>
        <v>245.74591479299997</v>
      </c>
      <c r="AG25" s="677">
        <f t="shared" si="166"/>
        <v>63.97194473599999</v>
      </c>
      <c r="AH25" s="582">
        <f t="shared" si="166"/>
        <v>0</v>
      </c>
      <c r="AI25" s="582">
        <f t="shared" si="166"/>
        <v>63.97194473599999</v>
      </c>
      <c r="AJ25" s="677">
        <f t="shared" si="166"/>
        <v>62.507406036000013</v>
      </c>
      <c r="AK25" s="582">
        <f t="shared" si="166"/>
        <v>0</v>
      </c>
      <c r="AL25" s="582">
        <f t="shared" si="166"/>
        <v>62.507406036000013</v>
      </c>
      <c r="AM25" s="677">
        <f t="shared" si="166"/>
        <v>62.185827422999999</v>
      </c>
      <c r="AN25" s="582">
        <f t="shared" si="166"/>
        <v>0</v>
      </c>
      <c r="AO25" s="582">
        <f t="shared" si="166"/>
        <v>62.185827422999999</v>
      </c>
      <c r="AP25" s="677">
        <f t="shared" si="166"/>
        <v>57.080736597999994</v>
      </c>
      <c r="AQ25" s="582">
        <f t="shared" si="166"/>
        <v>0</v>
      </c>
      <c r="AR25" s="582">
        <f t="shared" si="166"/>
        <v>57.080736597999994</v>
      </c>
      <c r="AS25" s="677">
        <f t="shared" si="166"/>
        <v>172.450448389</v>
      </c>
      <c r="AT25" s="582">
        <f t="shared" si="166"/>
        <v>0</v>
      </c>
      <c r="AU25" s="582">
        <f t="shared" si="166"/>
        <v>172.450448389</v>
      </c>
      <c r="AV25" s="582">
        <f t="shared" si="166"/>
        <v>50.065312677999998</v>
      </c>
      <c r="AW25" s="582">
        <f t="shared" si="166"/>
        <v>0</v>
      </c>
      <c r="AX25" s="582">
        <f t="shared" si="166"/>
        <v>50.065312677999998</v>
      </c>
      <c r="AY25" s="582">
        <f t="shared" si="166"/>
        <v>44.181580391999994</v>
      </c>
      <c r="AZ25" s="582">
        <f t="shared" si="166"/>
        <v>0</v>
      </c>
      <c r="BA25" s="582">
        <f t="shared" si="166"/>
        <v>44.181580391999994</v>
      </c>
      <c r="BB25" s="582">
        <f t="shared" si="166"/>
        <v>39.741204490999998</v>
      </c>
      <c r="BC25" s="582">
        <f t="shared" si="166"/>
        <v>0</v>
      </c>
      <c r="BD25" s="582">
        <f t="shared" si="166"/>
        <v>39.741204490999998</v>
      </c>
      <c r="BE25" s="582">
        <f t="shared" si="166"/>
        <v>38.462350827999998</v>
      </c>
      <c r="BF25" s="582">
        <f t="shared" si="166"/>
        <v>0</v>
      </c>
      <c r="BG25" s="582">
        <f t="shared" si="166"/>
        <v>38.462350827999998</v>
      </c>
      <c r="BH25" s="582">
        <f t="shared" si="166"/>
        <v>210.55718377799997</v>
      </c>
      <c r="BI25" s="582">
        <f t="shared" si="166"/>
        <v>0</v>
      </c>
      <c r="BJ25" s="582">
        <f t="shared" si="166"/>
        <v>210.55718377799997</v>
      </c>
      <c r="BK25" s="582">
        <f t="shared" si="166"/>
        <v>41.705518485000006</v>
      </c>
      <c r="BL25" s="582">
        <f t="shared" si="166"/>
        <v>0</v>
      </c>
      <c r="BM25" s="582">
        <f t="shared" si="166"/>
        <v>41.705518485000006</v>
      </c>
      <c r="BN25" s="582">
        <f t="shared" si="166"/>
        <v>48.734364131</v>
      </c>
      <c r="BO25" s="582">
        <f t="shared" si="166"/>
        <v>0</v>
      </c>
      <c r="BP25" s="582">
        <f t="shared" si="166"/>
        <v>48.734364131</v>
      </c>
      <c r="BQ25" s="582">
        <f t="shared" si="166"/>
        <v>56.363723117000006</v>
      </c>
      <c r="BR25" s="582">
        <f t="shared" si="166"/>
        <v>0</v>
      </c>
      <c r="BS25" s="582">
        <f t="shared" si="166"/>
        <v>56.363723117000006</v>
      </c>
      <c r="BT25" s="582">
        <f t="shared" si="166"/>
        <v>63.75357804499999</v>
      </c>
      <c r="BU25" s="582">
        <f t="shared" si="166"/>
        <v>0</v>
      </c>
      <c r="BV25" s="582">
        <f t="shared" si="166"/>
        <v>63.75357804499999</v>
      </c>
    </row>
    <row r="26" spans="2:74" x14ac:dyDescent="0.3">
      <c r="B26" s="561" t="s">
        <v>114</v>
      </c>
      <c r="C26" s="561" t="s">
        <v>201</v>
      </c>
      <c r="D26" s="581">
        <f>SUM(X26,AA26,U26,S26)</f>
        <v>185.67113483600002</v>
      </c>
      <c r="E26" s="581">
        <f>SUM(Y26,AB26,V26,S26)</f>
        <v>0</v>
      </c>
      <c r="F26" s="581">
        <f t="shared" ref="F26:I26" si="167">F9+F11+F19</f>
        <v>250.83995655000001</v>
      </c>
      <c r="G26" s="581">
        <f>SUM(AM26,AP26,AJ26,AG26)</f>
        <v>245.745914793</v>
      </c>
      <c r="H26" s="581">
        <f>SUM(AN26,AQ26,AK26,AH26)</f>
        <v>0</v>
      </c>
      <c r="I26" s="581">
        <f t="shared" si="167"/>
        <v>245.745914793</v>
      </c>
      <c r="J26" s="388">
        <f t="shared" si="160"/>
        <v>-0.24445891606215697</v>
      </c>
      <c r="K26" s="388">
        <f t="shared" si="160"/>
        <v>0</v>
      </c>
      <c r="L26" s="388">
        <f t="shared" si="160"/>
        <v>2.0728897004415714E-2</v>
      </c>
      <c r="N26" s="674"/>
      <c r="O26" s="676">
        <v>62.403862189999998</v>
      </c>
      <c r="P26" s="581">
        <v>0</v>
      </c>
      <c r="Q26" s="581">
        <f t="shared" ref="Q26" si="168">Q9+Q11+Q19</f>
        <v>250.84052591100001</v>
      </c>
      <c r="R26" s="676">
        <v>62.403862189999998</v>
      </c>
      <c r="S26" s="581">
        <v>0</v>
      </c>
      <c r="T26" s="581">
        <f t="shared" ref="T26" si="169">T9+T11+T19</f>
        <v>65.168821714000003</v>
      </c>
      <c r="U26" s="676">
        <v>62.403862189999998</v>
      </c>
      <c r="V26" s="581">
        <v>0</v>
      </c>
      <c r="W26" s="581">
        <f t="shared" ref="W26" si="170">W9+W11+W19</f>
        <v>62.403862189999998</v>
      </c>
      <c r="X26" s="676">
        <f t="shared" ref="X26:Z26" si="171">X9+X11+X19</f>
        <v>60.389107285000001</v>
      </c>
      <c r="Y26" s="581">
        <f t="shared" si="171"/>
        <v>0</v>
      </c>
      <c r="Z26" s="581">
        <f t="shared" si="171"/>
        <v>60.389107285000001</v>
      </c>
      <c r="AA26" s="676">
        <f t="shared" ref="AA26:AC26" si="172">AA9+AA11+AA19</f>
        <v>62.878165361000001</v>
      </c>
      <c r="AB26" s="581">
        <f t="shared" si="172"/>
        <v>0</v>
      </c>
      <c r="AC26" s="581">
        <f t="shared" si="172"/>
        <v>62.878165361000001</v>
      </c>
      <c r="AD26" s="676">
        <f t="shared" ref="AD26:BV26" si="173">AD9+AD11+AD19</f>
        <v>245.74591479299997</v>
      </c>
      <c r="AE26" s="581">
        <f t="shared" si="173"/>
        <v>0</v>
      </c>
      <c r="AF26" s="581">
        <f t="shared" si="173"/>
        <v>245.74591479299997</v>
      </c>
      <c r="AG26" s="676">
        <f t="shared" si="173"/>
        <v>63.97194473599999</v>
      </c>
      <c r="AH26" s="581">
        <f t="shared" si="173"/>
        <v>0</v>
      </c>
      <c r="AI26" s="581">
        <f t="shared" si="173"/>
        <v>63.97194473599999</v>
      </c>
      <c r="AJ26" s="676">
        <f t="shared" si="173"/>
        <v>62.507406036000013</v>
      </c>
      <c r="AK26" s="581">
        <f t="shared" si="173"/>
        <v>0</v>
      </c>
      <c r="AL26" s="581">
        <f t="shared" si="173"/>
        <v>62.507406036000013</v>
      </c>
      <c r="AM26" s="676">
        <f t="shared" si="173"/>
        <v>62.185827422999999</v>
      </c>
      <c r="AN26" s="581">
        <f t="shared" si="173"/>
        <v>0</v>
      </c>
      <c r="AO26" s="581">
        <f t="shared" si="173"/>
        <v>62.185827422999999</v>
      </c>
      <c r="AP26" s="676">
        <f t="shared" si="173"/>
        <v>57.080736597999994</v>
      </c>
      <c r="AQ26" s="581">
        <f t="shared" si="173"/>
        <v>0</v>
      </c>
      <c r="AR26" s="581">
        <f t="shared" si="173"/>
        <v>57.080736597999994</v>
      </c>
      <c r="AS26" s="676">
        <f t="shared" si="173"/>
        <v>172.450448389</v>
      </c>
      <c r="AT26" s="581">
        <f t="shared" si="173"/>
        <v>0</v>
      </c>
      <c r="AU26" s="581">
        <f t="shared" si="173"/>
        <v>172.450448389</v>
      </c>
      <c r="AV26" s="581">
        <f t="shared" si="173"/>
        <v>50.065312677999998</v>
      </c>
      <c r="AW26" s="581">
        <f t="shared" si="173"/>
        <v>0</v>
      </c>
      <c r="AX26" s="581">
        <f t="shared" si="173"/>
        <v>50.065312677999998</v>
      </c>
      <c r="AY26" s="581">
        <f t="shared" si="173"/>
        <v>44.181580391999994</v>
      </c>
      <c r="AZ26" s="581">
        <f t="shared" si="173"/>
        <v>0</v>
      </c>
      <c r="BA26" s="581">
        <f t="shared" si="173"/>
        <v>44.181580391999994</v>
      </c>
      <c r="BB26" s="581">
        <f t="shared" si="173"/>
        <v>39.741204490999998</v>
      </c>
      <c r="BC26" s="581">
        <f t="shared" si="173"/>
        <v>0</v>
      </c>
      <c r="BD26" s="581">
        <f t="shared" si="173"/>
        <v>39.741204490999998</v>
      </c>
      <c r="BE26" s="581">
        <f t="shared" si="173"/>
        <v>38.462350827999998</v>
      </c>
      <c r="BF26" s="581">
        <f t="shared" si="173"/>
        <v>0</v>
      </c>
      <c r="BG26" s="581">
        <f t="shared" si="173"/>
        <v>38.462350827999998</v>
      </c>
      <c r="BH26" s="581">
        <f t="shared" si="173"/>
        <v>210.48666877799997</v>
      </c>
      <c r="BI26" s="581">
        <f t="shared" si="173"/>
        <v>0</v>
      </c>
      <c r="BJ26" s="581">
        <f t="shared" si="173"/>
        <v>210.48666877799997</v>
      </c>
      <c r="BK26" s="581">
        <f t="shared" si="173"/>
        <v>41.705518485000006</v>
      </c>
      <c r="BL26" s="581">
        <f t="shared" si="173"/>
        <v>0</v>
      </c>
      <c r="BM26" s="581">
        <f t="shared" si="173"/>
        <v>41.705518485000006</v>
      </c>
      <c r="BN26" s="581">
        <f t="shared" si="173"/>
        <v>48.734364131</v>
      </c>
      <c r="BO26" s="581">
        <f t="shared" si="173"/>
        <v>0</v>
      </c>
      <c r="BP26" s="581">
        <f t="shared" si="173"/>
        <v>48.734364131</v>
      </c>
      <c r="BQ26" s="581">
        <f t="shared" si="173"/>
        <v>56.357825117000004</v>
      </c>
      <c r="BR26" s="581">
        <f t="shared" si="173"/>
        <v>0</v>
      </c>
      <c r="BS26" s="581">
        <f t="shared" si="173"/>
        <v>56.357825117000004</v>
      </c>
      <c r="BT26" s="581">
        <f t="shared" si="173"/>
        <v>63.688961044999992</v>
      </c>
      <c r="BU26" s="581">
        <f t="shared" si="173"/>
        <v>0</v>
      </c>
      <c r="BV26" s="581">
        <f t="shared" si="173"/>
        <v>63.688961044999992</v>
      </c>
    </row>
    <row r="27" spans="2:74" x14ac:dyDescent="0.3">
      <c r="B27" s="618" t="s">
        <v>111</v>
      </c>
      <c r="C27" s="618" t="s">
        <v>123</v>
      </c>
      <c r="D27" s="581">
        <f>SUM(X27,AA27,U27,S27)</f>
        <v>0</v>
      </c>
      <c r="E27" s="581">
        <f>SUM(Y27,AB27,V27,S27)</f>
        <v>0</v>
      </c>
      <c r="F27" s="581">
        <f t="shared" ref="F27:I27" si="174">F13+F16+F20</f>
        <v>0</v>
      </c>
      <c r="G27" s="581">
        <f>SUM(AM27,AP27,AJ27,AG27)</f>
        <v>0</v>
      </c>
      <c r="H27" s="581">
        <f>SUM(AN27,AQ27,AK27,AH27)</f>
        <v>0</v>
      </c>
      <c r="I27" s="581">
        <f t="shared" si="174"/>
        <v>0</v>
      </c>
      <c r="J27" s="389">
        <f t="shared" si="160"/>
        <v>0</v>
      </c>
      <c r="K27" s="389">
        <f t="shared" si="160"/>
        <v>0</v>
      </c>
      <c r="L27" s="389">
        <f t="shared" si="160"/>
        <v>0</v>
      </c>
      <c r="N27" s="674"/>
      <c r="O27" s="676">
        <v>0</v>
      </c>
      <c r="P27" s="581">
        <v>0</v>
      </c>
      <c r="Q27" s="581">
        <f t="shared" ref="Q27" si="175">Q13+Q16+Q20</f>
        <v>0</v>
      </c>
      <c r="R27" s="676">
        <v>0</v>
      </c>
      <c r="S27" s="581">
        <v>0</v>
      </c>
      <c r="T27" s="581">
        <f t="shared" ref="T27" si="176">T13+T16+T20</f>
        <v>0</v>
      </c>
      <c r="U27" s="676">
        <v>0</v>
      </c>
      <c r="V27" s="581">
        <v>0</v>
      </c>
      <c r="W27" s="581">
        <f t="shared" ref="W27" si="177">W13+W16+W20</f>
        <v>0</v>
      </c>
      <c r="X27" s="676">
        <f t="shared" ref="X27:Z27" si="178">X13+X16+X20</f>
        <v>0</v>
      </c>
      <c r="Y27" s="581">
        <f t="shared" si="178"/>
        <v>0</v>
      </c>
      <c r="Z27" s="581">
        <f t="shared" si="178"/>
        <v>0</v>
      </c>
      <c r="AA27" s="676">
        <f t="shared" ref="AA27:AC27" si="179">AA13+AA16+AA20</f>
        <v>0</v>
      </c>
      <c r="AB27" s="581">
        <f t="shared" si="179"/>
        <v>0</v>
      </c>
      <c r="AC27" s="581">
        <f t="shared" si="179"/>
        <v>0</v>
      </c>
      <c r="AD27" s="676">
        <f t="shared" ref="AD27:BV27" si="180">AD13+AD16+AD20</f>
        <v>0</v>
      </c>
      <c r="AE27" s="581">
        <f t="shared" si="180"/>
        <v>0</v>
      </c>
      <c r="AF27" s="581">
        <f t="shared" si="180"/>
        <v>0</v>
      </c>
      <c r="AG27" s="676">
        <f t="shared" si="180"/>
        <v>0</v>
      </c>
      <c r="AH27" s="581">
        <f t="shared" si="180"/>
        <v>0</v>
      </c>
      <c r="AI27" s="581">
        <f t="shared" si="180"/>
        <v>0</v>
      </c>
      <c r="AJ27" s="676">
        <f t="shared" si="180"/>
        <v>0</v>
      </c>
      <c r="AK27" s="581">
        <f t="shared" si="180"/>
        <v>0</v>
      </c>
      <c r="AL27" s="581">
        <f t="shared" si="180"/>
        <v>0</v>
      </c>
      <c r="AM27" s="676">
        <f t="shared" si="180"/>
        <v>0</v>
      </c>
      <c r="AN27" s="581">
        <f t="shared" si="180"/>
        <v>0</v>
      </c>
      <c r="AO27" s="581">
        <f t="shared" si="180"/>
        <v>0</v>
      </c>
      <c r="AP27" s="676">
        <f t="shared" si="180"/>
        <v>0</v>
      </c>
      <c r="AQ27" s="581">
        <f t="shared" si="180"/>
        <v>0</v>
      </c>
      <c r="AR27" s="581">
        <f t="shared" si="180"/>
        <v>0</v>
      </c>
      <c r="AS27" s="676">
        <f t="shared" si="180"/>
        <v>0</v>
      </c>
      <c r="AT27" s="581">
        <f t="shared" si="180"/>
        <v>0</v>
      </c>
      <c r="AU27" s="581">
        <f t="shared" si="180"/>
        <v>0</v>
      </c>
      <c r="AV27" s="581">
        <f t="shared" si="180"/>
        <v>0</v>
      </c>
      <c r="AW27" s="581">
        <f t="shared" si="180"/>
        <v>0</v>
      </c>
      <c r="AX27" s="581">
        <f t="shared" si="180"/>
        <v>0</v>
      </c>
      <c r="AY27" s="581">
        <f t="shared" si="180"/>
        <v>0</v>
      </c>
      <c r="AZ27" s="581">
        <f t="shared" si="180"/>
        <v>0</v>
      </c>
      <c r="BA27" s="581">
        <f t="shared" si="180"/>
        <v>0</v>
      </c>
      <c r="BB27" s="581">
        <f t="shared" si="180"/>
        <v>0</v>
      </c>
      <c r="BC27" s="581">
        <f t="shared" si="180"/>
        <v>0</v>
      </c>
      <c r="BD27" s="581">
        <f t="shared" si="180"/>
        <v>0</v>
      </c>
      <c r="BE27" s="581">
        <f t="shared" si="180"/>
        <v>0</v>
      </c>
      <c r="BF27" s="581">
        <f t="shared" si="180"/>
        <v>0</v>
      </c>
      <c r="BG27" s="581">
        <f t="shared" si="180"/>
        <v>0</v>
      </c>
      <c r="BH27" s="581">
        <f t="shared" si="180"/>
        <v>7.0515000000000008E-2</v>
      </c>
      <c r="BI27" s="581">
        <f t="shared" si="180"/>
        <v>0</v>
      </c>
      <c r="BJ27" s="581">
        <f t="shared" si="180"/>
        <v>7.0515000000000008E-2</v>
      </c>
      <c r="BK27" s="581">
        <f t="shared" si="180"/>
        <v>0</v>
      </c>
      <c r="BL27" s="581">
        <f t="shared" si="180"/>
        <v>0</v>
      </c>
      <c r="BM27" s="581">
        <f t="shared" si="180"/>
        <v>0</v>
      </c>
      <c r="BN27" s="581">
        <f t="shared" si="180"/>
        <v>0</v>
      </c>
      <c r="BO27" s="581">
        <f t="shared" si="180"/>
        <v>0</v>
      </c>
      <c r="BP27" s="581">
        <f t="shared" si="180"/>
        <v>0</v>
      </c>
      <c r="BQ27" s="581">
        <f t="shared" si="180"/>
        <v>5.8979999999999996E-3</v>
      </c>
      <c r="BR27" s="581">
        <f t="shared" si="180"/>
        <v>0</v>
      </c>
      <c r="BS27" s="581">
        <f t="shared" si="180"/>
        <v>5.8979999999999996E-3</v>
      </c>
      <c r="BT27" s="581">
        <f t="shared" si="180"/>
        <v>6.4617000000000008E-2</v>
      </c>
      <c r="BU27" s="581">
        <f t="shared" si="180"/>
        <v>0</v>
      </c>
      <c r="BV27" s="581">
        <f t="shared" si="180"/>
        <v>6.4617000000000008E-2</v>
      </c>
    </row>
    <row r="28" spans="2:74" s="374" customFormat="1" x14ac:dyDescent="0.3">
      <c r="B28" s="378" t="s">
        <v>5</v>
      </c>
      <c r="C28" s="378" t="s">
        <v>203</v>
      </c>
      <c r="D28" s="582">
        <f>D29+D30</f>
        <v>36.331230468000001</v>
      </c>
      <c r="E28" s="582">
        <f t="shared" ref="E28:I28" si="181">E29+E30</f>
        <v>1419.3602303389998</v>
      </c>
      <c r="F28" s="582">
        <f t="shared" si="181"/>
        <v>1415.8838028749999</v>
      </c>
      <c r="G28" s="582">
        <f t="shared" si="181"/>
        <v>23.460935594999999</v>
      </c>
      <c r="H28" s="582">
        <f t="shared" si="181"/>
        <v>799.13152665600012</v>
      </c>
      <c r="I28" s="582">
        <f t="shared" si="181"/>
        <v>822.59246225100014</v>
      </c>
      <c r="J28" s="583">
        <f t="shared" si="160"/>
        <v>0.548584041795116</v>
      </c>
      <c r="K28" s="583">
        <f t="shared" si="160"/>
        <v>0.7761284381788478</v>
      </c>
      <c r="L28" s="583">
        <f t="shared" si="160"/>
        <v>0.72124577825631353</v>
      </c>
      <c r="M28" s="474"/>
      <c r="N28" s="672"/>
      <c r="O28" s="677">
        <v>9.6362404899999987</v>
      </c>
      <c r="P28" s="582">
        <v>450.85336386400002</v>
      </c>
      <c r="Q28" s="582">
        <f t="shared" ref="Q28" si="182">Q29+Q30</f>
        <v>1415.8838028749999</v>
      </c>
      <c r="R28" s="677">
        <v>9.6362404899999987</v>
      </c>
      <c r="S28" s="582">
        <v>450.85336386400002</v>
      </c>
      <c r="T28" s="582">
        <f t="shared" ref="T28" si="183">T29+T30</f>
        <v>420.68194642200001</v>
      </c>
      <c r="U28" s="677">
        <v>9.6362404899999987</v>
      </c>
      <c r="V28" s="582">
        <v>450.85336386400002</v>
      </c>
      <c r="W28" s="582">
        <f t="shared" ref="W28" si="184">W29+W30</f>
        <v>460.48960435399999</v>
      </c>
      <c r="X28" s="677">
        <f t="shared" ref="X28:Z28" si="185">X29+X30</f>
        <v>8.4749465529999988</v>
      </c>
      <c r="Y28" s="582">
        <f t="shared" si="185"/>
        <v>211.53539906500001</v>
      </c>
      <c r="Z28" s="582">
        <f t="shared" si="185"/>
        <v>220.010345618</v>
      </c>
      <c r="AA28" s="677">
        <f t="shared" ref="AA28:AC28" si="186">AA29+AA30</f>
        <v>8.5838029349999978</v>
      </c>
      <c r="AB28" s="582">
        <f t="shared" si="186"/>
        <v>306.11810354599999</v>
      </c>
      <c r="AC28" s="582">
        <f t="shared" si="186"/>
        <v>314.70190648099998</v>
      </c>
      <c r="AD28" s="677">
        <f t="shared" ref="AD28:BV28" si="187">AD29+AD30</f>
        <v>23.460935594999995</v>
      </c>
      <c r="AE28" s="582">
        <f t="shared" si="187"/>
        <v>799.13152665600001</v>
      </c>
      <c r="AF28" s="582">
        <f t="shared" si="187"/>
        <v>822.59246225100003</v>
      </c>
      <c r="AG28" s="677">
        <f t="shared" si="187"/>
        <v>7.8087527310000002</v>
      </c>
      <c r="AH28" s="582">
        <f t="shared" si="187"/>
        <v>274.56786257600004</v>
      </c>
      <c r="AI28" s="582">
        <f t="shared" si="187"/>
        <v>282.37661530700001</v>
      </c>
      <c r="AJ28" s="677">
        <f t="shared" si="187"/>
        <v>6.4236810289999999</v>
      </c>
      <c r="AK28" s="582">
        <f t="shared" si="187"/>
        <v>225.92962023300004</v>
      </c>
      <c r="AL28" s="582">
        <f t="shared" si="187"/>
        <v>232.35330126200003</v>
      </c>
      <c r="AM28" s="677">
        <f t="shared" si="187"/>
        <v>5.2396086499999992</v>
      </c>
      <c r="AN28" s="582">
        <f t="shared" si="187"/>
        <v>159.55100041399999</v>
      </c>
      <c r="AO28" s="582">
        <f t="shared" si="187"/>
        <v>164.79060906399997</v>
      </c>
      <c r="AP28" s="677">
        <f t="shared" si="187"/>
        <v>3.9888931850000002</v>
      </c>
      <c r="AQ28" s="582">
        <f t="shared" si="187"/>
        <v>139.083043433</v>
      </c>
      <c r="AR28" s="582">
        <f t="shared" si="187"/>
        <v>143.071936618</v>
      </c>
      <c r="AS28" s="677">
        <f t="shared" si="187"/>
        <v>14.620716870999999</v>
      </c>
      <c r="AT28" s="582">
        <f t="shared" si="187"/>
        <v>223.44055005700002</v>
      </c>
      <c r="AU28" s="582">
        <f t="shared" si="187"/>
        <v>238.06126692800001</v>
      </c>
      <c r="AV28" s="582">
        <f t="shared" si="187"/>
        <v>3.1130481100000003</v>
      </c>
      <c r="AW28" s="582">
        <f t="shared" si="187"/>
        <v>63.110274786000005</v>
      </c>
      <c r="AX28" s="582">
        <f t="shared" si="187"/>
        <v>66.223322895999999</v>
      </c>
      <c r="AY28" s="582">
        <f t="shared" si="187"/>
        <v>3.3652636889999998</v>
      </c>
      <c r="AZ28" s="582">
        <f t="shared" si="187"/>
        <v>78.775576334000007</v>
      </c>
      <c r="BA28" s="582">
        <f t="shared" si="187"/>
        <v>82.14084002300001</v>
      </c>
      <c r="BB28" s="582">
        <f t="shared" si="187"/>
        <v>3.7791754580000001</v>
      </c>
      <c r="BC28" s="582">
        <f t="shared" si="187"/>
        <v>45.559014242000003</v>
      </c>
      <c r="BD28" s="582">
        <f t="shared" si="187"/>
        <v>49.338189700000001</v>
      </c>
      <c r="BE28" s="582">
        <f t="shared" si="187"/>
        <v>4.3632296139999998</v>
      </c>
      <c r="BF28" s="582">
        <f t="shared" si="187"/>
        <v>35.995684695000001</v>
      </c>
      <c r="BG28" s="582">
        <f t="shared" si="187"/>
        <v>40.358914308999999</v>
      </c>
      <c r="BH28" s="582">
        <f t="shared" si="187"/>
        <v>36.756145355000001</v>
      </c>
      <c r="BI28" s="582">
        <f t="shared" si="187"/>
        <v>553.227685888</v>
      </c>
      <c r="BJ28" s="582">
        <f t="shared" si="187"/>
        <v>589.98383124299994</v>
      </c>
      <c r="BK28" s="582">
        <f t="shared" si="187"/>
        <v>6.0497412190000004</v>
      </c>
      <c r="BL28" s="582">
        <f t="shared" si="187"/>
        <v>53.582286558999996</v>
      </c>
      <c r="BM28" s="582">
        <f t="shared" si="187"/>
        <v>59.632027777999994</v>
      </c>
      <c r="BN28" s="582">
        <f t="shared" si="187"/>
        <v>8.0312180830000006</v>
      </c>
      <c r="BO28" s="582">
        <f t="shared" si="187"/>
        <v>95.158185262000003</v>
      </c>
      <c r="BP28" s="582">
        <f t="shared" si="187"/>
        <v>103.189403345</v>
      </c>
      <c r="BQ28" s="582">
        <f t="shared" si="187"/>
        <v>10.143438308</v>
      </c>
      <c r="BR28" s="582">
        <f t="shared" si="187"/>
        <v>135.12769318299999</v>
      </c>
      <c r="BS28" s="582">
        <f t="shared" si="187"/>
        <v>145.27113149099998</v>
      </c>
      <c r="BT28" s="582">
        <f t="shared" si="187"/>
        <v>12.531747745000001</v>
      </c>
      <c r="BU28" s="582">
        <f t="shared" si="187"/>
        <v>269.35952088400001</v>
      </c>
      <c r="BV28" s="582">
        <f t="shared" si="187"/>
        <v>281.89126862900002</v>
      </c>
    </row>
    <row r="29" spans="2:74" x14ac:dyDescent="0.3">
      <c r="B29" s="561" t="s">
        <v>191</v>
      </c>
      <c r="C29" s="561" t="s">
        <v>204</v>
      </c>
      <c r="D29" s="581">
        <f>SUM(X29,AA29,U29,R29)</f>
        <v>19.283876982999999</v>
      </c>
      <c r="E29" s="581">
        <f t="shared" ref="E29:E30" si="188">SUM(Y29,AB29,V29,S29)</f>
        <v>35.819513685000004</v>
      </c>
      <c r="F29" s="581">
        <f t="shared" ref="F29:I29" si="189">F10</f>
        <v>56.153561027000002</v>
      </c>
      <c r="G29" s="581">
        <f t="shared" ref="G29:G30" si="190">SUM(AM29,AP29,AJ29,AG29)</f>
        <v>11.488676326</v>
      </c>
      <c r="H29" s="581">
        <f t="shared" ref="H29:H30" si="191">SUM(AN29,AQ29,AK29,AH29)</f>
        <v>21.753126241</v>
      </c>
      <c r="I29" s="581">
        <f t="shared" si="189"/>
        <v>33.241802567000001</v>
      </c>
      <c r="J29" s="388">
        <f t="shared" si="160"/>
        <v>0.67851164362239857</v>
      </c>
      <c r="K29" s="388">
        <f t="shared" si="160"/>
        <v>0.64663751261130753</v>
      </c>
      <c r="L29" s="388">
        <f t="shared" si="160"/>
        <v>0.68924536850312368</v>
      </c>
      <c r="N29" s="674"/>
      <c r="O29" s="676">
        <v>4.8827371529999999</v>
      </c>
      <c r="P29" s="581">
        <v>9.2424757549999992</v>
      </c>
      <c r="Q29" s="581">
        <f t="shared" ref="Q29" si="192">Q10</f>
        <v>56.153561027000002</v>
      </c>
      <c r="R29" s="676">
        <v>4.8827371529999999</v>
      </c>
      <c r="S29" s="581">
        <v>9.2424757549999992</v>
      </c>
      <c r="T29" s="581">
        <f t="shared" ref="T29" si="193">T10</f>
        <v>15.175383267000001</v>
      </c>
      <c r="U29" s="676">
        <v>4.8827371529999999</v>
      </c>
      <c r="V29" s="581">
        <v>9.2424757549999992</v>
      </c>
      <c r="W29" s="581">
        <f t="shared" ref="W29" si="194">W10</f>
        <v>14.125212907999998</v>
      </c>
      <c r="X29" s="676">
        <f t="shared" ref="X29:Z29" si="195">X10</f>
        <v>4.882886826</v>
      </c>
      <c r="Y29" s="581">
        <f t="shared" si="195"/>
        <v>8.7553598270000013</v>
      </c>
      <c r="Z29" s="581">
        <f t="shared" si="195"/>
        <v>13.638246653000001</v>
      </c>
      <c r="AA29" s="676">
        <f t="shared" ref="AA29:AC29" si="196">AA10</f>
        <v>4.6355158509999992</v>
      </c>
      <c r="AB29" s="581">
        <f t="shared" si="196"/>
        <v>8.5792023480000008</v>
      </c>
      <c r="AC29" s="581">
        <f t="shared" si="196"/>
        <v>13.214718199</v>
      </c>
      <c r="AD29" s="676">
        <f t="shared" ref="AD29:BV29" si="197">AD10</f>
        <v>11.488676325999998</v>
      </c>
      <c r="AE29" s="581">
        <f t="shared" si="197"/>
        <v>21.753126241</v>
      </c>
      <c r="AF29" s="581">
        <f t="shared" si="197"/>
        <v>33.241802567000001</v>
      </c>
      <c r="AG29" s="676">
        <f t="shared" si="197"/>
        <v>3.9775826140000001</v>
      </c>
      <c r="AH29" s="581">
        <f t="shared" si="197"/>
        <v>7.1970614500000005</v>
      </c>
      <c r="AI29" s="581">
        <f t="shared" si="197"/>
        <v>11.174644064000001</v>
      </c>
      <c r="AJ29" s="676">
        <f t="shared" si="197"/>
        <v>3.2298164580000002</v>
      </c>
      <c r="AK29" s="581">
        <f t="shared" si="197"/>
        <v>5.8348172609999995</v>
      </c>
      <c r="AL29" s="581">
        <f t="shared" si="197"/>
        <v>9.0646337189999997</v>
      </c>
      <c r="AM29" s="676">
        <f t="shared" si="197"/>
        <v>2.3484673699999998</v>
      </c>
      <c r="AN29" s="581">
        <f t="shared" si="197"/>
        <v>4.785105111</v>
      </c>
      <c r="AO29" s="581">
        <f t="shared" si="197"/>
        <v>7.1335724809999999</v>
      </c>
      <c r="AP29" s="676">
        <f t="shared" si="197"/>
        <v>1.9328098839999999</v>
      </c>
      <c r="AQ29" s="581">
        <f t="shared" si="197"/>
        <v>3.9361424190000003</v>
      </c>
      <c r="AR29" s="581">
        <f t="shared" si="197"/>
        <v>5.8689523030000004</v>
      </c>
      <c r="AS29" s="676">
        <f t="shared" si="197"/>
        <v>10.160769788</v>
      </c>
      <c r="AT29" s="581">
        <f t="shared" si="197"/>
        <v>23.236926371999999</v>
      </c>
      <c r="AU29" s="581">
        <f t="shared" si="197"/>
        <v>33.397696159999995</v>
      </c>
      <c r="AV29" s="581">
        <f t="shared" si="197"/>
        <v>2.006232287</v>
      </c>
      <c r="AW29" s="581">
        <f t="shared" si="197"/>
        <v>4.4860845500000002</v>
      </c>
      <c r="AX29" s="581">
        <f t="shared" si="197"/>
        <v>6.4923168370000006</v>
      </c>
      <c r="AY29" s="581">
        <f t="shared" si="197"/>
        <v>2.3081305539999999</v>
      </c>
      <c r="AZ29" s="581">
        <f t="shared" si="197"/>
        <v>5.2259458309999998</v>
      </c>
      <c r="BA29" s="581">
        <f t="shared" si="197"/>
        <v>7.5340763849999997</v>
      </c>
      <c r="BB29" s="581">
        <f t="shared" si="197"/>
        <v>2.7461958979999999</v>
      </c>
      <c r="BC29" s="581">
        <f t="shared" si="197"/>
        <v>6.2963296800000004</v>
      </c>
      <c r="BD29" s="581">
        <f t="shared" si="197"/>
        <v>9.0425255779999993</v>
      </c>
      <c r="BE29" s="581">
        <f t="shared" si="197"/>
        <v>3.1002110489999999</v>
      </c>
      <c r="BF29" s="581">
        <f t="shared" si="197"/>
        <v>7.2285663109999998</v>
      </c>
      <c r="BG29" s="581">
        <f t="shared" si="197"/>
        <v>10.32877736</v>
      </c>
      <c r="BH29" s="581">
        <f t="shared" si="197"/>
        <v>22.542443754000001</v>
      </c>
      <c r="BI29" s="581">
        <f t="shared" si="197"/>
        <v>61.657721766999998</v>
      </c>
      <c r="BJ29" s="581">
        <f t="shared" si="197"/>
        <v>84.200165521000002</v>
      </c>
      <c r="BK29" s="581">
        <f t="shared" si="197"/>
        <v>4.0617170580000002</v>
      </c>
      <c r="BL29" s="581">
        <f t="shared" si="197"/>
        <v>10.068515429</v>
      </c>
      <c r="BM29" s="581">
        <f t="shared" si="197"/>
        <v>14.130232487000001</v>
      </c>
      <c r="BN29" s="581">
        <f t="shared" si="197"/>
        <v>5.0160838840000004</v>
      </c>
      <c r="BO29" s="581">
        <f t="shared" si="197"/>
        <v>13.346890641000002</v>
      </c>
      <c r="BP29" s="581">
        <f t="shared" si="197"/>
        <v>18.362974525000002</v>
      </c>
      <c r="BQ29" s="581">
        <f t="shared" si="197"/>
        <v>6.1734614580000002</v>
      </c>
      <c r="BR29" s="581">
        <f t="shared" si="197"/>
        <v>17.167325814999998</v>
      </c>
      <c r="BS29" s="581">
        <f t="shared" si="197"/>
        <v>23.340787272999997</v>
      </c>
      <c r="BT29" s="581">
        <f t="shared" si="197"/>
        <v>7.2911813539999999</v>
      </c>
      <c r="BU29" s="581">
        <f t="shared" si="197"/>
        <v>21.074989882000001</v>
      </c>
      <c r="BV29" s="581">
        <f t="shared" si="197"/>
        <v>28.366171236</v>
      </c>
    </row>
    <row r="30" spans="2:74" x14ac:dyDescent="0.3">
      <c r="B30" s="618" t="s">
        <v>190</v>
      </c>
      <c r="C30" s="618" t="s">
        <v>124</v>
      </c>
      <c r="D30" s="619">
        <f>SUM(X30,AA30,U30,R30)</f>
        <v>17.047353484999999</v>
      </c>
      <c r="E30" s="619">
        <f t="shared" si="188"/>
        <v>1383.5407166539999</v>
      </c>
      <c r="F30" s="619">
        <f t="shared" ref="F30:I30" si="198">F14+F17</f>
        <v>1359.7302418479999</v>
      </c>
      <c r="G30" s="619">
        <f t="shared" si="190"/>
        <v>11.972259268999998</v>
      </c>
      <c r="H30" s="619">
        <f t="shared" si="191"/>
        <v>777.3784004150001</v>
      </c>
      <c r="I30" s="619">
        <f t="shared" si="198"/>
        <v>789.35065968400011</v>
      </c>
      <c r="J30" s="389">
        <f t="shared" si="160"/>
        <v>0.42390446965520034</v>
      </c>
      <c r="K30" s="389">
        <f t="shared" si="160"/>
        <v>0.77975194051623076</v>
      </c>
      <c r="L30" s="389">
        <f t="shared" si="160"/>
        <v>0.72259340657590543</v>
      </c>
      <c r="N30" s="674"/>
      <c r="O30" s="680">
        <v>4.7535033369999997</v>
      </c>
      <c r="P30" s="619">
        <v>441.61088810900003</v>
      </c>
      <c r="Q30" s="619">
        <f t="shared" ref="Q30" si="199">Q14+Q17</f>
        <v>1359.7302418479999</v>
      </c>
      <c r="R30" s="680">
        <v>4.7535033369999997</v>
      </c>
      <c r="S30" s="619">
        <v>441.61088810900003</v>
      </c>
      <c r="T30" s="619">
        <f t="shared" ref="T30" si="200">T14+T17</f>
        <v>405.50656315499998</v>
      </c>
      <c r="U30" s="680">
        <v>4.7535033369999997</v>
      </c>
      <c r="V30" s="619">
        <v>441.61088810900003</v>
      </c>
      <c r="W30" s="619">
        <f t="shared" ref="W30" si="201">W14+W17</f>
        <v>446.36439144600001</v>
      </c>
      <c r="X30" s="680">
        <f t="shared" ref="X30:Z30" si="202">X14+X17</f>
        <v>3.5920597269999996</v>
      </c>
      <c r="Y30" s="619">
        <f t="shared" si="202"/>
        <v>202.780039238</v>
      </c>
      <c r="Z30" s="619">
        <f t="shared" si="202"/>
        <v>206.37209896499999</v>
      </c>
      <c r="AA30" s="680">
        <f t="shared" ref="AA30:AC30" si="203">AA14+AA17</f>
        <v>3.9482870839999995</v>
      </c>
      <c r="AB30" s="619">
        <f t="shared" si="203"/>
        <v>297.53890119799996</v>
      </c>
      <c r="AC30" s="619">
        <f t="shared" si="203"/>
        <v>301.48718828199998</v>
      </c>
      <c r="AD30" s="680">
        <f t="shared" ref="AD30:BV30" si="204">AD14+AD17</f>
        <v>11.972259268999998</v>
      </c>
      <c r="AE30" s="619">
        <f t="shared" si="204"/>
        <v>777.37840041499999</v>
      </c>
      <c r="AF30" s="619">
        <f t="shared" si="204"/>
        <v>789.35065968399999</v>
      </c>
      <c r="AG30" s="680">
        <f t="shared" si="204"/>
        <v>3.8311701170000001</v>
      </c>
      <c r="AH30" s="619">
        <f t="shared" si="204"/>
        <v>267.37080112600006</v>
      </c>
      <c r="AI30" s="619">
        <f t="shared" si="204"/>
        <v>271.201971243</v>
      </c>
      <c r="AJ30" s="680">
        <f t="shared" si="204"/>
        <v>3.1938645709999998</v>
      </c>
      <c r="AK30" s="619">
        <f t="shared" si="204"/>
        <v>220.09480297200002</v>
      </c>
      <c r="AL30" s="619">
        <f t="shared" si="204"/>
        <v>223.28866754300003</v>
      </c>
      <c r="AM30" s="680">
        <f t="shared" si="204"/>
        <v>2.8911412799999998</v>
      </c>
      <c r="AN30" s="619">
        <f t="shared" si="204"/>
        <v>154.76589530299998</v>
      </c>
      <c r="AO30" s="619">
        <f t="shared" si="204"/>
        <v>157.65703658299998</v>
      </c>
      <c r="AP30" s="680">
        <f t="shared" si="204"/>
        <v>2.0560833010000001</v>
      </c>
      <c r="AQ30" s="619">
        <f t="shared" si="204"/>
        <v>135.14690101400001</v>
      </c>
      <c r="AR30" s="619">
        <f t="shared" si="204"/>
        <v>137.20298431500001</v>
      </c>
      <c r="AS30" s="680">
        <f t="shared" si="204"/>
        <v>4.4599470830000003</v>
      </c>
      <c r="AT30" s="619">
        <f t="shared" si="204"/>
        <v>200.20362368500003</v>
      </c>
      <c r="AU30" s="619">
        <f t="shared" si="204"/>
        <v>204.66357076800003</v>
      </c>
      <c r="AV30" s="619">
        <f t="shared" si="204"/>
        <v>1.106815823</v>
      </c>
      <c r="AW30" s="619">
        <f t="shared" si="204"/>
        <v>58.624190236000004</v>
      </c>
      <c r="AX30" s="619">
        <f t="shared" si="204"/>
        <v>59.731006058999995</v>
      </c>
      <c r="AY30" s="619">
        <f t="shared" si="204"/>
        <v>1.0571331349999999</v>
      </c>
      <c r="AZ30" s="619">
        <f t="shared" si="204"/>
        <v>73.549630503000003</v>
      </c>
      <c r="BA30" s="619">
        <f t="shared" si="204"/>
        <v>74.606763638000004</v>
      </c>
      <c r="BB30" s="619">
        <f t="shared" si="204"/>
        <v>1.03297956</v>
      </c>
      <c r="BC30" s="619">
        <f t="shared" si="204"/>
        <v>39.262684562000004</v>
      </c>
      <c r="BD30" s="619">
        <f t="shared" si="204"/>
        <v>40.295664122000005</v>
      </c>
      <c r="BE30" s="619">
        <f t="shared" si="204"/>
        <v>1.2630185649999999</v>
      </c>
      <c r="BF30" s="619">
        <f t="shared" si="204"/>
        <v>28.767118384</v>
      </c>
      <c r="BG30" s="619">
        <f t="shared" si="204"/>
        <v>30.030136948999996</v>
      </c>
      <c r="BH30" s="619">
        <f t="shared" si="204"/>
        <v>14.213701601</v>
      </c>
      <c r="BI30" s="619">
        <f t="shared" si="204"/>
        <v>491.569964121</v>
      </c>
      <c r="BJ30" s="619">
        <f t="shared" si="204"/>
        <v>505.78366572199997</v>
      </c>
      <c r="BK30" s="619">
        <f t="shared" si="204"/>
        <v>1.9880241610000002</v>
      </c>
      <c r="BL30" s="619">
        <f t="shared" si="204"/>
        <v>43.513771129999995</v>
      </c>
      <c r="BM30" s="619">
        <f t="shared" si="204"/>
        <v>45.501795290999993</v>
      </c>
      <c r="BN30" s="619">
        <f t="shared" si="204"/>
        <v>3.0151341989999998</v>
      </c>
      <c r="BO30" s="619">
        <f t="shared" si="204"/>
        <v>81.811294621000002</v>
      </c>
      <c r="BP30" s="619">
        <f t="shared" si="204"/>
        <v>84.826428820000004</v>
      </c>
      <c r="BQ30" s="619">
        <f t="shared" si="204"/>
        <v>3.9699768499999997</v>
      </c>
      <c r="BR30" s="619">
        <f t="shared" si="204"/>
        <v>117.96036736799999</v>
      </c>
      <c r="BS30" s="619">
        <f t="shared" si="204"/>
        <v>121.93034421799999</v>
      </c>
      <c r="BT30" s="619">
        <f t="shared" si="204"/>
        <v>5.2405663909999998</v>
      </c>
      <c r="BU30" s="619">
        <f t="shared" si="204"/>
        <v>248.28453100199999</v>
      </c>
      <c r="BV30" s="619">
        <f t="shared" si="204"/>
        <v>253.52509739300001</v>
      </c>
    </row>
    <row r="31" spans="2:74" s="374" customFormat="1" x14ac:dyDescent="0.3">
      <c r="B31" s="482" t="s">
        <v>112</v>
      </c>
      <c r="C31" s="482" t="s">
        <v>129</v>
      </c>
      <c r="D31" s="592">
        <f>D25+D28</f>
        <v>222.00236530400002</v>
      </c>
      <c r="E31" s="592">
        <f t="shared" ref="E31:I31" si="205">E25+E28</f>
        <v>1419.3602303389998</v>
      </c>
      <c r="F31" s="592">
        <f t="shared" si="205"/>
        <v>1666.723759425</v>
      </c>
      <c r="G31" s="592">
        <f t="shared" si="205"/>
        <v>269.20685038800002</v>
      </c>
      <c r="H31" s="592">
        <f t="shared" si="205"/>
        <v>799.13152665600012</v>
      </c>
      <c r="I31" s="592">
        <f t="shared" si="205"/>
        <v>1068.338377044</v>
      </c>
      <c r="J31" s="591">
        <f t="shared" si="160"/>
        <v>-0.17534652263107553</v>
      </c>
      <c r="K31" s="591">
        <f t="shared" si="160"/>
        <v>0.7761284381788478</v>
      </c>
      <c r="L31" s="591">
        <f t="shared" si="160"/>
        <v>0.56010847802423869</v>
      </c>
      <c r="M31" s="474"/>
      <c r="N31" s="672"/>
      <c r="O31" s="679">
        <v>72.04010267999999</v>
      </c>
      <c r="P31" s="592">
        <v>450.85336386400002</v>
      </c>
      <c r="Q31" s="592">
        <f t="shared" ref="Q31" si="206">Q25+Q28</f>
        <v>1666.7243287859999</v>
      </c>
      <c r="R31" s="679">
        <v>72.04010267999999</v>
      </c>
      <c r="S31" s="592">
        <v>450.85336386400002</v>
      </c>
      <c r="T31" s="592">
        <f t="shared" ref="T31" si="207">T25+T28</f>
        <v>485.850768136</v>
      </c>
      <c r="U31" s="679">
        <v>72.04010267999999</v>
      </c>
      <c r="V31" s="592">
        <v>450.85336386400002</v>
      </c>
      <c r="W31" s="592">
        <f t="shared" ref="W31" si="208">W25+W28</f>
        <v>522.89346654400003</v>
      </c>
      <c r="X31" s="679">
        <f t="shared" ref="X31:Z31" si="209">X25+X28</f>
        <v>68.864053838000004</v>
      </c>
      <c r="Y31" s="592">
        <f t="shared" si="209"/>
        <v>211.53539906500001</v>
      </c>
      <c r="Z31" s="592">
        <f t="shared" si="209"/>
        <v>280.399452903</v>
      </c>
      <c r="AA31" s="679">
        <f t="shared" ref="AA31:AC31" si="210">AA25+AA28</f>
        <v>71.461968295999995</v>
      </c>
      <c r="AB31" s="592">
        <f t="shared" si="210"/>
        <v>306.11810354599999</v>
      </c>
      <c r="AC31" s="592">
        <f t="shared" si="210"/>
        <v>377.580071842</v>
      </c>
      <c r="AD31" s="679">
        <f t="shared" ref="AD31:BV31" si="211">AD25+AD28</f>
        <v>269.20685038799996</v>
      </c>
      <c r="AE31" s="592">
        <f t="shared" si="211"/>
        <v>799.13152665600001</v>
      </c>
      <c r="AF31" s="592">
        <f t="shared" si="211"/>
        <v>1068.338377044</v>
      </c>
      <c r="AG31" s="679">
        <f t="shared" si="211"/>
        <v>71.780697466999996</v>
      </c>
      <c r="AH31" s="592">
        <f t="shared" si="211"/>
        <v>274.56786257600004</v>
      </c>
      <c r="AI31" s="592">
        <f t="shared" si="211"/>
        <v>346.34856004300002</v>
      </c>
      <c r="AJ31" s="679">
        <f t="shared" si="211"/>
        <v>68.931087065000014</v>
      </c>
      <c r="AK31" s="592">
        <f t="shared" si="211"/>
        <v>225.92962023300004</v>
      </c>
      <c r="AL31" s="592">
        <f t="shared" si="211"/>
        <v>294.86070729800002</v>
      </c>
      <c r="AM31" s="679">
        <f t="shared" si="211"/>
        <v>67.425436073</v>
      </c>
      <c r="AN31" s="592">
        <f t="shared" si="211"/>
        <v>159.55100041399999</v>
      </c>
      <c r="AO31" s="592">
        <f t="shared" si="211"/>
        <v>226.97643648699997</v>
      </c>
      <c r="AP31" s="679">
        <f t="shared" si="211"/>
        <v>61.069629782999996</v>
      </c>
      <c r="AQ31" s="592">
        <f t="shared" si="211"/>
        <v>139.083043433</v>
      </c>
      <c r="AR31" s="592">
        <f t="shared" si="211"/>
        <v>200.15267321599998</v>
      </c>
      <c r="AS31" s="679">
        <f t="shared" si="211"/>
        <v>187.07116525999999</v>
      </c>
      <c r="AT31" s="592">
        <f t="shared" si="211"/>
        <v>223.44055005700002</v>
      </c>
      <c r="AU31" s="592">
        <f t="shared" si="211"/>
        <v>410.51171531700004</v>
      </c>
      <c r="AV31" s="592">
        <f t="shared" si="211"/>
        <v>53.178360787999999</v>
      </c>
      <c r="AW31" s="592">
        <f t="shared" si="211"/>
        <v>63.110274786000005</v>
      </c>
      <c r="AX31" s="592">
        <f t="shared" si="211"/>
        <v>116.288635574</v>
      </c>
      <c r="AY31" s="592">
        <f t="shared" si="211"/>
        <v>47.546844080999996</v>
      </c>
      <c r="AZ31" s="592">
        <f t="shared" si="211"/>
        <v>78.775576334000007</v>
      </c>
      <c r="BA31" s="592">
        <f t="shared" si="211"/>
        <v>126.32242041500001</v>
      </c>
      <c r="BB31" s="592">
        <f t="shared" si="211"/>
        <v>43.520379948999995</v>
      </c>
      <c r="BC31" s="592">
        <f t="shared" si="211"/>
        <v>45.559014242000003</v>
      </c>
      <c r="BD31" s="592">
        <f t="shared" si="211"/>
        <v>89.079394191000006</v>
      </c>
      <c r="BE31" s="592">
        <f t="shared" si="211"/>
        <v>42.825580441999996</v>
      </c>
      <c r="BF31" s="592">
        <f t="shared" si="211"/>
        <v>35.995684695000001</v>
      </c>
      <c r="BG31" s="592">
        <f t="shared" si="211"/>
        <v>78.821265136999997</v>
      </c>
      <c r="BH31" s="592">
        <f t="shared" si="211"/>
        <v>247.31332913299997</v>
      </c>
      <c r="BI31" s="592">
        <f t="shared" si="211"/>
        <v>553.227685888</v>
      </c>
      <c r="BJ31" s="592">
        <f t="shared" si="211"/>
        <v>800.54101502099991</v>
      </c>
      <c r="BK31" s="592">
        <f t="shared" si="211"/>
        <v>47.755259704000004</v>
      </c>
      <c r="BL31" s="592">
        <f t="shared" si="211"/>
        <v>53.582286558999996</v>
      </c>
      <c r="BM31" s="592">
        <f t="shared" si="211"/>
        <v>101.33754626300001</v>
      </c>
      <c r="BN31" s="592">
        <f t="shared" si="211"/>
        <v>56.765582213999998</v>
      </c>
      <c r="BO31" s="592">
        <f t="shared" si="211"/>
        <v>95.158185262000003</v>
      </c>
      <c r="BP31" s="592">
        <f t="shared" si="211"/>
        <v>151.92376747599999</v>
      </c>
      <c r="BQ31" s="592">
        <f t="shared" si="211"/>
        <v>66.507161425000007</v>
      </c>
      <c r="BR31" s="592">
        <f t="shared" si="211"/>
        <v>135.12769318299999</v>
      </c>
      <c r="BS31" s="592">
        <f t="shared" si="211"/>
        <v>201.63485460799998</v>
      </c>
      <c r="BT31" s="592">
        <f t="shared" si="211"/>
        <v>76.285325789999987</v>
      </c>
      <c r="BU31" s="592">
        <f t="shared" si="211"/>
        <v>269.35952088400001</v>
      </c>
      <c r="BV31" s="592">
        <f t="shared" si="211"/>
        <v>345.64484667400001</v>
      </c>
    </row>
    <row r="32" spans="2:74" x14ac:dyDescent="0.3">
      <c r="B32" s="377"/>
      <c r="C32" s="377"/>
      <c r="D32" s="377"/>
      <c r="E32" s="377"/>
      <c r="F32" s="377"/>
      <c r="G32" s="377"/>
      <c r="H32" s="377"/>
      <c r="I32" s="377"/>
      <c r="J32" s="377"/>
      <c r="K32" s="377"/>
      <c r="L32" s="377"/>
      <c r="N32" s="311"/>
      <c r="O32" s="377"/>
      <c r="P32" s="377"/>
      <c r="Q32" s="377"/>
      <c r="R32" s="377"/>
      <c r="S32" s="377"/>
      <c r="T32" s="377"/>
      <c r="U32" s="377"/>
      <c r="V32" s="377"/>
      <c r="W32" s="377"/>
      <c r="X32" s="377"/>
      <c r="Y32" s="377"/>
      <c r="Z32" s="377"/>
      <c r="AA32" s="377"/>
      <c r="AB32" s="377"/>
      <c r="AC32" s="377"/>
      <c r="AD32" s="377"/>
      <c r="AE32" s="377"/>
      <c r="AF32" s="377"/>
      <c r="AG32" s="377"/>
      <c r="AH32" s="377"/>
      <c r="AI32" s="377"/>
      <c r="AJ32" s="377"/>
      <c r="AK32" s="377"/>
      <c r="AL32" s="377"/>
      <c r="AM32" s="377"/>
      <c r="AN32" s="377"/>
      <c r="AO32" s="377"/>
      <c r="AP32" s="377"/>
      <c r="AQ32" s="377"/>
      <c r="AR32" s="377"/>
      <c r="AS32" s="377"/>
      <c r="AT32" s="377"/>
      <c r="AU32" s="377"/>
      <c r="AV32" s="377"/>
      <c r="AW32" s="377"/>
      <c r="AX32" s="377"/>
      <c r="AY32" s="377"/>
      <c r="AZ32" s="377"/>
      <c r="BA32" s="377"/>
      <c r="BB32" s="377"/>
      <c r="BC32" s="377"/>
      <c r="BD32" s="377"/>
      <c r="BE32" s="377"/>
      <c r="BF32" s="377"/>
      <c r="BG32" s="377"/>
      <c r="BH32" s="377"/>
      <c r="BI32" s="377"/>
      <c r="BJ32" s="377"/>
      <c r="BK32" s="377"/>
      <c r="BL32" s="377"/>
      <c r="BM32" s="377"/>
      <c r="BN32" s="377"/>
      <c r="BO32" s="377"/>
      <c r="BP32" s="377"/>
      <c r="BQ32" s="377"/>
      <c r="BR32" s="377"/>
      <c r="BS32" s="377"/>
      <c r="BT32" s="377"/>
      <c r="BU32" s="377"/>
      <c r="BV32" s="377"/>
    </row>
    <row r="34" spans="2:2" x14ac:dyDescent="0.3">
      <c r="B34" s="374"/>
    </row>
    <row r="35" spans="2:2" x14ac:dyDescent="0.3">
      <c r="B35" s="596"/>
    </row>
    <row r="36" spans="2:2" x14ac:dyDescent="0.3">
      <c r="B36" s="596"/>
    </row>
    <row r="37" spans="2:2" x14ac:dyDescent="0.3">
      <c r="B37" s="596"/>
    </row>
  </sheetData>
  <mergeCells count="29">
    <mergeCell ref="R5:T5"/>
    <mergeCell ref="O5:Q5"/>
    <mergeCell ref="O4:AC4"/>
    <mergeCell ref="U5:W5"/>
    <mergeCell ref="BH4:BV4"/>
    <mergeCell ref="AV5:AX5"/>
    <mergeCell ref="BT5:BV5"/>
    <mergeCell ref="BB5:BD5"/>
    <mergeCell ref="BE5:BG5"/>
    <mergeCell ref="BH5:BJ5"/>
    <mergeCell ref="BK5:BM5"/>
    <mergeCell ref="BN5:BP5"/>
    <mergeCell ref="BQ5:BS5"/>
    <mergeCell ref="D4:F4"/>
    <mergeCell ref="G4:I4"/>
    <mergeCell ref="J4:L5"/>
    <mergeCell ref="AD4:AR4"/>
    <mergeCell ref="AS4:BG4"/>
    <mergeCell ref="AJ5:AL5"/>
    <mergeCell ref="AM5:AO5"/>
    <mergeCell ref="AP5:AR5"/>
    <mergeCell ref="D5:F5"/>
    <mergeCell ref="G5:I5"/>
    <mergeCell ref="AD5:AF5"/>
    <mergeCell ref="AG5:AI5"/>
    <mergeCell ref="AY5:BA5"/>
    <mergeCell ref="X5:Z5"/>
    <mergeCell ref="AS5:AU5"/>
    <mergeCell ref="AA5:AC5"/>
  </mergeCells>
  <phoneticPr fontId="1" type="noConversion"/>
  <pageMargins left="0.23622047244094491" right="0.23622047244094491" top="0.78740157480314965" bottom="0.23622047244094491" header="0.31496062992125984" footer="0.31496062992125984"/>
  <pageSetup paperSize="9"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B1:AG24"/>
  <sheetViews>
    <sheetView showGridLines="0" view="pageBreakPreview" zoomScale="85" zoomScaleNormal="100" zoomScaleSheetLayoutView="85" workbookViewId="0">
      <pane xSplit="8" ySplit="5" topLeftCell="J6" activePane="bottomRight" state="frozen"/>
      <selection activeCell="G47" sqref="G47"/>
      <selection pane="topRight" activeCell="G47" sqref="G47"/>
      <selection pane="bottomLeft" activeCell="G47" sqref="G47"/>
      <selection pane="bottomRight" activeCell="C49" sqref="C49"/>
    </sheetView>
  </sheetViews>
  <sheetFormatPr defaultRowHeight="16.5" outlineLevelCol="3" x14ac:dyDescent="0.3"/>
  <cols>
    <col min="1" max="1" width="5" style="35" customWidth="1"/>
    <col min="2" max="2" width="20.25" style="34" bestFit="1" customWidth="1"/>
    <col min="3" max="3" width="20.5" style="35" bestFit="1" customWidth="1"/>
    <col min="4" max="6" width="10" style="35" customWidth="1"/>
    <col min="7" max="8" width="1.625" style="40" customWidth="1"/>
    <col min="9" max="9" width="10" style="40" hidden="1" customWidth="1"/>
    <col min="10" max="19" width="10" style="40" hidden="1" customWidth="1" outlineLevel="2"/>
    <col min="20" max="29" width="10" style="40" hidden="1" customWidth="1" outlineLevel="3"/>
    <col min="30" max="30" width="9" style="35" hidden="1" customWidth="1" outlineLevel="1"/>
    <col min="31" max="31" width="9" style="35" collapsed="1"/>
    <col min="32" max="32" width="9" style="35"/>
    <col min="33" max="33" width="10.625" style="35" bestFit="1" customWidth="1"/>
    <col min="34" max="16384" width="9" style="35"/>
  </cols>
  <sheetData>
    <row r="1" spans="2:33" s="34" customFormat="1" x14ac:dyDescent="0.3">
      <c r="B1" s="105" t="str">
        <f>[6]INDEX!G16</f>
        <v>채널별 초회보험료</v>
      </c>
      <c r="C1" s="35" t="s">
        <v>1744</v>
      </c>
      <c r="G1" s="48"/>
      <c r="H1" s="48"/>
      <c r="I1" s="48"/>
      <c r="J1" s="48"/>
      <c r="K1" s="48"/>
      <c r="L1" s="48"/>
      <c r="M1" s="48"/>
      <c r="N1" s="48"/>
      <c r="O1" s="48"/>
      <c r="P1" s="48"/>
      <c r="Q1" s="48"/>
      <c r="R1" s="48"/>
      <c r="S1" s="48"/>
      <c r="T1" s="48"/>
      <c r="U1" s="48"/>
      <c r="V1" s="48"/>
      <c r="W1" s="48"/>
      <c r="X1" s="48"/>
      <c r="Y1" s="48"/>
      <c r="Z1" s="48"/>
      <c r="AA1" s="48"/>
      <c r="AB1" s="48"/>
      <c r="AC1" s="48"/>
    </row>
    <row r="2" spans="2:33" x14ac:dyDescent="0.3">
      <c r="B2" s="106" t="s">
        <v>18</v>
      </c>
    </row>
    <row r="3" spans="2:33" s="36" customFormat="1" x14ac:dyDescent="0.3">
      <c r="B3" s="107"/>
      <c r="G3" s="812"/>
      <c r="H3" s="812"/>
      <c r="I3" s="812"/>
      <c r="J3" s="812"/>
      <c r="K3" s="812"/>
      <c r="L3" s="812"/>
      <c r="M3" s="812"/>
      <c r="N3" s="812"/>
      <c r="O3" s="812"/>
      <c r="P3" s="812"/>
      <c r="Q3" s="812"/>
      <c r="R3" s="812"/>
      <c r="S3" s="812"/>
      <c r="T3" s="812"/>
      <c r="U3" s="812"/>
      <c r="V3" s="812"/>
      <c r="W3" s="812"/>
      <c r="X3" s="812"/>
      <c r="Y3" s="812"/>
      <c r="Z3" s="812"/>
      <c r="AA3" s="812"/>
      <c r="AB3" s="812"/>
      <c r="AC3" s="812"/>
    </row>
    <row r="4" spans="2:33" s="36" customFormat="1" x14ac:dyDescent="0.3">
      <c r="B4" s="108"/>
      <c r="C4" s="109"/>
      <c r="D4" s="820">
        <f>L4</f>
        <v>2025</v>
      </c>
      <c r="E4" s="820">
        <f>O4</f>
        <v>2024</v>
      </c>
      <c r="F4" s="841" t="s">
        <v>32</v>
      </c>
      <c r="G4" s="812"/>
      <c r="H4" s="812"/>
      <c r="I4" s="810"/>
      <c r="J4" s="809"/>
      <c r="K4" s="809"/>
      <c r="L4" s="845">
        <v>2025</v>
      </c>
      <c r="M4" s="846"/>
      <c r="N4" s="847"/>
      <c r="O4" s="845">
        <v>2024</v>
      </c>
      <c r="P4" s="846"/>
      <c r="Q4" s="846"/>
      <c r="R4" s="846"/>
      <c r="S4" s="847"/>
      <c r="T4" s="845">
        <v>2023</v>
      </c>
      <c r="U4" s="846"/>
      <c r="V4" s="846"/>
      <c r="W4" s="846"/>
      <c r="X4" s="847"/>
      <c r="Y4" s="845">
        <v>2022</v>
      </c>
      <c r="Z4" s="846"/>
      <c r="AA4" s="846"/>
      <c r="AB4" s="846"/>
      <c r="AC4" s="847"/>
    </row>
    <row r="5" spans="2:33" s="36" customFormat="1" x14ac:dyDescent="0.3">
      <c r="B5" s="123"/>
      <c r="C5" s="830"/>
      <c r="D5" s="820" t="str">
        <f>J5</f>
        <v>FY</v>
      </c>
      <c r="E5" s="523" t="str">
        <f>O5</f>
        <v>FY</v>
      </c>
      <c r="F5" s="842"/>
      <c r="G5" s="812"/>
      <c r="H5" s="812"/>
      <c r="I5" s="810"/>
      <c r="J5" s="820" t="s">
        <v>31</v>
      </c>
      <c r="K5" s="820" t="s">
        <v>28</v>
      </c>
      <c r="L5" s="820" t="s">
        <v>30</v>
      </c>
      <c r="M5" s="820" t="s">
        <v>27</v>
      </c>
      <c r="N5" s="820" t="s">
        <v>29</v>
      </c>
      <c r="O5" s="820" t="s">
        <v>31</v>
      </c>
      <c r="P5" s="820" t="s">
        <v>28</v>
      </c>
      <c r="Q5" s="820" t="s">
        <v>30</v>
      </c>
      <c r="R5" s="820" t="s">
        <v>27</v>
      </c>
      <c r="S5" s="820" t="s">
        <v>29</v>
      </c>
      <c r="T5" s="820" t="s">
        <v>31</v>
      </c>
      <c r="U5" s="820" t="s">
        <v>28</v>
      </c>
      <c r="V5" s="820" t="s">
        <v>30</v>
      </c>
      <c r="W5" s="820" t="s">
        <v>27</v>
      </c>
      <c r="X5" s="820" t="s">
        <v>29</v>
      </c>
      <c r="Y5" s="820" t="s">
        <v>31</v>
      </c>
      <c r="Z5" s="820" t="s">
        <v>28</v>
      </c>
      <c r="AA5" s="820" t="s">
        <v>30</v>
      </c>
      <c r="AB5" s="820" t="s">
        <v>27</v>
      </c>
      <c r="AC5" s="820" t="s">
        <v>29</v>
      </c>
    </row>
    <row r="6" spans="2:33" x14ac:dyDescent="0.3">
      <c r="B6" s="108" t="s">
        <v>188</v>
      </c>
      <c r="C6" s="35" t="s">
        <v>1746</v>
      </c>
      <c r="D6" s="27">
        <f>SUM(K6:N6)</f>
        <v>240.56972572200002</v>
      </c>
      <c r="E6" s="27">
        <f>SUM(P6:S6)</f>
        <v>210.29696125100003</v>
      </c>
      <c r="F6" s="26">
        <f>+IFERROR(IF(E6&lt;0,-(D6/E6-1),(D6/E6-1)),0)</f>
        <v>0.143952457947635</v>
      </c>
      <c r="G6" s="33"/>
      <c r="I6" s="152"/>
      <c r="J6" s="27">
        <v>240.56972572200002</v>
      </c>
      <c r="K6" s="27">
        <v>86.881523642000019</v>
      </c>
      <c r="L6" s="27">
        <v>63.446947051999999</v>
      </c>
      <c r="M6" s="27">
        <v>37.673863584999999</v>
      </c>
      <c r="N6" s="27">
        <v>52.567391442999998</v>
      </c>
      <c r="O6" s="27">
        <f>+SUM(P6:S6)</f>
        <v>210.29696125100003</v>
      </c>
      <c r="P6" s="27">
        <v>57.742474879000007</v>
      </c>
      <c r="Q6" s="27">
        <v>44.686117711999998</v>
      </c>
      <c r="R6" s="27">
        <v>57.724981151000001</v>
      </c>
      <c r="S6" s="27">
        <v>50.143387508999993</v>
      </c>
      <c r="T6" s="27">
        <f t="shared" ref="T6:T10" si="0">SUM(U6:X6)</f>
        <v>58.988583016999989</v>
      </c>
      <c r="U6" s="27">
        <v>19.246391684999999</v>
      </c>
      <c r="V6" s="27">
        <v>18.697781709999997</v>
      </c>
      <c r="W6" s="27">
        <v>12.468462705999999</v>
      </c>
      <c r="X6" s="27">
        <v>8.5759469159999995</v>
      </c>
      <c r="Y6" s="27">
        <f t="shared" ref="Y6:Y10" si="1">SUM(Z6:AC6)</f>
        <v>106.461590309</v>
      </c>
      <c r="Z6" s="27">
        <v>11.676137538999999</v>
      </c>
      <c r="AA6" s="27">
        <v>21.114572247999998</v>
      </c>
      <c r="AB6" s="27">
        <v>25.408669430000003</v>
      </c>
      <c r="AC6" s="27">
        <v>48.262211092000008</v>
      </c>
      <c r="AF6" s="125"/>
      <c r="AG6" s="125"/>
    </row>
    <row r="7" spans="2:33" x14ac:dyDescent="0.3">
      <c r="B7" s="108" t="s">
        <v>185</v>
      </c>
      <c r="C7" s="35" t="s">
        <v>764</v>
      </c>
      <c r="D7" s="27">
        <f>SUM(K7:N7)</f>
        <v>880.80573000000004</v>
      </c>
      <c r="E7" s="27">
        <f>SUM(P7:S7)</f>
        <v>407.36578000000003</v>
      </c>
      <c r="F7" s="26">
        <f t="shared" ref="F7:F10" si="2">+IFERROR(IF(E7&lt;0,-(D7/E7-1),(D7/E7-1)),0)</f>
        <v>1.1621986265022062</v>
      </c>
      <c r="G7" s="33"/>
      <c r="I7" s="152"/>
      <c r="J7" s="27">
        <v>880.80573000000004</v>
      </c>
      <c r="K7" s="27">
        <v>245.96003999999999</v>
      </c>
      <c r="L7" s="27">
        <v>320.65422999999998</v>
      </c>
      <c r="M7" s="27">
        <v>118.46635999999999</v>
      </c>
      <c r="N7" s="27">
        <v>195.7251</v>
      </c>
      <c r="O7" s="27">
        <f t="shared" ref="O7:O8" si="3">+SUM(P7:S7)</f>
        <v>407.36578000000003</v>
      </c>
      <c r="P7" s="27">
        <v>163.15050000000002</v>
      </c>
      <c r="Q7" s="27">
        <v>130.73354</v>
      </c>
      <c r="R7" s="27">
        <v>57.40249</v>
      </c>
      <c r="S7" s="27">
        <v>56.079250000000002</v>
      </c>
      <c r="T7" s="27">
        <f t="shared" si="0"/>
        <v>73.523319999999998</v>
      </c>
      <c r="U7" s="27">
        <v>23.510429999999999</v>
      </c>
      <c r="V7" s="27">
        <v>24.494800000000005</v>
      </c>
      <c r="W7" s="27">
        <v>18.640780000000003</v>
      </c>
      <c r="X7" s="27">
        <v>6.8773100000000005</v>
      </c>
      <c r="Y7" s="27">
        <f t="shared" si="1"/>
        <v>183.84008</v>
      </c>
      <c r="Z7" s="27">
        <v>6.6767000000000003</v>
      </c>
      <c r="AA7" s="27">
        <v>22.213400000000004</v>
      </c>
      <c r="AB7" s="27">
        <v>34.67389</v>
      </c>
      <c r="AC7" s="27">
        <v>120.27609000000001</v>
      </c>
      <c r="AF7" s="125"/>
      <c r="AG7" s="125"/>
    </row>
    <row r="8" spans="2:33" x14ac:dyDescent="0.3">
      <c r="B8" s="108" t="s">
        <v>186</v>
      </c>
      <c r="C8" s="35" t="s">
        <v>132</v>
      </c>
      <c r="D8" s="27">
        <f>SUM(K8:N8)</f>
        <v>2.444100873</v>
      </c>
      <c r="E8" s="27">
        <f>SUM(P8:S8)</f>
        <v>2.2821046040000001</v>
      </c>
      <c r="F8" s="26">
        <f t="shared" si="2"/>
        <v>7.0985470480212864E-2</v>
      </c>
      <c r="G8" s="33"/>
      <c r="I8" s="152"/>
      <c r="J8" s="27">
        <v>2.444100873</v>
      </c>
      <c r="K8" s="27">
        <v>1.3734913569999998</v>
      </c>
      <c r="L8" s="27">
        <v>0.46716943399999999</v>
      </c>
      <c r="M8" s="27">
        <v>0.330519487</v>
      </c>
      <c r="N8" s="27">
        <v>0.27292059499999999</v>
      </c>
      <c r="O8" s="27">
        <f t="shared" si="3"/>
        <v>2.2821046040000001</v>
      </c>
      <c r="P8" s="27">
        <v>0.770742861</v>
      </c>
      <c r="Q8" s="27">
        <v>0.20527426999999998</v>
      </c>
      <c r="R8" s="27">
        <v>1.0040696259999999</v>
      </c>
      <c r="S8" s="27">
        <v>0.30201784700000001</v>
      </c>
      <c r="T8" s="27">
        <f t="shared" si="0"/>
        <v>0.38178114200000002</v>
      </c>
      <c r="U8" s="27">
        <v>8.5740007999999993E-2</v>
      </c>
      <c r="V8" s="27">
        <v>7.4858089999999988E-2</v>
      </c>
      <c r="W8" s="27">
        <v>8.0655684000000005E-2</v>
      </c>
      <c r="X8" s="27">
        <v>0.14052736000000002</v>
      </c>
      <c r="Y8" s="27">
        <f t="shared" si="1"/>
        <v>2.268157639</v>
      </c>
      <c r="Z8" s="27">
        <v>0.36205732499999999</v>
      </c>
      <c r="AA8" s="27">
        <v>0.74164734399999999</v>
      </c>
      <c r="AB8" s="27">
        <v>0.78588006799999999</v>
      </c>
      <c r="AC8" s="27">
        <v>0.37857290200000004</v>
      </c>
      <c r="AF8" s="129"/>
      <c r="AG8" s="301"/>
    </row>
    <row r="9" spans="2:33" s="112" customFormat="1" x14ac:dyDescent="0.3">
      <c r="B9" s="24" t="s">
        <v>112</v>
      </c>
      <c r="C9" s="117" t="s">
        <v>129</v>
      </c>
      <c r="D9" s="31">
        <f>SUM(D6:D8)</f>
        <v>1123.819556595</v>
      </c>
      <c r="E9" s="31">
        <f>SUM(E6:E8)</f>
        <v>619.94484585500004</v>
      </c>
      <c r="F9" s="42">
        <f t="shared" si="2"/>
        <v>0.81277344929786244</v>
      </c>
      <c r="G9" s="220"/>
      <c r="H9" s="133"/>
      <c r="I9" s="153">
        <f t="shared" ref="I9:S9" si="4">SUM(I6:I8)</f>
        <v>0</v>
      </c>
      <c r="J9" s="31">
        <v>1123.819556595</v>
      </c>
      <c r="K9" s="31">
        <v>334.21505499899996</v>
      </c>
      <c r="L9" s="31">
        <f t="shared" si="4"/>
        <v>384.568346486</v>
      </c>
      <c r="M9" s="31">
        <f t="shared" ref="M9:N9" si="5">SUM(M6:M8)</f>
        <v>156.470743072</v>
      </c>
      <c r="N9" s="31">
        <f t="shared" si="5"/>
        <v>248.56541203799998</v>
      </c>
      <c r="O9" s="31">
        <f t="shared" si="4"/>
        <v>619.94484585500004</v>
      </c>
      <c r="P9" s="31">
        <f t="shared" si="4"/>
        <v>221.66371774000004</v>
      </c>
      <c r="Q9" s="31">
        <f t="shared" si="4"/>
        <v>175.62493198199999</v>
      </c>
      <c r="R9" s="31">
        <f t="shared" si="4"/>
        <v>116.13154077700001</v>
      </c>
      <c r="S9" s="31">
        <f t="shared" si="4"/>
        <v>106.524655356</v>
      </c>
      <c r="T9" s="31">
        <f t="shared" si="0"/>
        <v>132.893684159</v>
      </c>
      <c r="U9" s="31">
        <f>SUM(U6:U8)</f>
        <v>42.842561693</v>
      </c>
      <c r="V9" s="31">
        <f>SUM(V6:V8)</f>
        <v>43.267439799999998</v>
      </c>
      <c r="W9" s="31">
        <f>SUM(W6:W8)</f>
        <v>31.189898390000003</v>
      </c>
      <c r="X9" s="31">
        <f>SUM(X6:X8)</f>
        <v>15.593784276000001</v>
      </c>
      <c r="Y9" s="31">
        <f t="shared" si="1"/>
        <v>292.56982794800001</v>
      </c>
      <c r="Z9" s="31">
        <f>SUM(Z6:Z8)</f>
        <v>18.714894863999998</v>
      </c>
      <c r="AA9" s="31">
        <f>SUM(AA6:AA8)</f>
        <v>44.069619592000002</v>
      </c>
      <c r="AB9" s="31">
        <f>SUM(AB6:AB8)</f>
        <v>60.868439498000001</v>
      </c>
      <c r="AC9" s="31">
        <f>SUM(AC6:AC8)</f>
        <v>168.91687399400001</v>
      </c>
    </row>
    <row r="10" spans="2:33" x14ac:dyDescent="0.3">
      <c r="B10" s="406" t="s">
        <v>106</v>
      </c>
      <c r="C10" s="132" t="s">
        <v>133</v>
      </c>
      <c r="D10" s="46">
        <f>SUM(K10:N10)</f>
        <v>185.42358455300001</v>
      </c>
      <c r="E10" s="46">
        <f>SUM(P10:S10)</f>
        <v>119.334711787</v>
      </c>
      <c r="F10" s="25">
        <f t="shared" si="2"/>
        <v>0.55381097231760812</v>
      </c>
      <c r="G10" s="33"/>
      <c r="I10" s="686"/>
      <c r="J10" s="46">
        <v>185.42358455300001</v>
      </c>
      <c r="K10" s="46">
        <v>64.464327839000006</v>
      </c>
      <c r="L10" s="46">
        <v>40.83739825</v>
      </c>
      <c r="M10" s="46">
        <v>31.668948916000002</v>
      </c>
      <c r="N10" s="46">
        <v>48.452909548000001</v>
      </c>
      <c r="O10" s="46">
        <f>+SUM(P10:S10)</f>
        <v>119.334711787</v>
      </c>
      <c r="P10" s="46">
        <v>23.468583891000002</v>
      </c>
      <c r="Q10" s="46">
        <v>18.795905292</v>
      </c>
      <c r="R10" s="46">
        <v>21.847338954000001</v>
      </c>
      <c r="S10" s="46">
        <v>55.22288365</v>
      </c>
      <c r="T10" s="46">
        <f t="shared" si="0"/>
        <v>105.29943888400001</v>
      </c>
      <c r="U10" s="46">
        <v>20.253667509</v>
      </c>
      <c r="V10" s="46">
        <v>22.700892321000001</v>
      </c>
      <c r="W10" s="46">
        <v>26.070753705000001</v>
      </c>
      <c r="X10" s="46">
        <v>36.274125348999995</v>
      </c>
      <c r="Y10" s="46">
        <f t="shared" si="1"/>
        <v>158.48913837500001</v>
      </c>
      <c r="Z10" s="46">
        <v>51.649307120000003</v>
      </c>
      <c r="AA10" s="46">
        <v>33.923165081999997</v>
      </c>
      <c r="AB10" s="46">
        <v>31.837706912999998</v>
      </c>
      <c r="AC10" s="46">
        <v>41.078959259999998</v>
      </c>
    </row>
    <row r="11" spans="2:33" x14ac:dyDescent="0.3">
      <c r="B11" s="138"/>
      <c r="C11" s="37"/>
      <c r="D11" s="37"/>
      <c r="E11" s="37"/>
      <c r="F11" s="37"/>
    </row>
    <row r="13" spans="2:33" s="34" customFormat="1" x14ac:dyDescent="0.3">
      <c r="B13" s="105" t="str">
        <f>[6]INDEX!G17</f>
        <v>채널별 초년도보험료</v>
      </c>
      <c r="C13" s="40" t="s">
        <v>1745</v>
      </c>
      <c r="G13" s="48"/>
      <c r="H13" s="48"/>
      <c r="I13" s="48"/>
      <c r="J13" s="48"/>
      <c r="K13" s="48"/>
      <c r="L13" s="48"/>
      <c r="M13" s="48"/>
      <c r="N13" s="48"/>
      <c r="O13" s="48"/>
      <c r="P13" s="48"/>
      <c r="Q13" s="48"/>
      <c r="R13" s="48"/>
      <c r="S13" s="48"/>
      <c r="T13" s="48"/>
      <c r="U13" s="48"/>
      <c r="V13" s="48"/>
      <c r="W13" s="48"/>
      <c r="X13" s="48"/>
      <c r="Y13" s="48"/>
      <c r="Z13" s="48"/>
      <c r="AA13" s="48"/>
      <c r="AB13" s="48"/>
      <c r="AC13" s="48"/>
    </row>
    <row r="14" spans="2:33" x14ac:dyDescent="0.3">
      <c r="B14" s="106" t="s">
        <v>18</v>
      </c>
    </row>
    <row r="15" spans="2:33" s="36" customFormat="1" x14ac:dyDescent="0.3">
      <c r="B15" s="107"/>
      <c r="G15" s="812"/>
      <c r="H15" s="812"/>
      <c r="I15" s="812"/>
      <c r="J15" s="812"/>
      <c r="K15" s="812"/>
      <c r="L15" s="812"/>
      <c r="M15" s="812"/>
      <c r="N15" s="812"/>
      <c r="O15" s="812"/>
      <c r="P15" s="812"/>
      <c r="Q15" s="812"/>
      <c r="R15" s="812"/>
      <c r="S15" s="812"/>
      <c r="T15" s="812"/>
      <c r="U15" s="812"/>
      <c r="V15" s="812"/>
      <c r="W15" s="812"/>
      <c r="X15" s="812"/>
      <c r="Y15" s="812"/>
      <c r="Z15" s="812"/>
      <c r="AA15" s="812"/>
      <c r="AB15" s="812"/>
      <c r="AC15" s="812"/>
    </row>
    <row r="16" spans="2:33" s="36" customFormat="1" x14ac:dyDescent="0.3">
      <c r="B16" s="108"/>
      <c r="C16" s="109"/>
      <c r="D16" s="820">
        <f>D4</f>
        <v>2025</v>
      </c>
      <c r="E16" s="820">
        <f>E4</f>
        <v>2024</v>
      </c>
      <c r="F16" s="841" t="s">
        <v>32</v>
      </c>
      <c r="G16" s="812"/>
      <c r="H16" s="812"/>
      <c r="I16" s="810"/>
      <c r="J16" s="809"/>
      <c r="K16" s="809"/>
      <c r="L16" s="809"/>
      <c r="M16" s="845">
        <f>L4</f>
        <v>2025</v>
      </c>
      <c r="N16" s="847"/>
      <c r="O16" s="845">
        <v>2024</v>
      </c>
      <c r="P16" s="846"/>
      <c r="Q16" s="846"/>
      <c r="R16" s="846"/>
      <c r="S16" s="847"/>
      <c r="T16" s="845">
        <v>2023</v>
      </c>
      <c r="U16" s="846"/>
      <c r="V16" s="846"/>
      <c r="W16" s="846"/>
      <c r="X16" s="847"/>
      <c r="Y16" s="845">
        <v>2022</v>
      </c>
      <c r="Z16" s="846"/>
      <c r="AA16" s="846"/>
      <c r="AB16" s="846"/>
      <c r="AC16" s="847"/>
    </row>
    <row r="17" spans="2:29" s="36" customFormat="1" x14ac:dyDescent="0.3">
      <c r="B17" s="123"/>
      <c r="C17" s="830"/>
      <c r="D17" s="808" t="str">
        <f>D5</f>
        <v>FY</v>
      </c>
      <c r="E17" s="808" t="str">
        <f>E5</f>
        <v>FY</v>
      </c>
      <c r="F17" s="842"/>
      <c r="G17" s="812"/>
      <c r="H17" s="812"/>
      <c r="I17" s="810"/>
      <c r="J17" s="820" t="str">
        <f t="shared" ref="J17:P17" si="6">J5</f>
        <v>FY</v>
      </c>
      <c r="K17" s="820" t="str">
        <f t="shared" si="6"/>
        <v>Q4</v>
      </c>
      <c r="L17" s="820" t="str">
        <f t="shared" si="6"/>
        <v>Q3</v>
      </c>
      <c r="M17" s="820" t="str">
        <f t="shared" si="6"/>
        <v>Q2</v>
      </c>
      <c r="N17" s="820" t="str">
        <f t="shared" si="6"/>
        <v>Q1</v>
      </c>
      <c r="O17" s="820" t="str">
        <f t="shared" si="6"/>
        <v>FY</v>
      </c>
      <c r="P17" s="820" t="str">
        <f t="shared" si="6"/>
        <v>Q4</v>
      </c>
      <c r="Q17" s="820" t="s">
        <v>30</v>
      </c>
      <c r="R17" s="820" t="s">
        <v>27</v>
      </c>
      <c r="S17" s="820" t="s">
        <v>29</v>
      </c>
      <c r="T17" s="820" t="s">
        <v>31</v>
      </c>
      <c r="U17" s="820" t="s">
        <v>28</v>
      </c>
      <c r="V17" s="820" t="s">
        <v>30</v>
      </c>
      <c r="W17" s="820" t="s">
        <v>27</v>
      </c>
      <c r="X17" s="820" t="s">
        <v>29</v>
      </c>
      <c r="Y17" s="820" t="s">
        <v>31</v>
      </c>
      <c r="Z17" s="820" t="s">
        <v>28</v>
      </c>
      <c r="AA17" s="820" t="s">
        <v>30</v>
      </c>
      <c r="AB17" s="820" t="s">
        <v>27</v>
      </c>
      <c r="AC17" s="820" t="s">
        <v>29</v>
      </c>
    </row>
    <row r="18" spans="2:29" x14ac:dyDescent="0.3">
      <c r="B18" s="108" t="s">
        <v>188</v>
      </c>
      <c r="C18" s="35" t="s">
        <v>1746</v>
      </c>
      <c r="D18" s="27">
        <f>SUM(K18:N18)</f>
        <v>664.27635197800009</v>
      </c>
      <c r="E18" s="27">
        <f>SUM(P18:S18)</f>
        <v>567.618595841</v>
      </c>
      <c r="F18" s="26">
        <f t="shared" ref="F18:F22" si="7">+IFERROR(IF(E18&lt;0,-(D18/E18-1),(D18/E18-1)),0)</f>
        <v>0.17028645087603089</v>
      </c>
      <c r="G18" s="33"/>
      <c r="I18" s="152"/>
      <c r="J18" s="27">
        <v>664.27635197800009</v>
      </c>
      <c r="K18" s="27">
        <v>206.41988528300001</v>
      </c>
      <c r="L18" s="27">
        <v>166.49168697900001</v>
      </c>
      <c r="M18" s="27">
        <v>135.71370297999999</v>
      </c>
      <c r="N18" s="27">
        <v>155.65107673599999</v>
      </c>
      <c r="O18" s="27">
        <f>+SUM(P18:S18)</f>
        <v>567.618595841</v>
      </c>
      <c r="P18" s="27">
        <v>157.47597135000001</v>
      </c>
      <c r="Q18" s="27">
        <v>138.01403242999999</v>
      </c>
      <c r="R18" s="27">
        <v>148.032931813</v>
      </c>
      <c r="S18" s="27">
        <v>124.095660248</v>
      </c>
      <c r="T18" s="27">
        <f t="shared" ref="T18:T20" si="8">SUM(U18:X18)</f>
        <v>289.952194179</v>
      </c>
      <c r="U18" s="27">
        <v>81.936121190999998</v>
      </c>
      <c r="V18" s="27">
        <v>75.977895844000003</v>
      </c>
      <c r="W18" s="27">
        <v>65.704600872</v>
      </c>
      <c r="X18" s="27">
        <v>66.333576272000002</v>
      </c>
      <c r="Y18" s="27">
        <f t="shared" ref="Y18:Y22" si="9">SUM(Z18:AC18)</f>
        <v>532.63495461000002</v>
      </c>
      <c r="Z18" s="27">
        <v>84.436488271999991</v>
      </c>
      <c r="AA18" s="27">
        <v>114.54792714200001</v>
      </c>
      <c r="AB18" s="27">
        <v>143.24605764</v>
      </c>
      <c r="AC18" s="27">
        <v>190.40448155599998</v>
      </c>
    </row>
    <row r="19" spans="2:29" x14ac:dyDescent="0.3">
      <c r="B19" s="108" t="s">
        <v>185</v>
      </c>
      <c r="C19" s="35" t="s">
        <v>764</v>
      </c>
      <c r="D19" s="27">
        <f>SUM(K19:N19)</f>
        <v>997.26509883200004</v>
      </c>
      <c r="E19" s="27">
        <f>SUM(P19:S19)</f>
        <v>495.35588508000001</v>
      </c>
      <c r="F19" s="26">
        <f t="shared" si="7"/>
        <v>1.0132295363179984</v>
      </c>
      <c r="G19" s="33"/>
      <c r="I19" s="152"/>
      <c r="J19" s="27">
        <v>997.26509883200004</v>
      </c>
      <c r="K19" s="27">
        <v>277.32279919799998</v>
      </c>
      <c r="L19" s="27">
        <v>355.31835999999998</v>
      </c>
      <c r="M19" s="27">
        <v>143.85363999999998</v>
      </c>
      <c r="N19" s="27">
        <v>220.770299634</v>
      </c>
      <c r="O19" s="27">
        <f t="shared" ref="O19:O20" si="10">+SUM(P19:S19)</f>
        <v>495.35588508000001</v>
      </c>
      <c r="P19" s="27">
        <v>186.90349445100003</v>
      </c>
      <c r="Q19" s="27">
        <v>155.615019141</v>
      </c>
      <c r="R19" s="27">
        <v>77.488516560999997</v>
      </c>
      <c r="S19" s="27">
        <v>75.348854927000005</v>
      </c>
      <c r="T19" s="27">
        <f t="shared" si="8"/>
        <v>118.67352657399999</v>
      </c>
      <c r="U19" s="27">
        <v>33.905002109999998</v>
      </c>
      <c r="V19" s="27">
        <v>49.948734350000002</v>
      </c>
      <c r="W19" s="27">
        <v>22.882992910000002</v>
      </c>
      <c r="X19" s="27">
        <v>11.936797204000001</v>
      </c>
      <c r="Y19" s="27">
        <f t="shared" si="9"/>
        <v>261.70697934200001</v>
      </c>
      <c r="Z19" s="27">
        <v>15.713353529000001</v>
      </c>
      <c r="AA19" s="27">
        <v>35.867461836000004</v>
      </c>
      <c r="AB19" s="27">
        <v>56.633068922999996</v>
      </c>
      <c r="AC19" s="27">
        <v>153.49309505400001</v>
      </c>
    </row>
    <row r="20" spans="2:29" x14ac:dyDescent="0.3">
      <c r="B20" s="108" t="s">
        <v>186</v>
      </c>
      <c r="C20" s="35" t="s">
        <v>132</v>
      </c>
      <c r="D20" s="27">
        <f>SUM(K20:N20)</f>
        <v>5.1811837319999992</v>
      </c>
      <c r="E20" s="27">
        <f>SUM(P20:S20)</f>
        <v>5.3493028539999994</v>
      </c>
      <c r="F20" s="26">
        <f t="shared" si="7"/>
        <v>-3.1428230292530057E-2</v>
      </c>
      <c r="G20" s="33"/>
      <c r="I20" s="152"/>
      <c r="J20" s="27">
        <v>5.1811837319999992</v>
      </c>
      <c r="K20" s="27">
        <v>2.1079982749999999</v>
      </c>
      <c r="L20" s="27">
        <v>1.083876976</v>
      </c>
      <c r="M20" s="27">
        <v>0.83173163299999997</v>
      </c>
      <c r="N20" s="27">
        <v>1.1575768480000002</v>
      </c>
      <c r="O20" s="27">
        <f t="shared" si="10"/>
        <v>5.3493028539999994</v>
      </c>
      <c r="P20" s="27">
        <v>1.966507692</v>
      </c>
      <c r="Q20" s="27">
        <v>1.2279361579999999</v>
      </c>
      <c r="R20" s="27">
        <v>1.4505376559999998</v>
      </c>
      <c r="S20" s="27">
        <v>0.70432134800000001</v>
      </c>
      <c r="T20" s="27">
        <f t="shared" si="8"/>
        <v>1.873702969</v>
      </c>
      <c r="U20" s="27">
        <v>0.44422785599999998</v>
      </c>
      <c r="V20" s="27">
        <v>0.39280294299999996</v>
      </c>
      <c r="W20" s="27">
        <v>0.48889588900000003</v>
      </c>
      <c r="X20" s="27">
        <v>0.54777628099999998</v>
      </c>
      <c r="Y20" s="27">
        <f t="shared" si="9"/>
        <v>6.1198171600000011</v>
      </c>
      <c r="Z20" s="27">
        <v>1.184773122</v>
      </c>
      <c r="AA20" s="27">
        <v>1.5052379760000001</v>
      </c>
      <c r="AB20" s="27">
        <v>1.750965458</v>
      </c>
      <c r="AC20" s="27">
        <v>1.6788406040000003</v>
      </c>
    </row>
    <row r="21" spans="2:29" s="112" customFormat="1" x14ac:dyDescent="0.3">
      <c r="B21" s="24" t="s">
        <v>112</v>
      </c>
      <c r="C21" s="117" t="s">
        <v>129</v>
      </c>
      <c r="D21" s="31">
        <f>SUM(D18:D20)</f>
        <v>1666.7226345420002</v>
      </c>
      <c r="E21" s="31">
        <f>SUM(E18:E20)</f>
        <v>1068.323783775</v>
      </c>
      <c r="F21" s="42">
        <f t="shared" si="7"/>
        <v>0.56012873611454572</v>
      </c>
      <c r="G21" s="220"/>
      <c r="H21" s="133"/>
      <c r="I21" s="153">
        <f t="shared" ref="I21:AC21" si="11">SUM(I18:I20)</f>
        <v>0</v>
      </c>
      <c r="J21" s="31">
        <v>1666.7243287859999</v>
      </c>
      <c r="K21" s="31">
        <v>485.850768136</v>
      </c>
      <c r="L21" s="31">
        <f t="shared" si="11"/>
        <v>522.89392395499999</v>
      </c>
      <c r="M21" s="31">
        <f t="shared" ref="M21:N21" si="12">SUM(M18:M20)</f>
        <v>280.39907461299998</v>
      </c>
      <c r="N21" s="31">
        <f t="shared" si="12"/>
        <v>377.57895321799998</v>
      </c>
      <c r="O21" s="31">
        <f t="shared" si="11"/>
        <v>1068.323783775</v>
      </c>
      <c r="P21" s="31">
        <f t="shared" si="11"/>
        <v>346.34597349300003</v>
      </c>
      <c r="Q21" s="31">
        <f t="shared" si="11"/>
        <v>294.85698772899997</v>
      </c>
      <c r="R21" s="31">
        <f t="shared" si="11"/>
        <v>226.97198602999998</v>
      </c>
      <c r="S21" s="31">
        <f t="shared" si="11"/>
        <v>200.148836523</v>
      </c>
      <c r="T21" s="31">
        <f t="shared" si="11"/>
        <v>410.49942372200002</v>
      </c>
      <c r="U21" s="31">
        <f t="shared" si="11"/>
        <v>116.28535115699999</v>
      </c>
      <c r="V21" s="31">
        <f t="shared" si="11"/>
        <v>126.31943313700002</v>
      </c>
      <c r="W21" s="31">
        <f t="shared" si="11"/>
        <v>89.076489671000004</v>
      </c>
      <c r="X21" s="31">
        <f t="shared" si="11"/>
        <v>78.818149757</v>
      </c>
      <c r="Y21" s="31">
        <f t="shared" si="11"/>
        <v>800.46175111200012</v>
      </c>
      <c r="Z21" s="31">
        <f t="shared" si="11"/>
        <v>101.33461492299999</v>
      </c>
      <c r="AA21" s="31">
        <f t="shared" si="11"/>
        <v>151.920626954</v>
      </c>
      <c r="AB21" s="31">
        <f t="shared" si="11"/>
        <v>201.630092021</v>
      </c>
      <c r="AC21" s="31">
        <f t="shared" si="11"/>
        <v>345.576417214</v>
      </c>
    </row>
    <row r="22" spans="2:29" x14ac:dyDescent="0.3">
      <c r="B22" s="406" t="s">
        <v>106</v>
      </c>
      <c r="C22" s="132" t="s">
        <v>133</v>
      </c>
      <c r="D22" s="46">
        <f>SUM(K22:N22)</f>
        <v>223.49260419000001</v>
      </c>
      <c r="E22" s="46">
        <f>SUM(P22:S22)</f>
        <v>177.564161834</v>
      </c>
      <c r="F22" s="25">
        <f t="shared" si="7"/>
        <v>0.25865828938464097</v>
      </c>
      <c r="G22" s="33"/>
      <c r="I22" s="686"/>
      <c r="J22" s="46">
        <v>223.49260419000001</v>
      </c>
      <c r="K22" s="46">
        <v>73.006129946000001</v>
      </c>
      <c r="L22" s="46">
        <v>48.645360109000002</v>
      </c>
      <c r="M22" s="46">
        <v>38.154595077000003</v>
      </c>
      <c r="N22" s="46">
        <v>63.686519058000002</v>
      </c>
      <c r="O22" s="46">
        <f>+SUM(P22:S22)</f>
        <v>177.564161834</v>
      </c>
      <c r="P22" s="46">
        <v>41.703102438000002</v>
      </c>
      <c r="Q22" s="46">
        <v>28.521854208000001</v>
      </c>
      <c r="R22" s="46">
        <v>30.304512381000002</v>
      </c>
      <c r="S22" s="46">
        <v>77.034692806999999</v>
      </c>
      <c r="T22" s="46">
        <f t="shared" ref="T22" si="13">SUM(U22:X22)</f>
        <v>175.43448089200001</v>
      </c>
      <c r="U22" s="46">
        <v>62.131836984000003</v>
      </c>
      <c r="V22" s="46">
        <v>28.953078594000001</v>
      </c>
      <c r="W22" s="46">
        <v>36.614357908000002</v>
      </c>
      <c r="X22" s="46">
        <v>47.735207405999994</v>
      </c>
      <c r="Y22" s="46">
        <f t="shared" si="9"/>
        <v>309.59339997599994</v>
      </c>
      <c r="Z22" s="46">
        <v>135.26086381599998</v>
      </c>
      <c r="AA22" s="46">
        <v>51.929095912999998</v>
      </c>
      <c r="AB22" s="46">
        <v>52.495437787</v>
      </c>
      <c r="AC22" s="46">
        <v>69.908002459999992</v>
      </c>
    </row>
    <row r="23" spans="2:29" x14ac:dyDescent="0.3">
      <c r="B23" s="138"/>
      <c r="C23" s="37"/>
      <c r="D23" s="37"/>
      <c r="E23" s="37"/>
      <c r="F23" s="37"/>
    </row>
    <row r="24" spans="2:29" x14ac:dyDescent="0.3">
      <c r="C24" s="40"/>
    </row>
  </sheetData>
  <mergeCells count="10">
    <mergeCell ref="F4:F5"/>
    <mergeCell ref="O4:S4"/>
    <mergeCell ref="T4:X4"/>
    <mergeCell ref="Y4:AC4"/>
    <mergeCell ref="F16:F17"/>
    <mergeCell ref="T16:X16"/>
    <mergeCell ref="Y16:AC16"/>
    <mergeCell ref="O16:S16"/>
    <mergeCell ref="M16:N16"/>
    <mergeCell ref="L4:N4"/>
  </mergeCells>
  <phoneticPr fontId="1" type="noConversion"/>
  <pageMargins left="0.23622047244094491" right="0.23622047244094491" top="0.78740157480314965" bottom="0.23622047244094491" header="0.31496062992125984" footer="0.31496062992125984"/>
  <pageSetup paperSize="9"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Y89"/>
  <sheetViews>
    <sheetView showGridLines="0" view="pageBreakPreview" zoomScale="85" zoomScaleNormal="90" zoomScaleSheetLayoutView="85" workbookViewId="0">
      <pane xSplit="8" ySplit="5" topLeftCell="I6" activePane="bottomRight" state="frozen"/>
      <selection activeCell="G47" sqref="G47"/>
      <selection pane="topRight" activeCell="G47" sqref="G47"/>
      <selection pane="bottomLeft" activeCell="G47" sqref="G47"/>
      <selection pane="bottomRight" activeCell="C98" sqref="C98"/>
    </sheetView>
  </sheetViews>
  <sheetFormatPr defaultRowHeight="16.5" outlineLevelCol="2" x14ac:dyDescent="0.3"/>
  <cols>
    <col min="1" max="1" width="5" style="35" customWidth="1"/>
    <col min="2" max="2" width="21.375" style="34" bestFit="1" customWidth="1"/>
    <col min="3" max="3" width="29.125" style="35" bestFit="1" customWidth="1"/>
    <col min="4" max="6" width="10" style="35" customWidth="1"/>
    <col min="7" max="8" width="1.625" style="40" customWidth="1"/>
    <col min="9" max="9" width="10" style="40" hidden="1" customWidth="1"/>
    <col min="10" max="19" width="10" style="40" hidden="1" customWidth="1" outlineLevel="2"/>
    <col min="20" max="20" width="9" style="35" hidden="1" customWidth="1" outlineLevel="1"/>
    <col min="21" max="21" width="9" style="35" collapsed="1"/>
    <col min="22" max="16384" width="9" style="35"/>
  </cols>
  <sheetData>
    <row r="1" spans="2:21" s="34" customFormat="1" x14ac:dyDescent="0.3">
      <c r="B1" s="105" t="str">
        <f>[1]INDEX!G18</f>
        <v>상품/채널별 APE</v>
      </c>
      <c r="C1" s="35" t="s">
        <v>1851</v>
      </c>
      <c r="G1" s="48"/>
      <c r="H1" s="48"/>
      <c r="I1" s="48"/>
      <c r="J1" s="48"/>
      <c r="K1" s="48"/>
      <c r="L1" s="48"/>
      <c r="M1" s="48"/>
      <c r="N1" s="48"/>
      <c r="O1" s="48"/>
      <c r="P1" s="48"/>
      <c r="Q1" s="48"/>
      <c r="R1" s="48"/>
      <c r="S1" s="48"/>
    </row>
    <row r="2" spans="2:21" x14ac:dyDescent="0.3">
      <c r="B2" s="106" t="s">
        <v>18</v>
      </c>
      <c r="D2" s="330"/>
    </row>
    <row r="3" spans="2:21" s="36" customFormat="1" x14ac:dyDescent="0.3">
      <c r="B3" s="107"/>
      <c r="G3" s="812"/>
      <c r="H3" s="812"/>
      <c r="I3" s="812"/>
      <c r="J3" s="812"/>
      <c r="K3" s="812"/>
      <c r="L3" s="812"/>
      <c r="M3" s="812"/>
      <c r="N3" s="812"/>
      <c r="O3" s="812"/>
      <c r="P3" s="812"/>
      <c r="Q3" s="812"/>
      <c r="R3" s="812"/>
      <c r="S3" s="812"/>
    </row>
    <row r="4" spans="2:21" s="36" customFormat="1" x14ac:dyDescent="0.3">
      <c r="B4" s="108" t="s">
        <v>1852</v>
      </c>
      <c r="C4" s="109" t="s">
        <v>1853</v>
      </c>
      <c r="D4" s="820">
        <f>J4</f>
        <v>2025</v>
      </c>
      <c r="E4" s="820">
        <f>O4</f>
        <v>2024</v>
      </c>
      <c r="F4" s="841" t="s">
        <v>32</v>
      </c>
      <c r="G4" s="812"/>
      <c r="H4" s="812"/>
      <c r="I4" s="810"/>
      <c r="J4" s="845">
        <v>2025</v>
      </c>
      <c r="K4" s="846"/>
      <c r="L4" s="846"/>
      <c r="M4" s="846"/>
      <c r="N4" s="847"/>
      <c r="O4" s="845">
        <v>2024</v>
      </c>
      <c r="P4" s="846"/>
      <c r="Q4" s="846"/>
      <c r="R4" s="846"/>
      <c r="S4" s="847"/>
    </row>
    <row r="5" spans="2:21" s="36" customFormat="1" x14ac:dyDescent="0.3">
      <c r="B5" s="331"/>
      <c r="C5" s="812"/>
      <c r="D5" s="820" t="str">
        <f>J5</f>
        <v>FY</v>
      </c>
      <c r="E5" s="820" t="str">
        <f>O5</f>
        <v>FY</v>
      </c>
      <c r="F5" s="864"/>
      <c r="G5" s="812"/>
      <c r="H5" s="812"/>
      <c r="I5" s="810"/>
      <c r="J5" s="820" t="s">
        <v>31</v>
      </c>
      <c r="K5" s="820" t="s">
        <v>28</v>
      </c>
      <c r="L5" s="820" t="s">
        <v>30</v>
      </c>
      <c r="M5" s="820" t="s">
        <v>27</v>
      </c>
      <c r="N5" s="820" t="s">
        <v>29</v>
      </c>
      <c r="O5" s="820" t="s">
        <v>31</v>
      </c>
      <c r="P5" s="820" t="s">
        <v>28</v>
      </c>
      <c r="Q5" s="820" t="s">
        <v>30</v>
      </c>
      <c r="R5" s="820" t="s">
        <v>27</v>
      </c>
      <c r="S5" s="820" t="s">
        <v>29</v>
      </c>
    </row>
    <row r="6" spans="2:21" s="112" customFormat="1" hidden="1" x14ac:dyDescent="0.3">
      <c r="B6" s="332" t="s">
        <v>1854</v>
      </c>
      <c r="C6" s="110" t="s">
        <v>1855</v>
      </c>
      <c r="D6" s="29"/>
      <c r="E6" s="29"/>
      <c r="F6" s="44"/>
      <c r="G6" s="220"/>
      <c r="H6" s="133"/>
      <c r="I6" s="151">
        <f>SUM(I7:I10)</f>
        <v>0</v>
      </c>
      <c r="J6" s="29"/>
      <c r="K6" s="29"/>
      <c r="L6" s="29"/>
      <c r="M6" s="29"/>
      <c r="N6" s="29"/>
      <c r="O6" s="29"/>
      <c r="P6" s="29"/>
      <c r="Q6" s="29"/>
      <c r="R6" s="29"/>
      <c r="S6" s="29"/>
    </row>
    <row r="7" spans="2:21" hidden="1" x14ac:dyDescent="0.3">
      <c r="B7" s="113" t="s">
        <v>114</v>
      </c>
      <c r="C7" s="114" t="s">
        <v>201</v>
      </c>
      <c r="D7" s="27"/>
      <c r="E7" s="27"/>
      <c r="F7" s="26"/>
      <c r="G7" s="33"/>
      <c r="I7" s="152"/>
      <c r="J7" s="27"/>
      <c r="K7" s="27"/>
      <c r="L7" s="27"/>
      <c r="M7" s="27"/>
      <c r="N7" s="27"/>
      <c r="O7" s="27"/>
      <c r="P7" s="27"/>
      <c r="Q7" s="27"/>
      <c r="R7" s="27"/>
      <c r="S7" s="27"/>
    </row>
    <row r="8" spans="2:21" hidden="1" x14ac:dyDescent="0.3">
      <c r="B8" s="113" t="s">
        <v>191</v>
      </c>
      <c r="C8" s="114" t="s">
        <v>204</v>
      </c>
      <c r="D8" s="27"/>
      <c r="E8" s="27"/>
      <c r="F8" s="26"/>
      <c r="G8" s="33"/>
      <c r="I8" s="152"/>
      <c r="J8" s="27"/>
      <c r="K8" s="27"/>
      <c r="L8" s="27"/>
      <c r="M8" s="27"/>
      <c r="N8" s="27"/>
      <c r="O8" s="27"/>
      <c r="P8" s="27"/>
      <c r="Q8" s="27"/>
      <c r="R8" s="27"/>
      <c r="S8" s="27"/>
    </row>
    <row r="9" spans="2:21" hidden="1" x14ac:dyDescent="0.3">
      <c r="B9" s="113" t="s">
        <v>190</v>
      </c>
      <c r="C9" s="114" t="s">
        <v>124</v>
      </c>
      <c r="D9" s="27"/>
      <c r="E9" s="27"/>
      <c r="F9" s="26"/>
      <c r="G9" s="33"/>
      <c r="I9" s="152"/>
      <c r="J9" s="27"/>
      <c r="K9" s="27"/>
      <c r="L9" s="27"/>
      <c r="M9" s="27"/>
      <c r="N9" s="27"/>
      <c r="O9" s="27"/>
      <c r="P9" s="27"/>
      <c r="Q9" s="27"/>
      <c r="R9" s="27"/>
      <c r="S9" s="27"/>
    </row>
    <row r="10" spans="2:21" hidden="1" x14ac:dyDescent="0.3">
      <c r="B10" s="113" t="s">
        <v>111</v>
      </c>
      <c r="C10" s="114" t="s">
        <v>123</v>
      </c>
      <c r="D10" s="27"/>
      <c r="E10" s="27"/>
      <c r="F10" s="26"/>
      <c r="G10" s="33"/>
      <c r="I10" s="152"/>
      <c r="J10" s="27"/>
      <c r="K10" s="27"/>
      <c r="L10" s="27"/>
      <c r="M10" s="27"/>
      <c r="N10" s="27"/>
      <c r="O10" s="27"/>
      <c r="P10" s="27"/>
      <c r="Q10" s="27"/>
      <c r="R10" s="27"/>
      <c r="S10" s="27"/>
    </row>
    <row r="11" spans="2:21" s="112" customFormat="1" hidden="1" x14ac:dyDescent="0.3">
      <c r="B11" s="333" t="s">
        <v>1856</v>
      </c>
      <c r="C11" s="110" t="s">
        <v>1857</v>
      </c>
      <c r="D11" s="29"/>
      <c r="E11" s="29"/>
      <c r="F11" s="44"/>
      <c r="G11" s="220"/>
      <c r="H11" s="133"/>
      <c r="I11" s="151">
        <f>SUM(I12:I15)</f>
        <v>0</v>
      </c>
      <c r="J11" s="29"/>
      <c r="K11" s="29"/>
      <c r="L11" s="29"/>
      <c r="M11" s="29"/>
      <c r="N11" s="29"/>
      <c r="O11" s="29"/>
      <c r="P11" s="29"/>
      <c r="Q11" s="29"/>
      <c r="R11" s="29"/>
      <c r="S11" s="29"/>
    </row>
    <row r="12" spans="2:21" hidden="1" x14ac:dyDescent="0.3">
      <c r="B12" s="113" t="s">
        <v>114</v>
      </c>
      <c r="C12" s="114" t="s">
        <v>201</v>
      </c>
      <c r="D12" s="27"/>
      <c r="E12" s="27"/>
      <c r="F12" s="26"/>
      <c r="G12" s="33"/>
      <c r="I12" s="152"/>
      <c r="J12" s="27"/>
      <c r="K12" s="27"/>
      <c r="L12" s="27"/>
      <c r="M12" s="27"/>
      <c r="N12" s="27"/>
      <c r="O12" s="27"/>
      <c r="P12" s="27"/>
      <c r="Q12" s="27"/>
      <c r="R12" s="27"/>
      <c r="S12" s="27"/>
    </row>
    <row r="13" spans="2:21" hidden="1" x14ac:dyDescent="0.3">
      <c r="B13" s="113" t="s">
        <v>191</v>
      </c>
      <c r="C13" s="114" t="s">
        <v>204</v>
      </c>
      <c r="D13" s="27"/>
      <c r="E13" s="27"/>
      <c r="F13" s="26"/>
      <c r="G13" s="33"/>
      <c r="I13" s="152"/>
      <c r="J13" s="27"/>
      <c r="K13" s="27"/>
      <c r="L13" s="27"/>
      <c r="M13" s="27"/>
      <c r="N13" s="27"/>
      <c r="O13" s="27"/>
      <c r="P13" s="27"/>
      <c r="Q13" s="27"/>
      <c r="R13" s="27"/>
      <c r="S13" s="27"/>
    </row>
    <row r="14" spans="2:21" hidden="1" x14ac:dyDescent="0.3">
      <c r="B14" s="113" t="s">
        <v>190</v>
      </c>
      <c r="C14" s="114" t="s">
        <v>124</v>
      </c>
      <c r="D14" s="27"/>
      <c r="E14" s="27"/>
      <c r="F14" s="26"/>
      <c r="G14" s="33"/>
      <c r="I14" s="152"/>
      <c r="J14" s="27"/>
      <c r="K14" s="27"/>
      <c r="L14" s="27"/>
      <c r="M14" s="27"/>
      <c r="N14" s="27"/>
      <c r="O14" s="27"/>
      <c r="P14" s="27"/>
      <c r="Q14" s="27"/>
      <c r="R14" s="27"/>
      <c r="S14" s="27"/>
    </row>
    <row r="15" spans="2:21" hidden="1" x14ac:dyDescent="0.3">
      <c r="B15" s="113" t="s">
        <v>111</v>
      </c>
      <c r="C15" s="114" t="s">
        <v>123</v>
      </c>
      <c r="D15" s="27"/>
      <c r="E15" s="27"/>
      <c r="F15" s="26"/>
      <c r="G15" s="33"/>
      <c r="I15" s="152"/>
      <c r="J15" s="27"/>
      <c r="K15" s="27"/>
      <c r="L15" s="27"/>
      <c r="M15" s="27"/>
      <c r="N15" s="27"/>
      <c r="O15" s="27"/>
      <c r="P15" s="27"/>
      <c r="Q15" s="27"/>
      <c r="R15" s="27"/>
      <c r="S15" s="27"/>
    </row>
    <row r="16" spans="2:21" s="112" customFormat="1" x14ac:dyDescent="0.3">
      <c r="B16" s="333" t="s">
        <v>1858</v>
      </c>
      <c r="C16" s="110" t="s">
        <v>1859</v>
      </c>
      <c r="D16" s="29">
        <f>SUM(D17:D20)</f>
        <v>443.90319370540004</v>
      </c>
      <c r="E16" s="29">
        <f>SUM(E17:E20)</f>
        <v>384.35345800610003</v>
      </c>
      <c r="F16" s="44">
        <f t="shared" ref="F16:F40" si="0">+IFERROR(IF(E16&lt;0,-(D16/E16-1),(D16/E16-1)),0)</f>
        <v>0.15493482485685073</v>
      </c>
      <c r="G16" s="220"/>
      <c r="H16" s="133"/>
      <c r="I16" s="151">
        <f>SUM(I17:I20)</f>
        <v>0</v>
      </c>
      <c r="J16" s="29">
        <f t="shared" ref="J16" si="1">SUM(J17:J20)</f>
        <v>443.90319370540004</v>
      </c>
      <c r="K16" s="29">
        <f t="shared" ref="K16:L16" si="2">SUM(K17:K20)</f>
        <v>136.4041234243</v>
      </c>
      <c r="L16" s="29">
        <f t="shared" si="2"/>
        <v>122.5761403897</v>
      </c>
      <c r="M16" s="29">
        <f t="shared" ref="M16:R16" si="3">SUM(M17:M20)</f>
        <v>83.501167647599999</v>
      </c>
      <c r="N16" s="29">
        <f t="shared" si="3"/>
        <v>101.4217622438</v>
      </c>
      <c r="O16" s="29">
        <f t="shared" si="3"/>
        <v>384.35345800610003</v>
      </c>
      <c r="P16" s="29">
        <f t="shared" si="3"/>
        <v>110.18721266599999</v>
      </c>
      <c r="Q16" s="29">
        <f t="shared" si="3"/>
        <v>97.1535417443</v>
      </c>
      <c r="R16" s="29">
        <f t="shared" si="3"/>
        <v>88.199601959900008</v>
      </c>
      <c r="S16" s="29">
        <v>88.813101635900011</v>
      </c>
      <c r="T16" s="62"/>
      <c r="U16" s="62"/>
    </row>
    <row r="17" spans="2:23" x14ac:dyDescent="0.3">
      <c r="B17" s="115" t="s">
        <v>114</v>
      </c>
      <c r="C17" s="116" t="s">
        <v>201</v>
      </c>
      <c r="D17" s="30">
        <f>SUM(K17:N17)</f>
        <v>282.96327083200003</v>
      </c>
      <c r="E17" s="30">
        <f>SUM(P17:S17)</f>
        <v>252.87239474740002</v>
      </c>
      <c r="F17" s="45">
        <f t="shared" si="0"/>
        <v>0.11899628709831478</v>
      </c>
      <c r="G17" s="33"/>
      <c r="I17" s="152"/>
      <c r="J17" s="27">
        <v>282.96327083200003</v>
      </c>
      <c r="K17" s="27">
        <v>84.058203092499994</v>
      </c>
      <c r="L17" s="27">
        <v>82.060915139800002</v>
      </c>
      <c r="M17" s="27">
        <v>53.859724906099999</v>
      </c>
      <c r="N17" s="27">
        <v>62.984427693599997</v>
      </c>
      <c r="O17" s="27">
        <f t="shared" ref="O17:O20" si="4">SUM(P17:S17)</f>
        <v>252.87239474740002</v>
      </c>
      <c r="P17" s="27">
        <v>72.019961353300005</v>
      </c>
      <c r="Q17" s="27">
        <v>66.174750492100003</v>
      </c>
      <c r="R17" s="27">
        <v>53.399905244300001</v>
      </c>
      <c r="S17" s="27">
        <v>61.2777776577</v>
      </c>
      <c r="T17" s="125"/>
      <c r="U17" s="125"/>
    </row>
    <row r="18" spans="2:23" x14ac:dyDescent="0.3">
      <c r="B18" s="113" t="s">
        <v>191</v>
      </c>
      <c r="C18" s="114" t="s">
        <v>204</v>
      </c>
      <c r="D18" s="27">
        <f t="shared" ref="D18:D20" si="5">SUM(K18:N18)</f>
        <v>55.290662717399996</v>
      </c>
      <c r="E18" s="27">
        <f t="shared" ref="E18:E20" si="6">SUM(P18:S18)</f>
        <v>43.445023366700006</v>
      </c>
      <c r="F18" s="26">
        <f t="shared" si="0"/>
        <v>0.27265814200895333</v>
      </c>
      <c r="G18" s="33"/>
      <c r="I18" s="152"/>
      <c r="J18" s="27">
        <v>55.290662717399996</v>
      </c>
      <c r="K18" s="27">
        <v>16.376647463799998</v>
      </c>
      <c r="L18" s="27">
        <v>14.520616081899998</v>
      </c>
      <c r="M18" s="27">
        <v>12.2885527015</v>
      </c>
      <c r="N18" s="27">
        <v>12.1048464702</v>
      </c>
      <c r="O18" s="27">
        <f t="shared" si="4"/>
        <v>43.445023366700006</v>
      </c>
      <c r="P18" s="27">
        <v>12.775688632700001</v>
      </c>
      <c r="Q18" s="27">
        <v>13.646959832199999</v>
      </c>
      <c r="R18" s="27">
        <v>11.281095195600001</v>
      </c>
      <c r="S18" s="27">
        <v>5.7412797062000012</v>
      </c>
      <c r="T18" s="125"/>
      <c r="U18" s="125"/>
    </row>
    <row r="19" spans="2:23" x14ac:dyDescent="0.3">
      <c r="B19" s="113" t="s">
        <v>190</v>
      </c>
      <c r="C19" s="114" t="s">
        <v>124</v>
      </c>
      <c r="D19" s="27">
        <f t="shared" si="5"/>
        <v>105.64926015600001</v>
      </c>
      <c r="E19" s="27">
        <f t="shared" si="6"/>
        <v>88.036039891999991</v>
      </c>
      <c r="F19" s="26">
        <f t="shared" si="0"/>
        <v>0.20006829345808153</v>
      </c>
      <c r="G19" s="33"/>
      <c r="I19" s="152"/>
      <c r="J19" s="27">
        <v>105.64926015600001</v>
      </c>
      <c r="K19" s="27">
        <v>35.969272867999997</v>
      </c>
      <c r="L19" s="27">
        <v>25.994609168</v>
      </c>
      <c r="M19" s="27">
        <v>17.352890039999998</v>
      </c>
      <c r="N19" s="27">
        <v>26.332488080000001</v>
      </c>
      <c r="O19" s="27">
        <f t="shared" si="4"/>
        <v>88.036039891999991</v>
      </c>
      <c r="P19" s="27">
        <v>25.39156268</v>
      </c>
      <c r="Q19" s="27">
        <v>17.33183142</v>
      </c>
      <c r="R19" s="27">
        <v>23.518601520000001</v>
      </c>
      <c r="S19" s="27">
        <v>21.794044272000001</v>
      </c>
      <c r="T19" s="125"/>
      <c r="U19" s="125"/>
    </row>
    <row r="20" spans="2:23" x14ac:dyDescent="0.3">
      <c r="B20" s="113" t="s">
        <v>111</v>
      </c>
      <c r="C20" s="114" t="s">
        <v>123</v>
      </c>
      <c r="D20" s="27">
        <f t="shared" si="5"/>
        <v>0</v>
      </c>
      <c r="E20" s="27">
        <f t="shared" si="6"/>
        <v>0</v>
      </c>
      <c r="F20" s="26">
        <f t="shared" si="0"/>
        <v>0</v>
      </c>
      <c r="G20" s="33"/>
      <c r="I20" s="152"/>
      <c r="J20" s="27">
        <v>0</v>
      </c>
      <c r="K20" s="27">
        <v>0</v>
      </c>
      <c r="L20" s="27">
        <v>0</v>
      </c>
      <c r="M20" s="27">
        <v>0</v>
      </c>
      <c r="N20" s="27">
        <v>0</v>
      </c>
      <c r="O20" s="27">
        <f t="shared" si="4"/>
        <v>0</v>
      </c>
      <c r="P20" s="27">
        <v>0</v>
      </c>
      <c r="Q20" s="27">
        <v>0</v>
      </c>
      <c r="R20" s="27">
        <v>0</v>
      </c>
      <c r="S20" s="27">
        <v>0</v>
      </c>
      <c r="T20" s="125"/>
      <c r="U20" s="125"/>
    </row>
    <row r="21" spans="2:23" s="112" customFormat="1" x14ac:dyDescent="0.3">
      <c r="B21" s="333" t="s">
        <v>1860</v>
      </c>
      <c r="C21" s="110" t="s">
        <v>764</v>
      </c>
      <c r="D21" s="29">
        <f>SUM(D22:D25)</f>
        <v>235.59321099999997</v>
      </c>
      <c r="E21" s="29">
        <f>SUM(E22:E25)</f>
        <v>148.300321</v>
      </c>
      <c r="F21" s="44">
        <f t="shared" si="0"/>
        <v>0.58862239414842521</v>
      </c>
      <c r="G21" s="220"/>
      <c r="H21" s="133"/>
      <c r="I21" s="151">
        <f t="shared" ref="I21:R21" si="7">SUM(I22:I25)</f>
        <v>0</v>
      </c>
      <c r="J21" s="29">
        <f t="shared" si="7"/>
        <v>235.59321099999997</v>
      </c>
      <c r="K21" s="29">
        <f t="shared" ref="K21:L21" si="8">SUM(K22:K25)</f>
        <v>40.328279999999999</v>
      </c>
      <c r="L21" s="29">
        <f t="shared" si="8"/>
        <v>83.889089999999996</v>
      </c>
      <c r="M21" s="29">
        <f t="shared" si="7"/>
        <v>44.322806999999997</v>
      </c>
      <c r="N21" s="29">
        <f t="shared" si="7"/>
        <v>67.053033999999997</v>
      </c>
      <c r="O21" s="29">
        <f t="shared" si="7"/>
        <v>148.300321</v>
      </c>
      <c r="P21" s="29">
        <f t="shared" si="7"/>
        <v>31.214206999999998</v>
      </c>
      <c r="Q21" s="29">
        <f t="shared" si="7"/>
        <v>34.852257999999999</v>
      </c>
      <c r="R21" s="29">
        <f t="shared" si="7"/>
        <v>41.162146</v>
      </c>
      <c r="S21" s="29">
        <v>41.071710000000003</v>
      </c>
      <c r="T21" s="62"/>
      <c r="U21" s="62"/>
    </row>
    <row r="22" spans="2:23" x14ac:dyDescent="0.3">
      <c r="B22" s="113" t="s">
        <v>114</v>
      </c>
      <c r="C22" s="114" t="s">
        <v>201</v>
      </c>
      <c r="D22" s="27">
        <f t="shared" ref="D22:D25" si="9">SUM(K22:N22)</f>
        <v>0</v>
      </c>
      <c r="E22" s="27">
        <f t="shared" ref="E22:E25" si="10">SUM(P22:S22)</f>
        <v>0</v>
      </c>
      <c r="F22" s="26">
        <f t="shared" si="0"/>
        <v>0</v>
      </c>
      <c r="G22" s="33"/>
      <c r="I22" s="152"/>
      <c r="J22" s="27">
        <v>0</v>
      </c>
      <c r="K22" s="27">
        <v>0</v>
      </c>
      <c r="L22" s="27">
        <v>0</v>
      </c>
      <c r="M22" s="27">
        <v>0</v>
      </c>
      <c r="N22" s="27">
        <v>0</v>
      </c>
      <c r="O22" s="27">
        <f t="shared" ref="O22:O25" si="11">SUM(P22:S22)</f>
        <v>0</v>
      </c>
      <c r="P22" s="27">
        <v>0</v>
      </c>
      <c r="Q22" s="27">
        <v>0</v>
      </c>
      <c r="R22" s="27">
        <v>0</v>
      </c>
      <c r="S22" s="27">
        <v>0</v>
      </c>
    </row>
    <row r="23" spans="2:23" x14ac:dyDescent="0.3">
      <c r="B23" s="113" t="s">
        <v>191</v>
      </c>
      <c r="C23" s="114" t="s">
        <v>204</v>
      </c>
      <c r="D23" s="27">
        <f t="shared" si="9"/>
        <v>0</v>
      </c>
      <c r="E23" s="27">
        <f t="shared" si="10"/>
        <v>0</v>
      </c>
      <c r="F23" s="26">
        <f t="shared" si="0"/>
        <v>0</v>
      </c>
      <c r="G23" s="33"/>
      <c r="I23" s="152"/>
      <c r="J23" s="27">
        <v>0</v>
      </c>
      <c r="K23" s="27">
        <v>0</v>
      </c>
      <c r="L23" s="27">
        <v>0</v>
      </c>
      <c r="M23" s="27">
        <v>0</v>
      </c>
      <c r="N23" s="27">
        <v>0</v>
      </c>
      <c r="O23" s="27">
        <f t="shared" si="11"/>
        <v>0</v>
      </c>
      <c r="P23" s="27">
        <v>0</v>
      </c>
      <c r="Q23" s="27">
        <v>0</v>
      </c>
      <c r="R23" s="27">
        <v>0</v>
      </c>
      <c r="S23" s="27">
        <v>0</v>
      </c>
    </row>
    <row r="24" spans="2:23" x14ac:dyDescent="0.3">
      <c r="B24" s="113" t="s">
        <v>190</v>
      </c>
      <c r="C24" s="114" t="s">
        <v>124</v>
      </c>
      <c r="D24" s="27">
        <f t="shared" si="9"/>
        <v>235.59321099999997</v>
      </c>
      <c r="E24" s="27">
        <f t="shared" si="10"/>
        <v>148.300321</v>
      </c>
      <c r="F24" s="26">
        <f t="shared" si="0"/>
        <v>0.58862239414842521</v>
      </c>
      <c r="G24" s="33"/>
      <c r="I24" s="152"/>
      <c r="J24" s="27">
        <v>235.59321099999997</v>
      </c>
      <c r="K24" s="27">
        <v>40.328279999999999</v>
      </c>
      <c r="L24" s="27">
        <v>83.889089999999996</v>
      </c>
      <c r="M24" s="27">
        <v>44.322806999999997</v>
      </c>
      <c r="N24" s="27">
        <v>67.053033999999997</v>
      </c>
      <c r="O24" s="27">
        <f t="shared" si="11"/>
        <v>148.300321</v>
      </c>
      <c r="P24" s="27">
        <v>31.214206999999998</v>
      </c>
      <c r="Q24" s="27">
        <v>34.852257999999999</v>
      </c>
      <c r="R24" s="27">
        <v>41.162146</v>
      </c>
      <c r="S24" s="27">
        <v>41.071710000000003</v>
      </c>
    </row>
    <row r="25" spans="2:23" x14ac:dyDescent="0.3">
      <c r="B25" s="113" t="s">
        <v>111</v>
      </c>
      <c r="C25" s="114" t="s">
        <v>123</v>
      </c>
      <c r="D25" s="27">
        <f t="shared" si="9"/>
        <v>0</v>
      </c>
      <c r="E25" s="27">
        <f t="shared" si="10"/>
        <v>0</v>
      </c>
      <c r="F25" s="26">
        <f t="shared" si="0"/>
        <v>0</v>
      </c>
      <c r="G25" s="33"/>
      <c r="I25" s="152"/>
      <c r="J25" s="27">
        <v>0</v>
      </c>
      <c r="K25" s="27">
        <v>0</v>
      </c>
      <c r="L25" s="27">
        <v>0</v>
      </c>
      <c r="M25" s="27">
        <v>0</v>
      </c>
      <c r="N25" s="27">
        <v>0</v>
      </c>
      <c r="O25" s="27">
        <f t="shared" si="11"/>
        <v>0</v>
      </c>
      <c r="P25" s="27">
        <v>0</v>
      </c>
      <c r="Q25" s="27">
        <v>0</v>
      </c>
      <c r="R25" s="27">
        <v>0</v>
      </c>
      <c r="S25" s="27">
        <v>0</v>
      </c>
    </row>
    <row r="26" spans="2:23" x14ac:dyDescent="0.3">
      <c r="B26" s="333" t="s">
        <v>1861</v>
      </c>
      <c r="C26" s="110" t="s">
        <v>1862</v>
      </c>
      <c r="D26" s="29">
        <f>D21+D16</f>
        <v>679.49640470539998</v>
      </c>
      <c r="E26" s="29">
        <f>E21+E16</f>
        <v>532.65377900609997</v>
      </c>
      <c r="F26" s="44">
        <f t="shared" si="0"/>
        <v>0.27568118632951322</v>
      </c>
      <c r="G26" s="220"/>
      <c r="H26" s="133"/>
      <c r="I26" s="151" t="e">
        <f>I11+I16+I21+#REF!</f>
        <v>#REF!</v>
      </c>
      <c r="J26" s="29">
        <f t="shared" ref="J26" si="12">J11+J16+J21</f>
        <v>679.49640470539998</v>
      </c>
      <c r="K26" s="29">
        <f t="shared" ref="K26:L26" si="13">K11+K16+K21</f>
        <v>176.7324034243</v>
      </c>
      <c r="L26" s="29">
        <f t="shared" si="13"/>
        <v>206.4652303897</v>
      </c>
      <c r="M26" s="29">
        <f t="shared" ref="M26:S26" si="14">M11+M16+M21</f>
        <v>127.8239746476</v>
      </c>
      <c r="N26" s="29">
        <f t="shared" si="14"/>
        <v>168.4747962438</v>
      </c>
      <c r="O26" s="29">
        <f t="shared" si="14"/>
        <v>532.65377900609997</v>
      </c>
      <c r="P26" s="29">
        <f t="shared" si="14"/>
        <v>141.40141966599998</v>
      </c>
      <c r="Q26" s="29">
        <f t="shared" si="14"/>
        <v>132.00579974429999</v>
      </c>
      <c r="R26" s="29">
        <f t="shared" si="14"/>
        <v>129.36174795990001</v>
      </c>
      <c r="S26" s="29">
        <f t="shared" si="14"/>
        <v>129.88481163590001</v>
      </c>
    </row>
    <row r="27" spans="2:23" x14ac:dyDescent="0.3">
      <c r="B27" s="19"/>
      <c r="C27" s="40"/>
      <c r="D27" s="21"/>
      <c r="E27" s="21"/>
      <c r="F27" s="92"/>
      <c r="G27" s="33"/>
      <c r="I27" s="32"/>
      <c r="J27" s="32"/>
      <c r="K27" s="32"/>
      <c r="L27" s="32"/>
      <c r="M27" s="32"/>
      <c r="N27" s="32"/>
      <c r="O27" s="32"/>
      <c r="P27" s="32"/>
      <c r="Q27" s="32"/>
      <c r="R27" s="32"/>
      <c r="S27" s="32"/>
    </row>
    <row r="28" spans="2:23" x14ac:dyDescent="0.3">
      <c r="B28" s="19" t="s">
        <v>131</v>
      </c>
      <c r="C28" s="40" t="s">
        <v>192</v>
      </c>
      <c r="D28" s="32"/>
      <c r="E28" s="32"/>
      <c r="F28" s="33"/>
      <c r="G28" s="33"/>
      <c r="I28" s="32"/>
      <c r="J28" s="32"/>
      <c r="K28" s="32"/>
      <c r="L28" s="32"/>
      <c r="M28" s="32"/>
      <c r="N28" s="32"/>
      <c r="O28" s="32"/>
      <c r="P28" s="32"/>
      <c r="Q28" s="32"/>
      <c r="R28" s="32"/>
      <c r="S28" s="32"/>
    </row>
    <row r="29" spans="2:23" s="112" customFormat="1" x14ac:dyDescent="0.3">
      <c r="B29" s="333" t="s">
        <v>113</v>
      </c>
      <c r="C29" s="110" t="s">
        <v>1863</v>
      </c>
      <c r="D29" s="29">
        <f>D30+D31</f>
        <v>282.96327083200003</v>
      </c>
      <c r="E29" s="29">
        <f>E30+E31</f>
        <v>252.87239474740002</v>
      </c>
      <c r="F29" s="44">
        <f t="shared" si="0"/>
        <v>0.11899628709831478</v>
      </c>
      <c r="G29" s="220"/>
      <c r="H29" s="133"/>
      <c r="I29" s="151">
        <f>I30+I31</f>
        <v>0</v>
      </c>
      <c r="J29" s="29">
        <f t="shared" ref="J29" si="15">J30+J31</f>
        <v>282.96327083200003</v>
      </c>
      <c r="K29" s="29">
        <f t="shared" ref="K29:L29" si="16">K30+K31</f>
        <v>84.058203092499994</v>
      </c>
      <c r="L29" s="29">
        <f t="shared" si="16"/>
        <v>82.060915139800002</v>
      </c>
      <c r="M29" s="29">
        <f t="shared" ref="M29:S29" si="17">M30+M31</f>
        <v>53.859724906099999</v>
      </c>
      <c r="N29" s="29">
        <f t="shared" si="17"/>
        <v>62.984427693599997</v>
      </c>
      <c r="O29" s="29">
        <f t="shared" si="17"/>
        <v>252.87239474740002</v>
      </c>
      <c r="P29" s="29">
        <f t="shared" si="17"/>
        <v>72.019961353300005</v>
      </c>
      <c r="Q29" s="29">
        <f t="shared" si="17"/>
        <v>66.174750492100003</v>
      </c>
      <c r="R29" s="29">
        <f t="shared" si="17"/>
        <v>53.399905244300001</v>
      </c>
      <c r="S29" s="29">
        <f t="shared" si="17"/>
        <v>61.2777776577</v>
      </c>
      <c r="T29" s="62"/>
    </row>
    <row r="30" spans="2:23" s="40" customFormat="1" x14ac:dyDescent="0.3">
      <c r="B30" s="18" t="s">
        <v>114</v>
      </c>
      <c r="C30" s="114" t="s">
        <v>201</v>
      </c>
      <c r="D30" s="27">
        <f>SUM(K30:N30)</f>
        <v>282.96327083200003</v>
      </c>
      <c r="E30" s="27">
        <f>SUM(P30:S30)</f>
        <v>252.87239474740002</v>
      </c>
      <c r="F30" s="26">
        <f t="shared" si="0"/>
        <v>0.11899628709831478</v>
      </c>
      <c r="G30" s="33"/>
      <c r="I30" s="152">
        <f t="shared" ref="I30:S30" si="18">I7+I12+I17+I22</f>
        <v>0</v>
      </c>
      <c r="J30" s="27">
        <f t="shared" si="18"/>
        <v>282.96327083200003</v>
      </c>
      <c r="K30" s="27">
        <f t="shared" ref="K30:L30" si="19">K7+K12+K17+K22</f>
        <v>84.058203092499994</v>
      </c>
      <c r="L30" s="27">
        <f t="shared" si="19"/>
        <v>82.060915139800002</v>
      </c>
      <c r="M30" s="27">
        <f t="shared" si="18"/>
        <v>53.859724906099999</v>
      </c>
      <c r="N30" s="27">
        <f t="shared" si="18"/>
        <v>62.984427693599997</v>
      </c>
      <c r="O30" s="27">
        <f t="shared" si="18"/>
        <v>252.87239474740002</v>
      </c>
      <c r="P30" s="27">
        <f t="shared" si="18"/>
        <v>72.019961353300005</v>
      </c>
      <c r="Q30" s="27">
        <f t="shared" si="18"/>
        <v>66.174750492100003</v>
      </c>
      <c r="R30" s="27">
        <f t="shared" si="18"/>
        <v>53.399905244300001</v>
      </c>
      <c r="S30" s="27">
        <f t="shared" si="18"/>
        <v>61.2777776577</v>
      </c>
    </row>
    <row r="31" spans="2:23" s="40" customFormat="1" x14ac:dyDescent="0.3">
      <c r="B31" s="18" t="s">
        <v>111</v>
      </c>
      <c r="C31" s="114" t="s">
        <v>123</v>
      </c>
      <c r="D31" s="27">
        <f>SUM(K31:N31)</f>
        <v>0</v>
      </c>
      <c r="E31" s="27">
        <f>SUM(P31:S31)</f>
        <v>0</v>
      </c>
      <c r="F31" s="26">
        <f t="shared" si="0"/>
        <v>0</v>
      </c>
      <c r="G31" s="33"/>
      <c r="I31" s="152">
        <f t="shared" ref="I31:S31" si="20">I10+I15+I20+I25</f>
        <v>0</v>
      </c>
      <c r="J31" s="27">
        <f t="shared" si="20"/>
        <v>0</v>
      </c>
      <c r="K31" s="27">
        <f t="shared" ref="K31:L31" si="21">K10+K15+K20+K25</f>
        <v>0</v>
      </c>
      <c r="L31" s="27">
        <f t="shared" si="21"/>
        <v>0</v>
      </c>
      <c r="M31" s="27">
        <f t="shared" si="20"/>
        <v>0</v>
      </c>
      <c r="N31" s="27">
        <f t="shared" si="20"/>
        <v>0</v>
      </c>
      <c r="O31" s="27">
        <f t="shared" si="20"/>
        <v>0</v>
      </c>
      <c r="P31" s="27">
        <f t="shared" si="20"/>
        <v>0</v>
      </c>
      <c r="Q31" s="27">
        <f t="shared" si="20"/>
        <v>0</v>
      </c>
      <c r="R31" s="27">
        <f t="shared" si="20"/>
        <v>0</v>
      </c>
      <c r="S31" s="27">
        <f t="shared" si="20"/>
        <v>0</v>
      </c>
    </row>
    <row r="32" spans="2:23" s="112" customFormat="1" x14ac:dyDescent="0.3">
      <c r="B32" s="333" t="s">
        <v>5</v>
      </c>
      <c r="C32" s="110" t="s">
        <v>148</v>
      </c>
      <c r="D32" s="29">
        <f>D33+D34</f>
        <v>396.53313387339995</v>
      </c>
      <c r="E32" s="29">
        <f>E33+E34</f>
        <v>279.78138425870003</v>
      </c>
      <c r="F32" s="44">
        <f t="shared" si="0"/>
        <v>0.4172963470176605</v>
      </c>
      <c r="G32" s="220"/>
      <c r="H32" s="133"/>
      <c r="I32" s="151">
        <f>I33+I34</f>
        <v>0</v>
      </c>
      <c r="J32" s="29">
        <f t="shared" ref="J32" si="22">J33+J34</f>
        <v>396.53313387339995</v>
      </c>
      <c r="K32" s="29">
        <f t="shared" ref="K32:L32" si="23">K33+K34</f>
        <v>92.674200331799995</v>
      </c>
      <c r="L32" s="29">
        <f t="shared" si="23"/>
        <v>124.40431524989999</v>
      </c>
      <c r="M32" s="29">
        <f t="shared" ref="M32:S32" si="24">M33+M34</f>
        <v>73.964249741499998</v>
      </c>
      <c r="N32" s="29">
        <f t="shared" si="24"/>
        <v>105.4903685502</v>
      </c>
      <c r="O32" s="29">
        <f t="shared" si="24"/>
        <v>279.78138425869997</v>
      </c>
      <c r="P32" s="29">
        <f t="shared" si="24"/>
        <v>69.381458312699991</v>
      </c>
      <c r="Q32" s="29">
        <f t="shared" si="24"/>
        <v>65.831049252200003</v>
      </c>
      <c r="R32" s="29">
        <f t="shared" si="24"/>
        <v>75.9618427156</v>
      </c>
      <c r="S32" s="29">
        <f t="shared" si="24"/>
        <v>68.607033978200008</v>
      </c>
      <c r="T32" s="335"/>
      <c r="U32" s="62"/>
      <c r="V32" s="62"/>
      <c r="W32" s="62"/>
    </row>
    <row r="33" spans="2:25" s="112" customFormat="1" x14ac:dyDescent="0.3">
      <c r="B33" s="18" t="s">
        <v>191</v>
      </c>
      <c r="C33" s="114" t="s">
        <v>201</v>
      </c>
      <c r="D33" s="27">
        <f t="shared" ref="D33:D34" si="25">SUM(K33:N33)</f>
        <v>55.290662717399996</v>
      </c>
      <c r="E33" s="27">
        <f t="shared" ref="E33:E34" si="26">SUM(P33:S33)</f>
        <v>43.445023366700006</v>
      </c>
      <c r="F33" s="26">
        <f t="shared" si="0"/>
        <v>0.27265814200895333</v>
      </c>
      <c r="G33" s="33"/>
      <c r="H33" s="40"/>
      <c r="I33" s="152">
        <f t="shared" ref="I33:S34" si="27">I8+I13+I18+I23</f>
        <v>0</v>
      </c>
      <c r="J33" s="27">
        <f t="shared" si="27"/>
        <v>55.290662717399996</v>
      </c>
      <c r="K33" s="27">
        <f t="shared" ref="K33:L33" si="28">K8+K13+K18+K23</f>
        <v>16.376647463799998</v>
      </c>
      <c r="L33" s="27">
        <f t="shared" si="28"/>
        <v>14.520616081899998</v>
      </c>
      <c r="M33" s="27">
        <f t="shared" si="27"/>
        <v>12.2885527015</v>
      </c>
      <c r="N33" s="27">
        <f t="shared" si="27"/>
        <v>12.1048464702</v>
      </c>
      <c r="O33" s="27">
        <f t="shared" si="27"/>
        <v>43.445023366700006</v>
      </c>
      <c r="P33" s="27">
        <f t="shared" si="27"/>
        <v>12.775688632700001</v>
      </c>
      <c r="Q33" s="27">
        <f t="shared" si="27"/>
        <v>13.646959832199999</v>
      </c>
      <c r="R33" s="27">
        <f t="shared" si="27"/>
        <v>11.281095195600001</v>
      </c>
      <c r="S33" s="27">
        <f t="shared" si="27"/>
        <v>5.7412797062000012</v>
      </c>
      <c r="T33" s="335"/>
      <c r="U33" s="177"/>
      <c r="V33" s="177"/>
      <c r="W33" s="62"/>
    </row>
    <row r="34" spans="2:25" s="112" customFormat="1" x14ac:dyDescent="0.3">
      <c r="B34" s="18" t="s">
        <v>190</v>
      </c>
      <c r="C34" s="114" t="s">
        <v>124</v>
      </c>
      <c r="D34" s="27">
        <f t="shared" si="25"/>
        <v>341.24247115599997</v>
      </c>
      <c r="E34" s="27">
        <f t="shared" si="26"/>
        <v>236.33636089200002</v>
      </c>
      <c r="F34" s="26">
        <f t="shared" si="0"/>
        <v>0.44388476605146465</v>
      </c>
      <c r="G34" s="33"/>
      <c r="H34" s="40"/>
      <c r="I34" s="152">
        <f t="shared" si="27"/>
        <v>0</v>
      </c>
      <c r="J34" s="27">
        <f t="shared" si="27"/>
        <v>341.24247115599997</v>
      </c>
      <c r="K34" s="27">
        <f t="shared" ref="K34:L34" si="29">K9+K14+K19+K24</f>
        <v>76.297552867999997</v>
      </c>
      <c r="L34" s="27">
        <f t="shared" si="29"/>
        <v>109.88369916799999</v>
      </c>
      <c r="M34" s="27">
        <f t="shared" si="27"/>
        <v>61.675697039999996</v>
      </c>
      <c r="N34" s="27">
        <f t="shared" si="27"/>
        <v>93.385522080000001</v>
      </c>
      <c r="O34" s="27">
        <f t="shared" si="27"/>
        <v>236.33636089199999</v>
      </c>
      <c r="P34" s="27">
        <f t="shared" si="27"/>
        <v>56.605769679999995</v>
      </c>
      <c r="Q34" s="27">
        <f t="shared" si="27"/>
        <v>52.184089419999999</v>
      </c>
      <c r="R34" s="27">
        <f t="shared" si="27"/>
        <v>64.680747519999997</v>
      </c>
      <c r="S34" s="27">
        <f t="shared" si="27"/>
        <v>62.865754272000004</v>
      </c>
      <c r="T34" s="337"/>
    </row>
    <row r="35" spans="2:25" x14ac:dyDescent="0.3">
      <c r="B35" s="333" t="s">
        <v>112</v>
      </c>
      <c r="C35" s="110" t="s">
        <v>1862</v>
      </c>
      <c r="D35" s="29">
        <f>D29+D32</f>
        <v>679.49640470539998</v>
      </c>
      <c r="E35" s="29">
        <f>E29+E32</f>
        <v>532.65377900610008</v>
      </c>
      <c r="F35" s="44">
        <f t="shared" si="0"/>
        <v>0.27568118632951299</v>
      </c>
      <c r="G35" s="220"/>
      <c r="H35" s="133"/>
      <c r="I35" s="151">
        <f>I29+I32</f>
        <v>0</v>
      </c>
      <c r="J35" s="29">
        <f t="shared" ref="J35" si="30">J29+J32</f>
        <v>679.49640470539998</v>
      </c>
      <c r="K35" s="29">
        <f t="shared" ref="K35:L35" si="31">K29+K32</f>
        <v>176.7324034243</v>
      </c>
      <c r="L35" s="29">
        <f t="shared" si="31"/>
        <v>206.4652303897</v>
      </c>
      <c r="M35" s="29">
        <f t="shared" ref="M35:S35" si="32">M29+M32</f>
        <v>127.8239746476</v>
      </c>
      <c r="N35" s="29">
        <f t="shared" si="32"/>
        <v>168.4747962438</v>
      </c>
      <c r="O35" s="29">
        <f t="shared" si="32"/>
        <v>532.65377900609997</v>
      </c>
      <c r="P35" s="29">
        <f t="shared" si="32"/>
        <v>141.40141966599998</v>
      </c>
      <c r="Q35" s="29">
        <f t="shared" si="32"/>
        <v>132.00579974430002</v>
      </c>
      <c r="R35" s="29">
        <f t="shared" si="32"/>
        <v>129.36174795990001</v>
      </c>
      <c r="S35" s="29">
        <f t="shared" si="32"/>
        <v>129.88481163590001</v>
      </c>
    </row>
    <row r="36" spans="2:25" x14ac:dyDescent="0.3">
      <c r="B36" s="19"/>
      <c r="C36" s="40"/>
      <c r="D36" s="33"/>
      <c r="E36" s="32"/>
      <c r="F36" s="33"/>
      <c r="G36" s="33"/>
      <c r="I36" s="32"/>
      <c r="J36" s="32"/>
      <c r="K36" s="32"/>
      <c r="L36" s="32"/>
      <c r="M36" s="32"/>
      <c r="N36" s="32"/>
      <c r="O36" s="32"/>
      <c r="P36" s="32"/>
      <c r="Q36" s="32"/>
      <c r="R36" s="32"/>
      <c r="S36" s="32"/>
    </row>
    <row r="37" spans="2:25" s="36" customFormat="1" x14ac:dyDescent="0.3">
      <c r="B37" s="19" t="s">
        <v>1864</v>
      </c>
      <c r="C37" s="40" t="s">
        <v>1865</v>
      </c>
      <c r="D37" s="33"/>
      <c r="E37" s="32"/>
      <c r="F37" s="33"/>
      <c r="G37" s="33"/>
      <c r="H37" s="40"/>
      <c r="I37" s="32"/>
      <c r="J37" s="32"/>
      <c r="K37" s="32"/>
      <c r="L37" s="32"/>
      <c r="M37" s="32"/>
      <c r="N37" s="32"/>
      <c r="O37" s="32"/>
      <c r="P37" s="32"/>
      <c r="Q37" s="32"/>
      <c r="R37" s="32"/>
      <c r="S37" s="32"/>
    </row>
    <row r="38" spans="2:25" s="36" customFormat="1" x14ac:dyDescent="0.3">
      <c r="B38" s="24" t="s">
        <v>104</v>
      </c>
      <c r="C38" s="117" t="s">
        <v>125</v>
      </c>
      <c r="D38" s="31">
        <f>D30+D33</f>
        <v>338.25393354940002</v>
      </c>
      <c r="E38" s="31">
        <f>E30+E33</f>
        <v>296.31741811410001</v>
      </c>
      <c r="F38" s="42">
        <f t="shared" si="0"/>
        <v>0.14152565077747781</v>
      </c>
      <c r="G38" s="220"/>
      <c r="H38" s="133"/>
      <c r="I38" s="153">
        <f>I30+I33</f>
        <v>0</v>
      </c>
      <c r="J38" s="31">
        <f t="shared" ref="J38" si="33">J30+J33</f>
        <v>338.25393354940002</v>
      </c>
      <c r="K38" s="31">
        <f t="shared" ref="K38:L38" si="34">K30+K33</f>
        <v>100.43485055629999</v>
      </c>
      <c r="L38" s="31">
        <f t="shared" si="34"/>
        <v>96.581531221700004</v>
      </c>
      <c r="M38" s="31">
        <f t="shared" ref="M38:S38" si="35">M30+M33</f>
        <v>66.148277607599994</v>
      </c>
      <c r="N38" s="31">
        <f t="shared" si="35"/>
        <v>75.089274163799999</v>
      </c>
      <c r="O38" s="31">
        <f t="shared" si="35"/>
        <v>296.31741811410001</v>
      </c>
      <c r="P38" s="31">
        <f t="shared" si="35"/>
        <v>84.795649986000001</v>
      </c>
      <c r="Q38" s="31">
        <f t="shared" si="35"/>
        <v>79.8217103243</v>
      </c>
      <c r="R38" s="31">
        <f t="shared" si="35"/>
        <v>64.681000439900004</v>
      </c>
      <c r="S38" s="31">
        <f t="shared" si="35"/>
        <v>67.019057363900004</v>
      </c>
      <c r="Y38" s="338"/>
    </row>
    <row r="39" spans="2:25" s="112" customFormat="1" x14ac:dyDescent="0.3">
      <c r="B39" s="333" t="s">
        <v>190</v>
      </c>
      <c r="C39" s="110" t="s">
        <v>124</v>
      </c>
      <c r="D39" s="29">
        <f>D34</f>
        <v>341.24247115599997</v>
      </c>
      <c r="E39" s="29">
        <f>E34</f>
        <v>236.33636089200002</v>
      </c>
      <c r="F39" s="44">
        <f t="shared" si="0"/>
        <v>0.44388476605146465</v>
      </c>
      <c r="G39" s="220"/>
      <c r="H39" s="133"/>
      <c r="I39" s="151">
        <f>I34</f>
        <v>0</v>
      </c>
      <c r="J39" s="29">
        <f t="shared" ref="J39" si="36">J34</f>
        <v>341.24247115599997</v>
      </c>
      <c r="K39" s="29">
        <f t="shared" ref="K39:L39" si="37">K34</f>
        <v>76.297552867999997</v>
      </c>
      <c r="L39" s="29">
        <f t="shared" si="37"/>
        <v>109.88369916799999</v>
      </c>
      <c r="M39" s="29">
        <f t="shared" ref="M39:N39" si="38">M34</f>
        <v>61.675697039999996</v>
      </c>
      <c r="N39" s="29">
        <f t="shared" si="38"/>
        <v>93.385522080000001</v>
      </c>
      <c r="O39" s="29">
        <f t="shared" ref="O39:S39" si="39">O34</f>
        <v>236.33636089199999</v>
      </c>
      <c r="P39" s="29">
        <f t="shared" si="39"/>
        <v>56.605769679999995</v>
      </c>
      <c r="Q39" s="29">
        <f t="shared" si="39"/>
        <v>52.184089419999999</v>
      </c>
      <c r="R39" s="29">
        <f t="shared" si="39"/>
        <v>64.680747519999997</v>
      </c>
      <c r="S39" s="29">
        <f t="shared" si="39"/>
        <v>62.865754272000004</v>
      </c>
    </row>
    <row r="40" spans="2:25" s="40" customFormat="1" x14ac:dyDescent="0.3">
      <c r="B40" s="336" t="s">
        <v>111</v>
      </c>
      <c r="C40" s="118" t="s">
        <v>123</v>
      </c>
      <c r="D40" s="39">
        <f>D31</f>
        <v>0</v>
      </c>
      <c r="E40" s="39">
        <f>E31</f>
        <v>0</v>
      </c>
      <c r="F40" s="47">
        <f t="shared" si="0"/>
        <v>0</v>
      </c>
      <c r="G40" s="220"/>
      <c r="H40" s="133"/>
      <c r="I40" s="261">
        <f>I31</f>
        <v>0</v>
      </c>
      <c r="J40" s="39">
        <f t="shared" ref="J40" si="40">J31</f>
        <v>0</v>
      </c>
      <c r="K40" s="39">
        <f t="shared" ref="K40:L40" si="41">K31</f>
        <v>0</v>
      </c>
      <c r="L40" s="39">
        <f t="shared" si="41"/>
        <v>0</v>
      </c>
      <c r="M40" s="39">
        <f t="shared" ref="M40:S40" si="42">M31</f>
        <v>0</v>
      </c>
      <c r="N40" s="39">
        <f t="shared" si="42"/>
        <v>0</v>
      </c>
      <c r="O40" s="39">
        <f t="shared" si="42"/>
        <v>0</v>
      </c>
      <c r="P40" s="39">
        <f t="shared" si="42"/>
        <v>0</v>
      </c>
      <c r="Q40" s="39">
        <f t="shared" si="42"/>
        <v>0</v>
      </c>
      <c r="R40" s="39">
        <f t="shared" si="42"/>
        <v>0</v>
      </c>
      <c r="S40" s="39">
        <f t="shared" si="42"/>
        <v>0</v>
      </c>
    </row>
    <row r="41" spans="2:25" s="40" customFormat="1" x14ac:dyDescent="0.3">
      <c r="B41" s="48"/>
    </row>
    <row r="42" spans="2:25" s="40" customFormat="1" x14ac:dyDescent="0.3">
      <c r="B42" s="48"/>
    </row>
    <row r="43" spans="2:25" s="40" customFormat="1" x14ac:dyDescent="0.3">
      <c r="B43" s="19" t="s">
        <v>1866</v>
      </c>
      <c r="C43" s="40" t="s">
        <v>1867</v>
      </c>
      <c r="D43" s="820">
        <f>D4</f>
        <v>2025</v>
      </c>
      <c r="E43" s="820">
        <f>E4</f>
        <v>2024</v>
      </c>
      <c r="F43" s="841" t="s">
        <v>32</v>
      </c>
      <c r="G43" s="812"/>
      <c r="H43" s="812"/>
      <c r="I43" s="810"/>
      <c r="J43" s="845">
        <v>2025</v>
      </c>
      <c r="K43" s="846"/>
      <c r="L43" s="846"/>
      <c r="M43" s="846"/>
      <c r="N43" s="847"/>
      <c r="O43" s="845">
        <v>2024</v>
      </c>
      <c r="P43" s="846"/>
      <c r="Q43" s="846"/>
      <c r="R43" s="846"/>
      <c r="S43" s="847"/>
    </row>
    <row r="44" spans="2:25" s="112" customFormat="1" x14ac:dyDescent="0.3">
      <c r="B44" s="331"/>
      <c r="C44" s="812"/>
      <c r="D44" s="820" t="str">
        <f>D5</f>
        <v>FY</v>
      </c>
      <c r="E44" s="820" t="str">
        <f>E5</f>
        <v>FY</v>
      </c>
      <c r="F44" s="864"/>
      <c r="G44" s="812"/>
      <c r="H44" s="812"/>
      <c r="I44" s="810"/>
      <c r="J44" s="820" t="s">
        <v>1781</v>
      </c>
      <c r="K44" s="820" t="s">
        <v>1680</v>
      </c>
      <c r="L44" s="820" t="s">
        <v>1933</v>
      </c>
      <c r="M44" s="820" t="s">
        <v>27</v>
      </c>
      <c r="N44" s="820" t="s">
        <v>29</v>
      </c>
      <c r="O44" s="820" t="s">
        <v>31</v>
      </c>
      <c r="P44" s="820" t="s">
        <v>28</v>
      </c>
      <c r="Q44" s="820" t="s">
        <v>30</v>
      </c>
      <c r="R44" s="820" t="s">
        <v>27</v>
      </c>
      <c r="S44" s="820" t="s">
        <v>29</v>
      </c>
    </row>
    <row r="45" spans="2:25" s="40" customFormat="1" hidden="1" x14ac:dyDescent="0.3">
      <c r="B45" s="24" t="s">
        <v>1868</v>
      </c>
      <c r="C45" s="117" t="s">
        <v>1869</v>
      </c>
      <c r="D45" s="31"/>
      <c r="E45" s="31"/>
      <c r="F45" s="44"/>
      <c r="G45" s="220"/>
      <c r="H45" s="133"/>
      <c r="I45" s="153">
        <f>I36+I39</f>
        <v>0</v>
      </c>
      <c r="J45" s="31"/>
      <c r="K45" s="31"/>
      <c r="L45" s="31"/>
      <c r="M45" s="31"/>
      <c r="N45" s="31"/>
      <c r="O45" s="31"/>
      <c r="P45" s="31"/>
      <c r="Q45" s="31"/>
      <c r="R45" s="31"/>
      <c r="S45" s="31"/>
    </row>
    <row r="46" spans="2:25" s="40" customFormat="1" hidden="1" x14ac:dyDescent="0.3">
      <c r="B46" s="115" t="s">
        <v>1870</v>
      </c>
      <c r="C46" s="116" t="s">
        <v>1871</v>
      </c>
      <c r="D46" s="30"/>
      <c r="E46" s="30"/>
      <c r="F46" s="45"/>
      <c r="G46" s="33"/>
      <c r="I46" s="691"/>
      <c r="J46" s="30"/>
      <c r="K46" s="30"/>
      <c r="L46" s="30"/>
      <c r="M46" s="30"/>
      <c r="N46" s="30"/>
      <c r="O46" s="30"/>
      <c r="P46" s="30"/>
      <c r="Q46" s="30"/>
      <c r="R46" s="30"/>
      <c r="S46" s="30"/>
    </row>
    <row r="47" spans="2:25" s="40" customFormat="1" hidden="1" x14ac:dyDescent="0.3">
      <c r="B47" s="18" t="s">
        <v>1872</v>
      </c>
      <c r="C47" s="73" t="s">
        <v>1873</v>
      </c>
      <c r="D47" s="27"/>
      <c r="E47" s="27"/>
      <c r="F47" s="26"/>
      <c r="G47" s="33"/>
      <c r="I47" s="152"/>
      <c r="J47" s="27"/>
      <c r="K47" s="27"/>
      <c r="L47" s="27"/>
      <c r="M47" s="27"/>
      <c r="N47" s="27"/>
      <c r="O47" s="27"/>
      <c r="P47" s="27"/>
      <c r="Q47" s="27"/>
      <c r="R47" s="27"/>
      <c r="S47" s="27"/>
    </row>
    <row r="48" spans="2:25" s="40" customFormat="1" hidden="1" x14ac:dyDescent="0.3">
      <c r="B48" s="18" t="s">
        <v>1874</v>
      </c>
      <c r="C48" s="73" t="s">
        <v>1875</v>
      </c>
      <c r="D48" s="27"/>
      <c r="E48" s="27"/>
      <c r="F48" s="26"/>
      <c r="G48" s="33"/>
      <c r="I48" s="152"/>
      <c r="J48" s="27"/>
      <c r="K48" s="27"/>
      <c r="L48" s="27"/>
      <c r="M48" s="27"/>
      <c r="N48" s="27"/>
      <c r="O48" s="27"/>
      <c r="P48" s="27"/>
      <c r="Q48" s="27"/>
      <c r="R48" s="27"/>
      <c r="S48" s="27"/>
    </row>
    <row r="49" spans="2:20" s="112" customFormat="1" hidden="1" x14ac:dyDescent="0.3">
      <c r="B49" s="18" t="s">
        <v>1876</v>
      </c>
      <c r="C49" s="73" t="s">
        <v>1877</v>
      </c>
      <c r="D49" s="27"/>
      <c r="E49" s="27"/>
      <c r="F49" s="41"/>
      <c r="G49" s="33"/>
      <c r="H49" s="40"/>
      <c r="I49" s="152"/>
      <c r="J49" s="27"/>
      <c r="K49" s="27"/>
      <c r="L49" s="27"/>
      <c r="M49" s="27"/>
      <c r="N49" s="27"/>
      <c r="O49" s="27"/>
      <c r="P49" s="27"/>
      <c r="Q49" s="27"/>
      <c r="R49" s="27"/>
      <c r="S49" s="27"/>
    </row>
    <row r="50" spans="2:20" s="40" customFormat="1" x14ac:dyDescent="0.3">
      <c r="B50" s="333" t="s">
        <v>188</v>
      </c>
      <c r="C50" s="110" t="s">
        <v>1878</v>
      </c>
      <c r="D50" s="29">
        <f t="shared" ref="D50:E56" si="43">D16</f>
        <v>443.90319370540004</v>
      </c>
      <c r="E50" s="29">
        <f t="shared" si="43"/>
        <v>384.35345800610003</v>
      </c>
      <c r="F50" s="44">
        <f t="shared" ref="F50:F59" si="44">+IFERROR(IF(E50&lt;0,-(D50/E50-1),(D50/E50-1)),0)</f>
        <v>0.15493482485685073</v>
      </c>
      <c r="G50" s="220"/>
      <c r="H50" s="133"/>
      <c r="I50" s="151">
        <f>I40</f>
        <v>0</v>
      </c>
      <c r="J50" s="29">
        <f t="shared" ref="J50" si="45">J16</f>
        <v>443.90319370540004</v>
      </c>
      <c r="K50" s="29">
        <f t="shared" ref="K50:L50" si="46">K16</f>
        <v>136.4041234243</v>
      </c>
      <c r="L50" s="29">
        <f t="shared" si="46"/>
        <v>122.5761403897</v>
      </c>
      <c r="M50" s="29">
        <f t="shared" ref="M50:S56" si="47">M16</f>
        <v>83.501167647599999</v>
      </c>
      <c r="N50" s="29">
        <f t="shared" si="47"/>
        <v>101.4217622438</v>
      </c>
      <c r="O50" s="29">
        <f t="shared" si="47"/>
        <v>384.35345800610003</v>
      </c>
      <c r="P50" s="29">
        <f t="shared" si="47"/>
        <v>110.18721266599999</v>
      </c>
      <c r="Q50" s="29">
        <f t="shared" si="47"/>
        <v>97.1535417443</v>
      </c>
      <c r="R50" s="29">
        <f t="shared" si="47"/>
        <v>88.199601959900008</v>
      </c>
      <c r="S50" s="29">
        <f t="shared" si="47"/>
        <v>88.813101635900011</v>
      </c>
    </row>
    <row r="51" spans="2:20" s="40" customFormat="1" x14ac:dyDescent="0.3">
      <c r="B51" s="18" t="s">
        <v>1870</v>
      </c>
      <c r="C51" s="73" t="s">
        <v>1871</v>
      </c>
      <c r="D51" s="27">
        <f t="shared" si="43"/>
        <v>282.96327083200003</v>
      </c>
      <c r="E51" s="27">
        <f t="shared" si="43"/>
        <v>252.87239474740002</v>
      </c>
      <c r="F51" s="45">
        <f t="shared" si="44"/>
        <v>0.11899628709831478</v>
      </c>
      <c r="G51" s="33"/>
      <c r="I51" s="152"/>
      <c r="J51" s="27">
        <f t="shared" ref="J51" si="48">J17</f>
        <v>282.96327083200003</v>
      </c>
      <c r="K51" s="27">
        <f t="shared" ref="K51:L51" si="49">K17</f>
        <v>84.058203092499994</v>
      </c>
      <c r="L51" s="27">
        <f t="shared" si="49"/>
        <v>82.060915139800002</v>
      </c>
      <c r="M51" s="27">
        <f t="shared" si="47"/>
        <v>53.859724906099999</v>
      </c>
      <c r="N51" s="27">
        <f t="shared" si="47"/>
        <v>62.984427693599997</v>
      </c>
      <c r="O51" s="27">
        <f t="shared" si="47"/>
        <v>252.87239474740002</v>
      </c>
      <c r="P51" s="27">
        <f t="shared" si="47"/>
        <v>72.019961353300005</v>
      </c>
      <c r="Q51" s="27">
        <f t="shared" si="47"/>
        <v>66.174750492100003</v>
      </c>
      <c r="R51" s="27">
        <f t="shared" si="47"/>
        <v>53.399905244300001</v>
      </c>
      <c r="S51" s="27">
        <f t="shared" si="47"/>
        <v>61.2777776577</v>
      </c>
    </row>
    <row r="52" spans="2:20" s="40" customFormat="1" x14ac:dyDescent="0.3">
      <c r="B52" s="18" t="s">
        <v>1872</v>
      </c>
      <c r="C52" s="73" t="s">
        <v>1873</v>
      </c>
      <c r="D52" s="27">
        <f t="shared" si="43"/>
        <v>55.290662717399996</v>
      </c>
      <c r="E52" s="27">
        <f t="shared" si="43"/>
        <v>43.445023366700006</v>
      </c>
      <c r="F52" s="26">
        <f t="shared" si="44"/>
        <v>0.27265814200895333</v>
      </c>
      <c r="G52" s="33"/>
      <c r="I52" s="152"/>
      <c r="J52" s="27">
        <f t="shared" ref="J52" si="50">J18</f>
        <v>55.290662717399996</v>
      </c>
      <c r="K52" s="27">
        <f t="shared" ref="K52:L52" si="51">K18</f>
        <v>16.376647463799998</v>
      </c>
      <c r="L52" s="27">
        <f t="shared" si="51"/>
        <v>14.520616081899998</v>
      </c>
      <c r="M52" s="27">
        <f t="shared" si="47"/>
        <v>12.2885527015</v>
      </c>
      <c r="N52" s="27">
        <f t="shared" si="47"/>
        <v>12.1048464702</v>
      </c>
      <c r="O52" s="27">
        <f t="shared" si="47"/>
        <v>43.445023366700006</v>
      </c>
      <c r="P52" s="27">
        <f t="shared" si="47"/>
        <v>12.775688632700001</v>
      </c>
      <c r="Q52" s="27">
        <f t="shared" si="47"/>
        <v>13.646959832199999</v>
      </c>
      <c r="R52" s="27">
        <f t="shared" si="47"/>
        <v>11.281095195600001</v>
      </c>
      <c r="S52" s="27">
        <f t="shared" si="47"/>
        <v>5.7412797062000012</v>
      </c>
    </row>
    <row r="53" spans="2:20" s="40" customFormat="1" x14ac:dyDescent="0.3">
      <c r="B53" s="18" t="s">
        <v>1874</v>
      </c>
      <c r="C53" s="73" t="s">
        <v>1875</v>
      </c>
      <c r="D53" s="27">
        <f t="shared" si="43"/>
        <v>105.64926015600001</v>
      </c>
      <c r="E53" s="27">
        <f t="shared" si="43"/>
        <v>88.036039891999991</v>
      </c>
      <c r="F53" s="26">
        <f t="shared" si="44"/>
        <v>0.20006829345808153</v>
      </c>
      <c r="G53" s="33"/>
      <c r="I53" s="152"/>
      <c r="J53" s="27">
        <f t="shared" ref="J53" si="52">J19</f>
        <v>105.64926015600001</v>
      </c>
      <c r="K53" s="27">
        <f t="shared" ref="K53:L53" si="53">K19</f>
        <v>35.969272867999997</v>
      </c>
      <c r="L53" s="27">
        <f t="shared" si="53"/>
        <v>25.994609168</v>
      </c>
      <c r="M53" s="27">
        <f t="shared" si="47"/>
        <v>17.352890039999998</v>
      </c>
      <c r="N53" s="27">
        <f t="shared" si="47"/>
        <v>26.332488080000001</v>
      </c>
      <c r="O53" s="27">
        <f t="shared" si="47"/>
        <v>88.036039891999991</v>
      </c>
      <c r="P53" s="27">
        <f t="shared" si="47"/>
        <v>25.39156268</v>
      </c>
      <c r="Q53" s="27">
        <f t="shared" si="47"/>
        <v>17.33183142</v>
      </c>
      <c r="R53" s="27">
        <f t="shared" si="47"/>
        <v>23.518601520000001</v>
      </c>
      <c r="S53" s="27">
        <f t="shared" si="47"/>
        <v>21.794044272000001</v>
      </c>
    </row>
    <row r="54" spans="2:20" x14ac:dyDescent="0.3">
      <c r="B54" s="20" t="s">
        <v>1876</v>
      </c>
      <c r="C54" s="120" t="s">
        <v>1877</v>
      </c>
      <c r="D54" s="28">
        <f t="shared" si="43"/>
        <v>0</v>
      </c>
      <c r="E54" s="28">
        <f t="shared" si="43"/>
        <v>0</v>
      </c>
      <c r="F54" s="41">
        <f t="shared" si="44"/>
        <v>0</v>
      </c>
      <c r="G54" s="33"/>
      <c r="I54" s="178"/>
      <c r="J54" s="28">
        <f t="shared" ref="J54" si="54">J20</f>
        <v>0</v>
      </c>
      <c r="K54" s="28">
        <f t="shared" ref="K54:L54" si="55">K20</f>
        <v>0</v>
      </c>
      <c r="L54" s="28">
        <f t="shared" si="55"/>
        <v>0</v>
      </c>
      <c r="M54" s="28">
        <f t="shared" si="47"/>
        <v>0</v>
      </c>
      <c r="N54" s="28">
        <f t="shared" si="47"/>
        <v>0</v>
      </c>
      <c r="O54" s="28">
        <f t="shared" si="47"/>
        <v>0</v>
      </c>
      <c r="P54" s="28">
        <f t="shared" si="47"/>
        <v>0</v>
      </c>
      <c r="Q54" s="28">
        <f t="shared" si="47"/>
        <v>0</v>
      </c>
      <c r="R54" s="28">
        <f t="shared" si="47"/>
        <v>0</v>
      </c>
      <c r="S54" s="28">
        <f t="shared" si="47"/>
        <v>0</v>
      </c>
    </row>
    <row r="55" spans="2:20" x14ac:dyDescent="0.3">
      <c r="B55" s="336" t="s">
        <v>1879</v>
      </c>
      <c r="C55" s="118" t="s">
        <v>1880</v>
      </c>
      <c r="D55" s="39">
        <f t="shared" si="43"/>
        <v>235.59321099999997</v>
      </c>
      <c r="E55" s="39">
        <f t="shared" si="43"/>
        <v>148.300321</v>
      </c>
      <c r="F55" s="44">
        <f t="shared" si="44"/>
        <v>0.58862239414842521</v>
      </c>
      <c r="G55" s="220"/>
      <c r="H55" s="133"/>
      <c r="I55" s="261">
        <f>I37</f>
        <v>0</v>
      </c>
      <c r="J55" s="39">
        <f t="shared" ref="J55" si="56">J21</f>
        <v>235.59321099999997</v>
      </c>
      <c r="K55" s="39">
        <f t="shared" ref="K55:L55" si="57">K21</f>
        <v>40.328279999999999</v>
      </c>
      <c r="L55" s="39">
        <f t="shared" si="57"/>
        <v>83.889089999999996</v>
      </c>
      <c r="M55" s="39">
        <f t="shared" si="47"/>
        <v>44.322806999999997</v>
      </c>
      <c r="N55" s="39">
        <f t="shared" si="47"/>
        <v>67.053033999999997</v>
      </c>
      <c r="O55" s="39">
        <f t="shared" si="47"/>
        <v>148.300321</v>
      </c>
      <c r="P55" s="39">
        <f t="shared" si="47"/>
        <v>31.214206999999998</v>
      </c>
      <c r="Q55" s="39">
        <f t="shared" si="47"/>
        <v>34.852257999999999</v>
      </c>
      <c r="R55" s="39">
        <f t="shared" si="47"/>
        <v>41.162146</v>
      </c>
      <c r="S55" s="39">
        <f t="shared" si="47"/>
        <v>41.071710000000003</v>
      </c>
    </row>
    <row r="56" spans="2:20" s="112" customFormat="1" hidden="1" x14ac:dyDescent="0.3">
      <c r="B56" s="115" t="s">
        <v>1870</v>
      </c>
      <c r="C56" s="116" t="s">
        <v>1871</v>
      </c>
      <c r="D56" s="30">
        <f t="shared" si="43"/>
        <v>0</v>
      </c>
      <c r="E56" s="30">
        <f t="shared" si="43"/>
        <v>0</v>
      </c>
      <c r="F56" s="45">
        <f t="shared" si="44"/>
        <v>0</v>
      </c>
      <c r="G56" s="33"/>
      <c r="H56" s="40"/>
      <c r="I56" s="691"/>
      <c r="J56" s="30">
        <f t="shared" ref="J56" si="58">J22</f>
        <v>0</v>
      </c>
      <c r="K56" s="30">
        <f t="shared" ref="K56:L56" si="59">K22</f>
        <v>0</v>
      </c>
      <c r="L56" s="30">
        <f t="shared" si="59"/>
        <v>0</v>
      </c>
      <c r="M56" s="30">
        <f t="shared" si="47"/>
        <v>0</v>
      </c>
      <c r="N56" s="30">
        <f t="shared" si="47"/>
        <v>0</v>
      </c>
      <c r="O56" s="30">
        <f t="shared" si="47"/>
        <v>0</v>
      </c>
      <c r="P56" s="30">
        <f t="shared" si="47"/>
        <v>0</v>
      </c>
      <c r="Q56" s="30">
        <f t="shared" si="47"/>
        <v>0</v>
      </c>
      <c r="R56" s="30">
        <f t="shared" si="47"/>
        <v>0</v>
      </c>
      <c r="S56" s="30">
        <f t="shared" si="47"/>
        <v>0</v>
      </c>
    </row>
    <row r="57" spans="2:20" s="40" customFormat="1" hidden="1" x14ac:dyDescent="0.3">
      <c r="B57" s="18" t="s">
        <v>1872</v>
      </c>
      <c r="C57" s="73" t="s">
        <v>1873</v>
      </c>
      <c r="D57" s="27">
        <f t="shared" ref="D57:E59" si="60">D23</f>
        <v>0</v>
      </c>
      <c r="E57" s="27">
        <f t="shared" si="60"/>
        <v>0</v>
      </c>
      <c r="F57" s="26">
        <f t="shared" si="44"/>
        <v>0</v>
      </c>
      <c r="G57" s="33"/>
      <c r="I57" s="152"/>
      <c r="J57" s="27">
        <f t="shared" ref="J57" si="61">J23</f>
        <v>0</v>
      </c>
      <c r="K57" s="27">
        <f t="shared" ref="K57:L57" si="62">K23</f>
        <v>0</v>
      </c>
      <c r="L57" s="27">
        <f t="shared" si="62"/>
        <v>0</v>
      </c>
      <c r="M57" s="27">
        <f t="shared" ref="M57:S59" si="63">M23</f>
        <v>0</v>
      </c>
      <c r="N57" s="27">
        <f t="shared" si="63"/>
        <v>0</v>
      </c>
      <c r="O57" s="27">
        <f t="shared" si="63"/>
        <v>0</v>
      </c>
      <c r="P57" s="27">
        <f t="shared" si="63"/>
        <v>0</v>
      </c>
      <c r="Q57" s="27">
        <f t="shared" si="63"/>
        <v>0</v>
      </c>
      <c r="R57" s="27">
        <f t="shared" si="63"/>
        <v>0</v>
      </c>
      <c r="S57" s="27">
        <f t="shared" si="63"/>
        <v>0</v>
      </c>
    </row>
    <row r="58" spans="2:20" s="40" customFormat="1" hidden="1" x14ac:dyDescent="0.3">
      <c r="B58" s="18" t="s">
        <v>1874</v>
      </c>
      <c r="C58" s="73" t="s">
        <v>1875</v>
      </c>
      <c r="D58" s="27">
        <f t="shared" si="60"/>
        <v>235.59321099999997</v>
      </c>
      <c r="E58" s="27">
        <f t="shared" si="60"/>
        <v>148.300321</v>
      </c>
      <c r="F58" s="26">
        <f t="shared" si="44"/>
        <v>0.58862239414842521</v>
      </c>
      <c r="G58" s="33"/>
      <c r="I58" s="152"/>
      <c r="J58" s="27">
        <f t="shared" ref="J58" si="64">J24</f>
        <v>235.59321099999997</v>
      </c>
      <c r="K58" s="27">
        <f t="shared" ref="K58:L58" si="65">K24</f>
        <v>40.328279999999999</v>
      </c>
      <c r="L58" s="27">
        <f t="shared" si="65"/>
        <v>83.889089999999996</v>
      </c>
      <c r="M58" s="27">
        <f t="shared" si="63"/>
        <v>44.322806999999997</v>
      </c>
      <c r="N58" s="27">
        <f t="shared" si="63"/>
        <v>67.053033999999997</v>
      </c>
      <c r="O58" s="27">
        <f t="shared" si="63"/>
        <v>148.300321</v>
      </c>
      <c r="P58" s="27">
        <f t="shared" si="63"/>
        <v>31.214206999999998</v>
      </c>
      <c r="Q58" s="27">
        <f t="shared" si="63"/>
        <v>34.852257999999999</v>
      </c>
      <c r="R58" s="27">
        <f t="shared" si="63"/>
        <v>41.162146</v>
      </c>
      <c r="S58" s="27">
        <f t="shared" si="63"/>
        <v>41.071710000000003</v>
      </c>
    </row>
    <row r="59" spans="2:20" s="40" customFormat="1" hidden="1" x14ac:dyDescent="0.3">
      <c r="B59" s="20" t="s">
        <v>1876</v>
      </c>
      <c r="C59" s="120" t="s">
        <v>1877</v>
      </c>
      <c r="D59" s="28">
        <f t="shared" si="60"/>
        <v>0</v>
      </c>
      <c r="E59" s="28">
        <f t="shared" si="60"/>
        <v>0</v>
      </c>
      <c r="F59" s="41">
        <f t="shared" si="44"/>
        <v>0</v>
      </c>
      <c r="G59" s="33"/>
      <c r="I59" s="178"/>
      <c r="J59" s="28">
        <f t="shared" ref="J59" si="66">J25</f>
        <v>0</v>
      </c>
      <c r="K59" s="28">
        <f t="shared" ref="K59:L59" si="67">K25</f>
        <v>0</v>
      </c>
      <c r="L59" s="28">
        <f t="shared" si="67"/>
        <v>0</v>
      </c>
      <c r="M59" s="28">
        <f t="shared" si="63"/>
        <v>0</v>
      </c>
      <c r="N59" s="28">
        <f t="shared" si="63"/>
        <v>0</v>
      </c>
      <c r="O59" s="28">
        <f t="shared" si="63"/>
        <v>0</v>
      </c>
      <c r="P59" s="28">
        <f t="shared" si="63"/>
        <v>0</v>
      </c>
      <c r="Q59" s="28">
        <f t="shared" si="63"/>
        <v>0</v>
      </c>
      <c r="R59" s="28">
        <f t="shared" si="63"/>
        <v>0</v>
      </c>
      <c r="S59" s="28">
        <f t="shared" si="63"/>
        <v>0</v>
      </c>
    </row>
    <row r="60" spans="2:20" s="40" customFormat="1" hidden="1" x14ac:dyDescent="0.3">
      <c r="B60" s="34"/>
      <c r="C60" s="35"/>
      <c r="D60" s="35"/>
      <c r="E60" s="35"/>
      <c r="F60" s="35"/>
    </row>
    <row r="61" spans="2:20" s="112" customFormat="1" x14ac:dyDescent="0.3">
      <c r="B61" s="19" t="s">
        <v>1881</v>
      </c>
      <c r="C61" s="35" t="s">
        <v>1882</v>
      </c>
      <c r="D61" s="35"/>
      <c r="E61" s="35"/>
      <c r="F61" s="35"/>
      <c r="G61" s="40"/>
      <c r="H61" s="40"/>
      <c r="I61" s="40"/>
      <c r="J61" s="40"/>
      <c r="K61" s="40"/>
      <c r="L61" s="40"/>
      <c r="M61" s="40"/>
      <c r="N61" s="40"/>
      <c r="O61" s="40"/>
      <c r="P61" s="40"/>
      <c r="Q61" s="40"/>
      <c r="R61" s="40"/>
      <c r="S61" s="40"/>
      <c r="T61" s="340"/>
    </row>
    <row r="62" spans="2:20" s="40" customFormat="1" hidden="1" x14ac:dyDescent="0.3">
      <c r="B62" s="24" t="s">
        <v>1868</v>
      </c>
      <c r="C62" s="117" t="s">
        <v>1869</v>
      </c>
      <c r="D62" s="42"/>
      <c r="E62" s="42"/>
      <c r="F62" s="688"/>
      <c r="G62" s="692"/>
      <c r="H62" s="133"/>
      <c r="I62" s="153">
        <f>I55+I58</f>
        <v>0</v>
      </c>
      <c r="J62" s="42"/>
      <c r="K62" s="42"/>
      <c r="L62" s="42"/>
      <c r="M62" s="42"/>
      <c r="N62" s="42"/>
      <c r="O62" s="42"/>
      <c r="P62" s="42"/>
      <c r="Q62" s="42"/>
      <c r="R62" s="42"/>
      <c r="S62" s="42"/>
    </row>
    <row r="63" spans="2:20" s="40" customFormat="1" hidden="1" x14ac:dyDescent="0.3">
      <c r="B63" s="115" t="s">
        <v>1870</v>
      </c>
      <c r="C63" s="116" t="s">
        <v>1871</v>
      </c>
      <c r="D63" s="45"/>
      <c r="E63" s="45"/>
      <c r="F63" s="689"/>
      <c r="G63" s="368"/>
      <c r="I63" s="691"/>
      <c r="J63" s="45"/>
      <c r="K63" s="45"/>
      <c r="L63" s="45"/>
      <c r="M63" s="45"/>
      <c r="N63" s="45"/>
      <c r="O63" s="45"/>
      <c r="P63" s="45"/>
      <c r="Q63" s="45"/>
      <c r="R63" s="45"/>
      <c r="S63" s="45"/>
    </row>
    <row r="64" spans="2:20" s="40" customFormat="1" hidden="1" x14ac:dyDescent="0.3">
      <c r="B64" s="18" t="s">
        <v>1872</v>
      </c>
      <c r="C64" s="73" t="s">
        <v>1873</v>
      </c>
      <c r="D64" s="26"/>
      <c r="E64" s="26"/>
      <c r="F64" s="687"/>
      <c r="G64" s="368"/>
      <c r="I64" s="152"/>
      <c r="J64" s="26"/>
      <c r="K64" s="26"/>
      <c r="L64" s="26"/>
      <c r="M64" s="26"/>
      <c r="N64" s="26"/>
      <c r="O64" s="26"/>
      <c r="P64" s="26"/>
      <c r="Q64" s="26"/>
      <c r="R64" s="26"/>
      <c r="S64" s="26"/>
    </row>
    <row r="65" spans="2:20" s="40" customFormat="1" hidden="1" x14ac:dyDescent="0.3">
      <c r="B65" s="18" t="s">
        <v>1874</v>
      </c>
      <c r="C65" s="73" t="s">
        <v>1875</v>
      </c>
      <c r="D65" s="26"/>
      <c r="E65" s="26"/>
      <c r="F65" s="687"/>
      <c r="G65" s="368"/>
      <c r="I65" s="152"/>
      <c r="J65" s="26"/>
      <c r="K65" s="26"/>
      <c r="L65" s="26"/>
      <c r="M65" s="26"/>
      <c r="N65" s="26"/>
      <c r="O65" s="26"/>
      <c r="P65" s="26"/>
      <c r="Q65" s="26"/>
      <c r="R65" s="26"/>
      <c r="S65" s="26"/>
    </row>
    <row r="66" spans="2:20" s="112" customFormat="1" hidden="1" x14ac:dyDescent="0.3">
      <c r="B66" s="18" t="s">
        <v>1876</v>
      </c>
      <c r="C66" s="73" t="s">
        <v>1877</v>
      </c>
      <c r="D66" s="26"/>
      <c r="E66" s="26"/>
      <c r="F66" s="690"/>
      <c r="G66" s="368"/>
      <c r="H66" s="40"/>
      <c r="I66" s="152"/>
      <c r="J66" s="26"/>
      <c r="K66" s="26"/>
      <c r="L66" s="26"/>
      <c r="M66" s="26"/>
      <c r="N66" s="26"/>
      <c r="O66" s="26"/>
      <c r="P66" s="26"/>
      <c r="Q66" s="26"/>
      <c r="R66" s="26"/>
      <c r="S66" s="26"/>
      <c r="T66" s="340"/>
    </row>
    <row r="67" spans="2:20" s="40" customFormat="1" x14ac:dyDescent="0.3">
      <c r="B67" s="333" t="s">
        <v>188</v>
      </c>
      <c r="C67" s="110" t="s">
        <v>1878</v>
      </c>
      <c r="D67" s="44">
        <f>D50/D26</f>
        <v>0.65328262317717067</v>
      </c>
      <c r="E67" s="44">
        <f t="shared" ref="E67" si="68">E50/E26</f>
        <v>0.72158214801982734</v>
      </c>
      <c r="F67" s="121">
        <f t="shared" ref="F67:F76" si="69">D67-E67</f>
        <v>-6.8299524842656667E-2</v>
      </c>
      <c r="G67" s="692"/>
      <c r="H67" s="133"/>
      <c r="I67" s="151">
        <f>I59</f>
        <v>0</v>
      </c>
      <c r="J67" s="44">
        <f t="shared" ref="J67" si="70">J50/J26</f>
        <v>0.65328262317717067</v>
      </c>
      <c r="K67" s="44">
        <f t="shared" ref="K67:L67" si="71">K50/K26</f>
        <v>0.77181162470144382</v>
      </c>
      <c r="L67" s="44">
        <f t="shared" si="71"/>
        <v>0.59368902046286143</v>
      </c>
      <c r="M67" s="44">
        <f t="shared" ref="M67:S67" si="72">M50/M26</f>
        <v>0.65325122206382435</v>
      </c>
      <c r="N67" s="44">
        <f t="shared" si="72"/>
        <v>0.60199961362192422</v>
      </c>
      <c r="O67" s="44">
        <f t="shared" si="72"/>
        <v>0.72158214801982734</v>
      </c>
      <c r="P67" s="44">
        <f t="shared" si="72"/>
        <v>0.77925110600918912</v>
      </c>
      <c r="Q67" s="44">
        <f t="shared" si="72"/>
        <v>0.7359793428204664</v>
      </c>
      <c r="R67" s="44">
        <f t="shared" si="72"/>
        <v>0.68180589201098618</v>
      </c>
      <c r="S67" s="44">
        <f t="shared" si="72"/>
        <v>0.68378358113853688</v>
      </c>
    </row>
    <row r="68" spans="2:20" s="40" customFormat="1" x14ac:dyDescent="0.3">
      <c r="B68" s="18" t="s">
        <v>1870</v>
      </c>
      <c r="C68" s="73" t="s">
        <v>1871</v>
      </c>
      <c r="D68" s="26">
        <f t="shared" ref="D68:E71" si="73">D51/D$50</f>
        <v>0.63744364727366865</v>
      </c>
      <c r="E68" s="26">
        <f t="shared" si="73"/>
        <v>0.65791627336779868</v>
      </c>
      <c r="F68" s="339">
        <f t="shared" si="69"/>
        <v>-2.0472626094130031E-2</v>
      </c>
      <c r="G68" s="368"/>
      <c r="I68" s="152"/>
      <c r="J68" s="26">
        <f t="shared" ref="J68" si="74">J51/J$50</f>
        <v>0.63744364727366865</v>
      </c>
      <c r="K68" s="26">
        <f t="shared" ref="K68:L68" si="75">K51/K$50</f>
        <v>0.61624385672731996</v>
      </c>
      <c r="L68" s="26">
        <f t="shared" si="75"/>
        <v>0.66946891033530642</v>
      </c>
      <c r="M68" s="26">
        <f t="shared" ref="M68:S71" si="76">M51/M$50</f>
        <v>0.64501762578224309</v>
      </c>
      <c r="N68" s="26">
        <f t="shared" si="76"/>
        <v>0.62101492125720081</v>
      </c>
      <c r="O68" s="26">
        <f t="shared" si="76"/>
        <v>0.65791627336779868</v>
      </c>
      <c r="P68" s="26">
        <f t="shared" si="76"/>
        <v>0.65361451307065233</v>
      </c>
      <c r="Q68" s="26">
        <f t="shared" si="76"/>
        <v>0.68113574970088497</v>
      </c>
      <c r="R68" s="26">
        <f t="shared" si="76"/>
        <v>0.60544383486649178</v>
      </c>
      <c r="S68" s="26">
        <f t="shared" si="76"/>
        <v>0.68996326588069878</v>
      </c>
    </row>
    <row r="69" spans="2:20" s="40" customFormat="1" x14ac:dyDescent="0.3">
      <c r="B69" s="18" t="s">
        <v>1872</v>
      </c>
      <c r="C69" s="73" t="s">
        <v>1873</v>
      </c>
      <c r="D69" s="26">
        <f t="shared" si="73"/>
        <v>0.12455567678139773</v>
      </c>
      <c r="E69" s="26">
        <f t="shared" si="73"/>
        <v>0.11303403797139897</v>
      </c>
      <c r="F69" s="93">
        <f t="shared" si="69"/>
        <v>1.1521638809998763E-2</v>
      </c>
      <c r="G69" s="368"/>
      <c r="I69" s="152"/>
      <c r="J69" s="26">
        <f t="shared" ref="J69" si="77">J52/J$50</f>
        <v>0.12455567678139773</v>
      </c>
      <c r="K69" s="26">
        <f t="shared" ref="K69:L69" si="78">K52/K$50</f>
        <v>0.12005976837561309</v>
      </c>
      <c r="L69" s="26">
        <f t="shared" si="78"/>
        <v>0.11846201092427411</v>
      </c>
      <c r="M69" s="26">
        <f t="shared" si="76"/>
        <v>0.14716623788258126</v>
      </c>
      <c r="N69" s="26">
        <f t="shared" si="76"/>
        <v>0.11935156915438017</v>
      </c>
      <c r="O69" s="26">
        <f t="shared" si="76"/>
        <v>0.11303403797139897</v>
      </c>
      <c r="P69" s="26">
        <f t="shared" si="76"/>
        <v>0.11594529277572099</v>
      </c>
      <c r="Q69" s="26">
        <f t="shared" si="76"/>
        <v>0.14046796017089791</v>
      </c>
      <c r="R69" s="26">
        <f t="shared" si="76"/>
        <v>0.12790415086826531</v>
      </c>
      <c r="S69" s="26">
        <f t="shared" si="76"/>
        <v>6.4644513032965201E-2</v>
      </c>
    </row>
    <row r="70" spans="2:20" s="40" customFormat="1" x14ac:dyDescent="0.3">
      <c r="B70" s="18" t="s">
        <v>1874</v>
      </c>
      <c r="C70" s="73" t="s">
        <v>1875</v>
      </c>
      <c r="D70" s="26">
        <f t="shared" si="73"/>
        <v>0.23800067594493363</v>
      </c>
      <c r="E70" s="26">
        <f t="shared" si="73"/>
        <v>0.22904968866080239</v>
      </c>
      <c r="F70" s="93">
        <f t="shared" si="69"/>
        <v>8.9509872841312399E-3</v>
      </c>
      <c r="G70" s="368"/>
      <c r="I70" s="152"/>
      <c r="J70" s="26">
        <f t="shared" ref="J70" si="79">J53/J$50</f>
        <v>0.23800067594493363</v>
      </c>
      <c r="K70" s="26">
        <f t="shared" ref="K70:L70" si="80">K53/K$50</f>
        <v>0.26369637489706693</v>
      </c>
      <c r="L70" s="26">
        <f t="shared" si="80"/>
        <v>0.21206907874041947</v>
      </c>
      <c r="M70" s="26">
        <f t="shared" si="76"/>
        <v>0.20781613633517562</v>
      </c>
      <c r="N70" s="26">
        <f t="shared" si="76"/>
        <v>0.25963350958841902</v>
      </c>
      <c r="O70" s="26">
        <f t="shared" si="76"/>
        <v>0.22904968866080239</v>
      </c>
      <c r="P70" s="26">
        <f t="shared" si="76"/>
        <v>0.23044019415362677</v>
      </c>
      <c r="Q70" s="26">
        <f t="shared" si="76"/>
        <v>0.17839629012821717</v>
      </c>
      <c r="R70" s="26">
        <f t="shared" si="76"/>
        <v>0.26665201426524288</v>
      </c>
      <c r="S70" s="26">
        <f t="shared" si="76"/>
        <v>0.24539222108633596</v>
      </c>
    </row>
    <row r="71" spans="2:20" x14ac:dyDescent="0.3">
      <c r="B71" s="20" t="s">
        <v>1876</v>
      </c>
      <c r="C71" s="120" t="s">
        <v>1877</v>
      </c>
      <c r="D71" s="41">
        <f t="shared" si="73"/>
        <v>0</v>
      </c>
      <c r="E71" s="41">
        <f t="shared" si="73"/>
        <v>0</v>
      </c>
      <c r="F71" s="95">
        <f t="shared" si="69"/>
        <v>0</v>
      </c>
      <c r="G71" s="368"/>
      <c r="I71" s="178"/>
      <c r="J71" s="41">
        <f t="shared" ref="J71" si="81">J54/J$50</f>
        <v>0</v>
      </c>
      <c r="K71" s="41">
        <f t="shared" ref="K71:L71" si="82">K54/K$50</f>
        <v>0</v>
      </c>
      <c r="L71" s="41">
        <f t="shared" si="82"/>
        <v>0</v>
      </c>
      <c r="M71" s="41">
        <f t="shared" si="76"/>
        <v>0</v>
      </c>
      <c r="N71" s="41">
        <f t="shared" si="76"/>
        <v>0</v>
      </c>
      <c r="O71" s="41">
        <f t="shared" si="76"/>
        <v>0</v>
      </c>
      <c r="P71" s="41">
        <f t="shared" si="76"/>
        <v>0</v>
      </c>
      <c r="Q71" s="41">
        <f t="shared" si="76"/>
        <v>0</v>
      </c>
      <c r="R71" s="41">
        <f t="shared" si="76"/>
        <v>0</v>
      </c>
      <c r="S71" s="41">
        <f t="shared" si="76"/>
        <v>0</v>
      </c>
    </row>
    <row r="72" spans="2:20" x14ac:dyDescent="0.3">
      <c r="B72" s="336" t="s">
        <v>1879</v>
      </c>
      <c r="C72" s="118" t="s">
        <v>1880</v>
      </c>
      <c r="D72" s="47">
        <f>D55/D26</f>
        <v>0.34671737682282944</v>
      </c>
      <c r="E72" s="47">
        <f>E55/E26</f>
        <v>0.27841785198017277</v>
      </c>
      <c r="F72" s="121">
        <f t="shared" si="69"/>
        <v>6.8299524842656667E-2</v>
      </c>
      <c r="G72" s="692"/>
      <c r="H72" s="133"/>
      <c r="I72" s="261">
        <f>I56</f>
        <v>0</v>
      </c>
      <c r="J72" s="712">
        <f t="shared" ref="J72" si="83">J55/J26</f>
        <v>0.34671737682282944</v>
      </c>
      <c r="K72" s="712">
        <f t="shared" ref="K72:L72" si="84">K55/K26</f>
        <v>0.22818837529855615</v>
      </c>
      <c r="L72" s="712">
        <f t="shared" si="84"/>
        <v>0.40631097953713857</v>
      </c>
      <c r="M72" s="712">
        <f t="shared" ref="M72:S72" si="85">M55/M26</f>
        <v>0.34674877793617565</v>
      </c>
      <c r="N72" s="47">
        <f t="shared" si="85"/>
        <v>0.39800038637807583</v>
      </c>
      <c r="O72" s="47">
        <f t="shared" si="85"/>
        <v>0.27841785198017277</v>
      </c>
      <c r="P72" s="47">
        <f t="shared" si="85"/>
        <v>0.22074889399081093</v>
      </c>
      <c r="Q72" s="47">
        <f t="shared" si="85"/>
        <v>0.26402065717953366</v>
      </c>
      <c r="R72" s="47">
        <f t="shared" si="85"/>
        <v>0.31819410798901371</v>
      </c>
      <c r="S72" s="47">
        <f t="shared" si="85"/>
        <v>0.31621641886146318</v>
      </c>
    </row>
    <row r="73" spans="2:20" x14ac:dyDescent="0.3">
      <c r="B73" s="115" t="s">
        <v>1870</v>
      </c>
      <c r="C73" s="116" t="s">
        <v>1871</v>
      </c>
      <c r="D73" s="45">
        <f t="shared" ref="D73:E76" si="86">D56/D$55</f>
        <v>0</v>
      </c>
      <c r="E73" s="45">
        <f t="shared" si="86"/>
        <v>0</v>
      </c>
      <c r="F73" s="339">
        <f t="shared" si="69"/>
        <v>0</v>
      </c>
      <c r="G73" s="368"/>
      <c r="I73" s="691"/>
      <c r="J73" s="45">
        <f t="shared" ref="J73" si="87">J56/J$55</f>
        <v>0</v>
      </c>
      <c r="K73" s="45">
        <f t="shared" ref="K73:L73" si="88">K56/K$55</f>
        <v>0</v>
      </c>
      <c r="L73" s="45">
        <f t="shared" si="88"/>
        <v>0</v>
      </c>
      <c r="M73" s="45">
        <f t="shared" ref="M73:S76" si="89">M56/M$55</f>
        <v>0</v>
      </c>
      <c r="N73" s="45">
        <f t="shared" si="89"/>
        <v>0</v>
      </c>
      <c r="O73" s="45">
        <f t="shared" si="89"/>
        <v>0</v>
      </c>
      <c r="P73" s="45">
        <f t="shared" si="89"/>
        <v>0</v>
      </c>
      <c r="Q73" s="45">
        <f t="shared" si="89"/>
        <v>0</v>
      </c>
      <c r="R73" s="45">
        <f t="shared" si="89"/>
        <v>0</v>
      </c>
      <c r="S73" s="45">
        <f t="shared" si="89"/>
        <v>0</v>
      </c>
    </row>
    <row r="74" spans="2:20" x14ac:dyDescent="0.3">
      <c r="B74" s="18" t="s">
        <v>1872</v>
      </c>
      <c r="C74" s="73" t="s">
        <v>1873</v>
      </c>
      <c r="D74" s="26">
        <f t="shared" si="86"/>
        <v>0</v>
      </c>
      <c r="E74" s="26">
        <f t="shared" si="86"/>
        <v>0</v>
      </c>
      <c r="F74" s="93">
        <f t="shared" si="69"/>
        <v>0</v>
      </c>
      <c r="G74" s="368"/>
      <c r="I74" s="152"/>
      <c r="J74" s="26">
        <f t="shared" ref="J74" si="90">J57/J$55</f>
        <v>0</v>
      </c>
      <c r="K74" s="26">
        <f t="shared" ref="K74:L74" si="91">K57/K$55</f>
        <v>0</v>
      </c>
      <c r="L74" s="26">
        <f t="shared" si="91"/>
        <v>0</v>
      </c>
      <c r="M74" s="26">
        <f t="shared" si="89"/>
        <v>0</v>
      </c>
      <c r="N74" s="26">
        <f t="shared" si="89"/>
        <v>0</v>
      </c>
      <c r="O74" s="26">
        <f t="shared" si="89"/>
        <v>0</v>
      </c>
      <c r="P74" s="26">
        <f t="shared" si="89"/>
        <v>0</v>
      </c>
      <c r="Q74" s="26">
        <f t="shared" si="89"/>
        <v>0</v>
      </c>
      <c r="R74" s="26">
        <f t="shared" si="89"/>
        <v>0</v>
      </c>
      <c r="S74" s="26">
        <f t="shared" si="89"/>
        <v>0</v>
      </c>
    </row>
    <row r="75" spans="2:20" x14ac:dyDescent="0.3">
      <c r="B75" s="18" t="s">
        <v>1874</v>
      </c>
      <c r="C75" s="73" t="s">
        <v>1875</v>
      </c>
      <c r="D75" s="26">
        <f t="shared" si="86"/>
        <v>1</v>
      </c>
      <c r="E75" s="26">
        <f t="shared" si="86"/>
        <v>1</v>
      </c>
      <c r="F75" s="93">
        <f t="shared" si="69"/>
        <v>0</v>
      </c>
      <c r="G75" s="368"/>
      <c r="I75" s="152"/>
      <c r="J75" s="26">
        <f t="shared" ref="J75" si="92">J58/J$55</f>
        <v>1</v>
      </c>
      <c r="K75" s="26">
        <f t="shared" ref="K75:L75" si="93">K58/K$55</f>
        <v>1</v>
      </c>
      <c r="L75" s="26">
        <f t="shared" si="93"/>
        <v>1</v>
      </c>
      <c r="M75" s="26">
        <f t="shared" si="89"/>
        <v>1</v>
      </c>
      <c r="N75" s="26">
        <f t="shared" si="89"/>
        <v>1</v>
      </c>
      <c r="O75" s="26">
        <f t="shared" si="89"/>
        <v>1</v>
      </c>
      <c r="P75" s="26">
        <f t="shared" si="89"/>
        <v>1</v>
      </c>
      <c r="Q75" s="26">
        <f t="shared" si="89"/>
        <v>1</v>
      </c>
      <c r="R75" s="26">
        <f t="shared" si="89"/>
        <v>1</v>
      </c>
      <c r="S75" s="26">
        <f t="shared" si="89"/>
        <v>1</v>
      </c>
    </row>
    <row r="76" spans="2:20" x14ac:dyDescent="0.3">
      <c r="B76" s="20" t="s">
        <v>1876</v>
      </c>
      <c r="C76" s="120" t="s">
        <v>1877</v>
      </c>
      <c r="D76" s="41">
        <f t="shared" si="86"/>
        <v>0</v>
      </c>
      <c r="E76" s="41">
        <f t="shared" si="86"/>
        <v>0</v>
      </c>
      <c r="F76" s="95">
        <f t="shared" si="69"/>
        <v>0</v>
      </c>
      <c r="G76" s="368"/>
      <c r="I76" s="178"/>
      <c r="J76" s="41">
        <f t="shared" ref="J76" si="94">J59/J$55</f>
        <v>0</v>
      </c>
      <c r="K76" s="41">
        <f t="shared" ref="K76:L76" si="95">K59/K$55</f>
        <v>0</v>
      </c>
      <c r="L76" s="41">
        <f t="shared" si="95"/>
        <v>0</v>
      </c>
      <c r="M76" s="41">
        <f t="shared" si="89"/>
        <v>0</v>
      </c>
      <c r="N76" s="41">
        <f t="shared" si="89"/>
        <v>0</v>
      </c>
      <c r="O76" s="41">
        <f t="shared" si="89"/>
        <v>0</v>
      </c>
      <c r="P76" s="41">
        <f t="shared" si="89"/>
        <v>0</v>
      </c>
      <c r="Q76" s="41">
        <f t="shared" si="89"/>
        <v>0</v>
      </c>
      <c r="R76" s="41">
        <f t="shared" si="89"/>
        <v>0</v>
      </c>
      <c r="S76" s="41">
        <f t="shared" si="89"/>
        <v>0</v>
      </c>
    </row>
    <row r="79" spans="2:20" x14ac:dyDescent="0.3">
      <c r="B79" s="105"/>
    </row>
    <row r="80" spans="2:20" x14ac:dyDescent="0.3">
      <c r="B80" s="113"/>
    </row>
    <row r="81" spans="2:2" x14ac:dyDescent="0.3">
      <c r="B81" s="113"/>
    </row>
    <row r="82" spans="2:2" x14ac:dyDescent="0.3">
      <c r="B82" s="113"/>
    </row>
    <row r="83" spans="2:2" x14ac:dyDescent="0.3">
      <c r="B83" s="113"/>
    </row>
    <row r="84" spans="2:2" x14ac:dyDescent="0.3">
      <c r="B84" s="113"/>
    </row>
    <row r="85" spans="2:2" x14ac:dyDescent="0.3">
      <c r="B85" s="105"/>
    </row>
    <row r="86" spans="2:2" x14ac:dyDescent="0.3">
      <c r="B86" s="113"/>
    </row>
    <row r="87" spans="2:2" x14ac:dyDescent="0.3">
      <c r="B87" s="113"/>
    </row>
    <row r="88" spans="2:2" x14ac:dyDescent="0.3">
      <c r="B88" s="113"/>
    </row>
    <row r="89" spans="2:2" x14ac:dyDescent="0.3">
      <c r="B89" s="113"/>
    </row>
  </sheetData>
  <mergeCells count="6">
    <mergeCell ref="F43:F44"/>
    <mergeCell ref="O43:S43"/>
    <mergeCell ref="F4:F5"/>
    <mergeCell ref="O4:S4"/>
    <mergeCell ref="J4:N4"/>
    <mergeCell ref="J43:N43"/>
  </mergeCells>
  <phoneticPr fontId="1" type="noConversion"/>
  <pageMargins left="0.23622047244094491" right="0.23622047244094491" top="0.78740157480314965" bottom="0.23622047244094491" header="0.31496062992125984" footer="0.31496062992125984"/>
  <pageSetup paperSize="9"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AQ22"/>
  <sheetViews>
    <sheetView showGridLines="0" view="pageBreakPreview" zoomScale="80" zoomScaleNormal="80" zoomScaleSheetLayoutView="80" workbookViewId="0">
      <pane xSplit="7" ySplit="5" topLeftCell="H6" activePane="bottomRight" state="frozen"/>
      <selection activeCell="G47" sqref="G47"/>
      <selection pane="topRight" activeCell="G47" sqref="G47"/>
      <selection pane="bottomLeft" activeCell="G47" sqref="G47"/>
      <selection pane="bottomRight" activeCell="C65" sqref="C65"/>
    </sheetView>
  </sheetViews>
  <sheetFormatPr defaultRowHeight="16.5" outlineLevelCol="2" x14ac:dyDescent="0.3"/>
  <cols>
    <col min="1" max="1" width="5" style="35" customWidth="1"/>
    <col min="2" max="2" width="21.375" style="34" bestFit="1" customWidth="1"/>
    <col min="3" max="3" width="29.125" style="35" bestFit="1" customWidth="1"/>
    <col min="4" max="6" width="10" style="35" customWidth="1"/>
    <col min="7" max="8" width="1.625" style="40" customWidth="1"/>
    <col min="9" max="18" width="10" style="40" hidden="1" customWidth="1" outlineLevel="1"/>
    <col min="19" max="28" width="10" style="40" hidden="1" customWidth="1" outlineLevel="2"/>
    <col min="29" max="31" width="9" style="35" hidden="1" customWidth="1" outlineLevel="2"/>
    <col min="32" max="32" width="8.375" style="35" hidden="1" customWidth="1" outlineLevel="2"/>
    <col min="33" max="38" width="9" style="35" hidden="1" customWidth="1" outlineLevel="2"/>
    <col min="39" max="39" width="9" style="35" hidden="1" customWidth="1" outlineLevel="1" collapsed="1"/>
    <col min="40" max="40" width="9" style="35" collapsed="1"/>
    <col min="41" max="16384" width="9" style="35"/>
  </cols>
  <sheetData>
    <row r="1" spans="2:43" s="34" customFormat="1" x14ac:dyDescent="0.3">
      <c r="B1" s="105" t="str">
        <f>[3]INDEX!G19</f>
        <v>Fee-Biz 실적</v>
      </c>
      <c r="C1" s="35" t="s">
        <v>1743</v>
      </c>
      <c r="G1" s="48"/>
      <c r="H1" s="48"/>
      <c r="I1" s="48"/>
      <c r="J1" s="48"/>
      <c r="K1" s="48"/>
      <c r="L1" s="48"/>
      <c r="M1" s="48"/>
      <c r="N1" s="48"/>
      <c r="O1" s="48"/>
      <c r="P1" s="48"/>
      <c r="Q1" s="48"/>
      <c r="R1" s="48"/>
      <c r="S1" s="48"/>
      <c r="T1" s="48"/>
      <c r="U1" s="48"/>
      <c r="V1" s="48"/>
      <c r="W1" s="48"/>
      <c r="X1" s="48"/>
      <c r="Y1" s="48"/>
      <c r="Z1" s="48"/>
      <c r="AA1" s="48"/>
      <c r="AB1" s="48"/>
    </row>
    <row r="2" spans="2:43" x14ac:dyDescent="0.3">
      <c r="B2" s="106" t="s">
        <v>18</v>
      </c>
      <c r="I2" s="776">
        <f>I7/L7-1</f>
        <v>0.10442016337069782</v>
      </c>
      <c r="J2" s="776">
        <f>J7/M7-1</f>
        <v>0.1439432092466153</v>
      </c>
      <c r="K2" s="776">
        <f>K7/N7-1</f>
        <v>8.2262115327154106E-2</v>
      </c>
      <c r="L2" s="777"/>
      <c r="M2" s="777"/>
    </row>
    <row r="3" spans="2:43" s="36" customFormat="1" x14ac:dyDescent="0.3">
      <c r="B3" s="107"/>
      <c r="D3" s="739">
        <f>D7-E7</f>
        <v>1428.9307577640029</v>
      </c>
      <c r="E3" s="122"/>
      <c r="G3" s="812"/>
      <c r="H3" s="812"/>
      <c r="I3" s="778">
        <f>I8/J8-1</f>
        <v>2.6854201805357847</v>
      </c>
      <c r="J3" s="778">
        <f>J8/K8-1</f>
        <v>6.6888665610515874E-2</v>
      </c>
      <c r="K3" s="778">
        <f>K8/L8-1</f>
        <v>8.0864416185650212E-2</v>
      </c>
      <c r="L3" s="776">
        <f>L8/M8-1</f>
        <v>-1.5612460968202013E-2</v>
      </c>
      <c r="M3" s="776">
        <f>M8/O8-1</f>
        <v>-2.945619599120608E-2</v>
      </c>
      <c r="N3" s="812"/>
      <c r="O3" s="812"/>
      <c r="P3" s="812"/>
      <c r="Q3" s="812"/>
      <c r="R3" s="812"/>
      <c r="S3" s="812"/>
      <c r="T3" s="812"/>
      <c r="U3" s="812"/>
      <c r="V3" s="812"/>
      <c r="W3" s="812"/>
      <c r="X3" s="812"/>
      <c r="Y3" s="812"/>
      <c r="Z3" s="812"/>
      <c r="AA3" s="812"/>
      <c r="AB3" s="812"/>
    </row>
    <row r="4" spans="2:43" s="36" customFormat="1" x14ac:dyDescent="0.3">
      <c r="B4" s="108" t="s">
        <v>193</v>
      </c>
      <c r="C4" s="109" t="s">
        <v>194</v>
      </c>
      <c r="D4" s="820">
        <f>SUMMARY!D4</f>
        <v>2025</v>
      </c>
      <c r="E4" s="820">
        <f>SUMMARY!E4</f>
        <v>2024</v>
      </c>
      <c r="F4" s="841" t="s">
        <v>32</v>
      </c>
      <c r="G4" s="75"/>
      <c r="H4" s="812"/>
      <c r="I4" s="846">
        <v>2025</v>
      </c>
      <c r="J4" s="846"/>
      <c r="K4" s="846"/>
      <c r="L4" s="846"/>
      <c r="M4" s="847"/>
      <c r="N4" s="846">
        <v>2024</v>
      </c>
      <c r="O4" s="846"/>
      <c r="P4" s="846"/>
      <c r="Q4" s="846"/>
      <c r="R4" s="847"/>
      <c r="S4" s="845">
        <v>2023</v>
      </c>
      <c r="T4" s="846"/>
      <c r="U4" s="846"/>
      <c r="V4" s="846"/>
      <c r="W4" s="847"/>
      <c r="X4" s="845">
        <v>2022</v>
      </c>
      <c r="Y4" s="846"/>
      <c r="Z4" s="846"/>
      <c r="AA4" s="846"/>
      <c r="AB4" s="847"/>
    </row>
    <row r="5" spans="2:43" s="36" customFormat="1" x14ac:dyDescent="0.3">
      <c r="B5" s="123"/>
      <c r="C5" s="830"/>
      <c r="D5" s="820" t="str">
        <f>I5</f>
        <v>FY</v>
      </c>
      <c r="E5" s="820" t="str">
        <f>N5</f>
        <v>FY</v>
      </c>
      <c r="F5" s="842"/>
      <c r="G5" s="75"/>
      <c r="H5" s="812"/>
      <c r="I5" s="810" t="s">
        <v>31</v>
      </c>
      <c r="J5" s="810" t="s">
        <v>28</v>
      </c>
      <c r="K5" s="810" t="s">
        <v>30</v>
      </c>
      <c r="L5" s="810" t="s">
        <v>27</v>
      </c>
      <c r="M5" s="810" t="s">
        <v>29</v>
      </c>
      <c r="N5" s="810" t="s">
        <v>31</v>
      </c>
      <c r="O5" s="810" t="s">
        <v>28</v>
      </c>
      <c r="P5" s="810" t="s">
        <v>30</v>
      </c>
      <c r="Q5" s="810" t="s">
        <v>27</v>
      </c>
      <c r="R5" s="810" t="s">
        <v>29</v>
      </c>
      <c r="S5" s="810" t="s">
        <v>31</v>
      </c>
      <c r="T5" s="820" t="s">
        <v>28</v>
      </c>
      <c r="U5" s="820" t="s">
        <v>30</v>
      </c>
      <c r="V5" s="820" t="s">
        <v>27</v>
      </c>
      <c r="W5" s="820" t="s">
        <v>29</v>
      </c>
      <c r="X5" s="820" t="s">
        <v>31</v>
      </c>
      <c r="Y5" s="820" t="s">
        <v>28</v>
      </c>
      <c r="Z5" s="820" t="s">
        <v>30</v>
      </c>
      <c r="AA5" s="820" t="s">
        <v>27</v>
      </c>
      <c r="AB5" s="820" t="s">
        <v>29</v>
      </c>
    </row>
    <row r="6" spans="2:43" s="112" customFormat="1" x14ac:dyDescent="0.3">
      <c r="B6" s="124" t="s">
        <v>5</v>
      </c>
      <c r="C6" s="117" t="s">
        <v>205</v>
      </c>
      <c r="D6" s="31"/>
      <c r="E6" s="31"/>
      <c r="F6" s="42"/>
      <c r="G6" s="111"/>
      <c r="H6" s="58"/>
      <c r="I6" s="153"/>
      <c r="J6" s="153"/>
      <c r="K6" s="153"/>
      <c r="L6" s="153"/>
      <c r="M6" s="153"/>
      <c r="N6" s="153"/>
      <c r="O6" s="153"/>
      <c r="P6" s="153"/>
      <c r="Q6" s="153"/>
      <c r="R6" s="153"/>
      <c r="S6" s="153"/>
      <c r="T6" s="31"/>
      <c r="U6" s="31"/>
      <c r="V6" s="31"/>
      <c r="W6" s="31"/>
      <c r="X6" s="31"/>
      <c r="Y6" s="31"/>
      <c r="Z6" s="31"/>
      <c r="AA6" s="31"/>
      <c r="AB6" s="31"/>
    </row>
    <row r="7" spans="2:43" x14ac:dyDescent="0.3">
      <c r="B7" s="113" t="s">
        <v>195</v>
      </c>
      <c r="C7" s="114" t="s">
        <v>200</v>
      </c>
      <c r="D7" s="27">
        <f>I7</f>
        <v>13264.037324184003</v>
      </c>
      <c r="E7" s="27">
        <f>N7</f>
        <v>11835.10656642</v>
      </c>
      <c r="F7" s="26">
        <f t="shared" ref="F7:F16" si="0">+IFERROR(IF(E7&lt;0,-(D7/E7-1),(D7/E7-1)),0)</f>
        <v>0.12073661945878356</v>
      </c>
      <c r="G7" s="51"/>
      <c r="H7" s="32"/>
      <c r="I7" s="152">
        <v>13264.037324184003</v>
      </c>
      <c r="J7" s="152">
        <v>13264.037324184003</v>
      </c>
      <c r="K7" s="152">
        <v>12808.687467696</v>
      </c>
      <c r="L7" s="152">
        <v>12009.955779603</v>
      </c>
      <c r="M7" s="152">
        <v>11595.013823212001</v>
      </c>
      <c r="N7" s="152">
        <v>11835.10656642</v>
      </c>
      <c r="O7" s="152">
        <v>11835.10656642</v>
      </c>
      <c r="P7" s="152">
        <v>11734.338752002001</v>
      </c>
      <c r="Q7" s="152">
        <v>12104.081642403999</v>
      </c>
      <c r="R7" s="152">
        <v>12304.313577334999</v>
      </c>
      <c r="S7" s="152">
        <f>T7</f>
        <v>12112.896880853999</v>
      </c>
      <c r="T7" s="27">
        <v>12112.896880853999</v>
      </c>
      <c r="U7" s="27">
        <v>11638.230869605</v>
      </c>
      <c r="V7" s="27">
        <v>12055.116580010001</v>
      </c>
      <c r="W7" s="27">
        <v>11775.230939924</v>
      </c>
      <c r="X7" s="27">
        <f>Y7</f>
        <v>11197.801686878</v>
      </c>
      <c r="Y7" s="27">
        <v>11197.801686878</v>
      </c>
      <c r="Z7" s="27">
        <v>11604.065786753001</v>
      </c>
      <c r="AA7" s="27">
        <v>11764.98234783</v>
      </c>
      <c r="AB7" s="27">
        <v>12989.496170025001</v>
      </c>
      <c r="AD7" s="129"/>
      <c r="AE7" s="129"/>
      <c r="AF7" s="129"/>
      <c r="AO7" s="177"/>
      <c r="AP7" s="177"/>
      <c r="AQ7" s="125"/>
    </row>
    <row r="8" spans="2:43" x14ac:dyDescent="0.3">
      <c r="B8" s="113" t="s">
        <v>198</v>
      </c>
      <c r="C8" s="114" t="s">
        <v>206</v>
      </c>
      <c r="D8" s="27">
        <f>SUM(J8:M8)</f>
        <v>51.791491002000001</v>
      </c>
      <c r="E8" s="27">
        <f>SUM(O8:R8)</f>
        <v>51.544422479999994</v>
      </c>
      <c r="F8" s="26">
        <f t="shared" si="0"/>
        <v>4.7933124499721647E-3</v>
      </c>
      <c r="G8" s="51"/>
      <c r="H8" s="32"/>
      <c r="I8" s="152">
        <v>51.791491002000001</v>
      </c>
      <c r="J8" s="152">
        <v>14.053076302000001</v>
      </c>
      <c r="K8" s="152">
        <v>13.172017619999998</v>
      </c>
      <c r="L8" s="152">
        <v>12.186558668000002</v>
      </c>
      <c r="M8" s="152">
        <v>12.379838412</v>
      </c>
      <c r="N8" s="152">
        <v>51.544422479999994</v>
      </c>
      <c r="O8" s="152">
        <v>12.755568950999999</v>
      </c>
      <c r="P8" s="152">
        <v>12.659891781999999</v>
      </c>
      <c r="Q8" s="152">
        <v>12.993892032</v>
      </c>
      <c r="R8" s="152">
        <v>13.135069715</v>
      </c>
      <c r="S8" s="152">
        <f>SUM(T8:W8)</f>
        <v>50.521311537000003</v>
      </c>
      <c r="T8" s="27">
        <v>12.716469509</v>
      </c>
      <c r="U8" s="27">
        <v>12.970579139000002</v>
      </c>
      <c r="V8" s="27">
        <v>12.669277612000002</v>
      </c>
      <c r="W8" s="27">
        <v>12.164985277</v>
      </c>
      <c r="X8" s="27">
        <f>SUM(Y8:AB8)</f>
        <v>51.835062334000007</v>
      </c>
      <c r="Y8" s="27">
        <v>12.363595263000001</v>
      </c>
      <c r="Z8" s="27">
        <v>12.897271762000001</v>
      </c>
      <c r="AA8" s="27">
        <v>12.897007112999999</v>
      </c>
      <c r="AB8" s="27">
        <v>13.677188196000001</v>
      </c>
      <c r="AC8" s="125"/>
      <c r="AO8" s="129"/>
      <c r="AP8" s="129"/>
      <c r="AQ8" s="125"/>
    </row>
    <row r="9" spans="2:43" s="112" customFormat="1" x14ac:dyDescent="0.3">
      <c r="B9" s="24" t="s">
        <v>6</v>
      </c>
      <c r="C9" s="126" t="s">
        <v>207</v>
      </c>
      <c r="D9" s="31"/>
      <c r="E9" s="31"/>
      <c r="F9" s="42"/>
      <c r="G9" s="111"/>
      <c r="H9" s="58"/>
      <c r="I9" s="153"/>
      <c r="J9" s="153"/>
      <c r="K9" s="153"/>
      <c r="L9" s="153"/>
      <c r="M9" s="153"/>
      <c r="N9" s="153"/>
      <c r="O9" s="153"/>
      <c r="P9" s="153"/>
      <c r="Q9" s="153"/>
      <c r="R9" s="153"/>
      <c r="S9" s="153"/>
      <c r="T9" s="31"/>
      <c r="U9" s="31"/>
      <c r="V9" s="31"/>
      <c r="W9" s="31"/>
      <c r="X9" s="31"/>
      <c r="Y9" s="31"/>
      <c r="Z9" s="31"/>
      <c r="AA9" s="31"/>
      <c r="AB9" s="31"/>
      <c r="AD9" s="304"/>
      <c r="AE9" s="304"/>
      <c r="AF9" s="177"/>
      <c r="AG9" s="62"/>
      <c r="AQ9" s="62"/>
    </row>
    <row r="10" spans="2:43" x14ac:dyDescent="0.3">
      <c r="B10" s="18" t="s">
        <v>195</v>
      </c>
      <c r="C10" s="73" t="s">
        <v>200</v>
      </c>
      <c r="D10" s="27"/>
      <c r="E10" s="27"/>
      <c r="F10" s="26"/>
      <c r="G10" s="51"/>
      <c r="H10" s="32"/>
      <c r="I10" s="152"/>
      <c r="J10" s="152"/>
      <c r="K10" s="152"/>
      <c r="L10" s="152"/>
      <c r="M10" s="152"/>
      <c r="N10" s="152"/>
      <c r="O10" s="152"/>
      <c r="P10" s="152"/>
      <c r="Q10" s="152"/>
      <c r="R10" s="152"/>
      <c r="S10" s="152"/>
      <c r="T10" s="27"/>
      <c r="U10" s="27"/>
      <c r="V10" s="27"/>
      <c r="W10" s="27"/>
      <c r="X10" s="27"/>
      <c r="Y10" s="27"/>
      <c r="Z10" s="27"/>
      <c r="AA10" s="27"/>
      <c r="AB10" s="27"/>
      <c r="AQ10" s="125"/>
    </row>
    <row r="11" spans="2:43" x14ac:dyDescent="0.3">
      <c r="B11" s="127" t="s">
        <v>196</v>
      </c>
      <c r="C11" s="128" t="s">
        <v>208</v>
      </c>
      <c r="D11" s="27">
        <f>I11</f>
        <v>5950.7495790129997</v>
      </c>
      <c r="E11" s="27">
        <f>N11</f>
        <v>5964.6063729079997</v>
      </c>
      <c r="F11" s="26">
        <f t="shared" si="0"/>
        <v>-2.3231698839237813E-3</v>
      </c>
      <c r="G11" s="51"/>
      <c r="H11" s="32"/>
      <c r="I11" s="152">
        <v>5950.7495790129997</v>
      </c>
      <c r="J11" s="152">
        <v>5950.7495790129997</v>
      </c>
      <c r="K11" s="152">
        <v>5813.8895221490002</v>
      </c>
      <c r="L11" s="152">
        <v>5798.954698642</v>
      </c>
      <c r="M11" s="152">
        <v>5790.6198250070001</v>
      </c>
      <c r="N11" s="152">
        <v>5964.6063729079997</v>
      </c>
      <c r="O11" s="152">
        <v>5964.6063729079997</v>
      </c>
      <c r="P11" s="152">
        <v>6034.7077085250003</v>
      </c>
      <c r="Q11" s="152">
        <v>6018.0742883129997</v>
      </c>
      <c r="R11" s="152">
        <v>6066.5958679280002</v>
      </c>
      <c r="S11" s="152">
        <f>T11</f>
        <v>6339.0102795539997</v>
      </c>
      <c r="T11" s="27">
        <v>6339.0102795539997</v>
      </c>
      <c r="U11" s="27">
        <v>6427.5653069350001</v>
      </c>
      <c r="V11" s="27">
        <v>6376.6492430429998</v>
      </c>
      <c r="W11" s="27">
        <v>6302.7832863530002</v>
      </c>
      <c r="X11" s="27">
        <f>Y11</f>
        <v>6429.3402618569999</v>
      </c>
      <c r="Y11" s="27">
        <v>6429.3402618569999</v>
      </c>
      <c r="Z11" s="27">
        <v>6160.3202640549998</v>
      </c>
      <c r="AA11" s="27">
        <v>6227.3682794409997</v>
      </c>
      <c r="AB11" s="27">
        <v>6303.8235306690003</v>
      </c>
      <c r="AC11" s="129"/>
      <c r="AE11" s="125"/>
      <c r="AO11" s="129"/>
      <c r="AP11" s="129"/>
      <c r="AQ11" s="125"/>
    </row>
    <row r="12" spans="2:43" x14ac:dyDescent="0.3">
      <c r="B12" s="127" t="s">
        <v>197</v>
      </c>
      <c r="C12" s="128" t="s">
        <v>209</v>
      </c>
      <c r="D12" s="27">
        <f>I12</f>
        <v>5607.4674657610003</v>
      </c>
      <c r="E12" s="27">
        <f>N12</f>
        <v>5746.3528653490002</v>
      </c>
      <c r="F12" s="26">
        <f t="shared" si="0"/>
        <v>-2.4169312752353012E-2</v>
      </c>
      <c r="G12" s="51"/>
      <c r="H12" s="32"/>
      <c r="I12" s="152">
        <v>5607.4674657610003</v>
      </c>
      <c r="J12" s="152">
        <v>5607.4674657610003</v>
      </c>
      <c r="K12" s="152">
        <v>5568.4285167059998</v>
      </c>
      <c r="L12" s="152">
        <v>5560.8060182219997</v>
      </c>
      <c r="M12" s="152">
        <v>5567.4446600620004</v>
      </c>
      <c r="N12" s="152">
        <v>5746.3528653490002</v>
      </c>
      <c r="O12" s="152">
        <v>5746.3528653490002</v>
      </c>
      <c r="P12" s="152">
        <v>5808.2457349550004</v>
      </c>
      <c r="Q12" s="152">
        <v>5818.912271057</v>
      </c>
      <c r="R12" s="152">
        <v>5871.2873177290003</v>
      </c>
      <c r="S12" s="152">
        <f>T12</f>
        <v>6050.8363462329999</v>
      </c>
      <c r="T12" s="27">
        <v>6050.8363462329999</v>
      </c>
      <c r="U12" s="27">
        <v>6177.1271311520004</v>
      </c>
      <c r="V12" s="27">
        <v>6206.0078918890003</v>
      </c>
      <c r="W12" s="27">
        <v>6144.1253100849999</v>
      </c>
      <c r="X12" s="27">
        <f>Y12</f>
        <v>6203.8790684080004</v>
      </c>
      <c r="Y12" s="27">
        <v>6203.8790684080004</v>
      </c>
      <c r="Z12" s="27">
        <v>5622.8312909819997</v>
      </c>
      <c r="AA12" s="27">
        <v>5612.1892360989996</v>
      </c>
      <c r="AB12" s="27">
        <v>5647.4056397450004</v>
      </c>
      <c r="AC12" s="244"/>
      <c r="AO12" s="129"/>
      <c r="AP12" s="129"/>
      <c r="AQ12" s="125"/>
    </row>
    <row r="13" spans="2:43" x14ac:dyDescent="0.3">
      <c r="B13" s="20" t="s">
        <v>198</v>
      </c>
      <c r="C13" s="120" t="s">
        <v>206</v>
      </c>
      <c r="D13" s="27">
        <f>SUM(J13:M13)</f>
        <v>19.919453728000001</v>
      </c>
      <c r="E13" s="27">
        <f>SUM(O13:R13)</f>
        <v>20.692088507000001</v>
      </c>
      <c r="F13" s="41">
        <f t="shared" si="0"/>
        <v>-3.7339622761550784E-2</v>
      </c>
      <c r="G13" s="51"/>
      <c r="H13" s="32"/>
      <c r="I13" s="180">
        <v>19.919453728000001</v>
      </c>
      <c r="J13" s="180">
        <v>5.091887957</v>
      </c>
      <c r="K13" s="180">
        <v>4.9444098460000001</v>
      </c>
      <c r="L13" s="178">
        <v>4.8421878019999998</v>
      </c>
      <c r="M13" s="178">
        <v>5.0409681229999999</v>
      </c>
      <c r="N13" s="178">
        <v>20.692088507000001</v>
      </c>
      <c r="O13" s="178">
        <v>5.133105542</v>
      </c>
      <c r="P13" s="178">
        <v>4.8840216999999999</v>
      </c>
      <c r="Q13" s="178">
        <v>5.081534853</v>
      </c>
      <c r="R13" s="178">
        <v>5.5934264119999995</v>
      </c>
      <c r="S13" s="178">
        <f>SUM(T13:W13)</f>
        <v>21.111993984999998</v>
      </c>
      <c r="T13" s="165">
        <v>5.3568686639999994</v>
      </c>
      <c r="U13" s="28">
        <v>5.0028545300000005</v>
      </c>
      <c r="V13" s="28">
        <v>5.146169787999999</v>
      </c>
      <c r="W13" s="28">
        <v>5.606101003</v>
      </c>
      <c r="X13" s="28">
        <f>SUM(Y13:AB13)</f>
        <v>22.408702654999999</v>
      </c>
      <c r="Y13" s="28">
        <v>5.0732963</v>
      </c>
      <c r="Z13" s="28">
        <v>5.0974038720000001</v>
      </c>
      <c r="AA13" s="28">
        <v>4.9502078369999998</v>
      </c>
      <c r="AB13" s="28">
        <v>7.287794646</v>
      </c>
      <c r="AO13" s="736" t="s">
        <v>1964</v>
      </c>
      <c r="AP13" s="736"/>
      <c r="AQ13" s="547"/>
    </row>
    <row r="14" spans="2:43" s="112" customFormat="1" x14ac:dyDescent="0.3">
      <c r="B14" s="24" t="s">
        <v>199</v>
      </c>
      <c r="C14" s="126" t="s">
        <v>210</v>
      </c>
      <c r="D14" s="31"/>
      <c r="E14" s="31"/>
      <c r="F14" s="42"/>
      <c r="G14" s="111"/>
      <c r="H14" s="58"/>
      <c r="I14" s="153"/>
      <c r="J14" s="153"/>
      <c r="K14" s="153"/>
      <c r="L14" s="153"/>
      <c r="M14" s="153"/>
      <c r="N14" s="153"/>
      <c r="O14" s="153"/>
      <c r="P14" s="153"/>
      <c r="Q14" s="153"/>
      <c r="R14" s="153"/>
      <c r="S14" s="153"/>
      <c r="T14" s="31"/>
      <c r="U14" s="31"/>
      <c r="V14" s="31"/>
      <c r="W14" s="31"/>
      <c r="X14" s="31"/>
      <c r="Y14" s="31"/>
      <c r="Z14" s="31"/>
      <c r="AA14" s="31"/>
      <c r="AB14" s="31"/>
      <c r="AO14" s="737"/>
      <c r="AP14" s="737"/>
      <c r="AQ14" s="738"/>
    </row>
    <row r="15" spans="2:43" x14ac:dyDescent="0.3">
      <c r="B15" s="18" t="s">
        <v>195</v>
      </c>
      <c r="C15" s="73" t="s">
        <v>200</v>
      </c>
      <c r="D15" s="27">
        <f t="shared" ref="D15:E15" si="1">D7+D11</f>
        <v>19214.786903197004</v>
      </c>
      <c r="E15" s="27">
        <f t="shared" si="1"/>
        <v>17799.712939327997</v>
      </c>
      <c r="F15" s="26">
        <f t="shared" si="0"/>
        <v>7.9499819389920567E-2</v>
      </c>
      <c r="G15" s="51"/>
      <c r="H15" s="32"/>
      <c r="I15" s="152">
        <f t="shared" ref="I15:M15" si="2">I7+I11</f>
        <v>19214.786903197004</v>
      </c>
      <c r="J15" s="152">
        <f t="shared" si="2"/>
        <v>19214.786903197004</v>
      </c>
      <c r="K15" s="152">
        <f t="shared" si="2"/>
        <v>18622.576989845002</v>
      </c>
      <c r="L15" s="152">
        <f t="shared" si="2"/>
        <v>17808.910478245001</v>
      </c>
      <c r="M15" s="152">
        <f t="shared" si="2"/>
        <v>17385.633648219002</v>
      </c>
      <c r="N15" s="152">
        <f t="shared" ref="N15:O15" si="3">N7+N11</f>
        <v>17799.712939327997</v>
      </c>
      <c r="O15" s="152">
        <f t="shared" si="3"/>
        <v>17799.712939327997</v>
      </c>
      <c r="P15" s="152">
        <f t="shared" ref="P15:R15" si="4">P7+P11</f>
        <v>17769.046460527003</v>
      </c>
      <c r="Q15" s="152">
        <f t="shared" si="4"/>
        <v>18122.155930716999</v>
      </c>
      <c r="R15" s="152">
        <f t="shared" si="4"/>
        <v>18370.909445262998</v>
      </c>
      <c r="S15" s="152">
        <f t="shared" ref="S15:T15" si="5">S7+S11</f>
        <v>18451.907160407998</v>
      </c>
      <c r="T15" s="27">
        <f t="shared" si="5"/>
        <v>18451.907160407998</v>
      </c>
      <c r="U15" s="27">
        <f t="shared" ref="U15:AB15" si="6">U7+U11</f>
        <v>18065.79617654</v>
      </c>
      <c r="V15" s="27">
        <f t="shared" ref="V15" si="7">V7+V11</f>
        <v>18431.765823053</v>
      </c>
      <c r="W15" s="27">
        <f t="shared" si="6"/>
        <v>18078.014226277002</v>
      </c>
      <c r="X15" s="27">
        <f t="shared" si="6"/>
        <v>17627.141948734999</v>
      </c>
      <c r="Y15" s="27">
        <f t="shared" si="6"/>
        <v>17627.141948734999</v>
      </c>
      <c r="Z15" s="27">
        <f t="shared" si="6"/>
        <v>17764.386050808</v>
      </c>
      <c r="AA15" s="27">
        <f t="shared" si="6"/>
        <v>17992.350627271</v>
      </c>
      <c r="AB15" s="27">
        <f t="shared" si="6"/>
        <v>19293.319700694003</v>
      </c>
      <c r="AO15" s="129"/>
      <c r="AP15" s="129"/>
      <c r="AQ15" s="125"/>
    </row>
    <row r="16" spans="2:43" x14ac:dyDescent="0.3">
      <c r="B16" s="20" t="s">
        <v>198</v>
      </c>
      <c r="C16" s="120" t="s">
        <v>206</v>
      </c>
      <c r="D16" s="28">
        <f t="shared" ref="D16:E16" si="8">D8+D13</f>
        <v>71.710944729999994</v>
      </c>
      <c r="E16" s="28">
        <f t="shared" si="8"/>
        <v>72.236510987000003</v>
      </c>
      <c r="F16" s="41">
        <f t="shared" si="0"/>
        <v>-7.2756318075023474E-3</v>
      </c>
      <c r="G16" s="51"/>
      <c r="H16" s="32"/>
      <c r="I16" s="178">
        <f t="shared" ref="I16:J16" si="9">I8+I13</f>
        <v>71.710944729999994</v>
      </c>
      <c r="J16" s="178">
        <f t="shared" si="9"/>
        <v>19.144964259000002</v>
      </c>
      <c r="K16" s="178">
        <f>K8+K13</f>
        <v>18.116427465999998</v>
      </c>
      <c r="L16" s="178">
        <f t="shared" ref="L16:M16" si="10">L8+L13</f>
        <v>17.028746470000002</v>
      </c>
      <c r="M16" s="178">
        <f t="shared" si="10"/>
        <v>17.420806535000001</v>
      </c>
      <c r="N16" s="178">
        <f t="shared" ref="N16:O16" si="11">N8+N13</f>
        <v>72.236510987000003</v>
      </c>
      <c r="O16" s="178">
        <f t="shared" si="11"/>
        <v>17.888674493</v>
      </c>
      <c r="P16" s="178">
        <f t="shared" ref="P16:R16" si="12">P8+P13</f>
        <v>17.543913482000001</v>
      </c>
      <c r="Q16" s="178">
        <f t="shared" si="12"/>
        <v>18.075426884999999</v>
      </c>
      <c r="R16" s="178">
        <f t="shared" si="12"/>
        <v>18.728496127</v>
      </c>
      <c r="S16" s="178">
        <f t="shared" ref="S16:T16" si="13">S8+S13</f>
        <v>71.633305522000001</v>
      </c>
      <c r="T16" s="28">
        <f t="shared" si="13"/>
        <v>18.073338173</v>
      </c>
      <c r="U16" s="28">
        <f t="shared" ref="U16:AB16" si="14">U8+U13</f>
        <v>17.973433669000002</v>
      </c>
      <c r="V16" s="28">
        <f t="shared" ref="V16" si="15">V8+V13</f>
        <v>17.8154474</v>
      </c>
      <c r="W16" s="28">
        <f t="shared" si="14"/>
        <v>17.771086279999999</v>
      </c>
      <c r="X16" s="28">
        <f t="shared" si="14"/>
        <v>74.243764988999999</v>
      </c>
      <c r="Y16" s="28">
        <f t="shared" si="14"/>
        <v>17.436891563</v>
      </c>
      <c r="Z16" s="28">
        <f t="shared" si="14"/>
        <v>17.994675634</v>
      </c>
      <c r="AA16" s="28">
        <f t="shared" si="14"/>
        <v>17.847214949999998</v>
      </c>
      <c r="AB16" s="28">
        <f t="shared" si="14"/>
        <v>20.964982842000001</v>
      </c>
      <c r="AE16" s="168"/>
      <c r="AO16" s="129"/>
      <c r="AP16" s="129"/>
      <c r="AQ16" s="125"/>
    </row>
    <row r="17" spans="1:43" x14ac:dyDescent="0.3">
      <c r="B17" s="18"/>
      <c r="C17" s="73"/>
      <c r="D17" s="32"/>
      <c r="E17" s="32"/>
      <c r="F17" s="33"/>
      <c r="H17" s="32"/>
      <c r="I17" s="779">
        <f>I15/M15-1</f>
        <v>0.10521061768521633</v>
      </c>
      <c r="J17" s="779">
        <f>J15/N15-1</f>
        <v>7.9499819389920567E-2</v>
      </c>
      <c r="K17" s="779">
        <f>K15/O15-1</f>
        <v>4.6229062981061109E-2</v>
      </c>
      <c r="L17" s="33"/>
      <c r="M17" s="699"/>
      <c r="N17" s="33"/>
      <c r="O17" s="32"/>
      <c r="P17" s="32"/>
      <c r="Q17" s="32"/>
      <c r="R17" s="32"/>
      <c r="S17" s="32"/>
      <c r="T17" s="32"/>
      <c r="U17" s="32"/>
      <c r="V17" s="32"/>
      <c r="W17" s="32"/>
      <c r="X17" s="32"/>
      <c r="Y17" s="32"/>
      <c r="Z17" s="32"/>
      <c r="AA17" s="32"/>
      <c r="AB17" s="32"/>
      <c r="AE17" s="168"/>
      <c r="AO17" s="129"/>
      <c r="AP17" s="129"/>
      <c r="AQ17" s="125"/>
    </row>
    <row r="18" spans="1:43" s="40" customFormat="1" x14ac:dyDescent="0.3">
      <c r="A18" s="233"/>
      <c r="B18" s="233" t="s">
        <v>1253</v>
      </c>
      <c r="C18" s="73"/>
      <c r="D18" s="33"/>
      <c r="E18" s="33"/>
      <c r="F18" s="33"/>
      <c r="H18" s="32"/>
      <c r="I18" s="33"/>
      <c r="J18" s="33"/>
      <c r="K18" s="33"/>
      <c r="L18" s="33"/>
      <c r="M18" s="700"/>
      <c r="N18" s="33"/>
      <c r="O18" s="32"/>
      <c r="P18" s="32"/>
      <c r="Q18" s="32"/>
      <c r="R18" s="32"/>
      <c r="S18" s="32"/>
      <c r="T18" s="32"/>
      <c r="U18" s="32"/>
      <c r="V18" s="32"/>
      <c r="W18" s="32"/>
      <c r="Z18" s="32"/>
      <c r="AA18" s="32"/>
      <c r="AB18" s="32"/>
      <c r="AE18" s="169"/>
    </row>
    <row r="19" spans="1:43" s="40" customFormat="1" x14ac:dyDescent="0.3">
      <c r="A19" s="233"/>
      <c r="B19" s="233" t="s">
        <v>1545</v>
      </c>
      <c r="C19" s="73"/>
      <c r="D19" s="33"/>
      <c r="E19" s="33"/>
      <c r="F19" s="33"/>
      <c r="H19" s="32"/>
      <c r="I19" s="33"/>
      <c r="J19" s="33"/>
      <c r="K19" s="33"/>
      <c r="L19" s="33"/>
      <c r="M19" s="700"/>
      <c r="N19" s="33"/>
      <c r="O19" s="32"/>
      <c r="P19" s="32"/>
      <c r="Q19" s="32"/>
      <c r="R19" s="32"/>
      <c r="S19" s="32"/>
      <c r="T19" s="32"/>
      <c r="U19" s="32"/>
      <c r="V19" s="32"/>
      <c r="W19" s="32"/>
      <c r="X19" s="32"/>
      <c r="Y19" s="32"/>
      <c r="Z19" s="32"/>
      <c r="AA19" s="32"/>
      <c r="AB19" s="32"/>
    </row>
    <row r="20" spans="1:43" x14ac:dyDescent="0.3">
      <c r="A20" s="233"/>
      <c r="B20" s="233" t="s">
        <v>1963</v>
      </c>
      <c r="C20" s="40"/>
      <c r="D20" s="40"/>
      <c r="E20" s="40"/>
      <c r="F20" s="40"/>
      <c r="I20" s="33"/>
      <c r="J20" s="33"/>
      <c r="K20" s="33"/>
      <c r="L20" s="33"/>
      <c r="M20" s="700"/>
    </row>
    <row r="21" spans="1:43" x14ac:dyDescent="0.3">
      <c r="A21" s="233"/>
      <c r="B21" s="233" t="s">
        <v>1769</v>
      </c>
      <c r="C21" s="40"/>
      <c r="D21" s="40"/>
      <c r="E21" s="40"/>
      <c r="F21" s="40"/>
      <c r="I21" s="33"/>
      <c r="J21" s="33"/>
      <c r="K21" s="33"/>
      <c r="L21" s="33"/>
      <c r="M21" s="33"/>
    </row>
    <row r="22" spans="1:43" x14ac:dyDescent="0.3">
      <c r="I22" s="620"/>
      <c r="J22" s="620"/>
      <c r="K22" s="620"/>
      <c r="L22" s="620"/>
      <c r="M22" s="620"/>
    </row>
  </sheetData>
  <mergeCells count="5">
    <mergeCell ref="F4:F5"/>
    <mergeCell ref="X4:AB4"/>
    <mergeCell ref="S4:W4"/>
    <mergeCell ref="N4:R4"/>
    <mergeCell ref="I4:M4"/>
  </mergeCells>
  <phoneticPr fontId="1" type="noConversion"/>
  <pageMargins left="0.23622047244094491" right="0.23622047244094491" top="0.78740157480314965" bottom="0.23622047244094491" header="0.31496062992125984" footer="0.31496062992125984"/>
  <pageSetup paperSize="9" orientation="landscape" r:id="rId1"/>
  <ignoredErrors>
    <ignoredError sqref="E9:E10" formulaRange="1"/>
  </ignoredErrors>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pageSetUpPr fitToPage="1"/>
  </sheetPr>
  <dimension ref="B1:AG25"/>
  <sheetViews>
    <sheetView showGridLines="0" view="pageBreakPreview" zoomScale="85" zoomScaleNormal="110" zoomScaleSheetLayoutView="85" workbookViewId="0">
      <pane xSplit="7" ySplit="5" topLeftCell="H6" activePane="bottomRight" state="frozen"/>
      <selection activeCell="G47" sqref="G47"/>
      <selection pane="topRight" activeCell="G47" sqref="G47"/>
      <selection pane="bottomLeft" activeCell="G47" sqref="G47"/>
      <selection pane="bottomRight" activeCell="X31" sqref="X31"/>
    </sheetView>
  </sheetViews>
  <sheetFormatPr defaultRowHeight="16.5" outlineLevelCol="2" x14ac:dyDescent="0.3"/>
  <cols>
    <col min="1" max="1" width="5" style="141" customWidth="1"/>
    <col min="2" max="2" width="21.375" style="61" bestFit="1" customWidth="1"/>
    <col min="3" max="3" width="29.125" style="141" bestFit="1" customWidth="1"/>
    <col min="4" max="6" width="10" style="141" customWidth="1"/>
    <col min="7" max="7" width="1.25" style="68" customWidth="1"/>
    <col min="8" max="8" width="1.375" style="68" hidden="1" customWidth="1" outlineLevel="1"/>
    <col min="9" max="18" width="10" style="68" hidden="1" customWidth="1" outlineLevel="1"/>
    <col min="19" max="28" width="10" style="68" hidden="1" customWidth="1" outlineLevel="2"/>
    <col min="29" max="29" width="9" style="141" hidden="1" customWidth="1" outlineLevel="1"/>
    <col min="30" max="30" width="9" style="141" collapsed="1"/>
    <col min="31" max="16384" width="9" style="141"/>
  </cols>
  <sheetData>
    <row r="1" spans="2:33" s="61" customFormat="1" x14ac:dyDescent="0.3">
      <c r="B1" s="78" t="str">
        <f>INDEX!I2</f>
        <v>경영효율성</v>
      </c>
      <c r="C1" s="141" t="s">
        <v>1742</v>
      </c>
      <c r="G1" s="84"/>
      <c r="H1" s="84"/>
      <c r="I1" s="84"/>
      <c r="J1" s="84"/>
      <c r="K1" s="84"/>
      <c r="L1" s="84"/>
      <c r="M1" s="84"/>
      <c r="N1" s="84"/>
      <c r="O1" s="84"/>
      <c r="P1" s="84"/>
      <c r="Q1" s="84"/>
      <c r="R1" s="84"/>
      <c r="S1" s="84"/>
      <c r="T1" s="84"/>
      <c r="U1" s="84"/>
      <c r="V1" s="84"/>
      <c r="W1" s="84"/>
      <c r="X1" s="84"/>
      <c r="Y1" s="84"/>
      <c r="Z1" s="84"/>
      <c r="AA1" s="84"/>
      <c r="AB1" s="84"/>
    </row>
    <row r="2" spans="2:33" x14ac:dyDescent="0.3">
      <c r="B2" s="79" t="s">
        <v>1967</v>
      </c>
      <c r="J2" s="684"/>
    </row>
    <row r="3" spans="2:33" s="143" customFormat="1" x14ac:dyDescent="0.3">
      <c r="B3" s="80"/>
      <c r="D3" s="143" t="s">
        <v>1968</v>
      </c>
      <c r="E3" s="143" t="s">
        <v>1968</v>
      </c>
      <c r="G3" s="182"/>
      <c r="H3" s="182"/>
      <c r="I3" s="182"/>
      <c r="J3" s="684"/>
      <c r="K3" s="182"/>
      <c r="L3" s="182"/>
      <c r="M3" s="182"/>
      <c r="N3" s="182"/>
      <c r="O3" s="182"/>
      <c r="P3" s="182"/>
      <c r="Q3" s="182"/>
      <c r="R3" s="182"/>
      <c r="S3" s="182"/>
      <c r="T3" s="182"/>
      <c r="U3" s="182"/>
      <c r="V3" s="182"/>
      <c r="W3" s="182"/>
      <c r="X3" s="182"/>
      <c r="Y3" s="182"/>
      <c r="Z3" s="182"/>
      <c r="AA3" s="182"/>
      <c r="AB3" s="182"/>
    </row>
    <row r="4" spans="2:33" s="143" customFormat="1" x14ac:dyDescent="0.3">
      <c r="B4" s="81"/>
      <c r="C4" s="343"/>
      <c r="D4" s="186">
        <f>SUMMARY!D4</f>
        <v>2025</v>
      </c>
      <c r="E4" s="186">
        <f>SUMMARY!E4</f>
        <v>2024</v>
      </c>
      <c r="F4" s="836" t="s">
        <v>32</v>
      </c>
      <c r="G4" s="344"/>
      <c r="H4" s="182"/>
      <c r="I4" s="839">
        <v>2025</v>
      </c>
      <c r="J4" s="839"/>
      <c r="K4" s="839"/>
      <c r="L4" s="839"/>
      <c r="M4" s="840"/>
      <c r="N4" s="839">
        <v>2024</v>
      </c>
      <c r="O4" s="839"/>
      <c r="P4" s="839"/>
      <c r="Q4" s="839"/>
      <c r="R4" s="840"/>
      <c r="S4" s="839">
        <v>2023</v>
      </c>
      <c r="T4" s="839"/>
      <c r="U4" s="839"/>
      <c r="V4" s="839"/>
      <c r="W4" s="840"/>
      <c r="X4" s="838">
        <v>2022</v>
      </c>
      <c r="Y4" s="839"/>
      <c r="Z4" s="839"/>
      <c r="AA4" s="839"/>
      <c r="AB4" s="840"/>
    </row>
    <row r="5" spans="2:33" s="143" customFormat="1" x14ac:dyDescent="0.3">
      <c r="B5" s="82"/>
      <c r="C5" s="824"/>
      <c r="D5" s="186" t="str">
        <f>I5</f>
        <v>FY</v>
      </c>
      <c r="E5" s="186" t="str">
        <f>N5</f>
        <v>FY</v>
      </c>
      <c r="F5" s="837"/>
      <c r="G5" s="344"/>
      <c r="H5" s="182"/>
      <c r="I5" s="833" t="s">
        <v>31</v>
      </c>
      <c r="J5" s="833" t="s">
        <v>28</v>
      </c>
      <c r="K5" s="833" t="s">
        <v>30</v>
      </c>
      <c r="L5" s="833" t="s">
        <v>27</v>
      </c>
      <c r="M5" s="833" t="s">
        <v>29</v>
      </c>
      <c r="N5" s="833" t="s">
        <v>31</v>
      </c>
      <c r="O5" s="833" t="s">
        <v>28</v>
      </c>
      <c r="P5" s="833" t="s">
        <v>30</v>
      </c>
      <c r="Q5" s="833" t="s">
        <v>27</v>
      </c>
      <c r="R5" s="833" t="s">
        <v>29</v>
      </c>
      <c r="S5" s="833" t="s">
        <v>31</v>
      </c>
      <c r="T5" s="186" t="s">
        <v>28</v>
      </c>
      <c r="U5" s="806" t="s">
        <v>30</v>
      </c>
      <c r="V5" s="806" t="s">
        <v>27</v>
      </c>
      <c r="W5" s="186" t="s">
        <v>29</v>
      </c>
      <c r="X5" s="186" t="s">
        <v>31</v>
      </c>
      <c r="Y5" s="186" t="s">
        <v>28</v>
      </c>
      <c r="Z5" s="186" t="s">
        <v>770</v>
      </c>
      <c r="AA5" s="186" t="s">
        <v>768</v>
      </c>
      <c r="AB5" s="186" t="s">
        <v>766</v>
      </c>
    </row>
    <row r="6" spans="2:33" s="307" customFormat="1" x14ac:dyDescent="0.3">
      <c r="B6" s="407" t="s">
        <v>1753</v>
      </c>
      <c r="C6" s="354" t="s">
        <v>1752</v>
      </c>
      <c r="D6" s="408">
        <f>D7/D8</f>
        <v>0.91203273406575425</v>
      </c>
      <c r="E6" s="408">
        <f>E7/E8</f>
        <v>0.90560574071298738</v>
      </c>
      <c r="F6" s="409">
        <f t="shared" ref="F6:F8" si="0">D6-E6</f>
        <v>6.4269933527668632E-3</v>
      </c>
      <c r="G6" s="410"/>
      <c r="H6" s="352"/>
      <c r="I6" s="411">
        <f t="shared" ref="I6:J6" si="1">I7/I8</f>
        <v>0.91203273406575425</v>
      </c>
      <c r="J6" s="411">
        <f t="shared" si="1"/>
        <v>0.89793695593013922</v>
      </c>
      <c r="K6" s="411">
        <f t="shared" ref="K6:L6" si="2">K7/K8</f>
        <v>0.96237250420972476</v>
      </c>
      <c r="L6" s="411">
        <f t="shared" si="2"/>
        <v>0.90278784769847709</v>
      </c>
      <c r="M6" s="411">
        <f t="shared" ref="M6:N6" si="3">M7/M8</f>
        <v>0.88371513305048943</v>
      </c>
      <c r="N6" s="411">
        <f t="shared" si="3"/>
        <v>0.90560574071298727</v>
      </c>
      <c r="O6" s="411">
        <f t="shared" ref="O6:P6" si="4">O7/O8</f>
        <v>0.90525829586549711</v>
      </c>
      <c r="P6" s="411">
        <f t="shared" si="4"/>
        <v>0.90314827958223831</v>
      </c>
      <c r="Q6" s="411">
        <f t="shared" ref="Q6:R6" si="5">Q7/Q8</f>
        <v>0.89550368697324989</v>
      </c>
      <c r="R6" s="411">
        <f t="shared" si="5"/>
        <v>0.91869828441455148</v>
      </c>
      <c r="S6" s="411">
        <f t="shared" ref="S6:T6" si="6">S7/S8</f>
        <v>0.9132803357645326</v>
      </c>
      <c r="T6" s="408">
        <f t="shared" si="6"/>
        <v>0.92702708035813219</v>
      </c>
      <c r="U6" s="411">
        <f>U7/U8</f>
        <v>0.89228388141363635</v>
      </c>
      <c r="V6" s="411">
        <f>V7/V8</f>
        <v>0.88443206231483029</v>
      </c>
      <c r="W6" s="408">
        <f t="shared" ref="W6:AB6" si="7">W7/W8</f>
        <v>0.94952467101103788</v>
      </c>
      <c r="X6" s="408">
        <f t="shared" si="7"/>
        <v>0.90532381658034566</v>
      </c>
      <c r="Y6" s="408">
        <f t="shared" si="7"/>
        <v>0.95445856768531057</v>
      </c>
      <c r="Z6" s="408">
        <f t="shared" si="7"/>
        <v>0.88737892976026789</v>
      </c>
      <c r="AA6" s="408">
        <f t="shared" si="7"/>
        <v>0.88212431271758207</v>
      </c>
      <c r="AB6" s="408">
        <f t="shared" si="7"/>
        <v>0.89628593548956903</v>
      </c>
      <c r="AD6" s="412"/>
      <c r="AE6" s="412"/>
      <c r="AF6" s="412"/>
      <c r="AG6" s="412"/>
    </row>
    <row r="7" spans="2:33" x14ac:dyDescent="0.3">
      <c r="B7" s="60" t="s">
        <v>212</v>
      </c>
      <c r="C7" s="68" t="s">
        <v>214</v>
      </c>
      <c r="D7" s="69">
        <f>SUM(J7:M7)</f>
        <v>464.009136904</v>
      </c>
      <c r="E7" s="413">
        <f>SUM(O7:R7)</f>
        <v>418.41669668100008</v>
      </c>
      <c r="F7" s="414">
        <f t="shared" si="0"/>
        <v>45.592440222999926</v>
      </c>
      <c r="G7" s="198"/>
      <c r="H7" s="194"/>
      <c r="I7" s="298">
        <v>464.009136904</v>
      </c>
      <c r="J7" s="298">
        <v>119.912066384</v>
      </c>
      <c r="K7" s="298">
        <v>123.92377099500001</v>
      </c>
      <c r="L7" s="298">
        <v>112.61359129</v>
      </c>
      <c r="M7" s="298">
        <f>1075.59708235/10</f>
        <v>107.55970823499999</v>
      </c>
      <c r="N7" s="323">
        <v>418.41669668100002</v>
      </c>
      <c r="O7" s="323">
        <v>107.46194101900001</v>
      </c>
      <c r="P7" s="323">
        <v>105.16403180099999</v>
      </c>
      <c r="Q7" s="323">
        <v>102.043003427</v>
      </c>
      <c r="R7" s="323">
        <v>103.747720434</v>
      </c>
      <c r="S7" s="323">
        <f>SUM(T7:W7)</f>
        <v>402.83977104899998</v>
      </c>
      <c r="T7" s="413">
        <v>103.89571754799999</v>
      </c>
      <c r="U7" s="323">
        <v>98.492537154999994</v>
      </c>
      <c r="V7" s="323">
        <v>97.112050554999996</v>
      </c>
      <c r="W7" s="413">
        <v>103.33946579099999</v>
      </c>
      <c r="X7" s="413">
        <v>384.04833040400001</v>
      </c>
      <c r="Y7" s="413">
        <v>102.988060956</v>
      </c>
      <c r="Z7" s="413">
        <v>94.757996660999993</v>
      </c>
      <c r="AA7" s="413">
        <v>92.927137422000015</v>
      </c>
      <c r="AB7" s="413">
        <v>93.37513536500002</v>
      </c>
      <c r="AD7" s="415"/>
      <c r="AE7" s="415"/>
      <c r="AF7" s="415"/>
      <c r="AG7" s="415"/>
    </row>
    <row r="8" spans="2:33" x14ac:dyDescent="0.3">
      <c r="B8" s="86" t="s">
        <v>213</v>
      </c>
      <c r="C8" s="416" t="s">
        <v>215</v>
      </c>
      <c r="D8" s="69">
        <f>SUM(J8:M8)</f>
        <v>508.7636875</v>
      </c>
      <c r="E8" s="413">
        <f>SUM(O8:R8)</f>
        <v>462.02964255900008</v>
      </c>
      <c r="F8" s="414">
        <f t="shared" si="0"/>
        <v>46.734044940999922</v>
      </c>
      <c r="G8" s="198"/>
      <c r="H8" s="194"/>
      <c r="I8" s="298">
        <v>508.7636875</v>
      </c>
      <c r="J8" s="298">
        <v>133.54174320600001</v>
      </c>
      <c r="K8" s="298">
        <v>128.76902701700001</v>
      </c>
      <c r="L8" s="298">
        <v>124.73981741899999</v>
      </c>
      <c r="M8" s="298">
        <f>1217.13099858/10</f>
        <v>121.71309985800001</v>
      </c>
      <c r="N8" s="323">
        <v>462.02964255900008</v>
      </c>
      <c r="O8" s="323">
        <v>118.708595668</v>
      </c>
      <c r="P8" s="323">
        <v>116.441601206</v>
      </c>
      <c r="Q8" s="323">
        <v>113.950400106</v>
      </c>
      <c r="R8" s="323">
        <v>112.92904557900002</v>
      </c>
      <c r="S8" s="323">
        <f>SUM(T8:W8)</f>
        <v>441.09103773899994</v>
      </c>
      <c r="T8" s="413">
        <v>112.07409119899998</v>
      </c>
      <c r="U8" s="323">
        <v>110.38251301699999</v>
      </c>
      <c r="V8" s="323">
        <v>109.80159437100001</v>
      </c>
      <c r="W8" s="413">
        <v>108.83283915199999</v>
      </c>
      <c r="X8" s="413">
        <v>424.21100977399999</v>
      </c>
      <c r="Y8" s="413">
        <v>107.902076049</v>
      </c>
      <c r="Z8" s="413">
        <v>106.784140893</v>
      </c>
      <c r="AA8" s="413">
        <v>105.344718519</v>
      </c>
      <c r="AB8" s="413">
        <v>104.18007431299999</v>
      </c>
      <c r="AD8" s="415"/>
      <c r="AE8" s="415"/>
      <c r="AF8" s="415"/>
      <c r="AG8" s="415"/>
    </row>
    <row r="9" spans="2:33" x14ac:dyDescent="0.3">
      <c r="B9" s="417"/>
      <c r="C9" s="275"/>
      <c r="D9" s="755" t="s">
        <v>1969</v>
      </c>
      <c r="E9" s="755" t="s">
        <v>1969</v>
      </c>
      <c r="F9" s="419"/>
      <c r="H9" s="193"/>
      <c r="I9" s="418"/>
      <c r="J9" s="418"/>
      <c r="K9" s="418"/>
      <c r="L9" s="418"/>
      <c r="M9" s="418"/>
      <c r="N9" s="418"/>
      <c r="O9" s="418"/>
      <c r="P9" s="418"/>
      <c r="Q9" s="418"/>
      <c r="R9" s="418"/>
      <c r="S9" s="418"/>
      <c r="T9" s="418"/>
      <c r="U9" s="418"/>
      <c r="V9" s="418"/>
      <c r="W9" s="418"/>
      <c r="X9" s="418"/>
      <c r="Y9" s="418"/>
      <c r="Z9" s="418"/>
      <c r="AA9" s="418"/>
      <c r="AB9" s="418"/>
    </row>
    <row r="10" spans="2:33" x14ac:dyDescent="0.3">
      <c r="B10" s="147" t="s">
        <v>216</v>
      </c>
      <c r="C10" s="420" t="s">
        <v>1922</v>
      </c>
      <c r="D10" s="486" t="s">
        <v>1972</v>
      </c>
      <c r="E10" s="486" t="s">
        <v>1972</v>
      </c>
      <c r="F10" s="486" t="s">
        <v>1906</v>
      </c>
      <c r="G10" s="351"/>
      <c r="H10" s="314"/>
      <c r="I10" s="487" t="str">
        <f t="shared" ref="I10:J10" si="8">I5</f>
        <v>FY</v>
      </c>
      <c r="J10" s="487" t="str">
        <f t="shared" si="8"/>
        <v>Q4</v>
      </c>
      <c r="K10" s="487" t="str">
        <f t="shared" ref="K10:P10" si="9">K5</f>
        <v>Q3</v>
      </c>
      <c r="L10" s="487" t="str">
        <f t="shared" si="9"/>
        <v>Q2</v>
      </c>
      <c r="M10" s="487" t="str">
        <f t="shared" si="9"/>
        <v>Q1</v>
      </c>
      <c r="N10" s="487" t="str">
        <f t="shared" si="9"/>
        <v>FY</v>
      </c>
      <c r="O10" s="487" t="str">
        <f t="shared" si="9"/>
        <v>Q4</v>
      </c>
      <c r="P10" s="487" t="str">
        <f t="shared" si="9"/>
        <v>Q3</v>
      </c>
      <c r="Q10" s="487" t="str">
        <f t="shared" ref="Q10:AB10" si="10">Q5</f>
        <v>Q2</v>
      </c>
      <c r="R10" s="487" t="str">
        <f t="shared" si="10"/>
        <v>Q1</v>
      </c>
      <c r="S10" s="487" t="str">
        <f t="shared" si="10"/>
        <v>FY</v>
      </c>
      <c r="T10" s="486" t="str">
        <f t="shared" si="10"/>
        <v>Q4</v>
      </c>
      <c r="U10" s="487" t="str">
        <f t="shared" si="10"/>
        <v>Q3</v>
      </c>
      <c r="V10" s="487" t="str">
        <f t="shared" si="10"/>
        <v>Q2</v>
      </c>
      <c r="W10" s="486" t="str">
        <f t="shared" si="10"/>
        <v>Q1</v>
      </c>
      <c r="X10" s="486" t="str">
        <f t="shared" si="10"/>
        <v>FY</v>
      </c>
      <c r="Y10" s="486" t="str">
        <f t="shared" si="10"/>
        <v>Q4</v>
      </c>
      <c r="Z10" s="486" t="str">
        <f t="shared" si="10"/>
        <v>Q3</v>
      </c>
      <c r="AA10" s="486" t="str">
        <f t="shared" si="10"/>
        <v>Q2</v>
      </c>
      <c r="AB10" s="486" t="str">
        <f t="shared" si="10"/>
        <v>Q1</v>
      </c>
    </row>
    <row r="11" spans="2:33" x14ac:dyDescent="0.3">
      <c r="B11" s="77" t="s">
        <v>218</v>
      </c>
      <c r="C11" s="203" t="s">
        <v>220</v>
      </c>
      <c r="D11" s="54">
        <f>I11</f>
        <v>0.83666103551426918</v>
      </c>
      <c r="E11" s="54">
        <f>N11</f>
        <v>0.84009420096306875</v>
      </c>
      <c r="F11" s="200">
        <f>D11-E11</f>
        <v>-3.4331654487995689E-3</v>
      </c>
      <c r="G11" s="198"/>
      <c r="H11" s="194"/>
      <c r="I11" s="199">
        <v>0.83666103551426918</v>
      </c>
      <c r="J11" s="199">
        <v>0.85400467540585223</v>
      </c>
      <c r="K11" s="199">
        <v>0.84399999999999997</v>
      </c>
      <c r="L11" s="199">
        <v>0.82299999999999995</v>
      </c>
      <c r="M11" s="199">
        <v>0.82</v>
      </c>
      <c r="N11" s="199">
        <v>0.84009420096306875</v>
      </c>
      <c r="O11" s="199">
        <v>0.84124337653690484</v>
      </c>
      <c r="P11" s="199">
        <v>0.83420583081246391</v>
      </c>
      <c r="Q11" s="199">
        <v>0.83826447447510433</v>
      </c>
      <c r="R11" s="199">
        <v>0.84644329835770116</v>
      </c>
      <c r="S11" s="199">
        <v>0.84351304325219933</v>
      </c>
      <c r="T11" s="54">
        <v>0.82994763422000684</v>
      </c>
      <c r="U11" s="199">
        <v>0.83911476815657082</v>
      </c>
      <c r="V11" s="199">
        <v>0.83702756689419555</v>
      </c>
      <c r="W11" s="54">
        <v>0.85808580188343908</v>
      </c>
      <c r="X11" s="54">
        <v>0.83497987052040068</v>
      </c>
      <c r="Y11" s="54">
        <v>0.85900973164394179</v>
      </c>
      <c r="Z11" s="54">
        <v>0.85886357926659307</v>
      </c>
      <c r="AA11" s="54">
        <v>0.8369545424668271</v>
      </c>
      <c r="AB11" s="54">
        <v>0.7819231352272733</v>
      </c>
    </row>
    <row r="12" spans="2:33" x14ac:dyDescent="0.3">
      <c r="B12" s="87" t="s">
        <v>219</v>
      </c>
      <c r="C12" s="422" t="s">
        <v>221</v>
      </c>
      <c r="D12" s="181">
        <f>I12</f>
        <v>0.69817785323616144</v>
      </c>
      <c r="E12" s="54">
        <f>N12</f>
        <v>0.68796306931911377</v>
      </c>
      <c r="F12" s="202">
        <f>D12-E12</f>
        <v>1.0214783917047665E-2</v>
      </c>
      <c r="G12" s="198"/>
      <c r="H12" s="194"/>
      <c r="I12" s="201">
        <v>0.69817785323616144</v>
      </c>
      <c r="J12" s="201">
        <v>0.68452994131881018</v>
      </c>
      <c r="K12" s="201">
        <v>0.71099999999999997</v>
      </c>
      <c r="L12" s="201">
        <v>0.68799999999999994</v>
      </c>
      <c r="M12" s="201">
        <v>0.70699999999999996</v>
      </c>
      <c r="N12" s="201">
        <v>0.68796306931911377</v>
      </c>
      <c r="O12" s="201">
        <v>0.69343468017418375</v>
      </c>
      <c r="P12" s="201">
        <v>0.68450682328533896</v>
      </c>
      <c r="Q12" s="201">
        <v>0.68258242561597582</v>
      </c>
      <c r="R12" s="201">
        <v>0.69115623327430142</v>
      </c>
      <c r="S12" s="201">
        <v>0.69220081721066229</v>
      </c>
      <c r="T12" s="181">
        <v>0.71017601190798307</v>
      </c>
      <c r="U12" s="201">
        <v>0.71592969333866219</v>
      </c>
      <c r="V12" s="201">
        <v>0.69485786584950671</v>
      </c>
      <c r="W12" s="181">
        <v>0.64472791835737553</v>
      </c>
      <c r="X12" s="181">
        <v>0.66134485970247725</v>
      </c>
      <c r="Y12" s="181">
        <v>0.64511005503940344</v>
      </c>
      <c r="Z12" s="181">
        <v>0.65790682221725671</v>
      </c>
      <c r="AA12" s="181">
        <v>0.69964744621827279</v>
      </c>
      <c r="AB12" s="181">
        <v>0.64553939192118748</v>
      </c>
    </row>
    <row r="13" spans="2:33" s="35" customFormat="1" x14ac:dyDescent="0.3">
      <c r="B13" s="23" t="s">
        <v>1905</v>
      </c>
      <c r="C13" s="133" t="s">
        <v>1921</v>
      </c>
      <c r="D13" s="756" t="s">
        <v>1972</v>
      </c>
      <c r="E13" s="756" t="s">
        <v>1972</v>
      </c>
      <c r="F13" s="488" t="str">
        <f>F10</f>
        <v>YoY</v>
      </c>
      <c r="G13" s="134"/>
      <c r="H13" s="485"/>
      <c r="I13" s="489" t="str">
        <f t="shared" ref="I13:J13" si="11">I10</f>
        <v>FY</v>
      </c>
      <c r="J13" s="489" t="str">
        <f t="shared" si="11"/>
        <v>Q4</v>
      </c>
      <c r="K13" s="489" t="str">
        <f t="shared" ref="K13:P13" si="12">K10</f>
        <v>Q3</v>
      </c>
      <c r="L13" s="489" t="str">
        <f t="shared" si="12"/>
        <v>Q2</v>
      </c>
      <c r="M13" s="489" t="str">
        <f t="shared" si="12"/>
        <v>Q1</v>
      </c>
      <c r="N13" s="489" t="str">
        <f t="shared" si="12"/>
        <v>FY</v>
      </c>
      <c r="O13" s="489" t="str">
        <f t="shared" si="12"/>
        <v>Q4</v>
      </c>
      <c r="P13" s="489" t="str">
        <f t="shared" si="12"/>
        <v>Q3</v>
      </c>
      <c r="Q13" s="834" t="s">
        <v>27</v>
      </c>
      <c r="R13" s="834" t="s">
        <v>29</v>
      </c>
      <c r="S13" s="834" t="s">
        <v>31</v>
      </c>
      <c r="T13" s="820" t="s">
        <v>28</v>
      </c>
      <c r="U13" s="810" t="s">
        <v>30</v>
      </c>
      <c r="V13" s="810" t="s">
        <v>27</v>
      </c>
      <c r="W13" s="820" t="s">
        <v>29</v>
      </c>
      <c r="X13" s="820" t="s">
        <v>31</v>
      </c>
      <c r="Y13" s="820" t="s">
        <v>28</v>
      </c>
      <c r="Z13" s="820" t="s">
        <v>30</v>
      </c>
      <c r="AA13" s="820" t="s">
        <v>27</v>
      </c>
      <c r="AB13" s="820" t="s">
        <v>29</v>
      </c>
    </row>
    <row r="14" spans="2:33" s="35" customFormat="1" x14ac:dyDescent="0.3">
      <c r="B14" s="18" t="s">
        <v>218</v>
      </c>
      <c r="C14" s="73" t="s">
        <v>220</v>
      </c>
      <c r="D14" s="54">
        <f>I14</f>
        <v>0.86883672978777349</v>
      </c>
      <c r="E14" s="54">
        <f>N14</f>
        <v>0.85245728297447421</v>
      </c>
      <c r="F14" s="93">
        <f t="shared" ref="F14:F15" si="13">D14-E14</f>
        <v>1.6379446813299281E-2</v>
      </c>
      <c r="G14" s="94">
        <v>0.87</v>
      </c>
      <c r="H14" s="485">
        <v>0.873</v>
      </c>
      <c r="I14" s="67">
        <v>0.86883672978777349</v>
      </c>
      <c r="J14" s="67">
        <v>0.87109233098051042</v>
      </c>
      <c r="K14" s="67">
        <v>0.86799999999999999</v>
      </c>
      <c r="L14" s="67">
        <v>0.872</v>
      </c>
      <c r="M14" s="67">
        <v>0.86399999999999999</v>
      </c>
      <c r="N14" s="67">
        <v>0.85245728297447421</v>
      </c>
      <c r="O14" s="67">
        <v>0.85375556703979605</v>
      </c>
      <c r="P14" s="67">
        <v>0.85747945060895447</v>
      </c>
      <c r="Q14" s="67">
        <v>0.8512771973024108</v>
      </c>
      <c r="R14" s="67">
        <v>0.84746307232433549</v>
      </c>
      <c r="S14" s="26">
        <v>0.84121261891429955</v>
      </c>
      <c r="T14" s="26">
        <v>0.8341672953593795</v>
      </c>
      <c r="U14" s="67">
        <v>0.84100868464371803</v>
      </c>
      <c r="V14" s="67">
        <v>0.83402490632658155</v>
      </c>
      <c r="W14" s="26">
        <v>0.85162870085680475</v>
      </c>
      <c r="X14" s="26">
        <v>0.8448899502907099</v>
      </c>
      <c r="Y14" s="26">
        <v>0.8486262961983021</v>
      </c>
      <c r="Z14" s="26">
        <v>0.86054595698151948</v>
      </c>
      <c r="AA14" s="26">
        <v>0.85196520710311752</v>
      </c>
      <c r="AB14" s="26">
        <v>0.80618059932307407</v>
      </c>
    </row>
    <row r="15" spans="2:33" s="35" customFormat="1" x14ac:dyDescent="0.3">
      <c r="B15" s="20" t="s">
        <v>219</v>
      </c>
      <c r="C15" s="120" t="s">
        <v>221</v>
      </c>
      <c r="D15" s="181">
        <f>I15</f>
        <v>0.72558939684648682</v>
      </c>
      <c r="E15" s="54">
        <f>N15</f>
        <v>0.7087943989814447</v>
      </c>
      <c r="F15" s="95">
        <f t="shared" si="13"/>
        <v>1.6794997865042127E-2</v>
      </c>
      <c r="G15" s="94">
        <v>0.76900000000000002</v>
      </c>
      <c r="H15" s="485">
        <v>0.79100000000000004</v>
      </c>
      <c r="I15" s="72">
        <v>0.72558939684648682</v>
      </c>
      <c r="J15" s="72">
        <v>0.72179432771024765</v>
      </c>
      <c r="K15" s="72">
        <v>0.748</v>
      </c>
      <c r="L15" s="72">
        <v>0.70899999999999996</v>
      </c>
      <c r="M15" s="72">
        <v>0.72199999999999998</v>
      </c>
      <c r="N15" s="72">
        <v>0.7087943989814447</v>
      </c>
      <c r="O15" s="72">
        <v>0.71030591484762262</v>
      </c>
      <c r="P15" s="72">
        <v>0.70868814054299112</v>
      </c>
      <c r="Q15" s="72">
        <v>0.70780872140670237</v>
      </c>
      <c r="R15" s="72">
        <v>0.70869440090181213</v>
      </c>
      <c r="S15" s="26">
        <v>0.69396024449369853</v>
      </c>
      <c r="T15" s="41">
        <v>0.69626729797799014</v>
      </c>
      <c r="U15" s="72">
        <v>0.71264209134732059</v>
      </c>
      <c r="V15" s="72">
        <v>0.70323413318879036</v>
      </c>
      <c r="W15" s="41">
        <v>0.64939646436821408</v>
      </c>
      <c r="X15" s="26">
        <v>0.72925631252832313</v>
      </c>
      <c r="Y15" s="41">
        <v>0.73139070875867185</v>
      </c>
      <c r="Z15" s="41">
        <v>0.752625728908631</v>
      </c>
      <c r="AA15" s="41">
        <v>0.73198888788434457</v>
      </c>
      <c r="AB15" s="41">
        <v>0.69522493668730712</v>
      </c>
    </row>
    <row r="16" spans="2:33" x14ac:dyDescent="0.3">
      <c r="B16" s="85" t="s">
        <v>217</v>
      </c>
      <c r="C16" s="247" t="s">
        <v>222</v>
      </c>
      <c r="D16" s="757">
        <f>I16</f>
        <v>2296668</v>
      </c>
      <c r="E16" s="757">
        <f>N16</f>
        <v>2235302</v>
      </c>
      <c r="F16" s="196">
        <f t="shared" ref="F16" si="14">+IFERROR(IF(E16&lt;0,-(D16/E16-1),(D16/E16-1)),0)</f>
        <v>2.7453113717967437E-2</v>
      </c>
      <c r="G16" s="214"/>
      <c r="H16" s="423"/>
      <c r="I16" s="424">
        <v>2296668</v>
      </c>
      <c r="J16" s="424">
        <v>2296668</v>
      </c>
      <c r="K16" s="424">
        <v>2297944</v>
      </c>
      <c r="L16" s="424">
        <v>2272287</v>
      </c>
      <c r="M16" s="424">
        <v>2259972</v>
      </c>
      <c r="N16" s="424">
        <v>2235302</v>
      </c>
      <c r="O16" s="424">
        <v>2235302</v>
      </c>
      <c r="P16" s="424">
        <v>2223112</v>
      </c>
      <c r="Q16" s="424">
        <v>2234229</v>
      </c>
      <c r="R16" s="424">
        <v>2230890</v>
      </c>
      <c r="S16" s="424">
        <v>2224610</v>
      </c>
      <c r="T16" s="425">
        <v>2224610</v>
      </c>
      <c r="U16" s="424">
        <v>2266191</v>
      </c>
      <c r="V16" s="424">
        <v>2279469</v>
      </c>
      <c r="W16" s="425">
        <v>2289520</v>
      </c>
      <c r="X16" s="425">
        <f>Y16</f>
        <v>2298664</v>
      </c>
      <c r="Y16" s="425">
        <v>2298664</v>
      </c>
      <c r="Z16" s="425">
        <v>2314997</v>
      </c>
      <c r="AA16" s="425">
        <v>2324435</v>
      </c>
      <c r="AB16" s="425">
        <v>2334242</v>
      </c>
    </row>
    <row r="17" spans="2:28" x14ac:dyDescent="0.3">
      <c r="B17" s="88"/>
      <c r="C17" s="426"/>
      <c r="D17" s="191"/>
      <c r="E17" s="191"/>
      <c r="F17" s="192"/>
    </row>
    <row r="18" spans="2:28" x14ac:dyDescent="0.3">
      <c r="B18" s="79" t="s">
        <v>1553</v>
      </c>
      <c r="C18" s="203"/>
      <c r="D18" s="193"/>
      <c r="E18" s="193"/>
      <c r="F18" s="194"/>
      <c r="X18" s="427"/>
      <c r="Z18" s="427"/>
    </row>
    <row r="19" spans="2:28" x14ac:dyDescent="0.3">
      <c r="B19" s="79" t="s">
        <v>1554</v>
      </c>
      <c r="C19" s="203"/>
      <c r="D19" s="193"/>
      <c r="E19" s="193"/>
      <c r="F19" s="194"/>
    </row>
    <row r="20" spans="2:28" s="143" customFormat="1" x14ac:dyDescent="0.3">
      <c r="B20" s="79" t="s">
        <v>1928</v>
      </c>
      <c r="C20" s="141"/>
      <c r="D20" s="141"/>
      <c r="E20" s="141"/>
      <c r="F20" s="141"/>
      <c r="G20" s="68"/>
      <c r="H20" s="68"/>
      <c r="I20" s="68"/>
      <c r="J20" s="68"/>
      <c r="K20" s="68"/>
      <c r="L20" s="68"/>
      <c r="M20" s="68"/>
      <c r="N20" s="68"/>
      <c r="O20" s="68"/>
      <c r="P20" s="68"/>
      <c r="Q20" s="68"/>
      <c r="R20" s="68"/>
      <c r="S20" s="68"/>
      <c r="T20" s="68"/>
      <c r="U20" s="68"/>
      <c r="V20" s="68"/>
      <c r="W20" s="68"/>
      <c r="X20" s="68"/>
      <c r="Y20" s="68"/>
      <c r="Z20" s="68"/>
      <c r="AA20" s="68"/>
      <c r="AB20" s="68"/>
    </row>
    <row r="21" spans="2:28" x14ac:dyDescent="0.3">
      <c r="B21" s="428" t="s">
        <v>1782</v>
      </c>
    </row>
    <row r="24" spans="2:28" x14ac:dyDescent="0.3">
      <c r="I24" s="429"/>
      <c r="J24" s="429"/>
      <c r="K24" s="429"/>
      <c r="L24" s="429"/>
      <c r="M24" s="429"/>
      <c r="N24" s="429"/>
      <c r="O24" s="429"/>
      <c r="P24" s="429"/>
      <c r="Q24" s="429"/>
      <c r="R24" s="430"/>
    </row>
    <row r="25" spans="2:28" x14ac:dyDescent="0.3">
      <c r="I25" s="194"/>
      <c r="J25" s="194"/>
      <c r="K25" s="194"/>
      <c r="L25" s="194"/>
      <c r="M25" s="194"/>
      <c r="N25" s="194"/>
      <c r="O25" s="194"/>
      <c r="P25" s="194"/>
      <c r="Q25" s="194"/>
      <c r="R25" s="429"/>
    </row>
  </sheetData>
  <mergeCells count="5">
    <mergeCell ref="F4:F5"/>
    <mergeCell ref="X4:AB4"/>
    <mergeCell ref="S4:W4"/>
    <mergeCell ref="N4:R4"/>
    <mergeCell ref="I4:M4"/>
  </mergeCells>
  <phoneticPr fontId="1" type="noConversion"/>
  <pageMargins left="0.23622047244094491" right="0.23622047244094491" top="0.78740157480314965" bottom="0.23622047244094491" header="0.31496062992125984" footer="0.31496062992125984"/>
  <pageSetup paperSize="9" orientation="landscape" r:id="rId1"/>
  <colBreaks count="1" manualBreakCount="1">
    <brk id="26" max="33" man="1"/>
  </colBreaks>
  <drawing r:id="rId2"/>
  <legacy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B1:BC31"/>
  <sheetViews>
    <sheetView showGridLines="0" view="pageBreakPreview" zoomScale="85" zoomScaleNormal="100" zoomScaleSheetLayoutView="85" workbookViewId="0">
      <pane xSplit="10" ySplit="6" topLeftCell="K7" activePane="bottomRight" state="frozen"/>
      <selection activeCell="G47" sqref="G47"/>
      <selection pane="topRight" activeCell="G47" sqref="G47"/>
      <selection pane="bottomLeft" activeCell="G47" sqref="G47"/>
      <selection pane="bottomRight" activeCell="C53" sqref="C53"/>
    </sheetView>
  </sheetViews>
  <sheetFormatPr defaultRowHeight="16.5" outlineLevelCol="2" x14ac:dyDescent="0.3"/>
  <cols>
    <col min="1" max="1" width="5" style="35" customWidth="1"/>
    <col min="2" max="2" width="18.75" style="34" customWidth="1"/>
    <col min="3" max="3" width="24.125" style="35" bestFit="1" customWidth="1"/>
    <col min="4" max="9" width="7.5" style="35" customWidth="1"/>
    <col min="10" max="11" width="1.625" style="40" customWidth="1"/>
    <col min="12" max="31" width="7.5" style="35" hidden="1" customWidth="1" outlineLevel="1"/>
    <col min="32" max="32" width="8.625" style="35" hidden="1" customWidth="1" outlineLevel="2"/>
    <col min="33" max="41" width="7.5" style="35" hidden="1" customWidth="1" outlineLevel="2"/>
    <col min="42" max="43" width="0.875" style="35" hidden="1" customWidth="1" outlineLevel="2"/>
    <col min="44" max="53" width="7.5" style="35" hidden="1" customWidth="1" outlineLevel="2"/>
    <col min="54" max="54" width="9" style="35" hidden="1" customWidth="1" outlineLevel="1" collapsed="1"/>
    <col min="55" max="55" width="9" style="35" collapsed="1"/>
    <col min="56" max="16384" width="9" style="35"/>
  </cols>
  <sheetData>
    <row r="1" spans="2:53" s="34" customFormat="1" x14ac:dyDescent="0.3">
      <c r="B1" s="105" t="str">
        <f>INDEX!I9</f>
        <v>자산 포트폴리오</v>
      </c>
      <c r="C1" s="35" t="s">
        <v>1741</v>
      </c>
      <c r="J1" s="48"/>
      <c r="K1" s="48"/>
    </row>
    <row r="2" spans="2:53" x14ac:dyDescent="0.3">
      <c r="B2" s="106" t="s">
        <v>18</v>
      </c>
    </row>
    <row r="3" spans="2:53" s="36" customFormat="1" x14ac:dyDescent="0.3">
      <c r="B3" s="107"/>
      <c r="D3" s="52"/>
      <c r="J3" s="743"/>
      <c r="K3" s="743"/>
    </row>
    <row r="4" spans="2:53" s="36" customFormat="1" x14ac:dyDescent="0.3">
      <c r="B4" s="108"/>
      <c r="C4" s="109"/>
      <c r="D4" s="845">
        <f>SUMMARY!D4</f>
        <v>2025</v>
      </c>
      <c r="E4" s="846"/>
      <c r="F4" s="845">
        <f>SUMMARY!E4</f>
        <v>2024</v>
      </c>
      <c r="G4" s="846"/>
      <c r="H4" s="866" t="s">
        <v>32</v>
      </c>
      <c r="I4" s="867"/>
      <c r="J4" s="743"/>
      <c r="K4" s="743"/>
      <c r="L4" s="809"/>
      <c r="M4" s="809"/>
      <c r="N4" s="809"/>
      <c r="O4" s="809"/>
      <c r="P4" s="404">
        <v>2025</v>
      </c>
      <c r="Q4" s="404"/>
      <c r="R4" s="404"/>
      <c r="S4" s="404"/>
      <c r="T4" s="404"/>
      <c r="U4" s="405"/>
      <c r="V4" s="809"/>
      <c r="W4" s="809"/>
      <c r="X4" s="809"/>
      <c r="Y4" s="809"/>
      <c r="Z4" s="404">
        <v>2024</v>
      </c>
      <c r="AA4" s="404"/>
      <c r="AB4" s="404"/>
      <c r="AC4" s="404"/>
      <c r="AD4" s="404"/>
      <c r="AE4" s="405"/>
      <c r="AF4" s="846">
        <v>2023</v>
      </c>
      <c r="AG4" s="846"/>
      <c r="AH4" s="846"/>
      <c r="AI4" s="846"/>
      <c r="AJ4" s="846"/>
      <c r="AK4" s="846"/>
      <c r="AL4" s="846"/>
      <c r="AM4" s="846"/>
      <c r="AN4" s="846"/>
      <c r="AO4" s="846"/>
      <c r="AP4" s="75"/>
      <c r="AQ4" s="265"/>
      <c r="AR4" s="846">
        <v>2022</v>
      </c>
      <c r="AS4" s="846"/>
      <c r="AT4" s="846"/>
      <c r="AU4" s="846"/>
      <c r="AV4" s="846"/>
      <c r="AW4" s="846"/>
      <c r="AX4" s="846"/>
      <c r="AY4" s="846"/>
      <c r="AZ4" s="846"/>
      <c r="BA4" s="847"/>
    </row>
    <row r="5" spans="2:53" s="36" customFormat="1" x14ac:dyDescent="0.3">
      <c r="B5" s="108"/>
      <c r="C5" s="109"/>
      <c r="D5" s="865" t="str">
        <f>L5</f>
        <v>FY</v>
      </c>
      <c r="E5" s="865"/>
      <c r="F5" s="865" t="str">
        <f>V5</f>
        <v>FY</v>
      </c>
      <c r="G5" s="865"/>
      <c r="H5" s="868"/>
      <c r="I5" s="869"/>
      <c r="J5" s="743"/>
      <c r="K5" s="743"/>
      <c r="L5" s="846" t="s">
        <v>31</v>
      </c>
      <c r="M5" s="847"/>
      <c r="N5" s="846" t="s">
        <v>28</v>
      </c>
      <c r="O5" s="847"/>
      <c r="P5" s="846" t="s">
        <v>1965</v>
      </c>
      <c r="Q5" s="847"/>
      <c r="R5" s="845" t="s">
        <v>27</v>
      </c>
      <c r="S5" s="847"/>
      <c r="T5" s="845" t="s">
        <v>29</v>
      </c>
      <c r="U5" s="847"/>
      <c r="V5" s="847" t="s">
        <v>31</v>
      </c>
      <c r="W5" s="865"/>
      <c r="X5" s="847" t="s">
        <v>28</v>
      </c>
      <c r="Y5" s="865"/>
      <c r="Z5" s="847" t="s">
        <v>30</v>
      </c>
      <c r="AA5" s="865"/>
      <c r="AB5" s="847" t="s">
        <v>27</v>
      </c>
      <c r="AC5" s="865"/>
      <c r="AD5" s="847" t="s">
        <v>29</v>
      </c>
      <c r="AE5" s="865"/>
      <c r="AF5" s="846" t="s">
        <v>1685</v>
      </c>
      <c r="AG5" s="847"/>
      <c r="AH5" s="865" t="s">
        <v>28</v>
      </c>
      <c r="AI5" s="865"/>
      <c r="AJ5" s="865" t="s">
        <v>30</v>
      </c>
      <c r="AK5" s="865"/>
      <c r="AL5" s="865" t="s">
        <v>27</v>
      </c>
      <c r="AM5" s="865"/>
      <c r="AN5" s="865" t="s">
        <v>29</v>
      </c>
      <c r="AO5" s="845"/>
      <c r="AP5" s="75"/>
      <c r="AQ5" s="265"/>
      <c r="AR5" s="846" t="s">
        <v>31</v>
      </c>
      <c r="AS5" s="847"/>
      <c r="AT5" s="865" t="s">
        <v>28</v>
      </c>
      <c r="AU5" s="865"/>
      <c r="AV5" s="865" t="s">
        <v>30</v>
      </c>
      <c r="AW5" s="865"/>
      <c r="AX5" s="865" t="s">
        <v>27</v>
      </c>
      <c r="AY5" s="865"/>
      <c r="AZ5" s="865" t="s">
        <v>29</v>
      </c>
      <c r="BA5" s="865"/>
    </row>
    <row r="6" spans="2:53" s="36" customFormat="1" ht="33" x14ac:dyDescent="0.3">
      <c r="B6" s="746"/>
      <c r="C6" s="746"/>
      <c r="D6" s="38" t="s">
        <v>735</v>
      </c>
      <c r="E6" s="38" t="s">
        <v>736</v>
      </c>
      <c r="F6" s="38" t="s">
        <v>735</v>
      </c>
      <c r="G6" s="38" t="s">
        <v>736</v>
      </c>
      <c r="H6" s="38" t="s">
        <v>735</v>
      </c>
      <c r="I6" s="38" t="s">
        <v>736</v>
      </c>
      <c r="J6" s="743"/>
      <c r="K6" s="743"/>
      <c r="L6" s="694" t="s">
        <v>733</v>
      </c>
      <c r="M6" s="38" t="s">
        <v>734</v>
      </c>
      <c r="N6" s="694" t="s">
        <v>733</v>
      </c>
      <c r="O6" s="38" t="s">
        <v>734</v>
      </c>
      <c r="P6" s="694" t="s">
        <v>733</v>
      </c>
      <c r="Q6" s="38" t="s">
        <v>734</v>
      </c>
      <c r="R6" s="241" t="s">
        <v>733</v>
      </c>
      <c r="S6" s="38" t="s">
        <v>734</v>
      </c>
      <c r="T6" s="241" t="s">
        <v>733</v>
      </c>
      <c r="U6" s="38" t="s">
        <v>734</v>
      </c>
      <c r="V6" s="241" t="s">
        <v>733</v>
      </c>
      <c r="W6" s="38" t="s">
        <v>734</v>
      </c>
      <c r="X6" s="241" t="s">
        <v>733</v>
      </c>
      <c r="Y6" s="38" t="s">
        <v>734</v>
      </c>
      <c r="Z6" s="241" t="s">
        <v>733</v>
      </c>
      <c r="AA6" s="38" t="s">
        <v>734</v>
      </c>
      <c r="AB6" s="241" t="s">
        <v>733</v>
      </c>
      <c r="AC6" s="38" t="s">
        <v>734</v>
      </c>
      <c r="AD6" s="241" t="s">
        <v>733</v>
      </c>
      <c r="AE6" s="38" t="s">
        <v>734</v>
      </c>
      <c r="AF6" s="241" t="s">
        <v>777</v>
      </c>
      <c r="AG6" s="38" t="s">
        <v>1686</v>
      </c>
      <c r="AH6" s="38" t="s">
        <v>733</v>
      </c>
      <c r="AI6" s="38" t="s">
        <v>734</v>
      </c>
      <c r="AJ6" s="38" t="s">
        <v>733</v>
      </c>
      <c r="AK6" s="38" t="s">
        <v>734</v>
      </c>
      <c r="AL6" s="38" t="s">
        <v>733</v>
      </c>
      <c r="AM6" s="38" t="s">
        <v>734</v>
      </c>
      <c r="AN6" s="38" t="s">
        <v>733</v>
      </c>
      <c r="AO6" s="262" t="s">
        <v>734</v>
      </c>
      <c r="AP6" s="98"/>
      <c r="AQ6" s="266"/>
      <c r="AR6" s="241" t="s">
        <v>733</v>
      </c>
      <c r="AS6" s="38" t="s">
        <v>734</v>
      </c>
      <c r="AT6" s="38" t="s">
        <v>733</v>
      </c>
      <c r="AU6" s="38" t="s">
        <v>734</v>
      </c>
      <c r="AV6" s="38" t="s">
        <v>733</v>
      </c>
      <c r="AW6" s="38" t="s">
        <v>734</v>
      </c>
      <c r="AX6" s="38" t="s">
        <v>733</v>
      </c>
      <c r="AY6" s="38" t="s">
        <v>734</v>
      </c>
      <c r="AZ6" s="38" t="s">
        <v>733</v>
      </c>
      <c r="BA6" s="38" t="s">
        <v>734</v>
      </c>
    </row>
    <row r="7" spans="2:53" s="133" customFormat="1" x14ac:dyDescent="0.3">
      <c r="B7" s="135" t="s">
        <v>224</v>
      </c>
      <c r="C7" s="110" t="s">
        <v>730</v>
      </c>
      <c r="D7" s="29">
        <f>L7</f>
        <v>18541.089297056002</v>
      </c>
      <c r="E7" s="44">
        <f>D7/D$7</f>
        <v>1</v>
      </c>
      <c r="F7" s="29">
        <f>V7</f>
        <v>19251.277201448003</v>
      </c>
      <c r="G7" s="44">
        <f>F7/F$7</f>
        <v>1</v>
      </c>
      <c r="H7" s="44">
        <f>+IFERROR(IF(F7&lt;0,-(D7/F7-1),(D7/F7-1)),0)</f>
        <v>-3.6890430539257113E-2</v>
      </c>
      <c r="I7" s="121">
        <f>E7-G7</f>
        <v>0</v>
      </c>
      <c r="L7" s="151">
        <v>18541.089297056002</v>
      </c>
      <c r="M7" s="44">
        <f t="shared" ref="M7:M19" si="0">L7/L$7</f>
        <v>1</v>
      </c>
      <c r="N7" s="151">
        <v>18541.089297056002</v>
      </c>
      <c r="O7" s="44">
        <f t="shared" ref="O7:O19" si="1">N7/N$7</f>
        <v>1</v>
      </c>
      <c r="P7" s="151">
        <v>19069.966736439997</v>
      </c>
      <c r="Q7" s="44">
        <f t="shared" ref="Q7:Q19" si="2">P7/P$7</f>
        <v>1</v>
      </c>
      <c r="R7" s="151">
        <v>18966.515444032</v>
      </c>
      <c r="S7" s="44">
        <f t="shared" ref="S7:S19" si="3">R7/R$7</f>
        <v>1</v>
      </c>
      <c r="T7" s="151">
        <v>19288.638628703</v>
      </c>
      <c r="U7" s="44">
        <f t="shared" ref="U7:U19" si="4">T7/T$7</f>
        <v>1</v>
      </c>
      <c r="V7" s="151">
        <v>19251.277201448003</v>
      </c>
      <c r="W7" s="44">
        <f t="shared" ref="W7:W19" si="5">V7/V$7</f>
        <v>1</v>
      </c>
      <c r="X7" s="151">
        <v>19251.277201448003</v>
      </c>
      <c r="Y7" s="44">
        <f t="shared" ref="Y7:Y19" si="6">X7/X$7</f>
        <v>1</v>
      </c>
      <c r="Z7" s="151">
        <v>19411.287595601003</v>
      </c>
      <c r="AA7" s="44">
        <f t="shared" ref="AA7:AA19" si="7">Z7/Z$7</f>
        <v>1</v>
      </c>
      <c r="AB7" s="151">
        <v>18967.270673666</v>
      </c>
      <c r="AC7" s="44">
        <f t="shared" ref="AC7:AC19" si="8">AB7/AB$7</f>
        <v>1</v>
      </c>
      <c r="AD7" s="151">
        <v>18902.567005789002</v>
      </c>
      <c r="AE7" s="44">
        <f t="shared" ref="AE7:AE19" si="9">AD7/AD$7</f>
        <v>1</v>
      </c>
      <c r="AF7" s="302">
        <f>AH7</f>
        <v>19625.964457714002</v>
      </c>
      <c r="AG7" s="44">
        <f t="shared" ref="AG7:AI7" si="10">AF7/AF$7</f>
        <v>1</v>
      </c>
      <c r="AH7" s="259">
        <v>19625.964457714002</v>
      </c>
      <c r="AI7" s="44">
        <f t="shared" si="10"/>
        <v>1</v>
      </c>
      <c r="AJ7" s="29">
        <v>19517.19712293</v>
      </c>
      <c r="AK7" s="44">
        <f t="shared" ref="AK7:AK19" si="11">AJ7/AJ$7</f>
        <v>1</v>
      </c>
      <c r="AL7" s="29">
        <v>19920.244944958999</v>
      </c>
      <c r="AM7" s="44">
        <f t="shared" ref="AM7:AM19" si="12">AL7/AL$7</f>
        <v>1</v>
      </c>
      <c r="AN7" s="29">
        <v>20381.286184701003</v>
      </c>
      <c r="AO7" s="175">
        <f t="shared" ref="AO7:AO19" si="13">AN7/AN$7</f>
        <v>1</v>
      </c>
      <c r="AP7" s="134"/>
      <c r="AQ7" s="66"/>
      <c r="AR7" s="151">
        <f>AT7</f>
        <v>19698.667552137002</v>
      </c>
      <c r="AS7" s="44">
        <f t="shared" ref="AS7:AS19" si="14">AR7/AR$7</f>
        <v>1</v>
      </c>
      <c r="AT7" s="29">
        <v>19698.667552137002</v>
      </c>
      <c r="AU7" s="44">
        <f t="shared" ref="AU7:AU19" si="15">AT7/AT$7</f>
        <v>1</v>
      </c>
      <c r="AV7" s="29">
        <v>20148.467234193999</v>
      </c>
      <c r="AW7" s="44">
        <f t="shared" ref="AW7:AW19" si="16">AV7/AV$7</f>
        <v>1</v>
      </c>
      <c r="AX7" s="29">
        <v>20055.163169090003</v>
      </c>
      <c r="AY7" s="44">
        <f t="shared" ref="AY7:AY19" si="17">AX7/AX$7</f>
        <v>1</v>
      </c>
      <c r="AZ7" s="29">
        <v>20171.639531695997</v>
      </c>
      <c r="BA7" s="44">
        <f t="shared" ref="BA7:BA19" si="18">AZ7/AZ$7</f>
        <v>1</v>
      </c>
    </row>
    <row r="8" spans="2:53" s="40" customFormat="1" x14ac:dyDescent="0.3">
      <c r="B8" s="77" t="s">
        <v>226</v>
      </c>
      <c r="C8" s="73" t="s">
        <v>715</v>
      </c>
      <c r="D8" s="27">
        <f t="shared" ref="D8:D22" si="19">L8</f>
        <v>527.17028309700004</v>
      </c>
      <c r="E8" s="26">
        <f t="shared" ref="E8" si="20">D8/D$7</f>
        <v>2.8432541079487998E-2</v>
      </c>
      <c r="F8" s="27">
        <f t="shared" ref="F8:F22" si="21">V8</f>
        <v>691.651218191</v>
      </c>
      <c r="G8" s="26">
        <f t="shared" ref="G8:G19" si="22">F8/F$7</f>
        <v>3.5927549686883983E-2</v>
      </c>
      <c r="H8" s="26">
        <f t="shared" ref="H8:H22" si="23">+IFERROR(IF(F8&lt;0,-(D8/F8-1),(D8/F8-1)),0)</f>
        <v>-0.23780907308194521</v>
      </c>
      <c r="I8" s="93">
        <f t="shared" ref="I8:I19" si="24">E8-G8</f>
        <v>-7.4950086073959851E-3</v>
      </c>
      <c r="L8" s="152">
        <v>527.17028309700004</v>
      </c>
      <c r="M8" s="26">
        <f t="shared" si="0"/>
        <v>2.8432541079487998E-2</v>
      </c>
      <c r="N8" s="152">
        <v>527.17028309700004</v>
      </c>
      <c r="O8" s="26">
        <f t="shared" si="1"/>
        <v>2.8432541079487998E-2</v>
      </c>
      <c r="P8" s="152">
        <v>502.13345908499997</v>
      </c>
      <c r="Q8" s="26">
        <f t="shared" si="2"/>
        <v>2.6331113526563959E-2</v>
      </c>
      <c r="R8" s="152">
        <v>473.28097749</v>
      </c>
      <c r="S8" s="26">
        <f t="shared" si="3"/>
        <v>2.4953501811473888E-2</v>
      </c>
      <c r="T8" s="152">
        <v>502.89372028700001</v>
      </c>
      <c r="U8" s="26">
        <f t="shared" si="4"/>
        <v>2.6072017313790871E-2</v>
      </c>
      <c r="V8" s="152">
        <v>691.651218191</v>
      </c>
      <c r="W8" s="26">
        <f t="shared" si="5"/>
        <v>3.5927549686883983E-2</v>
      </c>
      <c r="X8" s="152">
        <v>691.651218191</v>
      </c>
      <c r="Y8" s="26">
        <f t="shared" si="6"/>
        <v>3.5927549686883983E-2</v>
      </c>
      <c r="Z8" s="152">
        <v>506.30570587399995</v>
      </c>
      <c r="AA8" s="26">
        <f t="shared" si="7"/>
        <v>2.6083056231094078E-2</v>
      </c>
      <c r="AB8" s="152">
        <v>452.588951345</v>
      </c>
      <c r="AC8" s="26">
        <f t="shared" si="8"/>
        <v>2.3861574979966448E-2</v>
      </c>
      <c r="AD8" s="152">
        <v>196.47096327700001</v>
      </c>
      <c r="AE8" s="26">
        <f t="shared" si="9"/>
        <v>1.0393877361568396E-2</v>
      </c>
      <c r="AF8" s="303">
        <f t="shared" ref="AF8:AF22" si="25">AH8</f>
        <v>954.78025708500013</v>
      </c>
      <c r="AG8" s="26">
        <f>AF8/$AF$7</f>
        <v>4.8648832476088734E-2</v>
      </c>
      <c r="AH8" s="273">
        <v>954.78025708500013</v>
      </c>
      <c r="AI8" s="26">
        <f>AH8/$AH$7</f>
        <v>4.8648832476088734E-2</v>
      </c>
      <c r="AJ8" s="27">
        <v>189.84354592300002</v>
      </c>
      <c r="AK8" s="26">
        <f t="shared" si="11"/>
        <v>9.726988190325761E-3</v>
      </c>
      <c r="AL8" s="27">
        <v>212.29531298900002</v>
      </c>
      <c r="AM8" s="26">
        <f t="shared" si="12"/>
        <v>1.0657264184029189E-2</v>
      </c>
      <c r="AN8" s="27">
        <v>269.73129669899998</v>
      </c>
      <c r="AO8" s="94">
        <f t="shared" si="13"/>
        <v>1.3234262757247917E-2</v>
      </c>
      <c r="AP8" s="94"/>
      <c r="AQ8" s="67"/>
      <c r="AR8" s="152">
        <f t="shared" ref="AR8:AR22" si="26">AT8</f>
        <v>493.70806281300003</v>
      </c>
      <c r="AS8" s="26">
        <f t="shared" si="14"/>
        <v>2.5063018171472228E-2</v>
      </c>
      <c r="AT8" s="27">
        <v>493.70806281300003</v>
      </c>
      <c r="AU8" s="26">
        <f t="shared" si="15"/>
        <v>2.5063018171472228E-2</v>
      </c>
      <c r="AV8" s="27">
        <v>214.45977624900002</v>
      </c>
      <c r="AW8" s="26">
        <f t="shared" si="16"/>
        <v>1.0643974737941354E-2</v>
      </c>
      <c r="AX8" s="27">
        <v>204.13087524900001</v>
      </c>
      <c r="AY8" s="26">
        <f t="shared" si="17"/>
        <v>1.0178469929559909E-2</v>
      </c>
      <c r="AZ8" s="27">
        <v>209.34376695699999</v>
      </c>
      <c r="BA8" s="26">
        <f t="shared" si="18"/>
        <v>1.0378123534681205E-2</v>
      </c>
    </row>
    <row r="9" spans="2:53" s="40" customFormat="1" x14ac:dyDescent="0.3">
      <c r="B9" s="77" t="s">
        <v>225</v>
      </c>
      <c r="C9" s="73" t="s">
        <v>716</v>
      </c>
      <c r="D9" s="27">
        <f t="shared" si="19"/>
        <v>1968.1651569170001</v>
      </c>
      <c r="E9" s="26">
        <f t="shared" ref="E9" si="27">D9/D$7</f>
        <v>0.10615153863853674</v>
      </c>
      <c r="F9" s="27">
        <f t="shared" si="21"/>
        <v>2564.4527350359995</v>
      </c>
      <c r="G9" s="26">
        <f t="shared" si="22"/>
        <v>0.13320948569807678</v>
      </c>
      <c r="H9" s="26">
        <f t="shared" si="23"/>
        <v>-0.2325204009309334</v>
      </c>
      <c r="I9" s="93">
        <f t="shared" si="24"/>
        <v>-2.7057947059540038E-2</v>
      </c>
      <c r="L9" s="152">
        <v>1968.1651569170001</v>
      </c>
      <c r="M9" s="26">
        <f t="shared" si="0"/>
        <v>0.10615153863853674</v>
      </c>
      <c r="N9" s="152">
        <v>1968.1651569170001</v>
      </c>
      <c r="O9" s="26">
        <f t="shared" si="1"/>
        <v>0.10615153863853674</v>
      </c>
      <c r="P9" s="152">
        <v>1883.1062347130003</v>
      </c>
      <c r="Q9" s="26">
        <f t="shared" si="2"/>
        <v>9.8747221782754968E-2</v>
      </c>
      <c r="R9" s="152">
        <v>2175.8039878779996</v>
      </c>
      <c r="S9" s="26">
        <f t="shared" si="3"/>
        <v>0.11471817236532172</v>
      </c>
      <c r="T9" s="152">
        <v>2276.265359341</v>
      </c>
      <c r="U9" s="26">
        <f t="shared" si="4"/>
        <v>0.11801067992189658</v>
      </c>
      <c r="V9" s="152">
        <v>2564.4527350359995</v>
      </c>
      <c r="W9" s="26">
        <f t="shared" si="5"/>
        <v>0.13320948569807678</v>
      </c>
      <c r="X9" s="152">
        <v>2564.4527350359995</v>
      </c>
      <c r="Y9" s="26">
        <f t="shared" si="6"/>
        <v>0.13320948569807678</v>
      </c>
      <c r="Z9" s="152">
        <v>2580.6665771350004</v>
      </c>
      <c r="AA9" s="26">
        <f t="shared" si="7"/>
        <v>0.1329466973494243</v>
      </c>
      <c r="AB9" s="152">
        <v>2852.561682005</v>
      </c>
      <c r="AC9" s="26">
        <f t="shared" si="8"/>
        <v>0.15039389330619257</v>
      </c>
      <c r="AD9" s="152">
        <v>2946.4668570250001</v>
      </c>
      <c r="AE9" s="26">
        <f t="shared" si="9"/>
        <v>0.15587654608618134</v>
      </c>
      <c r="AF9" s="303">
        <f t="shared" si="25"/>
        <v>3055.6090279720001</v>
      </c>
      <c r="AG9" s="26">
        <f t="shared" ref="AG9:AG19" si="28">AF9/$AF$7</f>
        <v>0.15569217169202557</v>
      </c>
      <c r="AH9" s="273">
        <v>3055.6090279720001</v>
      </c>
      <c r="AI9" s="26">
        <f t="shared" ref="AI9:AI19" si="29">AH9/$AH$7</f>
        <v>0.15569217169202557</v>
      </c>
      <c r="AJ9" s="27">
        <v>3193.1092513680001</v>
      </c>
      <c r="AK9" s="26">
        <f t="shared" si="11"/>
        <v>0.16360490859707205</v>
      </c>
      <c r="AL9" s="27">
        <v>3343.9769057899998</v>
      </c>
      <c r="AM9" s="26">
        <f t="shared" si="12"/>
        <v>0.16786826241492697</v>
      </c>
      <c r="AN9" s="27">
        <v>3431.4515202270004</v>
      </c>
      <c r="AO9" s="94">
        <f t="shared" si="13"/>
        <v>0.16836285448966332</v>
      </c>
      <c r="AP9" s="94"/>
      <c r="AQ9" s="67"/>
      <c r="AR9" s="152">
        <f t="shared" si="26"/>
        <v>3529.1111199980005</v>
      </c>
      <c r="AS9" s="26">
        <f t="shared" si="14"/>
        <v>0.17915481393131824</v>
      </c>
      <c r="AT9" s="27">
        <v>3529.1111199980005</v>
      </c>
      <c r="AU9" s="26">
        <f t="shared" si="15"/>
        <v>0.17915481393131824</v>
      </c>
      <c r="AV9" s="27">
        <v>3504.6060306859995</v>
      </c>
      <c r="AW9" s="26">
        <f t="shared" si="16"/>
        <v>0.17393908876295694</v>
      </c>
      <c r="AX9" s="27">
        <v>3465.798740403</v>
      </c>
      <c r="AY9" s="26">
        <f t="shared" si="17"/>
        <v>0.17281329058168216</v>
      </c>
      <c r="AZ9" s="27">
        <v>3596.3581144320001</v>
      </c>
      <c r="BA9" s="26">
        <f t="shared" si="18"/>
        <v>0.17828784362227915</v>
      </c>
    </row>
    <row r="10" spans="2:53" s="40" customFormat="1" x14ac:dyDescent="0.3">
      <c r="B10" s="136" t="s">
        <v>234</v>
      </c>
      <c r="C10" s="128" t="s">
        <v>717</v>
      </c>
      <c r="D10" s="27">
        <f t="shared" si="19"/>
        <v>0</v>
      </c>
      <c r="E10" s="26">
        <f t="shared" ref="E10" si="30">D10/D$7</f>
        <v>0</v>
      </c>
      <c r="F10" s="27">
        <f t="shared" si="21"/>
        <v>0</v>
      </c>
      <c r="G10" s="26">
        <f t="shared" si="22"/>
        <v>0</v>
      </c>
      <c r="H10" s="26">
        <f t="shared" si="23"/>
        <v>0</v>
      </c>
      <c r="I10" s="93">
        <f t="shared" si="24"/>
        <v>0</v>
      </c>
      <c r="L10" s="152">
        <v>0</v>
      </c>
      <c r="M10" s="26">
        <f t="shared" si="0"/>
        <v>0</v>
      </c>
      <c r="N10" s="152">
        <v>0</v>
      </c>
      <c r="O10" s="26">
        <f t="shared" si="1"/>
        <v>0</v>
      </c>
      <c r="P10" s="152">
        <v>0</v>
      </c>
      <c r="Q10" s="26">
        <f t="shared" si="2"/>
        <v>0</v>
      </c>
      <c r="R10" s="152">
        <v>0</v>
      </c>
      <c r="S10" s="26">
        <f t="shared" si="3"/>
        <v>0</v>
      </c>
      <c r="T10" s="152">
        <v>0</v>
      </c>
      <c r="U10" s="26">
        <f t="shared" si="4"/>
        <v>0</v>
      </c>
      <c r="V10" s="152">
        <v>0</v>
      </c>
      <c r="W10" s="26">
        <f t="shared" si="5"/>
        <v>0</v>
      </c>
      <c r="X10" s="152">
        <v>0</v>
      </c>
      <c r="Y10" s="26">
        <f t="shared" si="6"/>
        <v>0</v>
      </c>
      <c r="Z10" s="152">
        <v>0</v>
      </c>
      <c r="AA10" s="26">
        <f t="shared" si="7"/>
        <v>0</v>
      </c>
      <c r="AB10" s="152">
        <v>0</v>
      </c>
      <c r="AC10" s="26">
        <f t="shared" si="8"/>
        <v>0</v>
      </c>
      <c r="AD10" s="152">
        <v>0</v>
      </c>
      <c r="AE10" s="26">
        <f t="shared" si="9"/>
        <v>0</v>
      </c>
      <c r="AF10" s="303">
        <f t="shared" si="25"/>
        <v>0</v>
      </c>
      <c r="AG10" s="26">
        <f t="shared" si="28"/>
        <v>0</v>
      </c>
      <c r="AH10" s="273">
        <v>0</v>
      </c>
      <c r="AI10" s="26">
        <f t="shared" si="29"/>
        <v>0</v>
      </c>
      <c r="AJ10" s="27">
        <v>0</v>
      </c>
      <c r="AK10" s="26">
        <f t="shared" si="11"/>
        <v>0</v>
      </c>
      <c r="AL10" s="27">
        <v>0</v>
      </c>
      <c r="AM10" s="26">
        <f t="shared" si="12"/>
        <v>0</v>
      </c>
      <c r="AN10" s="27">
        <v>0</v>
      </c>
      <c r="AO10" s="94">
        <f t="shared" si="13"/>
        <v>0</v>
      </c>
      <c r="AP10" s="94"/>
      <c r="AQ10" s="67"/>
      <c r="AR10" s="152">
        <f t="shared" si="26"/>
        <v>1411.5529604769999</v>
      </c>
      <c r="AS10" s="26">
        <f t="shared" si="14"/>
        <v>7.1657281221737673E-2</v>
      </c>
      <c r="AT10" s="27">
        <v>1411.5529604769999</v>
      </c>
      <c r="AU10" s="26">
        <f t="shared" si="15"/>
        <v>7.1657281221737673E-2</v>
      </c>
      <c r="AV10" s="27">
        <v>1375.9364388689999</v>
      </c>
      <c r="AW10" s="26">
        <f t="shared" si="16"/>
        <v>6.8289881452316917E-2</v>
      </c>
      <c r="AX10" s="27">
        <v>1363.3048078019999</v>
      </c>
      <c r="AY10" s="26">
        <f t="shared" si="17"/>
        <v>6.7977746992514715E-2</v>
      </c>
      <c r="AZ10" s="27">
        <v>1353.837351486</v>
      </c>
      <c r="BA10" s="26">
        <f t="shared" si="18"/>
        <v>6.711588065802461E-2</v>
      </c>
    </row>
    <row r="11" spans="2:53" s="40" customFormat="1" x14ac:dyDescent="0.3">
      <c r="B11" s="136" t="s">
        <v>235</v>
      </c>
      <c r="C11" s="128" t="s">
        <v>718</v>
      </c>
      <c r="D11" s="27">
        <f t="shared" si="19"/>
        <v>426.80863485399993</v>
      </c>
      <c r="E11" s="26">
        <f t="shared" ref="E11" si="31">D11/D$7</f>
        <v>2.301960947471245E-2</v>
      </c>
      <c r="F11" s="27">
        <f t="shared" si="21"/>
        <v>442.086618429</v>
      </c>
      <c r="G11" s="26">
        <f t="shared" si="22"/>
        <v>2.296401500030076E-2</v>
      </c>
      <c r="H11" s="26">
        <f t="shared" si="23"/>
        <v>-3.455880123513333E-2</v>
      </c>
      <c r="I11" s="93">
        <f t="shared" si="24"/>
        <v>5.5594474411689576E-5</v>
      </c>
      <c r="L11" s="152">
        <v>426.80863485399993</v>
      </c>
      <c r="M11" s="26">
        <f t="shared" si="0"/>
        <v>2.301960947471245E-2</v>
      </c>
      <c r="N11" s="152">
        <v>426.80863485399993</v>
      </c>
      <c r="O11" s="26">
        <f t="shared" si="1"/>
        <v>2.301960947471245E-2</v>
      </c>
      <c r="P11" s="152">
        <v>436.33638984700002</v>
      </c>
      <c r="Q11" s="26">
        <f t="shared" si="2"/>
        <v>2.2880815466406829E-2</v>
      </c>
      <c r="R11" s="152">
        <v>442.03242677600002</v>
      </c>
      <c r="S11" s="26">
        <f t="shared" si="3"/>
        <v>2.3305937671070195E-2</v>
      </c>
      <c r="T11" s="152">
        <v>442.94865577999997</v>
      </c>
      <c r="U11" s="26">
        <f t="shared" si="4"/>
        <v>2.2964225952206797E-2</v>
      </c>
      <c r="V11" s="152">
        <v>442.086618429</v>
      </c>
      <c r="W11" s="26">
        <f t="shared" si="5"/>
        <v>2.296401500030076E-2</v>
      </c>
      <c r="X11" s="152">
        <v>442.086618429</v>
      </c>
      <c r="Y11" s="26">
        <f t="shared" si="6"/>
        <v>2.296401500030076E-2</v>
      </c>
      <c r="Z11" s="152">
        <v>441.68003826099994</v>
      </c>
      <c r="AA11" s="26">
        <f t="shared" si="7"/>
        <v>2.275377334376797E-2</v>
      </c>
      <c r="AB11" s="152">
        <v>439.19718007399996</v>
      </c>
      <c r="AC11" s="26">
        <f t="shared" si="8"/>
        <v>2.3155528680453622E-2</v>
      </c>
      <c r="AD11" s="152">
        <v>429.50817320799996</v>
      </c>
      <c r="AE11" s="26">
        <f t="shared" si="9"/>
        <v>2.2722214029261795E-2</v>
      </c>
      <c r="AF11" s="303">
        <f t="shared" si="25"/>
        <v>417.48176951300002</v>
      </c>
      <c r="AG11" s="26">
        <f t="shared" si="28"/>
        <v>2.1271911014233414E-2</v>
      </c>
      <c r="AH11" s="273">
        <v>417.48176951300002</v>
      </c>
      <c r="AI11" s="26">
        <f t="shared" si="29"/>
        <v>2.1271911014233414E-2</v>
      </c>
      <c r="AJ11" s="27">
        <v>409.92318104799995</v>
      </c>
      <c r="AK11" s="26">
        <f t="shared" si="11"/>
        <v>2.1003178810260467E-2</v>
      </c>
      <c r="AL11" s="27">
        <v>396.70269208299999</v>
      </c>
      <c r="AM11" s="26">
        <f t="shared" si="12"/>
        <v>1.9914548901337141E-2</v>
      </c>
      <c r="AN11" s="27">
        <v>385.92775622400001</v>
      </c>
      <c r="AO11" s="94">
        <f t="shared" si="13"/>
        <v>1.8935397537064792E-2</v>
      </c>
      <c r="AP11" s="94"/>
      <c r="AQ11" s="67"/>
      <c r="AR11" s="152">
        <f t="shared" si="26"/>
        <v>370.47107947799998</v>
      </c>
      <c r="AS11" s="26">
        <f t="shared" si="14"/>
        <v>1.8806910594204612E-2</v>
      </c>
      <c r="AT11" s="27">
        <v>370.47107947799998</v>
      </c>
      <c r="AU11" s="26">
        <f t="shared" si="15"/>
        <v>1.8806910594204612E-2</v>
      </c>
      <c r="AV11" s="27">
        <v>360.92766280299998</v>
      </c>
      <c r="AW11" s="26">
        <f t="shared" si="16"/>
        <v>1.791340545202709E-2</v>
      </c>
      <c r="AX11" s="27">
        <v>360.29730253899999</v>
      </c>
      <c r="AY11" s="26">
        <f t="shared" si="17"/>
        <v>1.7965313944406484E-2</v>
      </c>
      <c r="AZ11" s="27">
        <v>362.95703444999998</v>
      </c>
      <c r="BA11" s="26">
        <f t="shared" si="18"/>
        <v>1.7993432506052877E-2</v>
      </c>
    </row>
    <row r="12" spans="2:53" s="40" customFormat="1" x14ac:dyDescent="0.3">
      <c r="B12" s="136" t="s">
        <v>236</v>
      </c>
      <c r="C12" s="128" t="s">
        <v>719</v>
      </c>
      <c r="D12" s="27">
        <f t="shared" si="19"/>
        <v>1560.2538762690001</v>
      </c>
      <c r="E12" s="26">
        <f t="shared" ref="E12" si="32">D12/D$7</f>
        <v>8.4151144049381232E-2</v>
      </c>
      <c r="F12" s="27">
        <f t="shared" si="21"/>
        <v>2142.1690243809999</v>
      </c>
      <c r="G12" s="26">
        <f t="shared" si="22"/>
        <v>0.11127412493026045</v>
      </c>
      <c r="H12" s="26">
        <f t="shared" si="23"/>
        <v>-0.27164763447186413</v>
      </c>
      <c r="I12" s="93">
        <f t="shared" si="24"/>
        <v>-2.7122980880879222E-2</v>
      </c>
      <c r="L12" s="152">
        <v>1560.2538762690001</v>
      </c>
      <c r="M12" s="26">
        <f t="shared" si="0"/>
        <v>8.4151144049381232E-2</v>
      </c>
      <c r="N12" s="152">
        <v>1560.2538762690001</v>
      </c>
      <c r="O12" s="26">
        <f t="shared" si="1"/>
        <v>8.4151144049381232E-2</v>
      </c>
      <c r="P12" s="152">
        <v>1464.2028042060001</v>
      </c>
      <c r="Q12" s="26">
        <f t="shared" si="2"/>
        <v>7.6780564142679739E-2</v>
      </c>
      <c r="R12" s="152">
        <v>1753.4168162720002</v>
      </c>
      <c r="S12" s="26">
        <f t="shared" si="3"/>
        <v>9.2448020905375641E-2</v>
      </c>
      <c r="T12" s="152">
        <v>1853.0304517750003</v>
      </c>
      <c r="U12" s="26">
        <f t="shared" si="4"/>
        <v>9.6068493347039347E-2</v>
      </c>
      <c r="V12" s="152">
        <v>2142.1690243809999</v>
      </c>
      <c r="W12" s="26">
        <f t="shared" si="5"/>
        <v>0.11127412493026045</v>
      </c>
      <c r="X12" s="152">
        <v>2142.1690243809999</v>
      </c>
      <c r="Y12" s="26">
        <f t="shared" si="6"/>
        <v>0.11127412493026045</v>
      </c>
      <c r="Z12" s="152">
        <v>2156.8487544070003</v>
      </c>
      <c r="AA12" s="26">
        <f t="shared" si="7"/>
        <v>0.11111312136222157</v>
      </c>
      <c r="AB12" s="152">
        <v>2433.7840518260005</v>
      </c>
      <c r="AC12" s="26">
        <f t="shared" si="8"/>
        <v>0.12831493226935628</v>
      </c>
      <c r="AD12" s="152">
        <v>2537.4111087299998</v>
      </c>
      <c r="AE12" s="26">
        <f t="shared" si="9"/>
        <v>0.13423632398461571</v>
      </c>
      <c r="AF12" s="303">
        <f t="shared" si="25"/>
        <v>2656.4603713730003</v>
      </c>
      <c r="AG12" s="26">
        <f t="shared" si="28"/>
        <v>0.13535438612948655</v>
      </c>
      <c r="AH12" s="273">
        <v>2656.4603713730003</v>
      </c>
      <c r="AI12" s="26">
        <f t="shared" si="29"/>
        <v>0.13535438612948655</v>
      </c>
      <c r="AJ12" s="27">
        <v>2801.5455135950006</v>
      </c>
      <c r="AK12" s="26">
        <f t="shared" si="11"/>
        <v>0.14354241010885591</v>
      </c>
      <c r="AL12" s="27">
        <v>2969.0994330819999</v>
      </c>
      <c r="AM12" s="26">
        <f t="shared" si="12"/>
        <v>0.14904934358416902</v>
      </c>
      <c r="AN12" s="27">
        <v>3066.3022208149996</v>
      </c>
      <c r="AO12" s="94">
        <f t="shared" si="13"/>
        <v>0.15044694397729849</v>
      </c>
      <c r="AP12" s="94"/>
      <c r="AQ12" s="67"/>
      <c r="AR12" s="152">
        <f t="shared" si="26"/>
        <v>1757.542211531</v>
      </c>
      <c r="AS12" s="26">
        <f t="shared" si="14"/>
        <v>8.9221375348320642E-2</v>
      </c>
      <c r="AT12" s="27">
        <v>1757.542211531</v>
      </c>
      <c r="AU12" s="26">
        <f t="shared" si="15"/>
        <v>8.9221375348320642E-2</v>
      </c>
      <c r="AV12" s="27">
        <v>1777.8652010000001</v>
      </c>
      <c r="AW12" s="26">
        <f t="shared" si="16"/>
        <v>8.8238235709701129E-2</v>
      </c>
      <c r="AX12" s="27">
        <v>1752.9993139800001</v>
      </c>
      <c r="AY12" s="26">
        <f t="shared" si="17"/>
        <v>8.7408878162697184E-2</v>
      </c>
      <c r="AZ12" s="27">
        <v>1890.5330157889998</v>
      </c>
      <c r="BA12" s="26">
        <f t="shared" si="18"/>
        <v>9.3722327965378188E-2</v>
      </c>
    </row>
    <row r="13" spans="2:53" s="40" customFormat="1" x14ac:dyDescent="0.3">
      <c r="B13" s="136" t="s">
        <v>237</v>
      </c>
      <c r="C13" s="128" t="s">
        <v>720</v>
      </c>
      <c r="D13" s="27">
        <f t="shared" si="19"/>
        <v>-18.897354205999999</v>
      </c>
      <c r="E13" s="26">
        <f t="shared" ref="E13" si="33">D13/D$7</f>
        <v>-1.0192148855569434E-3</v>
      </c>
      <c r="F13" s="27">
        <f t="shared" si="21"/>
        <v>-19.802907773999998</v>
      </c>
      <c r="G13" s="26">
        <f t="shared" si="22"/>
        <v>-1.0286542324844038E-3</v>
      </c>
      <c r="H13" s="26">
        <f t="shared" si="23"/>
        <v>4.5728313151512712E-2</v>
      </c>
      <c r="I13" s="93">
        <f t="shared" si="24"/>
        <v>9.439346927460476E-6</v>
      </c>
      <c r="L13" s="152">
        <v>-18.897354205999999</v>
      </c>
      <c r="M13" s="26">
        <f t="shared" si="0"/>
        <v>-1.0192148855569434E-3</v>
      </c>
      <c r="N13" s="152">
        <v>-18.897354205999999</v>
      </c>
      <c r="O13" s="26">
        <f t="shared" si="1"/>
        <v>-1.0192148855569434E-3</v>
      </c>
      <c r="P13" s="152">
        <v>-17.43295934</v>
      </c>
      <c r="Q13" s="26">
        <f t="shared" si="2"/>
        <v>-9.14157826331605E-4</v>
      </c>
      <c r="R13" s="152">
        <v>-19.645255170000002</v>
      </c>
      <c r="S13" s="26">
        <f t="shared" si="3"/>
        <v>-1.0357862111240667E-3</v>
      </c>
      <c r="T13" s="152">
        <v>-19.713748213999999</v>
      </c>
      <c r="U13" s="26">
        <f t="shared" si="4"/>
        <v>-1.0220393773495453E-3</v>
      </c>
      <c r="V13" s="152">
        <v>-19.802907773999998</v>
      </c>
      <c r="W13" s="26">
        <f t="shared" si="5"/>
        <v>-1.0286542324844038E-3</v>
      </c>
      <c r="X13" s="152">
        <v>-19.802907773999998</v>
      </c>
      <c r="Y13" s="26">
        <f t="shared" si="6"/>
        <v>-1.0286542324844038E-3</v>
      </c>
      <c r="Z13" s="152">
        <v>-17.862215533000001</v>
      </c>
      <c r="AA13" s="26">
        <f t="shared" si="7"/>
        <v>-9.2019735656525669E-4</v>
      </c>
      <c r="AB13" s="152">
        <v>-20.419549894999999</v>
      </c>
      <c r="AC13" s="26">
        <f t="shared" si="8"/>
        <v>-1.0765676436172934E-3</v>
      </c>
      <c r="AD13" s="152">
        <v>-20.452424913000002</v>
      </c>
      <c r="AE13" s="26">
        <f t="shared" si="9"/>
        <v>-1.0819919276961879E-3</v>
      </c>
      <c r="AF13" s="303">
        <f t="shared" si="25"/>
        <v>-18.333112914000001</v>
      </c>
      <c r="AG13" s="26">
        <f t="shared" si="28"/>
        <v>-9.3412545169438313E-4</v>
      </c>
      <c r="AH13" s="273">
        <v>-18.333112914000001</v>
      </c>
      <c r="AI13" s="26">
        <f t="shared" si="29"/>
        <v>-9.3412545169438313E-4</v>
      </c>
      <c r="AJ13" s="27">
        <v>-18.359443274999997</v>
      </c>
      <c r="AK13" s="26">
        <f t="shared" si="11"/>
        <v>-9.406803220443061E-4</v>
      </c>
      <c r="AL13" s="27">
        <v>-21.825219375</v>
      </c>
      <c r="AM13" s="26">
        <f t="shared" si="12"/>
        <v>-1.095630070579181E-3</v>
      </c>
      <c r="AN13" s="27">
        <v>-20.778456811999998</v>
      </c>
      <c r="AO13" s="94">
        <f t="shared" si="13"/>
        <v>-1.019487024699998E-3</v>
      </c>
      <c r="AP13" s="94"/>
      <c r="AQ13" s="67"/>
      <c r="AR13" s="152">
        <f t="shared" si="26"/>
        <v>-10.455131487999999</v>
      </c>
      <c r="AS13" s="26">
        <f t="shared" si="14"/>
        <v>-5.3075323294472158E-4</v>
      </c>
      <c r="AT13" s="27">
        <v>-10.455131487999999</v>
      </c>
      <c r="AU13" s="26">
        <f t="shared" si="15"/>
        <v>-5.3075323294472158E-4</v>
      </c>
      <c r="AV13" s="27">
        <v>-10.123271986000002</v>
      </c>
      <c r="AW13" s="26">
        <f t="shared" si="16"/>
        <v>-5.0243385108817513E-4</v>
      </c>
      <c r="AX13" s="27">
        <v>-10.802683918</v>
      </c>
      <c r="AY13" s="26">
        <f t="shared" si="17"/>
        <v>-5.3864851793625017E-4</v>
      </c>
      <c r="AZ13" s="27">
        <v>-10.969287292999999</v>
      </c>
      <c r="BA13" s="26">
        <f t="shared" si="18"/>
        <v>-5.4379750717653834E-4</v>
      </c>
    </row>
    <row r="14" spans="2:53" s="40" customFormat="1" x14ac:dyDescent="0.3">
      <c r="B14" s="77" t="s">
        <v>227</v>
      </c>
      <c r="C14" s="73" t="s">
        <v>721</v>
      </c>
      <c r="D14" s="27">
        <f t="shared" si="19"/>
        <v>10477.783835034001</v>
      </c>
      <c r="E14" s="26">
        <f t="shared" ref="E14" si="34">D14/D$7</f>
        <v>0.56511155667092805</v>
      </c>
      <c r="F14" s="27">
        <f t="shared" si="21"/>
        <v>10702.955619533001</v>
      </c>
      <c r="G14" s="26">
        <f t="shared" si="22"/>
        <v>0.55596080756283373</v>
      </c>
      <c r="H14" s="26">
        <f t="shared" si="23"/>
        <v>-2.103828068651048E-2</v>
      </c>
      <c r="I14" s="93">
        <f t="shared" si="24"/>
        <v>9.1507491080943248E-3</v>
      </c>
      <c r="L14" s="152">
        <v>10477.783835034001</v>
      </c>
      <c r="M14" s="26">
        <f t="shared" si="0"/>
        <v>0.56511155667092805</v>
      </c>
      <c r="N14" s="152">
        <v>10477.783835034001</v>
      </c>
      <c r="O14" s="26">
        <f t="shared" si="1"/>
        <v>0.56511155667092805</v>
      </c>
      <c r="P14" s="152">
        <v>11149.599762985998</v>
      </c>
      <c r="Q14" s="26">
        <f t="shared" si="2"/>
        <v>0.58466802365631276</v>
      </c>
      <c r="R14" s="152">
        <v>10962.934023939002</v>
      </c>
      <c r="S14" s="26">
        <f t="shared" si="3"/>
        <v>0.57801518978482669</v>
      </c>
      <c r="T14" s="152">
        <v>11153.749694744001</v>
      </c>
      <c r="U14" s="26">
        <f t="shared" si="4"/>
        <v>0.57825489447173073</v>
      </c>
      <c r="V14" s="152">
        <v>10702.955619533001</v>
      </c>
      <c r="W14" s="26">
        <f t="shared" si="5"/>
        <v>0.55596080756283373</v>
      </c>
      <c r="X14" s="152">
        <v>10702.955619533001</v>
      </c>
      <c r="Y14" s="26">
        <f t="shared" si="6"/>
        <v>0.55596080756283373</v>
      </c>
      <c r="Z14" s="152">
        <v>10594.808093166001</v>
      </c>
      <c r="AA14" s="26">
        <f t="shared" si="7"/>
        <v>0.54580655924993882</v>
      </c>
      <c r="AB14" s="152">
        <v>10081.107249662</v>
      </c>
      <c r="AC14" s="26">
        <f t="shared" si="8"/>
        <v>0.53150015218892432</v>
      </c>
      <c r="AD14" s="152">
        <v>9823.7423424619992</v>
      </c>
      <c r="AE14" s="26">
        <f t="shared" si="9"/>
        <v>0.5197041406838252</v>
      </c>
      <c r="AF14" s="303">
        <f t="shared" si="25"/>
        <v>10092.952613593001</v>
      </c>
      <c r="AG14" s="26">
        <f t="shared" si="28"/>
        <v>0.51426530580645968</v>
      </c>
      <c r="AH14" s="273">
        <v>10092.952613593001</v>
      </c>
      <c r="AI14" s="26">
        <f t="shared" si="29"/>
        <v>0.51426530580645968</v>
      </c>
      <c r="AJ14" s="27">
        <v>9569.0635663529993</v>
      </c>
      <c r="AK14" s="26">
        <f t="shared" si="11"/>
        <v>0.49028882098601528</v>
      </c>
      <c r="AL14" s="27">
        <v>9728.1055097250028</v>
      </c>
      <c r="AM14" s="26">
        <f t="shared" si="12"/>
        <v>0.48835270533090458</v>
      </c>
      <c r="AN14" s="27">
        <v>9671.5053990300003</v>
      </c>
      <c r="AO14" s="94">
        <f t="shared" si="13"/>
        <v>0.47452870792275187</v>
      </c>
      <c r="AP14" s="94"/>
      <c r="AQ14" s="67"/>
      <c r="AR14" s="152">
        <f t="shared" si="26"/>
        <v>10072.905175115999</v>
      </c>
      <c r="AS14" s="26">
        <f t="shared" si="14"/>
        <v>0.51134956963235023</v>
      </c>
      <c r="AT14" s="27">
        <v>10072.905175115999</v>
      </c>
      <c r="AU14" s="26">
        <f t="shared" si="15"/>
        <v>0.51134956963235023</v>
      </c>
      <c r="AV14" s="27">
        <v>10483.369319729998</v>
      </c>
      <c r="AW14" s="26">
        <f t="shared" si="16"/>
        <v>0.52030604600724439</v>
      </c>
      <c r="AX14" s="27">
        <v>10588.874167545002</v>
      </c>
      <c r="AY14" s="26">
        <f t="shared" si="17"/>
        <v>0.52798743536851855</v>
      </c>
      <c r="AZ14" s="27">
        <v>10824.855219605999</v>
      </c>
      <c r="BA14" s="26">
        <f t="shared" si="18"/>
        <v>0.53663735179268612</v>
      </c>
    </row>
    <row r="15" spans="2:53" s="40" customFormat="1" x14ac:dyDescent="0.3">
      <c r="B15" s="77" t="s">
        <v>228</v>
      </c>
      <c r="C15" s="73" t="s">
        <v>722</v>
      </c>
      <c r="D15" s="27">
        <f t="shared" si="19"/>
        <v>396.18289281200003</v>
      </c>
      <c r="E15" s="26">
        <f t="shared" ref="E15" si="35">D15/D$7</f>
        <v>2.1367832626473942E-2</v>
      </c>
      <c r="F15" s="27">
        <f t="shared" si="21"/>
        <v>386.94512283299997</v>
      </c>
      <c r="G15" s="26">
        <f t="shared" si="22"/>
        <v>2.0099711763741864E-2</v>
      </c>
      <c r="H15" s="26">
        <f t="shared" si="23"/>
        <v>2.3873591974402419E-2</v>
      </c>
      <c r="I15" s="93">
        <f t="shared" si="24"/>
        <v>1.2681208627320778E-3</v>
      </c>
      <c r="L15" s="152">
        <v>396.18289281200003</v>
      </c>
      <c r="M15" s="26">
        <f t="shared" si="0"/>
        <v>2.1367832626473942E-2</v>
      </c>
      <c r="N15" s="152">
        <v>396.18289281200003</v>
      </c>
      <c r="O15" s="26">
        <f t="shared" si="1"/>
        <v>2.1367832626473942E-2</v>
      </c>
      <c r="P15" s="152">
        <v>398.26560122699999</v>
      </c>
      <c r="Q15" s="26">
        <f t="shared" si="2"/>
        <v>2.088444131714037E-2</v>
      </c>
      <c r="R15" s="152">
        <v>378.92150524600004</v>
      </c>
      <c r="S15" s="26">
        <f t="shared" si="3"/>
        <v>1.9978446033703644E-2</v>
      </c>
      <c r="T15" s="152">
        <v>384.68399890499995</v>
      </c>
      <c r="U15" s="26">
        <f t="shared" si="4"/>
        <v>1.9943553628121797E-2</v>
      </c>
      <c r="V15" s="152">
        <v>386.94512283299997</v>
      </c>
      <c r="W15" s="26">
        <f t="shared" si="5"/>
        <v>2.0099711763741864E-2</v>
      </c>
      <c r="X15" s="152">
        <v>386.94512283299997</v>
      </c>
      <c r="Y15" s="26">
        <f t="shared" si="6"/>
        <v>2.0099711763741864E-2</v>
      </c>
      <c r="Z15" s="152">
        <v>394.92046182599995</v>
      </c>
      <c r="AA15" s="26">
        <f t="shared" si="7"/>
        <v>2.0344887472353822E-2</v>
      </c>
      <c r="AB15" s="152">
        <v>389.29908198000004</v>
      </c>
      <c r="AC15" s="26">
        <f t="shared" si="8"/>
        <v>2.052478127601667E-2</v>
      </c>
      <c r="AD15" s="152">
        <v>394.63022566499995</v>
      </c>
      <c r="AE15" s="26">
        <f t="shared" si="9"/>
        <v>2.0877070587510288E-2</v>
      </c>
      <c r="AF15" s="303">
        <f t="shared" si="25"/>
        <v>393.30531675999998</v>
      </c>
      <c r="AG15" s="26">
        <f t="shared" si="28"/>
        <v>2.0040050393824647E-2</v>
      </c>
      <c r="AH15" s="273">
        <v>393.30531675999998</v>
      </c>
      <c r="AI15" s="26">
        <f t="shared" si="29"/>
        <v>2.0040050393824647E-2</v>
      </c>
      <c r="AJ15" s="27">
        <v>389.55488472599995</v>
      </c>
      <c r="AK15" s="26">
        <f t="shared" si="11"/>
        <v>1.99595711552417E-2</v>
      </c>
      <c r="AL15" s="27">
        <v>399.05438340100005</v>
      </c>
      <c r="AM15" s="26">
        <f t="shared" si="12"/>
        <v>2.0032604242749757E-2</v>
      </c>
      <c r="AN15" s="27">
        <v>394.46178231599998</v>
      </c>
      <c r="AO15" s="94">
        <f t="shared" si="13"/>
        <v>1.9354116258477275E-2</v>
      </c>
      <c r="AP15" s="94"/>
      <c r="AQ15" s="67"/>
      <c r="AR15" s="152">
        <f t="shared" si="26"/>
        <v>371.61780742100001</v>
      </c>
      <c r="AS15" s="26">
        <f t="shared" si="14"/>
        <v>1.8865124071840343E-2</v>
      </c>
      <c r="AT15" s="27">
        <v>371.61780742100001</v>
      </c>
      <c r="AU15" s="26">
        <f t="shared" si="15"/>
        <v>1.8865124071840343E-2</v>
      </c>
      <c r="AV15" s="27">
        <v>381.37392423899996</v>
      </c>
      <c r="AW15" s="26">
        <f t="shared" si="16"/>
        <v>1.8928185444884345E-2</v>
      </c>
      <c r="AX15" s="27">
        <v>368.53626234899997</v>
      </c>
      <c r="AY15" s="26">
        <f t="shared" si="17"/>
        <v>1.8376128842322561E-2</v>
      </c>
      <c r="AZ15" s="27">
        <v>367.84670048800001</v>
      </c>
      <c r="BA15" s="26">
        <f t="shared" si="18"/>
        <v>1.8235835511039994E-2</v>
      </c>
    </row>
    <row r="16" spans="2:53" s="40" customFormat="1" x14ac:dyDescent="0.3">
      <c r="B16" s="77" t="s">
        <v>229</v>
      </c>
      <c r="C16" s="73" t="s">
        <v>723</v>
      </c>
      <c r="D16" s="27">
        <f t="shared" si="19"/>
        <v>3676.0507762410002</v>
      </c>
      <c r="E16" s="26">
        <f t="shared" ref="E16" si="36">D16/D$7</f>
        <v>0.19826509205285434</v>
      </c>
      <c r="F16" s="27">
        <f t="shared" si="21"/>
        <v>3422.705295153</v>
      </c>
      <c r="G16" s="26">
        <f t="shared" si="22"/>
        <v>0.17779107637053598</v>
      </c>
      <c r="H16" s="26">
        <f t="shared" si="23"/>
        <v>7.4019075333996875E-2</v>
      </c>
      <c r="I16" s="93">
        <f t="shared" si="24"/>
        <v>2.0474015682318353E-2</v>
      </c>
      <c r="L16" s="152">
        <v>3676.0507762410002</v>
      </c>
      <c r="M16" s="26">
        <f t="shared" si="0"/>
        <v>0.19826509205285434</v>
      </c>
      <c r="N16" s="152">
        <v>3676.0507762410002</v>
      </c>
      <c r="O16" s="26">
        <f t="shared" si="1"/>
        <v>0.19826509205285434</v>
      </c>
      <c r="P16" s="152">
        <v>3661.8100835240002</v>
      </c>
      <c r="Q16" s="26">
        <f t="shared" si="2"/>
        <v>0.19201974151988432</v>
      </c>
      <c r="R16" s="152">
        <v>3585.5642833270003</v>
      </c>
      <c r="S16" s="26">
        <f t="shared" si="3"/>
        <v>0.18904707582726976</v>
      </c>
      <c r="T16" s="152">
        <v>3454.4992487919999</v>
      </c>
      <c r="U16" s="26">
        <f t="shared" si="4"/>
        <v>0.1790950266262667</v>
      </c>
      <c r="V16" s="152">
        <v>3422.705295153</v>
      </c>
      <c r="W16" s="26">
        <f t="shared" si="5"/>
        <v>0.17779107637053598</v>
      </c>
      <c r="X16" s="152">
        <v>3422.705295153</v>
      </c>
      <c r="Y16" s="26">
        <f t="shared" si="6"/>
        <v>0.17779107637053598</v>
      </c>
      <c r="Z16" s="152">
        <v>3887.6711011899997</v>
      </c>
      <c r="AA16" s="26">
        <f t="shared" si="7"/>
        <v>0.2002788883551973</v>
      </c>
      <c r="AB16" s="152">
        <v>3755.5016645260002</v>
      </c>
      <c r="AC16" s="26">
        <f t="shared" si="8"/>
        <v>0.19799905474750815</v>
      </c>
      <c r="AD16" s="152">
        <v>4129.0754591550003</v>
      </c>
      <c r="AE16" s="26">
        <f t="shared" si="9"/>
        <v>0.2184399324118492</v>
      </c>
      <c r="AF16" s="303">
        <f t="shared" si="25"/>
        <v>3717.2290351090001</v>
      </c>
      <c r="AG16" s="26">
        <f t="shared" si="28"/>
        <v>0.18940363634705046</v>
      </c>
      <c r="AH16" s="273">
        <v>3717.2290351090001</v>
      </c>
      <c r="AI16" s="26">
        <f t="shared" si="29"/>
        <v>0.18940363634705046</v>
      </c>
      <c r="AJ16" s="27">
        <v>4332.1379680190003</v>
      </c>
      <c r="AK16" s="26">
        <f t="shared" si="11"/>
        <v>0.22196516952371911</v>
      </c>
      <c r="AL16" s="27">
        <v>4303.7788078680005</v>
      </c>
      <c r="AM16" s="26">
        <f t="shared" si="12"/>
        <v>0.21605049635482074</v>
      </c>
      <c r="AN16" s="27">
        <v>4621.9916828170008</v>
      </c>
      <c r="AO16" s="94">
        <f t="shared" si="13"/>
        <v>0.22677625155405795</v>
      </c>
      <c r="AP16" s="94"/>
      <c r="AQ16" s="67"/>
      <c r="AR16" s="152">
        <f t="shared" si="26"/>
        <v>3241.9289972769998</v>
      </c>
      <c r="AS16" s="26">
        <f t="shared" si="14"/>
        <v>0.16457605514162305</v>
      </c>
      <c r="AT16" s="27">
        <v>3241.9289972769998</v>
      </c>
      <c r="AU16" s="26">
        <f t="shared" si="15"/>
        <v>0.16457605514162305</v>
      </c>
      <c r="AV16" s="27">
        <v>3336.4983829170001</v>
      </c>
      <c r="AW16" s="26">
        <f t="shared" si="16"/>
        <v>0.16559564279185579</v>
      </c>
      <c r="AX16" s="27">
        <v>3313.7580603800002</v>
      </c>
      <c r="AY16" s="26">
        <f t="shared" si="17"/>
        <v>0.16523216652195211</v>
      </c>
      <c r="AZ16" s="27">
        <v>3044.9946179500002</v>
      </c>
      <c r="BA16" s="26">
        <f t="shared" si="18"/>
        <v>0.15095424510066993</v>
      </c>
    </row>
    <row r="17" spans="2:53" s="40" customFormat="1" x14ac:dyDescent="0.3">
      <c r="B17" s="77" t="s">
        <v>230</v>
      </c>
      <c r="C17" s="73" t="s">
        <v>724</v>
      </c>
      <c r="D17" s="27">
        <f t="shared" si="19"/>
        <v>1426.522367029</v>
      </c>
      <c r="E17" s="26">
        <f t="shared" ref="E17" si="37">D17/D$7</f>
        <v>7.6938433560940059E-2</v>
      </c>
      <c r="F17" s="27">
        <f t="shared" si="21"/>
        <v>1411.777236976</v>
      </c>
      <c r="G17" s="26">
        <f t="shared" si="22"/>
        <v>7.3334211657905574E-2</v>
      </c>
      <c r="H17" s="26">
        <f t="shared" si="23"/>
        <v>1.0444374414609214E-2</v>
      </c>
      <c r="I17" s="93">
        <f t="shared" si="24"/>
        <v>3.6042219030344852E-3</v>
      </c>
      <c r="L17" s="152">
        <v>1426.522367029</v>
      </c>
      <c r="M17" s="26">
        <f t="shared" si="0"/>
        <v>7.6938433560940059E-2</v>
      </c>
      <c r="N17" s="152">
        <v>1426.522367029</v>
      </c>
      <c r="O17" s="26">
        <f t="shared" si="1"/>
        <v>7.6938433560940059E-2</v>
      </c>
      <c r="P17" s="152">
        <v>1405.4786030290002</v>
      </c>
      <c r="Q17" s="26">
        <f t="shared" si="2"/>
        <v>7.3701156507175763E-2</v>
      </c>
      <c r="R17" s="152">
        <v>1320.0786683260001</v>
      </c>
      <c r="S17" s="26">
        <f t="shared" si="3"/>
        <v>6.9600484718524078E-2</v>
      </c>
      <c r="T17" s="152">
        <v>1446.255602857</v>
      </c>
      <c r="U17" s="26">
        <f t="shared" si="4"/>
        <v>7.4979661898214978E-2</v>
      </c>
      <c r="V17" s="152">
        <v>1411.777236976</v>
      </c>
      <c r="W17" s="26">
        <f t="shared" si="5"/>
        <v>7.3334211657905574E-2</v>
      </c>
      <c r="X17" s="152">
        <v>1411.777236976</v>
      </c>
      <c r="Y17" s="26">
        <f t="shared" si="6"/>
        <v>7.3334211657905574E-2</v>
      </c>
      <c r="Z17" s="152">
        <v>1375.9066407340001</v>
      </c>
      <c r="AA17" s="26">
        <f t="shared" si="7"/>
        <v>7.0881781229484686E-2</v>
      </c>
      <c r="AB17" s="152">
        <v>1364.8440225219997</v>
      </c>
      <c r="AC17" s="26">
        <f t="shared" si="8"/>
        <v>7.1957850236035154E-2</v>
      </c>
      <c r="AD17" s="152">
        <v>1340.3858056280001</v>
      </c>
      <c r="AE17" s="26">
        <f t="shared" si="9"/>
        <v>7.0910252835897927E-2</v>
      </c>
      <c r="AF17" s="303">
        <f t="shared" si="25"/>
        <v>1339.8656061640002</v>
      </c>
      <c r="AG17" s="26">
        <f t="shared" si="28"/>
        <v>6.8270051596744069E-2</v>
      </c>
      <c r="AH17" s="273">
        <v>1339.8656061640002</v>
      </c>
      <c r="AI17" s="26">
        <f t="shared" si="29"/>
        <v>6.8270051596744069E-2</v>
      </c>
      <c r="AJ17" s="27">
        <v>1771.0100961000001</v>
      </c>
      <c r="AK17" s="26">
        <f t="shared" si="11"/>
        <v>9.0741005736900041E-2</v>
      </c>
      <c r="AL17" s="27">
        <v>1860.1857457210001</v>
      </c>
      <c r="AM17" s="26">
        <f t="shared" si="12"/>
        <v>9.3381670298774977E-2</v>
      </c>
      <c r="AN17" s="27">
        <v>1918.937218196</v>
      </c>
      <c r="AO17" s="94">
        <f t="shared" si="13"/>
        <v>9.4151919599481895E-2</v>
      </c>
      <c r="AP17" s="94"/>
      <c r="AQ17" s="67"/>
      <c r="AR17" s="152">
        <f t="shared" si="26"/>
        <v>1915.8300981469997</v>
      </c>
      <c r="AS17" s="26">
        <f t="shared" si="14"/>
        <v>9.7256836944748667E-2</v>
      </c>
      <c r="AT17" s="27">
        <v>1915.8300981469997</v>
      </c>
      <c r="AU17" s="26">
        <f t="shared" si="15"/>
        <v>9.7256836944748667E-2</v>
      </c>
      <c r="AV17" s="27">
        <v>2151.7913300610003</v>
      </c>
      <c r="AW17" s="26">
        <f t="shared" si="16"/>
        <v>0.10679677540975382</v>
      </c>
      <c r="AX17" s="27">
        <v>2037.3059521350001</v>
      </c>
      <c r="AY17" s="26">
        <f t="shared" si="17"/>
        <v>0.10158510977736623</v>
      </c>
      <c r="AZ17" s="27">
        <v>2051.0913605169999</v>
      </c>
      <c r="BA17" s="26">
        <f t="shared" si="18"/>
        <v>0.10168193603172858</v>
      </c>
    </row>
    <row r="18" spans="2:53" s="40" customFormat="1" x14ac:dyDescent="0.3">
      <c r="B18" s="136" t="s">
        <v>238</v>
      </c>
      <c r="C18" s="128" t="s">
        <v>725</v>
      </c>
      <c r="D18" s="27">
        <f t="shared" si="19"/>
        <v>1417.0692702229999</v>
      </c>
      <c r="E18" s="26">
        <f t="shared" ref="E18" si="38">D18/D$7</f>
        <v>7.6428587744734364E-2</v>
      </c>
      <c r="F18" s="27">
        <f t="shared" si="21"/>
        <v>1325.2438333059999</v>
      </c>
      <c r="G18" s="26">
        <f t="shared" si="22"/>
        <v>6.883926813989881E-2</v>
      </c>
      <c r="H18" s="26">
        <f t="shared" si="23"/>
        <v>6.9289465537771155E-2</v>
      </c>
      <c r="I18" s="93">
        <f t="shared" si="24"/>
        <v>7.5893196048355538E-3</v>
      </c>
      <c r="L18" s="152">
        <v>1417.0692702229999</v>
      </c>
      <c r="M18" s="26">
        <f t="shared" si="0"/>
        <v>7.6428587744734364E-2</v>
      </c>
      <c r="N18" s="152">
        <v>1417.0692702229999</v>
      </c>
      <c r="O18" s="26">
        <f t="shared" si="1"/>
        <v>7.6428587744734364E-2</v>
      </c>
      <c r="P18" s="152">
        <v>1395.7232410270001</v>
      </c>
      <c r="Q18" s="26">
        <f t="shared" si="2"/>
        <v>7.3189600187396828E-2</v>
      </c>
      <c r="R18" s="152">
        <v>1311.5032918600002</v>
      </c>
      <c r="S18" s="26">
        <f t="shared" si="3"/>
        <v>6.9148352301723282E-2</v>
      </c>
      <c r="T18" s="152">
        <v>1435.3588391329999</v>
      </c>
      <c r="U18" s="26">
        <f t="shared" si="4"/>
        <v>7.4414730181998123E-2</v>
      </c>
      <c r="V18" s="152">
        <v>1325.2438333059999</v>
      </c>
      <c r="W18" s="26">
        <f t="shared" si="5"/>
        <v>6.883926813989881E-2</v>
      </c>
      <c r="X18" s="152">
        <v>1325.2438333059999</v>
      </c>
      <c r="Y18" s="26">
        <f t="shared" si="6"/>
        <v>6.883926813989881E-2</v>
      </c>
      <c r="Z18" s="152">
        <v>1292.8076916280002</v>
      </c>
      <c r="AA18" s="26">
        <f t="shared" si="7"/>
        <v>6.6600821056351608E-2</v>
      </c>
      <c r="AB18" s="152">
        <v>1282.9989044319998</v>
      </c>
      <c r="AC18" s="26">
        <f t="shared" si="8"/>
        <v>6.7642779317390392E-2</v>
      </c>
      <c r="AD18" s="152">
        <v>1261.6136460160001</v>
      </c>
      <c r="AE18" s="26">
        <f t="shared" si="9"/>
        <v>6.6742979703742086E-2</v>
      </c>
      <c r="AF18" s="303">
        <f t="shared" si="25"/>
        <v>1264.2315892460001</v>
      </c>
      <c r="AG18" s="26">
        <f t="shared" si="28"/>
        <v>6.4416278342392122E-2</v>
      </c>
      <c r="AH18" s="273">
        <v>1264.2315892460001</v>
      </c>
      <c r="AI18" s="26">
        <f t="shared" si="29"/>
        <v>6.4416278342392122E-2</v>
      </c>
      <c r="AJ18" s="27">
        <v>1698.576193673</v>
      </c>
      <c r="AK18" s="26">
        <f t="shared" si="11"/>
        <v>8.702971963517285E-2</v>
      </c>
      <c r="AL18" s="27">
        <v>1785.60793853</v>
      </c>
      <c r="AM18" s="26">
        <f t="shared" si="12"/>
        <v>8.9637850511565351E-2</v>
      </c>
      <c r="AN18" s="27">
        <v>1817.227107958</v>
      </c>
      <c r="AO18" s="94">
        <f t="shared" si="13"/>
        <v>8.9161551998719418E-2</v>
      </c>
      <c r="AP18" s="94"/>
      <c r="AQ18" s="67"/>
      <c r="AR18" s="152">
        <f t="shared" si="26"/>
        <v>1885.773233204</v>
      </c>
      <c r="AS18" s="26">
        <f t="shared" si="14"/>
        <v>9.5731004557179949E-2</v>
      </c>
      <c r="AT18" s="27">
        <v>1885.773233204</v>
      </c>
      <c r="AU18" s="26">
        <f t="shared" si="15"/>
        <v>9.5731004557179949E-2</v>
      </c>
      <c r="AV18" s="27">
        <v>2106.7627722950001</v>
      </c>
      <c r="AW18" s="26">
        <f t="shared" si="16"/>
        <v>0.10456193753138747</v>
      </c>
      <c r="AX18" s="27">
        <v>1984.4486173050002</v>
      </c>
      <c r="AY18" s="26">
        <f t="shared" si="17"/>
        <v>9.894951243096986E-2</v>
      </c>
      <c r="AZ18" s="27">
        <v>1992.0601144979998</v>
      </c>
      <c r="BA18" s="26">
        <f t="shared" si="18"/>
        <v>9.875548843552584E-2</v>
      </c>
    </row>
    <row r="19" spans="2:53" s="40" customFormat="1" x14ac:dyDescent="0.3">
      <c r="B19" s="77" t="s">
        <v>231</v>
      </c>
      <c r="C19" s="73" t="s">
        <v>726</v>
      </c>
      <c r="D19" s="27">
        <f t="shared" si="19"/>
        <v>69.213985925999992</v>
      </c>
      <c r="E19" s="26">
        <f t="shared" ref="E19" si="39">D19/D$7</f>
        <v>3.7330053707788332E-3</v>
      </c>
      <c r="F19" s="27">
        <f t="shared" si="21"/>
        <v>70.789973725999999</v>
      </c>
      <c r="G19" s="26">
        <f t="shared" si="22"/>
        <v>3.6771572600219722E-3</v>
      </c>
      <c r="H19" s="26">
        <f t="shared" si="23"/>
        <v>-2.2262867423853416E-2</v>
      </c>
      <c r="I19" s="93">
        <f t="shared" si="24"/>
        <v>5.5848110756860983E-5</v>
      </c>
      <c r="L19" s="152">
        <v>69.213985925999992</v>
      </c>
      <c r="M19" s="26">
        <f t="shared" si="0"/>
        <v>3.7330053707788332E-3</v>
      </c>
      <c r="N19" s="152">
        <v>69.213985925999992</v>
      </c>
      <c r="O19" s="26">
        <f t="shared" si="1"/>
        <v>3.7330053707788332E-3</v>
      </c>
      <c r="P19" s="152">
        <v>69.572991876000003</v>
      </c>
      <c r="Q19" s="26">
        <f t="shared" si="2"/>
        <v>3.6483016901679172E-3</v>
      </c>
      <c r="R19" s="152">
        <v>69.931997826000014</v>
      </c>
      <c r="S19" s="26">
        <f t="shared" si="3"/>
        <v>3.6871294588803768E-3</v>
      </c>
      <c r="T19" s="152">
        <v>70.291003776999986</v>
      </c>
      <c r="U19" s="26">
        <f t="shared" si="4"/>
        <v>3.644166139978458E-3</v>
      </c>
      <c r="V19" s="152">
        <v>70.789973725999999</v>
      </c>
      <c r="W19" s="26">
        <f t="shared" si="5"/>
        <v>3.6771572600219722E-3</v>
      </c>
      <c r="X19" s="152">
        <v>70.789973725999999</v>
      </c>
      <c r="Y19" s="26">
        <f t="shared" si="6"/>
        <v>3.6771572600219722E-3</v>
      </c>
      <c r="Z19" s="152">
        <v>71.009015676000004</v>
      </c>
      <c r="AA19" s="26">
        <f t="shared" si="7"/>
        <v>3.6581301125069164E-3</v>
      </c>
      <c r="AB19" s="152">
        <v>71.368021626000001</v>
      </c>
      <c r="AC19" s="26">
        <f t="shared" si="8"/>
        <v>3.7626932653566634E-3</v>
      </c>
      <c r="AD19" s="152">
        <v>71.795352577000003</v>
      </c>
      <c r="AE19" s="26">
        <f t="shared" si="9"/>
        <v>3.7981800331675763E-3</v>
      </c>
      <c r="AF19" s="303">
        <f t="shared" si="25"/>
        <v>72.222601030999996</v>
      </c>
      <c r="AG19" s="26">
        <f t="shared" si="28"/>
        <v>3.6799516878067533E-3</v>
      </c>
      <c r="AH19" s="273">
        <v>72.222601030999996</v>
      </c>
      <c r="AI19" s="26">
        <f t="shared" si="29"/>
        <v>3.6799516878067533E-3</v>
      </c>
      <c r="AJ19" s="27">
        <v>72.477810441000003</v>
      </c>
      <c r="AK19" s="26">
        <f t="shared" si="11"/>
        <v>3.713535810726051E-3</v>
      </c>
      <c r="AL19" s="27">
        <v>72.848279465000005</v>
      </c>
      <c r="AM19" s="26">
        <f t="shared" si="12"/>
        <v>3.6569971737940368E-3</v>
      </c>
      <c r="AN19" s="27">
        <v>73.207285415999991</v>
      </c>
      <c r="AO19" s="94">
        <f t="shared" si="13"/>
        <v>3.5918874183196673E-3</v>
      </c>
      <c r="AP19" s="94"/>
      <c r="AQ19" s="67"/>
      <c r="AR19" s="152">
        <f t="shared" si="26"/>
        <v>73.566291364999998</v>
      </c>
      <c r="AS19" s="26">
        <f t="shared" si="14"/>
        <v>3.7345821066470655E-3</v>
      </c>
      <c r="AT19" s="27">
        <v>73.566291364999998</v>
      </c>
      <c r="AU19" s="26">
        <f t="shared" si="15"/>
        <v>3.7345821066470655E-3</v>
      </c>
      <c r="AV19" s="27">
        <v>76.368470312000014</v>
      </c>
      <c r="AW19" s="26">
        <f t="shared" si="16"/>
        <v>3.7902868453633509E-3</v>
      </c>
      <c r="AX19" s="27">
        <v>76.759111028999996</v>
      </c>
      <c r="AY19" s="26">
        <f t="shared" si="17"/>
        <v>3.8273989785984333E-3</v>
      </c>
      <c r="AZ19" s="27">
        <v>77.149751746000007</v>
      </c>
      <c r="BA19" s="26">
        <f t="shared" si="18"/>
        <v>3.8246644069151372E-3</v>
      </c>
    </row>
    <row r="20" spans="2:53" s="133" customFormat="1" x14ac:dyDescent="0.3">
      <c r="B20" s="135" t="s">
        <v>232</v>
      </c>
      <c r="C20" s="110" t="s">
        <v>727</v>
      </c>
      <c r="D20" s="29">
        <f t="shared" si="19"/>
        <v>826.86254428100005</v>
      </c>
      <c r="E20" s="29"/>
      <c r="F20" s="29">
        <f t="shared" si="21"/>
        <v>1076.205519674</v>
      </c>
      <c r="G20" s="29"/>
      <c r="H20" s="44">
        <f t="shared" si="23"/>
        <v>-0.23168713673623409</v>
      </c>
      <c r="I20" s="44"/>
      <c r="L20" s="151">
        <v>826.86254428100005</v>
      </c>
      <c r="M20" s="29"/>
      <c r="N20" s="151">
        <v>826.86254428100005</v>
      </c>
      <c r="O20" s="29"/>
      <c r="P20" s="151">
        <v>803.20611659600002</v>
      </c>
      <c r="Q20" s="29"/>
      <c r="R20" s="151">
        <v>986.01964122000004</v>
      </c>
      <c r="S20" s="29"/>
      <c r="T20" s="151">
        <v>1151.2280363249999</v>
      </c>
      <c r="U20" s="29"/>
      <c r="V20" s="151">
        <v>1076.205519674</v>
      </c>
      <c r="W20" s="29"/>
      <c r="X20" s="151">
        <v>1076.205519674</v>
      </c>
      <c r="Y20" s="29"/>
      <c r="Z20" s="151">
        <v>963.21188026600009</v>
      </c>
      <c r="AA20" s="29"/>
      <c r="AB20" s="151">
        <v>968.70904637100011</v>
      </c>
      <c r="AC20" s="29"/>
      <c r="AD20" s="151">
        <v>943.55337004600005</v>
      </c>
      <c r="AE20" s="29"/>
      <c r="AF20" s="151">
        <f t="shared" si="25"/>
        <v>1180.864336588</v>
      </c>
      <c r="AG20" s="29"/>
      <c r="AH20" s="259">
        <v>1180.864336588</v>
      </c>
      <c r="AI20" s="29"/>
      <c r="AJ20" s="29">
        <v>820.97082114599993</v>
      </c>
      <c r="AK20" s="29"/>
      <c r="AL20" s="29">
        <v>833.77625574800004</v>
      </c>
      <c r="AM20" s="29"/>
      <c r="AN20" s="29">
        <v>828.14142890100015</v>
      </c>
      <c r="AO20" s="159"/>
      <c r="AP20" s="56"/>
      <c r="AQ20" s="242"/>
      <c r="AR20" s="151">
        <f t="shared" si="26"/>
        <v>1594.078616601</v>
      </c>
      <c r="AS20" s="29"/>
      <c r="AT20" s="29">
        <v>1594.078616601</v>
      </c>
      <c r="AU20" s="29"/>
      <c r="AV20" s="29">
        <v>1517.1954908359999</v>
      </c>
      <c r="AW20" s="29"/>
      <c r="AX20" s="29">
        <v>1473.8796604000001</v>
      </c>
      <c r="AY20" s="29"/>
      <c r="AZ20" s="29">
        <v>1408.012828312</v>
      </c>
      <c r="BA20" s="29"/>
    </row>
    <row r="21" spans="2:53" s="133" customFormat="1" x14ac:dyDescent="0.3">
      <c r="B21" s="135" t="s">
        <v>239</v>
      </c>
      <c r="C21" s="110" t="s">
        <v>728</v>
      </c>
      <c r="D21" s="29">
        <f t="shared" si="19"/>
        <v>13487.230093768998</v>
      </c>
      <c r="E21" s="29"/>
      <c r="F21" s="29">
        <f t="shared" si="21"/>
        <v>11956.206322363001</v>
      </c>
      <c r="G21" s="29"/>
      <c r="H21" s="44">
        <f t="shared" si="23"/>
        <v>0.1280526389497274</v>
      </c>
      <c r="I21" s="44"/>
      <c r="L21" s="151">
        <v>13487.230093768998</v>
      </c>
      <c r="M21" s="29"/>
      <c r="N21" s="151">
        <v>13487.230093768998</v>
      </c>
      <c r="O21" s="29"/>
      <c r="P21" s="151">
        <v>13292.290385648001</v>
      </c>
      <c r="Q21" s="29"/>
      <c r="R21" s="151">
        <v>12262.933405889</v>
      </c>
      <c r="S21" s="29"/>
      <c r="T21" s="151">
        <v>11774.721840636001</v>
      </c>
      <c r="U21" s="29"/>
      <c r="V21" s="151">
        <v>11956.206322363001</v>
      </c>
      <c r="W21" s="29"/>
      <c r="X21" s="151">
        <v>11956.206322363001</v>
      </c>
      <c r="Y21" s="29"/>
      <c r="Z21" s="151">
        <v>11858.153357918</v>
      </c>
      <c r="AA21" s="29"/>
      <c r="AB21" s="151">
        <v>12252.612986767999</v>
      </c>
      <c r="AC21" s="29"/>
      <c r="AD21" s="151">
        <v>12486.896880617</v>
      </c>
      <c r="AE21" s="29"/>
      <c r="AF21" s="151">
        <f t="shared" si="25"/>
        <v>12239.364230695001</v>
      </c>
      <c r="AG21" s="29"/>
      <c r="AH21" s="259">
        <v>12239.364230695001</v>
      </c>
      <c r="AI21" s="29"/>
      <c r="AJ21" s="29">
        <v>11772.891794899</v>
      </c>
      <c r="AK21" s="29"/>
      <c r="AL21" s="29">
        <v>12197.311984914</v>
      </c>
      <c r="AM21" s="29"/>
      <c r="AN21" s="29">
        <v>11941.203613066</v>
      </c>
      <c r="AO21" s="159"/>
      <c r="AP21" s="56"/>
      <c r="AQ21" s="242"/>
      <c r="AR21" s="151">
        <f t="shared" si="26"/>
        <v>15915.870728297003</v>
      </c>
      <c r="AS21" s="29"/>
      <c r="AT21" s="29">
        <v>15915.870728297003</v>
      </c>
      <c r="AU21" s="29"/>
      <c r="AV21" s="29">
        <v>17219.43906764</v>
      </c>
      <c r="AW21" s="29"/>
      <c r="AX21" s="29">
        <v>17503.257948594</v>
      </c>
      <c r="AY21" s="29"/>
      <c r="AZ21" s="29">
        <v>18902.253277810003</v>
      </c>
      <c r="BA21" s="29"/>
    </row>
    <row r="22" spans="2:53" s="133" customFormat="1" x14ac:dyDescent="0.3">
      <c r="B22" s="137" t="s">
        <v>240</v>
      </c>
      <c r="C22" s="118" t="s">
        <v>729</v>
      </c>
      <c r="D22" s="29">
        <f t="shared" si="19"/>
        <v>32855.181935106004</v>
      </c>
      <c r="E22" s="29"/>
      <c r="F22" s="29">
        <f t="shared" si="21"/>
        <v>32283.689043484999</v>
      </c>
      <c r="G22" s="29"/>
      <c r="H22" s="47">
        <f t="shared" si="23"/>
        <v>1.7702217700437561E-2</v>
      </c>
      <c r="I22" s="47"/>
      <c r="L22" s="261">
        <v>32855.181935106004</v>
      </c>
      <c r="M22" s="39"/>
      <c r="N22" s="261">
        <v>32855.181935106004</v>
      </c>
      <c r="O22" s="39"/>
      <c r="P22" s="261">
        <v>33165.463238683995</v>
      </c>
      <c r="Q22" s="39"/>
      <c r="R22" s="261">
        <v>32215.468491140997</v>
      </c>
      <c r="S22" s="39"/>
      <c r="T22" s="261">
        <v>32214.588505664004</v>
      </c>
      <c r="U22" s="39"/>
      <c r="V22" s="261">
        <v>32283.689043484999</v>
      </c>
      <c r="W22" s="39"/>
      <c r="X22" s="261">
        <v>32283.689043484999</v>
      </c>
      <c r="Y22" s="39"/>
      <c r="Z22" s="261">
        <v>32232.652833785</v>
      </c>
      <c r="AA22" s="39"/>
      <c r="AB22" s="261">
        <v>32188.592706805</v>
      </c>
      <c r="AC22" s="39"/>
      <c r="AD22" s="261">
        <v>32333.017256451996</v>
      </c>
      <c r="AE22" s="39"/>
      <c r="AF22" s="261">
        <f t="shared" si="25"/>
        <v>33046.193024997003</v>
      </c>
      <c r="AG22" s="39"/>
      <c r="AH22" s="260">
        <v>33046.193024997003</v>
      </c>
      <c r="AI22" s="39"/>
      <c r="AJ22" s="39">
        <v>32111.059738975</v>
      </c>
      <c r="AK22" s="39"/>
      <c r="AL22" s="39">
        <v>32951.333185620999</v>
      </c>
      <c r="AM22" s="39"/>
      <c r="AN22" s="39">
        <v>33150.631226668003</v>
      </c>
      <c r="AO22" s="263"/>
      <c r="AP22" s="56"/>
      <c r="AQ22" s="242"/>
      <c r="AR22" s="261">
        <f t="shared" si="26"/>
        <v>37208.616897035005</v>
      </c>
      <c r="AS22" s="39"/>
      <c r="AT22" s="39">
        <v>37208.616897035005</v>
      </c>
      <c r="AU22" s="39"/>
      <c r="AV22" s="39">
        <v>38885.101792669993</v>
      </c>
      <c r="AW22" s="39"/>
      <c r="AX22" s="39">
        <v>39032.300778084005</v>
      </c>
      <c r="AY22" s="39"/>
      <c r="AZ22" s="39">
        <v>40481.905637817996</v>
      </c>
      <c r="BA22" s="39"/>
    </row>
    <row r="23" spans="2:53" x14ac:dyDescent="0.3">
      <c r="B23" s="138"/>
      <c r="C23" s="37"/>
      <c r="D23" s="37"/>
      <c r="E23" s="37"/>
      <c r="F23" s="37"/>
      <c r="G23" s="37"/>
      <c r="H23" s="37"/>
      <c r="I23" s="37"/>
      <c r="L23" s="37"/>
      <c r="M23" s="130"/>
      <c r="N23" s="37"/>
      <c r="O23" s="130"/>
      <c r="P23" s="37"/>
      <c r="Q23" s="130"/>
      <c r="R23" s="37"/>
      <c r="S23" s="130"/>
      <c r="T23" s="37"/>
      <c r="U23" s="130"/>
      <c r="V23" s="37"/>
      <c r="W23" s="130"/>
      <c r="X23" s="37"/>
      <c r="Y23" s="130"/>
      <c r="Z23" s="37"/>
      <c r="AA23" s="130"/>
      <c r="AB23" s="37"/>
      <c r="AC23" s="130"/>
      <c r="AD23" s="37"/>
      <c r="AE23" s="130"/>
      <c r="AF23" s="37"/>
      <c r="AG23" s="37"/>
      <c r="AH23" s="37"/>
      <c r="AI23" s="130"/>
      <c r="AJ23" s="37"/>
      <c r="AK23" s="130"/>
      <c r="AL23" s="37"/>
      <c r="AM23" s="130"/>
      <c r="AN23" s="37"/>
      <c r="AO23" s="130" t="s">
        <v>784</v>
      </c>
      <c r="AP23" s="264"/>
      <c r="AQ23" s="40"/>
      <c r="AR23" s="164" t="s">
        <v>1559</v>
      </c>
      <c r="AS23" s="37"/>
      <c r="AT23" s="37"/>
      <c r="AU23" s="37"/>
      <c r="AV23" s="37"/>
      <c r="AW23" s="37"/>
      <c r="AX23" s="37"/>
      <c r="AY23" s="37"/>
      <c r="AZ23" s="37"/>
      <c r="BA23" s="37"/>
    </row>
    <row r="24" spans="2:53" x14ac:dyDescent="0.3">
      <c r="B24" s="235" t="s">
        <v>1606</v>
      </c>
      <c r="AP24" s="55"/>
    </row>
    <row r="25" spans="2:53" x14ac:dyDescent="0.3">
      <c r="B25" s="236" t="s">
        <v>1770</v>
      </c>
    </row>
    <row r="26" spans="2:53" x14ac:dyDescent="0.3">
      <c r="B26" s="233" t="s">
        <v>1771</v>
      </c>
    </row>
    <row r="27" spans="2:53" x14ac:dyDescent="0.3">
      <c r="B27" s="233" t="s">
        <v>782</v>
      </c>
    </row>
    <row r="28" spans="2:53" x14ac:dyDescent="0.3">
      <c r="B28" s="233" t="s">
        <v>783</v>
      </c>
      <c r="AR28" s="119"/>
      <c r="AS28" s="40"/>
    </row>
    <row r="29" spans="2:53" x14ac:dyDescent="0.3">
      <c r="B29" s="233" t="s">
        <v>785</v>
      </c>
    </row>
    <row r="30" spans="2:53" x14ac:dyDescent="0.3">
      <c r="B30" s="233" t="s">
        <v>788</v>
      </c>
    </row>
    <row r="31" spans="2:53" x14ac:dyDescent="0.3">
      <c r="B31" s="233" t="s">
        <v>787</v>
      </c>
    </row>
  </sheetData>
  <mergeCells count="27">
    <mergeCell ref="AD5:AE5"/>
    <mergeCell ref="AB5:AC5"/>
    <mergeCell ref="Z5:AA5"/>
    <mergeCell ref="AH5:AI5"/>
    <mergeCell ref="AF5:AG5"/>
    <mergeCell ref="AF4:AO4"/>
    <mergeCell ref="AJ5:AK5"/>
    <mergeCell ref="AL5:AM5"/>
    <mergeCell ref="AZ5:BA5"/>
    <mergeCell ref="AX5:AY5"/>
    <mergeCell ref="AV5:AW5"/>
    <mergeCell ref="AN5:AO5"/>
    <mergeCell ref="AR4:BA4"/>
    <mergeCell ref="AT5:AU5"/>
    <mergeCell ref="AR5:AS5"/>
    <mergeCell ref="X5:Y5"/>
    <mergeCell ref="V5:W5"/>
    <mergeCell ref="D4:E4"/>
    <mergeCell ref="F4:G4"/>
    <mergeCell ref="H4:I5"/>
    <mergeCell ref="D5:E5"/>
    <mergeCell ref="F5:G5"/>
    <mergeCell ref="R5:S5"/>
    <mergeCell ref="T5:U5"/>
    <mergeCell ref="P5:Q5"/>
    <mergeCell ref="N5:O5"/>
    <mergeCell ref="L5:M5"/>
  </mergeCells>
  <phoneticPr fontId="1" type="noConversion"/>
  <pageMargins left="0.23622047244094491" right="0.23622047244094491" top="0.78740157480314965" bottom="0.23622047244094491" header="0.31496062992125984" footer="0.31496062992125984"/>
  <pageSetup paperSize="9" scale="97" orientation="landscape" r:id="rId1"/>
  <ignoredErrors>
    <ignoredError sqref="AF7" formula="1"/>
    <ignoredError sqref="AG7" evalError="1"/>
  </ignoredErrors>
  <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BC43"/>
  <sheetViews>
    <sheetView showGridLines="0" view="pageBreakPreview" zoomScale="85" zoomScaleNormal="100" zoomScaleSheetLayoutView="85" workbookViewId="0">
      <pane xSplit="10" ySplit="6" topLeftCell="K7" activePane="bottomRight" state="frozen"/>
      <selection activeCell="G47" sqref="G47"/>
      <selection pane="topRight" activeCell="G47" sqref="G47"/>
      <selection pane="bottomLeft" activeCell="G47" sqref="G47"/>
      <selection pane="bottomRight" activeCell="B54" sqref="B54"/>
    </sheetView>
  </sheetViews>
  <sheetFormatPr defaultRowHeight="16.5" outlineLevelCol="3" x14ac:dyDescent="0.3"/>
  <cols>
    <col min="1" max="1" width="5" style="141" customWidth="1"/>
    <col min="2" max="2" width="30.5" style="61" customWidth="1"/>
    <col min="3" max="3" width="35.625" style="141" bestFit="1" customWidth="1"/>
    <col min="4" max="4" width="9.375" style="141" customWidth="1"/>
    <col min="5" max="9" width="7.5" style="141" customWidth="1"/>
    <col min="10" max="11" width="1.625" style="68" customWidth="1"/>
    <col min="12" max="12" width="7.25" style="141" hidden="1" customWidth="1" outlineLevel="2"/>
    <col min="13" max="13" width="7.5" style="141" hidden="1" customWidth="1" outlineLevel="2"/>
    <col min="14" max="14" width="7.25" style="141" hidden="1" customWidth="1" outlineLevel="2"/>
    <col min="15" max="15" width="7.5" style="141" hidden="1" customWidth="1" outlineLevel="2"/>
    <col min="16" max="16" width="7.25" style="141" hidden="1" customWidth="1" outlineLevel="2"/>
    <col min="17" max="17" width="7.5" style="141" hidden="1" customWidth="1" outlineLevel="2"/>
    <col min="18" max="18" width="7.25" style="141" hidden="1" customWidth="1" outlineLevel="2"/>
    <col min="19" max="19" width="7.5" style="141" hidden="1" customWidth="1" outlineLevel="2"/>
    <col min="20" max="20" width="7.25" style="141" hidden="1" customWidth="1" outlineLevel="2"/>
    <col min="21" max="21" width="7.5" style="141" hidden="1" customWidth="1" outlineLevel="2"/>
    <col min="22" max="22" width="7.25" style="141" hidden="1" customWidth="1" outlineLevel="2"/>
    <col min="23" max="23" width="7.5" style="141" hidden="1" customWidth="1" outlineLevel="2"/>
    <col min="24" max="24" width="7.25" style="141" hidden="1" customWidth="1" outlineLevel="2"/>
    <col min="25" max="25" width="7.5" style="141" hidden="1" customWidth="1" outlineLevel="2"/>
    <col min="26" max="26" width="7.25" style="141" hidden="1" customWidth="1" outlineLevel="2"/>
    <col min="27" max="27" width="7.5" style="141" hidden="1" customWidth="1" outlineLevel="2"/>
    <col min="28" max="28" width="7.25" style="141" hidden="1" customWidth="1" outlineLevel="2"/>
    <col min="29" max="29" width="7.5" style="141" hidden="1" customWidth="1" outlineLevel="2"/>
    <col min="30" max="30" width="7.25" style="141" hidden="1" customWidth="1" outlineLevel="2"/>
    <col min="31" max="31" width="7.5" style="141" hidden="1" customWidth="1" outlineLevel="2"/>
    <col min="32" max="32" width="7.25" style="141" hidden="1" customWidth="1" outlineLevel="3"/>
    <col min="33" max="33" width="7.5" style="141" hidden="1" customWidth="1" outlineLevel="3"/>
    <col min="34" max="34" width="7.25" style="141" hidden="1" customWidth="1" outlineLevel="3"/>
    <col min="35" max="35" width="7.5" style="141" hidden="1" customWidth="1" outlineLevel="3"/>
    <col min="36" max="36" width="7.25" style="141" hidden="1" customWidth="1" outlineLevel="3"/>
    <col min="37" max="37" width="7.5" style="141" hidden="1" customWidth="1" outlineLevel="3"/>
    <col min="38" max="38" width="7.25" style="141" hidden="1" customWidth="1" outlineLevel="3"/>
    <col min="39" max="39" width="7.5" style="141" hidden="1" customWidth="1" outlineLevel="3"/>
    <col min="40" max="40" width="7.25" style="141" hidden="1" customWidth="1" outlineLevel="3"/>
    <col min="41" max="41" width="7.5" style="141" hidden="1" customWidth="1" outlineLevel="3"/>
    <col min="42" max="42" width="0.75" style="68" hidden="1" customWidth="1" outlineLevel="3"/>
    <col min="43" max="43" width="9.875" style="369" hidden="1" customWidth="1" outlineLevel="3"/>
    <col min="44" max="53" width="7.5" style="369" hidden="1" customWidth="1" outlineLevel="3"/>
    <col min="54" max="54" width="9" style="369" hidden="1" customWidth="1" outlineLevel="1"/>
    <col min="55" max="55" width="9" style="369" collapsed="1"/>
    <col min="56" max="16384" width="9" style="141"/>
  </cols>
  <sheetData>
    <row r="1" spans="2:55" s="61" customFormat="1" x14ac:dyDescent="0.3">
      <c r="B1" s="78" t="str">
        <f>[10]INDEX!I10</f>
        <v>자산별 투자성과</v>
      </c>
      <c r="C1" s="141" t="s">
        <v>1740</v>
      </c>
      <c r="J1" s="84"/>
      <c r="K1" s="84"/>
      <c r="AP1" s="84"/>
      <c r="AQ1" s="528"/>
      <c r="AR1" s="528"/>
      <c r="AS1" s="528"/>
      <c r="AT1" s="528"/>
      <c r="AU1" s="528"/>
      <c r="AV1" s="528"/>
      <c r="AW1" s="528"/>
      <c r="AX1" s="528"/>
      <c r="AY1" s="528"/>
      <c r="AZ1" s="528"/>
      <c r="BA1" s="528"/>
      <c r="BB1" s="528"/>
      <c r="BC1" s="528"/>
    </row>
    <row r="2" spans="2:55" x14ac:dyDescent="0.3">
      <c r="B2" s="79" t="s">
        <v>18</v>
      </c>
    </row>
    <row r="3" spans="2:55" s="143" customFormat="1" x14ac:dyDescent="0.3">
      <c r="B3" s="80"/>
      <c r="J3" s="182"/>
      <c r="K3" s="182"/>
      <c r="AP3" s="182"/>
      <c r="AQ3" s="529"/>
      <c r="AR3" s="529"/>
      <c r="AS3" s="529"/>
      <c r="AT3" s="529"/>
      <c r="AU3" s="529"/>
      <c r="AV3" s="529"/>
      <c r="AW3" s="529"/>
      <c r="AX3" s="529"/>
      <c r="AY3" s="529"/>
      <c r="AZ3" s="529"/>
      <c r="BA3" s="529"/>
      <c r="BB3" s="529"/>
      <c r="BC3" s="529"/>
    </row>
    <row r="4" spans="2:55" s="143" customFormat="1" x14ac:dyDescent="0.3">
      <c r="B4" s="81" t="s">
        <v>12</v>
      </c>
      <c r="C4" s="343" t="s">
        <v>1950</v>
      </c>
      <c r="D4" s="838">
        <f>P4</f>
        <v>2025</v>
      </c>
      <c r="E4" s="839"/>
      <c r="F4" s="838">
        <f>V4</f>
        <v>2024</v>
      </c>
      <c r="G4" s="839"/>
      <c r="H4" s="876" t="s">
        <v>32</v>
      </c>
      <c r="I4" s="877"/>
      <c r="J4" s="344"/>
      <c r="K4" s="182"/>
      <c r="L4" s="805"/>
      <c r="M4" s="805"/>
      <c r="N4" s="805"/>
      <c r="O4" s="805"/>
      <c r="P4" s="490">
        <v>2025</v>
      </c>
      <c r="Q4" s="490"/>
      <c r="R4" s="490"/>
      <c r="S4" s="490"/>
      <c r="T4" s="490"/>
      <c r="U4" s="491"/>
      <c r="V4" s="838">
        <v>2024</v>
      </c>
      <c r="W4" s="839"/>
      <c r="X4" s="839"/>
      <c r="Y4" s="839"/>
      <c r="Z4" s="839"/>
      <c r="AA4" s="839"/>
      <c r="AB4" s="839"/>
      <c r="AC4" s="839"/>
      <c r="AD4" s="839"/>
      <c r="AE4" s="840"/>
      <c r="AF4" s="839">
        <v>2023</v>
      </c>
      <c r="AG4" s="839"/>
      <c r="AH4" s="839"/>
      <c r="AI4" s="839"/>
      <c r="AJ4" s="839"/>
      <c r="AK4" s="839"/>
      <c r="AL4" s="839"/>
      <c r="AM4" s="839"/>
      <c r="AN4" s="839"/>
      <c r="AO4" s="840"/>
      <c r="AP4" s="431"/>
      <c r="AQ4" s="828"/>
      <c r="AR4" s="870">
        <v>2022</v>
      </c>
      <c r="AS4" s="871"/>
      <c r="AT4" s="871"/>
      <c r="AU4" s="871"/>
      <c r="AV4" s="871"/>
      <c r="AW4" s="871"/>
      <c r="AX4" s="871"/>
      <c r="AY4" s="871"/>
      <c r="AZ4" s="871"/>
      <c r="BA4" s="872"/>
      <c r="BB4" s="529"/>
      <c r="BC4" s="529"/>
    </row>
    <row r="5" spans="2:55" s="143" customFormat="1" x14ac:dyDescent="0.3">
      <c r="B5" s="81"/>
      <c r="C5" s="343"/>
      <c r="D5" s="873" t="str">
        <f>L5</f>
        <v>FY</v>
      </c>
      <c r="E5" s="873"/>
      <c r="F5" s="873" t="str">
        <f>V5</f>
        <v>FY</v>
      </c>
      <c r="G5" s="873"/>
      <c r="H5" s="878"/>
      <c r="I5" s="879"/>
      <c r="J5" s="344"/>
      <c r="K5" s="182"/>
      <c r="L5" s="874" t="s">
        <v>31</v>
      </c>
      <c r="M5" s="875"/>
      <c r="N5" s="874">
        <v>4</v>
      </c>
      <c r="O5" s="875"/>
      <c r="P5" s="874">
        <v>3</v>
      </c>
      <c r="Q5" s="875"/>
      <c r="R5" s="874">
        <v>2</v>
      </c>
      <c r="S5" s="875"/>
      <c r="T5" s="874">
        <v>1</v>
      </c>
      <c r="U5" s="875"/>
      <c r="V5" s="874" t="s">
        <v>31</v>
      </c>
      <c r="W5" s="875"/>
      <c r="X5" s="874">
        <v>4</v>
      </c>
      <c r="Y5" s="875"/>
      <c r="Z5" s="874">
        <v>3</v>
      </c>
      <c r="AA5" s="875"/>
      <c r="AB5" s="874">
        <v>2</v>
      </c>
      <c r="AC5" s="875"/>
      <c r="AD5" s="874">
        <v>1</v>
      </c>
      <c r="AE5" s="875"/>
      <c r="AF5" s="874" t="s">
        <v>31</v>
      </c>
      <c r="AG5" s="875"/>
      <c r="AH5" s="882">
        <v>4</v>
      </c>
      <c r="AI5" s="875"/>
      <c r="AJ5" s="882">
        <v>3</v>
      </c>
      <c r="AK5" s="875"/>
      <c r="AL5" s="882">
        <v>2</v>
      </c>
      <c r="AM5" s="875"/>
      <c r="AN5" s="882">
        <v>1</v>
      </c>
      <c r="AO5" s="875"/>
      <c r="AP5" s="432"/>
      <c r="AQ5" s="530"/>
      <c r="AR5" s="880" t="s">
        <v>31</v>
      </c>
      <c r="AS5" s="881"/>
      <c r="AT5" s="880">
        <v>4</v>
      </c>
      <c r="AU5" s="881"/>
      <c r="AV5" s="880">
        <v>3</v>
      </c>
      <c r="AW5" s="881"/>
      <c r="AX5" s="880">
        <v>2</v>
      </c>
      <c r="AY5" s="881"/>
      <c r="AZ5" s="880">
        <v>1</v>
      </c>
      <c r="BA5" s="881"/>
      <c r="BB5" s="529"/>
      <c r="BC5" s="529"/>
    </row>
    <row r="6" spans="2:55" s="143" customFormat="1" ht="33" x14ac:dyDescent="0.3">
      <c r="B6" s="824"/>
      <c r="C6" s="824"/>
      <c r="D6" s="433" t="s">
        <v>1887</v>
      </c>
      <c r="E6" s="433" t="s">
        <v>1888</v>
      </c>
      <c r="F6" s="433" t="s">
        <v>1887</v>
      </c>
      <c r="G6" s="433" t="s">
        <v>1888</v>
      </c>
      <c r="H6" s="433" t="s">
        <v>1887</v>
      </c>
      <c r="I6" s="433" t="s">
        <v>1888</v>
      </c>
      <c r="J6" s="344"/>
      <c r="K6" s="182"/>
      <c r="L6" s="434" t="s">
        <v>777</v>
      </c>
      <c r="M6" s="433" t="s">
        <v>778</v>
      </c>
      <c r="N6" s="434" t="s">
        <v>777</v>
      </c>
      <c r="O6" s="433" t="s">
        <v>778</v>
      </c>
      <c r="P6" s="434" t="s">
        <v>777</v>
      </c>
      <c r="Q6" s="433" t="s">
        <v>778</v>
      </c>
      <c r="R6" s="434" t="s">
        <v>777</v>
      </c>
      <c r="S6" s="433" t="s">
        <v>778</v>
      </c>
      <c r="T6" s="434" t="s">
        <v>777</v>
      </c>
      <c r="U6" s="433" t="s">
        <v>778</v>
      </c>
      <c r="V6" s="434" t="s">
        <v>777</v>
      </c>
      <c r="W6" s="433" t="s">
        <v>778</v>
      </c>
      <c r="X6" s="434" t="s">
        <v>777</v>
      </c>
      <c r="Y6" s="433" t="s">
        <v>778</v>
      </c>
      <c r="Z6" s="434" t="s">
        <v>777</v>
      </c>
      <c r="AA6" s="433" t="s">
        <v>778</v>
      </c>
      <c r="AB6" s="434" t="s">
        <v>777</v>
      </c>
      <c r="AC6" s="433" t="s">
        <v>778</v>
      </c>
      <c r="AD6" s="434" t="s">
        <v>777</v>
      </c>
      <c r="AE6" s="433" t="s">
        <v>778</v>
      </c>
      <c r="AF6" s="434" t="s">
        <v>777</v>
      </c>
      <c r="AG6" s="433" t="s">
        <v>778</v>
      </c>
      <c r="AH6" s="433" t="s">
        <v>777</v>
      </c>
      <c r="AI6" s="433" t="s">
        <v>778</v>
      </c>
      <c r="AJ6" s="433" t="s">
        <v>777</v>
      </c>
      <c r="AK6" s="433" t="s">
        <v>778</v>
      </c>
      <c r="AL6" s="433" t="s">
        <v>777</v>
      </c>
      <c r="AM6" s="433" t="s">
        <v>778</v>
      </c>
      <c r="AN6" s="433" t="s">
        <v>777</v>
      </c>
      <c r="AO6" s="433" t="s">
        <v>778</v>
      </c>
      <c r="AP6" s="435"/>
      <c r="AQ6" s="531"/>
      <c r="AR6" s="532" t="s">
        <v>1935</v>
      </c>
      <c r="AS6" s="532" t="s">
        <v>1936</v>
      </c>
      <c r="AT6" s="532" t="s">
        <v>1935</v>
      </c>
      <c r="AU6" s="532" t="s">
        <v>1936</v>
      </c>
      <c r="AV6" s="532" t="s">
        <v>1935</v>
      </c>
      <c r="AW6" s="532" t="s">
        <v>1936</v>
      </c>
      <c r="AX6" s="532" t="s">
        <v>1935</v>
      </c>
      <c r="AY6" s="532" t="s">
        <v>1936</v>
      </c>
      <c r="AZ6" s="532" t="s">
        <v>1935</v>
      </c>
      <c r="BA6" s="532" t="s">
        <v>1936</v>
      </c>
      <c r="BB6" s="529"/>
      <c r="BC6" s="529"/>
    </row>
    <row r="7" spans="2:55" s="420" customFormat="1" x14ac:dyDescent="0.3">
      <c r="B7" s="135" t="s">
        <v>763</v>
      </c>
      <c r="C7" s="347" t="s">
        <v>1951</v>
      </c>
      <c r="D7" s="348">
        <f>SUM(D8:D14)</f>
        <v>609.17467924099992</v>
      </c>
      <c r="E7" s="436">
        <v>3.2766131654432783E-2</v>
      </c>
      <c r="F7" s="348">
        <f>SUM(F8:F14)</f>
        <v>598.78006431500023</v>
      </c>
      <c r="G7" s="436">
        <v>3.1285482193757076E-2</v>
      </c>
      <c r="H7" s="436">
        <f>+IFERROR(IF(F7&lt;0,-(D7/F7-1),(D7/F7-1)),0)</f>
        <v>1.7359654312958828E-2</v>
      </c>
      <c r="I7" s="437">
        <f>E7-G7</f>
        <v>1.4806494606757065E-3</v>
      </c>
      <c r="J7" s="410"/>
      <c r="L7" s="438">
        <f>SUM(L8:L14)</f>
        <v>609.17467924099992</v>
      </c>
      <c r="M7" s="436">
        <v>3.2766131654432783E-2</v>
      </c>
      <c r="N7" s="438">
        <f>SUM(N8:N14)</f>
        <v>151.10482990000003</v>
      </c>
      <c r="O7" s="436">
        <v>3.2270160541051585E-2</v>
      </c>
      <c r="P7" s="438">
        <f>SUM(P8:P14)</f>
        <v>161.9673921969999</v>
      </c>
      <c r="Q7" s="436">
        <v>3.4211372602907297E-2</v>
      </c>
      <c r="R7" s="438">
        <f>SUM(R8:R14)</f>
        <v>158.14847164099993</v>
      </c>
      <c r="S7" s="436">
        <v>3.3209638216071972E-2</v>
      </c>
      <c r="T7" s="438">
        <f>SUM(T8:T14)</f>
        <v>137.95398550300004</v>
      </c>
      <c r="U7" s="436">
        <v>2.8738945382234701E-2</v>
      </c>
      <c r="V7" s="438">
        <f>SUM(V8:V14)</f>
        <v>598.78006431500023</v>
      </c>
      <c r="W7" s="436">
        <v>3.1285482193757076E-2</v>
      </c>
      <c r="X7" s="438">
        <f>SUM(X8:X14)</f>
        <v>177.64425354999989</v>
      </c>
      <c r="Y7" s="436">
        <v>3.6927555217209994E-2</v>
      </c>
      <c r="Z7" s="438">
        <f>SUM(Z8:Z14)</f>
        <v>122.36479924000002</v>
      </c>
      <c r="AA7" s="436">
        <v>2.5588494440435244E-2</v>
      </c>
      <c r="AB7" s="438">
        <f>SUM(AB8:AB14)</f>
        <v>128.78149218900012</v>
      </c>
      <c r="AC7" s="436">
        <v>2.7297909533851687E-2</v>
      </c>
      <c r="AD7" s="438">
        <f>SUM(AD8:AD14)</f>
        <v>169.98951933600003</v>
      </c>
      <c r="AE7" s="436">
        <v>3.5452759301107792E-2</v>
      </c>
      <c r="AF7" s="439">
        <f>SUM(AF8:AF14)</f>
        <v>698.4417207742398</v>
      </c>
      <c r="AG7" s="436">
        <v>3.6164152640844542E-2</v>
      </c>
      <c r="AH7" s="440">
        <v>77.929400907296667</v>
      </c>
      <c r="AI7" s="436">
        <v>1.5958825084924268E-2</v>
      </c>
      <c r="AJ7" s="441">
        <f>SUM(AJ8:AJ14)</f>
        <v>173.66737389170103</v>
      </c>
      <c r="AK7" s="436">
        <v>3.5384753553662079E-2</v>
      </c>
      <c r="AL7" s="441">
        <f>SUM(AL8:AL14)</f>
        <v>192.12749387224196</v>
      </c>
      <c r="AM7" s="436">
        <v>3.8320688209049415E-2</v>
      </c>
      <c r="AN7" s="441">
        <v>254.717452103</v>
      </c>
      <c r="AO7" s="436">
        <v>5.1167043988262904E-2</v>
      </c>
      <c r="AP7" s="421"/>
      <c r="AQ7" s="533"/>
      <c r="AR7" s="534">
        <v>603.81420225196916</v>
      </c>
      <c r="AS7" s="535">
        <v>3.0437078212345179E-2</v>
      </c>
      <c r="AT7" s="534">
        <v>153.39021625196909</v>
      </c>
      <c r="AU7" s="535">
        <v>3.0914738412982878E-2</v>
      </c>
      <c r="AV7" s="534">
        <v>150.22396900000007</v>
      </c>
      <c r="AW7" s="535">
        <v>3.0004732655430737E-2</v>
      </c>
      <c r="AX7" s="534">
        <v>160.24551599999995</v>
      </c>
      <c r="AY7" s="535">
        <v>2.976968615961639E-2</v>
      </c>
      <c r="AZ7" s="534">
        <v>139.95450100000002</v>
      </c>
      <c r="BA7" s="535">
        <v>2.7568374861715959E-2</v>
      </c>
      <c r="BB7" s="536"/>
      <c r="BC7" s="536"/>
    </row>
    <row r="8" spans="2:55" s="68" customFormat="1" x14ac:dyDescent="0.3">
      <c r="B8" s="77" t="s">
        <v>226</v>
      </c>
      <c r="C8" s="203" t="s">
        <v>241</v>
      </c>
      <c r="D8" s="70">
        <f>SUM(R8,T8,P8,N8)</f>
        <v>6.2056446816537232</v>
      </c>
      <c r="E8" s="54">
        <v>1.0235136952638868E-2</v>
      </c>
      <c r="F8" s="70">
        <f>SUM(AB8,AD8,Z8,X8)</f>
        <v>8.9323801118942185</v>
      </c>
      <c r="G8" s="54">
        <v>1.0909783264337058E-2</v>
      </c>
      <c r="H8" s="54">
        <f t="shared" ref="H8:H14" si="0">+IFERROR(IF(F8&lt;0,-(D8/F8-1),(D8/F8-1)),0)</f>
        <v>-0.30526415088511705</v>
      </c>
      <c r="I8" s="200">
        <f t="shared" ref="I8:I14" si="1">E8-G8</f>
        <v>-6.746463116981908E-4</v>
      </c>
      <c r="J8" s="214"/>
      <c r="L8" s="323">
        <v>6.2056446816537241</v>
      </c>
      <c r="M8" s="54">
        <v>1.0235136952638868E-2</v>
      </c>
      <c r="N8" s="323">
        <v>-0.93298163570437753</v>
      </c>
      <c r="O8" s="54">
        <v>-7.2447942429935304E-3</v>
      </c>
      <c r="P8" s="323">
        <v>1.6608640392866498</v>
      </c>
      <c r="Q8" s="54">
        <v>1.3645046025036163E-2</v>
      </c>
      <c r="R8" s="323">
        <v>2.6630570367719981</v>
      </c>
      <c r="S8" s="54">
        <v>2.188413101868689E-2</v>
      </c>
      <c r="T8" s="323">
        <v>2.8147052412994533</v>
      </c>
      <c r="U8" s="54">
        <v>1.8894915394768869E-2</v>
      </c>
      <c r="V8" s="323">
        <v>8.9323801118942203</v>
      </c>
      <c r="W8" s="54">
        <v>1.0909783264337058E-2</v>
      </c>
      <c r="X8" s="323">
        <v>2.7151651418046727</v>
      </c>
      <c r="Y8" s="54">
        <v>1.8173161180384402E-2</v>
      </c>
      <c r="Z8" s="323">
        <v>2.6860962916235627</v>
      </c>
      <c r="AA8" s="54">
        <v>2.2472890550308058E-2</v>
      </c>
      <c r="AB8" s="323">
        <v>3.5851061972303659</v>
      </c>
      <c r="AC8" s="54">
        <v>4.4433724141514183E-2</v>
      </c>
      <c r="AD8" s="69">
        <v>-5.3987518764381293E-2</v>
      </c>
      <c r="AE8" s="54">
        <v>-3.7513957824446872E-4</v>
      </c>
      <c r="AF8" s="298">
        <f>SUM(AH8,AJ8,AL8,AN8,)</f>
        <v>11.596615293885691</v>
      </c>
      <c r="AG8" s="54">
        <v>1.6141251643011934E-2</v>
      </c>
      <c r="AH8" s="69">
        <v>4.9659004278240149</v>
      </c>
      <c r="AI8" s="54">
        <v>3.4858884699215491E-2</v>
      </c>
      <c r="AJ8" s="319">
        <v>1.5677475073942055</v>
      </c>
      <c r="AK8" s="54">
        <v>3.1310246051381711E-2</v>
      </c>
      <c r="AL8" s="413">
        <v>4.0518062846072089</v>
      </c>
      <c r="AM8" s="54">
        <v>6.7816232249173797E-2</v>
      </c>
      <c r="AN8" s="413">
        <v>1.0111610740602615</v>
      </c>
      <c r="AO8" s="54">
        <v>1.0609902163974783E-2</v>
      </c>
      <c r="AP8" s="54"/>
      <c r="AQ8" s="537"/>
      <c r="AR8" s="538">
        <v>7.1028710791939647</v>
      </c>
      <c r="AS8" s="539">
        <v>2.0106109009360995E-2</v>
      </c>
      <c r="AT8" s="538">
        <v>1.9302850791939647</v>
      </c>
      <c r="AU8" s="539">
        <v>2.1865561448078524E-2</v>
      </c>
      <c r="AV8" s="538">
        <v>1.7661559999999994</v>
      </c>
      <c r="AW8" s="539">
        <v>3.3897355248086146E-2</v>
      </c>
      <c r="AX8" s="538">
        <v>1.7401650000000004</v>
      </c>
      <c r="AY8" s="539">
        <v>3.2391454978595573E-2</v>
      </c>
      <c r="AZ8" s="538">
        <v>1.6662649999999999</v>
      </c>
      <c r="BA8" s="539">
        <v>3.1173479459276964E-2</v>
      </c>
      <c r="BB8" s="363"/>
      <c r="BC8" s="363"/>
    </row>
    <row r="9" spans="2:55" s="68" customFormat="1" x14ac:dyDescent="0.3">
      <c r="B9" s="77" t="s">
        <v>225</v>
      </c>
      <c r="C9" s="203" t="s">
        <v>242</v>
      </c>
      <c r="D9" s="70">
        <f t="shared" ref="D9:D14" si="2">SUM(R9,T9,P9,N9)</f>
        <v>86.756210959903726</v>
      </c>
      <c r="E9" s="54">
        <v>3.9027849800547333E-2</v>
      </c>
      <c r="F9" s="70">
        <f t="shared" ref="F9:F14" si="3">SUM(AB9,AD9,Z9,X9)</f>
        <v>116.51352264285387</v>
      </c>
      <c r="G9" s="54">
        <v>4.2341237890239157E-2</v>
      </c>
      <c r="H9" s="54">
        <f t="shared" si="0"/>
        <v>-0.25539792298757047</v>
      </c>
      <c r="I9" s="200">
        <f t="shared" si="1"/>
        <v>-3.3133880896918239E-3</v>
      </c>
      <c r="J9" s="214"/>
      <c r="L9" s="323">
        <v>86.756210959903711</v>
      </c>
      <c r="M9" s="54">
        <v>3.9027849800547333E-2</v>
      </c>
      <c r="N9" s="323">
        <v>16.137132105037882</v>
      </c>
      <c r="O9" s="54">
        <v>3.3661678602170661E-2</v>
      </c>
      <c r="P9" s="323">
        <v>24.733454274098399</v>
      </c>
      <c r="Q9" s="54">
        <v>4.9047834429758887E-2</v>
      </c>
      <c r="R9" s="323">
        <v>21.410541115434196</v>
      </c>
      <c r="S9" s="54">
        <v>3.8658884924182506E-2</v>
      </c>
      <c r="T9" s="323">
        <v>24.475083465333242</v>
      </c>
      <c r="U9" s="54">
        <v>4.0654233451065593E-2</v>
      </c>
      <c r="V9" s="323">
        <v>116.51352264285387</v>
      </c>
      <c r="W9" s="54">
        <v>4.2341237890239157E-2</v>
      </c>
      <c r="X9" s="323">
        <v>26.914738990122338</v>
      </c>
      <c r="Y9" s="54">
        <v>4.2069031990091453E-2</v>
      </c>
      <c r="Z9" s="323">
        <v>30.310100015435591</v>
      </c>
      <c r="AA9" s="54">
        <v>4.4879598946724365E-2</v>
      </c>
      <c r="AB9" s="323">
        <v>31.420694021694338</v>
      </c>
      <c r="AC9" s="54">
        <v>4.3582289040525558E-2</v>
      </c>
      <c r="AD9" s="323">
        <v>27.867989615601608</v>
      </c>
      <c r="AE9" s="54">
        <v>3.7317736648764532E-2</v>
      </c>
      <c r="AF9" s="298">
        <f t="shared" ref="AF9:AF14" si="4">SUM(AH9,AJ9,AL9,AN9,)</f>
        <v>150.24895227358675</v>
      </c>
      <c r="AG9" s="54">
        <v>4.6701258799348798E-2</v>
      </c>
      <c r="AH9" s="69">
        <v>34.102348826568345</v>
      </c>
      <c r="AI9" s="54">
        <v>4.389954160691107E-2</v>
      </c>
      <c r="AJ9" s="319">
        <v>37.633117040562219</v>
      </c>
      <c r="AK9" s="54">
        <v>4.6321580364716022E-2</v>
      </c>
      <c r="AL9" s="413">
        <v>41.194173129604579</v>
      </c>
      <c r="AM9" s="54">
        <v>4.8937024264568176E-2</v>
      </c>
      <c r="AN9" s="413">
        <v>37.319313276851624</v>
      </c>
      <c r="AO9" s="54">
        <v>4.3123503265111947E-2</v>
      </c>
      <c r="AP9" s="54"/>
      <c r="AQ9" s="537"/>
      <c r="AR9" s="538">
        <v>158.72181466814951</v>
      </c>
      <c r="AS9" s="539">
        <v>4.6789475217673987E-2</v>
      </c>
      <c r="AT9" s="538">
        <v>41.794862668149491</v>
      </c>
      <c r="AU9" s="539">
        <v>4.7820740501977092E-2</v>
      </c>
      <c r="AV9" s="538">
        <v>38.393166000000008</v>
      </c>
      <c r="AW9" s="539">
        <v>4.4308253577434203E-2</v>
      </c>
      <c r="AX9" s="538">
        <v>40.293062999999997</v>
      </c>
      <c r="AY9" s="539">
        <v>4.6186937920272807E-2</v>
      </c>
      <c r="AZ9" s="538">
        <v>38.240723000000003</v>
      </c>
      <c r="BA9" s="539">
        <v>4.3877706316166214E-2</v>
      </c>
      <c r="BB9" s="363"/>
      <c r="BC9" s="363"/>
    </row>
    <row r="10" spans="2:55" s="68" customFormat="1" x14ac:dyDescent="0.3">
      <c r="B10" s="77" t="s">
        <v>227</v>
      </c>
      <c r="C10" s="203" t="s">
        <v>243</v>
      </c>
      <c r="D10" s="70">
        <f t="shared" si="2"/>
        <v>295.88824477412959</v>
      </c>
      <c r="E10" s="54">
        <v>2.8335202563989356E-2</v>
      </c>
      <c r="F10" s="70">
        <f t="shared" si="3"/>
        <v>336.31343488918139</v>
      </c>
      <c r="G10" s="54">
        <v>3.2875864669437579E-2</v>
      </c>
      <c r="H10" s="54">
        <f t="shared" si="0"/>
        <v>-0.12020093734397586</v>
      </c>
      <c r="I10" s="200">
        <f t="shared" si="1"/>
        <v>-4.5406621054482239E-3</v>
      </c>
      <c r="J10" s="214"/>
      <c r="L10" s="323">
        <v>295.88824477412959</v>
      </c>
      <c r="M10" s="54">
        <v>2.8335202563989356E-2</v>
      </c>
      <c r="N10" s="323">
        <v>73.076990894950498</v>
      </c>
      <c r="O10" s="54">
        <v>2.7122928972642145E-2</v>
      </c>
      <c r="P10" s="323">
        <v>74.288513237499316</v>
      </c>
      <c r="Q10" s="54">
        <v>2.6967124583624043E-2</v>
      </c>
      <c r="R10" s="323">
        <v>75.294932347881485</v>
      </c>
      <c r="S10" s="54">
        <v>2.7328561944177193E-2</v>
      </c>
      <c r="T10" s="323">
        <v>73.22780829379829</v>
      </c>
      <c r="U10" s="54">
        <v>2.6892972721618034E-2</v>
      </c>
      <c r="V10" s="323">
        <v>336.31343488918139</v>
      </c>
      <c r="W10" s="54">
        <v>3.2875864669437579E-2</v>
      </c>
      <c r="X10" s="323">
        <v>72.074428975532598</v>
      </c>
      <c r="Y10" s="54">
        <v>2.7164980326288505E-2</v>
      </c>
      <c r="Z10" s="323">
        <v>103.93830406094563</v>
      </c>
      <c r="AA10" s="54">
        <v>4.0419373933804452E-2</v>
      </c>
      <c r="AB10" s="323">
        <v>80.921534040832057</v>
      </c>
      <c r="AC10" s="54">
        <v>3.265610480576233E-2</v>
      </c>
      <c r="AD10" s="323">
        <v>79.379167811871099</v>
      </c>
      <c r="AE10" s="54">
        <v>3.2012059961828633E-2</v>
      </c>
      <c r="AF10" s="298">
        <f t="shared" si="4"/>
        <v>338.80815089965336</v>
      </c>
      <c r="AG10" s="54">
        <v>3.4176355745189693E-2</v>
      </c>
      <c r="AH10" s="69">
        <v>68.876778419059931</v>
      </c>
      <c r="AI10" s="54">
        <v>2.8122814627120834E-2</v>
      </c>
      <c r="AJ10" s="319">
        <v>80.254077817631497</v>
      </c>
      <c r="AK10" s="54">
        <v>3.3409765438374088E-2</v>
      </c>
      <c r="AL10" s="413">
        <v>66.14122990485086</v>
      </c>
      <c r="AM10" s="54">
        <v>2.7368591775207764E-2</v>
      </c>
      <c r="AN10" s="413">
        <v>123.53606475811102</v>
      </c>
      <c r="AO10" s="54">
        <v>5.0369239026121254E-2</v>
      </c>
      <c r="AP10" s="54"/>
      <c r="AQ10" s="537"/>
      <c r="AR10" s="538">
        <v>276.44679462510487</v>
      </c>
      <c r="AS10" s="539">
        <v>2.6979765118044462E-2</v>
      </c>
      <c r="AT10" s="538">
        <v>63.213956625104856</v>
      </c>
      <c r="AU10" s="539">
        <v>2.4677214614071612E-2</v>
      </c>
      <c r="AV10" s="538">
        <v>70.499326999999994</v>
      </c>
      <c r="AW10" s="539">
        <v>2.6854656055986109E-2</v>
      </c>
      <c r="AX10" s="538">
        <v>73.192072999999993</v>
      </c>
      <c r="AY10" s="539">
        <v>2.7003990142647771E-2</v>
      </c>
      <c r="AZ10" s="538">
        <v>69.541437999999999</v>
      </c>
      <c r="BA10" s="539">
        <v>2.5934080051267138E-2</v>
      </c>
      <c r="BB10" s="363"/>
      <c r="BC10" s="363"/>
    </row>
    <row r="11" spans="2:55" s="68" customFormat="1" x14ac:dyDescent="0.3">
      <c r="B11" s="77" t="s">
        <v>228</v>
      </c>
      <c r="C11" s="203" t="s">
        <v>244</v>
      </c>
      <c r="D11" s="70">
        <f t="shared" si="2"/>
        <v>13.69173140850809</v>
      </c>
      <c r="E11" s="54">
        <v>3.5588993368292555E-2</v>
      </c>
      <c r="F11" s="70">
        <f t="shared" si="3"/>
        <v>0.5734994044250783</v>
      </c>
      <c r="G11" s="54">
        <v>1.4711206010180823E-3</v>
      </c>
      <c r="H11" s="54">
        <f t="shared" si="0"/>
        <v>22.874011555833746</v>
      </c>
      <c r="I11" s="200">
        <f t="shared" si="1"/>
        <v>3.4117872767274474E-2</v>
      </c>
      <c r="J11" s="214"/>
      <c r="L11" s="298">
        <v>13.69173140850809</v>
      </c>
      <c r="M11" s="54">
        <v>3.5588993368292555E-2</v>
      </c>
      <c r="N11" s="298">
        <v>-0.49928372247889852</v>
      </c>
      <c r="O11" s="54">
        <v>-5.0245687724026246E-3</v>
      </c>
      <c r="P11" s="298">
        <v>11.04584382769516</v>
      </c>
      <c r="Q11" s="54">
        <v>0.11534002269562112</v>
      </c>
      <c r="R11" s="298">
        <v>0.68987958862837462</v>
      </c>
      <c r="S11" s="54">
        <v>7.2341377359951969E-3</v>
      </c>
      <c r="T11" s="298">
        <v>2.4552917146634541</v>
      </c>
      <c r="U11" s="54">
        <v>2.553692410038403E-2</v>
      </c>
      <c r="V11" s="298">
        <v>0.57349940442507785</v>
      </c>
      <c r="W11" s="54">
        <v>1.4711206010180823E-3</v>
      </c>
      <c r="X11" s="298">
        <v>-8.1500658022129908</v>
      </c>
      <c r="Y11" s="54">
        <v>-8.2530676929804758E-2</v>
      </c>
      <c r="Z11" s="298">
        <v>11.378197056317164</v>
      </c>
      <c r="AA11" s="54">
        <v>0.1177804174600143</v>
      </c>
      <c r="AB11" s="298">
        <v>-7.2915127458935984</v>
      </c>
      <c r="AC11" s="54">
        <v>-7.3724174672666579E-2</v>
      </c>
      <c r="AD11" s="323">
        <v>4.6368808962145032</v>
      </c>
      <c r="AE11" s="54">
        <v>4.7357475496404657E-2</v>
      </c>
      <c r="AF11" s="298">
        <f t="shared" si="4"/>
        <v>31.285777181204537</v>
      </c>
      <c r="AG11" s="54">
        <v>8.5289488898425067E-2</v>
      </c>
      <c r="AH11" s="69">
        <v>-2.7496880919482178</v>
      </c>
      <c r="AI11" s="54">
        <v>-2.800054457996121E-2</v>
      </c>
      <c r="AJ11" s="319">
        <v>11.9596650702867</v>
      </c>
      <c r="AK11" s="54">
        <v>0.1231923897028078</v>
      </c>
      <c r="AL11" s="413">
        <v>4.1532613746816107</v>
      </c>
      <c r="AM11" s="54">
        <v>4.2092288369107257E-2</v>
      </c>
      <c r="AN11" s="413">
        <v>17.922538828184443</v>
      </c>
      <c r="AO11" s="54">
        <v>0.19164466932618746</v>
      </c>
      <c r="AP11" s="54"/>
      <c r="AQ11" s="537"/>
      <c r="AR11" s="538">
        <v>5.0921191113502475</v>
      </c>
      <c r="AS11" s="539">
        <v>1.4158816832816112E-2</v>
      </c>
      <c r="AT11" s="538">
        <v>-0.75443488864975239</v>
      </c>
      <c r="AU11" s="539">
        <v>-8.0073098571552936E-3</v>
      </c>
      <c r="AV11" s="538">
        <v>2.0377489999999994</v>
      </c>
      <c r="AW11" s="539">
        <v>2.1797824308883943E-2</v>
      </c>
      <c r="AX11" s="538">
        <v>-2.7882999999999925E-2</v>
      </c>
      <c r="AY11" s="539">
        <v>2.1234119116505312E-2</v>
      </c>
      <c r="AZ11" s="538">
        <v>3.8366880000000001</v>
      </c>
      <c r="BA11" s="539">
        <v>4.2821953535189597E-2</v>
      </c>
      <c r="BB11" s="363"/>
      <c r="BC11" s="363"/>
    </row>
    <row r="12" spans="2:55" s="68" customFormat="1" x14ac:dyDescent="0.3">
      <c r="B12" s="77" t="s">
        <v>229</v>
      </c>
      <c r="C12" s="203" t="s">
        <v>247</v>
      </c>
      <c r="D12" s="70">
        <f t="shared" si="2"/>
        <v>168.50903316095361</v>
      </c>
      <c r="E12" s="54">
        <v>4.8630022055870921E-2</v>
      </c>
      <c r="F12" s="70">
        <f t="shared" si="3"/>
        <v>117.92753374405774</v>
      </c>
      <c r="G12" s="54">
        <v>3.3587986215716958E-2</v>
      </c>
      <c r="H12" s="54">
        <f t="shared" si="0"/>
        <v>0.42892018353130879</v>
      </c>
      <c r="I12" s="200">
        <f t="shared" si="1"/>
        <v>1.5042035840153963E-2</v>
      </c>
      <c r="J12" s="214"/>
      <c r="L12" s="323">
        <v>168.50903316095361</v>
      </c>
      <c r="M12" s="54">
        <v>4.8630022055870921E-2</v>
      </c>
      <c r="N12" s="323">
        <v>55.265977383137894</v>
      </c>
      <c r="O12" s="54">
        <v>6.0710203739975134E-2</v>
      </c>
      <c r="P12" s="323">
        <v>44.252817973838532</v>
      </c>
      <c r="Q12" s="54">
        <v>4.9148489497014537E-2</v>
      </c>
      <c r="R12" s="323">
        <v>42.337244135848884</v>
      </c>
      <c r="S12" s="54">
        <v>4.8401143335431725E-2</v>
      </c>
      <c r="T12" s="323">
        <v>26.6529936681283</v>
      </c>
      <c r="U12" s="54">
        <v>3.112507770799984E-2</v>
      </c>
      <c r="V12" s="323">
        <v>117.92753374405773</v>
      </c>
      <c r="W12" s="54">
        <v>3.3587986215716958E-2</v>
      </c>
      <c r="X12" s="323">
        <v>93.946266213116388</v>
      </c>
      <c r="Y12" s="54">
        <v>0.10414708050272553</v>
      </c>
      <c r="Z12" s="323">
        <v>-42.274804445937754</v>
      </c>
      <c r="AA12" s="54">
        <v>-4.4005041018108974E-2</v>
      </c>
      <c r="AB12" s="323">
        <v>13.192103598968231</v>
      </c>
      <c r="AC12" s="54">
        <v>1.3407656787527589E-2</v>
      </c>
      <c r="AD12" s="323">
        <v>53.063968377910861</v>
      </c>
      <c r="AE12" s="54">
        <v>5.4471788162218954E-2</v>
      </c>
      <c r="AF12" s="298">
        <f t="shared" si="4"/>
        <v>196.67087972891039</v>
      </c>
      <c r="AG12" s="54">
        <v>5.8165250532604788E-2</v>
      </c>
      <c r="AH12" s="69">
        <v>32.791374577460125</v>
      </c>
      <c r="AI12" s="54">
        <v>3.2723572853901026E-2</v>
      </c>
      <c r="AJ12" s="319">
        <v>42.84487853675239</v>
      </c>
      <c r="AK12" s="54">
        <v>3.9887834337765986E-2</v>
      </c>
      <c r="AL12" s="413">
        <v>70.618736903154584</v>
      </c>
      <c r="AM12" s="54">
        <v>6.3799007733996049E-2</v>
      </c>
      <c r="AN12" s="413">
        <v>50.415889711543294</v>
      </c>
      <c r="AO12" s="54">
        <v>5.1619232151594308E-2</v>
      </c>
      <c r="AP12" s="54"/>
      <c r="AQ12" s="537"/>
      <c r="AR12" s="538">
        <v>98.753814334844307</v>
      </c>
      <c r="AS12" s="539">
        <v>2.890294175731483E-2</v>
      </c>
      <c r="AT12" s="538">
        <v>32.260895334844314</v>
      </c>
      <c r="AU12" s="539">
        <v>3.9425694912540464E-2</v>
      </c>
      <c r="AV12" s="538">
        <v>20.267046999999998</v>
      </c>
      <c r="AW12" s="539">
        <v>2.4454997784846659E-2</v>
      </c>
      <c r="AX12" s="538">
        <v>32.256024000000004</v>
      </c>
      <c r="AY12" s="539">
        <v>2.6574857953538276E-2</v>
      </c>
      <c r="AZ12" s="538">
        <v>13.969847999999999</v>
      </c>
      <c r="BA12" s="539">
        <v>1.6627485512235727E-2</v>
      </c>
      <c r="BB12" s="363"/>
      <c r="BC12" s="363"/>
    </row>
    <row r="13" spans="2:55" s="68" customFormat="1" x14ac:dyDescent="0.3">
      <c r="B13" s="77" t="s">
        <v>230</v>
      </c>
      <c r="C13" s="203" t="s">
        <v>245</v>
      </c>
      <c r="D13" s="70">
        <f t="shared" si="2"/>
        <v>37.681018507176532</v>
      </c>
      <c r="E13" s="54">
        <v>2.6909068376748311E-2</v>
      </c>
      <c r="F13" s="70">
        <f t="shared" si="3"/>
        <v>18.223672186001814</v>
      </c>
      <c r="G13" s="54">
        <v>1.3333975542171616E-2</v>
      </c>
      <c r="H13" s="54">
        <f t="shared" si="0"/>
        <v>1.0676962426991268</v>
      </c>
      <c r="I13" s="200">
        <f t="shared" si="1"/>
        <v>1.3575092834576695E-2</v>
      </c>
      <c r="J13" s="214"/>
      <c r="L13" s="323">
        <v>37.681018507176532</v>
      </c>
      <c r="M13" s="54">
        <v>2.6909068376748311E-2</v>
      </c>
      <c r="N13" s="323">
        <v>7.6003256323483983</v>
      </c>
      <c r="O13" s="54">
        <v>2.1527613364198034E-2</v>
      </c>
      <c r="P13" s="323">
        <v>6.2392126008425093</v>
      </c>
      <c r="Q13" s="54">
        <v>1.8355227203399587E-2</v>
      </c>
      <c r="R13" s="323">
        <v>15.626321045107341</v>
      </c>
      <c r="S13" s="54">
        <v>4.5446688862258881E-2</v>
      </c>
      <c r="T13" s="323">
        <v>8.2151592288782851</v>
      </c>
      <c r="U13" s="54">
        <v>2.3061571369398719E-2</v>
      </c>
      <c r="V13" s="323">
        <v>18.223672186001814</v>
      </c>
      <c r="W13" s="54">
        <v>1.3333975542171616E-2</v>
      </c>
      <c r="X13" s="323">
        <v>-9.9563081894480057</v>
      </c>
      <c r="Y13" s="54">
        <v>-2.8470589576542076E-2</v>
      </c>
      <c r="Z13" s="323">
        <v>16.222359233812245</v>
      </c>
      <c r="AA13" s="54">
        <v>4.7633520150591573E-2</v>
      </c>
      <c r="AB13" s="323">
        <v>6.9617003376331308</v>
      </c>
      <c r="AC13" s="54">
        <v>2.0640499780953531E-2</v>
      </c>
      <c r="AD13" s="323">
        <v>4.9959208040044443</v>
      </c>
      <c r="AE13" s="54">
        <v>1.4939644668208961E-2</v>
      </c>
      <c r="AF13" s="298">
        <f t="shared" si="4"/>
        <v>-30.661621037598355</v>
      </c>
      <c r="AG13" s="54">
        <v>-1.8659943519286019E-2</v>
      </c>
      <c r="AH13" s="69">
        <v>-60.181177828400152</v>
      </c>
      <c r="AI13" s="54">
        <v>-0.15182617052683473</v>
      </c>
      <c r="AJ13" s="319">
        <v>-0.71015364543147252</v>
      </c>
      <c r="AK13" s="54">
        <v>-1.5642555645832906E-3</v>
      </c>
      <c r="AL13" s="413">
        <v>5.7818904005585754</v>
      </c>
      <c r="AM13" s="54">
        <v>1.2258399732034469E-2</v>
      </c>
      <c r="AN13" s="413">
        <v>24.447820035674699</v>
      </c>
      <c r="AO13" s="54">
        <v>5.1329700954195964E-2</v>
      </c>
      <c r="AP13" s="54"/>
      <c r="AQ13" s="537"/>
      <c r="AR13" s="538">
        <v>56.732467079691716</v>
      </c>
      <c r="AS13" s="539">
        <v>2.8441795080785488E-2</v>
      </c>
      <c r="AT13" s="538">
        <v>14.214909079691717</v>
      </c>
      <c r="AU13" s="539">
        <v>2.8055235047579008E-2</v>
      </c>
      <c r="AV13" s="538">
        <v>17.158190000000001</v>
      </c>
      <c r="AW13" s="539">
        <v>3.2902091082002587E-2</v>
      </c>
      <c r="AX13" s="538">
        <v>12.720807000000001</v>
      </c>
      <c r="AY13" s="539">
        <v>2.4488660680877204E-2</v>
      </c>
      <c r="AZ13" s="538">
        <v>12.638560999999999</v>
      </c>
      <c r="BA13" s="539">
        <v>2.4254036201811553E-2</v>
      </c>
      <c r="BB13" s="363"/>
      <c r="BC13" s="363"/>
    </row>
    <row r="14" spans="2:55" s="68" customFormat="1" x14ac:dyDescent="0.3">
      <c r="B14" s="77" t="s">
        <v>231</v>
      </c>
      <c r="C14" s="203" t="s">
        <v>246</v>
      </c>
      <c r="D14" s="70">
        <f t="shared" si="2"/>
        <v>0.44279574867462529</v>
      </c>
      <c r="E14" s="54">
        <v>6.3455439362966595E-3</v>
      </c>
      <c r="F14" s="70">
        <f t="shared" si="3"/>
        <v>0.29602133658601099</v>
      </c>
      <c r="G14" s="54">
        <v>4.1483812422794739E-3</v>
      </c>
      <c r="H14" s="54">
        <f t="shared" si="0"/>
        <v>0.49582375980512472</v>
      </c>
      <c r="I14" s="200">
        <f t="shared" si="1"/>
        <v>2.1971626940171856E-3</v>
      </c>
      <c r="J14" s="214"/>
      <c r="L14" s="298">
        <v>0.44279574867462534</v>
      </c>
      <c r="M14" s="54">
        <v>6.3455439362966595E-3</v>
      </c>
      <c r="N14" s="298">
        <v>0.45666924270864939</v>
      </c>
      <c r="O14" s="54">
        <v>2.6410365014860708E-2</v>
      </c>
      <c r="P14" s="298">
        <v>-0.25331375626067915</v>
      </c>
      <c r="Q14" s="54">
        <v>-1.4500104823400762E-2</v>
      </c>
      <c r="R14" s="298">
        <v>0.1264963713276514</v>
      </c>
      <c r="S14" s="54">
        <v>7.2233848299624072E-3</v>
      </c>
      <c r="T14" s="298">
        <v>0.11294389089900363</v>
      </c>
      <c r="U14" s="54">
        <v>6.4096171595775624E-3</v>
      </c>
      <c r="V14" s="298">
        <v>0.29602133658601099</v>
      </c>
      <c r="W14" s="54">
        <v>4.1483812422794739E-3</v>
      </c>
      <c r="X14" s="298">
        <v>0.10002822108490513</v>
      </c>
      <c r="Y14" s="54">
        <v>5.647365104233526E-3</v>
      </c>
      <c r="Z14" s="298">
        <v>0.10454702780360794</v>
      </c>
      <c r="AA14" s="54">
        <v>5.8786925063091765E-3</v>
      </c>
      <c r="AB14" s="298">
        <v>-8.1332614643904282E-3</v>
      </c>
      <c r="AC14" s="54">
        <v>-4.5446257336693215E-4</v>
      </c>
      <c r="AD14" s="323">
        <v>9.9579349161888334E-2</v>
      </c>
      <c r="AE14" s="54">
        <v>5.5353237374843722E-3</v>
      </c>
      <c r="AF14" s="298">
        <f t="shared" si="4"/>
        <v>0.4929664345972522</v>
      </c>
      <c r="AG14" s="54">
        <v>6.7856883300114936E-3</v>
      </c>
      <c r="AH14" s="69">
        <v>0.12386457673259681</v>
      </c>
      <c r="AI14" s="54">
        <v>6.853923649031428E-3</v>
      </c>
      <c r="AJ14" s="319">
        <v>0.11804156450548473</v>
      </c>
      <c r="AK14" s="54">
        <v>6.503306991793141E-3</v>
      </c>
      <c r="AL14" s="413">
        <v>0.18639587478452913</v>
      </c>
      <c r="AM14" s="54">
        <v>1.0222633120043992E-2</v>
      </c>
      <c r="AN14" s="413">
        <v>6.4664418574641586E-2</v>
      </c>
      <c r="AO14" s="54">
        <v>3.5261344404160827E-3</v>
      </c>
      <c r="AP14" s="54"/>
      <c r="AQ14" s="537"/>
      <c r="AR14" s="538">
        <v>0.96432135363458948</v>
      </c>
      <c r="AS14" s="539">
        <v>1.284542667029411E-2</v>
      </c>
      <c r="AT14" s="538">
        <v>0.7297423536345895</v>
      </c>
      <c r="AU14" s="539">
        <v>3.9126960041635128E-2</v>
      </c>
      <c r="AV14" s="538">
        <v>0.10233400000000001</v>
      </c>
      <c r="AW14" s="539">
        <v>5.3499145678600297E-3</v>
      </c>
      <c r="AX14" s="538">
        <v>7.1266999999999997E-2</v>
      </c>
      <c r="AY14" s="539">
        <v>3.4312084496686411E-3</v>
      </c>
      <c r="AZ14" s="538">
        <v>6.0977999999999997E-2</v>
      </c>
      <c r="BA14" s="539">
        <v>3.1547993949643813E-3</v>
      </c>
      <c r="BB14" s="363"/>
      <c r="BC14" s="363"/>
    </row>
    <row r="15" spans="2:55" s="420" customFormat="1" x14ac:dyDescent="0.3">
      <c r="B15" s="77"/>
      <c r="C15" s="203"/>
      <c r="D15" s="442"/>
      <c r="E15" s="181"/>
      <c r="F15" s="442"/>
      <c r="G15" s="181"/>
      <c r="H15" s="443"/>
      <c r="I15" s="444"/>
      <c r="J15" s="214"/>
      <c r="K15" s="68"/>
      <c r="L15" s="445"/>
      <c r="M15" s="181"/>
      <c r="N15" s="445"/>
      <c r="O15" s="181"/>
      <c r="P15" s="445"/>
      <c r="Q15" s="181"/>
      <c r="R15" s="445"/>
      <c r="S15" s="181"/>
      <c r="T15" s="445"/>
      <c r="U15" s="181"/>
      <c r="V15" s="445"/>
      <c r="W15" s="181"/>
      <c r="X15" s="445"/>
      <c r="Y15" s="181"/>
      <c r="Z15" s="445"/>
      <c r="AA15" s="181"/>
      <c r="AB15" s="445"/>
      <c r="AC15" s="181"/>
      <c r="AD15" s="445"/>
      <c r="AE15" s="181"/>
      <c r="AF15" s="446"/>
      <c r="AG15" s="443"/>
      <c r="AH15" s="447"/>
      <c r="AI15" s="443"/>
      <c r="AJ15" s="447"/>
      <c r="AK15" s="443"/>
      <c r="AL15" s="447"/>
      <c r="AM15" s="443"/>
      <c r="AN15" s="448"/>
      <c r="AO15" s="181"/>
      <c r="AP15" s="54"/>
      <c r="AQ15" s="540" t="s">
        <v>1558</v>
      </c>
      <c r="AR15" s="534">
        <v>31.656395960030732</v>
      </c>
      <c r="AS15" s="535">
        <v>2.1277197295476318E-2</v>
      </c>
      <c r="AT15" s="534">
        <v>-56.607816039969272</v>
      </c>
      <c r="AU15" s="535">
        <v>-0.1429543585458849</v>
      </c>
      <c r="AV15" s="534">
        <v>46.937894999999997</v>
      </c>
      <c r="AW15" s="535">
        <v>0.12754268137623129</v>
      </c>
      <c r="AX15" s="534">
        <v>23.394076000000002</v>
      </c>
      <c r="AY15" s="535">
        <v>5.8088508042741127E-2</v>
      </c>
      <c r="AZ15" s="534">
        <v>17.932240999999998</v>
      </c>
      <c r="BA15" s="535">
        <v>5.1175109320665373E-2</v>
      </c>
      <c r="BB15" s="536"/>
      <c r="BC15" s="363"/>
    </row>
    <row r="16" spans="2:55" s="68" customFormat="1" x14ac:dyDescent="0.3">
      <c r="B16" s="85"/>
      <c r="C16" s="247"/>
      <c r="D16" s="191"/>
      <c r="E16" s="191"/>
      <c r="F16" s="191"/>
      <c r="G16" s="191"/>
      <c r="H16" s="192"/>
      <c r="I16" s="192"/>
      <c r="L16" s="191"/>
      <c r="M16" s="449"/>
      <c r="N16" s="191"/>
      <c r="O16" s="449"/>
      <c r="P16" s="191"/>
      <c r="Q16" s="449"/>
      <c r="R16" s="191"/>
      <c r="S16" s="449"/>
      <c r="T16" s="191"/>
      <c r="U16" s="449"/>
      <c r="V16" s="191"/>
      <c r="W16" s="449"/>
      <c r="X16" s="191"/>
      <c r="Y16" s="449"/>
      <c r="Z16" s="191"/>
      <c r="AA16" s="449"/>
      <c r="AB16" s="191"/>
      <c r="AC16" s="449"/>
      <c r="AD16" s="191"/>
      <c r="AE16" s="449"/>
      <c r="AF16" s="191"/>
      <c r="AG16" s="450"/>
      <c r="AH16" s="191"/>
      <c r="AI16" s="450"/>
      <c r="AJ16" s="191"/>
      <c r="AK16" s="450"/>
      <c r="AL16" s="191"/>
      <c r="AM16" s="450"/>
      <c r="AN16" s="191"/>
      <c r="AO16" s="449" t="s">
        <v>784</v>
      </c>
      <c r="AP16" s="451"/>
      <c r="AQ16" s="541" t="s">
        <v>1560</v>
      </c>
      <c r="AR16" s="542"/>
      <c r="AS16" s="542"/>
      <c r="AT16" s="542"/>
      <c r="AU16" s="542"/>
      <c r="AV16" s="542"/>
      <c r="AW16" s="542"/>
      <c r="AX16" s="542"/>
      <c r="AY16" s="542"/>
      <c r="AZ16" s="542"/>
      <c r="BA16" s="542"/>
      <c r="BB16" s="363"/>
      <c r="BC16" s="363"/>
    </row>
    <row r="17" spans="1:55" s="68" customFormat="1" x14ac:dyDescent="0.3">
      <c r="B17" s="137" t="s">
        <v>1947</v>
      </c>
      <c r="C17" s="695" t="s">
        <v>1948</v>
      </c>
      <c r="D17" s="452"/>
      <c r="E17" s="452"/>
      <c r="F17" s="452"/>
      <c r="G17" s="452"/>
      <c r="H17" s="453"/>
      <c r="I17" s="453"/>
      <c r="L17" s="452"/>
      <c r="M17" s="452"/>
      <c r="N17" s="452"/>
      <c r="O17" s="452"/>
      <c r="P17" s="452"/>
      <c r="Q17" s="452"/>
      <c r="R17" s="452"/>
      <c r="S17" s="452"/>
      <c r="T17" s="452"/>
      <c r="U17" s="452"/>
      <c r="V17" s="452"/>
      <c r="W17" s="452"/>
      <c r="X17" s="452"/>
      <c r="Y17" s="452"/>
      <c r="Z17" s="452"/>
      <c r="AA17" s="452"/>
      <c r="AB17" s="452"/>
      <c r="AC17" s="452"/>
      <c r="AD17" s="452"/>
      <c r="AE17" s="452"/>
      <c r="AF17" s="452"/>
      <c r="AG17" s="452"/>
      <c r="AH17" s="452"/>
      <c r="AI17" s="452"/>
      <c r="AJ17" s="452"/>
      <c r="AK17" s="452"/>
      <c r="AL17" s="452"/>
      <c r="AM17" s="452"/>
      <c r="AN17" s="452"/>
      <c r="AO17" s="452"/>
      <c r="AP17" s="193"/>
      <c r="AQ17" s="543"/>
      <c r="AR17" s="543"/>
      <c r="AS17" s="543"/>
      <c r="AT17" s="543"/>
      <c r="AU17" s="543"/>
      <c r="AV17" s="543"/>
      <c r="AW17" s="543"/>
      <c r="AX17" s="543"/>
      <c r="AY17" s="543"/>
      <c r="AZ17" s="543"/>
      <c r="BA17" s="543"/>
      <c r="BB17" s="363"/>
      <c r="BC17" s="363"/>
    </row>
    <row r="18" spans="1:55" s="420" customFormat="1" x14ac:dyDescent="0.3">
      <c r="B18" s="147" t="s">
        <v>1949</v>
      </c>
      <c r="C18" s="420" t="s">
        <v>248</v>
      </c>
      <c r="D18" s="188">
        <f>SUM(N18:T18)</f>
        <v>533.67432650599994</v>
      </c>
      <c r="E18" s="189"/>
      <c r="F18" s="188">
        <f>SUM(X18:AD18)</f>
        <v>514.39728081800001</v>
      </c>
      <c r="G18" s="189"/>
      <c r="H18" s="421">
        <f t="shared" ref="H18:H20" si="5">+IFERROR(IF(F18&lt;0,-(D18/F18-1),(D18/F18-1)),0)</f>
        <v>3.7475014753859837E-2</v>
      </c>
      <c r="I18" s="189"/>
      <c r="J18" s="410"/>
      <c r="L18" s="550">
        <f>SUM(T18,R18,P18,N18)</f>
        <v>533.67432650599994</v>
      </c>
      <c r="M18" s="188"/>
      <c r="N18" s="550">
        <v>137.56899999999999</v>
      </c>
      <c r="O18" s="188"/>
      <c r="P18" s="550">
        <v>141.66</v>
      </c>
      <c r="Q18" s="188"/>
      <c r="R18" s="550">
        <v>141.762627006</v>
      </c>
      <c r="S18" s="188"/>
      <c r="T18" s="550">
        <v>112.68269950000001</v>
      </c>
      <c r="U18" s="188"/>
      <c r="V18" s="550">
        <f>SUM(X18:AD18)</f>
        <v>514.39728081800001</v>
      </c>
      <c r="W18" s="188"/>
      <c r="X18" s="550">
        <v>162.203676019</v>
      </c>
      <c r="Y18" s="188"/>
      <c r="Z18" s="550">
        <v>88.902097647999994</v>
      </c>
      <c r="AA18" s="188"/>
      <c r="AB18" s="550">
        <v>103.276747753</v>
      </c>
      <c r="AC18" s="188"/>
      <c r="AD18" s="550">
        <v>160.014759398</v>
      </c>
      <c r="AE18" s="188"/>
      <c r="AF18" s="550">
        <f>SUM(AH18:AN18)</f>
        <v>531.21621604000006</v>
      </c>
      <c r="AG18" s="188"/>
      <c r="AH18" s="188">
        <v>61.311921126999991</v>
      </c>
      <c r="AI18" s="188"/>
      <c r="AJ18" s="188">
        <v>141.53337252</v>
      </c>
      <c r="AK18" s="188"/>
      <c r="AL18" s="188">
        <v>138.430272242</v>
      </c>
      <c r="AM18" s="188"/>
      <c r="AN18" s="188">
        <v>189.94065015100003</v>
      </c>
      <c r="AO18" s="188"/>
      <c r="AP18" s="188"/>
      <c r="AQ18" s="621"/>
      <c r="AR18" s="622">
        <f>AZ18+AX18+AV18+AT18</f>
        <v>616.80035563900003</v>
      </c>
      <c r="AS18" s="622"/>
      <c r="AT18" s="622">
        <v>93.810166142</v>
      </c>
      <c r="AU18" s="622"/>
      <c r="AV18" s="622">
        <v>193.27632086200001</v>
      </c>
      <c r="AW18" s="622"/>
      <c r="AX18" s="622">
        <v>178.85439565800002</v>
      </c>
      <c r="AY18" s="622"/>
      <c r="AZ18" s="622">
        <v>150.859472977</v>
      </c>
      <c r="BA18" s="622"/>
      <c r="BB18" s="536"/>
      <c r="BC18" s="544"/>
    </row>
    <row r="19" spans="1:55" s="68" customFormat="1" x14ac:dyDescent="0.3">
      <c r="B19" s="60" t="s">
        <v>1885</v>
      </c>
      <c r="C19" s="68" t="s">
        <v>1953</v>
      </c>
      <c r="D19" s="70">
        <f>L19</f>
        <v>14939.8</v>
      </c>
      <c r="E19" s="190"/>
      <c r="F19" s="70">
        <f>V19</f>
        <v>14978.233241477001</v>
      </c>
      <c r="G19" s="190"/>
      <c r="H19" s="54">
        <f t="shared" si="5"/>
        <v>-2.5659395776114202E-3</v>
      </c>
      <c r="I19" s="190"/>
      <c r="J19" s="214"/>
      <c r="L19" s="179">
        <f>N19</f>
        <v>14939.8</v>
      </c>
      <c r="M19" s="70"/>
      <c r="N19" s="179">
        <v>14939.8</v>
      </c>
      <c r="O19" s="70"/>
      <c r="P19" s="179">
        <v>15307.1</v>
      </c>
      <c r="Q19" s="70"/>
      <c r="R19" s="179">
        <v>15187.8</v>
      </c>
      <c r="S19" s="70"/>
      <c r="T19" s="179">
        <v>15287.439128000002</v>
      </c>
      <c r="U19" s="70"/>
      <c r="V19" s="179">
        <f>X19</f>
        <v>14978.233241477001</v>
      </c>
      <c r="W19" s="70"/>
      <c r="X19" s="179">
        <v>14978.233241477001</v>
      </c>
      <c r="Y19" s="70"/>
      <c r="Z19" s="179">
        <v>14887.014303958</v>
      </c>
      <c r="AA19" s="70"/>
      <c r="AB19" s="179">
        <v>14430.10201506</v>
      </c>
      <c r="AC19" s="70"/>
      <c r="AD19" s="179">
        <v>14230.326101807001</v>
      </c>
      <c r="AE19" s="70"/>
      <c r="AF19" s="179">
        <f>AH19</f>
        <v>14323.143106308999</v>
      </c>
      <c r="AG19" s="70"/>
      <c r="AH19" s="70">
        <v>14323.143106308999</v>
      </c>
      <c r="AI19" s="70"/>
      <c r="AJ19" s="70">
        <v>14089.050413282001</v>
      </c>
      <c r="AK19" s="70"/>
      <c r="AL19" s="70">
        <v>14377.763020762</v>
      </c>
      <c r="AM19" s="70"/>
      <c r="AN19" s="70">
        <v>14641.083188519999</v>
      </c>
      <c r="AO19" s="70"/>
      <c r="AP19" s="70"/>
      <c r="AQ19" s="623"/>
      <c r="AR19" s="538">
        <f>AT19</f>
        <v>17230.024578369001</v>
      </c>
      <c r="AS19" s="538"/>
      <c r="AT19" s="538">
        <v>17230.024578369001</v>
      </c>
      <c r="AU19" s="538"/>
      <c r="AV19" s="538">
        <v>17502.010938772997</v>
      </c>
      <c r="AW19" s="538"/>
      <c r="AX19" s="538">
        <v>17584.923872694999</v>
      </c>
      <c r="AY19" s="538"/>
      <c r="AZ19" s="538">
        <v>17737.885941716002</v>
      </c>
      <c r="BA19" s="538"/>
      <c r="BB19" s="545"/>
      <c r="BC19" s="545">
        <v>20533.742964186</v>
      </c>
    </row>
    <row r="20" spans="1:55" s="68" customFormat="1" x14ac:dyDescent="0.3">
      <c r="B20" s="60" t="s">
        <v>1886</v>
      </c>
      <c r="C20" s="68" t="s">
        <v>1952</v>
      </c>
      <c r="D20" s="70">
        <f>L20</f>
        <v>14978.233241477001</v>
      </c>
      <c r="E20" s="190"/>
      <c r="F20" s="70">
        <f>V20</f>
        <v>14323.143106308999</v>
      </c>
      <c r="G20" s="190"/>
      <c r="H20" s="54">
        <f t="shared" si="5"/>
        <v>4.5736479088828608E-2</v>
      </c>
      <c r="I20" s="190"/>
      <c r="J20" s="214"/>
      <c r="L20" s="179">
        <f>V19</f>
        <v>14978.233241477001</v>
      </c>
      <c r="M20" s="70"/>
      <c r="N20" s="179">
        <f>P19</f>
        <v>15307.1</v>
      </c>
      <c r="O20" s="70"/>
      <c r="P20" s="179">
        <f>R19</f>
        <v>15187.8</v>
      </c>
      <c r="Q20" s="70"/>
      <c r="R20" s="179">
        <f>T19</f>
        <v>15287.439128000002</v>
      </c>
      <c r="S20" s="70"/>
      <c r="T20" s="179">
        <f>X19</f>
        <v>14978.233241477001</v>
      </c>
      <c r="U20" s="70"/>
      <c r="V20" s="179">
        <f>AH19</f>
        <v>14323.143106308999</v>
      </c>
      <c r="W20" s="70"/>
      <c r="X20" s="179">
        <f>Z19</f>
        <v>14887.014303958</v>
      </c>
      <c r="Y20" s="70"/>
      <c r="Z20" s="179">
        <f>AB19</f>
        <v>14430.10201506</v>
      </c>
      <c r="AA20" s="70"/>
      <c r="AB20" s="179">
        <f>AD19</f>
        <v>14230.326101807001</v>
      </c>
      <c r="AC20" s="70"/>
      <c r="AD20" s="179">
        <f>AH19</f>
        <v>14323.143106308999</v>
      </c>
      <c r="AE20" s="70"/>
      <c r="AF20" s="179">
        <f>AT19</f>
        <v>17230.024578369001</v>
      </c>
      <c r="AG20" s="70"/>
      <c r="AH20" s="70">
        <f>AJ19</f>
        <v>14089.050413282001</v>
      </c>
      <c r="AI20" s="70"/>
      <c r="AJ20" s="70">
        <f>AL19</f>
        <v>14377.763020762</v>
      </c>
      <c r="AK20" s="70"/>
      <c r="AL20" s="70">
        <f>AN19</f>
        <v>14641.083188519999</v>
      </c>
      <c r="AM20" s="70"/>
      <c r="AN20" s="70">
        <f>AT19</f>
        <v>17230.024578369001</v>
      </c>
      <c r="AO20" s="70"/>
      <c r="AP20" s="70"/>
      <c r="AQ20" s="623"/>
      <c r="AR20" s="538">
        <f>BC19</f>
        <v>20533.742964186</v>
      </c>
      <c r="AS20" s="538"/>
      <c r="AT20" s="538">
        <f>AV19</f>
        <v>17502.010938772997</v>
      </c>
      <c r="AU20" s="538"/>
      <c r="AV20" s="538">
        <f>AX19</f>
        <v>17584.923872694999</v>
      </c>
      <c r="AW20" s="538"/>
      <c r="AX20" s="538">
        <f>AZ19</f>
        <v>17737.885941716002</v>
      </c>
      <c r="AY20" s="538"/>
      <c r="AZ20" s="538">
        <f>BC19</f>
        <v>20533.742964186</v>
      </c>
      <c r="BA20" s="538"/>
      <c r="BB20" s="363"/>
      <c r="BC20" s="363"/>
    </row>
    <row r="21" spans="1:55" s="68" customFormat="1" x14ac:dyDescent="0.3">
      <c r="B21" s="60" t="s">
        <v>1929</v>
      </c>
      <c r="C21" s="68" t="s">
        <v>1930</v>
      </c>
      <c r="D21" s="54">
        <f>L21</f>
        <v>3.6323700513615685E-2</v>
      </c>
      <c r="E21" s="190"/>
      <c r="F21" s="54">
        <f>V21</f>
        <v>3.573819118854691E-2</v>
      </c>
      <c r="G21" s="190"/>
      <c r="H21" s="200">
        <f>D21-F21</f>
        <v>5.855093250687754E-4</v>
      </c>
      <c r="I21" s="190"/>
      <c r="J21" s="198"/>
      <c r="K21" s="194"/>
      <c r="L21" s="199">
        <f>L18/((L19+L20-L18)/2)</f>
        <v>3.6323700513615685E-2</v>
      </c>
      <c r="M21" s="54"/>
      <c r="N21" s="199">
        <f>N18/((N19+N20-N18)/2)*4</f>
        <v>3.6551858292700024E-2</v>
      </c>
      <c r="O21" s="54"/>
      <c r="P21" s="199">
        <f>P18/((P19+P20-P18)/2)*4</f>
        <v>3.7336376610865918E-2</v>
      </c>
      <c r="Q21" s="54"/>
      <c r="R21" s="199">
        <f>R18/((R19+R20-R18)/2)*4</f>
        <v>3.738776912072167E-2</v>
      </c>
      <c r="S21" s="54"/>
      <c r="T21" s="199">
        <f>T18/((T19+T20-T18)/2)*4</f>
        <v>2.9896259238850049E-2</v>
      </c>
      <c r="U21" s="54"/>
      <c r="V21" s="199">
        <f>V18/((V19+V20-V18)/2)</f>
        <v>3.573819118854691E-2</v>
      </c>
      <c r="W21" s="54"/>
      <c r="X21" s="199">
        <f>X18/((X19+X20-X18)/2)*4</f>
        <v>4.3686748531793253E-2</v>
      </c>
      <c r="Y21" s="54"/>
      <c r="Z21" s="199">
        <f>Z18/(Z19+Z20-Z18)*2*4</f>
        <v>2.4333227332924048E-2</v>
      </c>
      <c r="AA21" s="54"/>
      <c r="AB21" s="199">
        <f>AB18/(AB19+AB20-AB18)*2*4</f>
        <v>2.8931946724826067E-2</v>
      </c>
      <c r="AC21" s="54"/>
      <c r="AD21" s="199">
        <f>AD18/(AD19+AD20-AD18)*2*4</f>
        <v>4.5084971168127763E-2</v>
      </c>
      <c r="AE21" s="54"/>
      <c r="AF21" s="199">
        <f>AF18/(AF19+AF20-AF18)*2</f>
        <v>3.4247762690044772E-2</v>
      </c>
      <c r="AG21" s="54"/>
      <c r="AH21" s="199">
        <f>AH18/(AH19+AH20-AH18)*2*4</f>
        <v>1.7300885946438228E-2</v>
      </c>
      <c r="AI21" s="54"/>
      <c r="AJ21" s="199">
        <f>AJ18/(AJ19+AJ20-AJ18)*2*4</f>
        <v>3.9973725862574222E-2</v>
      </c>
      <c r="AK21" s="54"/>
      <c r="AL21" s="199">
        <f>AL18/(AL19+AL20-AL18)*2*4</f>
        <v>3.8345783535467449E-2</v>
      </c>
      <c r="AM21" s="54"/>
      <c r="AN21" s="199">
        <f>AN18/(AN19+AN20-AN18)*2*4</f>
        <v>4.7963043646999819E-2</v>
      </c>
      <c r="AO21" s="209"/>
      <c r="AP21" s="54"/>
      <c r="AQ21" s="537"/>
      <c r="AR21" s="624">
        <f>AR18/(AR19+AR20-AR18)*2</f>
        <v>3.3208652137623293E-2</v>
      </c>
      <c r="AS21" s="539"/>
      <c r="AT21" s="624">
        <f>AT18/(AT19+AT20-AT18)*2*4</f>
        <v>2.1666275380194496E-2</v>
      </c>
      <c r="AU21" s="539"/>
      <c r="AV21" s="624">
        <f>AV18/(AV19+AV20-AV18)*2*4</f>
        <v>4.4312079437364468E-2</v>
      </c>
      <c r="AW21" s="539"/>
      <c r="AX21" s="624">
        <f>AX18/(AX19+AX20-AX18)*2*4</f>
        <v>4.0713549406009637E-2</v>
      </c>
      <c r="AY21" s="539"/>
      <c r="AZ21" s="624">
        <f>AZ18/(AZ19+AZ20-AZ18)*2*4</f>
        <v>3.1659271357036625E-2</v>
      </c>
      <c r="BA21" s="539"/>
      <c r="BB21" s="363"/>
      <c r="BC21" s="363"/>
    </row>
    <row r="22" spans="1:55" s="55" customFormat="1" x14ac:dyDescent="0.3">
      <c r="B22" s="86" t="s">
        <v>1931</v>
      </c>
      <c r="C22" s="68" t="s">
        <v>1557</v>
      </c>
      <c r="D22" s="54">
        <f>L22</f>
        <v>3.6323700513615685E-2</v>
      </c>
      <c r="E22" s="190"/>
      <c r="F22" s="54">
        <f>V22</f>
        <v>3.573819118854691E-2</v>
      </c>
      <c r="G22" s="190"/>
      <c r="H22" s="200">
        <f>D22-F22</f>
        <v>5.855093250687754E-4</v>
      </c>
      <c r="I22" s="54"/>
      <c r="J22" s="68"/>
      <c r="K22" s="68"/>
      <c r="L22" s="201">
        <f>N22</f>
        <v>3.6323700513615685E-2</v>
      </c>
      <c r="M22" s="181"/>
      <c r="N22" s="201">
        <f>SUM(N18:T18)/((N19+V19-SUM(N18:T18))/2)*4/N5</f>
        <v>3.6323700513615685E-2</v>
      </c>
      <c r="O22" s="181"/>
      <c r="P22" s="201">
        <f>SUM(P18:T18)/((P19+X19-SUM(P18:T18))/2)*4/P5</f>
        <v>3.5339851323278701E-2</v>
      </c>
      <c r="Q22" s="181"/>
      <c r="R22" s="201">
        <f>SUM(R18:T18)/((R19+V19-SUM(R18:T18))/2)*4/R5</f>
        <v>3.4026321468362833E-2</v>
      </c>
      <c r="S22" s="181"/>
      <c r="T22" s="201">
        <f>SUM(T18:U18)/((T19+X19-SUM(T18:U18))/2)*4/T5</f>
        <v>2.9896259238850049E-2</v>
      </c>
      <c r="U22" s="181"/>
      <c r="V22" s="201">
        <f>X22</f>
        <v>3.573819118854691E-2</v>
      </c>
      <c r="W22" s="181"/>
      <c r="X22" s="201">
        <f>SUM(X18:AD18)/((X19+AF19-SUM(X18:AD18))/2)*4/X5</f>
        <v>3.573819118854691E-2</v>
      </c>
      <c r="Y22" s="181"/>
      <c r="Z22" s="201">
        <f>SUM(Z18:AE18)/((Z19+AH19-SUM(Z18:AE18))/2)*4/Z5</f>
        <v>3.2545017814205955E-2</v>
      </c>
      <c r="AA22" s="181"/>
      <c r="AB22" s="201">
        <f>SUM(AB18:AD18)/((AB19+AH19-SUM(AB18:AD18))/2)*4/AB5</f>
        <v>3.6966224756449388E-2</v>
      </c>
      <c r="AC22" s="181"/>
      <c r="AD22" s="201">
        <f>SUM(AD18:AE18)/((AD19+AH19-SUM(AD18:AE18))/2)*4/AD5</f>
        <v>4.5084971168127763E-2</v>
      </c>
      <c r="AE22" s="181"/>
      <c r="AF22" s="201">
        <f>AH22</f>
        <v>3.4247762690044772E-2</v>
      </c>
      <c r="AG22" s="181"/>
      <c r="AH22" s="181">
        <f>SUM(AH18:AN18)/((AH19+AR19-SUM(AH18:AN18))/2)*4/AH5</f>
        <v>3.4247762690044772E-2</v>
      </c>
      <c r="AI22" s="181"/>
      <c r="AJ22" s="181">
        <f>SUM(AJ18:AO18)/((AJ19+AT19-SUM(AJ18:AO18))/2)*4/AJ5</f>
        <v>4.0619507476760179E-2</v>
      </c>
      <c r="AK22" s="181"/>
      <c r="AL22" s="181">
        <f>SUM(AL18:AO18)/((AL19+AT19-SUM(AL18:AO18))/2)*4/AL5</f>
        <v>4.1991949630851545E-2</v>
      </c>
      <c r="AM22" s="181"/>
      <c r="AN22" s="181">
        <f>SUM(AN18:AO18)/((AN19+AT19-SUM(AN18:AO18))/2)*4/AN5</f>
        <v>4.7963043646999819E-2</v>
      </c>
      <c r="AO22" s="170"/>
      <c r="AP22" s="54"/>
      <c r="AQ22" s="625"/>
      <c r="AR22" s="626">
        <f>AT22</f>
        <v>3.3888630821393852E-2</v>
      </c>
      <c r="AS22" s="626"/>
      <c r="AT22" s="626">
        <f>SUM(AT18:$AW$18)/((AT19+$AY$19-SUM(AT18:$AW$18))/2)*4/AT5</f>
        <v>3.3888630821393852E-2</v>
      </c>
      <c r="AU22" s="626"/>
      <c r="AV22" s="626">
        <f>SUM(AV18:$AW$18)/((AV19+$AY$19-SUM(AV18:$AW$18))/2)*4/AV5</f>
        <v>2.97770769311657E-2</v>
      </c>
      <c r="AW22" s="626"/>
      <c r="AX22" s="626">
        <f>SUM($AW18:AX$18)/((AX19+$AY$19-SUM($AW18:AX$18))/2)*4/AX5</f>
        <v>4.110161593780931E-2</v>
      </c>
      <c r="AY22" s="626"/>
      <c r="AZ22" s="626">
        <f>SUM($AW18:AZ$18)/((AZ19+$AY$19-SUM($AW18:AZ$18))/2)*4/AZ5</f>
        <v>0.15152141982550857</v>
      </c>
      <c r="BA22" s="627"/>
      <c r="BB22" s="369"/>
      <c r="BC22" s="369"/>
    </row>
    <row r="23" spans="1:55" x14ac:dyDescent="0.3">
      <c r="B23" s="233" t="s">
        <v>1250</v>
      </c>
      <c r="C23" s="247"/>
      <c r="D23" s="247"/>
      <c r="E23" s="247"/>
      <c r="F23" s="247"/>
      <c r="G23" s="247"/>
      <c r="H23" s="247"/>
      <c r="I23" s="247"/>
      <c r="M23" s="449"/>
      <c r="O23" s="449"/>
      <c r="Q23" s="449"/>
      <c r="S23" s="449"/>
      <c r="U23" s="449"/>
      <c r="W23" s="449"/>
      <c r="Y23" s="449"/>
      <c r="AA23" s="449"/>
      <c r="AC23" s="449"/>
      <c r="AE23" s="449"/>
      <c r="AO23" s="449" t="s">
        <v>784</v>
      </c>
      <c r="AP23" s="451"/>
      <c r="AQ23" s="546" t="s">
        <v>1561</v>
      </c>
      <c r="AT23" s="547"/>
      <c r="AV23" s="547"/>
      <c r="BC23" s="548"/>
    </row>
    <row r="24" spans="1:55" x14ac:dyDescent="0.3">
      <c r="B24" s="233" t="s">
        <v>1772</v>
      </c>
      <c r="AR24" s="538">
        <v>18122.599999999999</v>
      </c>
      <c r="AS24" s="538"/>
      <c r="AT24" s="538">
        <v>17502.010938772997</v>
      </c>
      <c r="AU24" s="538"/>
      <c r="AV24" s="538">
        <v>17584.923872694999</v>
      </c>
      <c r="AW24" s="538"/>
      <c r="AX24" s="538">
        <v>17737.885941716002</v>
      </c>
      <c r="AY24" s="538"/>
      <c r="AZ24" s="538">
        <v>18122.599999999999</v>
      </c>
      <c r="BA24" s="538"/>
      <c r="BB24" s="363"/>
      <c r="BC24" s="363"/>
    </row>
    <row r="25" spans="1:55" x14ac:dyDescent="0.3">
      <c r="B25" s="233" t="s">
        <v>1251</v>
      </c>
      <c r="AR25" s="782">
        <v>3.5513788398053102E-2</v>
      </c>
      <c r="AS25" s="539"/>
      <c r="AT25" s="624">
        <v>2.1666275380194496E-2</v>
      </c>
      <c r="AU25" s="539"/>
      <c r="AV25" s="624">
        <v>4.4312079437364468E-2</v>
      </c>
      <c r="AW25" s="539"/>
      <c r="AX25" s="624">
        <v>4.0713549406009637E-2</v>
      </c>
      <c r="AY25" s="539"/>
      <c r="AZ25" s="624">
        <v>3.3796931056462483E-2</v>
      </c>
      <c r="BA25" s="539"/>
      <c r="BB25" s="363"/>
      <c r="BC25" s="363"/>
    </row>
    <row r="26" spans="1:55" x14ac:dyDescent="0.3">
      <c r="B26" s="233" t="s">
        <v>1773</v>
      </c>
      <c r="AR26" s="626">
        <v>3.5513788398053095E-2</v>
      </c>
      <c r="AS26" s="626"/>
      <c r="AT26" s="626">
        <v>3.5513788398053095E-2</v>
      </c>
      <c r="AU26" s="626"/>
      <c r="AV26" s="626">
        <v>3.9731513119778079E-2</v>
      </c>
      <c r="AW26" s="626"/>
      <c r="AX26" s="626">
        <v>3.7279172294402814E-2</v>
      </c>
      <c r="AY26" s="626"/>
      <c r="AZ26" s="626">
        <v>3.3796931056462483E-2</v>
      </c>
      <c r="BA26" s="627"/>
    </row>
    <row r="27" spans="1:55" x14ac:dyDescent="0.3">
      <c r="A27" s="233"/>
      <c r="B27" s="233" t="s">
        <v>1988</v>
      </c>
      <c r="AR27" s="547"/>
      <c r="AS27" s="547"/>
      <c r="AT27" s="547"/>
      <c r="AU27" s="547"/>
      <c r="AV27" s="547"/>
      <c r="AW27" s="547"/>
      <c r="AX27" s="547"/>
      <c r="AY27" s="547"/>
      <c r="AZ27" s="547"/>
    </row>
    <row r="28" spans="1:55" x14ac:dyDescent="0.3">
      <c r="A28" s="233"/>
      <c r="B28" s="233" t="s">
        <v>1989</v>
      </c>
      <c r="AH28" s="341"/>
    </row>
    <row r="29" spans="1:55" x14ac:dyDescent="0.3">
      <c r="B29" s="234"/>
      <c r="AH29" s="341"/>
    </row>
    <row r="30" spans="1:55" x14ac:dyDescent="0.3">
      <c r="B30" s="233"/>
    </row>
    <row r="33" spans="2:50" x14ac:dyDescent="0.3">
      <c r="B33" s="524"/>
    </row>
    <row r="34" spans="2:50" x14ac:dyDescent="0.3">
      <c r="B34" s="628"/>
    </row>
    <row r="35" spans="2:50" x14ac:dyDescent="0.3">
      <c r="B35" s="525"/>
      <c r="AX35" s="549"/>
    </row>
    <row r="36" spans="2:50" x14ac:dyDescent="0.3">
      <c r="B36" s="628"/>
      <c r="AX36" s="549"/>
    </row>
    <row r="37" spans="2:50" x14ac:dyDescent="0.3">
      <c r="B37" s="525"/>
    </row>
    <row r="38" spans="2:50" x14ac:dyDescent="0.3">
      <c r="B38" s="19"/>
    </row>
    <row r="39" spans="2:50" x14ac:dyDescent="0.3">
      <c r="B39" s="34"/>
    </row>
    <row r="40" spans="2:50" x14ac:dyDescent="0.3">
      <c r="B40" s="19"/>
    </row>
    <row r="42" spans="2:50" hidden="1" x14ac:dyDescent="0.3">
      <c r="B42" s="360" t="s">
        <v>1687</v>
      </c>
    </row>
    <row r="43" spans="2:50" hidden="1" x14ac:dyDescent="0.3">
      <c r="B43" s="141" t="s">
        <v>1889</v>
      </c>
    </row>
  </sheetData>
  <mergeCells count="28">
    <mergeCell ref="AZ5:BA5"/>
    <mergeCell ref="AB5:AC5"/>
    <mergeCell ref="AD5:AE5"/>
    <mergeCell ref="AF5:AG5"/>
    <mergeCell ref="AH5:AI5"/>
    <mergeCell ref="AJ5:AK5"/>
    <mergeCell ref="AL5:AM5"/>
    <mergeCell ref="AN5:AO5"/>
    <mergeCell ref="AR5:AS5"/>
    <mergeCell ref="AT5:AU5"/>
    <mergeCell ref="AV5:AW5"/>
    <mergeCell ref="AX5:AY5"/>
    <mergeCell ref="AF4:AO4"/>
    <mergeCell ref="AR4:BA4"/>
    <mergeCell ref="D5:E5"/>
    <mergeCell ref="F5:G5"/>
    <mergeCell ref="L5:M5"/>
    <mergeCell ref="N5:O5"/>
    <mergeCell ref="Z5:AA5"/>
    <mergeCell ref="D4:E4"/>
    <mergeCell ref="F4:G4"/>
    <mergeCell ref="H4:I5"/>
    <mergeCell ref="V4:AE4"/>
    <mergeCell ref="P5:Q5"/>
    <mergeCell ref="R5:S5"/>
    <mergeCell ref="T5:U5"/>
    <mergeCell ref="V5:W5"/>
    <mergeCell ref="X5:Y5"/>
  </mergeCells>
  <phoneticPr fontId="1" type="noConversion"/>
  <pageMargins left="0.23622047244094491" right="0.23622047244094491" top="0.78740157480314965" bottom="0.23622047244094491" header="0.31496062992125984" footer="0.31496062992125984"/>
  <pageSetup paperSize="9" orientation="landscape" r:id="rId1"/>
  <drawing r:id="rId2"/>
  <legacy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B1:BA22"/>
  <sheetViews>
    <sheetView showGridLines="0" view="pageBreakPreview" zoomScale="85" zoomScaleNormal="110" zoomScaleSheetLayoutView="85" workbookViewId="0">
      <pane xSplit="10" ySplit="6" topLeftCell="K7" activePane="bottomRight" state="frozen"/>
      <selection activeCell="G47" sqref="G47"/>
      <selection pane="topRight" activeCell="G47" sqref="G47"/>
      <selection pane="bottomLeft" activeCell="G47" sqref="G47"/>
      <selection pane="bottomRight" activeCell="B58" sqref="B58"/>
    </sheetView>
  </sheetViews>
  <sheetFormatPr defaultRowHeight="16.5" outlineLevelCol="3" x14ac:dyDescent="0.3"/>
  <cols>
    <col min="1" max="1" width="5" style="35" customWidth="1"/>
    <col min="2" max="2" width="22" style="61" customWidth="1"/>
    <col min="3" max="3" width="27.875" style="35" bestFit="1" customWidth="1"/>
    <col min="4" max="9" width="7.5" style="35" customWidth="1"/>
    <col min="10" max="11" width="1.625" style="40" customWidth="1"/>
    <col min="12" max="31" width="7.5" style="35" hidden="1" customWidth="1" outlineLevel="2"/>
    <col min="32" max="51" width="7.5" style="35" hidden="1" customWidth="1" outlineLevel="3"/>
    <col min="52" max="52" width="9" style="35" hidden="1" customWidth="1" outlineLevel="1"/>
    <col min="53" max="53" width="9" style="35" collapsed="1"/>
    <col min="54" max="16384" width="9" style="35"/>
  </cols>
  <sheetData>
    <row r="1" spans="2:51" s="34" customFormat="1" x14ac:dyDescent="0.3">
      <c r="B1" s="78" t="str">
        <f>INDEX!I11</f>
        <v>자산건전성</v>
      </c>
      <c r="C1" s="35" t="s">
        <v>1739</v>
      </c>
      <c r="J1" s="48"/>
      <c r="K1" s="48"/>
    </row>
    <row r="2" spans="2:51" x14ac:dyDescent="0.3">
      <c r="B2" s="79" t="s">
        <v>18</v>
      </c>
    </row>
    <row r="3" spans="2:51" s="36" customFormat="1" x14ac:dyDescent="0.3">
      <c r="B3" s="80"/>
      <c r="J3" s="743"/>
      <c r="K3" s="743"/>
    </row>
    <row r="4" spans="2:51" s="36" customFormat="1" x14ac:dyDescent="0.3">
      <c r="B4" s="81"/>
      <c r="C4" s="109"/>
      <c r="D4" s="845">
        <f>SUMMARY!D4</f>
        <v>2025</v>
      </c>
      <c r="E4" s="846"/>
      <c r="F4" s="845">
        <f>SUMMARY!E4</f>
        <v>2024</v>
      </c>
      <c r="G4" s="846"/>
      <c r="H4" s="866" t="s">
        <v>32</v>
      </c>
      <c r="I4" s="883"/>
      <c r="J4" s="75"/>
      <c r="K4" s="743"/>
      <c r="L4" s="809"/>
      <c r="M4" s="809"/>
      <c r="N4" s="809"/>
      <c r="O4" s="809"/>
      <c r="P4" s="809"/>
      <c r="Q4" s="809"/>
      <c r="R4" s="404">
        <v>2025</v>
      </c>
      <c r="S4" s="404"/>
      <c r="T4" s="404"/>
      <c r="U4" s="405"/>
      <c r="V4" s="809"/>
      <c r="W4" s="809"/>
      <c r="X4" s="809"/>
      <c r="Y4" s="809"/>
      <c r="Z4" s="404">
        <v>2024</v>
      </c>
      <c r="AA4" s="404"/>
      <c r="AB4" s="404"/>
      <c r="AC4" s="404"/>
      <c r="AD4" s="404"/>
      <c r="AE4" s="405"/>
      <c r="AF4" s="846">
        <v>2023</v>
      </c>
      <c r="AG4" s="846"/>
      <c r="AH4" s="846"/>
      <c r="AI4" s="846"/>
      <c r="AJ4" s="846"/>
      <c r="AK4" s="846"/>
      <c r="AL4" s="846"/>
      <c r="AM4" s="846"/>
      <c r="AN4" s="846"/>
      <c r="AO4" s="847"/>
      <c r="AP4" s="845">
        <v>2022</v>
      </c>
      <c r="AQ4" s="846"/>
      <c r="AR4" s="846"/>
      <c r="AS4" s="846"/>
      <c r="AT4" s="846"/>
      <c r="AU4" s="846"/>
      <c r="AV4" s="846"/>
      <c r="AW4" s="846"/>
      <c r="AX4" s="846"/>
      <c r="AY4" s="847"/>
    </row>
    <row r="5" spans="2:51" s="36" customFormat="1" x14ac:dyDescent="0.3">
      <c r="B5" s="81"/>
      <c r="C5" s="109"/>
      <c r="D5" s="845" t="str">
        <f>N5</f>
        <v>Q4</v>
      </c>
      <c r="E5" s="847"/>
      <c r="F5" s="845" t="str">
        <f>X5</f>
        <v>Q4</v>
      </c>
      <c r="G5" s="847"/>
      <c r="H5" s="868"/>
      <c r="I5" s="884"/>
      <c r="J5" s="75"/>
      <c r="K5" s="743"/>
      <c r="L5" s="846" t="s">
        <v>31</v>
      </c>
      <c r="M5" s="847"/>
      <c r="N5" s="846" t="s">
        <v>28</v>
      </c>
      <c r="O5" s="847"/>
      <c r="P5" s="846" t="s">
        <v>30</v>
      </c>
      <c r="Q5" s="847"/>
      <c r="R5" s="846" t="s">
        <v>27</v>
      </c>
      <c r="S5" s="847"/>
      <c r="T5" s="846" t="s">
        <v>29</v>
      </c>
      <c r="U5" s="847"/>
      <c r="V5" s="846" t="s">
        <v>31</v>
      </c>
      <c r="W5" s="847"/>
      <c r="X5" s="846" t="s">
        <v>28</v>
      </c>
      <c r="Y5" s="847"/>
      <c r="Z5" s="846" t="s">
        <v>30</v>
      </c>
      <c r="AA5" s="847"/>
      <c r="AB5" s="846" t="s">
        <v>27</v>
      </c>
      <c r="AC5" s="847"/>
      <c r="AD5" s="846" t="s">
        <v>29</v>
      </c>
      <c r="AE5" s="847"/>
      <c r="AF5" s="846" t="s">
        <v>31</v>
      </c>
      <c r="AG5" s="847"/>
      <c r="AH5" s="845" t="s">
        <v>28</v>
      </c>
      <c r="AI5" s="847"/>
      <c r="AJ5" s="845" t="s">
        <v>30</v>
      </c>
      <c r="AK5" s="847"/>
      <c r="AL5" s="845" t="s">
        <v>27</v>
      </c>
      <c r="AM5" s="847"/>
      <c r="AN5" s="845" t="s">
        <v>29</v>
      </c>
      <c r="AO5" s="847"/>
      <c r="AP5" s="845" t="s">
        <v>31</v>
      </c>
      <c r="AQ5" s="847"/>
      <c r="AR5" s="845" t="s">
        <v>28</v>
      </c>
      <c r="AS5" s="847"/>
      <c r="AT5" s="845" t="s">
        <v>30</v>
      </c>
      <c r="AU5" s="847"/>
      <c r="AV5" s="845" t="s">
        <v>27</v>
      </c>
      <c r="AW5" s="847"/>
      <c r="AX5" s="845" t="s">
        <v>767</v>
      </c>
      <c r="AY5" s="847"/>
    </row>
    <row r="6" spans="2:51" s="36" customFormat="1" ht="30" x14ac:dyDescent="0.3">
      <c r="B6" s="745"/>
      <c r="C6" s="746"/>
      <c r="D6" s="38" t="s">
        <v>733</v>
      </c>
      <c r="E6" s="38" t="s">
        <v>734</v>
      </c>
      <c r="F6" s="38" t="s">
        <v>733</v>
      </c>
      <c r="G6" s="38" t="s">
        <v>734</v>
      </c>
      <c r="H6" s="38" t="s">
        <v>733</v>
      </c>
      <c r="I6" s="38" t="s">
        <v>734</v>
      </c>
      <c r="J6" s="75"/>
      <c r="K6" s="743"/>
      <c r="L6" s="241" t="s">
        <v>733</v>
      </c>
      <c r="M6" s="38" t="s">
        <v>734</v>
      </c>
      <c r="N6" s="241" t="s">
        <v>733</v>
      </c>
      <c r="O6" s="38" t="s">
        <v>734</v>
      </c>
      <c r="P6" s="241" t="s">
        <v>733</v>
      </c>
      <c r="Q6" s="38" t="s">
        <v>734</v>
      </c>
      <c r="R6" s="241" t="s">
        <v>733</v>
      </c>
      <c r="S6" s="38" t="s">
        <v>734</v>
      </c>
      <c r="T6" s="241" t="s">
        <v>733</v>
      </c>
      <c r="U6" s="38" t="s">
        <v>734</v>
      </c>
      <c r="V6" s="241" t="s">
        <v>733</v>
      </c>
      <c r="W6" s="38" t="s">
        <v>734</v>
      </c>
      <c r="X6" s="241" t="s">
        <v>733</v>
      </c>
      <c r="Y6" s="38" t="s">
        <v>734</v>
      </c>
      <c r="Z6" s="241" t="s">
        <v>733</v>
      </c>
      <c r="AA6" s="38" t="s">
        <v>734</v>
      </c>
      <c r="AB6" s="241" t="s">
        <v>733</v>
      </c>
      <c r="AC6" s="38" t="s">
        <v>734</v>
      </c>
      <c r="AD6" s="241" t="s">
        <v>733</v>
      </c>
      <c r="AE6" s="38" t="s">
        <v>734</v>
      </c>
      <c r="AF6" s="241" t="s">
        <v>733</v>
      </c>
      <c r="AG6" s="38" t="s">
        <v>734</v>
      </c>
      <c r="AH6" s="38" t="s">
        <v>733</v>
      </c>
      <c r="AI6" s="38" t="s">
        <v>734</v>
      </c>
      <c r="AJ6" s="38" t="s">
        <v>733</v>
      </c>
      <c r="AK6" s="38" t="s">
        <v>734</v>
      </c>
      <c r="AL6" s="38" t="s">
        <v>733</v>
      </c>
      <c r="AM6" s="38" t="s">
        <v>734</v>
      </c>
      <c r="AN6" s="38" t="s">
        <v>733</v>
      </c>
      <c r="AO6" s="38" t="s">
        <v>734</v>
      </c>
      <c r="AP6" s="38" t="s">
        <v>733</v>
      </c>
      <c r="AQ6" s="38" t="s">
        <v>734</v>
      </c>
      <c r="AR6" s="38" t="s">
        <v>733</v>
      </c>
      <c r="AS6" s="38" t="s">
        <v>734</v>
      </c>
      <c r="AT6" s="38" t="s">
        <v>733</v>
      </c>
      <c r="AU6" s="38" t="s">
        <v>734</v>
      </c>
      <c r="AV6" s="38" t="s">
        <v>733</v>
      </c>
      <c r="AW6" s="38" t="s">
        <v>734</v>
      </c>
      <c r="AX6" s="38" t="s">
        <v>733</v>
      </c>
      <c r="AY6" s="38" t="s">
        <v>734</v>
      </c>
    </row>
    <row r="7" spans="2:51" s="133" customFormat="1" x14ac:dyDescent="0.3">
      <c r="B7" s="135" t="s">
        <v>258</v>
      </c>
      <c r="C7" s="110" t="s">
        <v>266</v>
      </c>
      <c r="D7" s="29">
        <f t="shared" ref="D7" si="0">SUM(D8:D10)</f>
        <v>2177.8625111230012</v>
      </c>
      <c r="E7" s="44">
        <f>D7/$D$7</f>
        <v>1</v>
      </c>
      <c r="F7" s="29">
        <f t="shared" ref="F7" si="1">SUM(F8:F10)</f>
        <v>2724.354763157</v>
      </c>
      <c r="G7" s="44">
        <f>F7/$F$7</f>
        <v>1</v>
      </c>
      <c r="H7" s="44">
        <f>+IFERROR(IF(F7&lt;0,-(D7/F7-1),(D7/F7-1)),0)</f>
        <v>-0.20059511317120826</v>
      </c>
      <c r="I7" s="121">
        <f>E7-G7</f>
        <v>0</v>
      </c>
      <c r="J7" s="111"/>
      <c r="L7" s="151">
        <v>2177.8625111230012</v>
      </c>
      <c r="M7" s="44">
        <f t="shared" ref="M7:M13" si="2">L7/L$7</f>
        <v>1</v>
      </c>
      <c r="N7" s="151">
        <v>2177.8625111230012</v>
      </c>
      <c r="O7" s="44">
        <f t="shared" ref="O7:O13" si="3">N7/N$7</f>
        <v>1</v>
      </c>
      <c r="P7" s="151">
        <v>2068.1391345780003</v>
      </c>
      <c r="Q7" s="44">
        <f t="shared" ref="Q7:Q13" si="4">P7/P$7</f>
        <v>1</v>
      </c>
      <c r="R7" s="151">
        <f>SUM(R8:R10)</f>
        <v>2370.6489996079999</v>
      </c>
      <c r="S7" s="44">
        <f t="shared" ref="S7:S13" si="5">R7/R$7</f>
        <v>1</v>
      </c>
      <c r="T7" s="151">
        <f>SUM(T8:T10)</f>
        <v>2461.8786523980002</v>
      </c>
      <c r="U7" s="44">
        <f t="shared" ref="U7:U13" si="6">T7/T$7</f>
        <v>1</v>
      </c>
      <c r="V7" s="151">
        <f>SUM(V8:V10)</f>
        <v>2724.354763157</v>
      </c>
      <c r="W7" s="44">
        <f t="shared" ref="W7:W13" si="7">V7/V$7</f>
        <v>1</v>
      </c>
      <c r="X7" s="151">
        <f>SUM(X8:X10)</f>
        <v>2724.354763157</v>
      </c>
      <c r="Y7" s="44">
        <f t="shared" ref="Y7:Y13" si="8">X7/X$7</f>
        <v>1</v>
      </c>
      <c r="Z7" s="151">
        <f>SUM(Z8:Z10)</f>
        <v>2729.2272548759997</v>
      </c>
      <c r="AA7" s="44">
        <f t="shared" ref="AA7:AA13" si="9">Z7/Z$7</f>
        <v>1</v>
      </c>
      <c r="AB7" s="151">
        <f>SUM(AB8:AB10)</f>
        <v>3007.0786947020001</v>
      </c>
      <c r="AC7" s="44">
        <f t="shared" ref="AC7:AC13" si="10">AB7/AB$7</f>
        <v>1</v>
      </c>
      <c r="AD7" s="151">
        <f>SUM(AD8:AD10)</f>
        <v>3097.6159021099988</v>
      </c>
      <c r="AE7" s="44">
        <f t="shared" ref="AE7:AE13" si="11">AD7/AD$7</f>
        <v>1</v>
      </c>
      <c r="AF7" s="151">
        <f t="shared" ref="AF7" si="12">SUM(AF8:AF10)</f>
        <v>3202.2371493620003</v>
      </c>
      <c r="AG7" s="44">
        <f t="shared" ref="AG7:AG13" si="13">AF7/AF$7</f>
        <v>1</v>
      </c>
      <c r="AH7" s="29">
        <v>3202.2371493620003</v>
      </c>
      <c r="AI7" s="44">
        <f t="shared" ref="AI7:AI13" si="14">AH7/AH$7</f>
        <v>1</v>
      </c>
      <c r="AJ7" s="29">
        <f t="shared" ref="AJ7:AN7" si="15">SUM(AJ8:AJ10)</f>
        <v>3331.4616535119999</v>
      </c>
      <c r="AK7" s="44">
        <f t="shared" ref="AK7:AK13" si="16">AJ7/AJ$7</f>
        <v>1</v>
      </c>
      <c r="AL7" s="29">
        <f t="shared" ref="AL7" si="17">SUM(AL8:AL10)</f>
        <v>3512.4928565669998</v>
      </c>
      <c r="AM7" s="44">
        <f t="shared" ref="AM7:AM13" si="18">AL7/AL$7</f>
        <v>1</v>
      </c>
      <c r="AN7" s="29">
        <f t="shared" si="15"/>
        <v>3594.618015553001</v>
      </c>
      <c r="AO7" s="44">
        <f t="shared" ref="AO7:AO13" si="19">AN7/AN$7</f>
        <v>1</v>
      </c>
      <c r="AP7" s="29">
        <f t="shared" ref="AP7" si="20">SUM(AP8:AP10)</f>
        <v>5233.4190975090014</v>
      </c>
      <c r="AQ7" s="44">
        <f t="shared" ref="AQ7:AQ13" si="21">AP7/AP$7</f>
        <v>1</v>
      </c>
      <c r="AR7" s="29">
        <f t="shared" ref="AR7:AT7" si="22">SUM(AR8:AR10)</f>
        <v>5233.4190975090014</v>
      </c>
      <c r="AS7" s="44">
        <f t="shared" ref="AS7:AS13" si="23">AR7/AR$7</f>
        <v>1</v>
      </c>
      <c r="AT7" s="29">
        <f t="shared" si="22"/>
        <v>5253.9153126609999</v>
      </c>
      <c r="AU7" s="44">
        <f t="shared" ref="AU7:AU13" si="24">AT7/AT$7</f>
        <v>1</v>
      </c>
      <c r="AV7" s="29">
        <f t="shared" ref="AV7:AX7" si="25">SUM(AV8:AV10)</f>
        <v>5299.1204441950003</v>
      </c>
      <c r="AW7" s="44">
        <f t="shared" ref="AW7:AW13" si="26">AV7/AV$7</f>
        <v>1</v>
      </c>
      <c r="AX7" s="29">
        <f t="shared" si="25"/>
        <v>5568.8330105600016</v>
      </c>
      <c r="AY7" s="44">
        <f t="shared" ref="AY7:AY13" si="27">AX7/AX$7</f>
        <v>1</v>
      </c>
    </row>
    <row r="8" spans="2:51" s="40" customFormat="1" x14ac:dyDescent="0.3">
      <c r="B8" s="77" t="s">
        <v>259</v>
      </c>
      <c r="C8" s="73" t="s">
        <v>250</v>
      </c>
      <c r="D8" s="27">
        <f>L8</f>
        <v>2136.1987332310009</v>
      </c>
      <c r="E8" s="26">
        <f t="shared" ref="E8:E13" si="28">D8/$D$7</f>
        <v>0.98086941775286052</v>
      </c>
      <c r="F8" s="27">
        <f>X8</f>
        <v>2673.567198752</v>
      </c>
      <c r="G8" s="26">
        <f t="shared" ref="G8:G13" si="29">F8/$F$7</f>
        <v>0.98135794754345906</v>
      </c>
      <c r="H8" s="26">
        <f t="shared" ref="H8:H15" si="30">+IFERROR(IF(F8&lt;0,-(D8/F8-1),(D8/F8-1)),0)</f>
        <v>-0.20099306491037083</v>
      </c>
      <c r="I8" s="93">
        <f t="shared" ref="I8:I13" si="31">E8-G8</f>
        <v>-4.885297905985464E-4</v>
      </c>
      <c r="J8" s="51"/>
      <c r="L8" s="152">
        <v>2136.1987332310009</v>
      </c>
      <c r="M8" s="26">
        <f t="shared" si="2"/>
        <v>0.98086941775286052</v>
      </c>
      <c r="N8" s="152">
        <v>2136.1987332310009</v>
      </c>
      <c r="O8" s="26">
        <f t="shared" si="3"/>
        <v>0.98086941775286052</v>
      </c>
      <c r="P8" s="152">
        <v>2026.1579917160004</v>
      </c>
      <c r="Q8" s="26">
        <f t="shared" si="4"/>
        <v>0.97970100649414671</v>
      </c>
      <c r="R8" s="152">
        <v>2323.3851609099997</v>
      </c>
      <c r="S8" s="26">
        <f t="shared" si="5"/>
        <v>0.9800629115884234</v>
      </c>
      <c r="T8" s="152">
        <v>2411.2741275930002</v>
      </c>
      <c r="U8" s="26">
        <f t="shared" si="6"/>
        <v>0.97944475258530372</v>
      </c>
      <c r="V8" s="152">
        <v>2673.567198752</v>
      </c>
      <c r="W8" s="26">
        <f t="shared" si="7"/>
        <v>0.98135794754345906</v>
      </c>
      <c r="X8" s="152">
        <v>2673.567198752</v>
      </c>
      <c r="Y8" s="26">
        <f t="shared" si="8"/>
        <v>0.98135794754345906</v>
      </c>
      <c r="Z8" s="152">
        <v>2679.549945574</v>
      </c>
      <c r="AA8" s="26">
        <f t="shared" si="9"/>
        <v>0.98179803121442277</v>
      </c>
      <c r="AB8" s="152">
        <v>2929.8574125780001</v>
      </c>
      <c r="AC8" s="26">
        <f t="shared" si="10"/>
        <v>0.97432016586062353</v>
      </c>
      <c r="AD8" s="152">
        <v>3022.5960727969991</v>
      </c>
      <c r="AE8" s="26">
        <f t="shared" si="11"/>
        <v>0.97578142943355295</v>
      </c>
      <c r="AF8" s="152">
        <f>AH8</f>
        <v>3129.8346759770002</v>
      </c>
      <c r="AG8" s="26">
        <f t="shared" si="13"/>
        <v>0.97739003390194723</v>
      </c>
      <c r="AH8" s="27">
        <v>3129.8346759770002</v>
      </c>
      <c r="AI8" s="26">
        <f t="shared" si="14"/>
        <v>0.97739003390194723</v>
      </c>
      <c r="AJ8" s="27">
        <v>3271.619419744</v>
      </c>
      <c r="AK8" s="26">
        <f t="shared" si="16"/>
        <v>0.98203724371105561</v>
      </c>
      <c r="AL8" s="27">
        <v>3440.2741480760001</v>
      </c>
      <c r="AM8" s="26">
        <f t="shared" si="18"/>
        <v>0.97943947178256074</v>
      </c>
      <c r="AN8" s="27">
        <v>3556.8095680510014</v>
      </c>
      <c r="AO8" s="26">
        <f t="shared" si="19"/>
        <v>0.98948192900096421</v>
      </c>
      <c r="AP8" s="27">
        <f>AR8</f>
        <v>5197.2578776650007</v>
      </c>
      <c r="AQ8" s="26">
        <f t="shared" si="21"/>
        <v>0.99309032600480773</v>
      </c>
      <c r="AR8" s="27">
        <v>5197.2578776650007</v>
      </c>
      <c r="AS8" s="26">
        <f t="shared" si="23"/>
        <v>0.99309032600480773</v>
      </c>
      <c r="AT8" s="27">
        <v>5243.3507838360001</v>
      </c>
      <c r="AU8" s="26">
        <f t="shared" si="24"/>
        <v>0.99798920839101823</v>
      </c>
      <c r="AV8" s="27">
        <v>5288.2875653890005</v>
      </c>
      <c r="AW8" s="26">
        <f t="shared" si="26"/>
        <v>0.99795572134657429</v>
      </c>
      <c r="AX8" s="27">
        <v>5557.8775184960014</v>
      </c>
      <c r="AY8" s="26">
        <f t="shared" si="27"/>
        <v>0.99803271312980191</v>
      </c>
    </row>
    <row r="9" spans="2:51" s="40" customFormat="1" x14ac:dyDescent="0.3">
      <c r="B9" s="77" t="s">
        <v>260</v>
      </c>
      <c r="C9" s="73" t="s">
        <v>251</v>
      </c>
      <c r="D9" s="27">
        <f t="shared" ref="D9:D13" si="32">L9</f>
        <v>9.9162125910000025</v>
      </c>
      <c r="E9" s="26">
        <f t="shared" si="28"/>
        <v>4.553185768318666E-3</v>
      </c>
      <c r="F9" s="27">
        <f t="shared" ref="F9:F15" si="33">X9</f>
        <v>18.589273828</v>
      </c>
      <c r="G9" s="26">
        <f t="shared" si="29"/>
        <v>6.8233675288524569E-3</v>
      </c>
      <c r="H9" s="26">
        <f t="shared" si="30"/>
        <v>-0.46656267034682353</v>
      </c>
      <c r="I9" s="93">
        <f t="shared" si="31"/>
        <v>-2.2701817605337909E-3</v>
      </c>
      <c r="J9" s="51"/>
      <c r="L9" s="152">
        <v>9.9162125910000025</v>
      </c>
      <c r="M9" s="26">
        <f t="shared" si="2"/>
        <v>4.553185768318666E-3</v>
      </c>
      <c r="N9" s="152">
        <v>9.9162125910000025</v>
      </c>
      <c r="O9" s="26">
        <f t="shared" si="3"/>
        <v>4.553185768318666E-3</v>
      </c>
      <c r="P9" s="152">
        <v>10.07467881</v>
      </c>
      <c r="Q9" s="26">
        <f t="shared" si="4"/>
        <v>4.871373807282902E-3</v>
      </c>
      <c r="R9" s="152">
        <v>14.668125556000001</v>
      </c>
      <c r="S9" s="26">
        <f t="shared" si="5"/>
        <v>6.1873881618179066E-3</v>
      </c>
      <c r="T9" s="152">
        <v>17.376041187999999</v>
      </c>
      <c r="U9" s="26">
        <f t="shared" si="6"/>
        <v>7.0580412934142037E-3</v>
      </c>
      <c r="V9" s="152">
        <v>18.589273828</v>
      </c>
      <c r="W9" s="26">
        <f t="shared" si="7"/>
        <v>6.8233675288524569E-3</v>
      </c>
      <c r="X9" s="152">
        <v>18.589273828</v>
      </c>
      <c r="Y9" s="26">
        <f t="shared" si="8"/>
        <v>6.8233675288524569E-3</v>
      </c>
      <c r="Z9" s="152">
        <v>18.848797023000007</v>
      </c>
      <c r="AA9" s="26">
        <f t="shared" si="9"/>
        <v>6.9062761224170707E-3</v>
      </c>
      <c r="AB9" s="152">
        <v>47.094434023000005</v>
      </c>
      <c r="AC9" s="26">
        <f t="shared" si="10"/>
        <v>1.5661191077564082E-2</v>
      </c>
      <c r="AD9" s="152">
        <v>46.197616012999994</v>
      </c>
      <c r="AE9" s="26">
        <f t="shared" si="11"/>
        <v>1.4913926539934027E-2</v>
      </c>
      <c r="AF9" s="152">
        <f>AH9</f>
        <v>45.047993668000004</v>
      </c>
      <c r="AG9" s="26">
        <f t="shared" si="13"/>
        <v>1.4067663188835082E-2</v>
      </c>
      <c r="AH9" s="27">
        <v>45.047993668000004</v>
      </c>
      <c r="AI9" s="26">
        <f t="shared" si="14"/>
        <v>1.4067663188835082E-2</v>
      </c>
      <c r="AJ9" s="27">
        <v>33.172273763999996</v>
      </c>
      <c r="AK9" s="26">
        <f t="shared" si="16"/>
        <v>9.957273177384483E-3</v>
      </c>
      <c r="AL9" s="27">
        <v>46.299442320000004</v>
      </c>
      <c r="AM9" s="26">
        <f t="shared" si="18"/>
        <v>1.3181362698983999E-2</v>
      </c>
      <c r="AN9" s="27">
        <v>32.162285482999998</v>
      </c>
      <c r="AO9" s="26">
        <f t="shared" si="19"/>
        <v>8.9473444309915388E-3</v>
      </c>
      <c r="AP9" s="27">
        <f>AR9</f>
        <v>30.218631763000001</v>
      </c>
      <c r="AQ9" s="26">
        <f t="shared" si="21"/>
        <v>5.7741662190561888E-3</v>
      </c>
      <c r="AR9" s="27">
        <v>30.218631763000001</v>
      </c>
      <c r="AS9" s="26">
        <f t="shared" si="23"/>
        <v>5.7741662190561888E-3</v>
      </c>
      <c r="AT9" s="27">
        <v>4.9607313839999971</v>
      </c>
      <c r="AU9" s="26">
        <f t="shared" si="24"/>
        <v>9.4419705853376022E-4</v>
      </c>
      <c r="AV9" s="27">
        <v>4.82877285</v>
      </c>
      <c r="AW9" s="26">
        <f t="shared" si="26"/>
        <v>9.1124044090934951E-4</v>
      </c>
      <c r="AX9" s="27">
        <v>4.9056467999999978</v>
      </c>
      <c r="AY9" s="26">
        <f t="shared" si="27"/>
        <v>8.8091109765682952E-4</v>
      </c>
    </row>
    <row r="10" spans="2:51" s="40" customFormat="1" x14ac:dyDescent="0.3">
      <c r="B10" s="77" t="s">
        <v>261</v>
      </c>
      <c r="C10" s="73" t="s">
        <v>252</v>
      </c>
      <c r="D10" s="27">
        <f t="shared" si="32"/>
        <v>31.747565301000005</v>
      </c>
      <c r="E10" s="26">
        <f t="shared" si="28"/>
        <v>1.4577396478820682E-2</v>
      </c>
      <c r="F10" s="27">
        <f t="shared" si="33"/>
        <v>32.198290577000009</v>
      </c>
      <c r="G10" s="26">
        <f t="shared" si="29"/>
        <v>1.18186849276885E-2</v>
      </c>
      <c r="H10" s="26">
        <f t="shared" si="30"/>
        <v>-1.3998422522528808E-2</v>
      </c>
      <c r="I10" s="93">
        <f t="shared" si="31"/>
        <v>2.7587115511321821E-3</v>
      </c>
      <c r="J10" s="51"/>
      <c r="L10" s="152">
        <v>31.747565301000005</v>
      </c>
      <c r="M10" s="26">
        <f t="shared" si="2"/>
        <v>1.4577396478820682E-2</v>
      </c>
      <c r="N10" s="152">
        <v>31.747565301000005</v>
      </c>
      <c r="O10" s="26">
        <f t="shared" si="3"/>
        <v>1.4577396478820682E-2</v>
      </c>
      <c r="P10" s="152">
        <v>31.906464052000008</v>
      </c>
      <c r="Q10" s="26">
        <f t="shared" si="4"/>
        <v>1.5427619698570453E-2</v>
      </c>
      <c r="R10" s="152">
        <v>32.595713141999994</v>
      </c>
      <c r="S10" s="26">
        <f t="shared" si="5"/>
        <v>1.3749700249758559E-2</v>
      </c>
      <c r="T10" s="152">
        <v>33.228483617000002</v>
      </c>
      <c r="U10" s="26">
        <f t="shared" si="6"/>
        <v>1.3497206121282095E-2</v>
      </c>
      <c r="V10" s="152">
        <v>32.198290577000009</v>
      </c>
      <c r="W10" s="26">
        <f t="shared" si="7"/>
        <v>1.18186849276885E-2</v>
      </c>
      <c r="X10" s="152">
        <v>32.198290577000009</v>
      </c>
      <c r="Y10" s="26">
        <f t="shared" si="8"/>
        <v>1.18186849276885E-2</v>
      </c>
      <c r="Z10" s="152">
        <v>30.828512278999998</v>
      </c>
      <c r="AA10" s="26">
        <f t="shared" si="9"/>
        <v>1.1295692663160316E-2</v>
      </c>
      <c r="AB10" s="152">
        <v>30.126848100999997</v>
      </c>
      <c r="AC10" s="26">
        <f t="shared" si="10"/>
        <v>1.0018643061812372E-2</v>
      </c>
      <c r="AD10" s="152">
        <v>28.822213299999998</v>
      </c>
      <c r="AE10" s="26">
        <f t="shared" si="11"/>
        <v>9.3046440265131675E-3</v>
      </c>
      <c r="AF10" s="152">
        <f t="shared" ref="AF10" si="34">SUM(AF11:AF13)</f>
        <v>27.354479717000007</v>
      </c>
      <c r="AG10" s="26">
        <f t="shared" si="13"/>
        <v>8.5423029092176993E-3</v>
      </c>
      <c r="AH10" s="27">
        <v>27.354479717000007</v>
      </c>
      <c r="AI10" s="26">
        <f t="shared" si="14"/>
        <v>8.5423029092176993E-3</v>
      </c>
      <c r="AJ10" s="27">
        <v>26.669960004</v>
      </c>
      <c r="AK10" s="26">
        <f t="shared" si="16"/>
        <v>8.005483111559979E-3</v>
      </c>
      <c r="AL10" s="27">
        <f t="shared" ref="AL10" si="35">SUM(AL11:AL13)</f>
        <v>25.919266171000004</v>
      </c>
      <c r="AM10" s="26">
        <f t="shared" si="18"/>
        <v>7.3791655184553689E-3</v>
      </c>
      <c r="AN10" s="27">
        <f t="shared" ref="AN10" si="36">SUM(AN11:AN13)</f>
        <v>5.6461620190000001</v>
      </c>
      <c r="AO10" s="26">
        <f t="shared" si="19"/>
        <v>1.5707265680443619E-3</v>
      </c>
      <c r="AP10" s="27">
        <f t="shared" ref="AP10" si="37">SUM(AP11:AP13)</f>
        <v>5.9425880810000002</v>
      </c>
      <c r="AQ10" s="26">
        <f t="shared" si="21"/>
        <v>1.1355077761359775E-3</v>
      </c>
      <c r="AR10" s="27">
        <f t="shared" ref="AR10:AT10" si="38">SUM(AR11:AR13)</f>
        <v>5.9425880810000002</v>
      </c>
      <c r="AS10" s="26">
        <f t="shared" si="23"/>
        <v>1.1355077761359775E-3</v>
      </c>
      <c r="AT10" s="27">
        <f t="shared" si="38"/>
        <v>5.6037974410000011</v>
      </c>
      <c r="AU10" s="26">
        <f t="shared" si="24"/>
        <v>1.0665945504480911E-3</v>
      </c>
      <c r="AV10" s="27">
        <f t="shared" ref="AV10:AX10" si="39">SUM(AV11:AV13)</f>
        <v>6.0041059559999992</v>
      </c>
      <c r="AW10" s="26">
        <f t="shared" si="26"/>
        <v>1.1330382125164348E-3</v>
      </c>
      <c r="AX10" s="27">
        <f t="shared" si="39"/>
        <v>6.0498452640000009</v>
      </c>
      <c r="AY10" s="26">
        <f t="shared" si="27"/>
        <v>1.0863757725411898E-3</v>
      </c>
    </row>
    <row r="11" spans="2:51" s="40" customFormat="1" x14ac:dyDescent="0.3">
      <c r="B11" s="136" t="s">
        <v>262</v>
      </c>
      <c r="C11" s="128" t="s">
        <v>253</v>
      </c>
      <c r="D11" s="27">
        <f t="shared" si="32"/>
        <v>27.181733392000002</v>
      </c>
      <c r="E11" s="26">
        <f t="shared" si="28"/>
        <v>1.248092258036248E-2</v>
      </c>
      <c r="F11" s="27">
        <f t="shared" si="33"/>
        <v>27.30305425400001</v>
      </c>
      <c r="G11" s="26">
        <f t="shared" si="29"/>
        <v>1.0021842464584551E-2</v>
      </c>
      <c r="H11" s="26">
        <f t="shared" si="30"/>
        <v>-4.4434904927251884E-3</v>
      </c>
      <c r="I11" s="93">
        <f t="shared" si="31"/>
        <v>2.4590801157779296E-3</v>
      </c>
      <c r="J11" s="51"/>
      <c r="L11" s="152">
        <v>27.181733392000002</v>
      </c>
      <c r="M11" s="26">
        <f t="shared" si="2"/>
        <v>1.248092258036248E-2</v>
      </c>
      <c r="N11" s="152">
        <v>27.181733392000002</v>
      </c>
      <c r="O11" s="26">
        <f t="shared" si="3"/>
        <v>1.248092258036248E-2</v>
      </c>
      <c r="P11" s="152">
        <v>27.058126090000005</v>
      </c>
      <c r="Q11" s="26">
        <f t="shared" si="4"/>
        <v>1.3083319994097575E-2</v>
      </c>
      <c r="R11" s="152">
        <v>27.610159986999999</v>
      </c>
      <c r="S11" s="26">
        <f t="shared" si="5"/>
        <v>1.1646667217106157E-2</v>
      </c>
      <c r="T11" s="152">
        <v>28.130742231000003</v>
      </c>
      <c r="U11" s="26">
        <f t="shared" si="6"/>
        <v>1.1426534855241208E-2</v>
      </c>
      <c r="V11" s="152">
        <v>27.30305425400001</v>
      </c>
      <c r="W11" s="26">
        <f t="shared" si="7"/>
        <v>1.0021842464584551E-2</v>
      </c>
      <c r="X11" s="152">
        <v>27.30305425400001</v>
      </c>
      <c r="Y11" s="26">
        <f t="shared" si="8"/>
        <v>1.0021842464584551E-2</v>
      </c>
      <c r="Z11" s="152">
        <v>26.000590361</v>
      </c>
      <c r="AA11" s="26">
        <f t="shared" si="9"/>
        <v>9.5267223770199808E-3</v>
      </c>
      <c r="AB11" s="152">
        <v>25.387423081999998</v>
      </c>
      <c r="AC11" s="26">
        <f t="shared" si="10"/>
        <v>8.4425536075024062E-3</v>
      </c>
      <c r="AD11" s="152">
        <v>24.578961502999999</v>
      </c>
      <c r="AE11" s="26">
        <f t="shared" si="11"/>
        <v>7.9347996264667875E-3</v>
      </c>
      <c r="AF11" s="152">
        <f>AH11</f>
        <v>23.294383544000006</v>
      </c>
      <c r="AG11" s="26">
        <f t="shared" si="13"/>
        <v>7.2744092512452042E-3</v>
      </c>
      <c r="AH11" s="27">
        <v>23.294383544000006</v>
      </c>
      <c r="AI11" s="26">
        <f t="shared" si="14"/>
        <v>7.2744092512452042E-3</v>
      </c>
      <c r="AJ11" s="27">
        <v>22.817580847999999</v>
      </c>
      <c r="AK11" s="26">
        <f t="shared" si="16"/>
        <v>6.8491200623443738E-3</v>
      </c>
      <c r="AL11" s="27">
        <v>22.311162552000006</v>
      </c>
      <c r="AM11" s="26">
        <f t="shared" si="18"/>
        <v>6.3519453172087691E-3</v>
      </c>
      <c r="AN11" s="27">
        <v>2.8157184940000008</v>
      </c>
      <c r="AO11" s="26">
        <f t="shared" si="19"/>
        <v>7.8331507876973317E-4</v>
      </c>
      <c r="AP11" s="27">
        <f>AR11</f>
        <v>2.8051363839999999</v>
      </c>
      <c r="AQ11" s="26">
        <f t="shared" si="21"/>
        <v>5.360045377094272E-4</v>
      </c>
      <c r="AR11" s="27">
        <v>2.8051363839999999</v>
      </c>
      <c r="AS11" s="26">
        <f t="shared" si="23"/>
        <v>5.360045377094272E-4</v>
      </c>
      <c r="AT11" s="27">
        <v>2.5608537720000006</v>
      </c>
      <c r="AU11" s="26">
        <f t="shared" si="24"/>
        <v>4.8741816713885721E-4</v>
      </c>
      <c r="AV11" s="27">
        <v>3.0047883369999999</v>
      </c>
      <c r="AW11" s="26">
        <f t="shared" si="26"/>
        <v>5.6703529739386086E-4</v>
      </c>
      <c r="AX11" s="27">
        <v>3.2408903270000016</v>
      </c>
      <c r="AY11" s="26">
        <f t="shared" si="27"/>
        <v>5.8196938583979869E-4</v>
      </c>
    </row>
    <row r="12" spans="2:51" s="40" customFormat="1" x14ac:dyDescent="0.3">
      <c r="B12" s="136" t="s">
        <v>263</v>
      </c>
      <c r="C12" s="128" t="s">
        <v>254</v>
      </c>
      <c r="D12" s="27">
        <f t="shared" si="32"/>
        <v>2.8872472970000014</v>
      </c>
      <c r="E12" s="26">
        <f t="shared" si="28"/>
        <v>1.325725238509758E-3</v>
      </c>
      <c r="F12" s="27">
        <f t="shared" si="33"/>
        <v>3.2527823199999983</v>
      </c>
      <c r="G12" s="26">
        <f t="shared" si="29"/>
        <v>1.1939642971573398E-3</v>
      </c>
      <c r="H12" s="26">
        <f t="shared" si="30"/>
        <v>-0.11237610975455536</v>
      </c>
      <c r="I12" s="93">
        <f t="shared" si="31"/>
        <v>1.3176094135241819E-4</v>
      </c>
      <c r="J12" s="51"/>
      <c r="L12" s="152">
        <v>2.8872472970000014</v>
      </c>
      <c r="M12" s="26">
        <f t="shared" si="2"/>
        <v>1.325725238509758E-3</v>
      </c>
      <c r="N12" s="152">
        <v>2.8872472970000014</v>
      </c>
      <c r="O12" s="26">
        <f t="shared" si="3"/>
        <v>1.325725238509758E-3</v>
      </c>
      <c r="P12" s="152">
        <v>3.3065301350000014</v>
      </c>
      <c r="Q12" s="26">
        <f t="shared" si="4"/>
        <v>1.5987948198053379E-3</v>
      </c>
      <c r="R12" s="152">
        <v>3.2500876129999989</v>
      </c>
      <c r="S12" s="26">
        <f t="shared" si="5"/>
        <v>1.3709695587737446E-3</v>
      </c>
      <c r="T12" s="152">
        <v>3.4264645389999995</v>
      </c>
      <c r="U12" s="26">
        <f t="shared" si="6"/>
        <v>1.3918088674526835E-3</v>
      </c>
      <c r="V12" s="152">
        <v>3.2527823199999983</v>
      </c>
      <c r="W12" s="26">
        <f t="shared" si="7"/>
        <v>1.1939642971573398E-3</v>
      </c>
      <c r="X12" s="152">
        <v>3.2527823199999983</v>
      </c>
      <c r="Y12" s="26">
        <f t="shared" si="8"/>
        <v>1.1939642971573398E-3</v>
      </c>
      <c r="Z12" s="152">
        <v>3.2304002959999996</v>
      </c>
      <c r="AA12" s="26">
        <f t="shared" si="9"/>
        <v>1.1836318467905562E-3</v>
      </c>
      <c r="AB12" s="152">
        <v>3.35226165</v>
      </c>
      <c r="AC12" s="26">
        <f t="shared" si="10"/>
        <v>1.1147901303368475E-3</v>
      </c>
      <c r="AD12" s="152">
        <v>3.0109109970000003</v>
      </c>
      <c r="AE12" s="26">
        <f t="shared" si="11"/>
        <v>9.7200914901975489E-4</v>
      </c>
      <c r="AF12" s="152">
        <f>AH12</f>
        <v>2.7292235870000003</v>
      </c>
      <c r="AG12" s="26">
        <f t="shared" si="13"/>
        <v>8.5228652960439198E-4</v>
      </c>
      <c r="AH12" s="27">
        <v>2.7292235870000003</v>
      </c>
      <c r="AI12" s="26">
        <f t="shared" si="14"/>
        <v>8.5228652960439198E-4</v>
      </c>
      <c r="AJ12" s="27">
        <v>2.7750020440000003</v>
      </c>
      <c r="AK12" s="26">
        <f t="shared" si="16"/>
        <v>8.3296832820351256E-4</v>
      </c>
      <c r="AL12" s="27">
        <v>2.6986810699999992</v>
      </c>
      <c r="AM12" s="26">
        <f t="shared" si="18"/>
        <v>7.6830934046015552E-4</v>
      </c>
      <c r="AN12" s="27">
        <v>2.2455242829999995</v>
      </c>
      <c r="AO12" s="26">
        <f t="shared" si="19"/>
        <v>6.246906551083273E-4</v>
      </c>
      <c r="AP12" s="27">
        <f>AR12</f>
        <v>1.7390123920000007</v>
      </c>
      <c r="AQ12" s="26">
        <f t="shared" si="21"/>
        <v>3.3228991594190006E-4</v>
      </c>
      <c r="AR12" s="27">
        <v>1.7390123920000007</v>
      </c>
      <c r="AS12" s="26">
        <f t="shared" si="23"/>
        <v>3.3228991594190006E-4</v>
      </c>
      <c r="AT12" s="27">
        <v>1.65082153</v>
      </c>
      <c r="AU12" s="26">
        <f t="shared" si="24"/>
        <v>3.1420786818200404E-4</v>
      </c>
      <c r="AV12" s="27">
        <v>1.6261862150000002</v>
      </c>
      <c r="AW12" s="26">
        <f t="shared" si="26"/>
        <v>3.0687851543012763E-4</v>
      </c>
      <c r="AX12" s="27">
        <v>1.6121126299999999</v>
      </c>
      <c r="AY12" s="26">
        <f t="shared" si="27"/>
        <v>2.8948841291218498E-4</v>
      </c>
    </row>
    <row r="13" spans="2:51" s="40" customFormat="1" x14ac:dyDescent="0.3">
      <c r="B13" s="136" t="s">
        <v>264</v>
      </c>
      <c r="C13" s="128" t="s">
        <v>255</v>
      </c>
      <c r="D13" s="27">
        <f t="shared" si="32"/>
        <v>1.6785846120000001</v>
      </c>
      <c r="E13" s="26">
        <f t="shared" si="28"/>
        <v>7.7074865994844108E-4</v>
      </c>
      <c r="F13" s="27">
        <f t="shared" si="33"/>
        <v>1.6424540030000001</v>
      </c>
      <c r="G13" s="26">
        <f t="shared" si="29"/>
        <v>6.0287816594660883E-4</v>
      </c>
      <c r="H13" s="26">
        <f t="shared" si="30"/>
        <v>2.1997942672370874E-2</v>
      </c>
      <c r="I13" s="93">
        <f t="shared" si="31"/>
        <v>1.6787049400183226E-4</v>
      </c>
      <c r="J13" s="51"/>
      <c r="L13" s="152">
        <v>1.6785846120000001</v>
      </c>
      <c r="M13" s="26">
        <f t="shared" si="2"/>
        <v>7.7074865994844108E-4</v>
      </c>
      <c r="N13" s="152">
        <v>1.6785846120000001</v>
      </c>
      <c r="O13" s="26">
        <f t="shared" si="3"/>
        <v>7.7074865994844108E-4</v>
      </c>
      <c r="P13" s="152">
        <v>1.541807827</v>
      </c>
      <c r="Q13" s="26">
        <f t="shared" si="4"/>
        <v>7.4550488466754096E-4</v>
      </c>
      <c r="R13" s="152">
        <v>1.7354655419999994</v>
      </c>
      <c r="S13" s="26">
        <f t="shared" si="5"/>
        <v>7.3206347387865867E-4</v>
      </c>
      <c r="T13" s="152">
        <v>1.6712768470000003</v>
      </c>
      <c r="U13" s="26">
        <f t="shared" si="6"/>
        <v>6.7886239858820348E-4</v>
      </c>
      <c r="V13" s="152">
        <v>1.6424540030000001</v>
      </c>
      <c r="W13" s="26">
        <f t="shared" si="7"/>
        <v>6.0287816594660883E-4</v>
      </c>
      <c r="X13" s="152">
        <v>1.6424540030000001</v>
      </c>
      <c r="Y13" s="26">
        <f t="shared" si="8"/>
        <v>6.0287816594660883E-4</v>
      </c>
      <c r="Z13" s="152">
        <v>1.5975216220000001</v>
      </c>
      <c r="AA13" s="26">
        <f t="shared" si="9"/>
        <v>5.8533843934977935E-4</v>
      </c>
      <c r="AB13" s="152">
        <v>1.3871633690000003</v>
      </c>
      <c r="AC13" s="26">
        <f t="shared" si="10"/>
        <v>4.6129932397311849E-4</v>
      </c>
      <c r="AD13" s="152">
        <v>1.2323408000000002</v>
      </c>
      <c r="AE13" s="26">
        <f t="shared" si="11"/>
        <v>3.9783525102662611E-4</v>
      </c>
      <c r="AF13" s="152">
        <f>AH13</f>
        <v>1.3308725860000001</v>
      </c>
      <c r="AG13" s="26">
        <f t="shared" si="13"/>
        <v>4.1560712836810268E-4</v>
      </c>
      <c r="AH13" s="27">
        <v>1.3308725860000001</v>
      </c>
      <c r="AI13" s="26">
        <f t="shared" si="14"/>
        <v>4.1560712836810268E-4</v>
      </c>
      <c r="AJ13" s="27">
        <v>1.0773771120000004</v>
      </c>
      <c r="AK13" s="26">
        <f t="shared" si="16"/>
        <v>3.2339472101209336E-4</v>
      </c>
      <c r="AL13" s="27">
        <v>0.90942254899999997</v>
      </c>
      <c r="AM13" s="26">
        <f t="shared" si="18"/>
        <v>2.5891086078644473E-4</v>
      </c>
      <c r="AN13" s="27">
        <v>0.58491924200000001</v>
      </c>
      <c r="AO13" s="26">
        <f t="shared" si="19"/>
        <v>1.6272083416630159E-4</v>
      </c>
      <c r="AP13" s="27">
        <f>AR13</f>
        <v>1.3984393049999999</v>
      </c>
      <c r="AQ13" s="26">
        <f t="shared" si="21"/>
        <v>2.6721332248465023E-4</v>
      </c>
      <c r="AR13" s="27">
        <v>1.3984393049999999</v>
      </c>
      <c r="AS13" s="26">
        <f t="shared" si="23"/>
        <v>2.6721332248465023E-4</v>
      </c>
      <c r="AT13" s="27">
        <v>1.392122139</v>
      </c>
      <c r="AU13" s="26">
        <f t="shared" si="24"/>
        <v>2.6496851512722975E-4</v>
      </c>
      <c r="AV13" s="27">
        <v>1.3731314039999998</v>
      </c>
      <c r="AW13" s="26">
        <f t="shared" si="26"/>
        <v>2.5912439969244647E-4</v>
      </c>
      <c r="AX13" s="27">
        <v>1.1968423069999998</v>
      </c>
      <c r="AY13" s="26">
        <f t="shared" si="27"/>
        <v>2.1491797378920605E-4</v>
      </c>
    </row>
    <row r="14" spans="2:51" s="133" customFormat="1" x14ac:dyDescent="0.3">
      <c r="B14" s="135" t="s">
        <v>265</v>
      </c>
      <c r="C14" s="139" t="s">
        <v>256</v>
      </c>
      <c r="D14" s="140">
        <f>L14</f>
        <v>1.4577396478820682E-2</v>
      </c>
      <c r="E14" s="140"/>
      <c r="F14" s="30">
        <f t="shared" si="33"/>
        <v>1.18186849276885E-2</v>
      </c>
      <c r="G14" s="44"/>
      <c r="H14" s="44">
        <f t="shared" si="30"/>
        <v>0.23341950208598483</v>
      </c>
      <c r="I14" s="44"/>
      <c r="J14" s="111"/>
      <c r="L14" s="327">
        <v>1.4577396478820682E-2</v>
      </c>
      <c r="M14" s="44"/>
      <c r="N14" s="327">
        <v>1.4577396478820682E-2</v>
      </c>
      <c r="O14" s="44"/>
      <c r="P14" s="327">
        <v>1.5427619698570453E-2</v>
      </c>
      <c r="Q14" s="44"/>
      <c r="R14" s="327">
        <v>1.3749700249758559E-2</v>
      </c>
      <c r="S14" s="44"/>
      <c r="T14" s="327">
        <v>1.3497206121282095E-2</v>
      </c>
      <c r="U14" s="44"/>
      <c r="V14" s="327">
        <v>1.18186849276885E-2</v>
      </c>
      <c r="W14" s="44"/>
      <c r="X14" s="327">
        <v>1.18186849276885E-2</v>
      </c>
      <c r="Y14" s="44"/>
      <c r="Z14" s="327">
        <v>1.1295692663160316E-2</v>
      </c>
      <c r="AA14" s="44"/>
      <c r="AB14" s="327">
        <v>1.0018643061812372E-2</v>
      </c>
      <c r="AC14" s="44"/>
      <c r="AD14" s="327">
        <v>9.3046440265131675E-3</v>
      </c>
      <c r="AE14" s="44"/>
      <c r="AF14" s="71">
        <f>AH14</f>
        <v>8.5423029092176993E-3</v>
      </c>
      <c r="AG14" s="44"/>
      <c r="AH14" s="44">
        <v>8.5423029092176993E-3</v>
      </c>
      <c r="AI14" s="44"/>
      <c r="AJ14" s="140">
        <v>8.005483111559979E-3</v>
      </c>
      <c r="AK14" s="44"/>
      <c r="AL14" s="140">
        <v>7.3791655184553689E-3</v>
      </c>
      <c r="AM14" s="44"/>
      <c r="AN14" s="140">
        <v>1.5707265680443619E-3</v>
      </c>
      <c r="AO14" s="44"/>
      <c r="AP14" s="44">
        <f>AR14</f>
        <v>1.1355077761359775E-3</v>
      </c>
      <c r="AQ14" s="44"/>
      <c r="AR14" s="44">
        <v>1.1355077761359775E-3</v>
      </c>
      <c r="AS14" s="44"/>
      <c r="AT14" s="44">
        <v>1.0665945504480911E-3</v>
      </c>
      <c r="AU14" s="44"/>
      <c r="AV14" s="44">
        <v>1.1330382125164348E-3</v>
      </c>
      <c r="AW14" s="44"/>
      <c r="AX14" s="44">
        <v>1.0863757725411898E-3</v>
      </c>
      <c r="AY14" s="44"/>
    </row>
    <row r="15" spans="2:51" s="133" customFormat="1" x14ac:dyDescent="0.3">
      <c r="B15" s="135" t="s">
        <v>249</v>
      </c>
      <c r="C15" s="110" t="s">
        <v>257</v>
      </c>
      <c r="D15" s="140">
        <f>L15</f>
        <v>2.86419440673668E-3</v>
      </c>
      <c r="E15" s="140"/>
      <c r="F15" s="46">
        <f t="shared" si="33"/>
        <v>2.7249387074675135E-3</v>
      </c>
      <c r="G15" s="44"/>
      <c r="H15" s="44">
        <f t="shared" si="30"/>
        <v>5.1104158375212538E-2</v>
      </c>
      <c r="I15" s="44"/>
      <c r="J15" s="111"/>
      <c r="L15" s="327">
        <v>2.86419440673668E-3</v>
      </c>
      <c r="M15" s="44"/>
      <c r="N15" s="327">
        <v>2.86419440673668E-3</v>
      </c>
      <c r="O15" s="44"/>
      <c r="P15" s="327">
        <v>3.3382590733716496E-3</v>
      </c>
      <c r="Q15" s="44"/>
      <c r="R15" s="327">
        <v>3.1739740000498594E-3</v>
      </c>
      <c r="S15" s="44"/>
      <c r="T15" s="327">
        <v>2.8687990560057118E-3</v>
      </c>
      <c r="U15" s="44"/>
      <c r="V15" s="327">
        <v>2.7249387074675135E-3</v>
      </c>
      <c r="W15" s="44"/>
      <c r="X15" s="327">
        <v>2.7249387074675135E-3</v>
      </c>
      <c r="Y15" s="44"/>
      <c r="Z15" s="327">
        <v>2.561552028146381E-3</v>
      </c>
      <c r="AA15" s="44"/>
      <c r="AB15" s="327">
        <v>2.2613170486626968E-3</v>
      </c>
      <c r="AC15" s="44"/>
      <c r="AD15" s="327">
        <v>1.975469419830833E-3</v>
      </c>
      <c r="AE15" s="44"/>
      <c r="AF15" s="71">
        <f>AH15</f>
        <v>1.7669172216452777E-3</v>
      </c>
      <c r="AG15" s="44"/>
      <c r="AH15" s="44">
        <v>1.7669172216452777E-3</v>
      </c>
      <c r="AI15" s="44"/>
      <c r="AJ15" s="140">
        <v>1.6092228794974753E-3</v>
      </c>
      <c r="AK15" s="44"/>
      <c r="AL15" s="140">
        <v>1.3993486206841609E-3</v>
      </c>
      <c r="AM15" s="44"/>
      <c r="AN15" s="140">
        <v>1.1317837838116219E-3</v>
      </c>
      <c r="AO15" s="44"/>
      <c r="AP15" s="44">
        <f>AR15</f>
        <v>6.4615344729596872E-4</v>
      </c>
      <c r="AQ15" s="44"/>
      <c r="AR15" s="44">
        <v>6.4615344729596872E-4</v>
      </c>
      <c r="AS15" s="44"/>
      <c r="AT15" s="44">
        <v>5.5735777581783486E-4</v>
      </c>
      <c r="AU15" s="44"/>
      <c r="AV15" s="44">
        <v>5.4430678454566927E-3</v>
      </c>
      <c r="AW15" s="44"/>
      <c r="AX15" s="44">
        <v>5.1324667911214336E-3</v>
      </c>
      <c r="AY15" s="44"/>
    </row>
    <row r="16" spans="2:51" x14ac:dyDescent="0.3">
      <c r="B16" s="83"/>
      <c r="C16" s="37"/>
      <c r="D16" s="37"/>
      <c r="E16" s="37"/>
      <c r="F16" s="37"/>
      <c r="G16" s="37"/>
      <c r="H16" s="37"/>
      <c r="I16" s="37"/>
      <c r="L16" s="37"/>
      <c r="M16" s="37"/>
      <c r="N16" s="37"/>
      <c r="O16" s="37"/>
      <c r="P16" s="37"/>
      <c r="Q16" s="37"/>
      <c r="R16" s="37"/>
      <c r="S16" s="37"/>
      <c r="T16" s="37"/>
      <c r="U16" s="37"/>
      <c r="V16" s="37"/>
      <c r="W16" s="37"/>
      <c r="X16" s="37"/>
      <c r="Y16" s="37"/>
      <c r="Z16" s="37"/>
      <c r="AA16" s="37"/>
      <c r="AB16" s="37"/>
      <c r="AC16" s="37"/>
      <c r="AD16" s="37"/>
      <c r="AE16" s="37"/>
      <c r="AF16" s="37"/>
      <c r="AG16" s="37"/>
      <c r="AH16" s="37"/>
      <c r="AI16" s="37"/>
      <c r="AJ16" s="37"/>
      <c r="AK16" s="37"/>
      <c r="AL16" s="37"/>
      <c r="AM16" s="37"/>
      <c r="AN16" s="37"/>
      <c r="AO16" s="37"/>
      <c r="AP16" s="37"/>
      <c r="AQ16" s="37"/>
      <c r="AR16" s="37"/>
      <c r="AS16" s="37"/>
      <c r="AT16" s="37"/>
      <c r="AU16" s="37"/>
      <c r="AV16" s="37"/>
      <c r="AW16" s="37"/>
      <c r="AX16" s="37"/>
      <c r="AY16" s="37"/>
    </row>
    <row r="17" spans="2:2" x14ac:dyDescent="0.3">
      <c r="B17" s="267" t="s">
        <v>1252</v>
      </c>
    </row>
    <row r="18" spans="2:2" x14ac:dyDescent="0.3">
      <c r="B18" s="267" t="s">
        <v>731</v>
      </c>
    </row>
    <row r="19" spans="2:2" x14ac:dyDescent="0.3">
      <c r="B19" s="267" t="s">
        <v>780</v>
      </c>
    </row>
    <row r="20" spans="2:2" x14ac:dyDescent="0.3">
      <c r="B20" s="267" t="s">
        <v>781</v>
      </c>
    </row>
    <row r="21" spans="2:2" x14ac:dyDescent="0.3">
      <c r="B21" s="267" t="s">
        <v>785</v>
      </c>
    </row>
    <row r="22" spans="2:2" x14ac:dyDescent="0.3">
      <c r="B22" s="267" t="s">
        <v>786</v>
      </c>
    </row>
  </sheetData>
  <mergeCells count="27">
    <mergeCell ref="T5:U5"/>
    <mergeCell ref="D4:E4"/>
    <mergeCell ref="F4:G4"/>
    <mergeCell ref="H4:I5"/>
    <mergeCell ref="D5:E5"/>
    <mergeCell ref="F5:G5"/>
    <mergeCell ref="R5:S5"/>
    <mergeCell ref="P5:Q5"/>
    <mergeCell ref="N5:O5"/>
    <mergeCell ref="L5:M5"/>
    <mergeCell ref="AP4:AY4"/>
    <mergeCell ref="AX5:AY5"/>
    <mergeCell ref="AT5:AU5"/>
    <mergeCell ref="AF4:AO4"/>
    <mergeCell ref="AN5:AO5"/>
    <mergeCell ref="AJ5:AK5"/>
    <mergeCell ref="AL5:AM5"/>
    <mergeCell ref="AF5:AG5"/>
    <mergeCell ref="AH5:AI5"/>
    <mergeCell ref="X5:Y5"/>
    <mergeCell ref="V5:W5"/>
    <mergeCell ref="Z5:AA5"/>
    <mergeCell ref="AV5:AW5"/>
    <mergeCell ref="AR5:AS5"/>
    <mergeCell ref="AP5:AQ5"/>
    <mergeCell ref="AD5:AE5"/>
    <mergeCell ref="AB5:AC5"/>
  </mergeCells>
  <phoneticPr fontId="1" type="noConversion"/>
  <pageMargins left="0.23622047244094491" right="0.23622047244094491" top="0.78740157480314965" bottom="0.23622047244094491" header="0.31496062992125984" footer="0.31496062992125984"/>
  <pageSetup paperSize="9"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B1:AE44"/>
  <sheetViews>
    <sheetView showGridLines="0" view="pageBreakPreview" zoomScale="85" zoomScaleNormal="100" zoomScaleSheetLayoutView="85" workbookViewId="0">
      <pane xSplit="7" ySplit="5" topLeftCell="H6" activePane="bottomRight" state="frozen"/>
      <selection activeCell="G47" sqref="G47"/>
      <selection pane="topRight" activeCell="G47" sqref="G47"/>
      <selection pane="bottomLeft" activeCell="G47" sqref="G47"/>
      <selection pane="bottomRight" activeCell="C74" sqref="C74"/>
    </sheetView>
  </sheetViews>
  <sheetFormatPr defaultRowHeight="16.5" outlineLevelCol="2" x14ac:dyDescent="0.3"/>
  <cols>
    <col min="1" max="1" width="5" style="35" customWidth="1"/>
    <col min="2" max="2" width="24" style="61" customWidth="1"/>
    <col min="3" max="3" width="22" style="35" bestFit="1" customWidth="1"/>
    <col min="4" max="6" width="10" style="35" customWidth="1"/>
    <col min="7" max="7" width="1.625" style="40" customWidth="1"/>
    <col min="8" max="8" width="1.625" style="40" hidden="1" customWidth="1" outlineLevel="1"/>
    <col min="9" max="18" width="10" style="40" hidden="1" customWidth="1" outlineLevel="1"/>
    <col min="19" max="28" width="10" style="40" hidden="1" customWidth="1" outlineLevel="2"/>
    <col min="29" max="29" width="9" style="35" hidden="1" customWidth="1" outlineLevel="1" collapsed="1"/>
    <col min="30" max="30" width="9" style="35" collapsed="1"/>
    <col min="31" max="16384" width="9" style="35"/>
  </cols>
  <sheetData>
    <row r="1" spans="2:31" s="34" customFormat="1" x14ac:dyDescent="0.3">
      <c r="B1" s="78" t="str">
        <f>INDEX!I13</f>
        <v>재무안정성</v>
      </c>
      <c r="C1" s="35" t="s">
        <v>155</v>
      </c>
      <c r="G1" s="48"/>
      <c r="H1" s="48"/>
      <c r="I1" s="48"/>
      <c r="J1" s="48"/>
      <c r="K1" s="48"/>
      <c r="L1" s="48"/>
      <c r="M1" s="48"/>
      <c r="N1" s="48"/>
      <c r="O1" s="48"/>
      <c r="P1" s="48"/>
      <c r="Q1" s="48"/>
      <c r="R1" s="48"/>
      <c r="S1" s="48"/>
      <c r="T1" s="48"/>
      <c r="U1" s="48"/>
      <c r="V1" s="48"/>
      <c r="W1" s="48"/>
      <c r="X1" s="48"/>
      <c r="Y1" s="48"/>
      <c r="Z1" s="48"/>
      <c r="AA1" s="48"/>
      <c r="AB1" s="48"/>
    </row>
    <row r="2" spans="2:31" x14ac:dyDescent="0.3">
      <c r="B2" s="79" t="s">
        <v>18</v>
      </c>
    </row>
    <row r="3" spans="2:31" s="36" customFormat="1" x14ac:dyDescent="0.3">
      <c r="B3" s="80"/>
      <c r="D3" s="53"/>
      <c r="E3" s="53"/>
      <c r="G3" s="812"/>
      <c r="H3" s="812"/>
      <c r="I3" s="812"/>
      <c r="J3" s="812"/>
      <c r="K3" s="812"/>
      <c r="L3" s="812"/>
      <c r="M3" s="812"/>
      <c r="N3" s="830"/>
      <c r="O3" s="830"/>
      <c r="P3" s="830"/>
      <c r="Q3" s="812"/>
      <c r="R3" s="812"/>
      <c r="S3" s="812"/>
      <c r="T3" s="812"/>
      <c r="U3" s="812"/>
      <c r="V3" s="812"/>
      <c r="W3" s="812"/>
      <c r="X3" s="812"/>
      <c r="Y3" s="812"/>
      <c r="Z3" s="812"/>
      <c r="AA3" s="812"/>
      <c r="AB3" s="812"/>
      <c r="AD3" s="454"/>
      <c r="AE3" s="454"/>
    </row>
    <row r="4" spans="2:31" s="36" customFormat="1" x14ac:dyDescent="0.3">
      <c r="B4" s="81"/>
      <c r="C4" s="343"/>
      <c r="D4" s="186">
        <f>SUMMARY!D4</f>
        <v>2025</v>
      </c>
      <c r="E4" s="186">
        <f>SUMMARY!E4</f>
        <v>2024</v>
      </c>
      <c r="F4" s="836" t="s">
        <v>32</v>
      </c>
      <c r="G4" s="344"/>
      <c r="H4" s="182"/>
      <c r="I4" s="839">
        <v>2025</v>
      </c>
      <c r="J4" s="839"/>
      <c r="K4" s="839"/>
      <c r="L4" s="839"/>
      <c r="M4" s="840"/>
      <c r="N4" s="182"/>
      <c r="O4" s="182"/>
      <c r="P4" s="182"/>
      <c r="Q4" s="490">
        <v>2024</v>
      </c>
      <c r="R4" s="491"/>
      <c r="S4" s="805"/>
      <c r="T4" s="805"/>
      <c r="U4" s="839">
        <v>2023</v>
      </c>
      <c r="V4" s="839"/>
      <c r="W4" s="840"/>
      <c r="X4" s="838">
        <v>2022</v>
      </c>
      <c r="Y4" s="839"/>
      <c r="Z4" s="839"/>
      <c r="AA4" s="839"/>
      <c r="AB4" s="840"/>
      <c r="AC4" s="143"/>
      <c r="AD4" s="143"/>
    </row>
    <row r="5" spans="2:31" s="36" customFormat="1" x14ac:dyDescent="0.3">
      <c r="B5" s="82"/>
      <c r="C5" s="824"/>
      <c r="D5" s="803" t="str">
        <f>I5</f>
        <v>FY</v>
      </c>
      <c r="E5" s="803" t="str">
        <f>N5</f>
        <v>FY</v>
      </c>
      <c r="F5" s="837"/>
      <c r="G5" s="344"/>
      <c r="H5" s="182"/>
      <c r="I5" s="806" t="s">
        <v>31</v>
      </c>
      <c r="J5" s="806" t="s">
        <v>28</v>
      </c>
      <c r="K5" s="806" t="s">
        <v>30</v>
      </c>
      <c r="L5" s="806" t="s">
        <v>27</v>
      </c>
      <c r="M5" s="806" t="s">
        <v>29</v>
      </c>
      <c r="N5" s="806" t="s">
        <v>31</v>
      </c>
      <c r="O5" s="806" t="s">
        <v>28</v>
      </c>
      <c r="P5" s="806" t="s">
        <v>30</v>
      </c>
      <c r="Q5" s="806" t="s">
        <v>27</v>
      </c>
      <c r="R5" s="806" t="s">
        <v>29</v>
      </c>
      <c r="S5" s="806" t="s">
        <v>31</v>
      </c>
      <c r="T5" s="186" t="s">
        <v>28</v>
      </c>
      <c r="U5" s="806" t="s">
        <v>30</v>
      </c>
      <c r="V5" s="806" t="s">
        <v>27</v>
      </c>
      <c r="W5" s="186" t="s">
        <v>29</v>
      </c>
      <c r="X5" s="186" t="s">
        <v>31</v>
      </c>
      <c r="Y5" s="186" t="s">
        <v>28</v>
      </c>
      <c r="Z5" s="186" t="s">
        <v>771</v>
      </c>
      <c r="AA5" s="186" t="s">
        <v>768</v>
      </c>
      <c r="AB5" s="186" t="s">
        <v>765</v>
      </c>
      <c r="AC5" s="143"/>
      <c r="AD5" s="143"/>
    </row>
    <row r="6" spans="2:31" s="40" customFormat="1" x14ac:dyDescent="0.3">
      <c r="B6" s="83"/>
      <c r="C6" s="247"/>
      <c r="D6" s="191"/>
      <c r="E6" s="191"/>
      <c r="F6" s="192"/>
      <c r="G6" s="68"/>
      <c r="H6" s="193"/>
      <c r="I6" s="191"/>
      <c r="J6" s="191"/>
      <c r="K6" s="191"/>
      <c r="L6" s="191"/>
      <c r="M6" s="191"/>
      <c r="N6" s="191"/>
      <c r="O6" s="191"/>
      <c r="P6" s="191"/>
      <c r="Q6" s="191"/>
      <c r="R6" s="191"/>
      <c r="S6" s="191"/>
      <c r="T6" s="191"/>
      <c r="U6" s="191"/>
      <c r="V6" s="191"/>
      <c r="W6" s="191"/>
      <c r="X6" s="191"/>
      <c r="Y6" s="191"/>
      <c r="Z6" s="191"/>
      <c r="AA6" s="191"/>
      <c r="AB6" s="191"/>
      <c r="AC6" s="68"/>
      <c r="AD6" s="68"/>
    </row>
    <row r="7" spans="2:31" s="40" customFormat="1" x14ac:dyDescent="0.3">
      <c r="B7" s="84" t="s">
        <v>1296</v>
      </c>
      <c r="C7" s="68" t="s">
        <v>1304</v>
      </c>
      <c r="D7" s="193"/>
      <c r="E7" s="193"/>
      <c r="F7" s="194"/>
      <c r="G7" s="68"/>
      <c r="H7" s="193"/>
      <c r="I7" s="193"/>
      <c r="J7" s="193"/>
      <c r="K7" s="193"/>
      <c r="L7" s="193"/>
      <c r="M7" s="193"/>
      <c r="N7" s="193"/>
      <c r="O7" s="193"/>
      <c r="P7" s="193"/>
      <c r="Q7" s="193"/>
      <c r="R7" s="193"/>
      <c r="S7" s="193"/>
      <c r="T7" s="193"/>
      <c r="U7" s="193"/>
      <c r="V7" s="193"/>
      <c r="W7" s="193"/>
      <c r="X7" s="193"/>
      <c r="Y7" s="193"/>
      <c r="Z7" s="193"/>
      <c r="AA7" s="193"/>
      <c r="AB7" s="193"/>
      <c r="AC7" s="68"/>
      <c r="AD7" s="68"/>
    </row>
    <row r="8" spans="2:31" s="40" customFormat="1" x14ac:dyDescent="0.3">
      <c r="B8" s="148" t="s">
        <v>1297</v>
      </c>
      <c r="C8" s="455" t="s">
        <v>1548</v>
      </c>
      <c r="D8" s="195">
        <f>I8</f>
        <v>0.54971209597972881</v>
      </c>
      <c r="E8" s="196">
        <f t="shared" ref="E8:E34" si="0">N8</f>
        <v>0.53588766481535832</v>
      </c>
      <c r="F8" s="197">
        <f>D8-E8</f>
        <v>1.3824431164370488E-2</v>
      </c>
      <c r="G8" s="198"/>
      <c r="H8" s="194"/>
      <c r="I8" s="195">
        <v>0.54971209597972881</v>
      </c>
      <c r="J8" s="195">
        <v>0.54971209597972881</v>
      </c>
      <c r="K8" s="195">
        <v>0.54733519387556284</v>
      </c>
      <c r="L8" s="195">
        <v>0.54473529881654048</v>
      </c>
      <c r="M8" s="195">
        <v>0.57121404656499852</v>
      </c>
      <c r="N8" s="195">
        <v>0.53588766481535832</v>
      </c>
      <c r="O8" s="195">
        <v>0.53588766481535832</v>
      </c>
      <c r="P8" s="195">
        <v>0.53700552495957432</v>
      </c>
      <c r="Q8" s="195">
        <v>0.54348008576158047</v>
      </c>
      <c r="R8" s="195">
        <v>0.53014640694522563</v>
      </c>
      <c r="S8" s="195">
        <v>0.54602949729252492</v>
      </c>
      <c r="T8" s="196">
        <v>0.54602949729252492</v>
      </c>
      <c r="U8" s="195">
        <v>0.50296126859292944</v>
      </c>
      <c r="V8" s="195">
        <v>0.5090280518832041</v>
      </c>
      <c r="W8" s="196">
        <v>0.43087087093729787</v>
      </c>
      <c r="X8" s="196">
        <f>Y8</f>
        <v>0.49428922225041122</v>
      </c>
      <c r="Y8" s="196">
        <v>0.49428922225041122</v>
      </c>
      <c r="Z8" s="196">
        <v>0.50771957295727455</v>
      </c>
      <c r="AA8" s="196">
        <v>0.51495697121174466</v>
      </c>
      <c r="AB8" s="196">
        <v>0.41203197724821677</v>
      </c>
      <c r="AC8" s="68"/>
      <c r="AD8" s="68"/>
    </row>
    <row r="9" spans="2:31" s="40" customFormat="1" x14ac:dyDescent="0.3">
      <c r="B9" s="149" t="s">
        <v>1298</v>
      </c>
      <c r="C9" s="313" t="s">
        <v>1550</v>
      </c>
      <c r="D9" s="199">
        <f t="shared" ref="D9:D34" si="1">I9</f>
        <v>0.45028790402027119</v>
      </c>
      <c r="E9" s="54">
        <f t="shared" si="0"/>
        <v>0.46411233518464168</v>
      </c>
      <c r="F9" s="200">
        <f t="shared" ref="F9:F10" si="2">D9-E9</f>
        <v>-1.3824431164370488E-2</v>
      </c>
      <c r="G9" s="198"/>
      <c r="H9" s="194"/>
      <c r="I9" s="199">
        <v>0.45028790402027119</v>
      </c>
      <c r="J9" s="199">
        <v>0.45028790402027119</v>
      </c>
      <c r="K9" s="199">
        <v>0.45266480612443716</v>
      </c>
      <c r="L9" s="199">
        <v>0.45526470118345952</v>
      </c>
      <c r="M9" s="199">
        <v>0.42878595343500148</v>
      </c>
      <c r="N9" s="199">
        <v>0.46411233518464168</v>
      </c>
      <c r="O9" s="199">
        <v>0.46411233518464168</v>
      </c>
      <c r="P9" s="199">
        <v>0.46299447504042568</v>
      </c>
      <c r="Q9" s="199">
        <v>0.45651991423841959</v>
      </c>
      <c r="R9" s="199">
        <v>0.46985359305477442</v>
      </c>
      <c r="S9" s="199">
        <v>0.45397050270747502</v>
      </c>
      <c r="T9" s="54">
        <v>0.45397050270747502</v>
      </c>
      <c r="U9" s="199">
        <v>0.4970387314070705</v>
      </c>
      <c r="V9" s="199">
        <v>0.49097194811679595</v>
      </c>
      <c r="W9" s="54">
        <v>0.52893448395802112</v>
      </c>
      <c r="X9" s="54">
        <f>Y9</f>
        <v>0.50571077774958861</v>
      </c>
      <c r="Y9" s="54">
        <v>0.50571077774958861</v>
      </c>
      <c r="Z9" s="54">
        <v>0.49228042704272523</v>
      </c>
      <c r="AA9" s="54">
        <v>0.48504302878825523</v>
      </c>
      <c r="AB9" s="54">
        <v>0.5601028471384899</v>
      </c>
      <c r="AC9" s="68"/>
      <c r="AD9" s="68"/>
    </row>
    <row r="10" spans="2:31" s="40" customFormat="1" x14ac:dyDescent="0.3">
      <c r="B10" s="150" t="s">
        <v>1299</v>
      </c>
      <c r="C10" s="394" t="s">
        <v>1546</v>
      </c>
      <c r="D10" s="201">
        <f t="shared" si="1"/>
        <v>0</v>
      </c>
      <c r="E10" s="181">
        <f t="shared" si="0"/>
        <v>0</v>
      </c>
      <c r="F10" s="202">
        <f t="shared" si="2"/>
        <v>0</v>
      </c>
      <c r="G10" s="198"/>
      <c r="H10" s="194"/>
      <c r="I10" s="201">
        <v>0</v>
      </c>
      <c r="J10" s="201">
        <v>0</v>
      </c>
      <c r="K10" s="201">
        <v>0</v>
      </c>
      <c r="L10" s="201">
        <v>0</v>
      </c>
      <c r="M10" s="201">
        <v>0</v>
      </c>
      <c r="N10" s="201">
        <v>0</v>
      </c>
      <c r="O10" s="201">
        <v>0</v>
      </c>
      <c r="P10" s="201">
        <v>0</v>
      </c>
      <c r="Q10" s="201">
        <v>0</v>
      </c>
      <c r="R10" s="201">
        <v>0</v>
      </c>
      <c r="S10" s="201">
        <v>0</v>
      </c>
      <c r="T10" s="181">
        <v>0</v>
      </c>
      <c r="U10" s="201">
        <v>0</v>
      </c>
      <c r="V10" s="201">
        <v>0</v>
      </c>
      <c r="W10" s="181">
        <v>4.0194645104681022E-2</v>
      </c>
      <c r="X10" s="181">
        <f>Y10</f>
        <v>0.13525300494503614</v>
      </c>
      <c r="Y10" s="181">
        <v>0.13525300494503614</v>
      </c>
      <c r="Z10" s="181">
        <v>0.13350601134050447</v>
      </c>
      <c r="AA10" s="181">
        <v>0.13374679023304334</v>
      </c>
      <c r="AB10" s="181">
        <v>2.7865175613293231E-2</v>
      </c>
      <c r="AC10" s="68"/>
      <c r="AD10" s="68"/>
    </row>
    <row r="11" spans="2:31" s="40" customFormat="1" x14ac:dyDescent="0.3">
      <c r="B11" s="77"/>
      <c r="C11" s="203"/>
      <c r="D11" s="194"/>
      <c r="E11" s="194"/>
      <c r="F11" s="204"/>
      <c r="G11" s="194"/>
      <c r="H11" s="194"/>
      <c r="I11" s="194"/>
      <c r="J11" s="194"/>
      <c r="K11" s="194"/>
      <c r="L11" s="194"/>
      <c r="M11" s="194"/>
      <c r="N11" s="194"/>
      <c r="O11" s="194"/>
      <c r="P11" s="194"/>
      <c r="Q11" s="194"/>
      <c r="R11" s="194"/>
      <c r="S11" s="194"/>
      <c r="T11" s="194"/>
      <c r="U11" s="194"/>
      <c r="V11" s="194"/>
      <c r="W11" s="194"/>
      <c r="X11" s="194"/>
      <c r="Y11" s="194"/>
      <c r="Z11" s="194"/>
      <c r="AA11" s="194"/>
      <c r="AB11" s="194"/>
      <c r="AC11" s="68"/>
      <c r="AD11" s="68"/>
    </row>
    <row r="12" spans="2:31" s="40" customFormat="1" x14ac:dyDescent="0.3">
      <c r="B12" s="84" t="s">
        <v>1302</v>
      </c>
      <c r="C12" s="68" t="s">
        <v>1303</v>
      </c>
      <c r="D12" s="193"/>
      <c r="E12" s="193"/>
      <c r="F12" s="194"/>
      <c r="G12" s="68"/>
      <c r="H12" s="193"/>
      <c r="I12" s="193"/>
      <c r="J12" s="193"/>
      <c r="K12" s="193"/>
      <c r="L12" s="193"/>
      <c r="M12" s="193"/>
      <c r="N12" s="193"/>
      <c r="O12" s="193"/>
      <c r="P12" s="193"/>
      <c r="Q12" s="193"/>
      <c r="R12" s="193"/>
      <c r="S12" s="193"/>
      <c r="T12" s="193"/>
      <c r="U12" s="193"/>
      <c r="V12" s="193"/>
      <c r="W12" s="193"/>
      <c r="X12" s="193"/>
      <c r="Y12" s="193"/>
      <c r="Z12" s="193"/>
      <c r="AA12" s="193"/>
      <c r="AB12" s="193"/>
      <c r="AC12" s="68"/>
      <c r="AD12" s="68"/>
    </row>
    <row r="13" spans="2:31" s="40" customFormat="1" x14ac:dyDescent="0.3">
      <c r="B13" s="85" t="s">
        <v>1297</v>
      </c>
      <c r="C13" s="455" t="s">
        <v>276</v>
      </c>
      <c r="D13" s="195">
        <f t="shared" si="1"/>
        <v>0.54971209597972881</v>
      </c>
      <c r="E13" s="196">
        <f t="shared" si="0"/>
        <v>0.53588766481535832</v>
      </c>
      <c r="F13" s="197">
        <f>D13-E13</f>
        <v>1.3824431164370488E-2</v>
      </c>
      <c r="G13" s="198"/>
      <c r="H13" s="194"/>
      <c r="I13" s="195">
        <v>0.54971209597972881</v>
      </c>
      <c r="J13" s="195">
        <v>0.54971209597972881</v>
      </c>
      <c r="K13" s="195">
        <v>0.54733519387556284</v>
      </c>
      <c r="L13" s="195">
        <v>0.54473529881654048</v>
      </c>
      <c r="M13" s="195">
        <v>0.57121404656499852</v>
      </c>
      <c r="N13" s="195">
        <v>0.53588766481535832</v>
      </c>
      <c r="O13" s="195">
        <v>0.53588766481535832</v>
      </c>
      <c r="P13" s="195">
        <v>0.53700552495957432</v>
      </c>
      <c r="Q13" s="195">
        <v>0.54348008576158047</v>
      </c>
      <c r="R13" s="195">
        <v>0.53014640694522563</v>
      </c>
      <c r="S13" s="195">
        <v>0.54602949729252492</v>
      </c>
      <c r="T13" s="196">
        <v>0.54602949729252492</v>
      </c>
      <c r="U13" s="195">
        <v>0.50296126859292944</v>
      </c>
      <c r="V13" s="195">
        <v>0.5090280518832041</v>
      </c>
      <c r="W13" s="196">
        <v>0.44891484376464091</v>
      </c>
      <c r="X13" s="196">
        <v>0.48999924473935419</v>
      </c>
      <c r="Y13" s="196">
        <v>0.48999924473935424</v>
      </c>
      <c r="Z13" s="196">
        <v>0.44861919038700931</v>
      </c>
      <c r="AA13" s="196">
        <v>0.41076625952463236</v>
      </c>
      <c r="AB13" s="196">
        <v>0.42384242073434253</v>
      </c>
      <c r="AC13" s="68"/>
      <c r="AD13" s="68"/>
    </row>
    <row r="14" spans="2:31" s="40" customFormat="1" x14ac:dyDescent="0.3">
      <c r="B14" s="150" t="s">
        <v>1298</v>
      </c>
      <c r="C14" s="394" t="s">
        <v>275</v>
      </c>
      <c r="D14" s="201">
        <f t="shared" si="1"/>
        <v>0.45028790402027119</v>
      </c>
      <c r="E14" s="181">
        <f t="shared" si="0"/>
        <v>0.46411233518464168</v>
      </c>
      <c r="F14" s="202">
        <f t="shared" ref="F14" si="3">D14-E14</f>
        <v>-1.3824431164370488E-2</v>
      </c>
      <c r="G14" s="198"/>
      <c r="H14" s="194"/>
      <c r="I14" s="201">
        <v>0.45028790402027119</v>
      </c>
      <c r="J14" s="201">
        <v>0.45028790402027119</v>
      </c>
      <c r="K14" s="201">
        <v>0.45266480612443716</v>
      </c>
      <c r="L14" s="201">
        <v>0.45526470118345952</v>
      </c>
      <c r="M14" s="201">
        <v>0.42878595343500148</v>
      </c>
      <c r="N14" s="201">
        <v>0.46411233518464168</v>
      </c>
      <c r="O14" s="201">
        <v>0.46411233518464168</v>
      </c>
      <c r="P14" s="201">
        <v>0.46299447504042568</v>
      </c>
      <c r="Q14" s="201">
        <v>0.45651991423841959</v>
      </c>
      <c r="R14" s="201">
        <v>0.46985359305477442</v>
      </c>
      <c r="S14" s="201">
        <v>0.45397050270747502</v>
      </c>
      <c r="T14" s="181">
        <v>0.45397050270747502</v>
      </c>
      <c r="U14" s="201">
        <v>0.4970387314070705</v>
      </c>
      <c r="V14" s="201">
        <v>0.49097194811679595</v>
      </c>
      <c r="W14" s="181">
        <v>0.55108515623535914</v>
      </c>
      <c r="X14" s="181">
        <v>0.51000075526064581</v>
      </c>
      <c r="Y14" s="181">
        <v>0.51000075526064581</v>
      </c>
      <c r="Z14" s="181">
        <v>0.55138080961299063</v>
      </c>
      <c r="AA14" s="181">
        <v>0.58923374047536758</v>
      </c>
      <c r="AB14" s="181">
        <v>0.57615757926565747</v>
      </c>
      <c r="AC14" s="68"/>
      <c r="AD14" s="68"/>
    </row>
    <row r="15" spans="2:31" s="40" customFormat="1" x14ac:dyDescent="0.3">
      <c r="B15" s="60"/>
      <c r="C15" s="212"/>
      <c r="D15" s="193"/>
      <c r="E15" s="193"/>
      <c r="F15" s="194"/>
      <c r="G15" s="68"/>
      <c r="H15" s="193"/>
      <c r="I15" s="193"/>
      <c r="J15" s="193"/>
      <c r="K15" s="193"/>
      <c r="L15" s="193"/>
      <c r="M15" s="193"/>
      <c r="N15" s="193"/>
      <c r="O15" s="193"/>
      <c r="P15" s="193"/>
      <c r="Q15" s="193"/>
      <c r="R15" s="193"/>
      <c r="S15" s="193"/>
      <c r="T15" s="193"/>
      <c r="U15" s="193"/>
      <c r="V15" s="193"/>
      <c r="W15" s="193"/>
      <c r="X15" s="193"/>
      <c r="Y15" s="193"/>
      <c r="Z15" s="193"/>
      <c r="AA15" s="193"/>
      <c r="AB15" s="193"/>
      <c r="AC15" s="68"/>
      <c r="AD15" s="68"/>
    </row>
    <row r="16" spans="2:31" s="40" customFormat="1" x14ac:dyDescent="0.3">
      <c r="B16" s="60" t="s">
        <v>271</v>
      </c>
      <c r="C16" s="212" t="s">
        <v>273</v>
      </c>
      <c r="D16" s="205"/>
      <c r="E16" s="205"/>
      <c r="F16" s="194"/>
      <c r="G16" s="68"/>
      <c r="H16" s="193"/>
      <c r="I16" s="193"/>
      <c r="J16" s="193"/>
      <c r="K16" s="193"/>
      <c r="L16" s="193"/>
      <c r="M16" s="193"/>
      <c r="N16" s="193"/>
      <c r="O16" s="193"/>
      <c r="P16" s="193"/>
      <c r="Q16" s="193"/>
      <c r="R16" s="193"/>
      <c r="S16" s="193"/>
      <c r="T16" s="193"/>
      <c r="U16" s="193"/>
      <c r="V16" s="193"/>
      <c r="W16" s="193"/>
      <c r="X16" s="193"/>
      <c r="Y16" s="193"/>
      <c r="Z16" s="193"/>
      <c r="AA16" s="193"/>
      <c r="AB16" s="193"/>
      <c r="AC16" s="68"/>
      <c r="AD16" s="68"/>
    </row>
    <row r="17" spans="2:30" s="40" customFormat="1" x14ac:dyDescent="0.3">
      <c r="B17" s="85" t="s">
        <v>112</v>
      </c>
      <c r="C17" s="456" t="s">
        <v>277</v>
      </c>
      <c r="D17" s="206">
        <f t="shared" si="1"/>
        <v>3.0877332318218542E-2</v>
      </c>
      <c r="E17" s="206">
        <f t="shared" si="0"/>
        <v>3.1630647040829185E-2</v>
      </c>
      <c r="F17" s="207">
        <f>D17-E17</f>
        <v>-7.5331472261064292E-4</v>
      </c>
      <c r="G17" s="208"/>
      <c r="H17" s="227"/>
      <c r="I17" s="221">
        <v>3.0877332318218542E-2</v>
      </c>
      <c r="J17" s="221">
        <v>3.1220260730541627E-2</v>
      </c>
      <c r="K17" s="221">
        <v>3.1104224060035213E-2</v>
      </c>
      <c r="L17" s="221">
        <v>3.0996433130673573E-2</v>
      </c>
      <c r="M17" s="221">
        <v>3.0834157615894808E-2</v>
      </c>
      <c r="N17" s="221">
        <v>3.1630647040829185E-2</v>
      </c>
      <c r="O17" s="221">
        <v>3.1042710488493164E-2</v>
      </c>
      <c r="P17" s="221">
        <v>3.1452272616736554E-2</v>
      </c>
      <c r="Q17" s="221">
        <v>3.1777586880834541E-2</v>
      </c>
      <c r="R17" s="221">
        <v>3.2651741018232094E-2</v>
      </c>
      <c r="S17" s="221">
        <v>3.4393393259797914E-2</v>
      </c>
      <c r="T17" s="206">
        <v>3.3944520593621519E-2</v>
      </c>
      <c r="U17" s="221">
        <v>3.3874701256154882E-2</v>
      </c>
      <c r="V17" s="221">
        <v>3.3507210434726709E-2</v>
      </c>
      <c r="W17" s="206">
        <v>3.5136928573937798E-2</v>
      </c>
      <c r="X17" s="206">
        <v>3.9138798752107802E-2</v>
      </c>
      <c r="Y17" s="206">
        <v>3.9981087829923399E-2</v>
      </c>
      <c r="Z17" s="206">
        <v>3.8764850140167548E-2</v>
      </c>
      <c r="AA17" s="206">
        <v>3.7988844727594617E-2</v>
      </c>
      <c r="AB17" s="206">
        <v>2.6734082957037053E-2</v>
      </c>
      <c r="AC17" s="68"/>
      <c r="AD17" s="68"/>
    </row>
    <row r="18" spans="2:30" s="40" customFormat="1" x14ac:dyDescent="0.3">
      <c r="B18" s="60" t="s">
        <v>1300</v>
      </c>
      <c r="C18" s="212" t="s">
        <v>1551</v>
      </c>
      <c r="D18" s="209">
        <f t="shared" si="1"/>
        <v>2.9363794782448105E-2</v>
      </c>
      <c r="E18" s="209">
        <f t="shared" si="0"/>
        <v>2.7502982842885881E-2</v>
      </c>
      <c r="F18" s="210">
        <f>D18-E18</f>
        <v>1.8608119395622236E-3</v>
      </c>
      <c r="G18" s="208"/>
      <c r="H18" s="227"/>
      <c r="I18" s="222">
        <v>2.9363794782448105E-2</v>
      </c>
      <c r="J18" s="222">
        <v>3.0074877366795816E-2</v>
      </c>
      <c r="K18" s="222">
        <v>3.011839318731302E-2</v>
      </c>
      <c r="L18" s="222">
        <v>2.9747948949573777E-2</v>
      </c>
      <c r="M18" s="222">
        <v>2.8925684304912824E-2</v>
      </c>
      <c r="N18" s="222">
        <v>2.7502982842885881E-2</v>
      </c>
      <c r="O18" s="222">
        <v>2.8209697483400964E-2</v>
      </c>
      <c r="P18" s="222">
        <v>2.7849777402055853E-2</v>
      </c>
      <c r="Q18" s="222">
        <v>2.5974551034913196E-2</v>
      </c>
      <c r="R18" s="222">
        <v>2.6096946882450567E-2</v>
      </c>
      <c r="S18" s="222">
        <v>2.5279062011055935E-2</v>
      </c>
      <c r="T18" s="209">
        <v>2.6311905636489996E-2</v>
      </c>
      <c r="U18" s="222">
        <v>2.8149329906403953E-2</v>
      </c>
      <c r="V18" s="222">
        <v>2.7799463308860295E-2</v>
      </c>
      <c r="W18" s="209">
        <v>2.7262303676760524E-2</v>
      </c>
      <c r="X18" s="209">
        <v>2.9571076605380279E-2</v>
      </c>
      <c r="Y18" s="209">
        <v>3.1227654301433219E-2</v>
      </c>
      <c r="Z18" s="209">
        <v>2.8937199682504681E-2</v>
      </c>
      <c r="AA18" s="209">
        <v>2.7459606272799024E-2</v>
      </c>
      <c r="AB18" s="209">
        <v>2.1338880616148082E-2</v>
      </c>
      <c r="AC18" s="68"/>
      <c r="AD18" s="68"/>
    </row>
    <row r="19" spans="2:30" s="40" customFormat="1" x14ac:dyDescent="0.3">
      <c r="B19" s="60" t="s">
        <v>1301</v>
      </c>
      <c r="C19" s="212" t="s">
        <v>1549</v>
      </c>
      <c r="D19" s="209">
        <f t="shared" si="1"/>
        <v>3.2725061035121294E-2</v>
      </c>
      <c r="E19" s="209">
        <f t="shared" si="0"/>
        <v>3.6396657681976308E-2</v>
      </c>
      <c r="F19" s="210">
        <f>D19-E19</f>
        <v>-3.6715966468550132E-3</v>
      </c>
      <c r="G19" s="208"/>
      <c r="H19" s="227"/>
      <c r="I19" s="222">
        <v>3.2725061035121294E-2</v>
      </c>
      <c r="J19" s="222">
        <v>3.2619840866671801E-2</v>
      </c>
      <c r="K19" s="222">
        <v>3.22971765969573E-2</v>
      </c>
      <c r="L19" s="222">
        <v>3.2491766302039427E-2</v>
      </c>
      <c r="M19" s="222">
        <v>3.3088982530874667E-2</v>
      </c>
      <c r="N19" s="222">
        <v>3.6396657681976308E-2</v>
      </c>
      <c r="O19" s="222">
        <v>3.4321129033877851E-2</v>
      </c>
      <c r="P19" s="222">
        <v>3.5642489567172975E-2</v>
      </c>
      <c r="Q19" s="222">
        <v>3.5235765944438668E-2</v>
      </c>
      <c r="R19" s="222">
        <v>3.6466191739787268E-2</v>
      </c>
      <c r="S19" s="222">
        <v>3.8868001735320644E-2</v>
      </c>
      <c r="T19" s="209">
        <v>3.8286798257525678E-2</v>
      </c>
      <c r="U19" s="222">
        <v>3.9944579606609132E-2</v>
      </c>
      <c r="V19" s="222">
        <v>3.9449933530589565E-2</v>
      </c>
      <c r="W19" s="209">
        <v>4.2926661573211344E-2</v>
      </c>
      <c r="X19" s="209">
        <v>4.9194907594508584E-2</v>
      </c>
      <c r="Y19" s="209">
        <v>4.8771619673498245E-2</v>
      </c>
      <c r="Z19" s="209">
        <v>4.9048610231469086E-2</v>
      </c>
      <c r="AA19" s="209">
        <v>4.9343049100388406E-2</v>
      </c>
      <c r="AB19" s="209">
        <v>3.2435924828604135E-2</v>
      </c>
      <c r="AC19" s="68"/>
      <c r="AD19" s="68"/>
    </row>
    <row r="20" spans="2:30" s="40" customFormat="1" x14ac:dyDescent="0.3">
      <c r="B20" s="86" t="s">
        <v>1299</v>
      </c>
      <c r="C20" s="457" t="s">
        <v>1547</v>
      </c>
      <c r="D20" s="170">
        <f t="shared" si="1"/>
        <v>0</v>
      </c>
      <c r="E20" s="170">
        <f t="shared" si="0"/>
        <v>0</v>
      </c>
      <c r="F20" s="211">
        <f>D20-E20</f>
        <v>0</v>
      </c>
      <c r="G20" s="208"/>
      <c r="H20" s="227"/>
      <c r="I20" s="223">
        <v>0</v>
      </c>
      <c r="J20" s="223">
        <v>0</v>
      </c>
      <c r="K20" s="223">
        <v>0</v>
      </c>
      <c r="L20" s="223">
        <v>0</v>
      </c>
      <c r="M20" s="223">
        <v>0</v>
      </c>
      <c r="N20" s="223">
        <v>0</v>
      </c>
      <c r="O20" s="223">
        <v>0</v>
      </c>
      <c r="P20" s="223">
        <v>0</v>
      </c>
      <c r="Q20" s="223">
        <v>0</v>
      </c>
      <c r="R20" s="223">
        <v>0</v>
      </c>
      <c r="S20" s="223">
        <v>0</v>
      </c>
      <c r="T20" s="170">
        <v>0</v>
      </c>
      <c r="U20" s="223">
        <v>0</v>
      </c>
      <c r="V20" s="223">
        <v>0</v>
      </c>
      <c r="W20" s="170">
        <v>3.76172299658033E-2</v>
      </c>
      <c r="X20" s="170">
        <v>7.3720573641186199E-2</v>
      </c>
      <c r="Y20" s="170">
        <v>7.369710533642021E-2</v>
      </c>
      <c r="Z20" s="170">
        <v>7.3711474494953869E-2</v>
      </c>
      <c r="AA20" s="170">
        <v>7.3726958492317238E-2</v>
      </c>
      <c r="AB20" s="170">
        <v>1.7667999131753431E-2</v>
      </c>
      <c r="AC20" s="68"/>
      <c r="AD20" s="68"/>
    </row>
    <row r="21" spans="2:30" s="40" customFormat="1" x14ac:dyDescent="0.3">
      <c r="B21" s="60"/>
      <c r="C21" s="212"/>
      <c r="D21" s="193"/>
      <c r="E21" s="193"/>
      <c r="F21" s="194"/>
      <c r="G21" s="68"/>
      <c r="H21" s="193"/>
      <c r="I21" s="193"/>
      <c r="J21" s="193"/>
      <c r="K21" s="193"/>
      <c r="L21" s="193"/>
      <c r="M21" s="193"/>
      <c r="N21" s="193"/>
      <c r="O21" s="193"/>
      <c r="P21" s="193"/>
      <c r="Q21" s="193"/>
      <c r="R21" s="193"/>
      <c r="S21" s="193"/>
      <c r="T21" s="193"/>
      <c r="U21" s="193"/>
      <c r="V21" s="193"/>
      <c r="W21" s="193"/>
      <c r="X21" s="193"/>
      <c r="Y21" s="193"/>
      <c r="Z21" s="193"/>
      <c r="AA21" s="193"/>
      <c r="AB21" s="193"/>
      <c r="AC21" s="68"/>
      <c r="AD21" s="68"/>
    </row>
    <row r="22" spans="2:30" s="40" customFormat="1" x14ac:dyDescent="0.3">
      <c r="B22" s="60" t="s">
        <v>1290</v>
      </c>
      <c r="C22" s="212" t="s">
        <v>1726</v>
      </c>
      <c r="D22" s="193"/>
      <c r="E22" s="193"/>
      <c r="F22" s="194"/>
      <c r="G22" s="68"/>
      <c r="H22" s="193"/>
      <c r="I22" s="193"/>
      <c r="J22" s="193"/>
      <c r="K22" s="193"/>
      <c r="L22" s="193"/>
      <c r="M22" s="193"/>
      <c r="N22" s="193"/>
      <c r="O22" s="193"/>
      <c r="P22" s="193"/>
      <c r="Q22" s="193"/>
      <c r="R22" s="193"/>
      <c r="S22" s="193"/>
      <c r="T22" s="193"/>
      <c r="U22" s="193"/>
      <c r="V22" s="193"/>
      <c r="W22" s="193"/>
      <c r="X22" s="193"/>
      <c r="Y22" s="193"/>
      <c r="Z22" s="193"/>
      <c r="AA22" s="193"/>
      <c r="AB22" s="193"/>
      <c r="AC22" s="68"/>
      <c r="AD22" s="68"/>
    </row>
    <row r="23" spans="2:30" s="40" customFormat="1" x14ac:dyDescent="0.3">
      <c r="B23" s="60"/>
      <c r="C23" s="212"/>
      <c r="D23" s="193"/>
      <c r="E23" s="193"/>
      <c r="F23" s="194"/>
      <c r="G23" s="68"/>
      <c r="H23" s="193"/>
      <c r="I23" s="193"/>
      <c r="J23" s="193"/>
      <c r="K23" s="193"/>
      <c r="L23" s="193"/>
      <c r="M23" s="193"/>
      <c r="N23" s="193"/>
      <c r="O23" s="193"/>
      <c r="P23" s="193"/>
      <c r="Q23" s="193"/>
      <c r="R23" s="193"/>
      <c r="S23" s="193"/>
      <c r="T23" s="193"/>
      <c r="U23" s="193"/>
      <c r="V23" s="193"/>
      <c r="W23" s="193"/>
      <c r="X23" s="193"/>
      <c r="Y23" s="193"/>
      <c r="Z23" s="193"/>
      <c r="AA23" s="193"/>
      <c r="AB23" s="193"/>
      <c r="AC23" s="68"/>
      <c r="AD23" s="68"/>
    </row>
    <row r="24" spans="2:30" s="40" customFormat="1" x14ac:dyDescent="0.3">
      <c r="B24" s="85" t="s">
        <v>283</v>
      </c>
      <c r="C24" s="456" t="s">
        <v>284</v>
      </c>
      <c r="D24" s="213">
        <f t="shared" si="1"/>
        <v>1.0321430377492806</v>
      </c>
      <c r="E24" s="213">
        <f t="shared" si="0"/>
        <v>1.5084735137006291</v>
      </c>
      <c r="F24" s="213">
        <f>D24-E24</f>
        <v>-0.47633047595134848</v>
      </c>
      <c r="G24" s="214"/>
      <c r="H24" s="193"/>
      <c r="I24" s="465">
        <v>1.0321430377492806</v>
      </c>
      <c r="J24" s="465">
        <v>1.0321430377492806</v>
      </c>
      <c r="K24" s="465">
        <v>1.0398670560192578</v>
      </c>
      <c r="L24" s="465">
        <v>1.01</v>
      </c>
      <c r="M24" s="465">
        <v>0.79143011876938374</v>
      </c>
      <c r="N24" s="465">
        <v>1.5084735137006291</v>
      </c>
      <c r="O24" s="465">
        <v>1.5084735137006291</v>
      </c>
      <c r="P24" s="465">
        <v>0.75326891177227751</v>
      </c>
      <c r="Q24" s="465">
        <v>0.67246926642715188</v>
      </c>
      <c r="R24" s="465">
        <v>0.61207699092248724</v>
      </c>
      <c r="S24" s="224">
        <v>0.41902412631592512</v>
      </c>
      <c r="T24" s="213">
        <v>0.41902412631592512</v>
      </c>
      <c r="U24" s="224">
        <v>0.61009803129651363</v>
      </c>
      <c r="V24" s="224">
        <v>0.43455025477603559</v>
      </c>
      <c r="W24" s="213">
        <v>0.26</v>
      </c>
      <c r="X24" s="213">
        <v>0.38</v>
      </c>
      <c r="Y24" s="213">
        <v>0.38</v>
      </c>
      <c r="Z24" s="213">
        <v>-0.98099121020713831</v>
      </c>
      <c r="AA24" s="213">
        <v>-1.2879363443648852</v>
      </c>
      <c r="AB24" s="213">
        <v>-1.3358319833770977</v>
      </c>
      <c r="AC24" s="68"/>
      <c r="AD24" s="68"/>
    </row>
    <row r="25" spans="2:30" s="40" customFormat="1" x14ac:dyDescent="0.3">
      <c r="B25" s="77" t="s">
        <v>267</v>
      </c>
      <c r="C25" s="203" t="s">
        <v>278</v>
      </c>
      <c r="D25" s="70">
        <f t="shared" si="1"/>
        <v>10.19781839495419</v>
      </c>
      <c r="E25" s="70">
        <f t="shared" si="0"/>
        <v>10.624669813764084</v>
      </c>
      <c r="F25" s="70">
        <f>D25-E25</f>
        <v>-0.42685141880989441</v>
      </c>
      <c r="G25" s="214"/>
      <c r="H25" s="193"/>
      <c r="I25" s="179">
        <v>10.19781839495419</v>
      </c>
      <c r="J25" s="179">
        <v>10.19781839495419</v>
      </c>
      <c r="K25" s="179">
        <v>10.849238967478547</v>
      </c>
      <c r="L25" s="179">
        <v>10.95</v>
      </c>
      <c r="M25" s="179">
        <v>11.128622812712594</v>
      </c>
      <c r="N25" s="179">
        <v>10.624669813764084</v>
      </c>
      <c r="O25" s="179">
        <v>10.624669813764084</v>
      </c>
      <c r="P25" s="179">
        <v>10.313905108245839</v>
      </c>
      <c r="Q25" s="179">
        <v>9.7748706011974331</v>
      </c>
      <c r="R25" s="179">
        <v>9.4000455316407088</v>
      </c>
      <c r="S25" s="179">
        <v>9.1925541713599426</v>
      </c>
      <c r="T25" s="70">
        <v>9.1925541713599426</v>
      </c>
      <c r="U25" s="179">
        <v>8.1739601000825584</v>
      </c>
      <c r="V25" s="179">
        <v>8.2637552332550115</v>
      </c>
      <c r="W25" s="70">
        <v>8.6300000000000008</v>
      </c>
      <c r="X25" s="70">
        <v>8.33</v>
      </c>
      <c r="Y25" s="70">
        <v>8.33</v>
      </c>
      <c r="Z25" s="70">
        <v>10.524651837784747</v>
      </c>
      <c r="AA25" s="70">
        <v>10.541532504383492</v>
      </c>
      <c r="AB25" s="70">
        <v>10.608043947404424</v>
      </c>
      <c r="AC25" s="68"/>
      <c r="AD25" s="68"/>
    </row>
    <row r="26" spans="2:30" s="40" customFormat="1" x14ac:dyDescent="0.3">
      <c r="B26" s="87" t="s">
        <v>268</v>
      </c>
      <c r="C26" s="422" t="s">
        <v>279</v>
      </c>
      <c r="D26" s="165">
        <f t="shared" si="1"/>
        <v>11.19165219889223</v>
      </c>
      <c r="E26" s="165">
        <f t="shared" si="0"/>
        <v>11.019549425838351</v>
      </c>
      <c r="F26" s="165">
        <f>D26-E26</f>
        <v>0.17210277305387933</v>
      </c>
      <c r="G26" s="214"/>
      <c r="H26" s="193"/>
      <c r="I26" s="180">
        <v>11.19165219889223</v>
      </c>
      <c r="J26" s="180">
        <v>11.19165219889223</v>
      </c>
      <c r="K26" s="180">
        <v>11.944525578985463</v>
      </c>
      <c r="L26" s="180">
        <v>12.04</v>
      </c>
      <c r="M26" s="180">
        <v>12.440958216769655</v>
      </c>
      <c r="N26" s="180">
        <v>11.019549425838351</v>
      </c>
      <c r="O26" s="180">
        <v>11.019549425838351</v>
      </c>
      <c r="P26" s="180">
        <v>11.202463309948527</v>
      </c>
      <c r="Q26" s="180">
        <v>10.631278450139572</v>
      </c>
      <c r="R26" s="180">
        <v>10.106297443085635</v>
      </c>
      <c r="S26" s="180">
        <v>9.8554424213820653</v>
      </c>
      <c r="T26" s="165">
        <v>9.8554424213820653</v>
      </c>
      <c r="U26" s="180">
        <v>8.691125244459375</v>
      </c>
      <c r="V26" s="180">
        <v>8.7582178882888027</v>
      </c>
      <c r="W26" s="165">
        <v>8.6</v>
      </c>
      <c r="X26" s="165">
        <v>7.65</v>
      </c>
      <c r="Y26" s="165">
        <v>7.65</v>
      </c>
      <c r="Z26" s="165">
        <v>11.925824625544296</v>
      </c>
      <c r="AA26" s="165">
        <v>12.110607185031611</v>
      </c>
      <c r="AB26" s="165">
        <v>12.237020917662679</v>
      </c>
      <c r="AC26" s="68"/>
      <c r="AD26" s="68"/>
    </row>
    <row r="27" spans="2:30" s="40" customFormat="1" x14ac:dyDescent="0.3">
      <c r="B27" s="234" t="s">
        <v>1783</v>
      </c>
      <c r="C27" s="212"/>
      <c r="D27" s="193"/>
      <c r="E27" s="193"/>
      <c r="F27" s="194"/>
      <c r="G27" s="68"/>
      <c r="H27" s="193"/>
      <c r="I27" s="193"/>
      <c r="J27" s="193"/>
      <c r="K27" s="193"/>
      <c r="L27" s="193"/>
      <c r="M27" s="193"/>
      <c r="N27" s="193"/>
      <c r="O27" s="193"/>
      <c r="P27" s="193"/>
      <c r="Q27" s="193"/>
      <c r="R27" s="193"/>
      <c r="S27" s="193"/>
      <c r="T27" s="193"/>
      <c r="U27" s="193"/>
      <c r="V27" s="193"/>
      <c r="W27" s="193"/>
      <c r="X27" s="193"/>
      <c r="Y27" s="193"/>
      <c r="Z27" s="193"/>
      <c r="AA27" s="193"/>
      <c r="AB27" s="193"/>
      <c r="AC27" s="68"/>
      <c r="AD27" s="68"/>
    </row>
    <row r="28" spans="2:30" s="40" customFormat="1" x14ac:dyDescent="0.3">
      <c r="B28" s="234" t="s">
        <v>1778</v>
      </c>
      <c r="C28" s="212"/>
      <c r="D28" s="193"/>
      <c r="E28" s="193"/>
      <c r="F28" s="194"/>
      <c r="G28" s="68"/>
      <c r="H28" s="193"/>
      <c r="I28" s="193"/>
      <c r="J28" s="193"/>
      <c r="K28" s="193"/>
      <c r="L28" s="193"/>
      <c r="M28" s="193"/>
      <c r="N28" s="193"/>
      <c r="O28" s="193"/>
      <c r="P28" s="193"/>
      <c r="Q28" s="193"/>
      <c r="R28" s="193"/>
      <c r="S28" s="193"/>
      <c r="T28" s="193"/>
      <c r="U28" s="193"/>
      <c r="V28" s="193"/>
      <c r="W28" s="193"/>
      <c r="X28" s="193"/>
      <c r="Y28" s="193"/>
      <c r="Z28" s="193"/>
      <c r="AA28" s="193"/>
      <c r="AB28" s="193"/>
      <c r="AC28" s="68"/>
      <c r="AD28" s="68"/>
    </row>
    <row r="29" spans="2:30" s="40" customFormat="1" x14ac:dyDescent="0.3">
      <c r="B29" s="90"/>
      <c r="C29" s="212"/>
      <c r="D29" s="193"/>
      <c r="E29" s="193"/>
      <c r="F29" s="194"/>
      <c r="G29" s="68"/>
      <c r="H29" s="193"/>
      <c r="I29" s="193"/>
      <c r="J29" s="193"/>
      <c r="K29" s="193"/>
      <c r="L29" s="193"/>
      <c r="M29" s="193"/>
      <c r="N29" s="193"/>
      <c r="O29" s="193"/>
      <c r="P29" s="193"/>
      <c r="Q29" s="193"/>
      <c r="R29" s="193"/>
      <c r="S29" s="193"/>
      <c r="T29" s="193"/>
      <c r="U29" s="193"/>
      <c r="V29" s="193"/>
      <c r="W29" s="193"/>
      <c r="X29" s="193"/>
      <c r="Y29" s="193"/>
      <c r="Z29" s="193"/>
      <c r="AA29" s="193"/>
      <c r="AB29" s="193"/>
      <c r="AC29" s="68"/>
      <c r="AD29" s="68"/>
    </row>
    <row r="30" spans="2:30" s="40" customFormat="1" x14ac:dyDescent="0.3">
      <c r="B30" s="60" t="s">
        <v>272</v>
      </c>
      <c r="C30" s="212" t="s">
        <v>274</v>
      </c>
      <c r="D30" s="193"/>
      <c r="E30" s="193"/>
      <c r="F30" s="194"/>
      <c r="G30" s="68"/>
      <c r="H30" s="193"/>
      <c r="I30" s="193"/>
      <c r="J30" s="193"/>
      <c r="K30" s="193"/>
      <c r="L30" s="193"/>
      <c r="M30" s="193"/>
      <c r="N30" s="193"/>
      <c r="O30" s="193"/>
      <c r="P30" s="193"/>
      <c r="Q30" s="193"/>
      <c r="R30" s="193"/>
      <c r="S30" s="193"/>
      <c r="T30" s="193"/>
      <c r="U30" s="193"/>
      <c r="V30" s="193"/>
      <c r="W30" s="193"/>
      <c r="X30" s="193"/>
      <c r="Y30" s="193"/>
      <c r="Z30" s="193"/>
      <c r="AA30" s="193"/>
      <c r="AB30" s="193"/>
      <c r="AC30" s="68"/>
      <c r="AD30" s="68"/>
    </row>
    <row r="31" spans="2:30" s="40" customFormat="1" x14ac:dyDescent="0.3">
      <c r="B31" s="85" t="s">
        <v>285</v>
      </c>
      <c r="C31" s="456" t="s">
        <v>286</v>
      </c>
      <c r="D31" s="215">
        <f t="shared" si="1"/>
        <v>-3.0991590815895864</v>
      </c>
      <c r="E31" s="215">
        <f t="shared" si="0"/>
        <v>-4.6397120349278564</v>
      </c>
      <c r="F31" s="216">
        <f>D31-E31</f>
        <v>1.54055295333827</v>
      </c>
      <c r="G31" s="217"/>
      <c r="H31" s="228"/>
      <c r="I31" s="225">
        <v>-3.0991590815895864</v>
      </c>
      <c r="J31" s="225">
        <v>-3.0991590815895864</v>
      </c>
      <c r="K31" s="225">
        <v>-8.7054904798428847</v>
      </c>
      <c r="L31" s="225">
        <v>-8.1020774545510079</v>
      </c>
      <c r="M31" s="225">
        <v>-6</v>
      </c>
      <c r="N31" s="225">
        <v>-4.6397120349278564</v>
      </c>
      <c r="O31" s="225">
        <v>-4.6397120349278564</v>
      </c>
      <c r="P31" s="225">
        <v>-12</v>
      </c>
      <c r="Q31" s="225">
        <v>-14</v>
      </c>
      <c r="R31" s="225">
        <v>-17.999999999999961</v>
      </c>
      <c r="S31" s="225">
        <f t="shared" ref="S31:T31" si="4">(S33-S34)*10000</f>
        <v>-25.999999999999982</v>
      </c>
      <c r="T31" s="215">
        <f t="shared" si="4"/>
        <v>-25.999999999999982</v>
      </c>
      <c r="U31" s="225">
        <v>-36.70724324666724</v>
      </c>
      <c r="V31" s="225">
        <v>-29.999999999999957</v>
      </c>
      <c r="W31" s="215">
        <f t="shared" ref="W31" si="5">(W33-W34)*10000</f>
        <v>-40.000000000000036</v>
      </c>
      <c r="X31" s="215">
        <f t="shared" ref="X31:AA31" si="6">(X33-X34)*10000</f>
        <v>-17</v>
      </c>
      <c r="Y31" s="215">
        <f t="shared" si="6"/>
        <v>-17</v>
      </c>
      <c r="Z31" s="215">
        <f t="shared" si="6"/>
        <v>-52.999999999999993</v>
      </c>
      <c r="AA31" s="215">
        <f t="shared" si="6"/>
        <v>-46</v>
      </c>
      <c r="AB31" s="215">
        <f t="shared" ref="AB31" si="7">(AB33-AB34)*10000</f>
        <v>-46.999999999999957</v>
      </c>
      <c r="AC31" s="68"/>
      <c r="AD31" s="68"/>
    </row>
    <row r="32" spans="2:30" s="40" customFormat="1" x14ac:dyDescent="0.3">
      <c r="B32" s="60" t="s">
        <v>282</v>
      </c>
      <c r="C32" s="212" t="s">
        <v>287</v>
      </c>
      <c r="D32" s="218">
        <f t="shared" si="1"/>
        <v>20.175756625922595</v>
      </c>
      <c r="E32" s="218">
        <f t="shared" si="0"/>
        <v>9.7350755007796419</v>
      </c>
      <c r="F32" s="219">
        <f>D32-E32</f>
        <v>10.440681125142953</v>
      </c>
      <c r="G32" s="217"/>
      <c r="H32" s="228"/>
      <c r="I32" s="226">
        <v>20.175756625922595</v>
      </c>
      <c r="J32" s="226">
        <v>20.175756625922595</v>
      </c>
      <c r="K32" s="226">
        <v>11.612039473959598</v>
      </c>
      <c r="L32" s="226">
        <v>9.3171358424575654</v>
      </c>
      <c r="M32" s="226">
        <v>9</v>
      </c>
      <c r="N32" s="226">
        <v>9.7350755007796419</v>
      </c>
      <c r="O32" s="226">
        <v>9.7350755007796419</v>
      </c>
      <c r="P32" s="226">
        <v>-1</v>
      </c>
      <c r="Q32" s="226">
        <v>-8</v>
      </c>
      <c r="R32" s="226">
        <v>-15</v>
      </c>
      <c r="S32" s="226">
        <v>-33</v>
      </c>
      <c r="T32" s="218">
        <v>-33</v>
      </c>
      <c r="U32" s="226">
        <v>-29.603287825911913</v>
      </c>
      <c r="V32" s="226">
        <v>-22</v>
      </c>
      <c r="W32" s="218">
        <v>-42</v>
      </c>
      <c r="X32" s="218">
        <v>-40</v>
      </c>
      <c r="Y32" s="218">
        <v>-40</v>
      </c>
      <c r="Z32" s="218">
        <v>-47</v>
      </c>
      <c r="AA32" s="218">
        <v>-36</v>
      </c>
      <c r="AB32" s="218">
        <v>-37</v>
      </c>
      <c r="AC32" s="68"/>
      <c r="AD32" s="68"/>
    </row>
    <row r="33" spans="2:30" s="40" customFormat="1" x14ac:dyDescent="0.3">
      <c r="B33" s="77" t="s">
        <v>269</v>
      </c>
      <c r="C33" s="203" t="s">
        <v>280</v>
      </c>
      <c r="D33" s="209">
        <f t="shared" si="1"/>
        <v>3.0949565370493572E-2</v>
      </c>
      <c r="E33" s="209">
        <f t="shared" si="0"/>
        <v>3.1097780561754183E-2</v>
      </c>
      <c r="F33" s="210">
        <f>D33-E33</f>
        <v>-1.4821519126061167E-4</v>
      </c>
      <c r="G33" s="208"/>
      <c r="H33" s="227"/>
      <c r="I33" s="222">
        <v>3.0949565370493572E-2</v>
      </c>
      <c r="J33" s="222">
        <v>3.0949565370493572E-2</v>
      </c>
      <c r="K33" s="222">
        <v>3.0462044059052229E-2</v>
      </c>
      <c r="L33" s="222">
        <v>3.0565949072057584E-2</v>
      </c>
      <c r="M33" s="222">
        <v>3.0700000000000002E-2</v>
      </c>
      <c r="N33" s="222">
        <v>3.1097780561754183E-2</v>
      </c>
      <c r="O33" s="222">
        <v>3.1097780561754183E-2</v>
      </c>
      <c r="P33" s="222">
        <v>3.1399999999999997E-2</v>
      </c>
      <c r="Q33" s="222">
        <v>3.1300000000000001E-2</v>
      </c>
      <c r="R33" s="222">
        <v>3.1800000000000002E-2</v>
      </c>
      <c r="S33" s="222">
        <v>3.2199999999999999E-2</v>
      </c>
      <c r="T33" s="209">
        <v>3.2199999999999999E-2</v>
      </c>
      <c r="U33" s="222">
        <v>3.2305594792745397E-2</v>
      </c>
      <c r="V33" s="222">
        <v>3.2800000000000003E-2</v>
      </c>
      <c r="W33" s="209">
        <v>3.27E-2</v>
      </c>
      <c r="X33" s="209">
        <v>3.3000000000000002E-2</v>
      </c>
      <c r="Y33" s="209">
        <v>3.3000000000000002E-2</v>
      </c>
      <c r="Z33" s="209">
        <v>3.4200000000000001E-2</v>
      </c>
      <c r="AA33" s="209">
        <v>3.4099999999999998E-2</v>
      </c>
      <c r="AB33" s="209">
        <v>3.3300000000000003E-2</v>
      </c>
      <c r="AC33" s="68"/>
      <c r="AD33" s="68"/>
    </row>
    <row r="34" spans="2:30" s="40" customFormat="1" x14ac:dyDescent="0.3">
      <c r="B34" s="87" t="s">
        <v>270</v>
      </c>
      <c r="C34" s="422" t="s">
        <v>281</v>
      </c>
      <c r="D34" s="170">
        <f t="shared" si="1"/>
        <v>3.125948127865253E-2</v>
      </c>
      <c r="E34" s="170">
        <f t="shared" si="0"/>
        <v>3.1561751765246969E-2</v>
      </c>
      <c r="F34" s="211">
        <f>D34-E34</f>
        <v>-3.0227048659443867E-4</v>
      </c>
      <c r="G34" s="208"/>
      <c r="H34" s="227"/>
      <c r="I34" s="223">
        <v>3.125948127865253E-2</v>
      </c>
      <c r="J34" s="223">
        <v>3.125948127865253E-2</v>
      </c>
      <c r="K34" s="223">
        <v>3.1332593107036517E-2</v>
      </c>
      <c r="L34" s="223">
        <v>3.1376156817512685E-2</v>
      </c>
      <c r="M34" s="223">
        <v>3.1300000000000001E-2</v>
      </c>
      <c r="N34" s="223">
        <v>3.1561751765246969E-2</v>
      </c>
      <c r="O34" s="223">
        <v>3.1561751765246969E-2</v>
      </c>
      <c r="P34" s="223">
        <v>3.2599999999999997E-2</v>
      </c>
      <c r="Q34" s="223">
        <v>3.2800000000000003E-2</v>
      </c>
      <c r="R34" s="223">
        <v>3.3599999999999998E-2</v>
      </c>
      <c r="S34" s="223">
        <v>3.4799999999999998E-2</v>
      </c>
      <c r="T34" s="170">
        <v>3.4799999999999998E-2</v>
      </c>
      <c r="U34" s="223">
        <v>3.5976319117412121E-2</v>
      </c>
      <c r="V34" s="223">
        <v>3.5799999999999998E-2</v>
      </c>
      <c r="W34" s="170">
        <v>3.6700000000000003E-2</v>
      </c>
      <c r="X34" s="170">
        <v>3.4700000000000002E-2</v>
      </c>
      <c r="Y34" s="170">
        <v>3.4700000000000002E-2</v>
      </c>
      <c r="Z34" s="170">
        <v>3.95E-2</v>
      </c>
      <c r="AA34" s="170">
        <v>3.8699999999999998E-2</v>
      </c>
      <c r="AB34" s="170">
        <v>3.7999999999999999E-2</v>
      </c>
      <c r="AC34" s="68"/>
      <c r="AD34" s="68"/>
    </row>
    <row r="35" spans="2:30" x14ac:dyDescent="0.3">
      <c r="B35" s="237" t="s">
        <v>1305</v>
      </c>
      <c r="C35" s="40"/>
      <c r="D35" s="40"/>
      <c r="E35" s="40"/>
      <c r="F35" s="40"/>
    </row>
    <row r="36" spans="2:30" x14ac:dyDescent="0.3">
      <c r="B36" s="234" t="s">
        <v>1603</v>
      </c>
      <c r="C36" s="40"/>
      <c r="D36" s="40"/>
      <c r="E36" s="40"/>
      <c r="F36" s="40"/>
    </row>
    <row r="37" spans="2:30" x14ac:dyDescent="0.3">
      <c r="B37" s="79" t="s">
        <v>1604</v>
      </c>
    </row>
    <row r="39" spans="2:30" x14ac:dyDescent="0.3">
      <c r="B39" s="78"/>
    </row>
    <row r="40" spans="2:30" x14ac:dyDescent="0.3">
      <c r="B40" s="89"/>
    </row>
    <row r="41" spans="2:30" x14ac:dyDescent="0.3">
      <c r="B41" s="89"/>
    </row>
    <row r="42" spans="2:30" x14ac:dyDescent="0.3">
      <c r="B42" s="89"/>
    </row>
    <row r="43" spans="2:30" x14ac:dyDescent="0.3">
      <c r="B43" s="89"/>
    </row>
    <row r="44" spans="2:30" x14ac:dyDescent="0.3">
      <c r="B44" s="89"/>
    </row>
  </sheetData>
  <mergeCells count="4">
    <mergeCell ref="F4:F5"/>
    <mergeCell ref="X4:AB4"/>
    <mergeCell ref="U4:W4"/>
    <mergeCell ref="I4:M4"/>
  </mergeCells>
  <phoneticPr fontId="1" type="noConversion"/>
  <pageMargins left="0.23622047244094491" right="0.23622047244094491" top="0.78740157480314965" bottom="0.23622047244094491" header="0.31496062992125984" footer="0.31496062992125984"/>
  <pageSetup paperSize="9" scale="84"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B1:AQ372"/>
  <sheetViews>
    <sheetView showGridLines="0" view="pageBreakPreview" zoomScale="80" zoomScaleNormal="100" zoomScaleSheetLayoutView="80" workbookViewId="0">
      <pane xSplit="3" ySplit="5" topLeftCell="D6" activePane="bottomRight" state="frozen"/>
      <selection activeCell="G47" sqref="G47"/>
      <selection pane="topRight" activeCell="G47" sqref="G47"/>
      <selection pane="bottomLeft" activeCell="G47" sqref="G47"/>
      <selection pane="bottomRight" activeCell="G47" sqref="G47"/>
    </sheetView>
  </sheetViews>
  <sheetFormatPr defaultRowHeight="16.5" outlineLevelCol="3" x14ac:dyDescent="0.3"/>
  <cols>
    <col min="1" max="1" width="5" style="35" customWidth="1"/>
    <col min="2" max="2" width="49.625" style="61" bestFit="1" customWidth="1"/>
    <col min="3" max="3" width="67.625" style="141" customWidth="1"/>
    <col min="4" max="5" width="10" style="35" customWidth="1"/>
    <col min="6" max="6" width="10" style="35" hidden="1" customWidth="1"/>
    <col min="7" max="7" width="1.625" style="35" customWidth="1"/>
    <col min="8" max="9" width="10" style="35" customWidth="1"/>
    <col min="10" max="10" width="10" style="35" hidden="1" customWidth="1"/>
    <col min="11" max="11" width="1.625" style="35" customWidth="1"/>
    <col min="12" max="12" width="9" style="35" hidden="1" customWidth="1" outlineLevel="1"/>
    <col min="13" max="21" width="10" style="35" hidden="1" customWidth="1" outlineLevel="2"/>
    <col min="22" max="25" width="10" style="35" hidden="1" customWidth="1" outlineLevel="3"/>
    <col min="26" max="26" width="10" style="35" hidden="1" customWidth="1" outlineLevel="2" collapsed="1"/>
    <col min="27" max="27" width="9" style="40" hidden="1" customWidth="1" outlineLevel="2"/>
    <col min="28" max="36" width="10" style="35" hidden="1" customWidth="1" outlineLevel="2"/>
    <col min="37" max="40" width="10" style="35" hidden="1" customWidth="1" outlineLevel="3"/>
    <col min="41" max="41" width="9" style="35" hidden="1" customWidth="1" outlineLevel="1"/>
    <col min="42" max="42" width="9" style="35" collapsed="1"/>
    <col min="43" max="16384" width="9" style="35"/>
  </cols>
  <sheetData>
    <row r="1" spans="2:40" s="34" customFormat="1" x14ac:dyDescent="0.3">
      <c r="B1" s="78" t="str">
        <f>[8]INDEX!G6</f>
        <v>보험회계기준 (SAP) 재무상태표</v>
      </c>
      <c r="C1" s="141" t="s">
        <v>1738</v>
      </c>
      <c r="M1" s="248"/>
      <c r="N1" s="248"/>
      <c r="O1" s="248"/>
      <c r="P1" s="248"/>
      <c r="Q1" s="248"/>
      <c r="R1" s="248"/>
      <c r="S1" s="248"/>
      <c r="T1" s="248"/>
      <c r="U1" s="248"/>
      <c r="V1" s="248"/>
      <c r="W1" s="248"/>
      <c r="X1" s="248"/>
      <c r="Y1" s="248"/>
      <c r="AA1" s="48"/>
      <c r="AB1" s="248"/>
      <c r="AC1" s="248"/>
      <c r="AD1" s="248"/>
      <c r="AE1" s="248"/>
      <c r="AF1" s="248"/>
      <c r="AG1" s="248"/>
      <c r="AH1" s="248"/>
      <c r="AI1" s="248"/>
      <c r="AJ1" s="248"/>
      <c r="AK1" s="248"/>
      <c r="AL1" s="248"/>
      <c r="AM1" s="248"/>
      <c r="AN1" s="248"/>
    </row>
    <row r="2" spans="2:40" x14ac:dyDescent="0.3">
      <c r="B2" s="79" t="s">
        <v>737</v>
      </c>
      <c r="E2" s="55"/>
      <c r="F2" s="55"/>
    </row>
    <row r="3" spans="2:40" s="36" customFormat="1" x14ac:dyDescent="0.3">
      <c r="B3" s="80"/>
      <c r="C3" s="143"/>
      <c r="D3" s="143"/>
      <c r="E3" s="143"/>
      <c r="F3" s="143"/>
      <c r="G3" s="143"/>
      <c r="H3" s="143"/>
      <c r="I3" s="143"/>
      <c r="J3" s="143" t="s">
        <v>789</v>
      </c>
      <c r="AA3" s="812"/>
    </row>
    <row r="4" spans="2:40" s="250" customFormat="1" ht="33" x14ac:dyDescent="0.3">
      <c r="B4" s="305"/>
      <c r="C4" s="306"/>
      <c r="D4" s="97" t="s">
        <v>471</v>
      </c>
      <c r="E4" s="97" t="s">
        <v>471</v>
      </c>
      <c r="F4" s="97" t="s">
        <v>471</v>
      </c>
      <c r="G4" s="98"/>
      <c r="H4" s="99" t="s">
        <v>741</v>
      </c>
      <c r="I4" s="99" t="s">
        <v>741</v>
      </c>
      <c r="J4" s="99" t="s">
        <v>741</v>
      </c>
      <c r="M4" s="249" t="str">
        <f>F4</f>
        <v>별도 Standalone</v>
      </c>
      <c r="N4" s="249"/>
      <c r="O4" s="249"/>
      <c r="P4" s="249"/>
      <c r="Q4" s="249"/>
      <c r="R4" s="249"/>
      <c r="S4" s="249"/>
      <c r="T4" s="249"/>
      <c r="U4" s="249"/>
      <c r="V4" s="249"/>
      <c r="W4" s="249"/>
      <c r="X4" s="249"/>
      <c r="Y4" s="249"/>
      <c r="AA4" s="251"/>
      <c r="AB4" s="252" t="str">
        <f>J4</f>
        <v>연결 Consolidated</v>
      </c>
      <c r="AC4" s="252"/>
      <c r="AD4" s="252"/>
      <c r="AE4" s="252"/>
      <c r="AF4" s="252"/>
      <c r="AG4" s="252"/>
      <c r="AH4" s="252"/>
      <c r="AI4" s="252"/>
      <c r="AJ4" s="252"/>
      <c r="AK4" s="252"/>
      <c r="AL4" s="252"/>
      <c r="AM4" s="252"/>
      <c r="AN4" s="252"/>
    </row>
    <row r="5" spans="2:40" s="36" customFormat="1" x14ac:dyDescent="0.3">
      <c r="B5" s="82"/>
      <c r="C5" s="824"/>
      <c r="D5" s="820" t="str">
        <f>N5</f>
        <v>2025 Q4</v>
      </c>
      <c r="E5" s="820" t="str">
        <f>R5</f>
        <v>2024 Q4</v>
      </c>
      <c r="F5" s="820" t="s">
        <v>776</v>
      </c>
      <c r="G5" s="75"/>
      <c r="H5" s="50" t="str">
        <f>D5</f>
        <v>2025 Q4</v>
      </c>
      <c r="I5" s="50" t="str">
        <f>E5</f>
        <v>2024 Q4</v>
      </c>
      <c r="J5" s="50" t="s">
        <v>776</v>
      </c>
      <c r="M5" s="820" t="s">
        <v>740</v>
      </c>
      <c r="N5" s="820" t="s">
        <v>1970</v>
      </c>
      <c r="O5" s="820" t="s">
        <v>1966</v>
      </c>
      <c r="P5" s="820" t="s">
        <v>1945</v>
      </c>
      <c r="Q5" s="820" t="s">
        <v>1938</v>
      </c>
      <c r="R5" s="820" t="s">
        <v>1932</v>
      </c>
      <c r="S5" s="820" t="s">
        <v>1907</v>
      </c>
      <c r="T5" s="820" t="s">
        <v>1815</v>
      </c>
      <c r="U5" s="820" t="s">
        <v>1727</v>
      </c>
      <c r="V5" s="820" t="s">
        <v>1689</v>
      </c>
      <c r="W5" s="820" t="s">
        <v>1644</v>
      </c>
      <c r="X5" s="820" t="s">
        <v>1556</v>
      </c>
      <c r="Y5" s="820" t="s">
        <v>776</v>
      </c>
      <c r="Z5" s="819"/>
      <c r="AA5" s="819"/>
      <c r="AB5" s="50" t="s">
        <v>740</v>
      </c>
      <c r="AC5" s="50" t="s">
        <v>1970</v>
      </c>
      <c r="AD5" s="50" t="s">
        <v>1966</v>
      </c>
      <c r="AE5" s="50" t="s">
        <v>1945</v>
      </c>
      <c r="AF5" s="50" t="s">
        <v>1938</v>
      </c>
      <c r="AG5" s="50" t="s">
        <v>1932</v>
      </c>
      <c r="AH5" s="50" t="s">
        <v>1908</v>
      </c>
      <c r="AI5" s="50" t="s">
        <v>1815</v>
      </c>
      <c r="AJ5" s="50" t="s">
        <v>1727</v>
      </c>
      <c r="AK5" s="50" t="s">
        <v>1682</v>
      </c>
      <c r="AL5" s="50" t="s">
        <v>1644</v>
      </c>
      <c r="AM5" s="50" t="s">
        <v>1556</v>
      </c>
      <c r="AN5" s="50" t="s">
        <v>776</v>
      </c>
    </row>
    <row r="6" spans="2:40" s="112" customFormat="1" x14ac:dyDescent="0.3">
      <c r="B6" s="78" t="s">
        <v>472</v>
      </c>
      <c r="C6" s="307" t="s">
        <v>311</v>
      </c>
      <c r="D6" s="100">
        <f t="shared" ref="D6:F25" si="0">IF(HLOOKUP(D$5,$M$5:$Y$370,ROW()-ROW($F$4),FALSE)=0,"",HLOOKUP(D$5,$M$5:$Y$370,ROW()-ROW($F$4),FALSE))</f>
        <v>32855181.935106002</v>
      </c>
      <c r="E6" s="100">
        <f t="shared" si="0"/>
        <v>32404438.804745998</v>
      </c>
      <c r="F6" s="100">
        <f t="shared" si="0"/>
        <v>33046193.024996996</v>
      </c>
      <c r="G6" s="101"/>
      <c r="H6" s="100">
        <f t="shared" ref="H6:J25" si="1">IF(HLOOKUP(H$5,$AB$5:$AN$370,ROW()-ROW($J$4),FALSE)=0,"",HLOOKUP(H$5,$AB$5:$AN$370,ROW()-ROW($J$4),FALSE))</f>
        <v>32920827</v>
      </c>
      <c r="I6" s="100">
        <f t="shared" si="1"/>
        <v>32493623</v>
      </c>
      <c r="J6" s="100">
        <f t="shared" si="1"/>
        <v>33188650.467659004</v>
      </c>
      <c r="M6" s="100"/>
      <c r="N6" s="100">
        <v>32855181.935106002</v>
      </c>
      <c r="O6" s="100">
        <v>33165463.238683999</v>
      </c>
      <c r="P6" s="100">
        <v>32215468.491140999</v>
      </c>
      <c r="Q6" s="100">
        <v>32214588.505663998</v>
      </c>
      <c r="R6" s="100">
        <v>32404438.804745998</v>
      </c>
      <c r="S6" s="100">
        <v>32232652.833784997</v>
      </c>
      <c r="T6" s="100">
        <v>32188592.706805002</v>
      </c>
      <c r="U6" s="100">
        <v>32333017.256451998</v>
      </c>
      <c r="V6" s="100">
        <v>33046193.024996996</v>
      </c>
      <c r="W6" s="100">
        <v>32111059.738975003</v>
      </c>
      <c r="X6" s="100">
        <v>32951333.185621001</v>
      </c>
      <c r="Y6" s="100">
        <v>33046193.024996996</v>
      </c>
      <c r="Z6" s="100"/>
      <c r="AA6" s="100"/>
      <c r="AB6" s="100"/>
      <c r="AC6" s="100">
        <v>32920827</v>
      </c>
      <c r="AD6" s="100">
        <v>33221043</v>
      </c>
      <c r="AE6" s="100">
        <v>32262700</v>
      </c>
      <c r="AF6" s="100">
        <v>32292185</v>
      </c>
      <c r="AG6" s="100">
        <v>32493623</v>
      </c>
      <c r="AH6" s="100">
        <v>32311033</v>
      </c>
      <c r="AI6" s="100">
        <v>32269311</v>
      </c>
      <c r="AJ6" s="100">
        <v>32398401</v>
      </c>
      <c r="AK6" s="100">
        <v>33092023.489391997</v>
      </c>
      <c r="AL6" s="100">
        <v>32212292.311461002</v>
      </c>
      <c r="AM6" s="100">
        <v>33053385.020775996</v>
      </c>
      <c r="AN6" s="100">
        <v>33188650.467659004</v>
      </c>
    </row>
    <row r="7" spans="2:40" x14ac:dyDescent="0.3">
      <c r="B7" s="61" t="s">
        <v>288</v>
      </c>
      <c r="C7" s="141" t="s">
        <v>312</v>
      </c>
      <c r="D7" s="102">
        <f t="shared" si="0"/>
        <v>509859.13739499997</v>
      </c>
      <c r="E7" s="102">
        <f t="shared" si="0"/>
        <v>672514.94241399993</v>
      </c>
      <c r="F7" s="102">
        <f t="shared" si="0"/>
        <v>926104.09640100005</v>
      </c>
      <c r="G7" s="96"/>
      <c r="H7" s="102">
        <f t="shared" si="1"/>
        <v>522392</v>
      </c>
      <c r="I7" s="102">
        <f t="shared" si="1"/>
        <v>682760</v>
      </c>
      <c r="J7" s="102">
        <f t="shared" si="1"/>
        <v>161530.298125</v>
      </c>
      <c r="M7" s="102"/>
      <c r="N7" s="102">
        <v>509859.13739499997</v>
      </c>
      <c r="O7" s="102">
        <v>494600.16608900001</v>
      </c>
      <c r="P7" s="102">
        <v>467350.57353599998</v>
      </c>
      <c r="Q7" s="102">
        <v>479889.81416900002</v>
      </c>
      <c r="R7" s="102">
        <v>672514.94241399993</v>
      </c>
      <c r="S7" s="102">
        <v>482668.760618</v>
      </c>
      <c r="T7" s="102">
        <v>447945.186308</v>
      </c>
      <c r="U7" s="102">
        <v>481494.27537300001</v>
      </c>
      <c r="V7" s="102">
        <v>926104.09640100005</v>
      </c>
      <c r="W7" s="102">
        <v>156833.30149499999</v>
      </c>
      <c r="X7" s="102">
        <v>202044.17017200001</v>
      </c>
      <c r="Y7" s="102">
        <v>926104.09640100005</v>
      </c>
      <c r="Z7" s="102"/>
      <c r="AA7" s="102"/>
      <c r="AB7" s="102"/>
      <c r="AC7" s="102">
        <v>522392</v>
      </c>
      <c r="AD7" s="102">
        <v>505279</v>
      </c>
      <c r="AE7" s="102">
        <v>476002</v>
      </c>
      <c r="AF7" s="102">
        <v>488769</v>
      </c>
      <c r="AG7" s="102">
        <v>682760</v>
      </c>
      <c r="AH7" s="102">
        <v>503939</v>
      </c>
      <c r="AI7" s="102">
        <v>484276</v>
      </c>
      <c r="AJ7" s="102">
        <v>533236</v>
      </c>
      <c r="AK7" s="102">
        <v>976045.90419599996</v>
      </c>
      <c r="AL7" s="102">
        <v>154024.55531699999</v>
      </c>
      <c r="AM7" s="102">
        <v>156341.91327299998</v>
      </c>
      <c r="AN7" s="102">
        <v>161530.298125</v>
      </c>
    </row>
    <row r="8" spans="2:40" x14ac:dyDescent="0.3">
      <c r="B8" s="61" t="s">
        <v>807</v>
      </c>
      <c r="C8" s="141" t="s">
        <v>808</v>
      </c>
      <c r="D8" s="102">
        <f t="shared" si="0"/>
        <v>4170939.5395979998</v>
      </c>
      <c r="E8" s="102">
        <f t="shared" si="0"/>
        <v>3813156.9722330002</v>
      </c>
      <c r="F8" s="102">
        <f t="shared" si="0"/>
        <v>4178679.2345470004</v>
      </c>
      <c r="G8" s="96"/>
      <c r="H8" s="102">
        <f t="shared" si="1"/>
        <v>4177126</v>
      </c>
      <c r="I8" s="102">
        <f t="shared" si="1"/>
        <v>3843459</v>
      </c>
      <c r="J8" s="102">
        <f t="shared" si="1"/>
        <v>5094647.4393600002</v>
      </c>
      <c r="M8" s="102"/>
      <c r="N8" s="102">
        <v>4170939.5395979998</v>
      </c>
      <c r="O8" s="102">
        <v>4148212.1895960001</v>
      </c>
      <c r="P8" s="102">
        <v>4057930.340266</v>
      </c>
      <c r="Q8" s="102">
        <v>3855367.744465</v>
      </c>
      <c r="R8" s="102">
        <v>3813156.9722330002</v>
      </c>
      <c r="S8" s="102">
        <v>4299414.3911600001</v>
      </c>
      <c r="T8" s="102">
        <v>4164395.4149159999</v>
      </c>
      <c r="U8" s="102">
        <v>4265349.4188479995</v>
      </c>
      <c r="V8" s="102">
        <v>4178679.2345470004</v>
      </c>
      <c r="W8" s="102">
        <v>4779952.9227839997</v>
      </c>
      <c r="X8" s="102">
        <v>4764161.8584230002</v>
      </c>
      <c r="Y8" s="102">
        <v>4178679.2345470004</v>
      </c>
      <c r="Z8" s="102"/>
      <c r="AA8" s="102"/>
      <c r="AB8" s="102"/>
      <c r="AC8" s="102">
        <v>4177126</v>
      </c>
      <c r="AD8" s="102">
        <v>4152839</v>
      </c>
      <c r="AE8" s="102">
        <v>4057664</v>
      </c>
      <c r="AF8" s="102">
        <v>3877557</v>
      </c>
      <c r="AG8" s="102">
        <v>3843459</v>
      </c>
      <c r="AH8" s="102">
        <v>4364245</v>
      </c>
      <c r="AI8" s="102">
        <v>4220516</v>
      </c>
      <c r="AJ8" s="102">
        <v>4289938</v>
      </c>
      <c r="AK8" s="102">
        <v>4196715.5153620001</v>
      </c>
      <c r="AL8" s="102">
        <v>4838473.4054900017</v>
      </c>
      <c r="AM8" s="102">
        <v>4817261.8047870016</v>
      </c>
      <c r="AN8" s="102">
        <v>5094647.4393600002</v>
      </c>
    </row>
    <row r="9" spans="2:40" x14ac:dyDescent="0.3">
      <c r="B9" s="61" t="s">
        <v>809</v>
      </c>
      <c r="C9" s="141" t="s">
        <v>810</v>
      </c>
      <c r="D9" s="102">
        <f t="shared" si="0"/>
        <v>11663557.366015</v>
      </c>
      <c r="E9" s="102">
        <f t="shared" si="0"/>
        <v>11969183.336758999</v>
      </c>
      <c r="F9" s="102">
        <f t="shared" si="0"/>
        <v>11226454.380747</v>
      </c>
      <c r="G9" s="96"/>
      <c r="H9" s="102">
        <f t="shared" si="1"/>
        <v>11663558</v>
      </c>
      <c r="I9" s="102">
        <f t="shared" si="1"/>
        <v>11969183</v>
      </c>
      <c r="J9" s="102">
        <f t="shared" si="1"/>
        <v>11257618.893872</v>
      </c>
      <c r="M9" s="102"/>
      <c r="N9" s="102">
        <v>11663557.366015</v>
      </c>
      <c r="O9" s="102">
        <v>12326566.814335</v>
      </c>
      <c r="P9" s="102">
        <v>12053808.702816</v>
      </c>
      <c r="Q9" s="102">
        <v>12442117.804533999</v>
      </c>
      <c r="R9" s="102">
        <v>11969183.336758999</v>
      </c>
      <c r="S9" s="102">
        <v>11814069.090092</v>
      </c>
      <c r="T9" s="102">
        <v>11285427.462307001</v>
      </c>
      <c r="U9" s="102">
        <v>10964242.307089999</v>
      </c>
      <c r="V9" s="102">
        <v>11226454.380747</v>
      </c>
      <c r="W9" s="102">
        <v>11032722.029203</v>
      </c>
      <c r="X9" s="102">
        <v>11286579.149371</v>
      </c>
      <c r="Y9" s="102">
        <v>11226454.380747</v>
      </c>
      <c r="Z9" s="102"/>
      <c r="AA9" s="102"/>
      <c r="AB9" s="102"/>
      <c r="AC9" s="102">
        <v>11663558</v>
      </c>
      <c r="AD9" s="102">
        <v>12326567</v>
      </c>
      <c r="AE9" s="102">
        <v>12053808</v>
      </c>
      <c r="AF9" s="102">
        <v>12442118</v>
      </c>
      <c r="AG9" s="102">
        <v>11969183</v>
      </c>
      <c r="AH9" s="102">
        <v>11814069</v>
      </c>
      <c r="AI9" s="102">
        <v>11285427</v>
      </c>
      <c r="AJ9" s="102">
        <v>10964242</v>
      </c>
      <c r="AK9" s="102">
        <v>11226454.380747</v>
      </c>
      <c r="AL9" s="102">
        <v>11032722.029203</v>
      </c>
      <c r="AM9" s="102">
        <v>11286579.149371</v>
      </c>
      <c r="AN9" s="102">
        <v>11257618.893872</v>
      </c>
    </row>
    <row r="10" spans="2:40" x14ac:dyDescent="0.3">
      <c r="B10" s="61" t="s">
        <v>811</v>
      </c>
      <c r="C10" s="141" t="s">
        <v>812</v>
      </c>
      <c r="D10" s="102" t="str">
        <f t="shared" si="0"/>
        <v/>
      </c>
      <c r="E10" s="102" t="str">
        <f t="shared" si="0"/>
        <v/>
      </c>
      <c r="F10" s="102" t="str">
        <f t="shared" si="0"/>
        <v/>
      </c>
      <c r="G10" s="96"/>
      <c r="H10" s="102" t="str">
        <f t="shared" si="1"/>
        <v/>
      </c>
      <c r="I10" s="102" t="str">
        <f t="shared" si="1"/>
        <v/>
      </c>
      <c r="J10" s="102">
        <f t="shared" si="1"/>
        <v>106223.499771</v>
      </c>
      <c r="M10" s="102"/>
      <c r="N10" s="102">
        <v>0</v>
      </c>
      <c r="O10" s="102">
        <v>0</v>
      </c>
      <c r="P10" s="102">
        <v>0</v>
      </c>
      <c r="Q10" s="102">
        <v>0</v>
      </c>
      <c r="R10" s="102">
        <v>0</v>
      </c>
      <c r="S10" s="102">
        <v>0</v>
      </c>
      <c r="T10" s="102">
        <v>0</v>
      </c>
      <c r="U10" s="102">
        <v>0</v>
      </c>
      <c r="V10" s="102">
        <v>0</v>
      </c>
      <c r="W10" s="102">
        <v>107048.597708</v>
      </c>
      <c r="X10" s="102">
        <v>106681.449815</v>
      </c>
      <c r="Y10" s="102">
        <v>0</v>
      </c>
      <c r="Z10" s="102"/>
      <c r="AA10" s="102"/>
      <c r="AB10" s="102"/>
      <c r="AC10" s="102">
        <v>0</v>
      </c>
      <c r="AD10" s="102">
        <v>0</v>
      </c>
      <c r="AE10" s="102">
        <v>0</v>
      </c>
      <c r="AF10" s="102">
        <v>0</v>
      </c>
      <c r="AG10" s="102">
        <v>0</v>
      </c>
      <c r="AH10" s="102">
        <v>0</v>
      </c>
      <c r="AI10" s="102">
        <v>0</v>
      </c>
      <c r="AJ10" s="102">
        <v>0</v>
      </c>
      <c r="AK10" s="102">
        <v>0</v>
      </c>
      <c r="AL10" s="102">
        <v>107048.597708</v>
      </c>
      <c r="AM10" s="102">
        <v>106681.449815</v>
      </c>
      <c r="AN10" s="102">
        <v>106223.499771</v>
      </c>
    </row>
    <row r="11" spans="2:40" x14ac:dyDescent="0.3">
      <c r="B11" s="61" t="s">
        <v>289</v>
      </c>
      <c r="C11" s="141" t="s">
        <v>313</v>
      </c>
      <c r="D11" s="102">
        <f t="shared" si="0"/>
        <v>142042.96550300001</v>
      </c>
      <c r="E11" s="102">
        <f t="shared" si="0"/>
        <v>142042.96550300001</v>
      </c>
      <c r="F11" s="102">
        <f t="shared" si="0"/>
        <v>142042.96550300001</v>
      </c>
      <c r="G11" s="96"/>
      <c r="H11" s="102">
        <f t="shared" si="1"/>
        <v>78496</v>
      </c>
      <c r="I11" s="102">
        <f t="shared" si="1"/>
        <v>84308</v>
      </c>
      <c r="J11" s="102">
        <f t="shared" si="1"/>
        <v>75518.176470000006</v>
      </c>
      <c r="M11" s="102"/>
      <c r="N11" s="102">
        <v>142042.96550300001</v>
      </c>
      <c r="O11" s="102">
        <v>142042.96550300001</v>
      </c>
      <c r="P11" s="102">
        <v>142042.96550300001</v>
      </c>
      <c r="Q11" s="102">
        <v>142042.96550300001</v>
      </c>
      <c r="R11" s="102">
        <v>142042.96550300001</v>
      </c>
      <c r="S11" s="102">
        <v>142042.96550300001</v>
      </c>
      <c r="T11" s="102">
        <v>142042.96550300001</v>
      </c>
      <c r="U11" s="102">
        <v>142042.96550300001</v>
      </c>
      <c r="V11" s="102">
        <v>142042.96550300001</v>
      </c>
      <c r="W11" s="102">
        <v>142042.96550300001</v>
      </c>
      <c r="X11" s="102">
        <v>142042.96550300001</v>
      </c>
      <c r="Y11" s="102">
        <v>142042.96550300001</v>
      </c>
      <c r="Z11" s="102"/>
      <c r="AA11" s="102"/>
      <c r="AB11" s="102"/>
      <c r="AC11" s="102">
        <v>78496</v>
      </c>
      <c r="AD11" s="102">
        <v>77386</v>
      </c>
      <c r="AE11" s="102">
        <v>76943</v>
      </c>
      <c r="AF11" s="102">
        <v>83094</v>
      </c>
      <c r="AG11" s="102">
        <v>84308</v>
      </c>
      <c r="AH11" s="102">
        <v>80380</v>
      </c>
      <c r="AI11" s="102">
        <v>80425</v>
      </c>
      <c r="AJ11" s="102">
        <v>80771</v>
      </c>
      <c r="AK11" s="102">
        <v>78659.010817000002</v>
      </c>
      <c r="AL11" s="102">
        <v>79857.88652</v>
      </c>
      <c r="AM11" s="102">
        <v>78688.550950000004</v>
      </c>
      <c r="AN11" s="102">
        <v>75518.176470000006</v>
      </c>
    </row>
    <row r="12" spans="2:40" x14ac:dyDescent="0.3">
      <c r="B12" s="61" t="s">
        <v>290</v>
      </c>
      <c r="C12" s="141" t="s">
        <v>314</v>
      </c>
      <c r="D12" s="102">
        <f t="shared" si="0"/>
        <v>24363.558010000001</v>
      </c>
      <c r="E12" s="102">
        <f t="shared" si="0"/>
        <v>238178.21090599999</v>
      </c>
      <c r="F12" s="102">
        <f t="shared" si="0"/>
        <v>167114.998517</v>
      </c>
      <c r="G12" s="96"/>
      <c r="H12" s="102">
        <f t="shared" si="1"/>
        <v>24364</v>
      </c>
      <c r="I12" s="102">
        <f t="shared" si="1"/>
        <v>238178</v>
      </c>
      <c r="J12" s="102">
        <f t="shared" si="1"/>
        <v>8071.3100180000001</v>
      </c>
      <c r="M12" s="102"/>
      <c r="N12" s="102">
        <v>24363.558010000001</v>
      </c>
      <c r="O12" s="102">
        <v>139523.971387</v>
      </c>
      <c r="P12" s="102">
        <v>236552.63926299999</v>
      </c>
      <c r="Q12" s="102">
        <v>336228.14489599998</v>
      </c>
      <c r="R12" s="102">
        <v>238178.21090599999</v>
      </c>
      <c r="S12" s="102">
        <v>219184.40323</v>
      </c>
      <c r="T12" s="102">
        <v>96547.385691000003</v>
      </c>
      <c r="U12" s="102">
        <v>68764.225005999993</v>
      </c>
      <c r="V12" s="102">
        <v>167114.998517</v>
      </c>
      <c r="W12" s="102">
        <v>1521.0892739999999</v>
      </c>
      <c r="X12" s="102">
        <v>614.67135099999996</v>
      </c>
      <c r="Y12" s="102">
        <v>167114.998517</v>
      </c>
      <c r="Z12" s="102"/>
      <c r="AA12" s="102"/>
      <c r="AB12" s="102"/>
      <c r="AC12" s="102">
        <v>24364</v>
      </c>
      <c r="AD12" s="102">
        <v>139524</v>
      </c>
      <c r="AE12" s="102">
        <v>236553</v>
      </c>
      <c r="AF12" s="102">
        <v>336228.14489599998</v>
      </c>
      <c r="AG12" s="102">
        <v>238178</v>
      </c>
      <c r="AH12" s="102">
        <v>219184.40323</v>
      </c>
      <c r="AI12" s="102">
        <v>96547.385691000003</v>
      </c>
      <c r="AJ12" s="102">
        <v>68764.225005999993</v>
      </c>
      <c r="AK12" s="102">
        <v>167114.998517</v>
      </c>
      <c r="AL12" s="102">
        <v>249.729645</v>
      </c>
      <c r="AM12" s="102">
        <v>614.67135099999996</v>
      </c>
      <c r="AN12" s="102">
        <v>8071.3100180000001</v>
      </c>
    </row>
    <row r="13" spans="2:40" x14ac:dyDescent="0.3">
      <c r="B13" s="61" t="s">
        <v>813</v>
      </c>
      <c r="C13" s="141" t="s">
        <v>814</v>
      </c>
      <c r="D13" s="102">
        <f t="shared" si="0"/>
        <v>2551624.0335820001</v>
      </c>
      <c r="E13" s="102">
        <f t="shared" si="0"/>
        <v>3259536.4782430003</v>
      </c>
      <c r="F13" s="102">
        <f t="shared" si="0"/>
        <v>3961752.7795210001</v>
      </c>
      <c r="G13" s="96"/>
      <c r="H13" s="102">
        <f t="shared" si="1"/>
        <v>2631747</v>
      </c>
      <c r="I13" s="102">
        <f t="shared" si="1"/>
        <v>3346597</v>
      </c>
      <c r="J13" s="102">
        <f t="shared" si="1"/>
        <v>4260110.7273880001</v>
      </c>
      <c r="M13" s="102"/>
      <c r="N13" s="102">
        <v>2551624.0335820001</v>
      </c>
      <c r="O13" s="102">
        <v>2362824.9845070001</v>
      </c>
      <c r="P13" s="102">
        <v>2753286.865117</v>
      </c>
      <c r="Q13" s="102">
        <v>2880403.4182819994</v>
      </c>
      <c r="R13" s="102">
        <v>3259536.4782430003</v>
      </c>
      <c r="S13" s="102">
        <v>3202129.2300889995</v>
      </c>
      <c r="T13" s="102">
        <v>3610607.3948580003</v>
      </c>
      <c r="U13" s="102">
        <v>3686249.8515529996</v>
      </c>
      <c r="V13" s="102">
        <v>3961752.7795210001</v>
      </c>
      <c r="W13" s="102">
        <v>3921077.1205930002</v>
      </c>
      <c r="X13" s="102">
        <v>4071493.4466240006</v>
      </c>
      <c r="Y13" s="102">
        <v>3961752.7795210001</v>
      </c>
      <c r="Z13" s="102"/>
      <c r="AA13" s="102"/>
      <c r="AB13" s="102"/>
      <c r="AC13" s="102">
        <v>2631747</v>
      </c>
      <c r="AD13" s="102">
        <v>2443694</v>
      </c>
      <c r="AE13" s="102">
        <v>2831408</v>
      </c>
      <c r="AF13" s="102">
        <v>2962061</v>
      </c>
      <c r="AG13" s="102">
        <v>3346597</v>
      </c>
      <c r="AH13" s="102">
        <v>3236401</v>
      </c>
      <c r="AI13" s="102">
        <v>3639879</v>
      </c>
      <c r="AJ13" s="102">
        <v>3714792</v>
      </c>
      <c r="AK13" s="102">
        <v>3985868.399884</v>
      </c>
      <c r="AL13" s="102">
        <v>4012016.528066</v>
      </c>
      <c r="AM13" s="102">
        <v>4170914.7982550003</v>
      </c>
      <c r="AN13" s="102">
        <v>4260110.7273880001</v>
      </c>
    </row>
    <row r="14" spans="2:40" x14ac:dyDescent="0.3">
      <c r="B14" s="61" t="s">
        <v>291</v>
      </c>
      <c r="C14" s="141" t="s">
        <v>315</v>
      </c>
      <c r="D14" s="102">
        <f t="shared" si="0"/>
        <v>305565.24123400013</v>
      </c>
      <c r="E14" s="102">
        <f t="shared" si="0"/>
        <v>241360.16067100002</v>
      </c>
      <c r="F14" s="102">
        <f t="shared" si="0"/>
        <v>204680.33906599993</v>
      </c>
      <c r="G14" s="96"/>
      <c r="H14" s="102">
        <f t="shared" si="1"/>
        <v>335914</v>
      </c>
      <c r="I14" s="102">
        <f t="shared" si="1"/>
        <v>260672</v>
      </c>
      <c r="J14" s="102">
        <f t="shared" si="1"/>
        <v>283726.50958899996</v>
      </c>
      <c r="M14" s="102"/>
      <c r="N14" s="102">
        <v>305565.24123400013</v>
      </c>
      <c r="O14" s="102">
        <v>259401.76161899997</v>
      </c>
      <c r="P14" s="102">
        <v>241562.99875100012</v>
      </c>
      <c r="Q14" s="102">
        <v>303816.77317899989</v>
      </c>
      <c r="R14" s="102">
        <v>241360.16067100002</v>
      </c>
      <c r="S14" s="102">
        <v>214990.63517500021</v>
      </c>
      <c r="T14" s="102">
        <v>189013.910454</v>
      </c>
      <c r="U14" s="102">
        <v>237977.33246200002</v>
      </c>
      <c r="V14" s="102">
        <v>204680.33906599993</v>
      </c>
      <c r="W14" s="102">
        <v>196969.91751600002</v>
      </c>
      <c r="X14" s="102">
        <v>180403.48944799998</v>
      </c>
      <c r="Y14" s="102">
        <v>204680.33906599993</v>
      </c>
      <c r="Z14" s="102"/>
      <c r="AA14" s="102"/>
      <c r="AB14" s="102"/>
      <c r="AC14" s="102">
        <v>335914</v>
      </c>
      <c r="AD14" s="102">
        <v>283465</v>
      </c>
      <c r="AE14" s="102">
        <v>267389</v>
      </c>
      <c r="AF14" s="102">
        <v>327635</v>
      </c>
      <c r="AG14" s="102">
        <v>260672</v>
      </c>
      <c r="AH14" s="102">
        <v>234661</v>
      </c>
      <c r="AI14" s="102">
        <v>209626</v>
      </c>
      <c r="AJ14" s="102">
        <v>259760</v>
      </c>
      <c r="AK14" s="102">
        <v>221801.04917399999</v>
      </c>
      <c r="AL14" s="102">
        <v>215007.784613</v>
      </c>
      <c r="AM14" s="102">
        <v>238990.69805999997</v>
      </c>
      <c r="AN14" s="102">
        <v>283726.50958899996</v>
      </c>
    </row>
    <row r="15" spans="2:40" x14ac:dyDescent="0.3">
      <c r="B15" s="61" t="s">
        <v>292</v>
      </c>
      <c r="C15" s="141" t="s">
        <v>316</v>
      </c>
      <c r="D15" s="102" t="str">
        <f t="shared" si="0"/>
        <v/>
      </c>
      <c r="E15" s="102" t="str">
        <f t="shared" si="0"/>
        <v/>
      </c>
      <c r="F15" s="102" t="str">
        <f t="shared" si="0"/>
        <v/>
      </c>
      <c r="G15" s="96"/>
      <c r="H15" s="102" t="str">
        <f t="shared" si="1"/>
        <v/>
      </c>
      <c r="I15" s="102" t="str">
        <f t="shared" si="1"/>
        <v/>
      </c>
      <c r="J15" s="102" t="str">
        <f t="shared" si="1"/>
        <v/>
      </c>
      <c r="M15" s="102"/>
      <c r="N15" s="102"/>
      <c r="O15" s="102"/>
      <c r="P15" s="102"/>
      <c r="Q15" s="102"/>
      <c r="R15" s="102"/>
      <c r="S15" s="102"/>
      <c r="T15" s="102"/>
      <c r="U15" s="102"/>
      <c r="V15" s="102"/>
      <c r="W15" s="102"/>
      <c r="X15" s="102"/>
      <c r="Y15" s="102"/>
      <c r="Z15" s="102"/>
      <c r="AA15" s="102"/>
      <c r="AB15" s="102"/>
      <c r="AC15" s="102"/>
      <c r="AD15" s="102"/>
      <c r="AE15" s="102"/>
      <c r="AF15" s="102">
        <v>0</v>
      </c>
      <c r="AG15" s="102"/>
      <c r="AH15" s="102">
        <v>0</v>
      </c>
      <c r="AI15" s="102">
        <v>0</v>
      </c>
      <c r="AJ15" s="102">
        <v>0</v>
      </c>
      <c r="AK15" s="102"/>
      <c r="AL15" s="102">
        <v>0</v>
      </c>
      <c r="AM15" s="102"/>
      <c r="AN15" s="102" t="s">
        <v>1292</v>
      </c>
    </row>
    <row r="16" spans="2:40" x14ac:dyDescent="0.3">
      <c r="B16" s="61" t="s">
        <v>293</v>
      </c>
      <c r="C16" s="141" t="s">
        <v>317</v>
      </c>
      <c r="D16" s="102">
        <f t="shared" si="0"/>
        <v>13487230.093769001</v>
      </c>
      <c r="E16" s="102">
        <f t="shared" si="0"/>
        <v>12068465.738017</v>
      </c>
      <c r="F16" s="102">
        <f t="shared" si="0"/>
        <v>12239364.230695</v>
      </c>
      <c r="G16" s="96"/>
      <c r="H16" s="102">
        <f t="shared" si="1"/>
        <v>13487230</v>
      </c>
      <c r="I16" s="102">
        <f t="shared" si="1"/>
        <v>12068466</v>
      </c>
      <c r="J16" s="102">
        <f t="shared" si="1"/>
        <v>11941203.613065999</v>
      </c>
      <c r="M16" s="102"/>
      <c r="N16" s="102">
        <v>13487230.093769001</v>
      </c>
      <c r="O16" s="102">
        <v>13292290.385647999</v>
      </c>
      <c r="P16" s="102">
        <v>12262933.405889001</v>
      </c>
      <c r="Q16" s="102">
        <v>11774721.840636</v>
      </c>
      <c r="R16" s="102">
        <v>12068465.738017</v>
      </c>
      <c r="S16" s="102">
        <v>11858153.357918</v>
      </c>
      <c r="T16" s="102">
        <v>12252612.986768</v>
      </c>
      <c r="U16" s="102">
        <v>12486896.880617</v>
      </c>
      <c r="V16" s="102">
        <v>12239364.230695</v>
      </c>
      <c r="W16" s="102">
        <v>11772891.794899</v>
      </c>
      <c r="X16" s="102">
        <v>12197311.984913999</v>
      </c>
      <c r="Y16" s="102">
        <v>12239364.230695</v>
      </c>
      <c r="Z16" s="102"/>
      <c r="AA16" s="102"/>
      <c r="AB16" s="102"/>
      <c r="AC16" s="102">
        <v>13487230</v>
      </c>
      <c r="AD16" s="102">
        <v>13292289</v>
      </c>
      <c r="AE16" s="102">
        <v>12262933</v>
      </c>
      <c r="AF16" s="102">
        <v>11774722</v>
      </c>
      <c r="AG16" s="102">
        <v>12068466</v>
      </c>
      <c r="AH16" s="102">
        <v>11858153</v>
      </c>
      <c r="AI16" s="102">
        <v>12252613</v>
      </c>
      <c r="AJ16" s="102">
        <v>12486897</v>
      </c>
      <c r="AK16" s="102">
        <v>12239364.230695</v>
      </c>
      <c r="AL16" s="102">
        <v>11772891.794899</v>
      </c>
      <c r="AM16" s="102">
        <v>12197311.984913999</v>
      </c>
      <c r="AN16" s="102">
        <v>11941203.613065999</v>
      </c>
    </row>
    <row r="17" spans="2:43" x14ac:dyDescent="0.3">
      <c r="D17" s="102" t="str">
        <f t="shared" si="0"/>
        <v/>
      </c>
      <c r="E17" s="102" t="str">
        <f t="shared" si="0"/>
        <v/>
      </c>
      <c r="F17" s="102" t="str">
        <f t="shared" si="0"/>
        <v/>
      </c>
      <c r="G17" s="96"/>
      <c r="H17" s="102" t="str">
        <f t="shared" si="1"/>
        <v/>
      </c>
      <c r="I17" s="102" t="str">
        <f t="shared" si="1"/>
        <v/>
      </c>
      <c r="J17" s="102" t="str">
        <f t="shared" si="1"/>
        <v/>
      </c>
      <c r="M17" s="102"/>
      <c r="N17" s="102"/>
      <c r="O17" s="102"/>
      <c r="P17" s="102"/>
      <c r="Q17" s="102"/>
      <c r="R17" s="102"/>
      <c r="S17" s="102"/>
      <c r="T17" s="102"/>
      <c r="U17" s="102"/>
      <c r="V17" s="102"/>
      <c r="W17" s="102"/>
      <c r="X17" s="102"/>
      <c r="Y17" s="102"/>
      <c r="Z17" s="102"/>
      <c r="AA17" s="102"/>
      <c r="AB17" s="102"/>
      <c r="AC17" s="102">
        <v>0</v>
      </c>
      <c r="AD17" s="102">
        <v>0</v>
      </c>
      <c r="AE17" s="102">
        <v>0</v>
      </c>
      <c r="AF17" s="102"/>
      <c r="AG17" s="102">
        <v>0</v>
      </c>
      <c r="AH17" s="102"/>
      <c r="AI17" s="102"/>
      <c r="AJ17" s="102"/>
      <c r="AK17" s="102">
        <v>0</v>
      </c>
      <c r="AL17" s="102">
        <v>0</v>
      </c>
      <c r="AM17" s="102"/>
      <c r="AN17" s="102" t="s">
        <v>1292</v>
      </c>
    </row>
    <row r="18" spans="2:43" s="112" customFormat="1" x14ac:dyDescent="0.3">
      <c r="B18" s="78" t="s">
        <v>473</v>
      </c>
      <c r="C18" s="307" t="s">
        <v>318</v>
      </c>
      <c r="D18" s="100">
        <f t="shared" si="0"/>
        <v>18541089.297055997</v>
      </c>
      <c r="E18" s="100">
        <f t="shared" si="0"/>
        <v>19251277.201448001</v>
      </c>
      <c r="F18" s="100">
        <f t="shared" si="0"/>
        <v>19625964.457714003</v>
      </c>
      <c r="G18" s="101"/>
      <c r="H18" s="100">
        <f t="shared" si="1"/>
        <v>18548126</v>
      </c>
      <c r="I18" s="100">
        <f t="shared" si="1"/>
        <v>19296494</v>
      </c>
      <c r="J18" s="100">
        <f t="shared" si="1"/>
        <v>20368200.782185003</v>
      </c>
      <c r="M18" s="100"/>
      <c r="N18" s="100">
        <v>18541089.297055997</v>
      </c>
      <c r="O18" s="100">
        <v>19069966.736439999</v>
      </c>
      <c r="P18" s="100">
        <v>18966515.444031999</v>
      </c>
      <c r="Q18" s="100">
        <v>19288638.628703002</v>
      </c>
      <c r="R18" s="100">
        <v>19251277.201448001</v>
      </c>
      <c r="S18" s="100">
        <v>19411287.595601</v>
      </c>
      <c r="T18" s="100">
        <v>18967270.673666</v>
      </c>
      <c r="U18" s="100">
        <v>18902567.005789001</v>
      </c>
      <c r="V18" s="100">
        <v>19625964.457714003</v>
      </c>
      <c r="W18" s="100">
        <v>19517197.122929998</v>
      </c>
      <c r="X18" s="100">
        <v>19920244.944959</v>
      </c>
      <c r="Y18" s="100">
        <v>19625964.457714003</v>
      </c>
      <c r="Z18" s="100"/>
      <c r="AA18" s="100"/>
      <c r="AB18" s="100"/>
      <c r="AC18" s="100">
        <v>18548126</v>
      </c>
      <c r="AD18" s="100">
        <v>19074637</v>
      </c>
      <c r="AE18" s="100">
        <v>18962285</v>
      </c>
      <c r="AF18" s="100">
        <v>19318471</v>
      </c>
      <c r="AG18" s="100">
        <v>19296494</v>
      </c>
      <c r="AH18" s="100">
        <v>19436087</v>
      </c>
      <c r="AI18" s="100">
        <v>18998422</v>
      </c>
      <c r="AJ18" s="100">
        <v>18917800</v>
      </c>
      <c r="AK18" s="100">
        <v>19630741.491638001</v>
      </c>
      <c r="AL18" s="100">
        <v>19569538.726209</v>
      </c>
      <c r="AM18" s="100">
        <v>19972476.695587002</v>
      </c>
      <c r="AN18" s="100">
        <v>20368200.782185003</v>
      </c>
      <c r="AQ18" s="62"/>
    </row>
    <row r="19" spans="2:43" x14ac:dyDescent="0.3">
      <c r="B19" s="61" t="s">
        <v>475</v>
      </c>
      <c r="C19" s="141" t="s">
        <v>319</v>
      </c>
      <c r="D19" s="102">
        <f t="shared" si="0"/>
        <v>527170.28309699998</v>
      </c>
      <c r="E19" s="102">
        <f t="shared" si="0"/>
        <v>691651.21819099993</v>
      </c>
      <c r="F19" s="102">
        <f t="shared" si="0"/>
        <v>954780.25708500005</v>
      </c>
      <c r="G19" s="96"/>
      <c r="H19" s="102">
        <f t="shared" si="1"/>
        <v>592703</v>
      </c>
      <c r="I19" s="102">
        <f t="shared" si="1"/>
        <v>763896</v>
      </c>
      <c r="J19" s="102">
        <f t="shared" si="1"/>
        <v>252955.54197400002</v>
      </c>
      <c r="M19" s="102"/>
      <c r="N19" s="102">
        <v>527170.28309699998</v>
      </c>
      <c r="O19" s="102">
        <v>502133.45908499998</v>
      </c>
      <c r="P19" s="102">
        <v>473280.97748999996</v>
      </c>
      <c r="Q19" s="102">
        <v>502893.720287</v>
      </c>
      <c r="R19" s="102">
        <v>691651.21819099993</v>
      </c>
      <c r="S19" s="102">
        <v>506305.70587399998</v>
      </c>
      <c r="T19" s="102">
        <v>452588.95134500001</v>
      </c>
      <c r="U19" s="102">
        <v>513140.534483</v>
      </c>
      <c r="V19" s="102">
        <v>954780.25708500005</v>
      </c>
      <c r="W19" s="102">
        <v>189843.545923</v>
      </c>
      <c r="X19" s="102">
        <v>212295.312989</v>
      </c>
      <c r="Y19" s="102">
        <v>954780.25708500005</v>
      </c>
      <c r="Z19" s="102"/>
      <c r="AA19" s="102"/>
      <c r="AB19" s="102"/>
      <c r="AC19" s="102">
        <v>592703</v>
      </c>
      <c r="AD19" s="102">
        <v>565812</v>
      </c>
      <c r="AE19" s="102">
        <v>536932</v>
      </c>
      <c r="AF19" s="102">
        <v>568773</v>
      </c>
      <c r="AG19" s="102">
        <v>763896</v>
      </c>
      <c r="AH19" s="102">
        <v>527576</v>
      </c>
      <c r="AI19" s="102">
        <v>488920</v>
      </c>
      <c r="AJ19" s="102">
        <v>564883</v>
      </c>
      <c r="AK19" s="102">
        <v>1004722.06488</v>
      </c>
      <c r="AL19" s="102">
        <v>247037.799745</v>
      </c>
      <c r="AM19" s="102">
        <v>237599.46301199999</v>
      </c>
      <c r="AN19" s="102">
        <v>252955.54197400002</v>
      </c>
      <c r="AQ19" s="125"/>
    </row>
    <row r="20" spans="2:43" x14ac:dyDescent="0.3">
      <c r="B20" s="61" t="s">
        <v>474</v>
      </c>
      <c r="C20" s="141" t="s">
        <v>320</v>
      </c>
      <c r="D20" s="102">
        <f t="shared" si="0"/>
        <v>509859.13739499997</v>
      </c>
      <c r="E20" s="102">
        <f t="shared" si="0"/>
        <v>672514.94241399993</v>
      </c>
      <c r="F20" s="102">
        <f t="shared" si="0"/>
        <v>926104.09640100005</v>
      </c>
      <c r="G20" s="96"/>
      <c r="H20" s="102">
        <f t="shared" si="1"/>
        <v>522392</v>
      </c>
      <c r="I20" s="102">
        <f t="shared" si="1"/>
        <v>682760</v>
      </c>
      <c r="J20" s="102">
        <f t="shared" si="1"/>
        <v>161530.298125</v>
      </c>
      <c r="M20" s="102"/>
      <c r="N20" s="102">
        <v>509859.13739499997</v>
      </c>
      <c r="O20" s="102">
        <v>494600.16608900001</v>
      </c>
      <c r="P20" s="102">
        <v>467350.57353599998</v>
      </c>
      <c r="Q20" s="102">
        <v>479889.81416900002</v>
      </c>
      <c r="R20" s="102">
        <v>672514.94241399993</v>
      </c>
      <c r="S20" s="102">
        <v>482668.760618</v>
      </c>
      <c r="T20" s="102">
        <v>447945.186308</v>
      </c>
      <c r="U20" s="102">
        <v>481494.27537300001</v>
      </c>
      <c r="V20" s="102">
        <v>926104.09640100005</v>
      </c>
      <c r="W20" s="102">
        <v>156833.30149499999</v>
      </c>
      <c r="X20" s="102">
        <v>202044.17017200001</v>
      </c>
      <c r="Y20" s="102">
        <v>926104.09640100005</v>
      </c>
      <c r="Z20" s="102"/>
      <c r="AA20" s="102"/>
      <c r="AB20" s="102"/>
      <c r="AC20" s="102">
        <v>522392</v>
      </c>
      <c r="AD20" s="102">
        <v>505279</v>
      </c>
      <c r="AE20" s="102">
        <v>476002</v>
      </c>
      <c r="AF20" s="102">
        <v>488769</v>
      </c>
      <c r="AG20" s="102">
        <v>682760</v>
      </c>
      <c r="AH20" s="102">
        <v>503939</v>
      </c>
      <c r="AI20" s="102">
        <v>484276</v>
      </c>
      <c r="AJ20" s="102">
        <v>533236</v>
      </c>
      <c r="AK20" s="102">
        <v>976045.90419599996</v>
      </c>
      <c r="AL20" s="102">
        <v>154024.55531699999</v>
      </c>
      <c r="AM20" s="102">
        <v>156341.91327300001</v>
      </c>
      <c r="AN20" s="102">
        <v>161530.298125</v>
      </c>
      <c r="AQ20" s="125"/>
    </row>
    <row r="21" spans="2:43" x14ac:dyDescent="0.3">
      <c r="B21" s="61" t="s">
        <v>477</v>
      </c>
      <c r="C21" s="141" t="s">
        <v>525</v>
      </c>
      <c r="D21" s="102" t="str">
        <f t="shared" si="0"/>
        <v/>
      </c>
      <c r="E21" s="102" t="str">
        <f t="shared" si="0"/>
        <v/>
      </c>
      <c r="F21" s="102" t="str">
        <f t="shared" si="0"/>
        <v/>
      </c>
      <c r="G21" s="96"/>
      <c r="H21" s="102" t="str">
        <f t="shared" si="1"/>
        <v/>
      </c>
      <c r="I21" s="102" t="str">
        <f t="shared" si="1"/>
        <v/>
      </c>
      <c r="J21" s="102" t="str">
        <f t="shared" si="1"/>
        <v/>
      </c>
      <c r="M21" s="102"/>
      <c r="N21" s="102">
        <v>0</v>
      </c>
      <c r="O21" s="102">
        <v>0</v>
      </c>
      <c r="P21" s="102">
        <v>0</v>
      </c>
      <c r="Q21" s="102">
        <v>0</v>
      </c>
      <c r="R21" s="102">
        <v>0</v>
      </c>
      <c r="S21" s="102">
        <v>0</v>
      </c>
      <c r="T21" s="102">
        <v>0</v>
      </c>
      <c r="U21" s="102">
        <v>0</v>
      </c>
      <c r="V21" s="102">
        <v>0</v>
      </c>
      <c r="W21" s="102">
        <v>0</v>
      </c>
      <c r="X21" s="102">
        <v>0</v>
      </c>
      <c r="Y21" s="102">
        <v>0</v>
      </c>
      <c r="Z21" s="102"/>
      <c r="AA21" s="102"/>
      <c r="AB21" s="102"/>
      <c r="AC21" s="102">
        <v>0</v>
      </c>
      <c r="AD21" s="102">
        <v>0</v>
      </c>
      <c r="AE21" s="102">
        <v>0</v>
      </c>
      <c r="AF21" s="102">
        <v>0</v>
      </c>
      <c r="AG21" s="102">
        <v>0</v>
      </c>
      <c r="AH21" s="102">
        <v>0</v>
      </c>
      <c r="AI21" s="102">
        <v>0</v>
      </c>
      <c r="AJ21" s="102">
        <v>0</v>
      </c>
      <c r="AK21" s="102">
        <v>0</v>
      </c>
      <c r="AL21" s="102">
        <v>0</v>
      </c>
      <c r="AM21" s="102">
        <v>0</v>
      </c>
      <c r="AN21" s="102" t="s">
        <v>1292</v>
      </c>
      <c r="AQ21" s="125"/>
    </row>
    <row r="22" spans="2:43" x14ac:dyDescent="0.3">
      <c r="B22" s="61" t="s">
        <v>476</v>
      </c>
      <c r="C22" s="141" t="s">
        <v>321</v>
      </c>
      <c r="D22" s="102">
        <f t="shared" si="0"/>
        <v>7333.6434579999996</v>
      </c>
      <c r="E22" s="102">
        <f t="shared" si="0"/>
        <v>9489.1862209999999</v>
      </c>
      <c r="F22" s="102">
        <f t="shared" si="0"/>
        <v>8718.6631070000003</v>
      </c>
      <c r="G22" s="96"/>
      <c r="H22" s="102">
        <f t="shared" si="1"/>
        <v>7334</v>
      </c>
      <c r="I22" s="102">
        <f t="shared" si="1"/>
        <v>9489</v>
      </c>
      <c r="J22" s="102">
        <f t="shared" si="1"/>
        <v>11359.469767999999</v>
      </c>
      <c r="M22" s="102"/>
      <c r="N22" s="102">
        <v>7333.6434579999996</v>
      </c>
      <c r="O22" s="102">
        <v>7028.209519</v>
      </c>
      <c r="P22" s="102">
        <v>5682.5908209999998</v>
      </c>
      <c r="Q22" s="102">
        <v>6590.9066290000001</v>
      </c>
      <c r="R22" s="102">
        <v>9489.1862209999999</v>
      </c>
      <c r="S22" s="102">
        <v>7985.5714959999996</v>
      </c>
      <c r="T22" s="102">
        <v>7847.4181369999997</v>
      </c>
      <c r="U22" s="102">
        <v>9491.2722009999998</v>
      </c>
      <c r="V22" s="102">
        <v>8718.6631070000003</v>
      </c>
      <c r="W22" s="102">
        <v>13414.047517000001</v>
      </c>
      <c r="X22" s="102">
        <v>8717.4465739999996</v>
      </c>
      <c r="Y22" s="102">
        <v>8718.6631070000003</v>
      </c>
      <c r="Z22" s="102"/>
      <c r="AA22" s="102"/>
      <c r="AB22" s="102"/>
      <c r="AC22" s="102">
        <v>7334</v>
      </c>
      <c r="AD22" s="102">
        <v>7028</v>
      </c>
      <c r="AE22" s="102">
        <v>5683</v>
      </c>
      <c r="AF22" s="102">
        <v>6591</v>
      </c>
      <c r="AG22" s="102">
        <v>9489</v>
      </c>
      <c r="AH22" s="102">
        <v>7986</v>
      </c>
      <c r="AI22" s="102">
        <v>7847</v>
      </c>
      <c r="AJ22" s="102">
        <v>9491</v>
      </c>
      <c r="AK22" s="102">
        <v>8718.6631070000003</v>
      </c>
      <c r="AL22" s="102">
        <v>13414.047517000001</v>
      </c>
      <c r="AM22" s="102">
        <v>8717.4465739999996</v>
      </c>
      <c r="AN22" s="102">
        <v>11359.469767999999</v>
      </c>
      <c r="AQ22" s="125"/>
    </row>
    <row r="23" spans="2:43" x14ac:dyDescent="0.3">
      <c r="B23" s="61" t="s">
        <v>478</v>
      </c>
      <c r="C23" s="141" t="s">
        <v>322</v>
      </c>
      <c r="D23" s="102">
        <f t="shared" si="0"/>
        <v>24608.927043</v>
      </c>
      <c r="E23" s="102">
        <f t="shared" si="0"/>
        <v>22719.240545000001</v>
      </c>
      <c r="F23" s="102">
        <f t="shared" si="0"/>
        <v>103109.325614</v>
      </c>
      <c r="G23" s="96"/>
      <c r="H23" s="102">
        <f t="shared" si="1"/>
        <v>28403</v>
      </c>
      <c r="I23" s="102">
        <f t="shared" si="1"/>
        <v>26646</v>
      </c>
      <c r="J23" s="102">
        <f t="shared" si="1"/>
        <v>51593.548391000004</v>
      </c>
      <c r="M23" s="102"/>
      <c r="N23" s="102">
        <v>24608.927043</v>
      </c>
      <c r="O23" s="102">
        <v>7771.4460390000004</v>
      </c>
      <c r="P23" s="102">
        <v>6295.478572</v>
      </c>
      <c r="Q23" s="102">
        <v>6944.2075930000001</v>
      </c>
      <c r="R23" s="102">
        <v>22719.240545000001</v>
      </c>
      <c r="S23" s="102">
        <v>7668.4305240000003</v>
      </c>
      <c r="T23" s="102">
        <v>2631.4633020000001</v>
      </c>
      <c r="U23" s="102">
        <v>7309.6552300000003</v>
      </c>
      <c r="V23" s="102">
        <v>103109.325614</v>
      </c>
      <c r="W23" s="102">
        <v>13977.041259</v>
      </c>
      <c r="X23" s="102">
        <v>60834.042709000001</v>
      </c>
      <c r="Y23" s="102">
        <v>103109.325614</v>
      </c>
      <c r="Z23" s="102"/>
      <c r="AA23" s="102"/>
      <c r="AB23" s="102"/>
      <c r="AC23" s="102">
        <v>28403</v>
      </c>
      <c r="AD23" s="102">
        <v>11503</v>
      </c>
      <c r="AE23" s="102">
        <v>10072</v>
      </c>
      <c r="AF23" s="102">
        <v>10884</v>
      </c>
      <c r="AG23" s="102">
        <v>26646</v>
      </c>
      <c r="AH23" s="102">
        <v>11893</v>
      </c>
      <c r="AI23" s="102">
        <v>6844</v>
      </c>
      <c r="AJ23" s="102">
        <v>11599</v>
      </c>
      <c r="AK23" s="102">
        <v>107532.788644</v>
      </c>
      <c r="AL23" s="102">
        <v>56346.931751999997</v>
      </c>
      <c r="AM23" s="102">
        <v>65663.066766000004</v>
      </c>
      <c r="AN23" s="102">
        <v>51593.548391000004</v>
      </c>
      <c r="AQ23" s="125"/>
    </row>
    <row r="24" spans="2:43" x14ac:dyDescent="0.3">
      <c r="B24" s="61" t="s">
        <v>479</v>
      </c>
      <c r="C24" s="141" t="s">
        <v>323</v>
      </c>
      <c r="D24" s="102" t="str">
        <f t="shared" si="0"/>
        <v/>
      </c>
      <c r="E24" s="102" t="str">
        <f t="shared" si="0"/>
        <v/>
      </c>
      <c r="F24" s="102" t="str">
        <f t="shared" si="0"/>
        <v/>
      </c>
      <c r="G24" s="96"/>
      <c r="H24" s="102" t="str">
        <f t="shared" si="1"/>
        <v/>
      </c>
      <c r="I24" s="102" t="str">
        <f t="shared" si="1"/>
        <v/>
      </c>
      <c r="J24" s="102">
        <f t="shared" si="1"/>
        <v>3000</v>
      </c>
      <c r="M24" s="102"/>
      <c r="N24" s="102">
        <v>0</v>
      </c>
      <c r="O24" s="102">
        <v>0</v>
      </c>
      <c r="P24" s="102">
        <v>0</v>
      </c>
      <c r="Q24" s="102">
        <v>0</v>
      </c>
      <c r="R24" s="102">
        <v>0</v>
      </c>
      <c r="S24" s="102">
        <v>0</v>
      </c>
      <c r="T24" s="102">
        <v>0</v>
      </c>
      <c r="U24" s="102">
        <v>0</v>
      </c>
      <c r="V24" s="102">
        <v>0</v>
      </c>
      <c r="W24" s="102">
        <v>0</v>
      </c>
      <c r="X24" s="102">
        <v>0</v>
      </c>
      <c r="Y24" s="102">
        <v>0</v>
      </c>
      <c r="Z24" s="102"/>
      <c r="AA24" s="102"/>
      <c r="AB24" s="102"/>
      <c r="AC24" s="102">
        <v>0</v>
      </c>
      <c r="AD24" s="102">
        <v>0</v>
      </c>
      <c r="AE24" s="102">
        <v>0</v>
      </c>
      <c r="AF24" s="102">
        <v>0</v>
      </c>
      <c r="AG24" s="102">
        <v>0</v>
      </c>
      <c r="AH24" s="102">
        <v>10000</v>
      </c>
      <c r="AI24" s="102">
        <v>22000</v>
      </c>
      <c r="AJ24" s="102">
        <v>37000</v>
      </c>
      <c r="AK24" s="102">
        <v>37000</v>
      </c>
      <c r="AL24" s="102">
        <v>0</v>
      </c>
      <c r="AM24" s="102">
        <v>0</v>
      </c>
      <c r="AN24" s="102">
        <v>3000</v>
      </c>
      <c r="AQ24" s="125"/>
    </row>
    <row r="25" spans="2:43" x14ac:dyDescent="0.3">
      <c r="B25" s="61" t="s">
        <v>480</v>
      </c>
      <c r="C25" s="141" t="s">
        <v>324</v>
      </c>
      <c r="D25" s="102" t="str">
        <f t="shared" si="0"/>
        <v/>
      </c>
      <c r="E25" s="102" t="str">
        <f t="shared" si="0"/>
        <v/>
      </c>
      <c r="F25" s="102" t="str">
        <f t="shared" si="0"/>
        <v/>
      </c>
      <c r="G25" s="96"/>
      <c r="H25" s="102" t="str">
        <f t="shared" si="1"/>
        <v/>
      </c>
      <c r="I25" s="102" t="str">
        <f t="shared" si="1"/>
        <v/>
      </c>
      <c r="J25" s="102" t="str">
        <f t="shared" si="1"/>
        <v/>
      </c>
      <c r="M25" s="102"/>
      <c r="N25" s="102">
        <v>0</v>
      </c>
      <c r="O25" s="102">
        <v>0</v>
      </c>
      <c r="P25" s="102">
        <v>0</v>
      </c>
      <c r="Q25" s="102">
        <v>0</v>
      </c>
      <c r="R25" s="102">
        <v>0</v>
      </c>
      <c r="S25" s="102">
        <v>0</v>
      </c>
      <c r="T25" s="102">
        <v>0</v>
      </c>
      <c r="U25" s="102">
        <v>0</v>
      </c>
      <c r="V25" s="102">
        <v>0</v>
      </c>
      <c r="W25" s="102">
        <v>0</v>
      </c>
      <c r="X25" s="102">
        <v>0</v>
      </c>
      <c r="Y25" s="102">
        <v>0</v>
      </c>
      <c r="Z25" s="102"/>
      <c r="AA25" s="102"/>
      <c r="AB25" s="102"/>
      <c r="AC25" s="102">
        <v>0</v>
      </c>
      <c r="AD25" s="102">
        <v>0</v>
      </c>
      <c r="AE25" s="102">
        <v>0</v>
      </c>
      <c r="AF25" s="102">
        <v>0</v>
      </c>
      <c r="AG25" s="102">
        <v>0</v>
      </c>
      <c r="AH25" s="102">
        <v>0</v>
      </c>
      <c r="AI25" s="102">
        <v>0</v>
      </c>
      <c r="AJ25" s="102">
        <v>0</v>
      </c>
      <c r="AK25" s="102">
        <v>0</v>
      </c>
      <c r="AL25" s="102">
        <v>0</v>
      </c>
      <c r="AM25" s="102">
        <v>0</v>
      </c>
      <c r="AN25" s="102" t="s">
        <v>1292</v>
      </c>
      <c r="AQ25" s="125"/>
    </row>
    <row r="26" spans="2:43" x14ac:dyDescent="0.3">
      <c r="B26" s="61" t="s">
        <v>481</v>
      </c>
      <c r="C26" s="141" t="s">
        <v>325</v>
      </c>
      <c r="D26" s="102" t="str">
        <f t="shared" ref="D26:F45" si="2">IF(HLOOKUP(D$5,$M$5:$Y$370,ROW()-ROW($F$4),FALSE)=0,"",HLOOKUP(D$5,$M$5:$Y$370,ROW()-ROW($F$4),FALSE))</f>
        <v/>
      </c>
      <c r="E26" s="102" t="str">
        <f t="shared" si="2"/>
        <v/>
      </c>
      <c r="F26" s="102" t="str">
        <f t="shared" si="2"/>
        <v/>
      </c>
      <c r="G26" s="96"/>
      <c r="H26" s="102">
        <f t="shared" ref="H26:H89" si="3">IF(HLOOKUP(H$5,$AB$5:$AN$370,ROW()-ROW($J$4),FALSE)=0,"",HLOOKUP(H$5,$AB$5:$AN$370,ROW()-ROW($J$4),FALSE))</f>
        <v>606</v>
      </c>
      <c r="I26" s="102">
        <f t="shared" ref="I26:J45" si="4">IF(HLOOKUP(I$5,$AB$5:$AN$370,ROW()-ROW($J$4),FALSE)=0,"",HLOOKUP(I$5,$AB$5:$AN$370,ROW()-ROW($J$4),FALSE))</f>
        <v>620</v>
      </c>
      <c r="J26" s="102">
        <f t="shared" si="4"/>
        <v>547.97733900000003</v>
      </c>
      <c r="M26" s="102"/>
      <c r="N26" s="102">
        <v>0</v>
      </c>
      <c r="O26" s="102">
        <v>0</v>
      </c>
      <c r="P26" s="102">
        <v>0</v>
      </c>
      <c r="Q26" s="102">
        <v>0</v>
      </c>
      <c r="R26" s="102">
        <v>0</v>
      </c>
      <c r="S26" s="102">
        <v>0</v>
      </c>
      <c r="T26" s="102">
        <v>0</v>
      </c>
      <c r="U26" s="102">
        <v>0</v>
      </c>
      <c r="V26" s="102">
        <v>0</v>
      </c>
      <c r="W26" s="102">
        <v>0</v>
      </c>
      <c r="X26" s="102">
        <v>0</v>
      </c>
      <c r="Y26" s="102">
        <v>0</v>
      </c>
      <c r="Z26" s="102"/>
      <c r="AA26" s="102"/>
      <c r="AB26" s="102"/>
      <c r="AC26" s="102">
        <v>606</v>
      </c>
      <c r="AD26" s="102">
        <v>591</v>
      </c>
      <c r="AE26" s="102">
        <v>568</v>
      </c>
      <c r="AF26" s="102">
        <v>620</v>
      </c>
      <c r="AG26" s="102">
        <v>620</v>
      </c>
      <c r="AH26" s="102">
        <v>551</v>
      </c>
      <c r="AI26" s="102">
        <v>580</v>
      </c>
      <c r="AJ26" s="102">
        <v>567</v>
      </c>
      <c r="AK26" s="102">
        <v>542.18147399999998</v>
      </c>
      <c r="AL26" s="102">
        <v>567.95694900000001</v>
      </c>
      <c r="AM26" s="102">
        <v>554.65565200000003</v>
      </c>
      <c r="AN26" s="102">
        <v>547.97733900000003</v>
      </c>
      <c r="AQ26" s="125"/>
    </row>
    <row r="27" spans="2:43" x14ac:dyDescent="0.3">
      <c r="B27" s="61" t="s">
        <v>482</v>
      </c>
      <c r="C27" s="141" t="s">
        <v>326</v>
      </c>
      <c r="D27" s="102">
        <f t="shared" si="2"/>
        <v>477916.56689399999</v>
      </c>
      <c r="E27" s="102">
        <f t="shared" si="2"/>
        <v>640306.51564799994</v>
      </c>
      <c r="F27" s="102">
        <f t="shared" si="2"/>
        <v>814276.10768000002</v>
      </c>
      <c r="G27" s="96"/>
      <c r="H27" s="102">
        <f t="shared" si="3"/>
        <v>486049</v>
      </c>
      <c r="I27" s="102">
        <f t="shared" si="4"/>
        <v>646005</v>
      </c>
      <c r="J27" s="102">
        <f t="shared" si="4"/>
        <v>95029.302626999997</v>
      </c>
      <c r="M27" s="102"/>
      <c r="N27" s="102">
        <v>477916.56689399999</v>
      </c>
      <c r="O27" s="102">
        <v>479800.51053099998</v>
      </c>
      <c r="P27" s="102">
        <v>455372.504143</v>
      </c>
      <c r="Q27" s="102">
        <v>466354.69994700002</v>
      </c>
      <c r="R27" s="102">
        <v>640306.51564799994</v>
      </c>
      <c r="S27" s="102">
        <v>467014.75859799999</v>
      </c>
      <c r="T27" s="102">
        <v>437466.30486899999</v>
      </c>
      <c r="U27" s="102">
        <v>464693.34794200002</v>
      </c>
      <c r="V27" s="102">
        <v>814276.10768000002</v>
      </c>
      <c r="W27" s="102">
        <v>129442.212719</v>
      </c>
      <c r="X27" s="102">
        <v>132492.68088900001</v>
      </c>
      <c r="Y27" s="102">
        <v>814276.10768000002</v>
      </c>
      <c r="Z27" s="102"/>
      <c r="AA27" s="102"/>
      <c r="AB27" s="102"/>
      <c r="AC27" s="102">
        <v>486049</v>
      </c>
      <c r="AD27" s="102">
        <v>486157</v>
      </c>
      <c r="AE27" s="102">
        <v>459679</v>
      </c>
      <c r="AF27" s="102">
        <v>470674</v>
      </c>
      <c r="AG27" s="102">
        <v>646005</v>
      </c>
      <c r="AH27" s="102">
        <v>473510</v>
      </c>
      <c r="AI27" s="102">
        <v>447005</v>
      </c>
      <c r="AJ27" s="102">
        <v>474579</v>
      </c>
      <c r="AK27" s="102">
        <v>822252.27097099996</v>
      </c>
      <c r="AL27" s="102">
        <v>83695.619099000003</v>
      </c>
      <c r="AM27" s="102">
        <v>81406.744281000007</v>
      </c>
      <c r="AN27" s="102">
        <v>95029.302626999997</v>
      </c>
      <c r="AQ27" s="125"/>
    </row>
    <row r="28" spans="2:43" x14ac:dyDescent="0.3">
      <c r="B28" s="61" t="s">
        <v>483</v>
      </c>
      <c r="C28" s="141" t="s">
        <v>327</v>
      </c>
      <c r="D28" s="102" t="str">
        <f t="shared" si="2"/>
        <v/>
      </c>
      <c r="E28" s="102" t="str">
        <f t="shared" si="2"/>
        <v/>
      </c>
      <c r="F28" s="102" t="str">
        <f t="shared" si="2"/>
        <v/>
      </c>
      <c r="G28" s="96"/>
      <c r="H28" s="102" t="str">
        <f t="shared" si="3"/>
        <v/>
      </c>
      <c r="I28" s="102" t="str">
        <f t="shared" si="4"/>
        <v/>
      </c>
      <c r="J28" s="102" t="str">
        <f t="shared" si="4"/>
        <v/>
      </c>
      <c r="M28" s="102"/>
      <c r="N28" s="102">
        <v>0</v>
      </c>
      <c r="O28" s="102">
        <v>0</v>
      </c>
      <c r="P28" s="102">
        <v>0</v>
      </c>
      <c r="Q28" s="102">
        <v>0</v>
      </c>
      <c r="R28" s="102">
        <v>0</v>
      </c>
      <c r="S28" s="102">
        <v>0</v>
      </c>
      <c r="T28" s="102">
        <v>0</v>
      </c>
      <c r="U28" s="102">
        <v>0</v>
      </c>
      <c r="V28" s="102">
        <v>0</v>
      </c>
      <c r="W28" s="102">
        <v>0</v>
      </c>
      <c r="X28" s="102">
        <v>0</v>
      </c>
      <c r="Y28" s="102">
        <v>0</v>
      </c>
      <c r="Z28" s="102"/>
      <c r="AA28" s="102"/>
      <c r="AB28" s="102"/>
      <c r="AC28" s="102">
        <v>0</v>
      </c>
      <c r="AD28" s="102">
        <v>0</v>
      </c>
      <c r="AE28" s="102">
        <v>0</v>
      </c>
      <c r="AF28" s="102">
        <v>0</v>
      </c>
      <c r="AG28" s="102">
        <v>0</v>
      </c>
      <c r="AH28" s="102">
        <v>0</v>
      </c>
      <c r="AI28" s="102">
        <v>0</v>
      </c>
      <c r="AJ28" s="102">
        <v>0</v>
      </c>
      <c r="AK28" s="102">
        <v>0</v>
      </c>
      <c r="AL28" s="102">
        <v>0</v>
      </c>
      <c r="AM28" s="102">
        <v>0</v>
      </c>
      <c r="AN28" s="102" t="s">
        <v>1292</v>
      </c>
      <c r="AQ28" s="125"/>
    </row>
    <row r="29" spans="2:43" x14ac:dyDescent="0.3">
      <c r="B29" s="61" t="s">
        <v>484</v>
      </c>
      <c r="C29" s="141" t="s">
        <v>328</v>
      </c>
      <c r="D29" s="102" t="str">
        <f t="shared" si="2"/>
        <v/>
      </c>
      <c r="E29" s="102" t="str">
        <f t="shared" si="2"/>
        <v/>
      </c>
      <c r="F29" s="102" t="str">
        <f t="shared" si="2"/>
        <v/>
      </c>
      <c r="G29" s="96"/>
      <c r="H29" s="102" t="str">
        <f t="shared" si="3"/>
        <v/>
      </c>
      <c r="I29" s="102" t="str">
        <f t="shared" si="4"/>
        <v/>
      </c>
      <c r="J29" s="102" t="str">
        <f t="shared" si="4"/>
        <v/>
      </c>
      <c r="M29" s="102"/>
      <c r="N29" s="102">
        <v>0</v>
      </c>
      <c r="O29" s="102">
        <v>0</v>
      </c>
      <c r="P29" s="102">
        <v>0</v>
      </c>
      <c r="Q29" s="102">
        <v>0</v>
      </c>
      <c r="R29" s="102">
        <v>0</v>
      </c>
      <c r="S29" s="102">
        <v>0</v>
      </c>
      <c r="T29" s="102">
        <v>0</v>
      </c>
      <c r="U29" s="102">
        <v>0</v>
      </c>
      <c r="V29" s="102">
        <v>0</v>
      </c>
      <c r="W29" s="102">
        <v>0</v>
      </c>
      <c r="X29" s="102">
        <v>0</v>
      </c>
      <c r="Y29" s="102">
        <v>0</v>
      </c>
      <c r="Z29" s="102"/>
      <c r="AA29" s="102"/>
      <c r="AB29" s="102"/>
      <c r="AC29" s="102">
        <v>0</v>
      </c>
      <c r="AD29" s="102">
        <v>0</v>
      </c>
      <c r="AE29" s="102">
        <v>0</v>
      </c>
      <c r="AF29" s="102">
        <v>0</v>
      </c>
      <c r="AG29" s="102">
        <v>0</v>
      </c>
      <c r="AH29" s="102">
        <v>0</v>
      </c>
      <c r="AI29" s="102">
        <v>0</v>
      </c>
      <c r="AJ29" s="102">
        <v>0</v>
      </c>
      <c r="AK29" s="102">
        <v>0</v>
      </c>
      <c r="AL29" s="102">
        <v>0</v>
      </c>
      <c r="AM29" s="102">
        <v>0</v>
      </c>
      <c r="AN29" s="102" t="s">
        <v>1292</v>
      </c>
      <c r="AQ29" s="125"/>
    </row>
    <row r="30" spans="2:43" x14ac:dyDescent="0.3">
      <c r="B30" s="61" t="s">
        <v>485</v>
      </c>
      <c r="C30" s="141" t="s">
        <v>329</v>
      </c>
      <c r="D30" s="102">
        <f t="shared" si="2"/>
        <v>17311.145702000002</v>
      </c>
      <c r="E30" s="102">
        <f t="shared" si="2"/>
        <v>19136.275776999999</v>
      </c>
      <c r="F30" s="102">
        <f t="shared" si="2"/>
        <v>28676.160683999999</v>
      </c>
      <c r="G30" s="96"/>
      <c r="H30" s="102">
        <f t="shared" si="3"/>
        <v>70311</v>
      </c>
      <c r="I30" s="102">
        <f t="shared" si="4"/>
        <v>81136</v>
      </c>
      <c r="J30" s="102">
        <f t="shared" si="4"/>
        <v>91425.243849000006</v>
      </c>
      <c r="M30" s="102"/>
      <c r="N30" s="102">
        <v>17311.145702000002</v>
      </c>
      <c r="O30" s="102">
        <v>7533.2929960000001</v>
      </c>
      <c r="P30" s="102">
        <v>5930.4039540000003</v>
      </c>
      <c r="Q30" s="102">
        <v>23003.906117999999</v>
      </c>
      <c r="R30" s="102">
        <v>19136.275776999999</v>
      </c>
      <c r="S30" s="102">
        <v>23636.945255999999</v>
      </c>
      <c r="T30" s="102">
        <v>4643.7650370000001</v>
      </c>
      <c r="U30" s="102">
        <v>31646.259109999999</v>
      </c>
      <c r="V30" s="102">
        <v>28676.160683999999</v>
      </c>
      <c r="W30" s="102">
        <v>33010.244427999998</v>
      </c>
      <c r="X30" s="102">
        <v>10251.142817</v>
      </c>
      <c r="Y30" s="102">
        <v>28676.160683999999</v>
      </c>
      <c r="Z30" s="102"/>
      <c r="AA30" s="102"/>
      <c r="AB30" s="102"/>
      <c r="AC30" s="102">
        <v>70311</v>
      </c>
      <c r="AD30" s="102">
        <v>60533</v>
      </c>
      <c r="AE30" s="102">
        <v>60930</v>
      </c>
      <c r="AF30" s="102">
        <v>80004</v>
      </c>
      <c r="AG30" s="102">
        <v>81136</v>
      </c>
      <c r="AH30" s="102">
        <v>23637</v>
      </c>
      <c r="AI30" s="102">
        <v>4644</v>
      </c>
      <c r="AJ30" s="102">
        <v>31646</v>
      </c>
      <c r="AK30" s="102">
        <v>28676.160683999999</v>
      </c>
      <c r="AL30" s="102">
        <v>93013.244428000005</v>
      </c>
      <c r="AM30" s="102">
        <v>81257.549738999995</v>
      </c>
      <c r="AN30" s="102">
        <v>91425.243849000006</v>
      </c>
      <c r="AQ30" s="125"/>
    </row>
    <row r="31" spans="2:43" x14ac:dyDescent="0.3">
      <c r="B31" s="61" t="s">
        <v>486</v>
      </c>
      <c r="C31" s="141" t="s">
        <v>330</v>
      </c>
      <c r="D31" s="102">
        <f t="shared" si="2"/>
        <v>15976539.871115999</v>
      </c>
      <c r="E31" s="102">
        <f t="shared" si="2"/>
        <v>15924383.274495</v>
      </c>
      <c r="F31" s="102">
        <f t="shared" si="2"/>
        <v>15543352.571626</v>
      </c>
      <c r="G31" s="96"/>
      <c r="H31" s="102">
        <f t="shared" si="3"/>
        <v>15916599</v>
      </c>
      <c r="I31" s="102">
        <f t="shared" si="4"/>
        <v>15896950</v>
      </c>
      <c r="J31" s="102">
        <f t="shared" si="4"/>
        <v>16531418.818087</v>
      </c>
      <c r="M31" s="102"/>
      <c r="N31" s="102">
        <v>15976539.871115999</v>
      </c>
      <c r="O31" s="102">
        <v>16615154.050766001</v>
      </c>
      <c r="P31" s="102">
        <v>16247498.480838001</v>
      </c>
      <c r="Q31" s="102">
        <v>16439188.545298001</v>
      </c>
      <c r="R31" s="102">
        <v>15924383.274495</v>
      </c>
      <c r="S31" s="102">
        <v>16253306.296916001</v>
      </c>
      <c r="T31" s="102">
        <v>15590752.018689999</v>
      </c>
      <c r="U31" s="102">
        <v>15371164.261704</v>
      </c>
      <c r="V31" s="102">
        <v>15543352.571626</v>
      </c>
      <c r="W31" s="102">
        <v>16061766.515198</v>
      </c>
      <c r="X31" s="102">
        <v>16291124.446714999</v>
      </c>
      <c r="Y31" s="102">
        <v>15543352.571626</v>
      </c>
      <c r="Z31" s="102"/>
      <c r="AA31" s="102"/>
      <c r="AB31" s="102"/>
      <c r="AC31" s="102">
        <v>15916599</v>
      </c>
      <c r="AD31" s="102">
        <v>16555124</v>
      </c>
      <c r="AE31" s="102">
        <v>16178834</v>
      </c>
      <c r="AF31" s="102">
        <v>16402429</v>
      </c>
      <c r="AG31" s="102">
        <v>15896950</v>
      </c>
      <c r="AH31" s="102">
        <v>16256475</v>
      </c>
      <c r="AI31" s="102">
        <v>15585255</v>
      </c>
      <c r="AJ31" s="102">
        <v>15334481</v>
      </c>
      <c r="AK31" s="102">
        <v>15498004.897755001</v>
      </c>
      <c r="AL31" s="102">
        <v>16056730.964655001</v>
      </c>
      <c r="AM31" s="102">
        <v>16279856.618822999</v>
      </c>
      <c r="AN31" s="102">
        <v>16531418.818087</v>
      </c>
      <c r="AQ31" s="125"/>
    </row>
    <row r="32" spans="2:43" s="307" customFormat="1" x14ac:dyDescent="0.3">
      <c r="B32" s="78" t="s">
        <v>815</v>
      </c>
      <c r="C32" s="307" t="s">
        <v>331</v>
      </c>
      <c r="D32" s="477">
        <f t="shared" si="2"/>
        <v>4170939.5395979998</v>
      </c>
      <c r="E32" s="477">
        <f t="shared" si="2"/>
        <v>3813156.9722330002</v>
      </c>
      <c r="F32" s="477">
        <f t="shared" si="2"/>
        <v>4174855.2253760002</v>
      </c>
      <c r="G32" s="478"/>
      <c r="H32" s="477">
        <f t="shared" si="3"/>
        <v>4174545</v>
      </c>
      <c r="I32" s="477">
        <f t="shared" si="4"/>
        <v>3843459</v>
      </c>
      <c r="J32" s="477">
        <f t="shared" si="4"/>
        <v>5092058.2479739999</v>
      </c>
      <c r="M32" s="477"/>
      <c r="N32" s="477">
        <v>4170939.5395979998</v>
      </c>
      <c r="O32" s="477">
        <v>4146544.2709280001</v>
      </c>
      <c r="P32" s="477">
        <v>4051646.8125189999</v>
      </c>
      <c r="Q32" s="477">
        <v>3855027.7752609998</v>
      </c>
      <c r="R32" s="477">
        <v>3813156.9722330002</v>
      </c>
      <c r="S32" s="477">
        <v>4297194.2413210003</v>
      </c>
      <c r="T32" s="477">
        <v>4163281.59088</v>
      </c>
      <c r="U32" s="477">
        <v>4264878.9891109997</v>
      </c>
      <c r="V32" s="477">
        <v>4174855.2253760002</v>
      </c>
      <c r="W32" s="477">
        <v>4779952.9227839997</v>
      </c>
      <c r="X32" s="477">
        <v>4755820.8820259999</v>
      </c>
      <c r="Y32" s="477">
        <v>4174855.2253760002</v>
      </c>
      <c r="Z32" s="477"/>
      <c r="AA32" s="477"/>
      <c r="AB32" s="477"/>
      <c r="AC32" s="477">
        <v>4174545</v>
      </c>
      <c r="AD32" s="477">
        <v>4151171</v>
      </c>
      <c r="AE32" s="477">
        <v>4048083</v>
      </c>
      <c r="AF32" s="477">
        <v>3877217</v>
      </c>
      <c r="AG32" s="477">
        <v>3843459</v>
      </c>
      <c r="AH32" s="477">
        <v>4362025</v>
      </c>
      <c r="AI32" s="477">
        <v>4219402</v>
      </c>
      <c r="AJ32" s="477">
        <v>4289468</v>
      </c>
      <c r="AK32" s="477">
        <v>4192891.5061909999</v>
      </c>
      <c r="AL32" s="477">
        <v>4837102.4512240021</v>
      </c>
      <c r="AM32" s="477">
        <v>4807907.4686870016</v>
      </c>
      <c r="AN32" s="477">
        <v>5092058.2479739999</v>
      </c>
      <c r="AQ32" s="412"/>
    </row>
    <row r="33" spans="2:43" s="141" customFormat="1" x14ac:dyDescent="0.3">
      <c r="B33" s="61" t="s">
        <v>816</v>
      </c>
      <c r="C33" s="141" t="s">
        <v>817</v>
      </c>
      <c r="D33" s="479" t="str">
        <f t="shared" si="2"/>
        <v/>
      </c>
      <c r="E33" s="479" t="str">
        <f t="shared" si="2"/>
        <v/>
      </c>
      <c r="F33" s="479" t="str">
        <f t="shared" si="2"/>
        <v/>
      </c>
      <c r="G33" s="217"/>
      <c r="H33" s="479" t="str">
        <f t="shared" si="3"/>
        <v/>
      </c>
      <c r="I33" s="479" t="str">
        <f t="shared" si="4"/>
        <v/>
      </c>
      <c r="J33" s="479">
        <f t="shared" si="4"/>
        <v>5092058.2479739999</v>
      </c>
      <c r="M33" s="479"/>
      <c r="N33" s="479">
        <v>0</v>
      </c>
      <c r="O33" s="479">
        <v>0</v>
      </c>
      <c r="P33" s="479">
        <v>0</v>
      </c>
      <c r="Q33" s="479">
        <v>0</v>
      </c>
      <c r="R33" s="479">
        <v>0</v>
      </c>
      <c r="S33" s="479">
        <v>0</v>
      </c>
      <c r="T33" s="479">
        <v>0</v>
      </c>
      <c r="U33" s="479">
        <v>0</v>
      </c>
      <c r="V33" s="479">
        <v>0</v>
      </c>
      <c r="W33" s="479">
        <v>0</v>
      </c>
      <c r="X33" s="479">
        <v>0</v>
      </c>
      <c r="Y33" s="479">
        <v>0</v>
      </c>
      <c r="Z33" s="479"/>
      <c r="AA33" s="479"/>
      <c r="AB33" s="479"/>
      <c r="AC33" s="479">
        <v>0</v>
      </c>
      <c r="AD33" s="479">
        <v>0</v>
      </c>
      <c r="AE33" s="479">
        <v>0</v>
      </c>
      <c r="AF33" s="479">
        <v>0</v>
      </c>
      <c r="AG33" s="479">
        <v>0</v>
      </c>
      <c r="AH33" s="479">
        <v>0</v>
      </c>
      <c r="AI33" s="479">
        <v>0</v>
      </c>
      <c r="AJ33" s="479">
        <v>0</v>
      </c>
      <c r="AK33" s="479">
        <v>0</v>
      </c>
      <c r="AL33" s="479">
        <v>0</v>
      </c>
      <c r="AM33" s="479">
        <v>-11626018.136412</v>
      </c>
      <c r="AN33" s="479">
        <v>5092058.2479739999</v>
      </c>
      <c r="AQ33" s="341"/>
    </row>
    <row r="34" spans="2:43" s="141" customFormat="1" x14ac:dyDescent="0.3">
      <c r="B34" s="61" t="s">
        <v>496</v>
      </c>
      <c r="C34" s="141" t="s">
        <v>523</v>
      </c>
      <c r="D34" s="479">
        <f t="shared" si="2"/>
        <v>181359.35866699999</v>
      </c>
      <c r="E34" s="479">
        <f t="shared" si="2"/>
        <v>166907.57214800001</v>
      </c>
      <c r="F34" s="479">
        <f t="shared" si="2"/>
        <v>172871.339756</v>
      </c>
      <c r="G34" s="217"/>
      <c r="H34" s="479">
        <f t="shared" si="3"/>
        <v>181359</v>
      </c>
      <c r="I34" s="479">
        <f t="shared" si="4"/>
        <v>166908</v>
      </c>
      <c r="J34" s="479">
        <f t="shared" si="4"/>
        <v>176917.11315699999</v>
      </c>
      <c r="M34" s="479"/>
      <c r="N34" s="479">
        <v>181359.35866699999</v>
      </c>
      <c r="O34" s="479">
        <v>179485.68763599999</v>
      </c>
      <c r="P34" s="479">
        <v>167683.80804100001</v>
      </c>
      <c r="Q34" s="479">
        <v>170445.534285</v>
      </c>
      <c r="R34" s="479">
        <v>166907.57214800001</v>
      </c>
      <c r="S34" s="479">
        <v>175067.29019999999</v>
      </c>
      <c r="T34" s="479">
        <v>168352.52082000001</v>
      </c>
      <c r="U34" s="479">
        <v>174198.72866699999</v>
      </c>
      <c r="V34" s="479">
        <v>172871.339756</v>
      </c>
      <c r="W34" s="479">
        <v>175942.64837099999</v>
      </c>
      <c r="X34" s="479">
        <v>181738.58770900001</v>
      </c>
      <c r="Y34" s="479">
        <v>172871.339756</v>
      </c>
      <c r="Z34" s="479"/>
      <c r="AA34" s="479"/>
      <c r="AB34" s="479"/>
      <c r="AC34" s="479">
        <v>181359</v>
      </c>
      <c r="AD34" s="479">
        <v>179484</v>
      </c>
      <c r="AE34" s="479">
        <v>167683</v>
      </c>
      <c r="AF34" s="479">
        <v>170446</v>
      </c>
      <c r="AG34" s="479">
        <v>166908</v>
      </c>
      <c r="AH34" s="479">
        <v>175067</v>
      </c>
      <c r="AI34" s="479">
        <v>168353</v>
      </c>
      <c r="AJ34" s="479">
        <v>174199</v>
      </c>
      <c r="AK34" s="479">
        <v>172871.339756</v>
      </c>
      <c r="AL34" s="479">
        <v>175942.64837099999</v>
      </c>
      <c r="AM34" s="479">
        <v>181738.58770900001</v>
      </c>
      <c r="AN34" s="479">
        <v>176917.11315699999</v>
      </c>
      <c r="AQ34" s="341"/>
    </row>
    <row r="35" spans="2:43" s="141" customFormat="1" x14ac:dyDescent="0.3">
      <c r="B35" s="61" t="s">
        <v>487</v>
      </c>
      <c r="C35" s="141" t="s">
        <v>332</v>
      </c>
      <c r="D35" s="479">
        <f t="shared" si="2"/>
        <v>81407.497870000007</v>
      </c>
      <c r="E35" s="479">
        <f t="shared" si="2"/>
        <v>70585.751940000002</v>
      </c>
      <c r="F35" s="479">
        <f t="shared" si="2"/>
        <v>79837.726624999996</v>
      </c>
      <c r="G35" s="217"/>
      <c r="H35" s="479">
        <f t="shared" si="3"/>
        <v>81407</v>
      </c>
      <c r="I35" s="479">
        <f t="shared" si="4"/>
        <v>70586</v>
      </c>
      <c r="J35" s="479">
        <f t="shared" si="4"/>
        <v>87092.006529999999</v>
      </c>
      <c r="M35" s="479"/>
      <c r="N35" s="479">
        <v>81407.497870000007</v>
      </c>
      <c r="O35" s="479">
        <v>78815.205019999994</v>
      </c>
      <c r="P35" s="479">
        <v>68598.918474999999</v>
      </c>
      <c r="Q35" s="479">
        <v>73346.006454999995</v>
      </c>
      <c r="R35" s="479">
        <v>70585.751940000002</v>
      </c>
      <c r="S35" s="479">
        <v>79684.173934999999</v>
      </c>
      <c r="T35" s="479">
        <v>73762.340454999998</v>
      </c>
      <c r="U35" s="479">
        <v>80198.71948</v>
      </c>
      <c r="V35" s="479">
        <v>79837.726624999996</v>
      </c>
      <c r="W35" s="479">
        <v>82880.925564999998</v>
      </c>
      <c r="X35" s="479">
        <v>91531.816154999993</v>
      </c>
      <c r="Y35" s="479">
        <v>79837.726624999996</v>
      </c>
      <c r="Z35" s="479"/>
      <c r="AA35" s="479"/>
      <c r="AB35" s="479"/>
      <c r="AC35" s="479">
        <v>81407</v>
      </c>
      <c r="AD35" s="479">
        <v>78815</v>
      </c>
      <c r="AE35" s="479">
        <v>68599</v>
      </c>
      <c r="AF35" s="479">
        <v>73346</v>
      </c>
      <c r="AG35" s="479">
        <v>70586</v>
      </c>
      <c r="AH35" s="479">
        <v>79684</v>
      </c>
      <c r="AI35" s="479">
        <v>73762</v>
      </c>
      <c r="AJ35" s="479">
        <v>80199</v>
      </c>
      <c r="AK35" s="479">
        <v>79837.726624999996</v>
      </c>
      <c r="AL35" s="479">
        <v>82880.925564999998</v>
      </c>
      <c r="AM35" s="479">
        <v>91531.816154999993</v>
      </c>
      <c r="AN35" s="479">
        <v>87092.006529999999</v>
      </c>
      <c r="AQ35" s="341"/>
    </row>
    <row r="36" spans="2:43" s="141" customFormat="1" x14ac:dyDescent="0.3">
      <c r="B36" s="61" t="s">
        <v>488</v>
      </c>
      <c r="C36" s="141" t="s">
        <v>333</v>
      </c>
      <c r="D36" s="479">
        <f t="shared" si="2"/>
        <v>99951.860797000001</v>
      </c>
      <c r="E36" s="479">
        <f t="shared" si="2"/>
        <v>96321.820208000005</v>
      </c>
      <c r="F36" s="479">
        <f t="shared" si="2"/>
        <v>93033.613131000006</v>
      </c>
      <c r="G36" s="217"/>
      <c r="H36" s="479">
        <f t="shared" si="3"/>
        <v>99952</v>
      </c>
      <c r="I36" s="479">
        <f t="shared" si="4"/>
        <v>96322</v>
      </c>
      <c r="J36" s="479">
        <f t="shared" si="4"/>
        <v>89825.106627000001</v>
      </c>
      <c r="L36" s="730"/>
      <c r="M36" s="479"/>
      <c r="N36" s="479">
        <v>99951.860797000001</v>
      </c>
      <c r="O36" s="479">
        <v>100670.48261599999</v>
      </c>
      <c r="P36" s="479">
        <v>99084.889565999998</v>
      </c>
      <c r="Q36" s="479">
        <v>97099.527830000006</v>
      </c>
      <c r="R36" s="479">
        <v>96321.820208000005</v>
      </c>
      <c r="S36" s="479">
        <v>95383.116265000004</v>
      </c>
      <c r="T36" s="479">
        <v>94590.180364999993</v>
      </c>
      <c r="U36" s="479">
        <v>94000.009187000003</v>
      </c>
      <c r="V36" s="479">
        <v>93033.613131000006</v>
      </c>
      <c r="W36" s="479">
        <v>93061.722806000005</v>
      </c>
      <c r="X36" s="479">
        <v>90206.771554000006</v>
      </c>
      <c r="Y36" s="479">
        <v>93033.613131000006</v>
      </c>
      <c r="Z36" s="479"/>
      <c r="AA36" s="479"/>
      <c r="AB36" s="479"/>
      <c r="AC36" s="479">
        <v>99952</v>
      </c>
      <c r="AD36" s="479">
        <v>100669</v>
      </c>
      <c r="AE36" s="479">
        <v>99084</v>
      </c>
      <c r="AF36" s="479">
        <v>97100</v>
      </c>
      <c r="AG36" s="479">
        <v>96322</v>
      </c>
      <c r="AH36" s="479">
        <v>95383</v>
      </c>
      <c r="AI36" s="479">
        <v>94590</v>
      </c>
      <c r="AJ36" s="479">
        <v>94000</v>
      </c>
      <c r="AK36" s="479">
        <v>93033.613131000006</v>
      </c>
      <c r="AL36" s="479">
        <v>93061.722806000005</v>
      </c>
      <c r="AM36" s="479">
        <v>90206.771554000006</v>
      </c>
      <c r="AN36" s="479">
        <v>89825.106627000001</v>
      </c>
      <c r="AQ36" s="341"/>
    </row>
    <row r="37" spans="2:43" s="141" customFormat="1" x14ac:dyDescent="0.3">
      <c r="B37" s="61" t="s">
        <v>497</v>
      </c>
      <c r="C37" s="141" t="s">
        <v>524</v>
      </c>
      <c r="D37" s="479">
        <f t="shared" si="2"/>
        <v>72780.568641999998</v>
      </c>
      <c r="E37" s="479">
        <f t="shared" si="2"/>
        <v>77994.585181999995</v>
      </c>
      <c r="F37" s="479">
        <f t="shared" si="2"/>
        <v>78391.011501000001</v>
      </c>
      <c r="G37" s="217"/>
      <c r="H37" s="479">
        <f t="shared" si="3"/>
        <v>72781</v>
      </c>
      <c r="I37" s="479">
        <f t="shared" si="4"/>
        <v>77995</v>
      </c>
      <c r="J37" s="479">
        <f t="shared" si="4"/>
        <v>75501.638655999996</v>
      </c>
      <c r="M37" s="479"/>
      <c r="N37" s="479">
        <v>72780.568641999998</v>
      </c>
      <c r="O37" s="479">
        <v>76736.948088000005</v>
      </c>
      <c r="P37" s="479">
        <v>69194.731702000005</v>
      </c>
      <c r="Q37" s="479">
        <v>72195.499116999999</v>
      </c>
      <c r="R37" s="479">
        <v>77994.585181999995</v>
      </c>
      <c r="S37" s="479">
        <v>77810.206122999996</v>
      </c>
      <c r="T37" s="479">
        <v>78903.595656999998</v>
      </c>
      <c r="U37" s="479">
        <v>78388.531495000003</v>
      </c>
      <c r="V37" s="479">
        <v>78391.011501000001</v>
      </c>
      <c r="W37" s="479">
        <v>71569.270852000001</v>
      </c>
      <c r="X37" s="479">
        <v>75272.830189</v>
      </c>
      <c r="Y37" s="479">
        <v>78391.011501000001</v>
      </c>
      <c r="Z37" s="479"/>
      <c r="AA37" s="479"/>
      <c r="AB37" s="479"/>
      <c r="AC37" s="479">
        <v>72781</v>
      </c>
      <c r="AD37" s="479">
        <v>76737</v>
      </c>
      <c r="AE37" s="479">
        <v>69195</v>
      </c>
      <c r="AF37" s="479">
        <v>72195</v>
      </c>
      <c r="AG37" s="479">
        <v>77995</v>
      </c>
      <c r="AH37" s="479">
        <v>77810</v>
      </c>
      <c r="AI37" s="479">
        <v>78904</v>
      </c>
      <c r="AJ37" s="479">
        <v>78389</v>
      </c>
      <c r="AK37" s="479">
        <v>78391.011501000001</v>
      </c>
      <c r="AL37" s="479">
        <v>71569.270852000001</v>
      </c>
      <c r="AM37" s="479">
        <v>75272.830189</v>
      </c>
      <c r="AN37" s="479">
        <v>75501.638655999996</v>
      </c>
      <c r="AQ37" s="341"/>
    </row>
    <row r="38" spans="2:43" s="141" customFormat="1" x14ac:dyDescent="0.3">
      <c r="B38" s="61" t="s">
        <v>495</v>
      </c>
      <c r="C38" s="141" t="s">
        <v>818</v>
      </c>
      <c r="D38" s="479">
        <f t="shared" si="2"/>
        <v>116775.029075</v>
      </c>
      <c r="E38" s="479">
        <f t="shared" si="2"/>
        <v>33726.516082000002</v>
      </c>
      <c r="F38" s="479">
        <f t="shared" si="2"/>
        <v>53627.650216000002</v>
      </c>
      <c r="G38" s="217"/>
      <c r="H38" s="479">
        <f t="shared" si="3"/>
        <v>116775</v>
      </c>
      <c r="I38" s="479">
        <f t="shared" si="4"/>
        <v>33727</v>
      </c>
      <c r="J38" s="479">
        <f t="shared" si="4"/>
        <v>101710.818346</v>
      </c>
      <c r="M38" s="479"/>
      <c r="N38" s="479">
        <v>116775.029075</v>
      </c>
      <c r="O38" s="479">
        <v>105624.88038</v>
      </c>
      <c r="P38" s="479">
        <v>111972.45948200001</v>
      </c>
      <c r="Q38" s="479">
        <v>33856.402949000003</v>
      </c>
      <c r="R38" s="479">
        <v>33726.516082000002</v>
      </c>
      <c r="S38" s="479">
        <v>48558.924703999997</v>
      </c>
      <c r="T38" s="479">
        <v>53992.861787000002</v>
      </c>
      <c r="U38" s="479">
        <v>53658.240067999999</v>
      </c>
      <c r="V38" s="479">
        <v>53627.650216000002</v>
      </c>
      <c r="W38" s="479">
        <v>52637.665120999998</v>
      </c>
      <c r="X38" s="479">
        <v>97933.129069999995</v>
      </c>
      <c r="Y38" s="479">
        <v>53627.650216000002</v>
      </c>
      <c r="Z38" s="479"/>
      <c r="AA38" s="479"/>
      <c r="AB38" s="479"/>
      <c r="AC38" s="479">
        <v>116775</v>
      </c>
      <c r="AD38" s="479">
        <v>105625</v>
      </c>
      <c r="AE38" s="479">
        <v>111972</v>
      </c>
      <c r="AF38" s="479">
        <v>33856</v>
      </c>
      <c r="AG38" s="479">
        <v>33727</v>
      </c>
      <c r="AH38" s="479">
        <v>48559</v>
      </c>
      <c r="AI38" s="479">
        <v>53993</v>
      </c>
      <c r="AJ38" s="479">
        <v>53658</v>
      </c>
      <c r="AK38" s="479">
        <v>53627.650216000002</v>
      </c>
      <c r="AL38" s="479">
        <v>52637.665120999998</v>
      </c>
      <c r="AM38" s="479">
        <v>97933.129069999995</v>
      </c>
      <c r="AN38" s="479">
        <v>101710.818346</v>
      </c>
      <c r="AQ38" s="341"/>
    </row>
    <row r="39" spans="2:43" s="141" customFormat="1" x14ac:dyDescent="0.3">
      <c r="B39" s="61" t="s">
        <v>489</v>
      </c>
      <c r="C39" s="141" t="s">
        <v>334</v>
      </c>
      <c r="D39" s="479">
        <f t="shared" si="2"/>
        <v>116775.029075</v>
      </c>
      <c r="E39" s="479">
        <f t="shared" si="2"/>
        <v>33726.516082000002</v>
      </c>
      <c r="F39" s="479">
        <f t="shared" si="2"/>
        <v>53627.650216000002</v>
      </c>
      <c r="G39" s="217"/>
      <c r="H39" s="479">
        <f t="shared" si="3"/>
        <v>116775</v>
      </c>
      <c r="I39" s="479">
        <f t="shared" si="4"/>
        <v>33727</v>
      </c>
      <c r="J39" s="479">
        <f t="shared" si="4"/>
        <v>101710.818346</v>
      </c>
      <c r="M39" s="479"/>
      <c r="N39" s="479">
        <v>116775.029075</v>
      </c>
      <c r="O39" s="479">
        <v>105624.88038</v>
      </c>
      <c r="P39" s="479">
        <v>111972.45948200001</v>
      </c>
      <c r="Q39" s="479">
        <v>33856.402949000003</v>
      </c>
      <c r="R39" s="479">
        <v>33726.516082000002</v>
      </c>
      <c r="S39" s="479">
        <v>48558.924703999997</v>
      </c>
      <c r="T39" s="479">
        <v>53992.861787000002</v>
      </c>
      <c r="U39" s="479">
        <v>53658.240067999999</v>
      </c>
      <c r="V39" s="479">
        <v>53627.650216000002</v>
      </c>
      <c r="W39" s="479">
        <v>52637.665120999998</v>
      </c>
      <c r="X39" s="479">
        <v>97933.129069999995</v>
      </c>
      <c r="Y39" s="479">
        <v>53627.650216000002</v>
      </c>
      <c r="Z39" s="479"/>
      <c r="AA39" s="479"/>
      <c r="AB39" s="479"/>
      <c r="AC39" s="479">
        <v>116775</v>
      </c>
      <c r="AD39" s="479">
        <v>105625</v>
      </c>
      <c r="AE39" s="479">
        <v>111972</v>
      </c>
      <c r="AF39" s="479">
        <v>33856</v>
      </c>
      <c r="AG39" s="479">
        <v>33727</v>
      </c>
      <c r="AH39" s="479">
        <v>48559</v>
      </c>
      <c r="AI39" s="479">
        <v>53993</v>
      </c>
      <c r="AJ39" s="479">
        <v>53658</v>
      </c>
      <c r="AK39" s="479">
        <v>53627.650216000002</v>
      </c>
      <c r="AL39" s="479">
        <v>52637.665120999998</v>
      </c>
      <c r="AM39" s="479">
        <v>97933.129069999995</v>
      </c>
      <c r="AN39" s="479">
        <v>101710.818346</v>
      </c>
      <c r="AQ39" s="341"/>
    </row>
    <row r="40" spans="2:43" s="141" customFormat="1" x14ac:dyDescent="0.3">
      <c r="B40" s="61" t="s">
        <v>490</v>
      </c>
      <c r="C40" s="141" t="s">
        <v>335</v>
      </c>
      <c r="D40" s="479" t="str">
        <f t="shared" si="2"/>
        <v/>
      </c>
      <c r="E40" s="479" t="str">
        <f t="shared" si="2"/>
        <v/>
      </c>
      <c r="F40" s="479" t="str">
        <f t="shared" si="2"/>
        <v/>
      </c>
      <c r="G40" s="217"/>
      <c r="H40" s="479" t="str">
        <f t="shared" si="3"/>
        <v/>
      </c>
      <c r="I40" s="479" t="str">
        <f t="shared" si="4"/>
        <v/>
      </c>
      <c r="J40" s="479" t="str">
        <f t="shared" si="4"/>
        <v/>
      </c>
      <c r="M40" s="479"/>
      <c r="N40" s="479">
        <v>0</v>
      </c>
      <c r="O40" s="479">
        <v>0</v>
      </c>
      <c r="P40" s="479">
        <v>0</v>
      </c>
      <c r="Q40" s="479">
        <v>0</v>
      </c>
      <c r="R40" s="479">
        <v>0</v>
      </c>
      <c r="S40" s="479">
        <v>0</v>
      </c>
      <c r="T40" s="479">
        <v>0</v>
      </c>
      <c r="U40" s="479">
        <v>0</v>
      </c>
      <c r="V40" s="479">
        <v>0</v>
      </c>
      <c r="W40" s="479">
        <v>0</v>
      </c>
      <c r="X40" s="479">
        <v>0</v>
      </c>
      <c r="Y40" s="479">
        <v>0</v>
      </c>
      <c r="Z40" s="479"/>
      <c r="AA40" s="479"/>
      <c r="AB40" s="479"/>
      <c r="AC40" s="479">
        <v>0</v>
      </c>
      <c r="AD40" s="479">
        <v>0</v>
      </c>
      <c r="AE40" s="479">
        <v>0</v>
      </c>
      <c r="AF40" s="479">
        <v>0</v>
      </c>
      <c r="AG40" s="479">
        <v>0</v>
      </c>
      <c r="AH40" s="479">
        <v>0</v>
      </c>
      <c r="AI40" s="479">
        <v>0</v>
      </c>
      <c r="AJ40" s="479">
        <v>0</v>
      </c>
      <c r="AK40" s="479">
        <v>0</v>
      </c>
      <c r="AL40" s="479">
        <v>0</v>
      </c>
      <c r="AM40" s="479">
        <v>0</v>
      </c>
      <c r="AN40" s="479" t="s">
        <v>1292</v>
      </c>
      <c r="AQ40" s="341"/>
    </row>
    <row r="41" spans="2:43" s="141" customFormat="1" x14ac:dyDescent="0.3">
      <c r="B41" s="61" t="s">
        <v>498</v>
      </c>
      <c r="C41" s="141" t="s">
        <v>819</v>
      </c>
      <c r="D41" s="479">
        <f t="shared" si="2"/>
        <v>25297.099998000002</v>
      </c>
      <c r="E41" s="479">
        <f t="shared" si="2"/>
        <v>25289.599998000002</v>
      </c>
      <c r="F41" s="479">
        <f t="shared" si="2"/>
        <v>24021.259999000002</v>
      </c>
      <c r="G41" s="217"/>
      <c r="H41" s="479">
        <f t="shared" si="3"/>
        <v>25297</v>
      </c>
      <c r="I41" s="479">
        <f t="shared" si="4"/>
        <v>25290</v>
      </c>
      <c r="J41" s="479">
        <f t="shared" si="4"/>
        <v>23179.359999</v>
      </c>
      <c r="M41" s="479"/>
      <c r="N41" s="479">
        <v>25297.099998000002</v>
      </c>
      <c r="O41" s="479">
        <v>26080.629999000001</v>
      </c>
      <c r="P41" s="479">
        <v>26094.309999000001</v>
      </c>
      <c r="Q41" s="479">
        <v>25851.699999</v>
      </c>
      <c r="R41" s="479">
        <v>25289.599998000002</v>
      </c>
      <c r="S41" s="479">
        <v>24987.769998</v>
      </c>
      <c r="T41" s="479">
        <v>24685.83</v>
      </c>
      <c r="U41" s="479">
        <v>24047.749997999999</v>
      </c>
      <c r="V41" s="479">
        <v>24021.259999000002</v>
      </c>
      <c r="W41" s="479">
        <v>22241.010000999999</v>
      </c>
      <c r="X41" s="479">
        <v>22519.719999000001</v>
      </c>
      <c r="Y41" s="479">
        <v>24021.259999000002</v>
      </c>
      <c r="Z41" s="479"/>
      <c r="AA41" s="479"/>
      <c r="AB41" s="479"/>
      <c r="AC41" s="479">
        <v>25297</v>
      </c>
      <c r="AD41" s="479">
        <v>26081</v>
      </c>
      <c r="AE41" s="479">
        <v>26094</v>
      </c>
      <c r="AF41" s="479">
        <v>25852</v>
      </c>
      <c r="AG41" s="479">
        <v>25290</v>
      </c>
      <c r="AH41" s="479">
        <v>24988</v>
      </c>
      <c r="AI41" s="479">
        <v>24686</v>
      </c>
      <c r="AJ41" s="479">
        <v>24048</v>
      </c>
      <c r="AK41" s="479">
        <v>24021.259999000002</v>
      </c>
      <c r="AL41" s="479">
        <v>22241.010000999999</v>
      </c>
      <c r="AM41" s="479">
        <v>22519.719999000001</v>
      </c>
      <c r="AN41" s="479">
        <v>23179.359999</v>
      </c>
      <c r="AQ41" s="341"/>
    </row>
    <row r="42" spans="2:43" s="141" customFormat="1" x14ac:dyDescent="0.3">
      <c r="B42" s="61" t="s">
        <v>499</v>
      </c>
      <c r="C42" s="141" t="s">
        <v>820</v>
      </c>
      <c r="D42" s="479" t="str">
        <f t="shared" si="2"/>
        <v/>
      </c>
      <c r="E42" s="479" t="str">
        <f t="shared" si="2"/>
        <v/>
      </c>
      <c r="F42" s="479" t="str">
        <f t="shared" si="2"/>
        <v/>
      </c>
      <c r="G42" s="217"/>
      <c r="H42" s="479" t="str">
        <f t="shared" si="3"/>
        <v/>
      </c>
      <c r="I42" s="479" t="str">
        <f t="shared" si="4"/>
        <v/>
      </c>
      <c r="J42" s="479" t="str">
        <f t="shared" si="4"/>
        <v/>
      </c>
      <c r="M42" s="479"/>
      <c r="N42" s="479">
        <v>0</v>
      </c>
      <c r="O42" s="479">
        <v>0</v>
      </c>
      <c r="P42" s="479">
        <v>0</v>
      </c>
      <c r="Q42" s="479">
        <v>0</v>
      </c>
      <c r="R42" s="479">
        <v>0</v>
      </c>
      <c r="S42" s="479">
        <v>0</v>
      </c>
      <c r="T42" s="479">
        <v>0</v>
      </c>
      <c r="U42" s="479">
        <v>0</v>
      </c>
      <c r="V42" s="479">
        <v>0</v>
      </c>
      <c r="W42" s="479">
        <v>0</v>
      </c>
      <c r="X42" s="479">
        <v>0</v>
      </c>
      <c r="Y42" s="479">
        <v>0</v>
      </c>
      <c r="Z42" s="479"/>
      <c r="AA42" s="479"/>
      <c r="AB42" s="479"/>
      <c r="AC42" s="479">
        <v>0</v>
      </c>
      <c r="AD42" s="479">
        <v>0</v>
      </c>
      <c r="AE42" s="479">
        <v>0</v>
      </c>
      <c r="AF42" s="479">
        <v>0</v>
      </c>
      <c r="AG42" s="479">
        <v>0</v>
      </c>
      <c r="AH42" s="479">
        <v>0</v>
      </c>
      <c r="AI42" s="479">
        <v>0</v>
      </c>
      <c r="AJ42" s="479">
        <v>0</v>
      </c>
      <c r="AK42" s="479">
        <v>0</v>
      </c>
      <c r="AL42" s="479">
        <v>0</v>
      </c>
      <c r="AM42" s="479">
        <v>0</v>
      </c>
      <c r="AN42" s="479" t="s">
        <v>1292</v>
      </c>
      <c r="AQ42" s="341"/>
    </row>
    <row r="43" spans="2:43" s="141" customFormat="1" x14ac:dyDescent="0.3">
      <c r="B43" s="61" t="s">
        <v>500</v>
      </c>
      <c r="C43" s="141" t="s">
        <v>821</v>
      </c>
      <c r="D43" s="479" t="str">
        <f t="shared" si="2"/>
        <v/>
      </c>
      <c r="E43" s="479" t="str">
        <f t="shared" si="2"/>
        <v/>
      </c>
      <c r="F43" s="479" t="str">
        <f t="shared" si="2"/>
        <v/>
      </c>
      <c r="G43" s="217"/>
      <c r="H43" s="479" t="str">
        <f t="shared" si="3"/>
        <v/>
      </c>
      <c r="I43" s="479" t="str">
        <f t="shared" si="4"/>
        <v/>
      </c>
      <c r="J43" s="479" t="str">
        <f t="shared" si="4"/>
        <v/>
      </c>
      <c r="M43" s="479"/>
      <c r="N43" s="479">
        <v>0</v>
      </c>
      <c r="O43" s="479">
        <v>0</v>
      </c>
      <c r="P43" s="479">
        <v>0</v>
      </c>
      <c r="Q43" s="479">
        <v>0</v>
      </c>
      <c r="R43" s="479">
        <v>0</v>
      </c>
      <c r="S43" s="479">
        <v>0</v>
      </c>
      <c r="T43" s="479">
        <v>0</v>
      </c>
      <c r="U43" s="479">
        <v>0</v>
      </c>
      <c r="V43" s="479">
        <v>0</v>
      </c>
      <c r="W43" s="479">
        <v>0</v>
      </c>
      <c r="X43" s="479">
        <v>0</v>
      </c>
      <c r="Y43" s="479">
        <v>0</v>
      </c>
      <c r="Z43" s="479"/>
      <c r="AA43" s="479"/>
      <c r="AB43" s="479"/>
      <c r="AC43" s="479">
        <v>0</v>
      </c>
      <c r="AD43" s="479">
        <v>0</v>
      </c>
      <c r="AE43" s="479">
        <v>0</v>
      </c>
      <c r="AF43" s="479">
        <v>0</v>
      </c>
      <c r="AG43" s="479">
        <v>0</v>
      </c>
      <c r="AH43" s="479">
        <v>0</v>
      </c>
      <c r="AI43" s="479">
        <v>0</v>
      </c>
      <c r="AJ43" s="479">
        <v>0</v>
      </c>
      <c r="AK43" s="479">
        <v>0</v>
      </c>
      <c r="AL43" s="479">
        <v>0</v>
      </c>
      <c r="AM43" s="479">
        <v>0</v>
      </c>
      <c r="AN43" s="479" t="s">
        <v>1292</v>
      </c>
      <c r="AQ43" s="341"/>
    </row>
    <row r="44" spans="2:43" s="141" customFormat="1" x14ac:dyDescent="0.3">
      <c r="B44" s="61" t="s">
        <v>491</v>
      </c>
      <c r="C44" s="141" t="s">
        <v>336</v>
      </c>
      <c r="D44" s="479" t="str">
        <f t="shared" si="2"/>
        <v/>
      </c>
      <c r="E44" s="479" t="str">
        <f t="shared" si="2"/>
        <v/>
      </c>
      <c r="F44" s="479" t="str">
        <f t="shared" si="2"/>
        <v/>
      </c>
      <c r="G44" s="217"/>
      <c r="H44" s="479" t="str">
        <f t="shared" si="3"/>
        <v/>
      </c>
      <c r="I44" s="479" t="str">
        <f t="shared" si="4"/>
        <v/>
      </c>
      <c r="J44" s="479" t="str">
        <f t="shared" si="4"/>
        <v/>
      </c>
      <c r="M44" s="479"/>
      <c r="N44" s="479">
        <v>0</v>
      </c>
      <c r="O44" s="479">
        <v>0</v>
      </c>
      <c r="P44" s="479">
        <v>0</v>
      </c>
      <c r="Q44" s="479">
        <v>0</v>
      </c>
      <c r="R44" s="479">
        <v>0</v>
      </c>
      <c r="S44" s="479">
        <v>0</v>
      </c>
      <c r="T44" s="479">
        <v>0</v>
      </c>
      <c r="U44" s="479">
        <v>0</v>
      </c>
      <c r="V44" s="479">
        <v>0</v>
      </c>
      <c r="W44" s="479">
        <v>0</v>
      </c>
      <c r="X44" s="479">
        <v>0</v>
      </c>
      <c r="Y44" s="479">
        <v>0</v>
      </c>
      <c r="Z44" s="479"/>
      <c r="AA44" s="479"/>
      <c r="AB44" s="479"/>
      <c r="AC44" s="479">
        <v>0</v>
      </c>
      <c r="AD44" s="479">
        <v>0</v>
      </c>
      <c r="AE44" s="479">
        <v>0</v>
      </c>
      <c r="AF44" s="479">
        <v>0</v>
      </c>
      <c r="AG44" s="479">
        <v>0</v>
      </c>
      <c r="AH44" s="479">
        <v>0</v>
      </c>
      <c r="AI44" s="479">
        <v>0</v>
      </c>
      <c r="AJ44" s="479">
        <v>0</v>
      </c>
      <c r="AK44" s="479">
        <v>0</v>
      </c>
      <c r="AL44" s="479">
        <v>0</v>
      </c>
      <c r="AM44" s="479">
        <v>0</v>
      </c>
      <c r="AN44" s="479" t="s">
        <v>1292</v>
      </c>
      <c r="AQ44" s="341"/>
    </row>
    <row r="45" spans="2:43" s="141" customFormat="1" x14ac:dyDescent="0.3">
      <c r="B45" s="61" t="s">
        <v>492</v>
      </c>
      <c r="C45" s="141" t="s">
        <v>337</v>
      </c>
      <c r="D45" s="479" t="str">
        <f t="shared" si="2"/>
        <v/>
      </c>
      <c r="E45" s="479" t="str">
        <f t="shared" si="2"/>
        <v/>
      </c>
      <c r="F45" s="479" t="str">
        <f t="shared" si="2"/>
        <v/>
      </c>
      <c r="G45" s="217"/>
      <c r="H45" s="479" t="str">
        <f t="shared" si="3"/>
        <v/>
      </c>
      <c r="I45" s="479" t="str">
        <f t="shared" si="4"/>
        <v/>
      </c>
      <c r="J45" s="479" t="str">
        <f t="shared" si="4"/>
        <v/>
      </c>
      <c r="M45" s="479"/>
      <c r="N45" s="479">
        <v>0</v>
      </c>
      <c r="O45" s="479">
        <v>0</v>
      </c>
      <c r="P45" s="479">
        <v>0</v>
      </c>
      <c r="Q45" s="479">
        <v>0</v>
      </c>
      <c r="R45" s="479">
        <v>0</v>
      </c>
      <c r="S45" s="479">
        <v>0</v>
      </c>
      <c r="T45" s="479">
        <v>0</v>
      </c>
      <c r="U45" s="479">
        <v>0</v>
      </c>
      <c r="V45" s="479">
        <v>0</v>
      </c>
      <c r="W45" s="479">
        <v>0</v>
      </c>
      <c r="X45" s="479">
        <v>0</v>
      </c>
      <c r="Y45" s="479">
        <v>0</v>
      </c>
      <c r="Z45" s="479"/>
      <c r="AA45" s="479"/>
      <c r="AB45" s="479"/>
      <c r="AC45" s="479">
        <v>0</v>
      </c>
      <c r="AD45" s="479">
        <v>0</v>
      </c>
      <c r="AE45" s="479">
        <v>0</v>
      </c>
      <c r="AF45" s="479">
        <v>0</v>
      </c>
      <c r="AG45" s="479">
        <v>0</v>
      </c>
      <c r="AH45" s="479">
        <v>0</v>
      </c>
      <c r="AI45" s="479">
        <v>0</v>
      </c>
      <c r="AJ45" s="479">
        <v>0</v>
      </c>
      <c r="AK45" s="479">
        <v>0</v>
      </c>
      <c r="AL45" s="479">
        <v>0</v>
      </c>
      <c r="AM45" s="479">
        <v>0</v>
      </c>
      <c r="AN45" s="479" t="s">
        <v>1292</v>
      </c>
      <c r="AQ45" s="341"/>
    </row>
    <row r="46" spans="2:43" s="141" customFormat="1" x14ac:dyDescent="0.3">
      <c r="B46" s="61" t="s">
        <v>501</v>
      </c>
      <c r="C46" s="141" t="s">
        <v>822</v>
      </c>
      <c r="D46" s="479">
        <f t="shared" ref="D46:F65" si="5">IF(HLOOKUP(D$5,$M$5:$Y$370,ROW()-ROW($F$4),FALSE)=0,"",HLOOKUP(D$5,$M$5:$Y$370,ROW()-ROW($F$4),FALSE))</f>
        <v>3676050.7762409998</v>
      </c>
      <c r="E46" s="479">
        <f t="shared" si="5"/>
        <v>3422705.2951529999</v>
      </c>
      <c r="F46" s="479">
        <f t="shared" si="5"/>
        <v>3717229.0351089998</v>
      </c>
      <c r="G46" s="217"/>
      <c r="H46" s="479">
        <f t="shared" si="3"/>
        <v>3460967</v>
      </c>
      <c r="I46" s="479">
        <f t="shared" ref="I46:J65" si="6">IF(HLOOKUP(I$5,$AB$5:$AN$370,ROW()-ROW($J$4),FALSE)=0,"",HLOOKUP(I$5,$AB$5:$AN$370,ROW()-ROW($J$4),FALSE))</f>
        <v>3212379</v>
      </c>
      <c r="J46" s="479">
        <f t="shared" si="6"/>
        <v>3823609.3829949996</v>
      </c>
      <c r="M46" s="479"/>
      <c r="N46" s="479">
        <v>3676050.7762409998</v>
      </c>
      <c r="O46" s="479">
        <v>3661810.0835239999</v>
      </c>
      <c r="P46" s="479">
        <v>3585564.2833270002</v>
      </c>
      <c r="Q46" s="479">
        <v>3454499.2487920001</v>
      </c>
      <c r="R46" s="479">
        <v>3422705.2951529999</v>
      </c>
      <c r="S46" s="479">
        <v>3887671.1011899998</v>
      </c>
      <c r="T46" s="479">
        <v>3755501.6645260002</v>
      </c>
      <c r="U46" s="479">
        <v>3812405.8879490001</v>
      </c>
      <c r="V46" s="479">
        <v>3717229.0351089998</v>
      </c>
      <c r="W46" s="479">
        <v>4332137.9680190003</v>
      </c>
      <c r="X46" s="479">
        <v>4303778.8078680001</v>
      </c>
      <c r="Y46" s="479">
        <v>3717229.0351089998</v>
      </c>
      <c r="Z46" s="479"/>
      <c r="AA46" s="479"/>
      <c r="AB46" s="479"/>
      <c r="AC46" s="479">
        <v>3460967</v>
      </c>
      <c r="AD46" s="479">
        <v>3437184</v>
      </c>
      <c r="AE46" s="479">
        <v>3361393</v>
      </c>
      <c r="AF46" s="479">
        <v>3235996</v>
      </c>
      <c r="AG46" s="479">
        <v>3212379</v>
      </c>
      <c r="AH46" s="479">
        <v>3738253</v>
      </c>
      <c r="AI46" s="479">
        <v>3586086</v>
      </c>
      <c r="AJ46" s="479">
        <v>3616291</v>
      </c>
      <c r="AK46" s="479">
        <v>3524259.7360200002</v>
      </c>
      <c r="AL46" s="479">
        <v>4161000.012358</v>
      </c>
      <c r="AM46" s="479">
        <v>4132924.3007760001</v>
      </c>
      <c r="AN46" s="479">
        <v>3823609.3829949996</v>
      </c>
      <c r="AQ46" s="341"/>
    </row>
    <row r="47" spans="2:43" s="141" customFormat="1" x14ac:dyDescent="0.3">
      <c r="B47" s="61" t="s">
        <v>823</v>
      </c>
      <c r="C47" s="141" t="s">
        <v>824</v>
      </c>
      <c r="D47" s="479">
        <f t="shared" si="5"/>
        <v>98676.706974999994</v>
      </c>
      <c r="E47" s="479">
        <f t="shared" si="5"/>
        <v>86533.40367</v>
      </c>
      <c r="F47" s="479">
        <f t="shared" si="5"/>
        <v>75634.016917999994</v>
      </c>
      <c r="G47" s="217"/>
      <c r="H47" s="479">
        <f t="shared" si="3"/>
        <v>317366</v>
      </c>
      <c r="I47" s="479">
        <f t="shared" si="6"/>
        <v>327160</v>
      </c>
      <c r="J47" s="479">
        <f t="shared" si="6"/>
        <v>891139.93482099997</v>
      </c>
      <c r="M47" s="479"/>
      <c r="N47" s="479">
        <v>98676.706974999994</v>
      </c>
      <c r="O47" s="479">
        <v>96806.041301000005</v>
      </c>
      <c r="P47" s="479">
        <v>91137.219968000005</v>
      </c>
      <c r="Q47" s="479">
        <v>98179.390119000003</v>
      </c>
      <c r="R47" s="479">
        <v>86533.40367</v>
      </c>
      <c r="S47" s="479">
        <v>83098.949106</v>
      </c>
      <c r="T47" s="479">
        <v>81845.118090000004</v>
      </c>
      <c r="U47" s="479">
        <v>78772.159612000003</v>
      </c>
      <c r="V47" s="479">
        <v>75634.016917999994</v>
      </c>
      <c r="W47" s="479">
        <v>72433.902426999994</v>
      </c>
      <c r="X47" s="479">
        <v>74577.807191</v>
      </c>
      <c r="Y47" s="479">
        <v>75634.016917999994</v>
      </c>
      <c r="Z47" s="479"/>
      <c r="AA47" s="479"/>
      <c r="AB47" s="479"/>
      <c r="AC47" s="479">
        <v>317366</v>
      </c>
      <c r="AD47" s="479">
        <v>326060</v>
      </c>
      <c r="AE47" s="479">
        <v>311746</v>
      </c>
      <c r="AF47" s="479">
        <v>338872</v>
      </c>
      <c r="AG47" s="479">
        <v>327160</v>
      </c>
      <c r="AH47" s="479">
        <v>297348</v>
      </c>
      <c r="AI47" s="479">
        <v>307382</v>
      </c>
      <c r="AJ47" s="479">
        <v>299476</v>
      </c>
      <c r="AK47" s="479">
        <v>286639.59682199999</v>
      </c>
      <c r="AL47" s="479">
        <v>300721.386528</v>
      </c>
      <c r="AM47" s="479">
        <v>297518.90094399999</v>
      </c>
      <c r="AN47" s="479">
        <v>891139.93482099997</v>
      </c>
      <c r="AQ47" s="341"/>
    </row>
    <row r="48" spans="2:43" s="141" customFormat="1" x14ac:dyDescent="0.3">
      <c r="B48" s="61" t="s">
        <v>493</v>
      </c>
      <c r="C48" s="141" t="s">
        <v>338</v>
      </c>
      <c r="D48" s="479">
        <f t="shared" si="5"/>
        <v>9453.0968059999996</v>
      </c>
      <c r="E48" s="479">
        <f t="shared" si="5"/>
        <v>2784.20352</v>
      </c>
      <c r="F48" s="479">
        <f t="shared" si="5"/>
        <v>2651.621443</v>
      </c>
      <c r="G48" s="217"/>
      <c r="H48" s="479">
        <f t="shared" si="3"/>
        <v>228142</v>
      </c>
      <c r="I48" s="479">
        <f t="shared" si="6"/>
        <v>243411</v>
      </c>
      <c r="J48" s="479">
        <f t="shared" si="6"/>
        <v>97983.692889999991</v>
      </c>
      <c r="M48" s="479"/>
      <c r="N48" s="479">
        <v>9453.0968059999996</v>
      </c>
      <c r="O48" s="479">
        <v>9755.3620019999998</v>
      </c>
      <c r="P48" s="479">
        <v>8575.3764659999997</v>
      </c>
      <c r="Q48" s="479">
        <v>10896.763724</v>
      </c>
      <c r="R48" s="479">
        <v>2784.20352</v>
      </c>
      <c r="S48" s="479">
        <v>3044.2076729999999</v>
      </c>
      <c r="T48" s="479">
        <v>2973.8715529999999</v>
      </c>
      <c r="U48" s="479">
        <v>2624.0674090000002</v>
      </c>
      <c r="V48" s="479">
        <v>2651.621443</v>
      </c>
      <c r="W48" s="479">
        <v>2007.4932329999999</v>
      </c>
      <c r="X48" s="479">
        <v>4625.3002820000002</v>
      </c>
      <c r="Y48" s="479">
        <v>2651.621443</v>
      </c>
      <c r="Z48" s="479"/>
      <c r="AA48" s="479"/>
      <c r="AB48" s="479"/>
      <c r="AC48" s="479">
        <v>228142</v>
      </c>
      <c r="AD48" s="479">
        <v>239009</v>
      </c>
      <c r="AE48" s="479">
        <v>229184</v>
      </c>
      <c r="AF48" s="479">
        <v>251589</v>
      </c>
      <c r="AG48" s="479">
        <v>243411</v>
      </c>
      <c r="AH48" s="479">
        <v>217294</v>
      </c>
      <c r="AI48" s="479">
        <v>228511</v>
      </c>
      <c r="AJ48" s="479">
        <v>223328</v>
      </c>
      <c r="AK48" s="479">
        <v>213657.20134699999</v>
      </c>
      <c r="AL48" s="479">
        <v>230294.977334</v>
      </c>
      <c r="AM48" s="479">
        <v>227566.394035</v>
      </c>
      <c r="AN48" s="479">
        <v>97983.692889999991</v>
      </c>
      <c r="AQ48" s="341"/>
    </row>
    <row r="49" spans="2:43" s="141" customFormat="1" x14ac:dyDescent="0.3">
      <c r="B49" s="61" t="s">
        <v>494</v>
      </c>
      <c r="C49" s="141" t="s">
        <v>339</v>
      </c>
      <c r="D49" s="479">
        <f t="shared" si="5"/>
        <v>89223.610169000007</v>
      </c>
      <c r="E49" s="479">
        <f t="shared" si="5"/>
        <v>83749.200150000004</v>
      </c>
      <c r="F49" s="479">
        <f t="shared" si="5"/>
        <v>72982.395474999998</v>
      </c>
      <c r="G49" s="217"/>
      <c r="H49" s="479">
        <f t="shared" si="3"/>
        <v>89224</v>
      </c>
      <c r="I49" s="479">
        <f t="shared" si="6"/>
        <v>83749</v>
      </c>
      <c r="J49" s="479">
        <f t="shared" si="6"/>
        <v>90085.615881999998</v>
      </c>
      <c r="M49" s="479"/>
      <c r="N49" s="479">
        <v>89223.610169000007</v>
      </c>
      <c r="O49" s="479">
        <v>87050.679298999996</v>
      </c>
      <c r="P49" s="479">
        <v>82561.843502000003</v>
      </c>
      <c r="Q49" s="479">
        <v>87282.626394999999</v>
      </c>
      <c r="R49" s="479">
        <v>83749.200150000004</v>
      </c>
      <c r="S49" s="479">
        <v>80054.741433000003</v>
      </c>
      <c r="T49" s="479">
        <v>78871.246536999999</v>
      </c>
      <c r="U49" s="479">
        <v>76148.092202999993</v>
      </c>
      <c r="V49" s="479">
        <v>72982.395474999998</v>
      </c>
      <c r="W49" s="479">
        <v>70426.409194000007</v>
      </c>
      <c r="X49" s="479">
        <v>69952.506909000003</v>
      </c>
      <c r="Y49" s="479">
        <v>72982.395474999998</v>
      </c>
      <c r="Z49" s="479"/>
      <c r="AA49" s="479"/>
      <c r="AB49" s="479"/>
      <c r="AC49" s="479">
        <v>89224</v>
      </c>
      <c r="AD49" s="479">
        <v>87051</v>
      </c>
      <c r="AE49" s="479">
        <v>82562</v>
      </c>
      <c r="AF49" s="479">
        <v>87283</v>
      </c>
      <c r="AG49" s="479">
        <v>83749</v>
      </c>
      <c r="AH49" s="479">
        <v>80055</v>
      </c>
      <c r="AI49" s="479">
        <v>78871</v>
      </c>
      <c r="AJ49" s="479">
        <v>76148</v>
      </c>
      <c r="AK49" s="479">
        <v>72982.395474999998</v>
      </c>
      <c r="AL49" s="479">
        <v>70426.409194000007</v>
      </c>
      <c r="AM49" s="479">
        <v>69952.506909000003</v>
      </c>
      <c r="AN49" s="479">
        <v>90085.615881999998</v>
      </c>
      <c r="AQ49" s="341"/>
    </row>
    <row r="50" spans="2:43" s="141" customFormat="1" x14ac:dyDescent="0.3">
      <c r="B50" s="61" t="s">
        <v>296</v>
      </c>
      <c r="C50" s="141" t="s">
        <v>340</v>
      </c>
      <c r="D50" s="479" t="str">
        <f t="shared" si="5"/>
        <v/>
      </c>
      <c r="E50" s="479" t="str">
        <f t="shared" si="5"/>
        <v/>
      </c>
      <c r="F50" s="479" t="str">
        <f t="shared" si="5"/>
        <v/>
      </c>
      <c r="G50" s="217"/>
      <c r="H50" s="479" t="str">
        <f t="shared" si="3"/>
        <v/>
      </c>
      <c r="I50" s="479" t="str">
        <f t="shared" si="6"/>
        <v/>
      </c>
      <c r="J50" s="479" t="str">
        <f t="shared" si="6"/>
        <v/>
      </c>
      <c r="M50" s="479"/>
      <c r="N50" s="479">
        <v>0</v>
      </c>
      <c r="O50" s="479">
        <v>0</v>
      </c>
      <c r="P50" s="479">
        <v>0</v>
      </c>
      <c r="Q50" s="479">
        <v>0</v>
      </c>
      <c r="R50" s="479">
        <v>0</v>
      </c>
      <c r="S50" s="479">
        <v>0</v>
      </c>
      <c r="T50" s="479">
        <v>0</v>
      </c>
      <c r="U50" s="479">
        <v>0</v>
      </c>
      <c r="V50" s="479">
        <v>0</v>
      </c>
      <c r="W50" s="479">
        <v>0</v>
      </c>
      <c r="X50" s="479">
        <v>0</v>
      </c>
      <c r="Y50" s="479">
        <v>0</v>
      </c>
      <c r="Z50" s="479"/>
      <c r="AA50" s="479"/>
      <c r="AB50" s="479"/>
      <c r="AC50" s="479">
        <v>0</v>
      </c>
      <c r="AD50" s="479">
        <v>0</v>
      </c>
      <c r="AE50" s="479">
        <v>0</v>
      </c>
      <c r="AF50" s="479">
        <v>0</v>
      </c>
      <c r="AG50" s="479">
        <v>0</v>
      </c>
      <c r="AH50" s="479">
        <v>0</v>
      </c>
      <c r="AI50" s="479">
        <v>0</v>
      </c>
      <c r="AJ50" s="479">
        <v>0</v>
      </c>
      <c r="AK50" s="479">
        <v>0</v>
      </c>
      <c r="AL50" s="479">
        <v>0</v>
      </c>
      <c r="AM50" s="479">
        <v>0</v>
      </c>
      <c r="AN50" s="479" t="s">
        <v>1292</v>
      </c>
      <c r="AQ50" s="341"/>
    </row>
    <row r="51" spans="2:43" s="141" customFormat="1" x14ac:dyDescent="0.3">
      <c r="B51" s="61" t="s">
        <v>297</v>
      </c>
      <c r="C51" s="141" t="s">
        <v>341</v>
      </c>
      <c r="D51" s="479" t="str">
        <f t="shared" si="5"/>
        <v/>
      </c>
      <c r="E51" s="479" t="str">
        <f t="shared" si="5"/>
        <v/>
      </c>
      <c r="F51" s="479" t="str">
        <f t="shared" si="5"/>
        <v/>
      </c>
      <c r="G51" s="217"/>
      <c r="H51" s="479" t="str">
        <f t="shared" si="3"/>
        <v/>
      </c>
      <c r="I51" s="479" t="str">
        <f t="shared" si="6"/>
        <v/>
      </c>
      <c r="J51" s="479" t="str">
        <f t="shared" si="6"/>
        <v/>
      </c>
      <c r="M51" s="479"/>
      <c r="N51" s="479">
        <v>0</v>
      </c>
      <c r="O51" s="479">
        <v>0</v>
      </c>
      <c r="P51" s="479">
        <v>0</v>
      </c>
      <c r="Q51" s="479">
        <v>0</v>
      </c>
      <c r="R51" s="479">
        <v>0</v>
      </c>
      <c r="S51" s="479">
        <v>0</v>
      </c>
      <c r="T51" s="479">
        <v>0</v>
      </c>
      <c r="U51" s="479">
        <v>0</v>
      </c>
      <c r="V51" s="479">
        <v>0</v>
      </c>
      <c r="W51" s="479">
        <v>0</v>
      </c>
      <c r="X51" s="479">
        <v>0</v>
      </c>
      <c r="Y51" s="479">
        <v>0</v>
      </c>
      <c r="Z51" s="479"/>
      <c r="AA51" s="479"/>
      <c r="AB51" s="479"/>
      <c r="AC51" s="479">
        <v>0</v>
      </c>
      <c r="AD51" s="479">
        <v>0</v>
      </c>
      <c r="AE51" s="479">
        <v>0</v>
      </c>
      <c r="AF51" s="479">
        <v>0</v>
      </c>
      <c r="AG51" s="479">
        <v>0</v>
      </c>
      <c r="AH51" s="479">
        <v>0</v>
      </c>
      <c r="AI51" s="479">
        <v>0</v>
      </c>
      <c r="AJ51" s="479">
        <v>0</v>
      </c>
      <c r="AK51" s="479">
        <v>0</v>
      </c>
      <c r="AL51" s="479">
        <v>0</v>
      </c>
      <c r="AM51" s="479">
        <v>0</v>
      </c>
      <c r="AN51" s="479" t="s">
        <v>1292</v>
      </c>
      <c r="AQ51" s="341"/>
    </row>
    <row r="52" spans="2:43" s="141" customFormat="1" x14ac:dyDescent="0.3">
      <c r="B52" s="61" t="s">
        <v>298</v>
      </c>
      <c r="C52" s="141" t="s">
        <v>342</v>
      </c>
      <c r="D52" s="479" t="str">
        <f t="shared" si="5"/>
        <v/>
      </c>
      <c r="E52" s="479" t="str">
        <f t="shared" si="5"/>
        <v/>
      </c>
      <c r="F52" s="479" t="str">
        <f t="shared" si="5"/>
        <v/>
      </c>
      <c r="G52" s="217"/>
      <c r="H52" s="479" t="str">
        <f t="shared" si="3"/>
        <v/>
      </c>
      <c r="I52" s="479" t="str">
        <f t="shared" si="6"/>
        <v/>
      </c>
      <c r="J52" s="479">
        <f t="shared" si="6"/>
        <v>703070.62604900007</v>
      </c>
      <c r="M52" s="479"/>
      <c r="N52" s="479">
        <v>0</v>
      </c>
      <c r="O52" s="479">
        <v>0</v>
      </c>
      <c r="P52" s="479">
        <v>0</v>
      </c>
      <c r="Q52" s="479">
        <v>0</v>
      </c>
      <c r="R52" s="479">
        <v>0</v>
      </c>
      <c r="S52" s="479">
        <v>0</v>
      </c>
      <c r="T52" s="479">
        <v>0</v>
      </c>
      <c r="U52" s="479">
        <v>0</v>
      </c>
      <c r="V52" s="479">
        <v>0</v>
      </c>
      <c r="W52" s="479">
        <v>0</v>
      </c>
      <c r="X52" s="479">
        <v>0</v>
      </c>
      <c r="Y52" s="479">
        <v>0</v>
      </c>
      <c r="Z52" s="479"/>
      <c r="AA52" s="479"/>
      <c r="AB52" s="479"/>
      <c r="AC52" s="479">
        <v>0</v>
      </c>
      <c r="AD52" s="479">
        <v>0</v>
      </c>
      <c r="AE52" s="479">
        <v>0</v>
      </c>
      <c r="AF52" s="479">
        <v>0</v>
      </c>
      <c r="AG52" s="479">
        <v>0</v>
      </c>
      <c r="AH52" s="479">
        <v>0</v>
      </c>
      <c r="AI52" s="479">
        <v>0</v>
      </c>
      <c r="AJ52" s="479">
        <v>0</v>
      </c>
      <c r="AK52" s="479">
        <v>0</v>
      </c>
      <c r="AL52" s="479">
        <v>0</v>
      </c>
      <c r="AM52" s="479">
        <v>0</v>
      </c>
      <c r="AN52" s="479">
        <v>703070.62604900007</v>
      </c>
      <c r="AQ52" s="341"/>
    </row>
    <row r="53" spans="2:43" s="141" customFormat="1" x14ac:dyDescent="0.3">
      <c r="B53" s="61" t="s">
        <v>503</v>
      </c>
      <c r="C53" s="141" t="s">
        <v>825</v>
      </c>
      <c r="D53" s="479" t="str">
        <f t="shared" si="5"/>
        <v/>
      </c>
      <c r="E53" s="479" t="str">
        <f t="shared" si="5"/>
        <v/>
      </c>
      <c r="F53" s="479">
        <f t="shared" si="5"/>
        <v>53080.911876999999</v>
      </c>
      <c r="G53" s="217"/>
      <c r="H53" s="479" t="str">
        <f t="shared" si="3"/>
        <v/>
      </c>
      <c r="I53" s="479" t="str">
        <f t="shared" si="6"/>
        <v/>
      </c>
      <c r="J53" s="479" t="str">
        <f t="shared" si="6"/>
        <v/>
      </c>
      <c r="M53" s="479"/>
      <c r="N53" s="479">
        <v>0</v>
      </c>
      <c r="O53" s="479">
        <v>0</v>
      </c>
      <c r="P53" s="479">
        <v>0</v>
      </c>
      <c r="Q53" s="479">
        <v>0</v>
      </c>
      <c r="R53" s="479">
        <v>0</v>
      </c>
      <c r="S53" s="479">
        <v>0</v>
      </c>
      <c r="T53" s="479">
        <v>0</v>
      </c>
      <c r="U53" s="479">
        <v>43407.691321999999</v>
      </c>
      <c r="V53" s="479">
        <v>53080.911876999999</v>
      </c>
      <c r="W53" s="479">
        <v>52990.457993000004</v>
      </c>
      <c r="X53" s="479">
        <v>0</v>
      </c>
      <c r="Y53" s="479">
        <v>53080.911876999999</v>
      </c>
      <c r="Z53" s="479"/>
      <c r="AA53" s="479"/>
      <c r="AB53" s="479"/>
      <c r="AC53" s="479">
        <v>0</v>
      </c>
      <c r="AD53" s="479">
        <v>0</v>
      </c>
      <c r="AE53" s="479">
        <v>0</v>
      </c>
      <c r="AF53" s="479">
        <v>0</v>
      </c>
      <c r="AG53" s="479">
        <v>0</v>
      </c>
      <c r="AH53" s="479">
        <v>0</v>
      </c>
      <c r="AI53" s="479">
        <v>0</v>
      </c>
      <c r="AJ53" s="479">
        <v>43408</v>
      </c>
      <c r="AK53" s="479">
        <v>53080.911876999999</v>
      </c>
      <c r="AL53" s="479">
        <v>52990.457993000004</v>
      </c>
      <c r="AM53" s="479">
        <v>0</v>
      </c>
      <c r="AN53" s="479" t="s">
        <v>1292</v>
      </c>
      <c r="AQ53" s="341"/>
    </row>
    <row r="54" spans="2:43" s="307" customFormat="1" x14ac:dyDescent="0.3">
      <c r="B54" s="78" t="s">
        <v>826</v>
      </c>
      <c r="C54" s="307" t="s">
        <v>827</v>
      </c>
      <c r="D54" s="477">
        <f t="shared" si="5"/>
        <v>11663557.366015</v>
      </c>
      <c r="E54" s="477">
        <f t="shared" si="5"/>
        <v>11969183.336758999</v>
      </c>
      <c r="F54" s="477">
        <f t="shared" si="5"/>
        <v>11226454.380747</v>
      </c>
      <c r="G54" s="478"/>
      <c r="H54" s="477">
        <f t="shared" si="3"/>
        <v>11663558</v>
      </c>
      <c r="I54" s="477">
        <f t="shared" si="6"/>
        <v>11969183</v>
      </c>
      <c r="J54" s="477">
        <f t="shared" si="6"/>
        <v>11257618.893872</v>
      </c>
      <c r="M54" s="477"/>
      <c r="N54" s="477">
        <v>11663557.366015</v>
      </c>
      <c r="O54" s="477">
        <v>12326566.814335</v>
      </c>
      <c r="P54" s="477">
        <v>12053808.702816</v>
      </c>
      <c r="Q54" s="477">
        <v>12442117.804533999</v>
      </c>
      <c r="R54" s="477">
        <v>11969183.336758999</v>
      </c>
      <c r="S54" s="477">
        <v>11814069.090092</v>
      </c>
      <c r="T54" s="477">
        <v>11285427.462307001</v>
      </c>
      <c r="U54" s="477">
        <v>10964242.307089999</v>
      </c>
      <c r="V54" s="477">
        <v>11226454.380747</v>
      </c>
      <c r="W54" s="477">
        <v>11032722.029203</v>
      </c>
      <c r="X54" s="477">
        <v>11286579.149371</v>
      </c>
      <c r="Y54" s="477">
        <v>11226454.380747</v>
      </c>
      <c r="Z54" s="477"/>
      <c r="AA54" s="477"/>
      <c r="AB54" s="477"/>
      <c r="AC54" s="477">
        <v>11663558</v>
      </c>
      <c r="AD54" s="477">
        <v>12326567</v>
      </c>
      <c r="AE54" s="477">
        <v>12053808</v>
      </c>
      <c r="AF54" s="477">
        <v>12442118</v>
      </c>
      <c r="AG54" s="477">
        <v>11969183</v>
      </c>
      <c r="AH54" s="477">
        <v>11814069</v>
      </c>
      <c r="AI54" s="477">
        <v>11285427</v>
      </c>
      <c r="AJ54" s="477">
        <v>10964242</v>
      </c>
      <c r="AK54" s="477">
        <v>11226454.380747</v>
      </c>
      <c r="AL54" s="477">
        <v>11032722.029203</v>
      </c>
      <c r="AM54" s="477">
        <v>11286579.149371</v>
      </c>
      <c r="AN54" s="477">
        <v>11257618.893872</v>
      </c>
      <c r="AP54" s="480"/>
      <c r="AQ54" s="412"/>
    </row>
    <row r="55" spans="2:43" s="141" customFormat="1" x14ac:dyDescent="0.3">
      <c r="B55" s="61" t="s">
        <v>496</v>
      </c>
      <c r="C55" s="141" t="s">
        <v>523</v>
      </c>
      <c r="D55" s="479" t="str">
        <f t="shared" si="5"/>
        <v/>
      </c>
      <c r="E55" s="479" t="str">
        <f t="shared" si="5"/>
        <v/>
      </c>
      <c r="F55" s="479" t="str">
        <f t="shared" si="5"/>
        <v/>
      </c>
      <c r="G55" s="217"/>
      <c r="H55" s="479" t="str">
        <f t="shared" si="3"/>
        <v/>
      </c>
      <c r="I55" s="479" t="str">
        <f t="shared" si="6"/>
        <v/>
      </c>
      <c r="J55" s="479">
        <f t="shared" si="6"/>
        <v>6.5000000000000002E-2</v>
      </c>
      <c r="M55" s="479"/>
      <c r="N55" s="479">
        <v>0</v>
      </c>
      <c r="O55" s="479">
        <v>0</v>
      </c>
      <c r="P55" s="479">
        <v>0</v>
      </c>
      <c r="Q55" s="479">
        <v>0</v>
      </c>
      <c r="R55" s="479">
        <v>0</v>
      </c>
      <c r="S55" s="479">
        <v>0</v>
      </c>
      <c r="T55" s="479">
        <v>0</v>
      </c>
      <c r="U55" s="479">
        <v>0</v>
      </c>
      <c r="V55" s="479">
        <v>0</v>
      </c>
      <c r="W55" s="479">
        <v>0</v>
      </c>
      <c r="X55" s="479">
        <v>0</v>
      </c>
      <c r="Y55" s="479">
        <v>0</v>
      </c>
      <c r="Z55" s="479"/>
      <c r="AA55" s="479"/>
      <c r="AB55" s="479"/>
      <c r="AC55" s="479">
        <v>0</v>
      </c>
      <c r="AD55" s="479">
        <v>0</v>
      </c>
      <c r="AE55" s="479">
        <v>0</v>
      </c>
      <c r="AF55" s="479">
        <v>0</v>
      </c>
      <c r="AG55" s="479">
        <v>0</v>
      </c>
      <c r="AH55" s="479">
        <v>0</v>
      </c>
      <c r="AI55" s="479">
        <v>0</v>
      </c>
      <c r="AJ55" s="479">
        <v>0</v>
      </c>
      <c r="AK55" s="479">
        <v>0</v>
      </c>
      <c r="AL55" s="479">
        <v>0</v>
      </c>
      <c r="AM55" s="479">
        <v>0</v>
      </c>
      <c r="AN55" s="479">
        <v>6.5000000000000002E-2</v>
      </c>
      <c r="AQ55" s="341"/>
    </row>
    <row r="56" spans="2:43" s="141" customFormat="1" x14ac:dyDescent="0.3">
      <c r="B56" s="61" t="s">
        <v>487</v>
      </c>
      <c r="C56" s="141" t="s">
        <v>332</v>
      </c>
      <c r="D56" s="479" t="str">
        <f t="shared" si="5"/>
        <v/>
      </c>
      <c r="E56" s="479" t="str">
        <f t="shared" si="5"/>
        <v/>
      </c>
      <c r="F56" s="479" t="str">
        <f t="shared" si="5"/>
        <v/>
      </c>
      <c r="G56" s="217"/>
      <c r="H56" s="479" t="str">
        <f t="shared" si="3"/>
        <v/>
      </c>
      <c r="I56" s="479" t="str">
        <f t="shared" si="6"/>
        <v/>
      </c>
      <c r="J56" s="479">
        <f t="shared" si="6"/>
        <v>6.5000000000000002E-2</v>
      </c>
      <c r="M56" s="479"/>
      <c r="N56" s="479">
        <v>0</v>
      </c>
      <c r="O56" s="479">
        <v>0</v>
      </c>
      <c r="P56" s="479">
        <v>0</v>
      </c>
      <c r="Q56" s="479">
        <v>0</v>
      </c>
      <c r="R56" s="479">
        <v>0</v>
      </c>
      <c r="S56" s="479">
        <v>0</v>
      </c>
      <c r="T56" s="479">
        <v>0</v>
      </c>
      <c r="U56" s="479">
        <v>0</v>
      </c>
      <c r="V56" s="479">
        <v>0</v>
      </c>
      <c r="W56" s="479">
        <v>0</v>
      </c>
      <c r="X56" s="479">
        <v>0</v>
      </c>
      <c r="Y56" s="479">
        <v>0</v>
      </c>
      <c r="Z56" s="479"/>
      <c r="AA56" s="479"/>
      <c r="AB56" s="479"/>
      <c r="AC56" s="479">
        <v>0</v>
      </c>
      <c r="AD56" s="479">
        <v>0</v>
      </c>
      <c r="AE56" s="479">
        <v>0</v>
      </c>
      <c r="AF56" s="479">
        <v>0</v>
      </c>
      <c r="AG56" s="479">
        <v>0</v>
      </c>
      <c r="AH56" s="479">
        <v>0</v>
      </c>
      <c r="AI56" s="479">
        <v>0</v>
      </c>
      <c r="AJ56" s="479">
        <v>0</v>
      </c>
      <c r="AK56" s="479">
        <v>0</v>
      </c>
      <c r="AL56" s="479">
        <v>0</v>
      </c>
      <c r="AM56" s="479">
        <v>0</v>
      </c>
      <c r="AN56" s="479">
        <v>6.5000000000000002E-2</v>
      </c>
      <c r="AQ56" s="341"/>
    </row>
    <row r="57" spans="2:43" s="141" customFormat="1" x14ac:dyDescent="0.3">
      <c r="B57" s="61" t="s">
        <v>488</v>
      </c>
      <c r="C57" s="141" t="s">
        <v>333</v>
      </c>
      <c r="D57" s="479" t="str">
        <f t="shared" si="5"/>
        <v/>
      </c>
      <c r="E57" s="479" t="str">
        <f t="shared" si="5"/>
        <v/>
      </c>
      <c r="F57" s="479" t="str">
        <f t="shared" si="5"/>
        <v/>
      </c>
      <c r="G57" s="217"/>
      <c r="H57" s="479" t="str">
        <f t="shared" si="3"/>
        <v/>
      </c>
      <c r="I57" s="479" t="str">
        <f t="shared" si="6"/>
        <v/>
      </c>
      <c r="J57" s="479" t="str">
        <f t="shared" si="6"/>
        <v/>
      </c>
      <c r="M57" s="479"/>
      <c r="N57" s="479">
        <v>0</v>
      </c>
      <c r="O57" s="479">
        <v>0</v>
      </c>
      <c r="P57" s="479">
        <v>0</v>
      </c>
      <c r="Q57" s="479">
        <v>0</v>
      </c>
      <c r="R57" s="479">
        <v>0</v>
      </c>
      <c r="S57" s="479">
        <v>0</v>
      </c>
      <c r="T57" s="479">
        <v>0</v>
      </c>
      <c r="U57" s="479">
        <v>0</v>
      </c>
      <c r="V57" s="479">
        <v>0</v>
      </c>
      <c r="W57" s="479">
        <v>0</v>
      </c>
      <c r="X57" s="479">
        <v>0</v>
      </c>
      <c r="Y57" s="479">
        <v>0</v>
      </c>
      <c r="Z57" s="479"/>
      <c r="AA57" s="479"/>
      <c r="AB57" s="479"/>
      <c r="AC57" s="479">
        <v>0</v>
      </c>
      <c r="AD57" s="479">
        <v>0</v>
      </c>
      <c r="AE57" s="479">
        <v>0</v>
      </c>
      <c r="AF57" s="479">
        <v>0</v>
      </c>
      <c r="AG57" s="479">
        <v>0</v>
      </c>
      <c r="AH57" s="479">
        <v>0</v>
      </c>
      <c r="AI57" s="479">
        <v>0</v>
      </c>
      <c r="AJ57" s="479">
        <v>0</v>
      </c>
      <c r="AK57" s="479">
        <v>0</v>
      </c>
      <c r="AL57" s="479">
        <v>0</v>
      </c>
      <c r="AM57" s="479">
        <v>0</v>
      </c>
      <c r="AN57" s="479" t="s">
        <v>1292</v>
      </c>
      <c r="AQ57" s="341"/>
    </row>
    <row r="58" spans="2:43" s="141" customFormat="1" x14ac:dyDescent="0.3">
      <c r="B58" s="61" t="s">
        <v>497</v>
      </c>
      <c r="C58" s="141" t="s">
        <v>524</v>
      </c>
      <c r="D58" s="479" t="str">
        <f t="shared" si="5"/>
        <v/>
      </c>
      <c r="E58" s="479" t="str">
        <f t="shared" si="5"/>
        <v/>
      </c>
      <c r="F58" s="479" t="str">
        <f t="shared" si="5"/>
        <v/>
      </c>
      <c r="G58" s="217"/>
      <c r="H58" s="479" t="str">
        <f t="shared" si="3"/>
        <v/>
      </c>
      <c r="I58" s="479" t="str">
        <f t="shared" si="6"/>
        <v/>
      </c>
      <c r="J58" s="479" t="str">
        <f t="shared" si="6"/>
        <v/>
      </c>
      <c r="M58" s="479"/>
      <c r="N58" s="479">
        <v>0</v>
      </c>
      <c r="O58" s="479">
        <v>0</v>
      </c>
      <c r="P58" s="479">
        <v>0</v>
      </c>
      <c r="Q58" s="479">
        <v>0</v>
      </c>
      <c r="R58" s="479">
        <v>0</v>
      </c>
      <c r="S58" s="479">
        <v>0</v>
      </c>
      <c r="T58" s="479">
        <v>0</v>
      </c>
      <c r="U58" s="479">
        <v>0</v>
      </c>
      <c r="V58" s="479">
        <v>0</v>
      </c>
      <c r="W58" s="479">
        <v>0</v>
      </c>
      <c r="X58" s="479">
        <v>0</v>
      </c>
      <c r="Y58" s="479">
        <v>0</v>
      </c>
      <c r="Z58" s="479"/>
      <c r="AA58" s="479"/>
      <c r="AB58" s="479"/>
      <c r="AC58" s="479">
        <v>0</v>
      </c>
      <c r="AD58" s="479">
        <v>0</v>
      </c>
      <c r="AE58" s="479">
        <v>0</v>
      </c>
      <c r="AF58" s="479">
        <v>0</v>
      </c>
      <c r="AG58" s="479">
        <v>0</v>
      </c>
      <c r="AH58" s="479">
        <v>0</v>
      </c>
      <c r="AI58" s="479">
        <v>0</v>
      </c>
      <c r="AJ58" s="479">
        <v>0</v>
      </c>
      <c r="AK58" s="479">
        <v>0</v>
      </c>
      <c r="AL58" s="479">
        <v>0</v>
      </c>
      <c r="AM58" s="479">
        <v>0</v>
      </c>
      <c r="AN58" s="479" t="s">
        <v>1292</v>
      </c>
      <c r="AQ58" s="341"/>
    </row>
    <row r="59" spans="2:43" s="141" customFormat="1" x14ac:dyDescent="0.3">
      <c r="B59" s="61" t="s">
        <v>495</v>
      </c>
      <c r="C59" s="141" t="s">
        <v>343</v>
      </c>
      <c r="D59" s="479">
        <f t="shared" si="5"/>
        <v>7140769.8098520003</v>
      </c>
      <c r="E59" s="479">
        <f t="shared" si="5"/>
        <v>7419032.4374930002</v>
      </c>
      <c r="F59" s="479">
        <f t="shared" si="5"/>
        <v>6927778.2836659998</v>
      </c>
      <c r="G59" s="217"/>
      <c r="H59" s="479">
        <f t="shared" si="3"/>
        <v>7140770</v>
      </c>
      <c r="I59" s="479">
        <f t="shared" si="6"/>
        <v>7419032</v>
      </c>
      <c r="J59" s="479">
        <f t="shared" si="6"/>
        <v>6933953.3937999997</v>
      </c>
      <c r="M59" s="479"/>
      <c r="N59" s="479">
        <v>7140769.8098520003</v>
      </c>
      <c r="O59" s="479">
        <v>7778660.2554900004</v>
      </c>
      <c r="P59" s="479">
        <v>7538738.6856009997</v>
      </c>
      <c r="Q59" s="479">
        <v>7749051.2225190001</v>
      </c>
      <c r="R59" s="479">
        <v>7419032.4374930002</v>
      </c>
      <c r="S59" s="479">
        <v>7322635.7196119996</v>
      </c>
      <c r="T59" s="479">
        <v>6993364.1985900002</v>
      </c>
      <c r="U59" s="479">
        <v>6673389.6189890001</v>
      </c>
      <c r="V59" s="479">
        <v>6927778.2836659998</v>
      </c>
      <c r="W59" s="479">
        <v>6530477.0411529997</v>
      </c>
      <c r="X59" s="479">
        <v>6754193.8933030004</v>
      </c>
      <c r="Y59" s="479">
        <v>6927778.2836659998</v>
      </c>
      <c r="Z59" s="479"/>
      <c r="AA59" s="479"/>
      <c r="AB59" s="479"/>
      <c r="AC59" s="479">
        <v>7140770</v>
      </c>
      <c r="AD59" s="479">
        <v>7778660</v>
      </c>
      <c r="AE59" s="479">
        <v>7538739</v>
      </c>
      <c r="AF59" s="479">
        <v>7749051</v>
      </c>
      <c r="AG59" s="479">
        <v>7419032</v>
      </c>
      <c r="AH59" s="479">
        <v>7322636</v>
      </c>
      <c r="AI59" s="479">
        <v>6993364</v>
      </c>
      <c r="AJ59" s="479">
        <v>6673390</v>
      </c>
      <c r="AK59" s="479">
        <v>6927778.2836659998</v>
      </c>
      <c r="AL59" s="479">
        <v>6530477.0411529997</v>
      </c>
      <c r="AM59" s="479">
        <v>6754193.8933030004</v>
      </c>
      <c r="AN59" s="479">
        <v>6933953.3937999997</v>
      </c>
      <c r="AQ59" s="341"/>
    </row>
    <row r="60" spans="2:43" s="141" customFormat="1" x14ac:dyDescent="0.3">
      <c r="B60" s="61" t="s">
        <v>294</v>
      </c>
      <c r="C60" s="141" t="s">
        <v>334</v>
      </c>
      <c r="D60" s="479">
        <f t="shared" si="5"/>
        <v>7140769.8098520003</v>
      </c>
      <c r="E60" s="479">
        <f t="shared" si="5"/>
        <v>7419032.4374930002</v>
      </c>
      <c r="F60" s="479">
        <f t="shared" si="5"/>
        <v>6927778.2836659998</v>
      </c>
      <c r="G60" s="217"/>
      <c r="H60" s="479">
        <f t="shared" si="3"/>
        <v>7140770</v>
      </c>
      <c r="I60" s="479">
        <f t="shared" si="6"/>
        <v>7419032</v>
      </c>
      <c r="J60" s="479">
        <f t="shared" si="6"/>
        <v>6933953.3937999997</v>
      </c>
      <c r="M60" s="479"/>
      <c r="N60" s="479">
        <v>7140769.8098520003</v>
      </c>
      <c r="O60" s="479">
        <v>7778660.2554900004</v>
      </c>
      <c r="P60" s="479">
        <v>7538738.6856009997</v>
      </c>
      <c r="Q60" s="479">
        <v>7749051.2225190001</v>
      </c>
      <c r="R60" s="479">
        <v>7419032.4374930002</v>
      </c>
      <c r="S60" s="479">
        <v>7322635.7196119996</v>
      </c>
      <c r="T60" s="479">
        <v>6993364.1985900002</v>
      </c>
      <c r="U60" s="479">
        <v>6673389.6189890001</v>
      </c>
      <c r="V60" s="479">
        <v>6927778.2836659998</v>
      </c>
      <c r="W60" s="479">
        <v>6530477.0411529997</v>
      </c>
      <c r="X60" s="479">
        <v>6754193.8933030004</v>
      </c>
      <c r="Y60" s="479">
        <v>6927778.2836659998</v>
      </c>
      <c r="Z60" s="479"/>
      <c r="AA60" s="479"/>
      <c r="AB60" s="479"/>
      <c r="AC60" s="479">
        <v>7140770</v>
      </c>
      <c r="AD60" s="479">
        <v>7778660</v>
      </c>
      <c r="AE60" s="479">
        <v>7538739</v>
      </c>
      <c r="AF60" s="479">
        <v>7749051</v>
      </c>
      <c r="AG60" s="479">
        <v>7419032</v>
      </c>
      <c r="AH60" s="479">
        <v>7322636</v>
      </c>
      <c r="AI60" s="479">
        <v>6993364</v>
      </c>
      <c r="AJ60" s="479">
        <v>6673390</v>
      </c>
      <c r="AK60" s="479">
        <v>6927778.2836659998</v>
      </c>
      <c r="AL60" s="479">
        <v>6530477.0411529997</v>
      </c>
      <c r="AM60" s="479">
        <v>6754193.8933030004</v>
      </c>
      <c r="AN60" s="479">
        <v>6933953.3937999997</v>
      </c>
      <c r="AQ60" s="341"/>
    </row>
    <row r="61" spans="2:43" s="141" customFormat="1" x14ac:dyDescent="0.3">
      <c r="B61" s="61" t="s">
        <v>295</v>
      </c>
      <c r="C61" s="141" t="s">
        <v>335</v>
      </c>
      <c r="D61" s="479" t="str">
        <f t="shared" si="5"/>
        <v/>
      </c>
      <c r="E61" s="479" t="str">
        <f t="shared" si="5"/>
        <v/>
      </c>
      <c r="F61" s="479" t="str">
        <f t="shared" si="5"/>
        <v/>
      </c>
      <c r="G61" s="217"/>
      <c r="H61" s="479" t="str">
        <f t="shared" si="3"/>
        <v/>
      </c>
      <c r="I61" s="479" t="str">
        <f t="shared" si="6"/>
        <v/>
      </c>
      <c r="J61" s="479" t="str">
        <f t="shared" si="6"/>
        <v/>
      </c>
      <c r="M61" s="479"/>
      <c r="N61" s="479">
        <v>0</v>
      </c>
      <c r="O61" s="479">
        <v>0</v>
      </c>
      <c r="P61" s="479">
        <v>0</v>
      </c>
      <c r="Q61" s="479">
        <v>0</v>
      </c>
      <c r="R61" s="479">
        <v>0</v>
      </c>
      <c r="S61" s="479">
        <v>0</v>
      </c>
      <c r="T61" s="479">
        <v>0</v>
      </c>
      <c r="U61" s="479">
        <v>0</v>
      </c>
      <c r="V61" s="479">
        <v>0</v>
      </c>
      <c r="W61" s="479">
        <v>0</v>
      </c>
      <c r="X61" s="479">
        <v>0</v>
      </c>
      <c r="Y61" s="479">
        <v>0</v>
      </c>
      <c r="Z61" s="479"/>
      <c r="AA61" s="479"/>
      <c r="AB61" s="479"/>
      <c r="AC61" s="479">
        <v>0</v>
      </c>
      <c r="AD61" s="479">
        <v>0</v>
      </c>
      <c r="AE61" s="479">
        <v>0</v>
      </c>
      <c r="AF61" s="479">
        <v>0</v>
      </c>
      <c r="AG61" s="479">
        <v>0</v>
      </c>
      <c r="AH61" s="479">
        <v>0</v>
      </c>
      <c r="AI61" s="479">
        <v>0</v>
      </c>
      <c r="AJ61" s="479">
        <v>0</v>
      </c>
      <c r="AK61" s="479">
        <v>0</v>
      </c>
      <c r="AL61" s="479">
        <v>0</v>
      </c>
      <c r="AM61" s="479">
        <v>0</v>
      </c>
      <c r="AN61" s="479" t="s">
        <v>1292</v>
      </c>
      <c r="AQ61" s="341"/>
    </row>
    <row r="62" spans="2:43" s="141" customFormat="1" x14ac:dyDescent="0.3">
      <c r="B62" s="61" t="s">
        <v>498</v>
      </c>
      <c r="C62" s="141" t="s">
        <v>344</v>
      </c>
      <c r="D62" s="479">
        <f t="shared" si="5"/>
        <v>2590372.8909189999</v>
      </c>
      <c r="E62" s="479">
        <f t="shared" si="5"/>
        <v>2714380.2079719999</v>
      </c>
      <c r="F62" s="479">
        <f t="shared" si="5"/>
        <v>2527203.4624080001</v>
      </c>
      <c r="G62" s="217"/>
      <c r="H62" s="479">
        <f t="shared" si="3"/>
        <v>2590373</v>
      </c>
      <c r="I62" s="479">
        <f t="shared" si="6"/>
        <v>2714380</v>
      </c>
      <c r="J62" s="479">
        <f t="shared" si="6"/>
        <v>2218271.8428330002</v>
      </c>
      <c r="M62" s="479"/>
      <c r="N62" s="479">
        <v>2590372.8909189999</v>
      </c>
      <c r="O62" s="479">
        <v>2626319.921666</v>
      </c>
      <c r="P62" s="479">
        <v>2681026.0614590002</v>
      </c>
      <c r="Q62" s="479">
        <v>2761328.5161049999</v>
      </c>
      <c r="R62" s="479">
        <v>2714380.2079719999</v>
      </c>
      <c r="S62" s="479">
        <v>2689859.20548</v>
      </c>
      <c r="T62" s="479">
        <v>2564881.658324</v>
      </c>
      <c r="U62" s="479">
        <v>2609619.4069909998</v>
      </c>
      <c r="V62" s="479">
        <v>2527203.4624080001</v>
      </c>
      <c r="W62" s="479">
        <v>2335722.6665010001</v>
      </c>
      <c r="X62" s="479">
        <v>2313871.5551160001</v>
      </c>
      <c r="Y62" s="479">
        <v>2527203.4624080001</v>
      </c>
      <c r="Z62" s="479"/>
      <c r="AA62" s="479"/>
      <c r="AB62" s="479"/>
      <c r="AC62" s="479">
        <v>2590373</v>
      </c>
      <c r="AD62" s="479">
        <v>2626320</v>
      </c>
      <c r="AE62" s="479">
        <v>2681026</v>
      </c>
      <c r="AF62" s="479">
        <v>2761329</v>
      </c>
      <c r="AG62" s="479">
        <v>2714380</v>
      </c>
      <c r="AH62" s="479">
        <v>2689859</v>
      </c>
      <c r="AI62" s="479">
        <v>2564882</v>
      </c>
      <c r="AJ62" s="479">
        <v>2609619</v>
      </c>
      <c r="AK62" s="479">
        <v>2527203.4624080001</v>
      </c>
      <c r="AL62" s="479">
        <v>2335722.6665010001</v>
      </c>
      <c r="AM62" s="479">
        <v>2313871.5551160001</v>
      </c>
      <c r="AN62" s="479">
        <v>2218271.8428330002</v>
      </c>
      <c r="AQ62" s="341"/>
    </row>
    <row r="63" spans="2:43" s="141" customFormat="1" x14ac:dyDescent="0.3">
      <c r="B63" s="61" t="s">
        <v>499</v>
      </c>
      <c r="C63" s="141" t="s">
        <v>345</v>
      </c>
      <c r="D63" s="479">
        <f t="shared" si="5"/>
        <v>140392.002912</v>
      </c>
      <c r="E63" s="479">
        <f t="shared" si="5"/>
        <v>91316.334961</v>
      </c>
      <c r="F63" s="479">
        <f t="shared" si="5"/>
        <v>50830.335336999997</v>
      </c>
      <c r="G63" s="217"/>
      <c r="H63" s="479">
        <f t="shared" si="3"/>
        <v>140392</v>
      </c>
      <c r="I63" s="479">
        <f t="shared" si="6"/>
        <v>91316</v>
      </c>
      <c r="J63" s="479">
        <f t="shared" si="6"/>
        <v>150794.10961000001</v>
      </c>
      <c r="M63" s="479"/>
      <c r="N63" s="479">
        <v>140392.002912</v>
      </c>
      <c r="O63" s="479">
        <v>152135.80814400001</v>
      </c>
      <c r="P63" s="479">
        <v>182896.08852300001</v>
      </c>
      <c r="Q63" s="479">
        <v>162307.810902</v>
      </c>
      <c r="R63" s="479">
        <v>91316.334961</v>
      </c>
      <c r="S63" s="479">
        <v>91234.155096999995</v>
      </c>
      <c r="T63" s="479">
        <v>61083.965698</v>
      </c>
      <c r="U63" s="479">
        <v>50933.736770000003</v>
      </c>
      <c r="V63" s="479">
        <v>50830.335336999997</v>
      </c>
      <c r="W63" s="479">
        <v>139495.99839399999</v>
      </c>
      <c r="X63" s="479">
        <v>199996.53269699999</v>
      </c>
      <c r="Y63" s="479">
        <v>50830.335336999997</v>
      </c>
      <c r="Z63" s="479"/>
      <c r="AA63" s="479"/>
      <c r="AB63" s="479"/>
      <c r="AC63" s="479">
        <v>140392</v>
      </c>
      <c r="AD63" s="479">
        <v>152136</v>
      </c>
      <c r="AE63" s="479">
        <v>182896</v>
      </c>
      <c r="AF63" s="479">
        <v>162308</v>
      </c>
      <c r="AG63" s="479">
        <v>91316</v>
      </c>
      <c r="AH63" s="479">
        <v>91234</v>
      </c>
      <c r="AI63" s="479">
        <v>61084</v>
      </c>
      <c r="AJ63" s="479">
        <v>50934</v>
      </c>
      <c r="AK63" s="479">
        <v>50830.335336999997</v>
      </c>
      <c r="AL63" s="479">
        <v>139495.99839399999</v>
      </c>
      <c r="AM63" s="479">
        <v>199996.53269699999</v>
      </c>
      <c r="AN63" s="479">
        <v>150794.10961000001</v>
      </c>
      <c r="AQ63" s="341"/>
    </row>
    <row r="64" spans="2:43" s="141" customFormat="1" x14ac:dyDescent="0.3">
      <c r="B64" s="61" t="s">
        <v>500</v>
      </c>
      <c r="C64" s="141" t="s">
        <v>346</v>
      </c>
      <c r="D64" s="479">
        <f t="shared" si="5"/>
        <v>464177.002278</v>
      </c>
      <c r="E64" s="479">
        <f t="shared" si="5"/>
        <v>419210.52302700002</v>
      </c>
      <c r="F64" s="479">
        <f t="shared" si="5"/>
        <v>456410.71009000001</v>
      </c>
      <c r="G64" s="217"/>
      <c r="H64" s="479">
        <f t="shared" si="3"/>
        <v>464177</v>
      </c>
      <c r="I64" s="479">
        <f t="shared" si="6"/>
        <v>419211</v>
      </c>
      <c r="J64" s="479">
        <f t="shared" si="6"/>
        <v>243595.874442</v>
      </c>
      <c r="M64" s="479"/>
      <c r="N64" s="479">
        <v>464177.002278</v>
      </c>
      <c r="O64" s="479">
        <v>460778.267307</v>
      </c>
      <c r="P64" s="479">
        <v>422206.41887499997</v>
      </c>
      <c r="Q64" s="479">
        <v>421354.04226999998</v>
      </c>
      <c r="R64" s="479">
        <v>419210.52302700002</v>
      </c>
      <c r="S64" s="479">
        <v>417532.31827500003</v>
      </c>
      <c r="T64" s="479">
        <v>383098.73526300001</v>
      </c>
      <c r="U64" s="479">
        <v>368685.89832400001</v>
      </c>
      <c r="V64" s="479">
        <v>456410.71009000001</v>
      </c>
      <c r="W64" s="479">
        <v>435498.72719000001</v>
      </c>
      <c r="X64" s="479">
        <v>339590.67953999998</v>
      </c>
      <c r="Y64" s="479">
        <v>456410.71009000001</v>
      </c>
      <c r="Z64" s="479"/>
      <c r="AA64" s="479"/>
      <c r="AB64" s="479"/>
      <c r="AC64" s="479">
        <v>464177</v>
      </c>
      <c r="AD64" s="479">
        <v>460778</v>
      </c>
      <c r="AE64" s="479">
        <v>422206</v>
      </c>
      <c r="AF64" s="479">
        <v>421354</v>
      </c>
      <c r="AG64" s="479">
        <v>419211</v>
      </c>
      <c r="AH64" s="479">
        <v>417532</v>
      </c>
      <c r="AI64" s="479">
        <v>383099</v>
      </c>
      <c r="AJ64" s="479">
        <v>368686</v>
      </c>
      <c r="AK64" s="479">
        <v>456410.71009000001</v>
      </c>
      <c r="AL64" s="479">
        <v>435498.72719000001</v>
      </c>
      <c r="AM64" s="479">
        <v>339590.67953999998</v>
      </c>
      <c r="AN64" s="479">
        <v>243595.874442</v>
      </c>
      <c r="AQ64" s="341"/>
    </row>
    <row r="65" spans="2:43" s="141" customFormat="1" x14ac:dyDescent="0.3">
      <c r="B65" s="61" t="s">
        <v>491</v>
      </c>
      <c r="C65" s="141" t="s">
        <v>336</v>
      </c>
      <c r="D65" s="479" t="str">
        <f t="shared" si="5"/>
        <v/>
      </c>
      <c r="E65" s="479" t="str">
        <f t="shared" si="5"/>
        <v/>
      </c>
      <c r="F65" s="479" t="str">
        <f t="shared" si="5"/>
        <v/>
      </c>
      <c r="G65" s="217"/>
      <c r="H65" s="479" t="str">
        <f t="shared" si="3"/>
        <v/>
      </c>
      <c r="I65" s="479" t="str">
        <f t="shared" si="6"/>
        <v/>
      </c>
      <c r="J65" s="479" t="str">
        <f t="shared" si="6"/>
        <v/>
      </c>
      <c r="M65" s="479"/>
      <c r="N65" s="479">
        <v>0</v>
      </c>
      <c r="O65" s="479">
        <v>0</v>
      </c>
      <c r="P65" s="479">
        <v>0</v>
      </c>
      <c r="Q65" s="479">
        <v>0</v>
      </c>
      <c r="R65" s="479">
        <v>0</v>
      </c>
      <c r="S65" s="479">
        <v>0</v>
      </c>
      <c r="T65" s="479">
        <v>0</v>
      </c>
      <c r="U65" s="479">
        <v>0</v>
      </c>
      <c r="V65" s="479">
        <v>0</v>
      </c>
      <c r="W65" s="479">
        <v>0</v>
      </c>
      <c r="X65" s="479">
        <v>0</v>
      </c>
      <c r="Y65" s="479">
        <v>0</v>
      </c>
      <c r="Z65" s="479"/>
      <c r="AA65" s="479"/>
      <c r="AB65" s="479"/>
      <c r="AC65" s="479">
        <v>0</v>
      </c>
      <c r="AD65" s="479">
        <v>0</v>
      </c>
      <c r="AE65" s="479">
        <v>0</v>
      </c>
      <c r="AF65" s="479">
        <v>0</v>
      </c>
      <c r="AG65" s="479">
        <v>0</v>
      </c>
      <c r="AH65" s="479">
        <v>0</v>
      </c>
      <c r="AI65" s="479">
        <v>0</v>
      </c>
      <c r="AJ65" s="479">
        <v>0</v>
      </c>
      <c r="AK65" s="479">
        <v>0</v>
      </c>
      <c r="AL65" s="479">
        <v>0</v>
      </c>
      <c r="AM65" s="479">
        <v>0</v>
      </c>
      <c r="AN65" s="479" t="s">
        <v>1292</v>
      </c>
      <c r="AQ65" s="341"/>
    </row>
    <row r="66" spans="2:43" s="141" customFormat="1" x14ac:dyDescent="0.3">
      <c r="B66" s="61" t="s">
        <v>492</v>
      </c>
      <c r="C66" s="141" t="s">
        <v>337</v>
      </c>
      <c r="D66" s="479">
        <f t="shared" ref="D66:F85" si="7">IF(HLOOKUP(D$5,$M$5:$Y$370,ROW()-ROW($F$4),FALSE)=0,"",HLOOKUP(D$5,$M$5:$Y$370,ROW()-ROW($F$4),FALSE))</f>
        <v>464177.002278</v>
      </c>
      <c r="E66" s="479">
        <f t="shared" si="7"/>
        <v>419210.52302700002</v>
      </c>
      <c r="F66" s="479">
        <f t="shared" si="7"/>
        <v>456410.71009000001</v>
      </c>
      <c r="G66" s="217"/>
      <c r="H66" s="479">
        <f t="shared" si="3"/>
        <v>464177</v>
      </c>
      <c r="I66" s="479">
        <f t="shared" ref="I66:J85" si="8">IF(HLOOKUP(I$5,$AB$5:$AN$370,ROW()-ROW($J$4),FALSE)=0,"",HLOOKUP(I$5,$AB$5:$AN$370,ROW()-ROW($J$4),FALSE))</f>
        <v>419211</v>
      </c>
      <c r="J66" s="479">
        <f t="shared" si="8"/>
        <v>243595.874442</v>
      </c>
      <c r="M66" s="479"/>
      <c r="N66" s="479">
        <v>464177.002278</v>
      </c>
      <c r="O66" s="479">
        <v>460778.267307</v>
      </c>
      <c r="P66" s="479">
        <v>422206.41887499997</v>
      </c>
      <c r="Q66" s="479">
        <v>421354.04226999998</v>
      </c>
      <c r="R66" s="479">
        <v>419210.52302700002</v>
      </c>
      <c r="S66" s="479">
        <v>417532.31827500003</v>
      </c>
      <c r="T66" s="479">
        <v>383098.73526300001</v>
      </c>
      <c r="U66" s="479">
        <v>368685.89832400001</v>
      </c>
      <c r="V66" s="479">
        <v>456410.71009000001</v>
      </c>
      <c r="W66" s="479">
        <v>435498.72719000001</v>
      </c>
      <c r="X66" s="479">
        <v>339590.67953999998</v>
      </c>
      <c r="Y66" s="479">
        <v>456410.71009000001</v>
      </c>
      <c r="Z66" s="479"/>
      <c r="AA66" s="479"/>
      <c r="AB66" s="479"/>
      <c r="AC66" s="479">
        <v>464177</v>
      </c>
      <c r="AD66" s="479">
        <v>460778</v>
      </c>
      <c r="AE66" s="479">
        <v>422206</v>
      </c>
      <c r="AF66" s="479">
        <v>421354</v>
      </c>
      <c r="AG66" s="479">
        <v>419211</v>
      </c>
      <c r="AH66" s="479">
        <v>417532</v>
      </c>
      <c r="AI66" s="479">
        <v>383099</v>
      </c>
      <c r="AJ66" s="479">
        <v>368686</v>
      </c>
      <c r="AK66" s="479">
        <v>456410.71009000001</v>
      </c>
      <c r="AL66" s="479">
        <v>435498.72719000001</v>
      </c>
      <c r="AM66" s="479">
        <v>339590.67953999998</v>
      </c>
      <c r="AN66" s="479">
        <v>243595.874442</v>
      </c>
      <c r="AQ66" s="341"/>
    </row>
    <row r="67" spans="2:43" s="141" customFormat="1" x14ac:dyDescent="0.3">
      <c r="B67" s="61" t="s">
        <v>501</v>
      </c>
      <c r="C67" s="141" t="s">
        <v>347</v>
      </c>
      <c r="D67" s="479" t="str">
        <f t="shared" si="7"/>
        <v/>
      </c>
      <c r="E67" s="479" t="str">
        <f t="shared" si="7"/>
        <v/>
      </c>
      <c r="F67" s="479" t="str">
        <f t="shared" si="7"/>
        <v/>
      </c>
      <c r="G67" s="217"/>
      <c r="H67" s="479" t="str">
        <f t="shared" si="3"/>
        <v/>
      </c>
      <c r="I67" s="479" t="str">
        <f t="shared" si="8"/>
        <v/>
      </c>
      <c r="J67" s="479" t="str">
        <f t="shared" si="8"/>
        <v/>
      </c>
      <c r="M67" s="479"/>
      <c r="N67" s="479">
        <v>0</v>
      </c>
      <c r="O67" s="479">
        <v>0</v>
      </c>
      <c r="P67" s="479">
        <v>0</v>
      </c>
      <c r="Q67" s="479">
        <v>0</v>
      </c>
      <c r="R67" s="479">
        <v>0</v>
      </c>
      <c r="S67" s="479">
        <v>0</v>
      </c>
      <c r="T67" s="479">
        <v>0</v>
      </c>
      <c r="U67" s="479">
        <v>0</v>
      </c>
      <c r="V67" s="479">
        <v>0</v>
      </c>
      <c r="W67" s="479">
        <v>0</v>
      </c>
      <c r="X67" s="479">
        <v>0</v>
      </c>
      <c r="Y67" s="479">
        <v>0</v>
      </c>
      <c r="Z67" s="479"/>
      <c r="AA67" s="479"/>
      <c r="AB67" s="479"/>
      <c r="AC67" s="479">
        <v>0</v>
      </c>
      <c r="AD67" s="479">
        <v>0</v>
      </c>
      <c r="AE67" s="479">
        <v>0</v>
      </c>
      <c r="AF67" s="479">
        <v>0</v>
      </c>
      <c r="AG67" s="479">
        <v>0</v>
      </c>
      <c r="AH67" s="479">
        <v>0</v>
      </c>
      <c r="AI67" s="479">
        <v>0</v>
      </c>
      <c r="AJ67" s="479">
        <v>0</v>
      </c>
      <c r="AK67" s="479">
        <v>0</v>
      </c>
      <c r="AL67" s="479">
        <v>0</v>
      </c>
      <c r="AM67" s="479">
        <v>0</v>
      </c>
      <c r="AN67" s="479" t="s">
        <v>1292</v>
      </c>
      <c r="AQ67" s="341"/>
    </row>
    <row r="68" spans="2:43" s="141" customFormat="1" x14ac:dyDescent="0.3">
      <c r="B68" s="61" t="s">
        <v>823</v>
      </c>
      <c r="C68" s="141" t="s">
        <v>348</v>
      </c>
      <c r="D68" s="479">
        <f t="shared" si="7"/>
        <v>1327845.6600540001</v>
      </c>
      <c r="E68" s="479">
        <f t="shared" si="7"/>
        <v>1325243.8333060001</v>
      </c>
      <c r="F68" s="479">
        <f t="shared" si="7"/>
        <v>1264231.5892459999</v>
      </c>
      <c r="G68" s="217"/>
      <c r="H68" s="479">
        <f t="shared" si="3"/>
        <v>1327846</v>
      </c>
      <c r="I68" s="479">
        <f t="shared" si="8"/>
        <v>1325244</v>
      </c>
      <c r="J68" s="479">
        <f t="shared" si="8"/>
        <v>1711003.6081869998</v>
      </c>
      <c r="M68" s="479"/>
      <c r="N68" s="479">
        <v>1327845.6600540001</v>
      </c>
      <c r="O68" s="479">
        <v>1308672.5617279999</v>
      </c>
      <c r="P68" s="479">
        <v>1228941.448358</v>
      </c>
      <c r="Q68" s="479">
        <v>1348076.2127380001</v>
      </c>
      <c r="R68" s="479">
        <v>1325243.8333060001</v>
      </c>
      <c r="S68" s="479">
        <v>1292807.691628</v>
      </c>
      <c r="T68" s="479">
        <v>1282998.9044319999</v>
      </c>
      <c r="U68" s="479">
        <v>1261613.6460160001</v>
      </c>
      <c r="V68" s="479">
        <v>1264231.5892459999</v>
      </c>
      <c r="W68" s="479">
        <v>1591527.5959650001</v>
      </c>
      <c r="X68" s="479">
        <v>1678926.488715</v>
      </c>
      <c r="Y68" s="479">
        <v>1264231.5892459999</v>
      </c>
      <c r="Z68" s="479"/>
      <c r="AA68" s="479"/>
      <c r="AB68" s="479"/>
      <c r="AC68" s="479">
        <v>1327846</v>
      </c>
      <c r="AD68" s="479">
        <v>1308673</v>
      </c>
      <c r="AE68" s="479">
        <v>1228941</v>
      </c>
      <c r="AF68" s="479">
        <v>1348076</v>
      </c>
      <c r="AG68" s="479">
        <v>1325244</v>
      </c>
      <c r="AH68" s="479">
        <v>1292808</v>
      </c>
      <c r="AI68" s="479">
        <v>1282999</v>
      </c>
      <c r="AJ68" s="479">
        <v>1261614</v>
      </c>
      <c r="AK68" s="479">
        <v>1264231.5892459999</v>
      </c>
      <c r="AL68" s="479">
        <v>1591527.5959650001</v>
      </c>
      <c r="AM68" s="479">
        <v>1678926.488715</v>
      </c>
      <c r="AN68" s="479">
        <v>1711003.6081869998</v>
      </c>
      <c r="AQ68" s="341"/>
    </row>
    <row r="69" spans="2:43" s="141" customFormat="1" x14ac:dyDescent="0.3">
      <c r="B69" s="61" t="s">
        <v>502</v>
      </c>
      <c r="C69" s="141" t="s">
        <v>338</v>
      </c>
      <c r="D69" s="479" t="str">
        <f t="shared" si="7"/>
        <v/>
      </c>
      <c r="E69" s="479" t="str">
        <f t="shared" si="7"/>
        <v/>
      </c>
      <c r="F69" s="479" t="str">
        <f t="shared" si="7"/>
        <v/>
      </c>
      <c r="G69" s="217"/>
      <c r="H69" s="479" t="str">
        <f t="shared" si="3"/>
        <v/>
      </c>
      <c r="I69" s="479" t="str">
        <f t="shared" si="8"/>
        <v/>
      </c>
      <c r="J69" s="479" t="str">
        <f t="shared" si="8"/>
        <v/>
      </c>
      <c r="M69" s="479"/>
      <c r="N69" s="479">
        <v>0</v>
      </c>
      <c r="O69" s="479">
        <v>0</v>
      </c>
      <c r="P69" s="479">
        <v>0</v>
      </c>
      <c r="Q69" s="479">
        <v>0</v>
      </c>
      <c r="R69" s="479">
        <v>0</v>
      </c>
      <c r="S69" s="479">
        <v>0</v>
      </c>
      <c r="T69" s="479">
        <v>0</v>
      </c>
      <c r="U69" s="479">
        <v>0</v>
      </c>
      <c r="V69" s="479">
        <v>0</v>
      </c>
      <c r="W69" s="479">
        <v>0</v>
      </c>
      <c r="X69" s="479">
        <v>0</v>
      </c>
      <c r="Y69" s="479">
        <v>0</v>
      </c>
      <c r="Z69" s="479"/>
      <c r="AA69" s="479"/>
      <c r="AB69" s="479"/>
      <c r="AC69" s="479">
        <v>0</v>
      </c>
      <c r="AD69" s="479">
        <v>0</v>
      </c>
      <c r="AE69" s="479">
        <v>0</v>
      </c>
      <c r="AF69" s="479">
        <v>0</v>
      </c>
      <c r="AG69" s="479">
        <v>0</v>
      </c>
      <c r="AH69" s="479">
        <v>0</v>
      </c>
      <c r="AI69" s="479">
        <v>0</v>
      </c>
      <c r="AJ69" s="479">
        <v>0</v>
      </c>
      <c r="AK69" s="479">
        <v>0</v>
      </c>
      <c r="AL69" s="479">
        <v>0</v>
      </c>
      <c r="AM69" s="479">
        <v>0</v>
      </c>
      <c r="AN69" s="479" t="s">
        <v>1292</v>
      </c>
      <c r="AQ69" s="341"/>
    </row>
    <row r="70" spans="2:43" s="141" customFormat="1" x14ac:dyDescent="0.3">
      <c r="B70" s="61" t="s">
        <v>494</v>
      </c>
      <c r="C70" s="141" t="s">
        <v>339</v>
      </c>
      <c r="D70" s="479">
        <f t="shared" si="7"/>
        <v>1327845.6600540001</v>
      </c>
      <c r="E70" s="479">
        <f t="shared" si="7"/>
        <v>1325243.8333060001</v>
      </c>
      <c r="F70" s="479">
        <f t="shared" si="7"/>
        <v>1264231.5892459999</v>
      </c>
      <c r="G70" s="217"/>
      <c r="H70" s="479">
        <f t="shared" si="3"/>
        <v>1327846</v>
      </c>
      <c r="I70" s="479">
        <f t="shared" si="8"/>
        <v>1325244</v>
      </c>
      <c r="J70" s="479">
        <f t="shared" si="8"/>
        <v>1711003.6081869998</v>
      </c>
      <c r="M70" s="479"/>
      <c r="N70" s="479">
        <v>1327845.6600540001</v>
      </c>
      <c r="O70" s="479">
        <v>1308672.5617279999</v>
      </c>
      <c r="P70" s="479">
        <v>1228941.448358</v>
      </c>
      <c r="Q70" s="479">
        <v>1348076.2127380001</v>
      </c>
      <c r="R70" s="479">
        <v>1325243.8333060001</v>
      </c>
      <c r="S70" s="479">
        <v>1292807.691628</v>
      </c>
      <c r="T70" s="479">
        <v>1282998.9044319999</v>
      </c>
      <c r="U70" s="479">
        <v>1261613.6460160001</v>
      </c>
      <c r="V70" s="479">
        <v>1264231.5892459999</v>
      </c>
      <c r="W70" s="479">
        <v>1591527.5959650001</v>
      </c>
      <c r="X70" s="479">
        <v>1678926.488715</v>
      </c>
      <c r="Y70" s="479">
        <v>1264231.5892459999</v>
      </c>
      <c r="Z70" s="479"/>
      <c r="AA70" s="479"/>
      <c r="AB70" s="479"/>
      <c r="AC70" s="479">
        <v>1327846</v>
      </c>
      <c r="AD70" s="479">
        <v>1308673</v>
      </c>
      <c r="AE70" s="479">
        <v>1228941</v>
      </c>
      <c r="AF70" s="479">
        <v>1348076</v>
      </c>
      <c r="AG70" s="479">
        <v>1325244</v>
      </c>
      <c r="AH70" s="479">
        <v>1292808</v>
      </c>
      <c r="AI70" s="479">
        <v>1282999</v>
      </c>
      <c r="AJ70" s="479">
        <v>1261614</v>
      </c>
      <c r="AK70" s="479">
        <v>1264231.5892459999</v>
      </c>
      <c r="AL70" s="479">
        <v>1591527.5959650001</v>
      </c>
      <c r="AM70" s="479">
        <v>1678926.488715</v>
      </c>
      <c r="AN70" s="479">
        <v>1711003.6081869998</v>
      </c>
      <c r="AQ70" s="341"/>
    </row>
    <row r="71" spans="2:43" s="141" customFormat="1" x14ac:dyDescent="0.3">
      <c r="B71" s="61" t="s">
        <v>296</v>
      </c>
      <c r="C71" s="141" t="s">
        <v>340</v>
      </c>
      <c r="D71" s="479" t="str">
        <f t="shared" si="7"/>
        <v/>
      </c>
      <c r="E71" s="479" t="str">
        <f t="shared" si="7"/>
        <v/>
      </c>
      <c r="F71" s="479" t="str">
        <f t="shared" si="7"/>
        <v/>
      </c>
      <c r="G71" s="217"/>
      <c r="H71" s="479" t="str">
        <f t="shared" si="3"/>
        <v/>
      </c>
      <c r="I71" s="479" t="str">
        <f t="shared" si="8"/>
        <v/>
      </c>
      <c r="J71" s="479" t="str">
        <f t="shared" si="8"/>
        <v/>
      </c>
      <c r="M71" s="479"/>
      <c r="N71" s="479">
        <v>0</v>
      </c>
      <c r="O71" s="479">
        <v>0</v>
      </c>
      <c r="P71" s="479">
        <v>0</v>
      </c>
      <c r="Q71" s="479">
        <v>0</v>
      </c>
      <c r="R71" s="479">
        <v>0</v>
      </c>
      <c r="S71" s="479">
        <v>0</v>
      </c>
      <c r="T71" s="479">
        <v>0</v>
      </c>
      <c r="U71" s="479">
        <v>0</v>
      </c>
      <c r="V71" s="479">
        <v>0</v>
      </c>
      <c r="W71" s="479">
        <v>0</v>
      </c>
      <c r="X71" s="479">
        <v>0</v>
      </c>
      <c r="Y71" s="479">
        <v>0</v>
      </c>
      <c r="Z71" s="479"/>
      <c r="AA71" s="479"/>
      <c r="AB71" s="479"/>
      <c r="AC71" s="479">
        <v>0</v>
      </c>
      <c r="AD71" s="479">
        <v>0</v>
      </c>
      <c r="AE71" s="479">
        <v>0</v>
      </c>
      <c r="AF71" s="479">
        <v>0</v>
      </c>
      <c r="AG71" s="479">
        <v>0</v>
      </c>
      <c r="AH71" s="479">
        <v>0</v>
      </c>
      <c r="AI71" s="479">
        <v>0</v>
      </c>
      <c r="AJ71" s="479">
        <v>0</v>
      </c>
      <c r="AK71" s="479">
        <v>0</v>
      </c>
      <c r="AL71" s="479">
        <v>0</v>
      </c>
      <c r="AM71" s="479">
        <v>0</v>
      </c>
      <c r="AN71" s="479" t="s">
        <v>1292</v>
      </c>
      <c r="AQ71" s="341"/>
    </row>
    <row r="72" spans="2:43" s="141" customFormat="1" x14ac:dyDescent="0.3">
      <c r="B72" s="61" t="s">
        <v>297</v>
      </c>
      <c r="C72" s="141" t="s">
        <v>341</v>
      </c>
      <c r="D72" s="479" t="str">
        <f t="shared" si="7"/>
        <v/>
      </c>
      <c r="E72" s="479" t="str">
        <f t="shared" si="7"/>
        <v/>
      </c>
      <c r="F72" s="479" t="str">
        <f t="shared" si="7"/>
        <v/>
      </c>
      <c r="G72" s="217"/>
      <c r="H72" s="479" t="str">
        <f t="shared" si="3"/>
        <v/>
      </c>
      <c r="I72" s="479" t="str">
        <f t="shared" si="8"/>
        <v/>
      </c>
      <c r="J72" s="479" t="str">
        <f t="shared" si="8"/>
        <v/>
      </c>
      <c r="M72" s="479"/>
      <c r="N72" s="479">
        <v>0</v>
      </c>
      <c r="O72" s="479">
        <v>0</v>
      </c>
      <c r="P72" s="479">
        <v>0</v>
      </c>
      <c r="Q72" s="479">
        <v>0</v>
      </c>
      <c r="R72" s="479">
        <v>0</v>
      </c>
      <c r="S72" s="479">
        <v>0</v>
      </c>
      <c r="T72" s="479">
        <v>0</v>
      </c>
      <c r="U72" s="479">
        <v>0</v>
      </c>
      <c r="V72" s="479">
        <v>0</v>
      </c>
      <c r="W72" s="479">
        <v>0</v>
      </c>
      <c r="X72" s="479">
        <v>0</v>
      </c>
      <c r="Y72" s="479">
        <v>0</v>
      </c>
      <c r="Z72" s="479"/>
      <c r="AA72" s="479"/>
      <c r="AB72" s="479"/>
      <c r="AC72" s="479">
        <v>0</v>
      </c>
      <c r="AD72" s="479">
        <v>0</v>
      </c>
      <c r="AE72" s="479">
        <v>0</v>
      </c>
      <c r="AF72" s="479">
        <v>0</v>
      </c>
      <c r="AG72" s="479">
        <v>0</v>
      </c>
      <c r="AH72" s="479">
        <v>0</v>
      </c>
      <c r="AI72" s="479">
        <v>0</v>
      </c>
      <c r="AJ72" s="479">
        <v>0</v>
      </c>
      <c r="AK72" s="479">
        <v>0</v>
      </c>
      <c r="AL72" s="479">
        <v>0</v>
      </c>
      <c r="AM72" s="479">
        <v>0</v>
      </c>
      <c r="AN72" s="479" t="s">
        <v>1292</v>
      </c>
      <c r="AQ72" s="341"/>
    </row>
    <row r="73" spans="2:43" s="141" customFormat="1" x14ac:dyDescent="0.3">
      <c r="B73" s="61" t="s">
        <v>298</v>
      </c>
      <c r="C73" s="141" t="s">
        <v>342</v>
      </c>
      <c r="D73" s="479" t="str">
        <f t="shared" si="7"/>
        <v/>
      </c>
      <c r="E73" s="479" t="str">
        <f t="shared" si="7"/>
        <v/>
      </c>
      <c r="F73" s="479" t="str">
        <f t="shared" si="7"/>
        <v/>
      </c>
      <c r="G73" s="217"/>
      <c r="H73" s="479" t="str">
        <f t="shared" si="3"/>
        <v/>
      </c>
      <c r="I73" s="479" t="str">
        <f t="shared" si="8"/>
        <v/>
      </c>
      <c r="J73" s="479" t="str">
        <f t="shared" si="8"/>
        <v/>
      </c>
      <c r="M73" s="479"/>
      <c r="N73" s="479">
        <v>0</v>
      </c>
      <c r="O73" s="479">
        <v>0</v>
      </c>
      <c r="P73" s="479">
        <v>0</v>
      </c>
      <c r="Q73" s="479">
        <v>0</v>
      </c>
      <c r="R73" s="479">
        <v>0</v>
      </c>
      <c r="S73" s="479">
        <v>0</v>
      </c>
      <c r="T73" s="479">
        <v>0</v>
      </c>
      <c r="U73" s="479">
        <v>0</v>
      </c>
      <c r="V73" s="479">
        <v>0</v>
      </c>
      <c r="W73" s="479">
        <v>0</v>
      </c>
      <c r="X73" s="479">
        <v>0</v>
      </c>
      <c r="Y73" s="479">
        <v>0</v>
      </c>
      <c r="Z73" s="479"/>
      <c r="AA73" s="479"/>
      <c r="AB73" s="479"/>
      <c r="AC73" s="479">
        <v>0</v>
      </c>
      <c r="AD73" s="479">
        <v>0</v>
      </c>
      <c r="AE73" s="479">
        <v>0</v>
      </c>
      <c r="AF73" s="479">
        <v>0</v>
      </c>
      <c r="AG73" s="479">
        <v>0</v>
      </c>
      <c r="AH73" s="479">
        <v>0</v>
      </c>
      <c r="AI73" s="479">
        <v>0</v>
      </c>
      <c r="AJ73" s="479">
        <v>0</v>
      </c>
      <c r="AK73" s="479">
        <v>0</v>
      </c>
      <c r="AL73" s="479">
        <v>0</v>
      </c>
      <c r="AM73" s="479">
        <v>0</v>
      </c>
      <c r="AN73" s="479" t="s">
        <v>1292</v>
      </c>
      <c r="AQ73" s="341"/>
    </row>
    <row r="74" spans="2:43" s="141" customFormat="1" x14ac:dyDescent="0.3">
      <c r="B74" s="61" t="s">
        <v>503</v>
      </c>
      <c r="C74" s="141" t="s">
        <v>349</v>
      </c>
      <c r="D74" s="479" t="str">
        <f t="shared" si="7"/>
        <v/>
      </c>
      <c r="E74" s="479" t="str">
        <f t="shared" si="7"/>
        <v/>
      </c>
      <c r="F74" s="479" t="str">
        <f t="shared" si="7"/>
        <v/>
      </c>
      <c r="G74" s="217"/>
      <c r="H74" s="479" t="str">
        <f t="shared" si="3"/>
        <v/>
      </c>
      <c r="I74" s="479" t="str">
        <f t="shared" si="8"/>
        <v/>
      </c>
      <c r="J74" s="479" t="str">
        <f t="shared" si="8"/>
        <v/>
      </c>
      <c r="M74" s="479"/>
      <c r="N74" s="479">
        <v>0</v>
      </c>
      <c r="O74" s="479">
        <v>0</v>
      </c>
      <c r="P74" s="479">
        <v>0</v>
      </c>
      <c r="Q74" s="479">
        <v>0</v>
      </c>
      <c r="R74" s="479">
        <v>0</v>
      </c>
      <c r="S74" s="479">
        <v>0</v>
      </c>
      <c r="T74" s="479">
        <v>0</v>
      </c>
      <c r="U74" s="479">
        <v>0</v>
      </c>
      <c r="V74" s="479">
        <v>0</v>
      </c>
      <c r="W74" s="479">
        <v>0</v>
      </c>
      <c r="X74" s="479">
        <v>0</v>
      </c>
      <c r="Y74" s="479">
        <v>0</v>
      </c>
      <c r="Z74" s="479"/>
      <c r="AA74" s="479"/>
      <c r="AB74" s="479"/>
      <c r="AC74" s="479">
        <v>0</v>
      </c>
      <c r="AD74" s="479">
        <v>0</v>
      </c>
      <c r="AE74" s="479">
        <v>0</v>
      </c>
      <c r="AF74" s="479">
        <v>0</v>
      </c>
      <c r="AG74" s="479">
        <v>0</v>
      </c>
      <c r="AH74" s="479">
        <v>0</v>
      </c>
      <c r="AI74" s="479">
        <v>0</v>
      </c>
      <c r="AJ74" s="479">
        <v>0</v>
      </c>
      <c r="AK74" s="479">
        <v>0</v>
      </c>
      <c r="AL74" s="479">
        <v>0</v>
      </c>
      <c r="AM74" s="479">
        <v>0</v>
      </c>
      <c r="AN74" s="479" t="s">
        <v>1292</v>
      </c>
      <c r="AQ74" s="341"/>
    </row>
    <row r="75" spans="2:43" s="307" customFormat="1" x14ac:dyDescent="0.3">
      <c r="B75" s="78" t="s">
        <v>828</v>
      </c>
      <c r="C75" s="307" t="s">
        <v>829</v>
      </c>
      <c r="D75" s="477" t="str">
        <f t="shared" si="7"/>
        <v/>
      </c>
      <c r="E75" s="477" t="str">
        <f t="shared" si="7"/>
        <v/>
      </c>
      <c r="F75" s="477" t="str">
        <f t="shared" si="7"/>
        <v/>
      </c>
      <c r="G75" s="478"/>
      <c r="H75" s="477" t="str">
        <f t="shared" si="3"/>
        <v/>
      </c>
      <c r="I75" s="477" t="str">
        <f t="shared" si="8"/>
        <v/>
      </c>
      <c r="J75" s="477">
        <f t="shared" si="8"/>
        <v>106223.499771</v>
      </c>
      <c r="M75" s="477"/>
      <c r="N75" s="477">
        <v>0</v>
      </c>
      <c r="O75" s="477">
        <v>0</v>
      </c>
      <c r="P75" s="477">
        <v>0</v>
      </c>
      <c r="Q75" s="477">
        <v>0</v>
      </c>
      <c r="R75" s="477">
        <v>0</v>
      </c>
      <c r="S75" s="477">
        <v>0</v>
      </c>
      <c r="T75" s="477">
        <v>0</v>
      </c>
      <c r="U75" s="477">
        <v>0</v>
      </c>
      <c r="V75" s="477">
        <v>0</v>
      </c>
      <c r="W75" s="477">
        <v>107048.597708</v>
      </c>
      <c r="X75" s="477">
        <v>106681.449815</v>
      </c>
      <c r="Y75" s="477">
        <v>0</v>
      </c>
      <c r="Z75" s="477"/>
      <c r="AA75" s="477"/>
      <c r="AB75" s="477"/>
      <c r="AC75" s="477">
        <v>0</v>
      </c>
      <c r="AD75" s="477">
        <v>0</v>
      </c>
      <c r="AE75" s="477">
        <v>0</v>
      </c>
      <c r="AF75" s="477">
        <v>0</v>
      </c>
      <c r="AG75" s="477">
        <v>0</v>
      </c>
      <c r="AH75" s="477">
        <v>0</v>
      </c>
      <c r="AI75" s="477">
        <v>0</v>
      </c>
      <c r="AJ75" s="477">
        <v>0</v>
      </c>
      <c r="AK75" s="477">
        <v>0</v>
      </c>
      <c r="AL75" s="477">
        <v>107048.597708</v>
      </c>
      <c r="AM75" s="477">
        <v>106681.449815</v>
      </c>
      <c r="AN75" s="477">
        <v>106223.499771</v>
      </c>
      <c r="AQ75" s="412"/>
    </row>
    <row r="76" spans="2:43" s="141" customFormat="1" x14ac:dyDescent="0.3">
      <c r="B76" s="61" t="s">
        <v>830</v>
      </c>
      <c r="C76" s="141" t="s">
        <v>831</v>
      </c>
      <c r="D76" s="479" t="str">
        <f t="shared" si="7"/>
        <v/>
      </c>
      <c r="E76" s="479" t="str">
        <f t="shared" si="7"/>
        <v/>
      </c>
      <c r="F76" s="479" t="str">
        <f t="shared" si="7"/>
        <v/>
      </c>
      <c r="G76" s="217"/>
      <c r="H76" s="479" t="str">
        <f t="shared" si="3"/>
        <v/>
      </c>
      <c r="I76" s="479" t="str">
        <f t="shared" si="8"/>
        <v/>
      </c>
      <c r="J76" s="479">
        <f t="shared" si="8"/>
        <v>-26.792221999999999</v>
      </c>
      <c r="M76" s="479"/>
      <c r="N76" s="479">
        <v>0</v>
      </c>
      <c r="O76" s="479">
        <v>0</v>
      </c>
      <c r="P76" s="479">
        <v>0</v>
      </c>
      <c r="Q76" s="479">
        <v>0</v>
      </c>
      <c r="R76" s="479">
        <v>0</v>
      </c>
      <c r="S76" s="479">
        <v>0</v>
      </c>
      <c r="T76" s="479">
        <v>0</v>
      </c>
      <c r="U76" s="479">
        <v>0</v>
      </c>
      <c r="V76" s="479">
        <v>0</v>
      </c>
      <c r="W76" s="479">
        <v>-32.410288999999999</v>
      </c>
      <c r="X76" s="479">
        <v>-31.970178000000001</v>
      </c>
      <c r="Y76" s="479">
        <v>0</v>
      </c>
      <c r="Z76" s="479"/>
      <c r="AA76" s="479"/>
      <c r="AB76" s="479"/>
      <c r="AC76" s="479">
        <v>0</v>
      </c>
      <c r="AD76" s="479">
        <v>0</v>
      </c>
      <c r="AE76" s="479">
        <v>0</v>
      </c>
      <c r="AF76" s="479">
        <v>0</v>
      </c>
      <c r="AG76" s="479">
        <v>0</v>
      </c>
      <c r="AH76" s="479">
        <v>0</v>
      </c>
      <c r="AI76" s="479">
        <v>0</v>
      </c>
      <c r="AJ76" s="479">
        <v>0</v>
      </c>
      <c r="AK76" s="479">
        <v>0</v>
      </c>
      <c r="AL76" s="479">
        <v>-32.410288999999999</v>
      </c>
      <c r="AM76" s="479">
        <v>-31.970178000000001</v>
      </c>
      <c r="AN76" s="479">
        <v>-26.792221999999999</v>
      </c>
      <c r="AQ76" s="341"/>
    </row>
    <row r="77" spans="2:43" s="141" customFormat="1" x14ac:dyDescent="0.3">
      <c r="B77" s="61" t="s">
        <v>504</v>
      </c>
      <c r="C77" s="141" t="s">
        <v>350</v>
      </c>
      <c r="D77" s="479" t="str">
        <f t="shared" si="7"/>
        <v/>
      </c>
      <c r="E77" s="479" t="str">
        <f t="shared" si="7"/>
        <v/>
      </c>
      <c r="F77" s="479" t="str">
        <f t="shared" si="7"/>
        <v/>
      </c>
      <c r="G77" s="217"/>
      <c r="H77" s="479" t="str">
        <f t="shared" si="3"/>
        <v/>
      </c>
      <c r="I77" s="479" t="str">
        <f t="shared" si="8"/>
        <v/>
      </c>
      <c r="J77" s="479" t="str">
        <f t="shared" si="8"/>
        <v/>
      </c>
      <c r="M77" s="479"/>
      <c r="N77" s="479">
        <v>0</v>
      </c>
      <c r="O77" s="479">
        <v>0</v>
      </c>
      <c r="P77" s="479">
        <v>0</v>
      </c>
      <c r="Q77" s="479">
        <v>0</v>
      </c>
      <c r="R77" s="479">
        <v>0</v>
      </c>
      <c r="S77" s="479">
        <v>0</v>
      </c>
      <c r="T77" s="479">
        <v>0</v>
      </c>
      <c r="U77" s="479">
        <v>0</v>
      </c>
      <c r="V77" s="479">
        <v>0</v>
      </c>
      <c r="W77" s="479">
        <v>0</v>
      </c>
      <c r="X77" s="479">
        <v>0</v>
      </c>
      <c r="Y77" s="479">
        <v>0</v>
      </c>
      <c r="Z77" s="479"/>
      <c r="AA77" s="479"/>
      <c r="AB77" s="479"/>
      <c r="AC77" s="479">
        <v>0</v>
      </c>
      <c r="AD77" s="479">
        <v>0</v>
      </c>
      <c r="AE77" s="479">
        <v>0</v>
      </c>
      <c r="AF77" s="479">
        <v>0</v>
      </c>
      <c r="AG77" s="479">
        <v>0</v>
      </c>
      <c r="AH77" s="479">
        <v>0</v>
      </c>
      <c r="AI77" s="479">
        <v>0</v>
      </c>
      <c r="AJ77" s="479">
        <v>0</v>
      </c>
      <c r="AK77" s="479">
        <v>0</v>
      </c>
      <c r="AL77" s="479">
        <v>0</v>
      </c>
      <c r="AM77" s="479">
        <v>0</v>
      </c>
      <c r="AN77" s="479" t="s">
        <v>1292</v>
      </c>
      <c r="AQ77" s="341"/>
    </row>
    <row r="78" spans="2:43" s="141" customFormat="1" x14ac:dyDescent="0.3">
      <c r="B78" s="61" t="s">
        <v>489</v>
      </c>
      <c r="C78" s="141" t="s">
        <v>334</v>
      </c>
      <c r="D78" s="479" t="str">
        <f t="shared" si="7"/>
        <v/>
      </c>
      <c r="E78" s="479" t="str">
        <f t="shared" si="7"/>
        <v/>
      </c>
      <c r="F78" s="479" t="str">
        <f t="shared" si="7"/>
        <v/>
      </c>
      <c r="G78" s="217"/>
      <c r="H78" s="479" t="str">
        <f t="shared" si="3"/>
        <v/>
      </c>
      <c r="I78" s="479" t="str">
        <f t="shared" si="8"/>
        <v/>
      </c>
      <c r="J78" s="479" t="str">
        <f t="shared" si="8"/>
        <v/>
      </c>
      <c r="M78" s="479"/>
      <c r="N78" s="479">
        <v>0</v>
      </c>
      <c r="O78" s="479">
        <v>0</v>
      </c>
      <c r="P78" s="479">
        <v>0</v>
      </c>
      <c r="Q78" s="479">
        <v>0</v>
      </c>
      <c r="R78" s="479">
        <v>0</v>
      </c>
      <c r="S78" s="479">
        <v>0</v>
      </c>
      <c r="T78" s="479">
        <v>0</v>
      </c>
      <c r="U78" s="479">
        <v>0</v>
      </c>
      <c r="V78" s="479">
        <v>0</v>
      </c>
      <c r="W78" s="479">
        <v>0</v>
      </c>
      <c r="X78" s="479">
        <v>0</v>
      </c>
      <c r="Y78" s="479">
        <v>0</v>
      </c>
      <c r="Z78" s="479"/>
      <c r="AA78" s="479"/>
      <c r="AB78" s="479"/>
      <c r="AC78" s="479">
        <v>0</v>
      </c>
      <c r="AD78" s="479">
        <v>0</v>
      </c>
      <c r="AE78" s="479">
        <v>0</v>
      </c>
      <c r="AF78" s="479">
        <v>0</v>
      </c>
      <c r="AG78" s="479">
        <v>0</v>
      </c>
      <c r="AH78" s="479">
        <v>0</v>
      </c>
      <c r="AI78" s="479">
        <v>0</v>
      </c>
      <c r="AJ78" s="479">
        <v>0</v>
      </c>
      <c r="AK78" s="479">
        <v>0</v>
      </c>
      <c r="AL78" s="479">
        <v>0</v>
      </c>
      <c r="AM78" s="479">
        <v>0</v>
      </c>
      <c r="AN78" s="479" t="s">
        <v>1292</v>
      </c>
      <c r="AQ78" s="341"/>
    </row>
    <row r="79" spans="2:43" s="141" customFormat="1" x14ac:dyDescent="0.3">
      <c r="B79" s="61" t="s">
        <v>490</v>
      </c>
      <c r="C79" s="141" t="s">
        <v>335</v>
      </c>
      <c r="D79" s="479" t="str">
        <f t="shared" si="7"/>
        <v/>
      </c>
      <c r="E79" s="479" t="str">
        <f t="shared" si="7"/>
        <v/>
      </c>
      <c r="F79" s="479" t="str">
        <f t="shared" si="7"/>
        <v/>
      </c>
      <c r="G79" s="217"/>
      <c r="H79" s="479" t="str">
        <f t="shared" si="3"/>
        <v/>
      </c>
      <c r="I79" s="479" t="str">
        <f t="shared" si="8"/>
        <v/>
      </c>
      <c r="J79" s="479" t="str">
        <f t="shared" si="8"/>
        <v/>
      </c>
      <c r="M79" s="479"/>
      <c r="N79" s="479">
        <v>0</v>
      </c>
      <c r="O79" s="479">
        <v>0</v>
      </c>
      <c r="P79" s="479">
        <v>0</v>
      </c>
      <c r="Q79" s="479">
        <v>0</v>
      </c>
      <c r="R79" s="479">
        <v>0</v>
      </c>
      <c r="S79" s="479">
        <v>0</v>
      </c>
      <c r="T79" s="479">
        <v>0</v>
      </c>
      <c r="U79" s="479">
        <v>0</v>
      </c>
      <c r="V79" s="479">
        <v>0</v>
      </c>
      <c r="W79" s="479">
        <v>0</v>
      </c>
      <c r="X79" s="479">
        <v>0</v>
      </c>
      <c r="Y79" s="479">
        <v>0</v>
      </c>
      <c r="Z79" s="479"/>
      <c r="AA79" s="479"/>
      <c r="AB79" s="479"/>
      <c r="AC79" s="479">
        <v>0</v>
      </c>
      <c r="AD79" s="479">
        <v>0</v>
      </c>
      <c r="AE79" s="479">
        <v>0</v>
      </c>
      <c r="AF79" s="479">
        <v>0</v>
      </c>
      <c r="AG79" s="479">
        <v>0</v>
      </c>
      <c r="AH79" s="479">
        <v>0</v>
      </c>
      <c r="AI79" s="479">
        <v>0</v>
      </c>
      <c r="AJ79" s="479">
        <v>0</v>
      </c>
      <c r="AK79" s="479">
        <v>0</v>
      </c>
      <c r="AL79" s="479">
        <v>0</v>
      </c>
      <c r="AM79" s="479">
        <v>0</v>
      </c>
      <c r="AN79" s="479" t="s">
        <v>1292</v>
      </c>
      <c r="AQ79" s="341"/>
    </row>
    <row r="80" spans="2:43" s="141" customFormat="1" x14ac:dyDescent="0.3">
      <c r="B80" s="61" t="s">
        <v>505</v>
      </c>
      <c r="C80" s="141" t="s">
        <v>351</v>
      </c>
      <c r="D80" s="479" t="str">
        <f t="shared" si="7"/>
        <v/>
      </c>
      <c r="E80" s="479" t="str">
        <f t="shared" si="7"/>
        <v/>
      </c>
      <c r="F80" s="479" t="str">
        <f t="shared" si="7"/>
        <v/>
      </c>
      <c r="G80" s="217"/>
      <c r="H80" s="479" t="str">
        <f t="shared" si="3"/>
        <v/>
      </c>
      <c r="I80" s="479" t="str">
        <f t="shared" si="8"/>
        <v/>
      </c>
      <c r="J80" s="479" t="str">
        <f t="shared" si="8"/>
        <v/>
      </c>
      <c r="M80" s="479"/>
      <c r="N80" s="479">
        <v>0</v>
      </c>
      <c r="O80" s="479">
        <v>0</v>
      </c>
      <c r="P80" s="479">
        <v>0</v>
      </c>
      <c r="Q80" s="479">
        <v>0</v>
      </c>
      <c r="R80" s="479">
        <v>0</v>
      </c>
      <c r="S80" s="479">
        <v>0</v>
      </c>
      <c r="T80" s="479">
        <v>0</v>
      </c>
      <c r="U80" s="479">
        <v>0</v>
      </c>
      <c r="V80" s="479">
        <v>0</v>
      </c>
      <c r="W80" s="479">
        <v>0</v>
      </c>
      <c r="X80" s="479">
        <v>0</v>
      </c>
      <c r="Y80" s="479">
        <v>0</v>
      </c>
      <c r="Z80" s="479"/>
      <c r="AA80" s="479"/>
      <c r="AB80" s="479"/>
      <c r="AC80" s="479">
        <v>0</v>
      </c>
      <c r="AD80" s="479">
        <v>0</v>
      </c>
      <c r="AE80" s="479">
        <v>0</v>
      </c>
      <c r="AF80" s="479">
        <v>0</v>
      </c>
      <c r="AG80" s="479">
        <v>0</v>
      </c>
      <c r="AH80" s="479">
        <v>0</v>
      </c>
      <c r="AI80" s="479">
        <v>0</v>
      </c>
      <c r="AJ80" s="479">
        <v>0</v>
      </c>
      <c r="AK80" s="479">
        <v>0</v>
      </c>
      <c r="AL80" s="479">
        <v>0</v>
      </c>
      <c r="AM80" s="479">
        <v>0</v>
      </c>
      <c r="AN80" s="479" t="s">
        <v>1292</v>
      </c>
      <c r="AQ80" s="341"/>
    </row>
    <row r="81" spans="2:43" s="141" customFormat="1" x14ac:dyDescent="0.3">
      <c r="B81" s="61" t="s">
        <v>506</v>
      </c>
      <c r="C81" s="141" t="s">
        <v>352</v>
      </c>
      <c r="D81" s="479" t="str">
        <f t="shared" si="7"/>
        <v/>
      </c>
      <c r="E81" s="479" t="str">
        <f t="shared" si="7"/>
        <v/>
      </c>
      <c r="F81" s="479" t="str">
        <f t="shared" si="7"/>
        <v/>
      </c>
      <c r="G81" s="217"/>
      <c r="H81" s="479" t="str">
        <f t="shared" si="3"/>
        <v/>
      </c>
      <c r="I81" s="479" t="str">
        <f t="shared" si="8"/>
        <v/>
      </c>
      <c r="J81" s="479" t="str">
        <f t="shared" si="8"/>
        <v/>
      </c>
      <c r="M81" s="479"/>
      <c r="N81" s="479">
        <v>0</v>
      </c>
      <c r="O81" s="479">
        <v>0</v>
      </c>
      <c r="P81" s="479">
        <v>0</v>
      </c>
      <c r="Q81" s="479">
        <v>0</v>
      </c>
      <c r="R81" s="479">
        <v>0</v>
      </c>
      <c r="S81" s="479">
        <v>0</v>
      </c>
      <c r="T81" s="479">
        <v>0</v>
      </c>
      <c r="U81" s="479">
        <v>0</v>
      </c>
      <c r="V81" s="479">
        <v>0</v>
      </c>
      <c r="W81" s="479">
        <v>0</v>
      </c>
      <c r="X81" s="479">
        <v>0</v>
      </c>
      <c r="Y81" s="479">
        <v>0</v>
      </c>
      <c r="Z81" s="479"/>
      <c r="AA81" s="479"/>
      <c r="AB81" s="479"/>
      <c r="AC81" s="479">
        <v>0</v>
      </c>
      <c r="AD81" s="479">
        <v>0</v>
      </c>
      <c r="AE81" s="479">
        <v>0</v>
      </c>
      <c r="AF81" s="479">
        <v>0</v>
      </c>
      <c r="AG81" s="479">
        <v>0</v>
      </c>
      <c r="AH81" s="479">
        <v>0</v>
      </c>
      <c r="AI81" s="479">
        <v>0</v>
      </c>
      <c r="AJ81" s="479">
        <v>0</v>
      </c>
      <c r="AK81" s="479">
        <v>0</v>
      </c>
      <c r="AL81" s="479">
        <v>0</v>
      </c>
      <c r="AM81" s="479">
        <v>0</v>
      </c>
      <c r="AN81" s="479" t="s">
        <v>1292</v>
      </c>
      <c r="AQ81" s="341"/>
    </row>
    <row r="82" spans="2:43" s="141" customFormat="1" x14ac:dyDescent="0.3">
      <c r="B82" s="61" t="s">
        <v>507</v>
      </c>
      <c r="C82" s="141" t="s">
        <v>353</v>
      </c>
      <c r="D82" s="479" t="str">
        <f t="shared" si="7"/>
        <v/>
      </c>
      <c r="E82" s="479" t="str">
        <f t="shared" si="7"/>
        <v/>
      </c>
      <c r="F82" s="479" t="str">
        <f t="shared" si="7"/>
        <v/>
      </c>
      <c r="G82" s="217"/>
      <c r="H82" s="479" t="str">
        <f t="shared" si="3"/>
        <v/>
      </c>
      <c r="I82" s="479" t="str">
        <f t="shared" si="8"/>
        <v/>
      </c>
      <c r="J82" s="479" t="str">
        <f t="shared" si="8"/>
        <v/>
      </c>
      <c r="M82" s="479"/>
      <c r="N82" s="479">
        <v>0</v>
      </c>
      <c r="O82" s="479">
        <v>0</v>
      </c>
      <c r="P82" s="479">
        <v>0</v>
      </c>
      <c r="Q82" s="479">
        <v>0</v>
      </c>
      <c r="R82" s="479">
        <v>0</v>
      </c>
      <c r="S82" s="479">
        <v>0</v>
      </c>
      <c r="T82" s="479">
        <v>0</v>
      </c>
      <c r="U82" s="479">
        <v>0</v>
      </c>
      <c r="V82" s="479">
        <v>0</v>
      </c>
      <c r="W82" s="479">
        <v>0</v>
      </c>
      <c r="X82" s="479">
        <v>0</v>
      </c>
      <c r="Y82" s="479">
        <v>0</v>
      </c>
      <c r="Z82" s="479"/>
      <c r="AA82" s="479"/>
      <c r="AB82" s="479"/>
      <c r="AC82" s="479">
        <v>0</v>
      </c>
      <c r="AD82" s="479">
        <v>0</v>
      </c>
      <c r="AE82" s="479">
        <v>0</v>
      </c>
      <c r="AF82" s="479">
        <v>0</v>
      </c>
      <c r="AG82" s="479">
        <v>0</v>
      </c>
      <c r="AH82" s="479">
        <v>0</v>
      </c>
      <c r="AI82" s="479">
        <v>0</v>
      </c>
      <c r="AJ82" s="479">
        <v>0</v>
      </c>
      <c r="AK82" s="479">
        <v>0</v>
      </c>
      <c r="AL82" s="479">
        <v>0</v>
      </c>
      <c r="AM82" s="479">
        <v>0</v>
      </c>
      <c r="AN82" s="479" t="s">
        <v>1292</v>
      </c>
      <c r="AQ82" s="341"/>
    </row>
    <row r="83" spans="2:43" s="141" customFormat="1" x14ac:dyDescent="0.3">
      <c r="B83" s="61" t="s">
        <v>491</v>
      </c>
      <c r="C83" s="141" t="s">
        <v>336</v>
      </c>
      <c r="D83" s="479" t="str">
        <f t="shared" si="7"/>
        <v/>
      </c>
      <c r="E83" s="479" t="str">
        <f t="shared" si="7"/>
        <v/>
      </c>
      <c r="F83" s="479" t="str">
        <f t="shared" si="7"/>
        <v/>
      </c>
      <c r="G83" s="217"/>
      <c r="H83" s="479" t="str">
        <f t="shared" si="3"/>
        <v/>
      </c>
      <c r="I83" s="479" t="str">
        <f t="shared" si="8"/>
        <v/>
      </c>
      <c r="J83" s="479" t="str">
        <f t="shared" si="8"/>
        <v/>
      </c>
      <c r="M83" s="479"/>
      <c r="N83" s="479">
        <v>0</v>
      </c>
      <c r="O83" s="479">
        <v>0</v>
      </c>
      <c r="P83" s="479">
        <v>0</v>
      </c>
      <c r="Q83" s="479">
        <v>0</v>
      </c>
      <c r="R83" s="479">
        <v>0</v>
      </c>
      <c r="S83" s="479">
        <v>0</v>
      </c>
      <c r="T83" s="479">
        <v>0</v>
      </c>
      <c r="U83" s="479">
        <v>0</v>
      </c>
      <c r="V83" s="479">
        <v>0</v>
      </c>
      <c r="W83" s="479">
        <v>0</v>
      </c>
      <c r="X83" s="479">
        <v>0</v>
      </c>
      <c r="Y83" s="479">
        <v>0</v>
      </c>
      <c r="Z83" s="479"/>
      <c r="AA83" s="479"/>
      <c r="AB83" s="479"/>
      <c r="AC83" s="479">
        <v>0</v>
      </c>
      <c r="AD83" s="479">
        <v>0</v>
      </c>
      <c r="AE83" s="479">
        <v>0</v>
      </c>
      <c r="AF83" s="479">
        <v>0</v>
      </c>
      <c r="AG83" s="479">
        <v>0</v>
      </c>
      <c r="AH83" s="479">
        <v>0</v>
      </c>
      <c r="AI83" s="479">
        <v>0</v>
      </c>
      <c r="AJ83" s="479">
        <v>0</v>
      </c>
      <c r="AK83" s="479">
        <v>0</v>
      </c>
      <c r="AL83" s="479">
        <v>0</v>
      </c>
      <c r="AM83" s="479">
        <v>0</v>
      </c>
      <c r="AN83" s="479" t="s">
        <v>1292</v>
      </c>
      <c r="AQ83" s="341"/>
    </row>
    <row r="84" spans="2:43" s="141" customFormat="1" x14ac:dyDescent="0.3">
      <c r="B84" s="61" t="s">
        <v>492</v>
      </c>
      <c r="C84" s="141" t="s">
        <v>337</v>
      </c>
      <c r="D84" s="479" t="str">
        <f t="shared" si="7"/>
        <v/>
      </c>
      <c r="E84" s="479" t="str">
        <f t="shared" si="7"/>
        <v/>
      </c>
      <c r="F84" s="479" t="str">
        <f t="shared" si="7"/>
        <v/>
      </c>
      <c r="G84" s="217"/>
      <c r="H84" s="479" t="str">
        <f t="shared" si="3"/>
        <v/>
      </c>
      <c r="I84" s="479" t="str">
        <f t="shared" si="8"/>
        <v/>
      </c>
      <c r="J84" s="479" t="str">
        <f t="shared" si="8"/>
        <v/>
      </c>
      <c r="M84" s="479"/>
      <c r="N84" s="479">
        <v>0</v>
      </c>
      <c r="O84" s="479">
        <v>0</v>
      </c>
      <c r="P84" s="479">
        <v>0</v>
      </c>
      <c r="Q84" s="479">
        <v>0</v>
      </c>
      <c r="R84" s="479">
        <v>0</v>
      </c>
      <c r="S84" s="479">
        <v>0</v>
      </c>
      <c r="T84" s="479">
        <v>0</v>
      </c>
      <c r="U84" s="479">
        <v>0</v>
      </c>
      <c r="V84" s="479">
        <v>0</v>
      </c>
      <c r="W84" s="479">
        <v>0</v>
      </c>
      <c r="X84" s="479">
        <v>0</v>
      </c>
      <c r="Y84" s="479">
        <v>0</v>
      </c>
      <c r="Z84" s="479"/>
      <c r="AA84" s="479"/>
      <c r="AB84" s="479"/>
      <c r="AC84" s="479">
        <v>0</v>
      </c>
      <c r="AD84" s="479">
        <v>0</v>
      </c>
      <c r="AE84" s="479">
        <v>0</v>
      </c>
      <c r="AF84" s="479">
        <v>0</v>
      </c>
      <c r="AG84" s="479">
        <v>0</v>
      </c>
      <c r="AH84" s="479">
        <v>0</v>
      </c>
      <c r="AI84" s="479">
        <v>0</v>
      </c>
      <c r="AJ84" s="479">
        <v>0</v>
      </c>
      <c r="AK84" s="479">
        <v>0</v>
      </c>
      <c r="AL84" s="479">
        <v>0</v>
      </c>
      <c r="AM84" s="479">
        <v>0</v>
      </c>
      <c r="AN84" s="479" t="s">
        <v>1292</v>
      </c>
      <c r="AQ84" s="341"/>
    </row>
    <row r="85" spans="2:43" s="141" customFormat="1" x14ac:dyDescent="0.3">
      <c r="B85" s="61" t="s">
        <v>508</v>
      </c>
      <c r="C85" s="141" t="s">
        <v>354</v>
      </c>
      <c r="D85" s="479" t="str">
        <f t="shared" si="7"/>
        <v/>
      </c>
      <c r="E85" s="479" t="str">
        <f t="shared" si="7"/>
        <v/>
      </c>
      <c r="F85" s="479" t="str">
        <f t="shared" si="7"/>
        <v/>
      </c>
      <c r="G85" s="217"/>
      <c r="H85" s="479" t="str">
        <f t="shared" si="3"/>
        <v/>
      </c>
      <c r="I85" s="479" t="str">
        <f t="shared" si="8"/>
        <v/>
      </c>
      <c r="J85" s="479" t="str">
        <f t="shared" si="8"/>
        <v/>
      </c>
      <c r="M85" s="479"/>
      <c r="N85" s="479">
        <v>0</v>
      </c>
      <c r="O85" s="479">
        <v>0</v>
      </c>
      <c r="P85" s="479">
        <v>0</v>
      </c>
      <c r="Q85" s="479">
        <v>0</v>
      </c>
      <c r="R85" s="479">
        <v>0</v>
      </c>
      <c r="S85" s="479">
        <v>0</v>
      </c>
      <c r="T85" s="479">
        <v>0</v>
      </c>
      <c r="U85" s="479">
        <v>0</v>
      </c>
      <c r="V85" s="479">
        <v>0</v>
      </c>
      <c r="W85" s="479">
        <v>0</v>
      </c>
      <c r="X85" s="479">
        <v>0</v>
      </c>
      <c r="Y85" s="479">
        <v>0</v>
      </c>
      <c r="Z85" s="479"/>
      <c r="AA85" s="479"/>
      <c r="AB85" s="479"/>
      <c r="AC85" s="479">
        <v>0</v>
      </c>
      <c r="AD85" s="479">
        <v>0</v>
      </c>
      <c r="AE85" s="479">
        <v>0</v>
      </c>
      <c r="AF85" s="479">
        <v>0</v>
      </c>
      <c r="AG85" s="479">
        <v>0</v>
      </c>
      <c r="AH85" s="479">
        <v>0</v>
      </c>
      <c r="AI85" s="479">
        <v>0</v>
      </c>
      <c r="AJ85" s="479">
        <v>0</v>
      </c>
      <c r="AK85" s="479">
        <v>0</v>
      </c>
      <c r="AL85" s="479">
        <v>0</v>
      </c>
      <c r="AM85" s="479">
        <v>0</v>
      </c>
      <c r="AN85" s="479" t="s">
        <v>1292</v>
      </c>
      <c r="AQ85" s="341"/>
    </row>
    <row r="86" spans="2:43" s="141" customFormat="1" x14ac:dyDescent="0.3">
      <c r="B86" s="61" t="s">
        <v>832</v>
      </c>
      <c r="C86" s="141" t="s">
        <v>355</v>
      </c>
      <c r="D86" s="479" t="str">
        <f t="shared" ref="D86:F105" si="9">IF(HLOOKUP(D$5,$M$5:$Y$370,ROW()-ROW($F$4),FALSE)=0,"",HLOOKUP(D$5,$M$5:$Y$370,ROW()-ROW($F$4),FALSE))</f>
        <v/>
      </c>
      <c r="E86" s="479" t="str">
        <f t="shared" si="9"/>
        <v/>
      </c>
      <c r="F86" s="479" t="str">
        <f t="shared" si="9"/>
        <v/>
      </c>
      <c r="G86" s="217"/>
      <c r="H86" s="479" t="str">
        <f t="shared" si="3"/>
        <v/>
      </c>
      <c r="I86" s="479" t="str">
        <f t="shared" ref="I86:J105" si="10">IF(HLOOKUP(I$5,$AB$5:$AN$370,ROW()-ROW($J$4),FALSE)=0,"",HLOOKUP(I$5,$AB$5:$AN$370,ROW()-ROW($J$4),FALSE))</f>
        <v/>
      </c>
      <c r="J86" s="479">
        <f t="shared" si="10"/>
        <v>106250.29199299999</v>
      </c>
      <c r="M86" s="479"/>
      <c r="N86" s="479">
        <v>0</v>
      </c>
      <c r="O86" s="479">
        <v>0</v>
      </c>
      <c r="P86" s="479">
        <v>0</v>
      </c>
      <c r="Q86" s="479">
        <v>0</v>
      </c>
      <c r="R86" s="479">
        <v>0</v>
      </c>
      <c r="S86" s="479">
        <v>0</v>
      </c>
      <c r="T86" s="479">
        <v>0</v>
      </c>
      <c r="U86" s="479">
        <v>0</v>
      </c>
      <c r="V86" s="479">
        <v>0</v>
      </c>
      <c r="W86" s="479">
        <v>107081.00799699999</v>
      </c>
      <c r="X86" s="479">
        <v>106713.419993</v>
      </c>
      <c r="Y86" s="479">
        <v>0</v>
      </c>
      <c r="Z86" s="479"/>
      <c r="AA86" s="479"/>
      <c r="AB86" s="479"/>
      <c r="AC86" s="479">
        <v>0</v>
      </c>
      <c r="AD86" s="479">
        <v>0</v>
      </c>
      <c r="AE86" s="479">
        <v>0</v>
      </c>
      <c r="AF86" s="479">
        <v>0</v>
      </c>
      <c r="AG86" s="479">
        <v>0</v>
      </c>
      <c r="AH86" s="479">
        <v>0</v>
      </c>
      <c r="AI86" s="479">
        <v>0</v>
      </c>
      <c r="AJ86" s="479">
        <v>0</v>
      </c>
      <c r="AK86" s="479">
        <v>0</v>
      </c>
      <c r="AL86" s="479">
        <v>107081.00799699999</v>
      </c>
      <c r="AM86" s="479">
        <v>106713.419993</v>
      </c>
      <c r="AN86" s="479">
        <v>106250.29199299999</v>
      </c>
      <c r="AQ86" s="341"/>
    </row>
    <row r="87" spans="2:43" s="141" customFormat="1" x14ac:dyDescent="0.3">
      <c r="B87" s="61" t="s">
        <v>509</v>
      </c>
      <c r="C87" s="141" t="s">
        <v>356</v>
      </c>
      <c r="D87" s="479" t="str">
        <f t="shared" si="9"/>
        <v/>
      </c>
      <c r="E87" s="479" t="str">
        <f t="shared" si="9"/>
        <v/>
      </c>
      <c r="F87" s="479" t="str">
        <f t="shared" si="9"/>
        <v/>
      </c>
      <c r="G87" s="217"/>
      <c r="H87" s="479" t="str">
        <f t="shared" si="3"/>
        <v/>
      </c>
      <c r="I87" s="479" t="str">
        <f t="shared" si="10"/>
        <v/>
      </c>
      <c r="J87" s="479">
        <f t="shared" si="10"/>
        <v>106250.29199299999</v>
      </c>
      <c r="M87" s="479"/>
      <c r="N87" s="479">
        <v>0</v>
      </c>
      <c r="O87" s="479">
        <v>0</v>
      </c>
      <c r="P87" s="479">
        <v>0</v>
      </c>
      <c r="Q87" s="479">
        <v>0</v>
      </c>
      <c r="R87" s="479">
        <v>0</v>
      </c>
      <c r="S87" s="479">
        <v>0</v>
      </c>
      <c r="T87" s="479">
        <v>0</v>
      </c>
      <c r="U87" s="479">
        <v>0</v>
      </c>
      <c r="V87" s="479">
        <v>0</v>
      </c>
      <c r="W87" s="479">
        <v>107081.00799699999</v>
      </c>
      <c r="X87" s="479">
        <v>106713.419993</v>
      </c>
      <c r="Y87" s="479">
        <v>0</v>
      </c>
      <c r="Z87" s="479"/>
      <c r="AA87" s="479"/>
      <c r="AB87" s="479"/>
      <c r="AC87" s="479">
        <v>0</v>
      </c>
      <c r="AD87" s="479">
        <v>0</v>
      </c>
      <c r="AE87" s="479">
        <v>0</v>
      </c>
      <c r="AF87" s="479">
        <v>0</v>
      </c>
      <c r="AG87" s="479">
        <v>0</v>
      </c>
      <c r="AH87" s="479">
        <v>0</v>
      </c>
      <c r="AI87" s="479">
        <v>0</v>
      </c>
      <c r="AJ87" s="479">
        <v>0</v>
      </c>
      <c r="AK87" s="479">
        <v>0</v>
      </c>
      <c r="AL87" s="479">
        <v>107081.00799699999</v>
      </c>
      <c r="AM87" s="479">
        <v>106713.419993</v>
      </c>
      <c r="AN87" s="479">
        <v>106250.29199299999</v>
      </c>
      <c r="AQ87" s="341"/>
    </row>
    <row r="88" spans="2:43" s="141" customFormat="1" x14ac:dyDescent="0.3">
      <c r="B88" s="61" t="s">
        <v>299</v>
      </c>
      <c r="C88" s="141" t="s">
        <v>357</v>
      </c>
      <c r="D88" s="479" t="str">
        <f t="shared" si="9"/>
        <v/>
      </c>
      <c r="E88" s="479" t="str">
        <f t="shared" si="9"/>
        <v/>
      </c>
      <c r="F88" s="479" t="str">
        <f t="shared" si="9"/>
        <v/>
      </c>
      <c r="G88" s="217"/>
      <c r="H88" s="479" t="str">
        <f t="shared" si="3"/>
        <v/>
      </c>
      <c r="I88" s="479" t="str">
        <f t="shared" si="10"/>
        <v/>
      </c>
      <c r="J88" s="479" t="str">
        <f t="shared" si="10"/>
        <v/>
      </c>
      <c r="M88" s="479"/>
      <c r="N88" s="479">
        <v>0</v>
      </c>
      <c r="O88" s="479">
        <v>0</v>
      </c>
      <c r="P88" s="479">
        <v>0</v>
      </c>
      <c r="Q88" s="479">
        <v>0</v>
      </c>
      <c r="R88" s="479">
        <v>0</v>
      </c>
      <c r="S88" s="479">
        <v>0</v>
      </c>
      <c r="T88" s="479">
        <v>0</v>
      </c>
      <c r="U88" s="479">
        <v>0</v>
      </c>
      <c r="V88" s="479">
        <v>0</v>
      </c>
      <c r="W88" s="479">
        <v>0</v>
      </c>
      <c r="X88" s="479">
        <v>0</v>
      </c>
      <c r="Y88" s="479">
        <v>0</v>
      </c>
      <c r="Z88" s="479"/>
      <c r="AA88" s="479"/>
      <c r="AB88" s="479"/>
      <c r="AC88" s="479">
        <v>0</v>
      </c>
      <c r="AD88" s="479">
        <v>0</v>
      </c>
      <c r="AE88" s="479">
        <v>0</v>
      </c>
      <c r="AF88" s="479">
        <v>0</v>
      </c>
      <c r="AG88" s="479">
        <v>0</v>
      </c>
      <c r="AH88" s="479">
        <v>0</v>
      </c>
      <c r="AI88" s="479">
        <v>0</v>
      </c>
      <c r="AJ88" s="479">
        <v>0</v>
      </c>
      <c r="AK88" s="479">
        <v>0</v>
      </c>
      <c r="AL88" s="479">
        <v>0</v>
      </c>
      <c r="AM88" s="479">
        <v>0</v>
      </c>
      <c r="AN88" s="479" t="s">
        <v>1292</v>
      </c>
      <c r="AQ88" s="341"/>
    </row>
    <row r="89" spans="2:43" s="141" customFormat="1" x14ac:dyDescent="0.3">
      <c r="B89" s="61" t="s">
        <v>300</v>
      </c>
      <c r="C89" s="141" t="s">
        <v>358</v>
      </c>
      <c r="D89" s="479" t="str">
        <f t="shared" si="9"/>
        <v/>
      </c>
      <c r="E89" s="479" t="str">
        <f t="shared" si="9"/>
        <v/>
      </c>
      <c r="F89" s="479" t="str">
        <f t="shared" si="9"/>
        <v/>
      </c>
      <c r="G89" s="217"/>
      <c r="H89" s="479" t="str">
        <f t="shared" si="3"/>
        <v/>
      </c>
      <c r="I89" s="479" t="str">
        <f t="shared" si="10"/>
        <v/>
      </c>
      <c r="J89" s="479" t="str">
        <f t="shared" si="10"/>
        <v/>
      </c>
      <c r="M89" s="479"/>
      <c r="N89" s="479">
        <v>0</v>
      </c>
      <c r="O89" s="479">
        <v>0</v>
      </c>
      <c r="P89" s="479">
        <v>0</v>
      </c>
      <c r="Q89" s="479">
        <v>0</v>
      </c>
      <c r="R89" s="479">
        <v>0</v>
      </c>
      <c r="S89" s="479">
        <v>0</v>
      </c>
      <c r="T89" s="479">
        <v>0</v>
      </c>
      <c r="U89" s="479">
        <v>0</v>
      </c>
      <c r="V89" s="479">
        <v>0</v>
      </c>
      <c r="W89" s="479">
        <v>0</v>
      </c>
      <c r="X89" s="479">
        <v>0</v>
      </c>
      <c r="Y89" s="479">
        <v>0</v>
      </c>
      <c r="Z89" s="479"/>
      <c r="AA89" s="479"/>
      <c r="AB89" s="479"/>
      <c r="AC89" s="479">
        <v>0</v>
      </c>
      <c r="AD89" s="479">
        <v>0</v>
      </c>
      <c r="AE89" s="479">
        <v>0</v>
      </c>
      <c r="AF89" s="479">
        <v>0</v>
      </c>
      <c r="AG89" s="479">
        <v>0</v>
      </c>
      <c r="AH89" s="479">
        <v>0</v>
      </c>
      <c r="AI89" s="479">
        <v>0</v>
      </c>
      <c r="AJ89" s="479">
        <v>0</v>
      </c>
      <c r="AK89" s="479">
        <v>0</v>
      </c>
      <c r="AL89" s="479">
        <v>0</v>
      </c>
      <c r="AM89" s="479">
        <v>0</v>
      </c>
      <c r="AN89" s="479" t="s">
        <v>1292</v>
      </c>
      <c r="AQ89" s="341"/>
    </row>
    <row r="90" spans="2:43" s="141" customFormat="1" x14ac:dyDescent="0.3">
      <c r="B90" s="61" t="s">
        <v>301</v>
      </c>
      <c r="C90" s="141" t="s">
        <v>359</v>
      </c>
      <c r="D90" s="479" t="str">
        <f t="shared" si="9"/>
        <v/>
      </c>
      <c r="E90" s="479" t="str">
        <f t="shared" si="9"/>
        <v/>
      </c>
      <c r="F90" s="479" t="str">
        <f t="shared" si="9"/>
        <v/>
      </c>
      <c r="G90" s="217"/>
      <c r="H90" s="479" t="str">
        <f t="shared" ref="H90:H153" si="11">IF(HLOOKUP(H$5,$AB$5:$AN$370,ROW()-ROW($J$4),FALSE)=0,"",HLOOKUP(H$5,$AB$5:$AN$370,ROW()-ROW($J$4),FALSE))</f>
        <v/>
      </c>
      <c r="I90" s="479" t="str">
        <f t="shared" si="10"/>
        <v/>
      </c>
      <c r="J90" s="479" t="str">
        <f t="shared" si="10"/>
        <v/>
      </c>
      <c r="M90" s="479"/>
      <c r="N90" s="479">
        <v>0</v>
      </c>
      <c r="O90" s="479">
        <v>0</v>
      </c>
      <c r="P90" s="479">
        <v>0</v>
      </c>
      <c r="Q90" s="479">
        <v>0</v>
      </c>
      <c r="R90" s="479">
        <v>0</v>
      </c>
      <c r="S90" s="479">
        <v>0</v>
      </c>
      <c r="T90" s="479">
        <v>0</v>
      </c>
      <c r="U90" s="479">
        <v>0</v>
      </c>
      <c r="V90" s="479">
        <v>0</v>
      </c>
      <c r="W90" s="479">
        <v>0</v>
      </c>
      <c r="X90" s="479">
        <v>0</v>
      </c>
      <c r="Y90" s="479">
        <v>0</v>
      </c>
      <c r="Z90" s="479"/>
      <c r="AA90" s="479"/>
      <c r="AB90" s="479"/>
      <c r="AC90" s="479">
        <v>0</v>
      </c>
      <c r="AD90" s="479">
        <v>0</v>
      </c>
      <c r="AE90" s="479">
        <v>0</v>
      </c>
      <c r="AF90" s="479">
        <v>0</v>
      </c>
      <c r="AG90" s="479">
        <v>0</v>
      </c>
      <c r="AH90" s="479">
        <v>0</v>
      </c>
      <c r="AI90" s="479">
        <v>0</v>
      </c>
      <c r="AJ90" s="479">
        <v>0</v>
      </c>
      <c r="AK90" s="479">
        <v>0</v>
      </c>
      <c r="AL90" s="479">
        <v>0</v>
      </c>
      <c r="AM90" s="479">
        <v>0</v>
      </c>
      <c r="AN90" s="479" t="s">
        <v>1292</v>
      </c>
      <c r="AQ90" s="341"/>
    </row>
    <row r="91" spans="2:43" s="141" customFormat="1" x14ac:dyDescent="0.3">
      <c r="B91" s="61" t="s">
        <v>510</v>
      </c>
      <c r="C91" s="141" t="s">
        <v>360</v>
      </c>
      <c r="D91" s="479" t="str">
        <f t="shared" si="9"/>
        <v/>
      </c>
      <c r="E91" s="479" t="str">
        <f t="shared" si="9"/>
        <v/>
      </c>
      <c r="F91" s="479" t="str">
        <f t="shared" si="9"/>
        <v/>
      </c>
      <c r="G91" s="217"/>
      <c r="H91" s="479" t="str">
        <f t="shared" si="11"/>
        <v/>
      </c>
      <c r="I91" s="479" t="str">
        <f t="shared" si="10"/>
        <v/>
      </c>
      <c r="J91" s="479" t="str">
        <f t="shared" si="10"/>
        <v/>
      </c>
      <c r="M91" s="479"/>
      <c r="N91" s="479">
        <v>0</v>
      </c>
      <c r="O91" s="479">
        <v>0</v>
      </c>
      <c r="P91" s="479">
        <v>0</v>
      </c>
      <c r="Q91" s="479">
        <v>0</v>
      </c>
      <c r="R91" s="479">
        <v>0</v>
      </c>
      <c r="S91" s="479">
        <v>0</v>
      </c>
      <c r="T91" s="479">
        <v>0</v>
      </c>
      <c r="U91" s="479">
        <v>0</v>
      </c>
      <c r="V91" s="479">
        <v>0</v>
      </c>
      <c r="W91" s="479">
        <v>0</v>
      </c>
      <c r="X91" s="479">
        <v>0</v>
      </c>
      <c r="Y91" s="479">
        <v>0</v>
      </c>
      <c r="Z91" s="479"/>
      <c r="AA91" s="479"/>
      <c r="AB91" s="479"/>
      <c r="AC91" s="479">
        <v>0</v>
      </c>
      <c r="AD91" s="479">
        <v>0</v>
      </c>
      <c r="AE91" s="479">
        <v>0</v>
      </c>
      <c r="AF91" s="479">
        <v>0</v>
      </c>
      <c r="AG91" s="479">
        <v>0</v>
      </c>
      <c r="AH91" s="479">
        <v>0</v>
      </c>
      <c r="AI91" s="479">
        <v>0</v>
      </c>
      <c r="AJ91" s="479">
        <v>0</v>
      </c>
      <c r="AK91" s="479">
        <v>0</v>
      </c>
      <c r="AL91" s="479">
        <v>0</v>
      </c>
      <c r="AM91" s="479">
        <v>0</v>
      </c>
      <c r="AN91" s="479" t="s">
        <v>1292</v>
      </c>
      <c r="AQ91" s="341"/>
    </row>
    <row r="92" spans="2:43" s="141" customFormat="1" x14ac:dyDescent="0.3">
      <c r="B92" s="61" t="s">
        <v>511</v>
      </c>
      <c r="C92" s="141" t="s">
        <v>361</v>
      </c>
      <c r="D92" s="479">
        <f t="shared" si="9"/>
        <v>142042.96550300001</v>
      </c>
      <c r="E92" s="479">
        <f t="shared" si="9"/>
        <v>142042.96550300001</v>
      </c>
      <c r="F92" s="479">
        <f t="shared" si="9"/>
        <v>142042.96550300001</v>
      </c>
      <c r="G92" s="217"/>
      <c r="H92" s="479">
        <f t="shared" si="11"/>
        <v>78496</v>
      </c>
      <c r="I92" s="479">
        <f t="shared" si="10"/>
        <v>84308</v>
      </c>
      <c r="J92" s="479">
        <f t="shared" si="10"/>
        <v>75518.176470000006</v>
      </c>
      <c r="M92" s="479"/>
      <c r="N92" s="479">
        <v>142042.96550300001</v>
      </c>
      <c r="O92" s="479">
        <v>142042.96550300001</v>
      </c>
      <c r="P92" s="479">
        <v>142042.96550300001</v>
      </c>
      <c r="Q92" s="479">
        <v>142042.96550300001</v>
      </c>
      <c r="R92" s="479">
        <v>142042.96550300001</v>
      </c>
      <c r="S92" s="479">
        <v>142042.96550300001</v>
      </c>
      <c r="T92" s="479">
        <v>142042.96550300001</v>
      </c>
      <c r="U92" s="479">
        <v>142042.96550300001</v>
      </c>
      <c r="V92" s="479">
        <v>142042.96550300001</v>
      </c>
      <c r="W92" s="479">
        <v>142042.96550300001</v>
      </c>
      <c r="X92" s="479">
        <v>142042.96550300001</v>
      </c>
      <c r="Y92" s="479">
        <v>142042.96550300001</v>
      </c>
      <c r="Z92" s="479"/>
      <c r="AA92" s="479"/>
      <c r="AB92" s="479"/>
      <c r="AC92" s="479">
        <v>78496</v>
      </c>
      <c r="AD92" s="479">
        <v>77386</v>
      </c>
      <c r="AE92" s="479">
        <v>76943</v>
      </c>
      <c r="AF92" s="479">
        <v>83094</v>
      </c>
      <c r="AG92" s="479">
        <v>84308</v>
      </c>
      <c r="AH92" s="479">
        <v>80380</v>
      </c>
      <c r="AI92" s="479">
        <v>80425</v>
      </c>
      <c r="AJ92" s="479">
        <v>80771</v>
      </c>
      <c r="AK92" s="479">
        <v>78659.010817000002</v>
      </c>
      <c r="AL92" s="479">
        <v>79857.88652</v>
      </c>
      <c r="AM92" s="479">
        <v>78688.550950000004</v>
      </c>
      <c r="AN92" s="479">
        <v>75518.176470000006</v>
      </c>
      <c r="AQ92" s="341"/>
    </row>
    <row r="93" spans="2:43" s="141" customFormat="1" x14ac:dyDescent="0.3">
      <c r="B93" s="61" t="s">
        <v>512</v>
      </c>
      <c r="C93" s="141" t="s">
        <v>362</v>
      </c>
      <c r="D93" s="479" t="str">
        <f t="shared" si="9"/>
        <v/>
      </c>
      <c r="E93" s="479" t="str">
        <f t="shared" si="9"/>
        <v/>
      </c>
      <c r="F93" s="479" t="str">
        <f t="shared" si="9"/>
        <v/>
      </c>
      <c r="G93" s="217"/>
      <c r="H93" s="479" t="str">
        <f t="shared" si="11"/>
        <v/>
      </c>
      <c r="I93" s="479" t="str">
        <f t="shared" si="10"/>
        <v/>
      </c>
      <c r="J93" s="479" t="str">
        <f t="shared" si="10"/>
        <v/>
      </c>
      <c r="M93" s="479"/>
      <c r="N93" s="479">
        <v>0</v>
      </c>
      <c r="O93" s="479">
        <v>0</v>
      </c>
      <c r="P93" s="479">
        <v>0</v>
      </c>
      <c r="Q93" s="479">
        <v>0</v>
      </c>
      <c r="R93" s="479">
        <v>0</v>
      </c>
      <c r="S93" s="479">
        <v>0</v>
      </c>
      <c r="T93" s="479">
        <v>0</v>
      </c>
      <c r="U93" s="479">
        <v>0</v>
      </c>
      <c r="V93" s="479">
        <v>0</v>
      </c>
      <c r="W93" s="479">
        <v>0</v>
      </c>
      <c r="X93" s="479">
        <v>0</v>
      </c>
      <c r="Y93" s="479">
        <v>0</v>
      </c>
      <c r="Z93" s="479"/>
      <c r="AA93" s="479"/>
      <c r="AB93" s="479"/>
      <c r="AC93" s="479">
        <v>0</v>
      </c>
      <c r="AD93" s="479">
        <v>0</v>
      </c>
      <c r="AE93" s="479">
        <v>0</v>
      </c>
      <c r="AF93" s="479"/>
      <c r="AG93" s="479">
        <v>0</v>
      </c>
      <c r="AH93" s="479"/>
      <c r="AI93" s="479"/>
      <c r="AJ93" s="479"/>
      <c r="AK93" s="479">
        <v>0</v>
      </c>
      <c r="AL93" s="479">
        <v>0</v>
      </c>
      <c r="AM93" s="479">
        <v>0</v>
      </c>
      <c r="AN93" s="479" t="s">
        <v>1292</v>
      </c>
      <c r="AQ93" s="341"/>
    </row>
    <row r="94" spans="2:43" s="141" customFormat="1" x14ac:dyDescent="0.3">
      <c r="B94" s="61" t="s">
        <v>513</v>
      </c>
      <c r="C94" s="141" t="s">
        <v>363</v>
      </c>
      <c r="D94" s="479" t="str">
        <f t="shared" si="9"/>
        <v/>
      </c>
      <c r="E94" s="479" t="str">
        <f t="shared" si="9"/>
        <v/>
      </c>
      <c r="F94" s="479" t="str">
        <f t="shared" si="9"/>
        <v/>
      </c>
      <c r="G94" s="217"/>
      <c r="H94" s="479" t="str">
        <f t="shared" si="11"/>
        <v/>
      </c>
      <c r="I94" s="479" t="str">
        <f t="shared" si="10"/>
        <v/>
      </c>
      <c r="J94" s="479" t="str">
        <f t="shared" si="10"/>
        <v/>
      </c>
      <c r="M94" s="479"/>
      <c r="N94" s="479">
        <v>0</v>
      </c>
      <c r="O94" s="479">
        <v>0</v>
      </c>
      <c r="P94" s="479">
        <v>0</v>
      </c>
      <c r="Q94" s="479">
        <v>0</v>
      </c>
      <c r="R94" s="479">
        <v>0</v>
      </c>
      <c r="S94" s="479">
        <v>0</v>
      </c>
      <c r="T94" s="479">
        <v>0</v>
      </c>
      <c r="U94" s="479">
        <v>0</v>
      </c>
      <c r="V94" s="479">
        <v>0</v>
      </c>
      <c r="W94" s="479">
        <v>0</v>
      </c>
      <c r="X94" s="479">
        <v>0</v>
      </c>
      <c r="Y94" s="479">
        <v>0</v>
      </c>
      <c r="Z94" s="479"/>
      <c r="AA94" s="479"/>
      <c r="AB94" s="479"/>
      <c r="AC94" s="479">
        <v>0</v>
      </c>
      <c r="AD94" s="479">
        <v>0</v>
      </c>
      <c r="AE94" s="479">
        <v>0</v>
      </c>
      <c r="AF94" s="479"/>
      <c r="AG94" s="479">
        <v>0</v>
      </c>
      <c r="AH94" s="479"/>
      <c r="AI94" s="479"/>
      <c r="AJ94" s="479"/>
      <c r="AK94" s="479">
        <v>0</v>
      </c>
      <c r="AL94" s="479">
        <v>0</v>
      </c>
      <c r="AM94" s="479">
        <v>0</v>
      </c>
      <c r="AN94" s="479" t="s">
        <v>1292</v>
      </c>
      <c r="AQ94" s="341"/>
    </row>
    <row r="95" spans="2:43" s="141" customFormat="1" x14ac:dyDescent="0.3">
      <c r="B95" s="61" t="s">
        <v>496</v>
      </c>
      <c r="C95" s="141" t="s">
        <v>523</v>
      </c>
      <c r="D95" s="479">
        <f t="shared" si="9"/>
        <v>142042.96550300001</v>
      </c>
      <c r="E95" s="479">
        <f t="shared" si="9"/>
        <v>142042.96550300001</v>
      </c>
      <c r="F95" s="479">
        <f t="shared" si="9"/>
        <v>142042.96550300001</v>
      </c>
      <c r="G95" s="217"/>
      <c r="H95" s="479">
        <f t="shared" si="11"/>
        <v>60387</v>
      </c>
      <c r="I95" s="479">
        <f t="shared" si="10"/>
        <v>59626</v>
      </c>
      <c r="J95" s="479">
        <f t="shared" si="10"/>
        <v>59292.178749000006</v>
      </c>
      <c r="M95" s="479"/>
      <c r="N95" s="479">
        <v>142042.96550300001</v>
      </c>
      <c r="O95" s="479">
        <v>142042.96550300001</v>
      </c>
      <c r="P95" s="479">
        <v>142042.96550300001</v>
      </c>
      <c r="Q95" s="479">
        <v>142042.96550300001</v>
      </c>
      <c r="R95" s="479">
        <v>142042.96550300001</v>
      </c>
      <c r="S95" s="479">
        <v>142042.96550300001</v>
      </c>
      <c r="T95" s="479">
        <v>142042.96550300001</v>
      </c>
      <c r="U95" s="479">
        <v>142042.96550300001</v>
      </c>
      <c r="V95" s="479">
        <v>142042.96550300001</v>
      </c>
      <c r="W95" s="479">
        <v>142042.96550300001</v>
      </c>
      <c r="X95" s="479">
        <v>142042.96550300001</v>
      </c>
      <c r="Y95" s="479">
        <v>142042.96550300001</v>
      </c>
      <c r="Z95" s="479"/>
      <c r="AA95" s="479"/>
      <c r="AB95" s="479"/>
      <c r="AC95" s="479">
        <v>60387</v>
      </c>
      <c r="AD95" s="479">
        <v>59569</v>
      </c>
      <c r="AE95" s="479">
        <v>59569</v>
      </c>
      <c r="AF95" s="479">
        <v>59532</v>
      </c>
      <c r="AG95" s="479">
        <v>59626</v>
      </c>
      <c r="AH95" s="479">
        <v>59188</v>
      </c>
      <c r="AI95" s="479">
        <v>59188</v>
      </c>
      <c r="AJ95" s="479">
        <v>59306</v>
      </c>
      <c r="AK95" s="479">
        <v>59379.48272</v>
      </c>
      <c r="AL95" s="479">
        <v>59258.085894999997</v>
      </c>
      <c r="AM95" s="479">
        <v>59422.957569999999</v>
      </c>
      <c r="AN95" s="479">
        <v>59292.178749000006</v>
      </c>
      <c r="AQ95" s="341"/>
    </row>
    <row r="96" spans="2:43" s="141" customFormat="1" x14ac:dyDescent="0.3">
      <c r="B96" s="61" t="s">
        <v>497</v>
      </c>
      <c r="C96" s="141" t="s">
        <v>524</v>
      </c>
      <c r="D96" s="479" t="str">
        <f t="shared" si="9"/>
        <v/>
      </c>
      <c r="E96" s="479" t="str">
        <f t="shared" si="9"/>
        <v/>
      </c>
      <c r="F96" s="479" t="str">
        <f t="shared" si="9"/>
        <v/>
      </c>
      <c r="G96" s="217"/>
      <c r="H96" s="479">
        <f t="shared" si="11"/>
        <v>18109</v>
      </c>
      <c r="I96" s="479">
        <f t="shared" si="10"/>
        <v>24682</v>
      </c>
      <c r="J96" s="479">
        <f t="shared" si="10"/>
        <v>16225.997721</v>
      </c>
      <c r="M96" s="479"/>
      <c r="N96" s="479">
        <v>0</v>
      </c>
      <c r="O96" s="479">
        <v>0</v>
      </c>
      <c r="P96" s="479">
        <v>0</v>
      </c>
      <c r="Q96" s="479">
        <v>0</v>
      </c>
      <c r="R96" s="479">
        <v>0</v>
      </c>
      <c r="S96" s="479">
        <v>0</v>
      </c>
      <c r="T96" s="479">
        <v>0</v>
      </c>
      <c r="U96" s="479">
        <v>0</v>
      </c>
      <c r="V96" s="479">
        <v>0</v>
      </c>
      <c r="W96" s="479">
        <v>0</v>
      </c>
      <c r="X96" s="479">
        <v>0</v>
      </c>
      <c r="Y96" s="479">
        <v>0</v>
      </c>
      <c r="Z96" s="479"/>
      <c r="AA96" s="479"/>
      <c r="AB96" s="479"/>
      <c r="AC96" s="479">
        <v>18109</v>
      </c>
      <c r="AD96" s="479">
        <v>17817</v>
      </c>
      <c r="AE96" s="479">
        <v>17374</v>
      </c>
      <c r="AF96" s="479">
        <v>23562</v>
      </c>
      <c r="AG96" s="479">
        <v>24682</v>
      </c>
      <c r="AH96" s="479">
        <v>21192</v>
      </c>
      <c r="AI96" s="479">
        <v>21237</v>
      </c>
      <c r="AJ96" s="479">
        <v>21465</v>
      </c>
      <c r="AK96" s="479">
        <v>19279.528096999999</v>
      </c>
      <c r="AL96" s="479">
        <v>20599.800625</v>
      </c>
      <c r="AM96" s="479">
        <v>19265.593379999998</v>
      </c>
      <c r="AN96" s="479">
        <v>16225.997721</v>
      </c>
      <c r="AQ96" s="341"/>
    </row>
    <row r="97" spans="2:43" s="141" customFormat="1" x14ac:dyDescent="0.3">
      <c r="B97" s="61" t="s">
        <v>514</v>
      </c>
      <c r="C97" s="141" t="s">
        <v>364</v>
      </c>
      <c r="D97" s="479" t="str">
        <f t="shared" si="9"/>
        <v/>
      </c>
      <c r="E97" s="479" t="str">
        <f t="shared" si="9"/>
        <v/>
      </c>
      <c r="F97" s="479" t="str">
        <f t="shared" si="9"/>
        <v/>
      </c>
      <c r="G97" s="217"/>
      <c r="H97" s="479" t="str">
        <f t="shared" si="11"/>
        <v/>
      </c>
      <c r="I97" s="479" t="str">
        <f t="shared" si="10"/>
        <v/>
      </c>
      <c r="J97" s="479" t="str">
        <f t="shared" si="10"/>
        <v/>
      </c>
      <c r="M97" s="479"/>
      <c r="N97" s="479">
        <v>0</v>
      </c>
      <c r="O97" s="479">
        <v>0</v>
      </c>
      <c r="P97" s="479">
        <v>0</v>
      </c>
      <c r="Q97" s="479">
        <v>0</v>
      </c>
      <c r="R97" s="479">
        <v>0</v>
      </c>
      <c r="S97" s="479">
        <v>0</v>
      </c>
      <c r="T97" s="479">
        <v>0</v>
      </c>
      <c r="U97" s="479">
        <v>0</v>
      </c>
      <c r="V97" s="479">
        <v>0</v>
      </c>
      <c r="W97" s="479">
        <v>0</v>
      </c>
      <c r="X97" s="479">
        <v>0</v>
      </c>
      <c r="Y97" s="479">
        <v>0</v>
      </c>
      <c r="Z97" s="479"/>
      <c r="AA97" s="479"/>
      <c r="AB97" s="479"/>
      <c r="AC97" s="479">
        <v>0</v>
      </c>
      <c r="AD97" s="479">
        <v>0</v>
      </c>
      <c r="AE97" s="479">
        <v>0</v>
      </c>
      <c r="AF97" s="479">
        <v>0</v>
      </c>
      <c r="AG97" s="479">
        <v>0</v>
      </c>
      <c r="AH97" s="479">
        <v>0</v>
      </c>
      <c r="AI97" s="479">
        <v>0</v>
      </c>
      <c r="AJ97" s="479">
        <v>0</v>
      </c>
      <c r="AK97" s="479">
        <v>0</v>
      </c>
      <c r="AL97" s="479">
        <v>0</v>
      </c>
      <c r="AM97" s="479">
        <v>0</v>
      </c>
      <c r="AN97" s="479" t="s">
        <v>1292</v>
      </c>
      <c r="AQ97" s="341"/>
    </row>
    <row r="98" spans="2:43" s="307" customFormat="1" x14ac:dyDescent="0.3">
      <c r="B98" s="78" t="s">
        <v>515</v>
      </c>
      <c r="C98" s="307" t="s">
        <v>365</v>
      </c>
      <c r="D98" s="477">
        <f t="shared" si="9"/>
        <v>1968165.156917</v>
      </c>
      <c r="E98" s="477">
        <f t="shared" si="9"/>
        <v>2564452.7350360001</v>
      </c>
      <c r="F98" s="477">
        <f t="shared" si="9"/>
        <v>3055609.0279720002</v>
      </c>
      <c r="G98" s="478"/>
      <c r="H98" s="477">
        <f t="shared" si="11"/>
        <v>1969610</v>
      </c>
      <c r="I98" s="477">
        <f t="shared" si="10"/>
        <v>2564858</v>
      </c>
      <c r="J98" s="477">
        <f t="shared" si="10"/>
        <v>3472490.0822570003</v>
      </c>
      <c r="M98" s="477"/>
      <c r="N98" s="477">
        <v>1968165.156917</v>
      </c>
      <c r="O98" s="477">
        <v>1883106.234713</v>
      </c>
      <c r="P98" s="477">
        <v>2175803.9878779999</v>
      </c>
      <c r="Q98" s="477">
        <v>2276265.3593410002</v>
      </c>
      <c r="R98" s="477">
        <v>2564452.7350360001</v>
      </c>
      <c r="S98" s="477">
        <v>2580666.5771349999</v>
      </c>
      <c r="T98" s="477">
        <v>2852561.6820049998</v>
      </c>
      <c r="U98" s="477">
        <v>2946466.8570249998</v>
      </c>
      <c r="V98" s="477">
        <v>3055609.0279720002</v>
      </c>
      <c r="W98" s="477">
        <v>3193109.2513680002</v>
      </c>
      <c r="X98" s="477">
        <v>3343976.9057900002</v>
      </c>
      <c r="Y98" s="477">
        <v>3055609.0279720002</v>
      </c>
      <c r="Z98" s="477"/>
      <c r="AA98" s="477"/>
      <c r="AB98" s="477"/>
      <c r="AC98" s="477">
        <v>1969610</v>
      </c>
      <c r="AD98" s="477">
        <v>1884128</v>
      </c>
      <c r="AE98" s="477">
        <v>2176587</v>
      </c>
      <c r="AF98" s="477">
        <v>2276978</v>
      </c>
      <c r="AG98" s="477">
        <v>2564858</v>
      </c>
      <c r="AH98" s="477">
        <v>2581027</v>
      </c>
      <c r="AI98" s="477">
        <v>2852879</v>
      </c>
      <c r="AJ98" s="477">
        <v>2946641</v>
      </c>
      <c r="AK98" s="477">
        <v>3055791.9279720001</v>
      </c>
      <c r="AL98" s="477">
        <v>3193292.1513680001</v>
      </c>
      <c r="AM98" s="477">
        <v>3341818.1226980002</v>
      </c>
      <c r="AN98" s="477">
        <v>3472490.0822570003</v>
      </c>
      <c r="AQ98" s="412"/>
    </row>
    <row r="99" spans="2:43" s="141" customFormat="1" x14ac:dyDescent="0.3">
      <c r="B99" s="61" t="s">
        <v>833</v>
      </c>
      <c r="C99" s="141" t="s">
        <v>834</v>
      </c>
      <c r="D99" s="479" t="str">
        <f t="shared" si="9"/>
        <v/>
      </c>
      <c r="E99" s="479" t="str">
        <f t="shared" si="9"/>
        <v/>
      </c>
      <c r="F99" s="479" t="str">
        <f t="shared" si="9"/>
        <v/>
      </c>
      <c r="G99" s="217"/>
      <c r="H99" s="479" t="str">
        <f t="shared" si="11"/>
        <v/>
      </c>
      <c r="I99" s="479" t="str">
        <f t="shared" si="10"/>
        <v/>
      </c>
      <c r="J99" s="479">
        <f t="shared" si="10"/>
        <v>41038.562030000001</v>
      </c>
      <c r="M99" s="479"/>
      <c r="N99" s="479">
        <v>0</v>
      </c>
      <c r="O99" s="479">
        <v>0</v>
      </c>
      <c r="P99" s="479">
        <v>0</v>
      </c>
      <c r="Q99" s="479">
        <v>0</v>
      </c>
      <c r="R99" s="479">
        <v>0</v>
      </c>
      <c r="S99" s="479">
        <v>0</v>
      </c>
      <c r="T99" s="479">
        <v>0</v>
      </c>
      <c r="U99" s="479">
        <v>0</v>
      </c>
      <c r="V99" s="479">
        <v>0</v>
      </c>
      <c r="W99" s="479">
        <v>0</v>
      </c>
      <c r="X99" s="479">
        <v>0</v>
      </c>
      <c r="Y99" s="479">
        <v>0</v>
      </c>
      <c r="Z99" s="479"/>
      <c r="AA99" s="479"/>
      <c r="AB99" s="479"/>
      <c r="AC99" s="479">
        <v>0</v>
      </c>
      <c r="AD99" s="479">
        <v>0</v>
      </c>
      <c r="AE99" s="479">
        <v>0</v>
      </c>
      <c r="AF99" s="479">
        <v>0</v>
      </c>
      <c r="AG99" s="479">
        <v>0</v>
      </c>
      <c r="AH99" s="479">
        <v>0</v>
      </c>
      <c r="AI99" s="479">
        <v>0</v>
      </c>
      <c r="AJ99" s="479">
        <v>0</v>
      </c>
      <c r="AK99" s="479">
        <v>0</v>
      </c>
      <c r="AL99" s="479">
        <v>0</v>
      </c>
      <c r="AM99" s="479">
        <v>0</v>
      </c>
      <c r="AN99" s="479">
        <v>41038.562030000001</v>
      </c>
      <c r="AQ99" s="341"/>
    </row>
    <row r="100" spans="2:43" s="141" customFormat="1" x14ac:dyDescent="0.3">
      <c r="B100" s="61" t="s">
        <v>835</v>
      </c>
      <c r="C100" s="141" t="s">
        <v>836</v>
      </c>
      <c r="D100" s="479" t="str">
        <f t="shared" si="9"/>
        <v/>
      </c>
      <c r="E100" s="479" t="str">
        <f t="shared" si="9"/>
        <v/>
      </c>
      <c r="F100" s="479" t="str">
        <f t="shared" si="9"/>
        <v/>
      </c>
      <c r="G100" s="217"/>
      <c r="H100" s="479" t="str">
        <f t="shared" si="11"/>
        <v/>
      </c>
      <c r="I100" s="479" t="str">
        <f t="shared" si="10"/>
        <v/>
      </c>
      <c r="J100" s="479" t="str">
        <f t="shared" si="10"/>
        <v/>
      </c>
      <c r="M100" s="479"/>
      <c r="N100" s="479">
        <v>0</v>
      </c>
      <c r="O100" s="479">
        <v>0</v>
      </c>
      <c r="P100" s="479">
        <v>0</v>
      </c>
      <c r="Q100" s="479">
        <v>0</v>
      </c>
      <c r="R100" s="479">
        <v>0</v>
      </c>
      <c r="S100" s="479">
        <v>0</v>
      </c>
      <c r="T100" s="479">
        <v>0</v>
      </c>
      <c r="U100" s="479">
        <v>0</v>
      </c>
      <c r="V100" s="479">
        <v>0</v>
      </c>
      <c r="W100" s="479">
        <v>0</v>
      </c>
      <c r="X100" s="479">
        <v>0</v>
      </c>
      <c r="Y100" s="479">
        <v>0</v>
      </c>
      <c r="Z100" s="479"/>
      <c r="AA100" s="479"/>
      <c r="AB100" s="479"/>
      <c r="AC100" s="479">
        <v>0</v>
      </c>
      <c r="AD100" s="479">
        <v>0</v>
      </c>
      <c r="AE100" s="479">
        <v>0</v>
      </c>
      <c r="AF100" s="479">
        <v>0</v>
      </c>
      <c r="AG100" s="479">
        <v>0</v>
      </c>
      <c r="AH100" s="479">
        <v>0</v>
      </c>
      <c r="AI100" s="479">
        <v>0</v>
      </c>
      <c r="AJ100" s="479">
        <v>0</v>
      </c>
      <c r="AK100" s="479">
        <v>0</v>
      </c>
      <c r="AL100" s="479">
        <v>0</v>
      </c>
      <c r="AM100" s="479">
        <v>0</v>
      </c>
      <c r="AN100" s="479" t="s">
        <v>1292</v>
      </c>
      <c r="AQ100" s="341"/>
    </row>
    <row r="101" spans="2:43" s="141" customFormat="1" x14ac:dyDescent="0.3">
      <c r="B101" s="61" t="s">
        <v>837</v>
      </c>
      <c r="C101" s="141" t="s">
        <v>838</v>
      </c>
      <c r="D101" s="479">
        <f t="shared" si="9"/>
        <v>1987062.5111229999</v>
      </c>
      <c r="E101" s="479">
        <f t="shared" si="9"/>
        <v>2584255.6428100001</v>
      </c>
      <c r="F101" s="479" t="str">
        <f t="shared" si="9"/>
        <v/>
      </c>
      <c r="G101" s="217"/>
      <c r="H101" s="479">
        <f t="shared" si="11"/>
        <v>1988638</v>
      </c>
      <c r="I101" s="479">
        <f t="shared" si="10"/>
        <v>2584790</v>
      </c>
      <c r="J101" s="479">
        <f t="shared" si="10"/>
        <v>3431451.5202269997</v>
      </c>
      <c r="M101" s="479"/>
      <c r="N101" s="479">
        <v>1987062.5111229999</v>
      </c>
      <c r="O101" s="479">
        <v>1900539.1940530001</v>
      </c>
      <c r="P101" s="479">
        <v>2195449.2430480001</v>
      </c>
      <c r="Q101" s="479">
        <v>2295979.1075550001</v>
      </c>
      <c r="R101" s="479">
        <v>2584255.6428100001</v>
      </c>
      <c r="S101" s="479">
        <v>2598528.7926679999</v>
      </c>
      <c r="T101" s="479">
        <v>0</v>
      </c>
      <c r="U101" s="479">
        <v>0</v>
      </c>
      <c r="V101" s="479">
        <v>0</v>
      </c>
      <c r="W101" s="479">
        <v>0</v>
      </c>
      <c r="X101" s="479">
        <v>0</v>
      </c>
      <c r="Y101" s="479">
        <v>0</v>
      </c>
      <c r="Z101" s="479"/>
      <c r="AA101" s="479"/>
      <c r="AB101" s="479"/>
      <c r="AC101" s="479">
        <v>1988638</v>
      </c>
      <c r="AD101" s="479">
        <v>1901691</v>
      </c>
      <c r="AE101" s="479">
        <v>2196362</v>
      </c>
      <c r="AF101" s="479">
        <v>2296822</v>
      </c>
      <c r="AG101" s="479">
        <v>2584790</v>
      </c>
      <c r="AH101" s="479">
        <v>2599020</v>
      </c>
      <c r="AI101" s="479">
        <v>2873428</v>
      </c>
      <c r="AJ101" s="479">
        <v>0</v>
      </c>
      <c r="AK101" s="479">
        <v>0</v>
      </c>
      <c r="AL101" s="479">
        <v>0</v>
      </c>
      <c r="AM101" s="479">
        <v>0</v>
      </c>
      <c r="AN101" s="479">
        <v>3431451.5202269997</v>
      </c>
      <c r="AQ101" s="341"/>
    </row>
    <row r="102" spans="2:43" s="141" customFormat="1" x14ac:dyDescent="0.3">
      <c r="B102" s="61" t="s">
        <v>516</v>
      </c>
      <c r="C102" s="141" t="s">
        <v>366</v>
      </c>
      <c r="D102" s="479" t="str">
        <f t="shared" si="9"/>
        <v/>
      </c>
      <c r="E102" s="479">
        <f t="shared" si="9"/>
        <v>-0.87965300000000002</v>
      </c>
      <c r="F102" s="479">
        <f t="shared" si="9"/>
        <v>-4.9915240000000001</v>
      </c>
      <c r="G102" s="217"/>
      <c r="H102" s="479" t="str">
        <f t="shared" si="11"/>
        <v/>
      </c>
      <c r="I102" s="479">
        <f t="shared" si="10"/>
        <v>-1</v>
      </c>
      <c r="J102" s="479">
        <f t="shared" si="10"/>
        <v>-11.961486000000001</v>
      </c>
      <c r="M102" s="479"/>
      <c r="N102" s="479">
        <v>0</v>
      </c>
      <c r="O102" s="479">
        <v>-5.9475E-2</v>
      </c>
      <c r="P102" s="479">
        <v>-0.24343999999999999</v>
      </c>
      <c r="Q102" s="479">
        <v>-0.45515699999999998</v>
      </c>
      <c r="R102" s="479">
        <v>-0.87965300000000002</v>
      </c>
      <c r="S102" s="479">
        <v>-1.537792</v>
      </c>
      <c r="T102" s="479">
        <v>-2.5371980000000001</v>
      </c>
      <c r="U102" s="479">
        <v>-3.3798279999999998</v>
      </c>
      <c r="V102" s="479">
        <v>-4.9915240000000001</v>
      </c>
      <c r="W102" s="479">
        <v>-7.041131</v>
      </c>
      <c r="X102" s="479">
        <v>-9.2685980000000008</v>
      </c>
      <c r="Y102" s="479">
        <v>-4.9915240000000001</v>
      </c>
      <c r="Z102" s="479"/>
      <c r="AA102" s="479"/>
      <c r="AB102" s="479"/>
      <c r="AC102" s="479">
        <v>0</v>
      </c>
      <c r="AD102" s="479">
        <v>0</v>
      </c>
      <c r="AE102" s="479">
        <v>0</v>
      </c>
      <c r="AF102" s="479">
        <v>0</v>
      </c>
      <c r="AG102" s="479">
        <v>-1</v>
      </c>
      <c r="AH102" s="479">
        <v>-2</v>
      </c>
      <c r="AI102" s="479">
        <v>-3</v>
      </c>
      <c r="AJ102" s="479">
        <v>-3</v>
      </c>
      <c r="AK102" s="479">
        <v>-4.9915240000000001</v>
      </c>
      <c r="AL102" s="479">
        <v>-7.041131</v>
      </c>
      <c r="AM102" s="479">
        <v>-9.2685980000000008</v>
      </c>
      <c r="AN102" s="479">
        <v>-11.961486000000001</v>
      </c>
      <c r="AQ102" s="341"/>
    </row>
    <row r="103" spans="2:43" s="141" customFormat="1" x14ac:dyDescent="0.3">
      <c r="B103" s="61" t="s">
        <v>517</v>
      </c>
      <c r="C103" s="141" t="s">
        <v>367</v>
      </c>
      <c r="D103" s="479">
        <f t="shared" si="9"/>
        <v>-17520.403097999999</v>
      </c>
      <c r="E103" s="479">
        <f t="shared" si="9"/>
        <v>-18007.691402</v>
      </c>
      <c r="F103" s="479">
        <f t="shared" si="9"/>
        <v>-15710.076687999999</v>
      </c>
      <c r="G103" s="217"/>
      <c r="H103" s="479">
        <f t="shared" si="11"/>
        <v>-17651</v>
      </c>
      <c r="I103" s="479">
        <f t="shared" si="10"/>
        <v>-18138</v>
      </c>
      <c r="J103" s="479">
        <f t="shared" si="10"/>
        <v>-14603.075318000001</v>
      </c>
      <c r="M103" s="479"/>
      <c r="N103" s="479">
        <v>-17520.403097999999</v>
      </c>
      <c r="O103" s="479">
        <v>-15915.474208</v>
      </c>
      <c r="P103" s="479">
        <v>-17839.174019999999</v>
      </c>
      <c r="Q103" s="479">
        <v>-18125.875076</v>
      </c>
      <c r="R103" s="479">
        <v>-18007.691402</v>
      </c>
      <c r="S103" s="479">
        <v>-15797.604448</v>
      </c>
      <c r="T103" s="479">
        <v>-17792.565274</v>
      </c>
      <c r="U103" s="479">
        <v>-18313.991255000001</v>
      </c>
      <c r="V103" s="479">
        <v>-15710.076687999999</v>
      </c>
      <c r="W103" s="479">
        <v>-15006.739648000001</v>
      </c>
      <c r="X103" s="479">
        <v>-17027.706954000001</v>
      </c>
      <c r="Y103" s="479">
        <v>-15710.076687999999</v>
      </c>
      <c r="Z103" s="479"/>
      <c r="AA103" s="479"/>
      <c r="AB103" s="479"/>
      <c r="AC103" s="479">
        <v>-17651</v>
      </c>
      <c r="AD103" s="479">
        <v>-16046</v>
      </c>
      <c r="AE103" s="479">
        <v>-17969</v>
      </c>
      <c r="AF103" s="479">
        <v>-18256</v>
      </c>
      <c r="AG103" s="479">
        <v>-18138</v>
      </c>
      <c r="AH103" s="479">
        <v>-15928</v>
      </c>
      <c r="AI103" s="479">
        <v>-17923</v>
      </c>
      <c r="AJ103" s="479">
        <v>-18444</v>
      </c>
      <c r="AK103" s="479">
        <v>-15840.376688</v>
      </c>
      <c r="AL103" s="479">
        <v>-15137.039648</v>
      </c>
      <c r="AM103" s="479">
        <v>-17158.006954</v>
      </c>
      <c r="AN103" s="479">
        <v>-14603.075318000001</v>
      </c>
      <c r="AQ103" s="341"/>
    </row>
    <row r="104" spans="2:43" s="141" customFormat="1" x14ac:dyDescent="0.3">
      <c r="B104" s="61" t="s">
        <v>518</v>
      </c>
      <c r="C104" s="141" t="s">
        <v>368</v>
      </c>
      <c r="D104" s="479">
        <f t="shared" si="9"/>
        <v>-1376.951108</v>
      </c>
      <c r="E104" s="479">
        <f t="shared" si="9"/>
        <v>-1794.3367189999999</v>
      </c>
      <c r="F104" s="479">
        <f t="shared" si="9"/>
        <v>-2618.0447020000001</v>
      </c>
      <c r="G104" s="217"/>
      <c r="H104" s="479">
        <f t="shared" si="11"/>
        <v>-1377</v>
      </c>
      <c r="I104" s="479">
        <f t="shared" si="10"/>
        <v>-1794</v>
      </c>
      <c r="J104" s="479">
        <f t="shared" si="10"/>
        <v>-6293.7200079999993</v>
      </c>
      <c r="M104" s="479"/>
      <c r="N104" s="479">
        <v>-1376.951108</v>
      </c>
      <c r="O104" s="479">
        <v>-1517.425657</v>
      </c>
      <c r="P104" s="479">
        <v>-1805.83771</v>
      </c>
      <c r="Q104" s="479">
        <v>-1587.4179810000001</v>
      </c>
      <c r="R104" s="479">
        <v>-1794.3367189999999</v>
      </c>
      <c r="S104" s="479">
        <v>-2063.0732929999999</v>
      </c>
      <c r="T104" s="479">
        <v>-2624.4474230000001</v>
      </c>
      <c r="U104" s="479">
        <v>-2135.0538299999998</v>
      </c>
      <c r="V104" s="479">
        <v>-2618.0447020000001</v>
      </c>
      <c r="W104" s="479">
        <v>-3345.6624959999999</v>
      </c>
      <c r="X104" s="479">
        <v>-4788.2438229999998</v>
      </c>
      <c r="Y104" s="479">
        <v>-2618.0447020000001</v>
      </c>
      <c r="Z104" s="479"/>
      <c r="AA104" s="479"/>
      <c r="AB104" s="479"/>
      <c r="AC104" s="479">
        <v>-1377</v>
      </c>
      <c r="AD104" s="479">
        <v>-1517</v>
      </c>
      <c r="AE104" s="479">
        <v>-1806</v>
      </c>
      <c r="AF104" s="479">
        <v>-1587</v>
      </c>
      <c r="AG104" s="479">
        <v>-1794</v>
      </c>
      <c r="AH104" s="479">
        <v>-2063</v>
      </c>
      <c r="AI104" s="479">
        <v>-2624</v>
      </c>
      <c r="AJ104" s="479">
        <v>-2135</v>
      </c>
      <c r="AK104" s="479">
        <v>-2618.0447020000001</v>
      </c>
      <c r="AL104" s="479">
        <v>-3345.6624959999999</v>
      </c>
      <c r="AM104" s="479">
        <v>-4788.2438229999998</v>
      </c>
      <c r="AN104" s="479">
        <v>-6293.7200079999993</v>
      </c>
      <c r="AQ104" s="341"/>
    </row>
    <row r="105" spans="2:43" s="141" customFormat="1" x14ac:dyDescent="0.3">
      <c r="B105" s="61" t="s">
        <v>519</v>
      </c>
      <c r="C105" s="141" t="s">
        <v>369</v>
      </c>
      <c r="D105" s="479" t="str">
        <f t="shared" si="9"/>
        <v/>
      </c>
      <c r="E105" s="479" t="str">
        <f t="shared" si="9"/>
        <v/>
      </c>
      <c r="F105" s="479" t="str">
        <f t="shared" si="9"/>
        <v/>
      </c>
      <c r="G105" s="217"/>
      <c r="H105" s="479" t="str">
        <f t="shared" si="11"/>
        <v/>
      </c>
      <c r="I105" s="479" t="str">
        <f t="shared" si="10"/>
        <v/>
      </c>
      <c r="J105" s="479" t="str">
        <f t="shared" si="10"/>
        <v/>
      </c>
      <c r="M105" s="479"/>
      <c r="N105" s="479">
        <v>0</v>
      </c>
      <c r="O105" s="479">
        <v>0</v>
      </c>
      <c r="P105" s="479">
        <v>0</v>
      </c>
      <c r="Q105" s="479">
        <v>0</v>
      </c>
      <c r="R105" s="479">
        <v>0</v>
      </c>
      <c r="S105" s="479">
        <v>0</v>
      </c>
      <c r="T105" s="479">
        <v>0</v>
      </c>
      <c r="U105" s="479">
        <v>0</v>
      </c>
      <c r="V105" s="479">
        <v>0</v>
      </c>
      <c r="W105" s="479">
        <v>0</v>
      </c>
      <c r="X105" s="479">
        <v>0</v>
      </c>
      <c r="Y105" s="479">
        <v>0</v>
      </c>
      <c r="Z105" s="479"/>
      <c r="AA105" s="479"/>
      <c r="AB105" s="479"/>
      <c r="AC105" s="479">
        <v>0</v>
      </c>
      <c r="AD105" s="479">
        <v>0</v>
      </c>
      <c r="AE105" s="479">
        <v>0</v>
      </c>
      <c r="AF105" s="479">
        <v>0</v>
      </c>
      <c r="AG105" s="479">
        <v>0</v>
      </c>
      <c r="AH105" s="479">
        <v>0</v>
      </c>
      <c r="AI105" s="479">
        <v>0</v>
      </c>
      <c r="AJ105" s="479">
        <v>0</v>
      </c>
      <c r="AK105" s="479">
        <v>0</v>
      </c>
      <c r="AL105" s="479">
        <v>0</v>
      </c>
      <c r="AM105" s="479">
        <v>0</v>
      </c>
      <c r="AN105" s="479" t="s">
        <v>1292</v>
      </c>
      <c r="AQ105" s="341"/>
    </row>
    <row r="106" spans="2:43" s="141" customFormat="1" x14ac:dyDescent="0.3">
      <c r="B106" s="61" t="s">
        <v>839</v>
      </c>
      <c r="C106" s="141" t="s">
        <v>840</v>
      </c>
      <c r="D106" s="479" t="str">
        <f t="shared" ref="D106:F125" si="12">IF(HLOOKUP(D$5,$M$5:$Y$370,ROW()-ROW($F$4),FALSE)=0,"",HLOOKUP(D$5,$M$5:$Y$370,ROW()-ROW($F$4),FALSE))</f>
        <v/>
      </c>
      <c r="E106" s="479" t="str">
        <f t="shared" si="12"/>
        <v/>
      </c>
      <c r="F106" s="479" t="str">
        <f t="shared" si="12"/>
        <v/>
      </c>
      <c r="G106" s="217"/>
      <c r="H106" s="479" t="str">
        <f t="shared" si="11"/>
        <v/>
      </c>
      <c r="I106" s="479" t="str">
        <f t="shared" ref="I106:J125" si="13">IF(HLOOKUP(I$5,$AB$5:$AN$370,ROW()-ROW($J$4),FALSE)=0,"",HLOOKUP(I$5,$AB$5:$AN$370,ROW()-ROW($J$4),FALSE))</f>
        <v/>
      </c>
      <c r="J106" s="479" t="str">
        <f t="shared" si="13"/>
        <v/>
      </c>
      <c r="M106" s="479"/>
      <c r="N106" s="479">
        <v>0</v>
      </c>
      <c r="O106" s="479">
        <v>0</v>
      </c>
      <c r="P106" s="479">
        <v>0</v>
      </c>
      <c r="Q106" s="479">
        <v>0</v>
      </c>
      <c r="R106" s="479">
        <v>0</v>
      </c>
      <c r="S106" s="479">
        <v>0</v>
      </c>
      <c r="T106" s="479">
        <v>0</v>
      </c>
      <c r="U106" s="479">
        <v>0</v>
      </c>
      <c r="V106" s="479">
        <v>0</v>
      </c>
      <c r="W106" s="479">
        <v>0</v>
      </c>
      <c r="X106" s="479">
        <v>0</v>
      </c>
      <c r="Y106" s="479">
        <v>0</v>
      </c>
      <c r="Z106" s="479"/>
      <c r="AA106" s="479"/>
      <c r="AB106" s="479"/>
      <c r="AC106" s="479">
        <v>0</v>
      </c>
      <c r="AD106" s="479">
        <v>0</v>
      </c>
      <c r="AE106" s="479">
        <v>0</v>
      </c>
      <c r="AF106" s="479">
        <v>0</v>
      </c>
      <c r="AG106" s="479">
        <v>0</v>
      </c>
      <c r="AH106" s="479">
        <v>0</v>
      </c>
      <c r="AI106" s="479">
        <v>0</v>
      </c>
      <c r="AJ106" s="479">
        <v>0</v>
      </c>
      <c r="AK106" s="479">
        <v>0</v>
      </c>
      <c r="AL106" s="479">
        <v>0</v>
      </c>
      <c r="AM106" s="479">
        <v>0</v>
      </c>
      <c r="AN106" s="479" t="s">
        <v>1292</v>
      </c>
      <c r="AQ106" s="341"/>
    </row>
    <row r="107" spans="2:43" s="141" customFormat="1" x14ac:dyDescent="0.3">
      <c r="B107" s="61" t="s">
        <v>841</v>
      </c>
      <c r="C107" s="141" t="s">
        <v>842</v>
      </c>
      <c r="D107" s="479">
        <f t="shared" si="12"/>
        <v>311921.33554499998</v>
      </c>
      <c r="E107" s="479">
        <f t="shared" si="12"/>
        <v>715616.12171600002</v>
      </c>
      <c r="F107" s="479">
        <f t="shared" si="12"/>
        <v>871573.72784900002</v>
      </c>
      <c r="G107" s="217"/>
      <c r="H107" s="479">
        <f t="shared" si="11"/>
        <v>311921</v>
      </c>
      <c r="I107" s="479">
        <f t="shared" si="13"/>
        <v>715616</v>
      </c>
      <c r="J107" s="479">
        <f t="shared" si="13"/>
        <v>1038391.2448090001</v>
      </c>
      <c r="M107" s="479"/>
      <c r="N107" s="479">
        <v>311921.33554499998</v>
      </c>
      <c r="O107" s="479">
        <v>311718.31897299999</v>
      </c>
      <c r="P107" s="479">
        <v>500037.31715800002</v>
      </c>
      <c r="Q107" s="479">
        <v>565842.54978799995</v>
      </c>
      <c r="R107" s="479">
        <v>715616.12171600002</v>
      </c>
      <c r="S107" s="479">
        <v>715821.52006000001</v>
      </c>
      <c r="T107" s="479">
        <v>761752.04307300004</v>
      </c>
      <c r="U107" s="479">
        <v>872042.84654000006</v>
      </c>
      <c r="V107" s="479">
        <v>871573.72784900002</v>
      </c>
      <c r="W107" s="479">
        <v>999949.06534600002</v>
      </c>
      <c r="X107" s="479">
        <v>1093595.1899659999</v>
      </c>
      <c r="Y107" s="479">
        <v>871573.72784900002</v>
      </c>
      <c r="Z107" s="479"/>
      <c r="AA107" s="479"/>
      <c r="AB107" s="479"/>
      <c r="AC107" s="479">
        <v>311921</v>
      </c>
      <c r="AD107" s="479">
        <v>311718</v>
      </c>
      <c r="AE107" s="479">
        <v>500037</v>
      </c>
      <c r="AF107" s="479">
        <v>565843</v>
      </c>
      <c r="AG107" s="479">
        <v>715616</v>
      </c>
      <c r="AH107" s="479">
        <v>715822</v>
      </c>
      <c r="AI107" s="479">
        <v>761752</v>
      </c>
      <c r="AJ107" s="479">
        <v>872043</v>
      </c>
      <c r="AK107" s="479">
        <v>871573.72784900002</v>
      </c>
      <c r="AL107" s="479">
        <v>999949.06534600002</v>
      </c>
      <c r="AM107" s="479">
        <v>1093595.1899659999</v>
      </c>
      <c r="AN107" s="479">
        <v>1038391.2448090001</v>
      </c>
      <c r="AQ107" s="341"/>
    </row>
    <row r="108" spans="2:43" s="141" customFormat="1" x14ac:dyDescent="0.3">
      <c r="B108" s="61" t="s">
        <v>843</v>
      </c>
      <c r="C108" s="141" t="s">
        <v>844</v>
      </c>
      <c r="D108" s="479">
        <f t="shared" si="12"/>
        <v>426808.634854</v>
      </c>
      <c r="E108" s="479">
        <f t="shared" si="12"/>
        <v>442086.61842900002</v>
      </c>
      <c r="F108" s="479">
        <f t="shared" si="12"/>
        <v>417481.76951299998</v>
      </c>
      <c r="G108" s="217"/>
      <c r="H108" s="479">
        <f t="shared" si="11"/>
        <v>426809</v>
      </c>
      <c r="I108" s="479">
        <f t="shared" si="13"/>
        <v>442087</v>
      </c>
      <c r="J108" s="479">
        <f t="shared" si="13"/>
        <v>385927.75622400001</v>
      </c>
      <c r="M108" s="479"/>
      <c r="N108" s="479">
        <v>426808.634854</v>
      </c>
      <c r="O108" s="479">
        <v>436336.38984700001</v>
      </c>
      <c r="P108" s="479">
        <v>442032.42677600001</v>
      </c>
      <c r="Q108" s="479">
        <v>442948.65577999997</v>
      </c>
      <c r="R108" s="479">
        <v>442086.61842900002</v>
      </c>
      <c r="S108" s="479">
        <v>441680.03826100001</v>
      </c>
      <c r="T108" s="479">
        <v>439197.18007399997</v>
      </c>
      <c r="U108" s="479">
        <v>429508.17320800002</v>
      </c>
      <c r="V108" s="479">
        <v>417481.76951299998</v>
      </c>
      <c r="W108" s="479">
        <v>409923.181048</v>
      </c>
      <c r="X108" s="479">
        <v>396702.69208299997</v>
      </c>
      <c r="Y108" s="479">
        <v>417481.76951299998</v>
      </c>
      <c r="Z108" s="479"/>
      <c r="AA108" s="479"/>
      <c r="AB108" s="479"/>
      <c r="AC108" s="479">
        <v>426809</v>
      </c>
      <c r="AD108" s="479">
        <v>436336</v>
      </c>
      <c r="AE108" s="479">
        <v>442032</v>
      </c>
      <c r="AF108" s="479">
        <v>442949</v>
      </c>
      <c r="AG108" s="479">
        <v>442087</v>
      </c>
      <c r="AH108" s="479">
        <v>441680</v>
      </c>
      <c r="AI108" s="479">
        <v>439197</v>
      </c>
      <c r="AJ108" s="479">
        <v>429508</v>
      </c>
      <c r="AK108" s="479">
        <v>417481.76951299998</v>
      </c>
      <c r="AL108" s="479">
        <v>409923.181048</v>
      </c>
      <c r="AM108" s="479">
        <v>396702.69208299997</v>
      </c>
      <c r="AN108" s="479">
        <v>385927.75622400001</v>
      </c>
      <c r="AQ108" s="341"/>
    </row>
    <row r="109" spans="2:43" s="141" customFormat="1" x14ac:dyDescent="0.3">
      <c r="B109" s="61" t="s">
        <v>845</v>
      </c>
      <c r="C109" s="141" t="s">
        <v>846</v>
      </c>
      <c r="D109" s="479" t="str">
        <f t="shared" si="12"/>
        <v/>
      </c>
      <c r="E109" s="479" t="str">
        <f t="shared" si="12"/>
        <v/>
      </c>
      <c r="F109" s="479" t="str">
        <f t="shared" si="12"/>
        <v/>
      </c>
      <c r="G109" s="217"/>
      <c r="H109" s="479" t="str">
        <f t="shared" si="11"/>
        <v/>
      </c>
      <c r="I109" s="479" t="str">
        <f t="shared" si="13"/>
        <v/>
      </c>
      <c r="J109" s="479" t="str">
        <f t="shared" si="13"/>
        <v/>
      </c>
      <c r="M109" s="479"/>
      <c r="N109" s="479">
        <v>0</v>
      </c>
      <c r="O109" s="479">
        <v>0</v>
      </c>
      <c r="P109" s="479">
        <v>0</v>
      </c>
      <c r="Q109" s="479">
        <v>0</v>
      </c>
      <c r="R109" s="479">
        <v>0</v>
      </c>
      <c r="S109" s="479">
        <v>0</v>
      </c>
      <c r="T109" s="479">
        <v>0</v>
      </c>
      <c r="U109" s="479">
        <v>0</v>
      </c>
      <c r="V109" s="479">
        <v>0</v>
      </c>
      <c r="W109" s="479">
        <v>0</v>
      </c>
      <c r="X109" s="479">
        <v>0</v>
      </c>
      <c r="Y109" s="479">
        <v>0</v>
      </c>
      <c r="Z109" s="479"/>
      <c r="AA109" s="479"/>
      <c r="AB109" s="479"/>
      <c r="AC109" s="479">
        <v>0</v>
      </c>
      <c r="AD109" s="479">
        <v>0</v>
      </c>
      <c r="AE109" s="479">
        <v>0</v>
      </c>
      <c r="AF109" s="479">
        <v>0</v>
      </c>
      <c r="AG109" s="479">
        <v>0</v>
      </c>
      <c r="AH109" s="479">
        <v>0</v>
      </c>
      <c r="AI109" s="479">
        <v>0</v>
      </c>
      <c r="AJ109" s="479">
        <v>0</v>
      </c>
      <c r="AK109" s="479">
        <v>0</v>
      </c>
      <c r="AL109" s="479">
        <v>0</v>
      </c>
      <c r="AM109" s="479">
        <v>0</v>
      </c>
      <c r="AN109" s="479" t="s">
        <v>1292</v>
      </c>
      <c r="AQ109" s="341"/>
    </row>
    <row r="110" spans="2:43" s="141" customFormat="1" x14ac:dyDescent="0.3">
      <c r="B110" s="61" t="s">
        <v>520</v>
      </c>
      <c r="C110" s="141" t="s">
        <v>370</v>
      </c>
      <c r="D110" s="479" t="str">
        <f t="shared" si="12"/>
        <v/>
      </c>
      <c r="E110" s="479" t="str">
        <f t="shared" si="12"/>
        <v/>
      </c>
      <c r="F110" s="479" t="str">
        <f t="shared" si="12"/>
        <v/>
      </c>
      <c r="G110" s="217"/>
      <c r="H110" s="479" t="str">
        <f t="shared" si="11"/>
        <v/>
      </c>
      <c r="I110" s="479" t="str">
        <f t="shared" si="13"/>
        <v/>
      </c>
      <c r="J110" s="479" t="str">
        <f t="shared" si="13"/>
        <v/>
      </c>
      <c r="M110" s="479"/>
      <c r="N110" s="479">
        <v>0</v>
      </c>
      <c r="O110" s="479">
        <v>0</v>
      </c>
      <c r="P110" s="479">
        <v>0</v>
      </c>
      <c r="Q110" s="479">
        <v>0</v>
      </c>
      <c r="R110" s="479">
        <v>0</v>
      </c>
      <c r="S110" s="479">
        <v>0</v>
      </c>
      <c r="T110" s="479">
        <v>0</v>
      </c>
      <c r="U110" s="479">
        <v>0</v>
      </c>
      <c r="V110" s="479">
        <v>0</v>
      </c>
      <c r="W110" s="479">
        <v>0</v>
      </c>
      <c r="X110" s="479">
        <v>0</v>
      </c>
      <c r="Y110" s="479">
        <v>0</v>
      </c>
      <c r="Z110" s="479"/>
      <c r="AA110" s="479"/>
      <c r="AB110" s="479"/>
      <c r="AC110" s="479">
        <v>0</v>
      </c>
      <c r="AD110" s="479">
        <v>0</v>
      </c>
      <c r="AE110" s="479">
        <v>0</v>
      </c>
      <c r="AF110" s="479">
        <v>0</v>
      </c>
      <c r="AG110" s="479">
        <v>0</v>
      </c>
      <c r="AH110" s="479">
        <v>0</v>
      </c>
      <c r="AI110" s="479">
        <v>0</v>
      </c>
      <c r="AJ110" s="479">
        <v>0</v>
      </c>
      <c r="AK110" s="479">
        <v>0</v>
      </c>
      <c r="AL110" s="479">
        <v>0</v>
      </c>
      <c r="AM110" s="479">
        <v>0</v>
      </c>
      <c r="AN110" s="479" t="s">
        <v>1292</v>
      </c>
      <c r="AQ110" s="341"/>
    </row>
    <row r="111" spans="2:43" s="141" customFormat="1" x14ac:dyDescent="0.3">
      <c r="B111" s="61" t="s">
        <v>521</v>
      </c>
      <c r="C111" s="141" t="s">
        <v>371</v>
      </c>
      <c r="D111" s="479" t="str">
        <f t="shared" si="12"/>
        <v/>
      </c>
      <c r="E111" s="479" t="str">
        <f t="shared" si="12"/>
        <v/>
      </c>
      <c r="F111" s="479" t="str">
        <f t="shared" si="12"/>
        <v/>
      </c>
      <c r="G111" s="217"/>
      <c r="H111" s="479" t="str">
        <f t="shared" si="11"/>
        <v/>
      </c>
      <c r="I111" s="479" t="str">
        <f t="shared" si="13"/>
        <v/>
      </c>
      <c r="J111" s="479" t="str">
        <f t="shared" si="13"/>
        <v/>
      </c>
      <c r="M111" s="479"/>
      <c r="N111" s="479">
        <v>0</v>
      </c>
      <c r="O111" s="479">
        <v>0</v>
      </c>
      <c r="P111" s="479">
        <v>0</v>
      </c>
      <c r="Q111" s="479">
        <v>0</v>
      </c>
      <c r="R111" s="479">
        <v>0</v>
      </c>
      <c r="S111" s="479">
        <v>0</v>
      </c>
      <c r="T111" s="479">
        <v>0</v>
      </c>
      <c r="U111" s="479">
        <v>0</v>
      </c>
      <c r="V111" s="479">
        <v>0</v>
      </c>
      <c r="W111" s="479">
        <v>0</v>
      </c>
      <c r="X111" s="479">
        <v>0</v>
      </c>
      <c r="Y111" s="479">
        <v>0</v>
      </c>
      <c r="Z111" s="479"/>
      <c r="AA111" s="479"/>
      <c r="AB111" s="479"/>
      <c r="AC111" s="479">
        <v>0</v>
      </c>
      <c r="AD111" s="479">
        <v>0</v>
      </c>
      <c r="AE111" s="479">
        <v>0</v>
      </c>
      <c r="AF111" s="479">
        <v>0</v>
      </c>
      <c r="AG111" s="479">
        <v>0</v>
      </c>
      <c r="AH111" s="479">
        <v>0</v>
      </c>
      <c r="AI111" s="479">
        <v>0</v>
      </c>
      <c r="AJ111" s="479">
        <v>0</v>
      </c>
      <c r="AK111" s="479">
        <v>0</v>
      </c>
      <c r="AL111" s="479">
        <v>0</v>
      </c>
      <c r="AM111" s="479">
        <v>0</v>
      </c>
      <c r="AN111" s="479" t="s">
        <v>1292</v>
      </c>
      <c r="AQ111" s="341"/>
    </row>
    <row r="112" spans="2:43" s="141" customFormat="1" x14ac:dyDescent="0.3">
      <c r="B112" s="61" t="s">
        <v>522</v>
      </c>
      <c r="C112" s="141" t="s">
        <v>372</v>
      </c>
      <c r="D112" s="479" t="str">
        <f t="shared" si="12"/>
        <v/>
      </c>
      <c r="E112" s="479" t="str">
        <f t="shared" si="12"/>
        <v/>
      </c>
      <c r="F112" s="479" t="str">
        <f t="shared" si="12"/>
        <v/>
      </c>
      <c r="G112" s="217"/>
      <c r="H112" s="479" t="str">
        <f t="shared" si="11"/>
        <v/>
      </c>
      <c r="I112" s="479" t="str">
        <f t="shared" si="13"/>
        <v/>
      </c>
      <c r="J112" s="479" t="str">
        <f t="shared" si="13"/>
        <v/>
      </c>
      <c r="M112" s="479"/>
      <c r="N112" s="479">
        <v>0</v>
      </c>
      <c r="O112" s="479">
        <v>0</v>
      </c>
      <c r="P112" s="479">
        <v>0</v>
      </c>
      <c r="Q112" s="479">
        <v>0</v>
      </c>
      <c r="R112" s="479">
        <v>0</v>
      </c>
      <c r="S112" s="479">
        <v>0</v>
      </c>
      <c r="T112" s="479">
        <v>0</v>
      </c>
      <c r="U112" s="479">
        <v>0</v>
      </c>
      <c r="V112" s="479">
        <v>0</v>
      </c>
      <c r="W112" s="479">
        <v>0</v>
      </c>
      <c r="X112" s="479">
        <v>0</v>
      </c>
      <c r="Y112" s="479">
        <v>0</v>
      </c>
      <c r="Z112" s="479"/>
      <c r="AA112" s="479"/>
      <c r="AB112" s="479"/>
      <c r="AC112" s="479">
        <v>0</v>
      </c>
      <c r="AD112" s="479">
        <v>0</v>
      </c>
      <c r="AE112" s="479">
        <v>0</v>
      </c>
      <c r="AF112" s="479">
        <v>0</v>
      </c>
      <c r="AG112" s="479">
        <v>0</v>
      </c>
      <c r="AH112" s="479">
        <v>0</v>
      </c>
      <c r="AI112" s="479">
        <v>0</v>
      </c>
      <c r="AJ112" s="479">
        <v>0</v>
      </c>
      <c r="AK112" s="479">
        <v>0</v>
      </c>
      <c r="AL112" s="479">
        <v>0</v>
      </c>
      <c r="AM112" s="479">
        <v>0</v>
      </c>
      <c r="AN112" s="479" t="s">
        <v>1292</v>
      </c>
      <c r="AQ112" s="341"/>
    </row>
    <row r="113" spans="2:43" s="141" customFormat="1" x14ac:dyDescent="0.3">
      <c r="B113" s="61" t="s">
        <v>847</v>
      </c>
      <c r="C113" s="141" t="s">
        <v>373</v>
      </c>
      <c r="D113" s="479">
        <f t="shared" si="12"/>
        <v>304071.811873</v>
      </c>
      <c r="E113" s="479">
        <f t="shared" si="12"/>
        <v>488183.93565900001</v>
      </c>
      <c r="F113" s="479">
        <f t="shared" si="12"/>
        <v>715806.29604199994</v>
      </c>
      <c r="G113" s="217"/>
      <c r="H113" s="479">
        <f t="shared" si="11"/>
        <v>304072</v>
      </c>
      <c r="I113" s="479">
        <f t="shared" si="13"/>
        <v>488184</v>
      </c>
      <c r="J113" s="479">
        <f t="shared" si="13"/>
        <v>878523.10228600004</v>
      </c>
      <c r="M113" s="479"/>
      <c r="N113" s="479">
        <v>304071.811873</v>
      </c>
      <c r="O113" s="479">
        <v>300919.74122700002</v>
      </c>
      <c r="P113" s="479">
        <v>388636.75324599998</v>
      </c>
      <c r="Q113" s="479">
        <v>404175.45078499999</v>
      </c>
      <c r="R113" s="479">
        <v>488183.93565900001</v>
      </c>
      <c r="S113" s="479">
        <v>506555.174321</v>
      </c>
      <c r="T113" s="479">
        <v>654014.66011699999</v>
      </c>
      <c r="U113" s="479">
        <v>644570.63284400001</v>
      </c>
      <c r="V113" s="479">
        <v>715806.29604199994</v>
      </c>
      <c r="W113" s="479">
        <v>708257.90309299994</v>
      </c>
      <c r="X113" s="479">
        <v>776598.88891800004</v>
      </c>
      <c r="Y113" s="479">
        <v>715806.29604199994</v>
      </c>
      <c r="Z113" s="479"/>
      <c r="AA113" s="479"/>
      <c r="AB113" s="479"/>
      <c r="AC113" s="479">
        <v>304072</v>
      </c>
      <c r="AD113" s="479">
        <v>300920</v>
      </c>
      <c r="AE113" s="479">
        <v>388637</v>
      </c>
      <c r="AF113" s="479">
        <v>404175</v>
      </c>
      <c r="AG113" s="479">
        <v>488184</v>
      </c>
      <c r="AH113" s="479">
        <v>506555</v>
      </c>
      <c r="AI113" s="479">
        <v>654015</v>
      </c>
      <c r="AJ113" s="479">
        <v>644571</v>
      </c>
      <c r="AK113" s="479">
        <v>715806.29604199994</v>
      </c>
      <c r="AL113" s="479">
        <v>708257.90309299994</v>
      </c>
      <c r="AM113" s="479">
        <v>776598.88891800004</v>
      </c>
      <c r="AN113" s="479">
        <v>878523.10228600004</v>
      </c>
      <c r="AQ113" s="341"/>
    </row>
    <row r="114" spans="2:43" s="141" customFormat="1" x14ac:dyDescent="0.3">
      <c r="B114" s="61" t="s">
        <v>848</v>
      </c>
      <c r="C114" s="141" t="s">
        <v>374</v>
      </c>
      <c r="D114" s="479">
        <f t="shared" si="12"/>
        <v>944260.72885099996</v>
      </c>
      <c r="E114" s="479">
        <f t="shared" si="12"/>
        <v>938368.96700599999</v>
      </c>
      <c r="F114" s="479">
        <f t="shared" si="12"/>
        <v>1069080.347482</v>
      </c>
      <c r="G114" s="217"/>
      <c r="H114" s="479">
        <f t="shared" si="11"/>
        <v>945836</v>
      </c>
      <c r="I114" s="479">
        <f t="shared" si="13"/>
        <v>938904</v>
      </c>
      <c r="J114" s="479">
        <f t="shared" si="13"/>
        <v>1149518.1737200001</v>
      </c>
      <c r="M114" s="479"/>
      <c r="N114" s="479">
        <v>944260.72885099996</v>
      </c>
      <c r="O114" s="479">
        <v>851564.74400599999</v>
      </c>
      <c r="P114" s="479">
        <v>864742.74586799997</v>
      </c>
      <c r="Q114" s="479">
        <v>883012.45120200003</v>
      </c>
      <c r="R114" s="479">
        <v>938368.96700599999</v>
      </c>
      <c r="S114" s="479">
        <v>934472.06002600002</v>
      </c>
      <c r="T114" s="479">
        <v>1018017.348636</v>
      </c>
      <c r="U114" s="479">
        <v>1020797.629346</v>
      </c>
      <c r="V114" s="479">
        <v>1069080.347482</v>
      </c>
      <c r="W114" s="479">
        <v>1093338.5451559999</v>
      </c>
      <c r="X114" s="479">
        <v>1098905.3541979999</v>
      </c>
      <c r="Y114" s="479">
        <v>1069080.347482</v>
      </c>
      <c r="Z114" s="479"/>
      <c r="AA114" s="479"/>
      <c r="AB114" s="479"/>
      <c r="AC114" s="479">
        <v>945836</v>
      </c>
      <c r="AD114" s="479">
        <v>852717</v>
      </c>
      <c r="AE114" s="479">
        <v>865656</v>
      </c>
      <c r="AF114" s="479">
        <v>883856</v>
      </c>
      <c r="AG114" s="479">
        <v>938904</v>
      </c>
      <c r="AH114" s="479">
        <v>934963</v>
      </c>
      <c r="AI114" s="479">
        <v>1018464</v>
      </c>
      <c r="AJ114" s="479">
        <v>1021102</v>
      </c>
      <c r="AK114" s="479">
        <v>1069393.547482</v>
      </c>
      <c r="AL114" s="479">
        <v>1093651.7451559999</v>
      </c>
      <c r="AM114" s="479">
        <v>1096876.8711059999</v>
      </c>
      <c r="AN114" s="479">
        <v>1149518.1737200001</v>
      </c>
      <c r="AQ114" s="341"/>
    </row>
    <row r="115" spans="2:43" s="141" customFormat="1" x14ac:dyDescent="0.3">
      <c r="B115" s="61" t="s">
        <v>849</v>
      </c>
      <c r="C115" s="141" t="s">
        <v>850</v>
      </c>
      <c r="D115" s="479">
        <f t="shared" si="12"/>
        <v>65998.221428000004</v>
      </c>
      <c r="E115" s="479">
        <f t="shared" si="12"/>
        <v>68631.157143999997</v>
      </c>
      <c r="F115" s="479">
        <f t="shared" si="12"/>
        <v>71357.842858999997</v>
      </c>
      <c r="G115" s="217"/>
      <c r="H115" s="479">
        <f t="shared" si="11"/>
        <v>65998</v>
      </c>
      <c r="I115" s="479">
        <f t="shared" si="13"/>
        <v>68631</v>
      </c>
      <c r="J115" s="479" t="str">
        <f t="shared" si="13"/>
        <v/>
      </c>
      <c r="M115" s="479"/>
      <c r="N115" s="479">
        <v>65998.221428000004</v>
      </c>
      <c r="O115" s="479">
        <v>66648.642856999999</v>
      </c>
      <c r="P115" s="479">
        <v>67299.064285999993</v>
      </c>
      <c r="Q115" s="479">
        <v>67949.485715000003</v>
      </c>
      <c r="R115" s="479">
        <v>68631.157143999997</v>
      </c>
      <c r="S115" s="479">
        <v>69312.828571999999</v>
      </c>
      <c r="T115" s="479">
        <v>69994.500000999993</v>
      </c>
      <c r="U115" s="479">
        <v>70676.171430000002</v>
      </c>
      <c r="V115" s="479">
        <v>71357.842858999997</v>
      </c>
      <c r="W115" s="479">
        <v>72039.514288000006</v>
      </c>
      <c r="X115" s="479">
        <v>72721.185717</v>
      </c>
      <c r="Y115" s="479">
        <v>71357.842858999997</v>
      </c>
      <c r="Z115" s="479"/>
      <c r="AA115" s="479"/>
      <c r="AB115" s="479"/>
      <c r="AC115" s="479">
        <v>65998</v>
      </c>
      <c r="AD115" s="479">
        <v>66649</v>
      </c>
      <c r="AE115" s="479">
        <v>67299</v>
      </c>
      <c r="AF115" s="479">
        <v>67949</v>
      </c>
      <c r="AG115" s="479">
        <v>68631</v>
      </c>
      <c r="AH115" s="479">
        <v>69313</v>
      </c>
      <c r="AI115" s="479">
        <v>69995</v>
      </c>
      <c r="AJ115" s="479">
        <v>70676</v>
      </c>
      <c r="AK115" s="479">
        <v>71357.842858999997</v>
      </c>
      <c r="AL115" s="479">
        <v>72039.514288000006</v>
      </c>
      <c r="AM115" s="479">
        <v>72721.185717</v>
      </c>
      <c r="AN115" s="479" t="s">
        <v>1292</v>
      </c>
      <c r="AQ115" s="341"/>
    </row>
    <row r="116" spans="2:43" s="141" customFormat="1" x14ac:dyDescent="0.3">
      <c r="B116" s="61" t="s">
        <v>851</v>
      </c>
      <c r="C116" s="141" t="s">
        <v>852</v>
      </c>
      <c r="D116" s="479" t="str">
        <f t="shared" si="12"/>
        <v/>
      </c>
      <c r="E116" s="479" t="str">
        <f t="shared" si="12"/>
        <v/>
      </c>
      <c r="F116" s="479" t="str">
        <f t="shared" si="12"/>
        <v/>
      </c>
      <c r="G116" s="217"/>
      <c r="H116" s="479" t="str">
        <f t="shared" si="11"/>
        <v/>
      </c>
      <c r="I116" s="479" t="str">
        <f t="shared" si="13"/>
        <v/>
      </c>
      <c r="J116" s="479" t="str">
        <f t="shared" si="13"/>
        <v/>
      </c>
      <c r="M116" s="479"/>
      <c r="N116" s="479">
        <v>0</v>
      </c>
      <c r="O116" s="479">
        <v>0</v>
      </c>
      <c r="P116" s="479">
        <v>0</v>
      </c>
      <c r="Q116" s="479">
        <v>0</v>
      </c>
      <c r="R116" s="479">
        <v>0</v>
      </c>
      <c r="S116" s="479">
        <v>0</v>
      </c>
      <c r="T116" s="479">
        <v>0</v>
      </c>
      <c r="U116" s="479">
        <v>0</v>
      </c>
      <c r="V116" s="479">
        <v>0</v>
      </c>
      <c r="W116" s="479">
        <v>0</v>
      </c>
      <c r="X116" s="479">
        <v>0</v>
      </c>
      <c r="Y116" s="479">
        <v>0</v>
      </c>
      <c r="Z116" s="479"/>
      <c r="AA116" s="479"/>
      <c r="AB116" s="479"/>
      <c r="AC116" s="479">
        <v>0</v>
      </c>
      <c r="AD116" s="479">
        <v>0</v>
      </c>
      <c r="AE116" s="479">
        <v>0</v>
      </c>
      <c r="AF116" s="479">
        <v>0</v>
      </c>
      <c r="AG116" s="479">
        <v>0</v>
      </c>
      <c r="AH116" s="479">
        <v>0</v>
      </c>
      <c r="AI116" s="479">
        <v>0</v>
      </c>
      <c r="AJ116" s="479">
        <v>0</v>
      </c>
      <c r="AK116" s="479">
        <v>0</v>
      </c>
      <c r="AL116" s="479">
        <v>0</v>
      </c>
      <c r="AM116" s="479">
        <v>0</v>
      </c>
      <c r="AN116" s="479" t="s">
        <v>1292</v>
      </c>
      <c r="AQ116" s="341"/>
    </row>
    <row r="117" spans="2:43" s="141" customFormat="1" x14ac:dyDescent="0.3">
      <c r="B117" s="61" t="s">
        <v>853</v>
      </c>
      <c r="C117" s="141" t="s">
        <v>854</v>
      </c>
      <c r="D117" s="479" t="str">
        <f t="shared" si="12"/>
        <v/>
      </c>
      <c r="E117" s="479" t="str">
        <f t="shared" si="12"/>
        <v/>
      </c>
      <c r="F117" s="479" t="str">
        <f t="shared" si="12"/>
        <v/>
      </c>
      <c r="G117" s="217"/>
      <c r="H117" s="479" t="str">
        <f t="shared" si="11"/>
        <v/>
      </c>
      <c r="I117" s="479" t="str">
        <f t="shared" si="13"/>
        <v/>
      </c>
      <c r="J117" s="479" t="str">
        <f t="shared" si="13"/>
        <v/>
      </c>
      <c r="M117" s="479"/>
      <c r="N117" s="479">
        <v>0</v>
      </c>
      <c r="O117" s="479">
        <v>0</v>
      </c>
      <c r="P117" s="479">
        <v>0</v>
      </c>
      <c r="Q117" s="479">
        <v>0</v>
      </c>
      <c r="R117" s="479">
        <v>0</v>
      </c>
      <c r="S117" s="479">
        <v>0</v>
      </c>
      <c r="T117" s="479">
        <v>0</v>
      </c>
      <c r="U117" s="479">
        <v>0</v>
      </c>
      <c r="V117" s="479">
        <v>0</v>
      </c>
      <c r="W117" s="479">
        <v>0</v>
      </c>
      <c r="X117" s="479">
        <v>0</v>
      </c>
      <c r="Y117" s="479">
        <v>0</v>
      </c>
      <c r="Z117" s="479"/>
      <c r="AA117" s="479"/>
      <c r="AB117" s="479"/>
      <c r="AC117" s="479">
        <v>0</v>
      </c>
      <c r="AD117" s="479">
        <v>0</v>
      </c>
      <c r="AE117" s="479">
        <v>0</v>
      </c>
      <c r="AF117" s="479">
        <v>0</v>
      </c>
      <c r="AG117" s="479">
        <v>0</v>
      </c>
      <c r="AH117" s="479">
        <v>0</v>
      </c>
      <c r="AI117" s="479">
        <v>0</v>
      </c>
      <c r="AJ117" s="479">
        <v>0</v>
      </c>
      <c r="AK117" s="479">
        <v>0</v>
      </c>
      <c r="AL117" s="479">
        <v>0</v>
      </c>
      <c r="AM117" s="479">
        <v>0</v>
      </c>
      <c r="AN117" s="479" t="s">
        <v>1292</v>
      </c>
      <c r="AQ117" s="341"/>
    </row>
    <row r="118" spans="2:43" s="141" customFormat="1" x14ac:dyDescent="0.3">
      <c r="B118" s="61" t="s">
        <v>526</v>
      </c>
      <c r="C118" s="141" t="s">
        <v>375</v>
      </c>
      <c r="D118" s="479">
        <f t="shared" si="12"/>
        <v>878262.50742299994</v>
      </c>
      <c r="E118" s="479">
        <f t="shared" si="12"/>
        <v>869737.80986200005</v>
      </c>
      <c r="F118" s="479">
        <f t="shared" si="12"/>
        <v>997722.50462300004</v>
      </c>
      <c r="G118" s="217"/>
      <c r="H118" s="479">
        <f t="shared" si="11"/>
        <v>879838</v>
      </c>
      <c r="I118" s="479">
        <f t="shared" si="13"/>
        <v>870273</v>
      </c>
      <c r="J118" s="479">
        <f t="shared" si="13"/>
        <v>1149518.1737200001</v>
      </c>
      <c r="M118" s="479"/>
      <c r="N118" s="479">
        <v>878262.50742299994</v>
      </c>
      <c r="O118" s="479">
        <v>784916.10114899999</v>
      </c>
      <c r="P118" s="479">
        <v>797443.68158199999</v>
      </c>
      <c r="Q118" s="479">
        <v>815062.96548699995</v>
      </c>
      <c r="R118" s="479">
        <v>869737.80986200005</v>
      </c>
      <c r="S118" s="479">
        <v>865159.23145399999</v>
      </c>
      <c r="T118" s="479">
        <v>948022.84863499994</v>
      </c>
      <c r="U118" s="479">
        <v>950121.45791600004</v>
      </c>
      <c r="V118" s="479">
        <v>997722.50462300004</v>
      </c>
      <c r="W118" s="479">
        <v>1021299.030868</v>
      </c>
      <c r="X118" s="479">
        <v>1026184.168481</v>
      </c>
      <c r="Y118" s="479">
        <v>997722.50462300004</v>
      </c>
      <c r="Z118" s="479"/>
      <c r="AA118" s="479"/>
      <c r="AB118" s="479"/>
      <c r="AC118" s="479">
        <v>879838</v>
      </c>
      <c r="AD118" s="479">
        <v>786068</v>
      </c>
      <c r="AE118" s="479">
        <v>798357</v>
      </c>
      <c r="AF118" s="479">
        <v>815906</v>
      </c>
      <c r="AG118" s="479">
        <v>870273</v>
      </c>
      <c r="AH118" s="479">
        <v>865650</v>
      </c>
      <c r="AI118" s="479">
        <v>948470</v>
      </c>
      <c r="AJ118" s="479">
        <v>950426</v>
      </c>
      <c r="AK118" s="479">
        <v>998035.704623</v>
      </c>
      <c r="AL118" s="479">
        <v>1021612.230868</v>
      </c>
      <c r="AM118" s="479">
        <v>1024155.685389</v>
      </c>
      <c r="AN118" s="479">
        <v>1149518.1737200001</v>
      </c>
      <c r="AQ118" s="341"/>
    </row>
    <row r="119" spans="2:43" s="141" customFormat="1" x14ac:dyDescent="0.3">
      <c r="B119" s="61" t="s">
        <v>527</v>
      </c>
      <c r="C119" s="141" t="s">
        <v>376</v>
      </c>
      <c r="D119" s="479">
        <f t="shared" si="12"/>
        <v>69213.985925999994</v>
      </c>
      <c r="E119" s="479">
        <f t="shared" si="12"/>
        <v>70789.973725999997</v>
      </c>
      <c r="F119" s="479">
        <f t="shared" si="12"/>
        <v>72222.601030999998</v>
      </c>
      <c r="G119" s="217"/>
      <c r="H119" s="479">
        <f t="shared" si="11"/>
        <v>69214</v>
      </c>
      <c r="I119" s="479">
        <f t="shared" si="13"/>
        <v>70790</v>
      </c>
      <c r="J119" s="479">
        <f t="shared" si="13"/>
        <v>111336.33986699999</v>
      </c>
      <c r="M119" s="479"/>
      <c r="N119" s="479">
        <v>69213.985925999994</v>
      </c>
      <c r="O119" s="479">
        <v>69572.991876</v>
      </c>
      <c r="P119" s="479">
        <v>69931.997826000006</v>
      </c>
      <c r="Q119" s="479">
        <v>70291.003777000005</v>
      </c>
      <c r="R119" s="479">
        <v>70789.973725999997</v>
      </c>
      <c r="S119" s="479">
        <v>71009.015675999995</v>
      </c>
      <c r="T119" s="479">
        <v>71368.021626000002</v>
      </c>
      <c r="U119" s="479">
        <v>71795.352576999998</v>
      </c>
      <c r="V119" s="479">
        <v>72222.601030999998</v>
      </c>
      <c r="W119" s="479">
        <v>72477.810440999994</v>
      </c>
      <c r="X119" s="479">
        <v>72848.279465</v>
      </c>
      <c r="Y119" s="479">
        <v>72222.601030999998</v>
      </c>
      <c r="Z119" s="479"/>
      <c r="AA119" s="479"/>
      <c r="AB119" s="479"/>
      <c r="AC119" s="479">
        <v>69214</v>
      </c>
      <c r="AD119" s="479">
        <v>69573</v>
      </c>
      <c r="AE119" s="479">
        <v>69932</v>
      </c>
      <c r="AF119" s="479">
        <v>70291</v>
      </c>
      <c r="AG119" s="479">
        <v>70790</v>
      </c>
      <c r="AH119" s="479">
        <v>71009</v>
      </c>
      <c r="AI119" s="479">
        <v>71368</v>
      </c>
      <c r="AJ119" s="479">
        <v>71795</v>
      </c>
      <c r="AK119" s="479">
        <v>72222.601030999998</v>
      </c>
      <c r="AL119" s="479">
        <v>72477.810440999994</v>
      </c>
      <c r="AM119" s="479">
        <v>113202.491054</v>
      </c>
      <c r="AN119" s="479">
        <v>111336.33986699999</v>
      </c>
      <c r="AQ119" s="341"/>
    </row>
    <row r="120" spans="2:43" s="141" customFormat="1" x14ac:dyDescent="0.3">
      <c r="B120" s="61" t="s">
        <v>528</v>
      </c>
      <c r="C120" s="141" t="s">
        <v>377</v>
      </c>
      <c r="D120" s="479" t="str">
        <f t="shared" si="12"/>
        <v/>
      </c>
      <c r="E120" s="479" t="str">
        <f t="shared" si="12"/>
        <v/>
      </c>
      <c r="F120" s="479">
        <f t="shared" si="12"/>
        <v>-78.813169000000002</v>
      </c>
      <c r="G120" s="217"/>
      <c r="H120" s="479" t="str">
        <f t="shared" si="11"/>
        <v/>
      </c>
      <c r="I120" s="479" t="str">
        <f t="shared" si="13"/>
        <v/>
      </c>
      <c r="J120" s="479">
        <f t="shared" si="13"/>
        <v>-78.813169000000002</v>
      </c>
      <c r="M120" s="479"/>
      <c r="N120" s="479">
        <v>0</v>
      </c>
      <c r="O120" s="479">
        <v>0</v>
      </c>
      <c r="P120" s="479">
        <v>0</v>
      </c>
      <c r="Q120" s="479">
        <v>0</v>
      </c>
      <c r="R120" s="479">
        <v>0</v>
      </c>
      <c r="S120" s="479">
        <v>0</v>
      </c>
      <c r="T120" s="479">
        <v>0</v>
      </c>
      <c r="U120" s="479">
        <v>0</v>
      </c>
      <c r="V120" s="479">
        <v>-78.813169000000002</v>
      </c>
      <c r="W120" s="479">
        <v>-78.813169000000002</v>
      </c>
      <c r="X120" s="479">
        <v>-78.813169000000002</v>
      </c>
      <c r="Y120" s="479">
        <v>-78.813169000000002</v>
      </c>
      <c r="Z120" s="479"/>
      <c r="AA120" s="479"/>
      <c r="AB120" s="479"/>
      <c r="AC120" s="479">
        <v>0</v>
      </c>
      <c r="AD120" s="479">
        <v>0</v>
      </c>
      <c r="AE120" s="479">
        <v>0</v>
      </c>
      <c r="AF120" s="479">
        <v>0</v>
      </c>
      <c r="AG120" s="479">
        <v>0</v>
      </c>
      <c r="AH120" s="479">
        <v>0</v>
      </c>
      <c r="AI120" s="479">
        <v>0</v>
      </c>
      <c r="AJ120" s="479">
        <v>0</v>
      </c>
      <c r="AK120" s="479">
        <v>-78.813169000000002</v>
      </c>
      <c r="AL120" s="479">
        <v>-78.813169000000002</v>
      </c>
      <c r="AM120" s="479">
        <v>-78.813169000000002</v>
      </c>
      <c r="AN120" s="479">
        <v>-78.813169000000002</v>
      </c>
      <c r="AQ120" s="341"/>
    </row>
    <row r="121" spans="2:43" s="141" customFormat="1" x14ac:dyDescent="0.3">
      <c r="B121" s="61" t="s">
        <v>302</v>
      </c>
      <c r="C121" s="141" t="s">
        <v>378</v>
      </c>
      <c r="D121" s="479" t="str">
        <f t="shared" si="12"/>
        <v/>
      </c>
      <c r="E121" s="479" t="str">
        <f t="shared" si="12"/>
        <v/>
      </c>
      <c r="F121" s="479" t="str">
        <f t="shared" si="12"/>
        <v/>
      </c>
      <c r="G121" s="217"/>
      <c r="H121" s="479" t="str">
        <f t="shared" si="11"/>
        <v/>
      </c>
      <c r="I121" s="479" t="str">
        <f t="shared" si="13"/>
        <v/>
      </c>
      <c r="J121" s="479">
        <f t="shared" si="13"/>
        <v>38129.054451000004</v>
      </c>
      <c r="M121" s="479"/>
      <c r="N121" s="479">
        <v>0</v>
      </c>
      <c r="O121" s="479">
        <v>0</v>
      </c>
      <c r="P121" s="479">
        <v>0</v>
      </c>
      <c r="Q121" s="479">
        <v>0</v>
      </c>
      <c r="R121" s="479">
        <v>0</v>
      </c>
      <c r="S121" s="479">
        <v>0</v>
      </c>
      <c r="T121" s="479">
        <v>0</v>
      </c>
      <c r="U121" s="479">
        <v>0</v>
      </c>
      <c r="V121" s="479">
        <v>0</v>
      </c>
      <c r="W121" s="479">
        <v>0</v>
      </c>
      <c r="X121" s="479">
        <v>0</v>
      </c>
      <c r="Y121" s="479">
        <v>0</v>
      </c>
      <c r="Z121" s="479"/>
      <c r="AA121" s="479"/>
      <c r="AB121" s="479"/>
      <c r="AC121" s="479">
        <v>0</v>
      </c>
      <c r="AD121" s="479">
        <v>0</v>
      </c>
      <c r="AE121" s="479">
        <v>0</v>
      </c>
      <c r="AF121" s="479">
        <v>0</v>
      </c>
      <c r="AG121" s="479">
        <v>0</v>
      </c>
      <c r="AH121" s="479">
        <v>0</v>
      </c>
      <c r="AI121" s="479">
        <v>0</v>
      </c>
      <c r="AJ121" s="479">
        <v>0</v>
      </c>
      <c r="AK121" s="479">
        <v>0</v>
      </c>
      <c r="AL121" s="479">
        <v>0</v>
      </c>
      <c r="AM121" s="479">
        <v>40354.211588999999</v>
      </c>
      <c r="AN121" s="479">
        <v>38129.054451000004</v>
      </c>
      <c r="AQ121" s="341"/>
    </row>
    <row r="122" spans="2:43" s="141" customFormat="1" x14ac:dyDescent="0.3">
      <c r="B122" s="61" t="s">
        <v>529</v>
      </c>
      <c r="C122" s="141" t="s">
        <v>379</v>
      </c>
      <c r="D122" s="479" t="str">
        <f t="shared" si="12"/>
        <v/>
      </c>
      <c r="E122" s="479" t="str">
        <f t="shared" si="12"/>
        <v/>
      </c>
      <c r="F122" s="479" t="str">
        <f t="shared" si="12"/>
        <v/>
      </c>
      <c r="G122" s="217"/>
      <c r="H122" s="479" t="str">
        <f t="shared" si="11"/>
        <v/>
      </c>
      <c r="I122" s="479" t="str">
        <f t="shared" si="13"/>
        <v/>
      </c>
      <c r="J122" s="479">
        <f t="shared" si="13"/>
        <v>20117.963981000001</v>
      </c>
      <c r="M122" s="479"/>
      <c r="N122" s="479">
        <v>0</v>
      </c>
      <c r="O122" s="479">
        <v>0</v>
      </c>
      <c r="P122" s="479">
        <v>0</v>
      </c>
      <c r="Q122" s="479">
        <v>0</v>
      </c>
      <c r="R122" s="479">
        <v>0</v>
      </c>
      <c r="S122" s="479">
        <v>0</v>
      </c>
      <c r="T122" s="479">
        <v>0</v>
      </c>
      <c r="U122" s="479">
        <v>0</v>
      </c>
      <c r="V122" s="479">
        <v>0</v>
      </c>
      <c r="W122" s="479">
        <v>0</v>
      </c>
      <c r="X122" s="479">
        <v>0</v>
      </c>
      <c r="Y122" s="479">
        <v>0</v>
      </c>
      <c r="Z122" s="479"/>
      <c r="AA122" s="479"/>
      <c r="AB122" s="479"/>
      <c r="AC122" s="479">
        <v>0</v>
      </c>
      <c r="AD122" s="479">
        <v>0</v>
      </c>
      <c r="AE122" s="479">
        <v>0</v>
      </c>
      <c r="AF122" s="479">
        <v>0</v>
      </c>
      <c r="AG122" s="479">
        <v>0</v>
      </c>
      <c r="AH122" s="479">
        <v>0</v>
      </c>
      <c r="AI122" s="479">
        <v>0</v>
      </c>
      <c r="AJ122" s="479">
        <v>0</v>
      </c>
      <c r="AK122" s="479">
        <v>0</v>
      </c>
      <c r="AL122" s="479">
        <v>0</v>
      </c>
      <c r="AM122" s="479">
        <v>21479.191145000001</v>
      </c>
      <c r="AN122" s="479">
        <v>20117.963981000001</v>
      </c>
      <c r="AQ122" s="341"/>
    </row>
    <row r="123" spans="2:43" s="141" customFormat="1" x14ac:dyDescent="0.3">
      <c r="B123" s="61" t="s">
        <v>530</v>
      </c>
      <c r="C123" s="141" t="s">
        <v>380</v>
      </c>
      <c r="D123" s="479" t="str">
        <f t="shared" si="12"/>
        <v/>
      </c>
      <c r="E123" s="479" t="str">
        <f t="shared" si="12"/>
        <v/>
      </c>
      <c r="F123" s="479" t="str">
        <f t="shared" si="12"/>
        <v/>
      </c>
      <c r="G123" s="217"/>
      <c r="H123" s="479" t="str">
        <f t="shared" si="11"/>
        <v/>
      </c>
      <c r="I123" s="479" t="str">
        <f t="shared" si="13"/>
        <v/>
      </c>
      <c r="J123" s="479">
        <f t="shared" si="13"/>
        <v>18011.090469999999</v>
      </c>
      <c r="M123" s="479"/>
      <c r="N123" s="479">
        <v>0</v>
      </c>
      <c r="O123" s="479">
        <v>0</v>
      </c>
      <c r="P123" s="479">
        <v>0</v>
      </c>
      <c r="Q123" s="479">
        <v>0</v>
      </c>
      <c r="R123" s="479">
        <v>0</v>
      </c>
      <c r="S123" s="479">
        <v>0</v>
      </c>
      <c r="T123" s="479">
        <v>0</v>
      </c>
      <c r="U123" s="479">
        <v>0</v>
      </c>
      <c r="V123" s="479">
        <v>0</v>
      </c>
      <c r="W123" s="479">
        <v>0</v>
      </c>
      <c r="X123" s="479">
        <v>0</v>
      </c>
      <c r="Y123" s="479">
        <v>0</v>
      </c>
      <c r="Z123" s="479"/>
      <c r="AA123" s="479"/>
      <c r="AB123" s="479"/>
      <c r="AC123" s="479">
        <v>0</v>
      </c>
      <c r="AD123" s="479">
        <v>0</v>
      </c>
      <c r="AE123" s="479">
        <v>0</v>
      </c>
      <c r="AF123" s="479">
        <v>0</v>
      </c>
      <c r="AG123" s="479">
        <v>0</v>
      </c>
      <c r="AH123" s="479">
        <v>0</v>
      </c>
      <c r="AI123" s="479">
        <v>0</v>
      </c>
      <c r="AJ123" s="479">
        <v>0</v>
      </c>
      <c r="AK123" s="479">
        <v>0</v>
      </c>
      <c r="AL123" s="479">
        <v>0</v>
      </c>
      <c r="AM123" s="479">
        <v>18875.020444000002</v>
      </c>
      <c r="AN123" s="479">
        <v>18011.090469999999</v>
      </c>
      <c r="AQ123" s="341"/>
    </row>
    <row r="124" spans="2:43" s="141" customFormat="1" x14ac:dyDescent="0.3">
      <c r="B124" s="61" t="s">
        <v>531</v>
      </c>
      <c r="C124" s="141" t="s">
        <v>381</v>
      </c>
      <c r="D124" s="479" t="str">
        <f t="shared" si="12"/>
        <v/>
      </c>
      <c r="E124" s="479" t="str">
        <f t="shared" si="12"/>
        <v/>
      </c>
      <c r="F124" s="479" t="str">
        <f t="shared" si="12"/>
        <v/>
      </c>
      <c r="G124" s="217"/>
      <c r="H124" s="479" t="str">
        <f t="shared" si="11"/>
        <v/>
      </c>
      <c r="I124" s="479" t="str">
        <f t="shared" si="13"/>
        <v/>
      </c>
      <c r="J124" s="479" t="str">
        <f t="shared" si="13"/>
        <v/>
      </c>
      <c r="M124" s="479"/>
      <c r="N124" s="479">
        <v>0</v>
      </c>
      <c r="O124" s="479">
        <v>0</v>
      </c>
      <c r="P124" s="479">
        <v>0</v>
      </c>
      <c r="Q124" s="479">
        <v>0</v>
      </c>
      <c r="R124" s="479">
        <v>0</v>
      </c>
      <c r="S124" s="479">
        <v>0</v>
      </c>
      <c r="T124" s="479">
        <v>0</v>
      </c>
      <c r="U124" s="479">
        <v>0</v>
      </c>
      <c r="V124" s="479">
        <v>0</v>
      </c>
      <c r="W124" s="479">
        <v>0</v>
      </c>
      <c r="X124" s="479">
        <v>0</v>
      </c>
      <c r="Y124" s="479">
        <v>0</v>
      </c>
      <c r="Z124" s="479"/>
      <c r="AA124" s="479"/>
      <c r="AB124" s="479"/>
      <c r="AC124" s="479">
        <v>0</v>
      </c>
      <c r="AD124" s="479">
        <v>0</v>
      </c>
      <c r="AE124" s="479">
        <v>0</v>
      </c>
      <c r="AF124" s="479">
        <v>0</v>
      </c>
      <c r="AG124" s="479">
        <v>0</v>
      </c>
      <c r="AH124" s="479">
        <v>0</v>
      </c>
      <c r="AI124" s="479">
        <v>0</v>
      </c>
      <c r="AJ124" s="479">
        <v>0</v>
      </c>
      <c r="AK124" s="479">
        <v>0</v>
      </c>
      <c r="AL124" s="479">
        <v>0</v>
      </c>
      <c r="AM124" s="479">
        <v>0</v>
      </c>
      <c r="AN124" s="479" t="s">
        <v>1292</v>
      </c>
      <c r="AQ124" s="341"/>
    </row>
    <row r="125" spans="2:43" s="141" customFormat="1" x14ac:dyDescent="0.3">
      <c r="B125" s="61" t="s">
        <v>532</v>
      </c>
      <c r="C125" s="141" t="s">
        <v>382</v>
      </c>
      <c r="D125" s="479" t="str">
        <f t="shared" si="12"/>
        <v/>
      </c>
      <c r="E125" s="479" t="str">
        <f t="shared" si="12"/>
        <v/>
      </c>
      <c r="F125" s="479" t="str">
        <f t="shared" si="12"/>
        <v/>
      </c>
      <c r="G125" s="217"/>
      <c r="H125" s="479" t="str">
        <f t="shared" si="11"/>
        <v/>
      </c>
      <c r="I125" s="479" t="str">
        <f t="shared" si="13"/>
        <v/>
      </c>
      <c r="J125" s="479" t="str">
        <f t="shared" si="13"/>
        <v/>
      </c>
      <c r="M125" s="479"/>
      <c r="N125" s="479">
        <v>0</v>
      </c>
      <c r="O125" s="479">
        <v>0</v>
      </c>
      <c r="P125" s="479">
        <v>0</v>
      </c>
      <c r="Q125" s="479">
        <v>0</v>
      </c>
      <c r="R125" s="479">
        <v>0</v>
      </c>
      <c r="S125" s="479">
        <v>0</v>
      </c>
      <c r="T125" s="479">
        <v>0</v>
      </c>
      <c r="U125" s="479">
        <v>0</v>
      </c>
      <c r="V125" s="479">
        <v>0</v>
      </c>
      <c r="W125" s="479">
        <v>0</v>
      </c>
      <c r="X125" s="479">
        <v>0</v>
      </c>
      <c r="Y125" s="479">
        <v>0</v>
      </c>
      <c r="Z125" s="479"/>
      <c r="AA125" s="479"/>
      <c r="AB125" s="479"/>
      <c r="AC125" s="479">
        <v>0</v>
      </c>
      <c r="AD125" s="479">
        <v>0</v>
      </c>
      <c r="AE125" s="479">
        <v>0</v>
      </c>
      <c r="AF125" s="479">
        <v>0</v>
      </c>
      <c r="AG125" s="479">
        <v>0</v>
      </c>
      <c r="AH125" s="479">
        <v>0</v>
      </c>
      <c r="AI125" s="479">
        <v>0</v>
      </c>
      <c r="AJ125" s="479">
        <v>0</v>
      </c>
      <c r="AK125" s="479">
        <v>0</v>
      </c>
      <c r="AL125" s="479">
        <v>0</v>
      </c>
      <c r="AM125" s="479">
        <v>0</v>
      </c>
      <c r="AN125" s="479" t="s">
        <v>1292</v>
      </c>
      <c r="AQ125" s="341"/>
    </row>
    <row r="126" spans="2:43" s="141" customFormat="1" x14ac:dyDescent="0.3">
      <c r="B126" s="61" t="s">
        <v>533</v>
      </c>
      <c r="C126" s="141" t="s">
        <v>383</v>
      </c>
      <c r="D126" s="479">
        <f t="shared" ref="D126:F145" si="14">IF(HLOOKUP(D$5,$M$5:$Y$370,ROW()-ROW($F$4),FALSE)=0,"",HLOOKUP(D$5,$M$5:$Y$370,ROW()-ROW($F$4),FALSE))</f>
        <v>6787.8267040000001</v>
      </c>
      <c r="E126" s="479">
        <f t="shared" si="14"/>
        <v>6787.8267040000001</v>
      </c>
      <c r="F126" s="479">
        <f t="shared" si="14"/>
        <v>6944.692704</v>
      </c>
      <c r="G126" s="217"/>
      <c r="H126" s="479">
        <f t="shared" si="11"/>
        <v>6788</v>
      </c>
      <c r="I126" s="479">
        <f t="shared" ref="I126:J145" si="15">IF(HLOOKUP(I$5,$AB$5:$AN$370,ROW()-ROW($J$4),FALSE)=0,"",HLOOKUP(I$5,$AB$5:$AN$370,ROW()-ROW($J$4),FALSE))</f>
        <v>6788</v>
      </c>
      <c r="J126" s="479">
        <f t="shared" si="15"/>
        <v>26958.860144999999</v>
      </c>
      <c r="M126" s="479"/>
      <c r="N126" s="479">
        <v>6787.8267040000001</v>
      </c>
      <c r="O126" s="479">
        <v>6787.8267040000001</v>
      </c>
      <c r="P126" s="479">
        <v>6787.8267040000001</v>
      </c>
      <c r="Q126" s="479">
        <v>6787.8267040000001</v>
      </c>
      <c r="R126" s="479">
        <v>6787.8267040000001</v>
      </c>
      <c r="S126" s="479">
        <v>6787.8267040000001</v>
      </c>
      <c r="T126" s="479">
        <v>6787.8267040000001</v>
      </c>
      <c r="U126" s="479">
        <v>6856.1517039999999</v>
      </c>
      <c r="V126" s="479">
        <v>6944.692704</v>
      </c>
      <c r="W126" s="479">
        <v>6840.8961639999998</v>
      </c>
      <c r="X126" s="479">
        <v>6840.8961639999998</v>
      </c>
      <c r="Y126" s="479">
        <v>6944.692704</v>
      </c>
      <c r="Z126" s="479"/>
      <c r="AA126" s="479"/>
      <c r="AB126" s="479"/>
      <c r="AC126" s="479">
        <v>6788</v>
      </c>
      <c r="AD126" s="479">
        <v>6788</v>
      </c>
      <c r="AE126" s="479">
        <v>6788</v>
      </c>
      <c r="AF126" s="479">
        <v>6788</v>
      </c>
      <c r="AG126" s="479">
        <v>6788</v>
      </c>
      <c r="AH126" s="479">
        <v>6788</v>
      </c>
      <c r="AI126" s="479">
        <v>6788</v>
      </c>
      <c r="AJ126" s="479">
        <v>6856</v>
      </c>
      <c r="AK126" s="479">
        <v>6944.692704</v>
      </c>
      <c r="AL126" s="479">
        <v>6840.8961639999998</v>
      </c>
      <c r="AM126" s="479">
        <v>28320.087308999999</v>
      </c>
      <c r="AN126" s="479">
        <v>26958.860144999999</v>
      </c>
      <c r="AQ126" s="341"/>
    </row>
    <row r="127" spans="2:43" s="141" customFormat="1" x14ac:dyDescent="0.3">
      <c r="B127" s="61" t="s">
        <v>534</v>
      </c>
      <c r="C127" s="141" t="s">
        <v>384</v>
      </c>
      <c r="D127" s="479">
        <f t="shared" si="14"/>
        <v>62426.159222000002</v>
      </c>
      <c r="E127" s="479">
        <f t="shared" si="14"/>
        <v>63862.183021999997</v>
      </c>
      <c r="F127" s="479">
        <f t="shared" si="14"/>
        <v>65356.721495999998</v>
      </c>
      <c r="G127" s="217"/>
      <c r="H127" s="479">
        <f t="shared" si="11"/>
        <v>62426</v>
      </c>
      <c r="I127" s="479">
        <f t="shared" si="15"/>
        <v>63862</v>
      </c>
      <c r="J127" s="479">
        <f t="shared" si="15"/>
        <v>84456.292891000005</v>
      </c>
      <c r="M127" s="479"/>
      <c r="N127" s="479">
        <v>62426.159222000002</v>
      </c>
      <c r="O127" s="479">
        <v>62785.165172000001</v>
      </c>
      <c r="P127" s="479">
        <v>63144.171122</v>
      </c>
      <c r="Q127" s="479">
        <v>63503.177072999999</v>
      </c>
      <c r="R127" s="479">
        <v>63862.183021999997</v>
      </c>
      <c r="S127" s="479">
        <v>64221.188972000004</v>
      </c>
      <c r="T127" s="479">
        <v>64580.194922000002</v>
      </c>
      <c r="U127" s="479">
        <v>64939.200873000002</v>
      </c>
      <c r="V127" s="479">
        <v>65356.721495999998</v>
      </c>
      <c r="W127" s="479">
        <v>65715.727446000004</v>
      </c>
      <c r="X127" s="479">
        <v>66086.196469999995</v>
      </c>
      <c r="Y127" s="479">
        <v>65356.721495999998</v>
      </c>
      <c r="Z127" s="479"/>
      <c r="AA127" s="479"/>
      <c r="AB127" s="479"/>
      <c r="AC127" s="479">
        <v>62426</v>
      </c>
      <c r="AD127" s="479">
        <v>62785</v>
      </c>
      <c r="AE127" s="479">
        <v>63144</v>
      </c>
      <c r="AF127" s="479">
        <v>63503</v>
      </c>
      <c r="AG127" s="479">
        <v>63862</v>
      </c>
      <c r="AH127" s="479">
        <v>64221</v>
      </c>
      <c r="AI127" s="479">
        <v>64580</v>
      </c>
      <c r="AJ127" s="479">
        <v>64939</v>
      </c>
      <c r="AK127" s="479">
        <v>65356.721495999998</v>
      </c>
      <c r="AL127" s="479">
        <v>65715.727446000004</v>
      </c>
      <c r="AM127" s="479">
        <v>84961.216914000004</v>
      </c>
      <c r="AN127" s="479">
        <v>84456.292891000005</v>
      </c>
      <c r="AQ127" s="341"/>
    </row>
    <row r="128" spans="2:43" s="141" customFormat="1" x14ac:dyDescent="0.3">
      <c r="B128" s="61" t="s">
        <v>535</v>
      </c>
      <c r="C128" s="141" t="s">
        <v>385</v>
      </c>
      <c r="D128" s="479">
        <f t="shared" si="14"/>
        <v>-9330.7124879999992</v>
      </c>
      <c r="E128" s="479">
        <f t="shared" si="14"/>
        <v>-7894.6886880000002</v>
      </c>
      <c r="F128" s="479">
        <f t="shared" si="14"/>
        <v>-6468.1893669999999</v>
      </c>
      <c r="G128" s="217"/>
      <c r="H128" s="479">
        <f t="shared" si="11"/>
        <v>-9331</v>
      </c>
      <c r="I128" s="479">
        <f t="shared" si="15"/>
        <v>-7895</v>
      </c>
      <c r="J128" s="479">
        <f t="shared" si="15"/>
        <v>-5379.7084420000001</v>
      </c>
      <c r="M128" s="479"/>
      <c r="N128" s="479">
        <v>-9330.7124879999992</v>
      </c>
      <c r="O128" s="479">
        <v>-8971.7065380000004</v>
      </c>
      <c r="P128" s="479">
        <v>-8612.7005879999997</v>
      </c>
      <c r="Q128" s="479">
        <v>-8253.6946370000005</v>
      </c>
      <c r="R128" s="479">
        <v>-7894.6886880000002</v>
      </c>
      <c r="S128" s="479">
        <v>-7535.6827380000004</v>
      </c>
      <c r="T128" s="479">
        <v>-7176.6767879999998</v>
      </c>
      <c r="U128" s="479">
        <v>-6817.6708369999997</v>
      </c>
      <c r="V128" s="479">
        <v>-6468.1893669999999</v>
      </c>
      <c r="W128" s="479">
        <v>-6109.1834170000002</v>
      </c>
      <c r="X128" s="479">
        <v>-5738.7143930000002</v>
      </c>
      <c r="Y128" s="479">
        <v>-6468.1893669999999</v>
      </c>
      <c r="Z128" s="479"/>
      <c r="AA128" s="479"/>
      <c r="AB128" s="479"/>
      <c r="AC128" s="479">
        <v>-9331</v>
      </c>
      <c r="AD128" s="479">
        <v>-8972</v>
      </c>
      <c r="AE128" s="479">
        <v>-8613</v>
      </c>
      <c r="AF128" s="479">
        <v>-8254</v>
      </c>
      <c r="AG128" s="479">
        <v>-7895</v>
      </c>
      <c r="AH128" s="479">
        <v>-7536</v>
      </c>
      <c r="AI128" s="479">
        <v>-7177</v>
      </c>
      <c r="AJ128" s="479">
        <v>-6818</v>
      </c>
      <c r="AK128" s="479">
        <v>-6468.1893669999999</v>
      </c>
      <c r="AL128" s="479">
        <v>-6109.1834170000002</v>
      </c>
      <c r="AM128" s="479">
        <v>-5738.7143930000002</v>
      </c>
      <c r="AN128" s="479">
        <v>-5379.7084420000001</v>
      </c>
      <c r="AQ128" s="341"/>
    </row>
    <row r="129" spans="2:43" s="141" customFormat="1" x14ac:dyDescent="0.3">
      <c r="B129" s="61" t="s">
        <v>536</v>
      </c>
      <c r="C129" s="141" t="s">
        <v>386</v>
      </c>
      <c r="D129" s="479" t="str">
        <f t="shared" si="14"/>
        <v/>
      </c>
      <c r="E129" s="479" t="str">
        <f t="shared" si="14"/>
        <v/>
      </c>
      <c r="F129" s="479" t="str">
        <f t="shared" si="14"/>
        <v/>
      </c>
      <c r="G129" s="217"/>
      <c r="H129" s="479" t="str">
        <f t="shared" si="11"/>
        <v/>
      </c>
      <c r="I129" s="479" t="str">
        <f t="shared" si="15"/>
        <v/>
      </c>
      <c r="J129" s="479" t="str">
        <f t="shared" si="15"/>
        <v/>
      </c>
      <c r="M129" s="479"/>
      <c r="N129" s="479">
        <v>0</v>
      </c>
      <c r="O129" s="479">
        <v>0</v>
      </c>
      <c r="P129" s="479">
        <v>0</v>
      </c>
      <c r="Q129" s="479">
        <v>0</v>
      </c>
      <c r="R129" s="479">
        <v>0</v>
      </c>
      <c r="S129" s="479">
        <v>0</v>
      </c>
      <c r="T129" s="479">
        <v>0</v>
      </c>
      <c r="U129" s="479">
        <v>0</v>
      </c>
      <c r="V129" s="479">
        <v>0</v>
      </c>
      <c r="W129" s="479">
        <v>0</v>
      </c>
      <c r="X129" s="479">
        <v>0</v>
      </c>
      <c r="Y129" s="479">
        <v>0</v>
      </c>
      <c r="Z129" s="479"/>
      <c r="AA129" s="479"/>
      <c r="AB129" s="479"/>
      <c r="AC129" s="479">
        <v>0</v>
      </c>
      <c r="AD129" s="479">
        <v>0</v>
      </c>
      <c r="AE129" s="479">
        <v>0</v>
      </c>
      <c r="AF129" s="479">
        <v>0</v>
      </c>
      <c r="AG129" s="479">
        <v>0</v>
      </c>
      <c r="AH129" s="479">
        <v>0</v>
      </c>
      <c r="AI129" s="479">
        <v>0</v>
      </c>
      <c r="AJ129" s="479">
        <v>0</v>
      </c>
      <c r="AK129" s="479">
        <v>0</v>
      </c>
      <c r="AL129" s="479">
        <v>0</v>
      </c>
      <c r="AM129" s="479">
        <v>0</v>
      </c>
      <c r="AN129" s="479" t="s">
        <v>1292</v>
      </c>
      <c r="AQ129" s="341"/>
    </row>
    <row r="130" spans="2:43" s="141" customFormat="1" x14ac:dyDescent="0.3">
      <c r="B130" s="61" t="s">
        <v>535</v>
      </c>
      <c r="C130" s="141" t="s">
        <v>385</v>
      </c>
      <c r="D130" s="479" t="str">
        <f t="shared" si="14"/>
        <v/>
      </c>
      <c r="E130" s="479" t="str">
        <f t="shared" si="14"/>
        <v/>
      </c>
      <c r="F130" s="479" t="str">
        <f t="shared" si="14"/>
        <v/>
      </c>
      <c r="G130" s="217"/>
      <c r="H130" s="479" t="str">
        <f t="shared" si="11"/>
        <v/>
      </c>
      <c r="I130" s="479" t="str">
        <f t="shared" si="15"/>
        <v/>
      </c>
      <c r="J130" s="479" t="str">
        <f t="shared" si="15"/>
        <v/>
      </c>
      <c r="M130" s="479"/>
      <c r="N130" s="479">
        <v>0</v>
      </c>
      <c r="O130" s="479">
        <v>0</v>
      </c>
      <c r="P130" s="479">
        <v>0</v>
      </c>
      <c r="Q130" s="479">
        <v>0</v>
      </c>
      <c r="R130" s="479">
        <v>0</v>
      </c>
      <c r="S130" s="479">
        <v>0</v>
      </c>
      <c r="T130" s="479">
        <v>0</v>
      </c>
      <c r="U130" s="479">
        <v>0</v>
      </c>
      <c r="V130" s="479">
        <v>0</v>
      </c>
      <c r="W130" s="479">
        <v>0</v>
      </c>
      <c r="X130" s="479">
        <v>0</v>
      </c>
      <c r="Y130" s="479">
        <v>0</v>
      </c>
      <c r="Z130" s="479"/>
      <c r="AA130" s="479"/>
      <c r="AB130" s="479"/>
      <c r="AC130" s="479">
        <v>0</v>
      </c>
      <c r="AD130" s="479">
        <v>0</v>
      </c>
      <c r="AE130" s="479">
        <v>0</v>
      </c>
      <c r="AF130" s="479">
        <v>0</v>
      </c>
      <c r="AG130" s="479">
        <v>0</v>
      </c>
      <c r="AH130" s="479">
        <v>0</v>
      </c>
      <c r="AI130" s="479">
        <v>0</v>
      </c>
      <c r="AJ130" s="479">
        <v>0</v>
      </c>
      <c r="AK130" s="479">
        <v>0</v>
      </c>
      <c r="AL130" s="479">
        <v>0</v>
      </c>
      <c r="AM130" s="479">
        <v>0</v>
      </c>
      <c r="AN130" s="479" t="s">
        <v>1292</v>
      </c>
      <c r="AQ130" s="341"/>
    </row>
    <row r="131" spans="2:43" s="141" customFormat="1" x14ac:dyDescent="0.3">
      <c r="B131" s="61" t="s">
        <v>537</v>
      </c>
      <c r="C131" s="141" t="s">
        <v>387</v>
      </c>
      <c r="D131" s="479" t="str">
        <f t="shared" si="14"/>
        <v/>
      </c>
      <c r="E131" s="479" t="str">
        <f t="shared" si="14"/>
        <v/>
      </c>
      <c r="F131" s="479" t="str">
        <f t="shared" si="14"/>
        <v/>
      </c>
      <c r="G131" s="217"/>
      <c r="H131" s="479" t="str">
        <f t="shared" si="11"/>
        <v/>
      </c>
      <c r="I131" s="479" t="str">
        <f t="shared" si="15"/>
        <v/>
      </c>
      <c r="J131" s="479" t="str">
        <f t="shared" si="15"/>
        <v/>
      </c>
      <c r="M131" s="479"/>
      <c r="N131" s="479">
        <v>0</v>
      </c>
      <c r="O131" s="479">
        <v>0</v>
      </c>
      <c r="P131" s="479">
        <v>0</v>
      </c>
      <c r="Q131" s="479">
        <v>0</v>
      </c>
      <c r="R131" s="479">
        <v>0</v>
      </c>
      <c r="S131" s="479">
        <v>0</v>
      </c>
      <c r="T131" s="479">
        <v>0</v>
      </c>
      <c r="U131" s="479">
        <v>0</v>
      </c>
      <c r="V131" s="479">
        <v>0</v>
      </c>
      <c r="W131" s="479">
        <v>0</v>
      </c>
      <c r="X131" s="479">
        <v>0</v>
      </c>
      <c r="Y131" s="479">
        <v>0</v>
      </c>
      <c r="Z131" s="479"/>
      <c r="AA131" s="479"/>
      <c r="AB131" s="479"/>
      <c r="AC131" s="479">
        <v>0</v>
      </c>
      <c r="AD131" s="479">
        <v>0</v>
      </c>
      <c r="AE131" s="479">
        <v>0</v>
      </c>
      <c r="AF131" s="479">
        <v>0</v>
      </c>
      <c r="AG131" s="479">
        <v>0</v>
      </c>
      <c r="AH131" s="479">
        <v>0</v>
      </c>
      <c r="AI131" s="479">
        <v>0</v>
      </c>
      <c r="AJ131" s="479">
        <v>0</v>
      </c>
      <c r="AK131" s="479">
        <v>0</v>
      </c>
      <c r="AL131" s="479">
        <v>0</v>
      </c>
      <c r="AM131" s="479">
        <v>0</v>
      </c>
      <c r="AN131" s="479" t="s">
        <v>1292</v>
      </c>
      <c r="AQ131" s="341"/>
    </row>
    <row r="132" spans="2:43" s="141" customFormat="1" x14ac:dyDescent="0.3">
      <c r="B132" s="61" t="s">
        <v>535</v>
      </c>
      <c r="C132" s="141" t="s">
        <v>385</v>
      </c>
      <c r="D132" s="479" t="str">
        <f t="shared" si="14"/>
        <v/>
      </c>
      <c r="E132" s="479" t="str">
        <f t="shared" si="14"/>
        <v/>
      </c>
      <c r="F132" s="479" t="str">
        <f t="shared" si="14"/>
        <v/>
      </c>
      <c r="G132" s="217"/>
      <c r="H132" s="479" t="str">
        <f t="shared" si="11"/>
        <v/>
      </c>
      <c r="I132" s="479" t="str">
        <f t="shared" si="15"/>
        <v/>
      </c>
      <c r="J132" s="479" t="str">
        <f t="shared" si="15"/>
        <v/>
      </c>
      <c r="M132" s="479"/>
      <c r="N132" s="479">
        <v>0</v>
      </c>
      <c r="O132" s="479">
        <v>0</v>
      </c>
      <c r="P132" s="479">
        <v>0</v>
      </c>
      <c r="Q132" s="479">
        <v>0</v>
      </c>
      <c r="R132" s="479">
        <v>0</v>
      </c>
      <c r="S132" s="479">
        <v>0</v>
      </c>
      <c r="T132" s="479">
        <v>0</v>
      </c>
      <c r="U132" s="479">
        <v>0</v>
      </c>
      <c r="V132" s="479">
        <v>0</v>
      </c>
      <c r="W132" s="479">
        <v>0</v>
      </c>
      <c r="X132" s="479">
        <v>0</v>
      </c>
      <c r="Y132" s="479">
        <v>0</v>
      </c>
      <c r="Z132" s="479"/>
      <c r="AA132" s="479"/>
      <c r="AB132" s="479"/>
      <c r="AC132" s="479">
        <v>0</v>
      </c>
      <c r="AD132" s="479">
        <v>0</v>
      </c>
      <c r="AE132" s="479">
        <v>0</v>
      </c>
      <c r="AF132" s="479">
        <v>0</v>
      </c>
      <c r="AG132" s="479">
        <v>0</v>
      </c>
      <c r="AH132" s="479">
        <v>0</v>
      </c>
      <c r="AI132" s="479">
        <v>0</v>
      </c>
      <c r="AJ132" s="479">
        <v>0</v>
      </c>
      <c r="AK132" s="479">
        <v>0</v>
      </c>
      <c r="AL132" s="479">
        <v>0</v>
      </c>
      <c r="AM132" s="479">
        <v>0</v>
      </c>
      <c r="AN132" s="479" t="s">
        <v>1292</v>
      </c>
      <c r="AQ132" s="341"/>
    </row>
    <row r="133" spans="2:43" s="141" customFormat="1" x14ac:dyDescent="0.3">
      <c r="B133" s="61" t="s">
        <v>538</v>
      </c>
      <c r="C133" s="141" t="s">
        <v>388</v>
      </c>
      <c r="D133" s="479" t="str">
        <f t="shared" si="14"/>
        <v/>
      </c>
      <c r="E133" s="479" t="str">
        <f t="shared" si="14"/>
        <v/>
      </c>
      <c r="F133" s="479" t="str">
        <f t="shared" si="14"/>
        <v/>
      </c>
      <c r="G133" s="217"/>
      <c r="H133" s="479" t="str">
        <f t="shared" si="11"/>
        <v/>
      </c>
      <c r="I133" s="479" t="str">
        <f t="shared" si="15"/>
        <v/>
      </c>
      <c r="J133" s="479" t="str">
        <f t="shared" si="15"/>
        <v/>
      </c>
      <c r="M133" s="479"/>
      <c r="N133" s="479">
        <v>0</v>
      </c>
      <c r="O133" s="479">
        <v>0</v>
      </c>
      <c r="P133" s="479">
        <v>0</v>
      </c>
      <c r="Q133" s="479">
        <v>0</v>
      </c>
      <c r="R133" s="479">
        <v>0</v>
      </c>
      <c r="S133" s="479">
        <v>0</v>
      </c>
      <c r="T133" s="479">
        <v>0</v>
      </c>
      <c r="U133" s="479">
        <v>0</v>
      </c>
      <c r="V133" s="479">
        <v>0</v>
      </c>
      <c r="W133" s="479">
        <v>0</v>
      </c>
      <c r="X133" s="479">
        <v>0</v>
      </c>
      <c r="Y133" s="479">
        <v>0</v>
      </c>
      <c r="Z133" s="479"/>
      <c r="AA133" s="479"/>
      <c r="AB133" s="479"/>
      <c r="AC133" s="479">
        <v>0</v>
      </c>
      <c r="AD133" s="479">
        <v>0</v>
      </c>
      <c r="AE133" s="479">
        <v>0</v>
      </c>
      <c r="AF133" s="479">
        <v>0</v>
      </c>
      <c r="AG133" s="479">
        <v>0</v>
      </c>
      <c r="AH133" s="479">
        <v>0</v>
      </c>
      <c r="AI133" s="479">
        <v>0</v>
      </c>
      <c r="AJ133" s="479">
        <v>0</v>
      </c>
      <c r="AK133" s="479">
        <v>0</v>
      </c>
      <c r="AL133" s="479">
        <v>0</v>
      </c>
      <c r="AM133" s="479">
        <v>0</v>
      </c>
      <c r="AN133" s="479" t="s">
        <v>1292</v>
      </c>
      <c r="AQ133" s="341"/>
    </row>
    <row r="134" spans="2:43" s="141" customFormat="1" x14ac:dyDescent="0.3">
      <c r="B134" s="61" t="s">
        <v>539</v>
      </c>
      <c r="C134" s="141" t="s">
        <v>389</v>
      </c>
      <c r="D134" s="479" t="str">
        <f t="shared" si="14"/>
        <v/>
      </c>
      <c r="E134" s="479" t="str">
        <f t="shared" si="14"/>
        <v/>
      </c>
      <c r="F134" s="479" t="str">
        <f t="shared" si="14"/>
        <v/>
      </c>
      <c r="G134" s="217"/>
      <c r="H134" s="479" t="str">
        <f t="shared" si="11"/>
        <v/>
      </c>
      <c r="I134" s="479" t="str">
        <f t="shared" si="15"/>
        <v/>
      </c>
      <c r="J134" s="479" t="str">
        <f t="shared" si="15"/>
        <v/>
      </c>
      <c r="M134" s="479"/>
      <c r="N134" s="479">
        <v>0</v>
      </c>
      <c r="O134" s="479">
        <v>0</v>
      </c>
      <c r="P134" s="479">
        <v>0</v>
      </c>
      <c r="Q134" s="479">
        <v>0</v>
      </c>
      <c r="R134" s="479">
        <v>0</v>
      </c>
      <c r="S134" s="479">
        <v>0</v>
      </c>
      <c r="T134" s="479">
        <v>0</v>
      </c>
      <c r="U134" s="479">
        <v>0</v>
      </c>
      <c r="V134" s="479">
        <v>0</v>
      </c>
      <c r="W134" s="479">
        <v>0</v>
      </c>
      <c r="X134" s="479">
        <v>0</v>
      </c>
      <c r="Y134" s="479">
        <v>0</v>
      </c>
      <c r="Z134" s="479"/>
      <c r="AA134" s="479"/>
      <c r="AB134" s="479"/>
      <c r="AC134" s="479">
        <v>0</v>
      </c>
      <c r="AD134" s="479">
        <v>0</v>
      </c>
      <c r="AE134" s="479">
        <v>0</v>
      </c>
      <c r="AF134" s="479">
        <v>0</v>
      </c>
      <c r="AG134" s="479">
        <v>0</v>
      </c>
      <c r="AH134" s="479">
        <v>0</v>
      </c>
      <c r="AI134" s="479">
        <v>0</v>
      </c>
      <c r="AJ134" s="479">
        <v>0</v>
      </c>
      <c r="AK134" s="479">
        <v>0</v>
      </c>
      <c r="AL134" s="479">
        <v>0</v>
      </c>
      <c r="AM134" s="479">
        <v>0</v>
      </c>
      <c r="AN134" s="479" t="s">
        <v>1292</v>
      </c>
      <c r="AQ134" s="341"/>
    </row>
    <row r="135" spans="2:43" s="141" customFormat="1" x14ac:dyDescent="0.3">
      <c r="B135" s="61" t="s">
        <v>540</v>
      </c>
      <c r="C135" s="141" t="s">
        <v>390</v>
      </c>
      <c r="D135" s="479" t="str">
        <f t="shared" si="14"/>
        <v/>
      </c>
      <c r="E135" s="479" t="str">
        <f t="shared" si="14"/>
        <v/>
      </c>
      <c r="F135" s="479" t="str">
        <f t="shared" si="14"/>
        <v/>
      </c>
      <c r="G135" s="217"/>
      <c r="H135" s="479" t="str">
        <f t="shared" si="11"/>
        <v/>
      </c>
      <c r="I135" s="479" t="str">
        <f t="shared" si="15"/>
        <v/>
      </c>
      <c r="J135" s="479" t="str">
        <f t="shared" si="15"/>
        <v/>
      </c>
      <c r="M135" s="479"/>
      <c r="N135" s="479">
        <v>0</v>
      </c>
      <c r="O135" s="479">
        <v>0</v>
      </c>
      <c r="P135" s="479">
        <v>0</v>
      </c>
      <c r="Q135" s="479">
        <v>0</v>
      </c>
      <c r="R135" s="479">
        <v>0</v>
      </c>
      <c r="S135" s="479">
        <v>0</v>
      </c>
      <c r="T135" s="479">
        <v>0</v>
      </c>
      <c r="U135" s="479">
        <v>0</v>
      </c>
      <c r="V135" s="479">
        <v>0</v>
      </c>
      <c r="W135" s="479">
        <v>0</v>
      </c>
      <c r="X135" s="479">
        <v>0</v>
      </c>
      <c r="Y135" s="479">
        <v>0</v>
      </c>
      <c r="Z135" s="479"/>
      <c r="AA135" s="479"/>
      <c r="AB135" s="479"/>
      <c r="AC135" s="479">
        <v>0</v>
      </c>
      <c r="AD135" s="479">
        <v>0</v>
      </c>
      <c r="AE135" s="479">
        <v>0</v>
      </c>
      <c r="AF135" s="479">
        <v>0</v>
      </c>
      <c r="AG135" s="479">
        <v>0</v>
      </c>
      <c r="AH135" s="479">
        <v>0</v>
      </c>
      <c r="AI135" s="479">
        <v>0</v>
      </c>
      <c r="AJ135" s="479">
        <v>0</v>
      </c>
      <c r="AK135" s="479">
        <v>0</v>
      </c>
      <c r="AL135" s="479">
        <v>0</v>
      </c>
      <c r="AM135" s="479">
        <v>0</v>
      </c>
      <c r="AN135" s="479" t="s">
        <v>1292</v>
      </c>
      <c r="AQ135" s="341"/>
    </row>
    <row r="136" spans="2:43" s="141" customFormat="1" x14ac:dyDescent="0.3">
      <c r="B136" s="61" t="s">
        <v>541</v>
      </c>
      <c r="C136" s="141" t="s">
        <v>391</v>
      </c>
      <c r="D136" s="479" t="str">
        <f t="shared" si="14"/>
        <v/>
      </c>
      <c r="E136" s="479" t="str">
        <f t="shared" si="14"/>
        <v/>
      </c>
      <c r="F136" s="479" t="str">
        <f t="shared" si="14"/>
        <v/>
      </c>
      <c r="G136" s="217"/>
      <c r="H136" s="479" t="str">
        <f t="shared" si="11"/>
        <v/>
      </c>
      <c r="I136" s="479" t="str">
        <f t="shared" si="15"/>
        <v/>
      </c>
      <c r="J136" s="479" t="str">
        <f t="shared" si="15"/>
        <v/>
      </c>
      <c r="M136" s="479"/>
      <c r="N136" s="479">
        <v>0</v>
      </c>
      <c r="O136" s="479">
        <v>0</v>
      </c>
      <c r="P136" s="479">
        <v>0</v>
      </c>
      <c r="Q136" s="479">
        <v>0</v>
      </c>
      <c r="R136" s="479">
        <v>0</v>
      </c>
      <c r="S136" s="479">
        <v>0</v>
      </c>
      <c r="T136" s="479">
        <v>0</v>
      </c>
      <c r="U136" s="479">
        <v>0</v>
      </c>
      <c r="V136" s="479">
        <v>0</v>
      </c>
      <c r="W136" s="479">
        <v>0</v>
      </c>
      <c r="X136" s="479">
        <v>0</v>
      </c>
      <c r="Y136" s="479">
        <v>0</v>
      </c>
      <c r="Z136" s="479"/>
      <c r="AA136" s="479"/>
      <c r="AB136" s="479"/>
      <c r="AC136" s="479">
        <v>0</v>
      </c>
      <c r="AD136" s="479">
        <v>0</v>
      </c>
      <c r="AE136" s="479">
        <v>0</v>
      </c>
      <c r="AF136" s="479">
        <v>0</v>
      </c>
      <c r="AG136" s="479">
        <v>0</v>
      </c>
      <c r="AH136" s="479">
        <v>0</v>
      </c>
      <c r="AI136" s="479">
        <v>0</v>
      </c>
      <c r="AJ136" s="479">
        <v>0</v>
      </c>
      <c r="AK136" s="479">
        <v>0</v>
      </c>
      <c r="AL136" s="479">
        <v>0</v>
      </c>
      <c r="AM136" s="479">
        <v>0</v>
      </c>
      <c r="AN136" s="479" t="s">
        <v>1292</v>
      </c>
      <c r="AQ136" s="341"/>
    </row>
    <row r="137" spans="2:43" s="141" customFormat="1" x14ac:dyDescent="0.3">
      <c r="B137" s="61" t="s">
        <v>542</v>
      </c>
      <c r="C137" s="141" t="s">
        <v>392</v>
      </c>
      <c r="D137" s="479" t="str">
        <f t="shared" si="14"/>
        <v/>
      </c>
      <c r="E137" s="479">
        <f t="shared" si="14"/>
        <v>139.964</v>
      </c>
      <c r="F137" s="479" t="str">
        <f t="shared" si="14"/>
        <v/>
      </c>
      <c r="G137" s="217"/>
      <c r="H137" s="479" t="str">
        <f t="shared" si="11"/>
        <v/>
      </c>
      <c r="I137" s="479">
        <f t="shared" si="15"/>
        <v>140</v>
      </c>
      <c r="J137" s="479" t="str">
        <f t="shared" si="15"/>
        <v/>
      </c>
      <c r="M137" s="479"/>
      <c r="N137" s="479">
        <v>0</v>
      </c>
      <c r="O137" s="479">
        <v>0</v>
      </c>
      <c r="P137" s="479">
        <v>0</v>
      </c>
      <c r="Q137" s="479">
        <v>0</v>
      </c>
      <c r="R137" s="479">
        <v>139.964</v>
      </c>
      <c r="S137" s="479">
        <v>0</v>
      </c>
      <c r="T137" s="479">
        <v>0</v>
      </c>
      <c r="U137" s="479">
        <v>0</v>
      </c>
      <c r="V137" s="479">
        <v>0</v>
      </c>
      <c r="W137" s="479">
        <v>0</v>
      </c>
      <c r="X137" s="479">
        <v>0</v>
      </c>
      <c r="Y137" s="479">
        <v>0</v>
      </c>
      <c r="Z137" s="479"/>
      <c r="AA137" s="479"/>
      <c r="AB137" s="479"/>
      <c r="AC137" s="479">
        <v>0</v>
      </c>
      <c r="AD137" s="479">
        <v>0</v>
      </c>
      <c r="AE137" s="479">
        <v>0</v>
      </c>
      <c r="AF137" s="479">
        <v>0</v>
      </c>
      <c r="AG137" s="479">
        <v>140</v>
      </c>
      <c r="AH137" s="479">
        <v>0</v>
      </c>
      <c r="AI137" s="479">
        <v>0</v>
      </c>
      <c r="AJ137" s="479">
        <v>0</v>
      </c>
      <c r="AK137" s="479">
        <v>0</v>
      </c>
      <c r="AL137" s="479">
        <v>0</v>
      </c>
      <c r="AM137" s="479">
        <v>0</v>
      </c>
      <c r="AN137" s="479" t="s">
        <v>1292</v>
      </c>
      <c r="AQ137" s="341"/>
    </row>
    <row r="138" spans="2:43" s="141" customFormat="1" x14ac:dyDescent="0.3">
      <c r="B138" s="61" t="s">
        <v>543</v>
      </c>
      <c r="C138" s="141" t="s">
        <v>393</v>
      </c>
      <c r="D138" s="479" t="str">
        <f t="shared" si="14"/>
        <v/>
      </c>
      <c r="E138" s="479" t="str">
        <f t="shared" si="14"/>
        <v/>
      </c>
      <c r="F138" s="479" t="str">
        <f t="shared" si="14"/>
        <v/>
      </c>
      <c r="G138" s="217"/>
      <c r="H138" s="479" t="str">
        <f t="shared" si="11"/>
        <v/>
      </c>
      <c r="I138" s="479" t="str">
        <f t="shared" si="15"/>
        <v/>
      </c>
      <c r="J138" s="479" t="str">
        <f t="shared" si="15"/>
        <v/>
      </c>
      <c r="M138" s="479"/>
      <c r="N138" s="479">
        <v>0</v>
      </c>
      <c r="O138" s="479">
        <v>0</v>
      </c>
      <c r="P138" s="479">
        <v>0</v>
      </c>
      <c r="Q138" s="479">
        <v>0</v>
      </c>
      <c r="R138" s="479">
        <v>0</v>
      </c>
      <c r="S138" s="479">
        <v>0</v>
      </c>
      <c r="T138" s="479">
        <v>0</v>
      </c>
      <c r="U138" s="479">
        <v>0</v>
      </c>
      <c r="V138" s="479">
        <v>0</v>
      </c>
      <c r="W138" s="479">
        <v>0</v>
      </c>
      <c r="X138" s="479">
        <v>0</v>
      </c>
      <c r="Y138" s="479">
        <v>0</v>
      </c>
      <c r="Z138" s="479"/>
      <c r="AA138" s="479"/>
      <c r="AB138" s="479"/>
      <c r="AC138" s="479">
        <v>0</v>
      </c>
      <c r="AD138" s="479">
        <v>0</v>
      </c>
      <c r="AE138" s="479">
        <v>0</v>
      </c>
      <c r="AF138" s="479">
        <v>0</v>
      </c>
      <c r="AG138" s="479">
        <v>0</v>
      </c>
      <c r="AH138" s="479">
        <v>0</v>
      </c>
      <c r="AI138" s="479">
        <v>0</v>
      </c>
      <c r="AJ138" s="479">
        <v>0</v>
      </c>
      <c r="AK138" s="479">
        <v>0</v>
      </c>
      <c r="AL138" s="479">
        <v>0</v>
      </c>
      <c r="AM138" s="479">
        <v>0</v>
      </c>
      <c r="AN138" s="479" t="s">
        <v>1292</v>
      </c>
      <c r="AQ138" s="341"/>
    </row>
    <row r="139" spans="2:43" s="141" customFormat="1" x14ac:dyDescent="0.3">
      <c r="B139" s="61" t="s">
        <v>535</v>
      </c>
      <c r="C139" s="141" t="s">
        <v>385</v>
      </c>
      <c r="D139" s="479" t="str">
        <f t="shared" si="14"/>
        <v/>
      </c>
      <c r="E139" s="479" t="str">
        <f t="shared" si="14"/>
        <v/>
      </c>
      <c r="F139" s="479" t="str">
        <f t="shared" si="14"/>
        <v/>
      </c>
      <c r="G139" s="217"/>
      <c r="H139" s="479" t="str">
        <f t="shared" si="11"/>
        <v/>
      </c>
      <c r="I139" s="479" t="str">
        <f t="shared" si="15"/>
        <v/>
      </c>
      <c r="J139" s="479" t="str">
        <f t="shared" si="15"/>
        <v/>
      </c>
      <c r="M139" s="479"/>
      <c r="N139" s="479">
        <v>0</v>
      </c>
      <c r="O139" s="479">
        <v>0</v>
      </c>
      <c r="P139" s="479">
        <v>0</v>
      </c>
      <c r="Q139" s="479">
        <v>0</v>
      </c>
      <c r="R139" s="479">
        <v>0</v>
      </c>
      <c r="S139" s="479">
        <v>0</v>
      </c>
      <c r="T139" s="479">
        <v>0</v>
      </c>
      <c r="U139" s="479">
        <v>0</v>
      </c>
      <c r="V139" s="479">
        <v>0</v>
      </c>
      <c r="W139" s="479">
        <v>0</v>
      </c>
      <c r="X139" s="479">
        <v>0</v>
      </c>
      <c r="Y139" s="479">
        <v>0</v>
      </c>
      <c r="Z139" s="479"/>
      <c r="AA139" s="479"/>
      <c r="AB139" s="479"/>
      <c r="AC139" s="479">
        <v>0</v>
      </c>
      <c r="AD139" s="479">
        <v>0</v>
      </c>
      <c r="AE139" s="479">
        <v>0</v>
      </c>
      <c r="AF139" s="479">
        <v>0</v>
      </c>
      <c r="AG139" s="479">
        <v>0</v>
      </c>
      <c r="AH139" s="479">
        <v>0</v>
      </c>
      <c r="AI139" s="479">
        <v>0</v>
      </c>
      <c r="AJ139" s="479">
        <v>0</v>
      </c>
      <c r="AK139" s="479">
        <v>0</v>
      </c>
      <c r="AL139" s="479">
        <v>0</v>
      </c>
      <c r="AM139" s="479">
        <v>0</v>
      </c>
      <c r="AN139" s="479" t="s">
        <v>1292</v>
      </c>
      <c r="AQ139" s="341"/>
    </row>
    <row r="140" spans="2:43" s="307" customFormat="1" x14ac:dyDescent="0.3">
      <c r="B140" s="78" t="s">
        <v>544</v>
      </c>
      <c r="C140" s="141" t="s">
        <v>394</v>
      </c>
      <c r="D140" s="477">
        <f t="shared" si="14"/>
        <v>826862.54428100004</v>
      </c>
      <c r="E140" s="477">
        <f t="shared" si="14"/>
        <v>1084695.865281</v>
      </c>
      <c r="F140" s="477">
        <f t="shared" si="14"/>
        <v>1180864.3365879999</v>
      </c>
      <c r="G140" s="478"/>
      <c r="H140" s="479">
        <f t="shared" si="11"/>
        <v>885471</v>
      </c>
      <c r="I140" s="479">
        <f t="shared" si="15"/>
        <v>1128663</v>
      </c>
      <c r="J140" s="479">
        <f t="shared" si="15"/>
        <v>879246.07240800001</v>
      </c>
      <c r="M140" s="477"/>
      <c r="N140" s="479">
        <v>826862.54428100004</v>
      </c>
      <c r="O140" s="479">
        <v>803206.11659600004</v>
      </c>
      <c r="P140" s="479">
        <v>986019.64121999999</v>
      </c>
      <c r="Q140" s="479">
        <v>1151228.036325</v>
      </c>
      <c r="R140" s="479">
        <v>1084695.865281</v>
      </c>
      <c r="S140" s="479">
        <v>963211.88026600005</v>
      </c>
      <c r="T140" s="479">
        <v>968709.046371</v>
      </c>
      <c r="U140" s="479">
        <v>943553.370046</v>
      </c>
      <c r="V140" s="477">
        <v>1180864.3365879999</v>
      </c>
      <c r="W140" s="477">
        <v>820970.82114599994</v>
      </c>
      <c r="X140" s="477">
        <v>833776.255748</v>
      </c>
      <c r="Y140" s="479">
        <v>1180864.3365879999</v>
      </c>
      <c r="Z140" s="477"/>
      <c r="AA140" s="477"/>
      <c r="AB140" s="477"/>
      <c r="AC140" s="477">
        <v>885471</v>
      </c>
      <c r="AD140" s="477">
        <v>854117</v>
      </c>
      <c r="AE140" s="477">
        <v>1037482</v>
      </c>
      <c r="AF140" s="477">
        <v>1198992</v>
      </c>
      <c r="AG140" s="477">
        <v>1128663</v>
      </c>
      <c r="AH140" s="477">
        <v>1016793</v>
      </c>
      <c r="AI140" s="479">
        <v>1018276</v>
      </c>
      <c r="AJ140" s="479">
        <v>993704</v>
      </c>
      <c r="AK140" s="477">
        <v>1221917.767059</v>
      </c>
      <c r="AL140" s="477">
        <v>869861.79035300005</v>
      </c>
      <c r="AM140" s="477">
        <v>883596.34027499997</v>
      </c>
      <c r="AN140" s="479">
        <v>879246.07240800001</v>
      </c>
      <c r="AQ140" s="412"/>
    </row>
    <row r="141" spans="2:43" s="141" customFormat="1" x14ac:dyDescent="0.3">
      <c r="B141" s="61" t="s">
        <v>855</v>
      </c>
      <c r="C141" s="141" t="s">
        <v>856</v>
      </c>
      <c r="D141" s="479" t="str">
        <f t="shared" si="14"/>
        <v/>
      </c>
      <c r="E141" s="479" t="str">
        <f t="shared" si="14"/>
        <v/>
      </c>
      <c r="F141" s="479" t="str">
        <f t="shared" si="14"/>
        <v/>
      </c>
      <c r="G141" s="217"/>
      <c r="H141" s="479" t="str">
        <f t="shared" si="11"/>
        <v/>
      </c>
      <c r="I141" s="479" t="str">
        <f t="shared" si="15"/>
        <v/>
      </c>
      <c r="J141" s="479" t="str">
        <f t="shared" si="15"/>
        <v/>
      </c>
      <c r="M141" s="479"/>
      <c r="N141" s="479">
        <v>0</v>
      </c>
      <c r="O141" s="479">
        <v>0</v>
      </c>
      <c r="P141" s="479">
        <v>0</v>
      </c>
      <c r="Q141" s="479">
        <v>0</v>
      </c>
      <c r="R141" s="479">
        <v>0</v>
      </c>
      <c r="S141" s="479">
        <v>0</v>
      </c>
      <c r="T141" s="479">
        <v>0</v>
      </c>
      <c r="U141" s="479">
        <v>0</v>
      </c>
      <c r="V141" s="479">
        <v>0</v>
      </c>
      <c r="W141" s="479">
        <v>0</v>
      </c>
      <c r="X141" s="479">
        <v>0</v>
      </c>
      <c r="Y141" s="479">
        <v>0</v>
      </c>
      <c r="Z141" s="479"/>
      <c r="AA141" s="479"/>
      <c r="AB141" s="479"/>
      <c r="AC141" s="479">
        <v>0</v>
      </c>
      <c r="AD141" s="479">
        <v>0</v>
      </c>
      <c r="AE141" s="479">
        <v>0</v>
      </c>
      <c r="AF141" s="479">
        <v>0</v>
      </c>
      <c r="AG141" s="479">
        <v>0</v>
      </c>
      <c r="AH141" s="479">
        <v>0</v>
      </c>
      <c r="AI141" s="479">
        <v>0</v>
      </c>
      <c r="AJ141" s="479">
        <v>0</v>
      </c>
      <c r="AK141" s="479">
        <v>0</v>
      </c>
      <c r="AL141" s="479">
        <v>0</v>
      </c>
      <c r="AM141" s="479">
        <v>0</v>
      </c>
      <c r="AN141" s="479" t="s">
        <v>1292</v>
      </c>
      <c r="AQ141" s="341"/>
    </row>
    <row r="142" spans="2:43" s="141" customFormat="1" x14ac:dyDescent="0.3">
      <c r="B142" s="61" t="s">
        <v>857</v>
      </c>
      <c r="C142" s="141" t="s">
        <v>858</v>
      </c>
      <c r="D142" s="479" t="str">
        <f t="shared" si="14"/>
        <v/>
      </c>
      <c r="E142" s="479" t="str">
        <f t="shared" si="14"/>
        <v/>
      </c>
      <c r="F142" s="479" t="str">
        <f t="shared" si="14"/>
        <v/>
      </c>
      <c r="G142" s="217"/>
      <c r="H142" s="479" t="str">
        <f t="shared" si="11"/>
        <v/>
      </c>
      <c r="I142" s="479" t="str">
        <f t="shared" si="15"/>
        <v/>
      </c>
      <c r="J142" s="479" t="str">
        <f t="shared" si="15"/>
        <v/>
      </c>
      <c r="M142" s="479"/>
      <c r="N142" s="479">
        <v>0</v>
      </c>
      <c r="O142" s="479">
        <v>0</v>
      </c>
      <c r="P142" s="479">
        <v>0</v>
      </c>
      <c r="Q142" s="479">
        <v>0</v>
      </c>
      <c r="R142" s="479">
        <v>0</v>
      </c>
      <c r="S142" s="479">
        <v>0</v>
      </c>
      <c r="T142" s="479">
        <v>0</v>
      </c>
      <c r="U142" s="479">
        <v>0</v>
      </c>
      <c r="V142" s="479">
        <v>0</v>
      </c>
      <c r="W142" s="479">
        <v>0</v>
      </c>
      <c r="X142" s="479">
        <v>0</v>
      </c>
      <c r="Y142" s="479">
        <v>0</v>
      </c>
      <c r="Z142" s="479"/>
      <c r="AA142" s="479"/>
      <c r="AB142" s="479"/>
      <c r="AC142" s="479">
        <v>0</v>
      </c>
      <c r="AD142" s="479">
        <v>0</v>
      </c>
      <c r="AE142" s="479">
        <v>0</v>
      </c>
      <c r="AF142" s="479">
        <v>0</v>
      </c>
      <c r="AG142" s="479">
        <v>0</v>
      </c>
      <c r="AH142" s="479">
        <v>0</v>
      </c>
      <c r="AI142" s="479">
        <v>0</v>
      </c>
      <c r="AJ142" s="479">
        <v>0</v>
      </c>
      <c r="AK142" s="479">
        <v>0</v>
      </c>
      <c r="AL142" s="479">
        <v>0</v>
      </c>
      <c r="AM142" s="479">
        <v>0</v>
      </c>
      <c r="AN142" s="479" t="s">
        <v>1292</v>
      </c>
      <c r="AQ142" s="341"/>
    </row>
    <row r="143" spans="2:43" s="141" customFormat="1" x14ac:dyDescent="0.3">
      <c r="B143" s="61" t="s">
        <v>859</v>
      </c>
      <c r="C143" s="141" t="s">
        <v>860</v>
      </c>
      <c r="D143" s="479" t="str">
        <f t="shared" si="14"/>
        <v/>
      </c>
      <c r="E143" s="479" t="str">
        <f t="shared" si="14"/>
        <v/>
      </c>
      <c r="F143" s="479" t="str">
        <f t="shared" si="14"/>
        <v/>
      </c>
      <c r="G143" s="217"/>
      <c r="H143" s="479" t="str">
        <f t="shared" si="11"/>
        <v/>
      </c>
      <c r="I143" s="479" t="str">
        <f t="shared" si="15"/>
        <v/>
      </c>
      <c r="J143" s="479" t="str">
        <f t="shared" si="15"/>
        <v/>
      </c>
      <c r="M143" s="479"/>
      <c r="N143" s="479">
        <v>0</v>
      </c>
      <c r="O143" s="479">
        <v>0</v>
      </c>
      <c r="P143" s="479">
        <v>0</v>
      </c>
      <c r="Q143" s="479">
        <v>0</v>
      </c>
      <c r="R143" s="479">
        <v>0</v>
      </c>
      <c r="S143" s="479">
        <v>0</v>
      </c>
      <c r="T143" s="479">
        <v>0</v>
      </c>
      <c r="U143" s="479">
        <v>0</v>
      </c>
      <c r="V143" s="479">
        <v>0</v>
      </c>
      <c r="W143" s="479">
        <v>0</v>
      </c>
      <c r="X143" s="479">
        <v>0</v>
      </c>
      <c r="Y143" s="479">
        <v>0</v>
      </c>
      <c r="Z143" s="479"/>
      <c r="AA143" s="479"/>
      <c r="AB143" s="479"/>
      <c r="AC143" s="479">
        <v>0</v>
      </c>
      <c r="AD143" s="479">
        <v>0</v>
      </c>
      <c r="AE143" s="479">
        <v>0</v>
      </c>
      <c r="AF143" s="479">
        <v>0</v>
      </c>
      <c r="AG143" s="479">
        <v>0</v>
      </c>
      <c r="AH143" s="479">
        <v>0</v>
      </c>
      <c r="AI143" s="479">
        <v>0</v>
      </c>
      <c r="AJ143" s="479">
        <v>0</v>
      </c>
      <c r="AK143" s="479">
        <v>0</v>
      </c>
      <c r="AL143" s="479">
        <v>0</v>
      </c>
      <c r="AM143" s="479">
        <v>0</v>
      </c>
      <c r="AN143" s="479" t="s">
        <v>1292</v>
      </c>
      <c r="AQ143" s="341"/>
    </row>
    <row r="144" spans="2:43" s="141" customFormat="1" x14ac:dyDescent="0.3">
      <c r="B144" s="61" t="s">
        <v>861</v>
      </c>
      <c r="C144" s="141" t="s">
        <v>862</v>
      </c>
      <c r="D144" s="479" t="str">
        <f t="shared" si="14"/>
        <v/>
      </c>
      <c r="E144" s="479" t="str">
        <f t="shared" si="14"/>
        <v/>
      </c>
      <c r="F144" s="479" t="str">
        <f t="shared" si="14"/>
        <v/>
      </c>
      <c r="G144" s="217"/>
      <c r="H144" s="479" t="str">
        <f t="shared" si="11"/>
        <v/>
      </c>
      <c r="I144" s="479" t="str">
        <f t="shared" si="15"/>
        <v/>
      </c>
      <c r="J144" s="479" t="str">
        <f t="shared" si="15"/>
        <v/>
      </c>
      <c r="M144" s="479"/>
      <c r="N144" s="479">
        <v>0</v>
      </c>
      <c r="O144" s="479">
        <v>0</v>
      </c>
      <c r="P144" s="479">
        <v>0</v>
      </c>
      <c r="Q144" s="479">
        <v>0</v>
      </c>
      <c r="R144" s="479">
        <v>0</v>
      </c>
      <c r="S144" s="479">
        <v>0</v>
      </c>
      <c r="T144" s="479">
        <v>0</v>
      </c>
      <c r="U144" s="479">
        <v>0</v>
      </c>
      <c r="V144" s="479">
        <v>0</v>
      </c>
      <c r="W144" s="479">
        <v>0</v>
      </c>
      <c r="X144" s="479">
        <v>0</v>
      </c>
      <c r="Y144" s="479">
        <v>0</v>
      </c>
      <c r="Z144" s="479"/>
      <c r="AA144" s="479"/>
      <c r="AB144" s="479"/>
      <c r="AC144" s="479">
        <v>0</v>
      </c>
      <c r="AD144" s="479">
        <v>0</v>
      </c>
      <c r="AE144" s="479">
        <v>0</v>
      </c>
      <c r="AF144" s="479">
        <v>0</v>
      </c>
      <c r="AG144" s="479">
        <v>0</v>
      </c>
      <c r="AH144" s="479">
        <v>0</v>
      </c>
      <c r="AI144" s="479">
        <v>0</v>
      </c>
      <c r="AJ144" s="479">
        <v>0</v>
      </c>
      <c r="AK144" s="479">
        <v>0</v>
      </c>
      <c r="AL144" s="479">
        <v>0</v>
      </c>
      <c r="AM144" s="479">
        <v>0</v>
      </c>
      <c r="AN144" s="479" t="s">
        <v>1292</v>
      </c>
      <c r="AQ144" s="341"/>
    </row>
    <row r="145" spans="2:43" s="141" customFormat="1" x14ac:dyDescent="0.3">
      <c r="B145" s="61" t="s">
        <v>863</v>
      </c>
      <c r="C145" s="141" t="s">
        <v>864</v>
      </c>
      <c r="D145" s="479" t="str">
        <f t="shared" si="14"/>
        <v/>
      </c>
      <c r="E145" s="479" t="str">
        <f t="shared" si="14"/>
        <v/>
      </c>
      <c r="F145" s="479" t="str">
        <f t="shared" si="14"/>
        <v/>
      </c>
      <c r="G145" s="217"/>
      <c r="H145" s="479" t="str">
        <f t="shared" si="11"/>
        <v/>
      </c>
      <c r="I145" s="479" t="str">
        <f t="shared" si="15"/>
        <v/>
      </c>
      <c r="J145" s="479" t="str">
        <f t="shared" si="15"/>
        <v/>
      </c>
      <c r="M145" s="479"/>
      <c r="N145" s="479">
        <v>0</v>
      </c>
      <c r="O145" s="479">
        <v>0</v>
      </c>
      <c r="P145" s="479">
        <v>0</v>
      </c>
      <c r="Q145" s="479">
        <v>0</v>
      </c>
      <c r="R145" s="479">
        <v>0</v>
      </c>
      <c r="S145" s="479">
        <v>0</v>
      </c>
      <c r="T145" s="479">
        <v>0</v>
      </c>
      <c r="U145" s="479">
        <v>0</v>
      </c>
      <c r="V145" s="479">
        <v>0</v>
      </c>
      <c r="W145" s="479">
        <v>0</v>
      </c>
      <c r="X145" s="479">
        <v>0</v>
      </c>
      <c r="Y145" s="479">
        <v>0</v>
      </c>
      <c r="Z145" s="479"/>
      <c r="AA145" s="479"/>
      <c r="AB145" s="479"/>
      <c r="AC145" s="479">
        <v>0</v>
      </c>
      <c r="AD145" s="479">
        <v>0</v>
      </c>
      <c r="AE145" s="479">
        <v>0</v>
      </c>
      <c r="AF145" s="479">
        <v>0</v>
      </c>
      <c r="AG145" s="479">
        <v>0</v>
      </c>
      <c r="AH145" s="479">
        <v>0</v>
      </c>
      <c r="AI145" s="479">
        <v>0</v>
      </c>
      <c r="AJ145" s="479">
        <v>0</v>
      </c>
      <c r="AK145" s="479">
        <v>0</v>
      </c>
      <c r="AL145" s="479">
        <v>0</v>
      </c>
      <c r="AM145" s="479">
        <v>0</v>
      </c>
      <c r="AN145" s="479" t="s">
        <v>1292</v>
      </c>
      <c r="AQ145" s="341"/>
    </row>
    <row r="146" spans="2:43" s="141" customFormat="1" x14ac:dyDescent="0.3">
      <c r="B146" s="61" t="s">
        <v>865</v>
      </c>
      <c r="C146" s="141" t="s">
        <v>866</v>
      </c>
      <c r="D146" s="479" t="str">
        <f t="shared" ref="D146:F165" si="16">IF(HLOOKUP(D$5,$M$5:$Y$370,ROW()-ROW($F$4),FALSE)=0,"",HLOOKUP(D$5,$M$5:$Y$370,ROW()-ROW($F$4),FALSE))</f>
        <v/>
      </c>
      <c r="E146" s="479" t="str">
        <f t="shared" si="16"/>
        <v/>
      </c>
      <c r="F146" s="479" t="str">
        <f t="shared" si="16"/>
        <v/>
      </c>
      <c r="G146" s="217"/>
      <c r="H146" s="479" t="str">
        <f t="shared" si="11"/>
        <v/>
      </c>
      <c r="I146" s="479" t="str">
        <f t="shared" ref="I146:J165" si="17">IF(HLOOKUP(I$5,$AB$5:$AN$370,ROW()-ROW($J$4),FALSE)=0,"",HLOOKUP(I$5,$AB$5:$AN$370,ROW()-ROW($J$4),FALSE))</f>
        <v/>
      </c>
      <c r="J146" s="479" t="str">
        <f t="shared" si="17"/>
        <v/>
      </c>
      <c r="M146" s="479"/>
      <c r="N146" s="479">
        <v>0</v>
      </c>
      <c r="O146" s="479">
        <v>0</v>
      </c>
      <c r="P146" s="479">
        <v>0</v>
      </c>
      <c r="Q146" s="479">
        <v>0</v>
      </c>
      <c r="R146" s="479">
        <v>0</v>
      </c>
      <c r="S146" s="479">
        <v>0</v>
      </c>
      <c r="T146" s="479">
        <v>0</v>
      </c>
      <c r="U146" s="479">
        <v>0</v>
      </c>
      <c r="V146" s="479">
        <v>0</v>
      </c>
      <c r="W146" s="479">
        <v>0</v>
      </c>
      <c r="X146" s="479">
        <v>0</v>
      </c>
      <c r="Y146" s="479">
        <v>0</v>
      </c>
      <c r="Z146" s="479"/>
      <c r="AA146" s="479"/>
      <c r="AB146" s="479"/>
      <c r="AC146" s="479">
        <v>0</v>
      </c>
      <c r="AD146" s="479">
        <v>0</v>
      </c>
      <c r="AE146" s="479">
        <v>0</v>
      </c>
      <c r="AF146" s="479">
        <v>0</v>
      </c>
      <c r="AG146" s="479">
        <v>0</v>
      </c>
      <c r="AH146" s="479">
        <v>0</v>
      </c>
      <c r="AI146" s="479">
        <v>0</v>
      </c>
      <c r="AJ146" s="479">
        <v>0</v>
      </c>
      <c r="AK146" s="479">
        <v>0</v>
      </c>
      <c r="AL146" s="479">
        <v>0</v>
      </c>
      <c r="AM146" s="479">
        <v>0</v>
      </c>
      <c r="AN146" s="479" t="s">
        <v>1292</v>
      </c>
      <c r="AQ146" s="341"/>
    </row>
    <row r="147" spans="2:43" s="141" customFormat="1" x14ac:dyDescent="0.3">
      <c r="B147" s="61" t="s">
        <v>867</v>
      </c>
      <c r="C147" s="141" t="s">
        <v>868</v>
      </c>
      <c r="D147" s="479" t="str">
        <f t="shared" si="16"/>
        <v/>
      </c>
      <c r="E147" s="479" t="str">
        <f t="shared" si="16"/>
        <v/>
      </c>
      <c r="F147" s="479" t="str">
        <f t="shared" si="16"/>
        <v/>
      </c>
      <c r="G147" s="217"/>
      <c r="H147" s="479" t="str">
        <f t="shared" si="11"/>
        <v/>
      </c>
      <c r="I147" s="479" t="str">
        <f t="shared" si="17"/>
        <v/>
      </c>
      <c r="J147" s="479" t="str">
        <f t="shared" si="17"/>
        <v/>
      </c>
      <c r="M147" s="479"/>
      <c r="N147" s="479">
        <v>0</v>
      </c>
      <c r="O147" s="479">
        <v>0</v>
      </c>
      <c r="P147" s="479">
        <v>0</v>
      </c>
      <c r="Q147" s="479">
        <v>0</v>
      </c>
      <c r="R147" s="479">
        <v>0</v>
      </c>
      <c r="S147" s="479">
        <v>0</v>
      </c>
      <c r="T147" s="479">
        <v>0</v>
      </c>
      <c r="U147" s="479">
        <v>0</v>
      </c>
      <c r="V147" s="479">
        <v>0</v>
      </c>
      <c r="W147" s="479">
        <v>0</v>
      </c>
      <c r="X147" s="479">
        <v>0</v>
      </c>
      <c r="Y147" s="479">
        <v>0</v>
      </c>
      <c r="Z147" s="479"/>
      <c r="AA147" s="479"/>
      <c r="AB147" s="479"/>
      <c r="AC147" s="479">
        <v>0</v>
      </c>
      <c r="AD147" s="479">
        <v>0</v>
      </c>
      <c r="AE147" s="479">
        <v>0</v>
      </c>
      <c r="AF147" s="479">
        <v>0</v>
      </c>
      <c r="AG147" s="479">
        <v>0</v>
      </c>
      <c r="AH147" s="479">
        <v>0</v>
      </c>
      <c r="AI147" s="479">
        <v>0</v>
      </c>
      <c r="AJ147" s="479">
        <v>0</v>
      </c>
      <c r="AK147" s="479">
        <v>0</v>
      </c>
      <c r="AL147" s="479">
        <v>0</v>
      </c>
      <c r="AM147" s="479">
        <v>0</v>
      </c>
      <c r="AN147" s="479" t="s">
        <v>1292</v>
      </c>
      <c r="AQ147" s="341"/>
    </row>
    <row r="148" spans="2:43" s="141" customFormat="1" x14ac:dyDescent="0.3">
      <c r="B148" s="61" t="s">
        <v>859</v>
      </c>
      <c r="C148" s="141" t="s">
        <v>860</v>
      </c>
      <c r="D148" s="479" t="str">
        <f t="shared" si="16"/>
        <v/>
      </c>
      <c r="E148" s="479" t="str">
        <f t="shared" si="16"/>
        <v/>
      </c>
      <c r="F148" s="479" t="str">
        <f t="shared" si="16"/>
        <v/>
      </c>
      <c r="G148" s="217"/>
      <c r="H148" s="479" t="str">
        <f t="shared" si="11"/>
        <v/>
      </c>
      <c r="I148" s="479" t="str">
        <f t="shared" si="17"/>
        <v/>
      </c>
      <c r="J148" s="479" t="str">
        <f t="shared" si="17"/>
        <v/>
      </c>
      <c r="M148" s="479"/>
      <c r="N148" s="479">
        <v>0</v>
      </c>
      <c r="O148" s="479">
        <v>0</v>
      </c>
      <c r="P148" s="479">
        <v>0</v>
      </c>
      <c r="Q148" s="479">
        <v>0</v>
      </c>
      <c r="R148" s="479">
        <v>0</v>
      </c>
      <c r="S148" s="479">
        <v>0</v>
      </c>
      <c r="T148" s="479">
        <v>0</v>
      </c>
      <c r="U148" s="479">
        <v>0</v>
      </c>
      <c r="V148" s="479">
        <v>0</v>
      </c>
      <c r="W148" s="479">
        <v>0</v>
      </c>
      <c r="X148" s="479">
        <v>0</v>
      </c>
      <c r="Y148" s="479">
        <v>0</v>
      </c>
      <c r="Z148" s="479"/>
      <c r="AA148" s="479"/>
      <c r="AB148" s="479"/>
      <c r="AC148" s="479">
        <v>0</v>
      </c>
      <c r="AD148" s="479">
        <v>0</v>
      </c>
      <c r="AE148" s="479">
        <v>0</v>
      </c>
      <c r="AF148" s="479">
        <v>0</v>
      </c>
      <c r="AG148" s="479">
        <v>0</v>
      </c>
      <c r="AH148" s="479">
        <v>0</v>
      </c>
      <c r="AI148" s="479">
        <v>0</v>
      </c>
      <c r="AJ148" s="479">
        <v>0</v>
      </c>
      <c r="AK148" s="479">
        <v>0</v>
      </c>
      <c r="AL148" s="479">
        <v>0</v>
      </c>
      <c r="AM148" s="479">
        <v>0</v>
      </c>
      <c r="AN148" s="479" t="s">
        <v>1292</v>
      </c>
      <c r="AQ148" s="341"/>
    </row>
    <row r="149" spans="2:43" s="141" customFormat="1" x14ac:dyDescent="0.3">
      <c r="B149" s="61" t="s">
        <v>861</v>
      </c>
      <c r="C149" s="141" t="s">
        <v>862</v>
      </c>
      <c r="D149" s="479" t="str">
        <f t="shared" si="16"/>
        <v/>
      </c>
      <c r="E149" s="479" t="str">
        <f t="shared" si="16"/>
        <v/>
      </c>
      <c r="F149" s="479" t="str">
        <f t="shared" si="16"/>
        <v/>
      </c>
      <c r="G149" s="217"/>
      <c r="H149" s="479" t="str">
        <f t="shared" si="11"/>
        <v/>
      </c>
      <c r="I149" s="479" t="str">
        <f t="shared" si="17"/>
        <v/>
      </c>
      <c r="J149" s="479" t="str">
        <f t="shared" si="17"/>
        <v/>
      </c>
      <c r="M149" s="479"/>
      <c r="N149" s="479">
        <v>0</v>
      </c>
      <c r="O149" s="479">
        <v>0</v>
      </c>
      <c r="P149" s="479">
        <v>0</v>
      </c>
      <c r="Q149" s="479">
        <v>0</v>
      </c>
      <c r="R149" s="479">
        <v>0</v>
      </c>
      <c r="S149" s="479">
        <v>0</v>
      </c>
      <c r="T149" s="479">
        <v>0</v>
      </c>
      <c r="U149" s="479">
        <v>0</v>
      </c>
      <c r="V149" s="479">
        <v>0</v>
      </c>
      <c r="W149" s="479">
        <v>0</v>
      </c>
      <c r="X149" s="479">
        <v>0</v>
      </c>
      <c r="Y149" s="479">
        <v>0</v>
      </c>
      <c r="Z149" s="479"/>
      <c r="AA149" s="479"/>
      <c r="AB149" s="479"/>
      <c r="AC149" s="479">
        <v>0</v>
      </c>
      <c r="AD149" s="479">
        <v>0</v>
      </c>
      <c r="AE149" s="479">
        <v>0</v>
      </c>
      <c r="AF149" s="479">
        <v>0</v>
      </c>
      <c r="AG149" s="479">
        <v>0</v>
      </c>
      <c r="AH149" s="479">
        <v>0</v>
      </c>
      <c r="AI149" s="479">
        <v>0</v>
      </c>
      <c r="AJ149" s="479">
        <v>0</v>
      </c>
      <c r="AK149" s="479">
        <v>0</v>
      </c>
      <c r="AL149" s="479">
        <v>0</v>
      </c>
      <c r="AM149" s="479">
        <v>0</v>
      </c>
      <c r="AN149" s="479" t="s">
        <v>1292</v>
      </c>
      <c r="AQ149" s="341"/>
    </row>
    <row r="150" spans="2:43" s="141" customFormat="1" x14ac:dyDescent="0.3">
      <c r="B150" s="61" t="s">
        <v>869</v>
      </c>
      <c r="C150" s="141" t="s">
        <v>870</v>
      </c>
      <c r="D150" s="479" t="str">
        <f t="shared" si="16"/>
        <v/>
      </c>
      <c r="E150" s="479" t="str">
        <f t="shared" si="16"/>
        <v/>
      </c>
      <c r="F150" s="479" t="str">
        <f t="shared" si="16"/>
        <v/>
      </c>
      <c r="G150" s="217"/>
      <c r="H150" s="479" t="str">
        <f t="shared" si="11"/>
        <v/>
      </c>
      <c r="I150" s="479" t="str">
        <f t="shared" si="17"/>
        <v/>
      </c>
      <c r="J150" s="479" t="str">
        <f t="shared" si="17"/>
        <v/>
      </c>
      <c r="M150" s="479"/>
      <c r="N150" s="479">
        <v>0</v>
      </c>
      <c r="O150" s="479">
        <v>0</v>
      </c>
      <c r="P150" s="479">
        <v>0</v>
      </c>
      <c r="Q150" s="479">
        <v>0</v>
      </c>
      <c r="R150" s="479">
        <v>0</v>
      </c>
      <c r="S150" s="479">
        <v>0</v>
      </c>
      <c r="T150" s="479">
        <v>0</v>
      </c>
      <c r="U150" s="479">
        <v>0</v>
      </c>
      <c r="V150" s="479">
        <v>0</v>
      </c>
      <c r="W150" s="479">
        <v>0</v>
      </c>
      <c r="X150" s="479">
        <v>0</v>
      </c>
      <c r="Y150" s="479">
        <v>0</v>
      </c>
      <c r="Z150" s="479"/>
      <c r="AA150" s="479"/>
      <c r="AB150" s="479"/>
      <c r="AC150" s="479">
        <v>0</v>
      </c>
      <c r="AD150" s="479">
        <v>0</v>
      </c>
      <c r="AE150" s="479">
        <v>0</v>
      </c>
      <c r="AF150" s="479">
        <v>0</v>
      </c>
      <c r="AG150" s="479">
        <v>0</v>
      </c>
      <c r="AH150" s="479">
        <v>0</v>
      </c>
      <c r="AI150" s="479">
        <v>0</v>
      </c>
      <c r="AJ150" s="479">
        <v>0</v>
      </c>
      <c r="AK150" s="479">
        <v>0</v>
      </c>
      <c r="AL150" s="479">
        <v>0</v>
      </c>
      <c r="AM150" s="479">
        <v>0</v>
      </c>
      <c r="AN150" s="479" t="s">
        <v>1292</v>
      </c>
      <c r="AQ150" s="341"/>
    </row>
    <row r="151" spans="2:43" s="141" customFormat="1" x14ac:dyDescent="0.3">
      <c r="B151" s="61" t="s">
        <v>871</v>
      </c>
      <c r="C151" s="141" t="s">
        <v>427</v>
      </c>
      <c r="D151" s="479" t="str">
        <f t="shared" si="16"/>
        <v/>
      </c>
      <c r="E151" s="479" t="str">
        <f t="shared" si="16"/>
        <v/>
      </c>
      <c r="F151" s="479" t="str">
        <f t="shared" si="16"/>
        <v/>
      </c>
      <c r="G151" s="217"/>
      <c r="H151" s="479" t="str">
        <f t="shared" si="11"/>
        <v/>
      </c>
      <c r="I151" s="479" t="str">
        <f t="shared" si="17"/>
        <v/>
      </c>
      <c r="J151" s="479" t="str">
        <f t="shared" si="17"/>
        <v/>
      </c>
      <c r="M151" s="479"/>
      <c r="N151" s="479">
        <v>0</v>
      </c>
      <c r="O151" s="479">
        <v>0</v>
      </c>
      <c r="P151" s="479">
        <v>0</v>
      </c>
      <c r="Q151" s="479">
        <v>0</v>
      </c>
      <c r="R151" s="479">
        <v>0</v>
      </c>
      <c r="S151" s="479">
        <v>0</v>
      </c>
      <c r="T151" s="479">
        <v>0</v>
      </c>
      <c r="U151" s="479">
        <v>0</v>
      </c>
      <c r="V151" s="479">
        <v>0</v>
      </c>
      <c r="W151" s="479">
        <v>0</v>
      </c>
      <c r="X151" s="479">
        <v>0</v>
      </c>
      <c r="Y151" s="479">
        <v>0</v>
      </c>
      <c r="Z151" s="479"/>
      <c r="AA151" s="479"/>
      <c r="AB151" s="479"/>
      <c r="AC151" s="479">
        <v>0</v>
      </c>
      <c r="AD151" s="479">
        <v>0</v>
      </c>
      <c r="AE151" s="479">
        <v>0</v>
      </c>
      <c r="AF151" s="479">
        <v>0</v>
      </c>
      <c r="AG151" s="479">
        <v>0</v>
      </c>
      <c r="AH151" s="479">
        <v>0</v>
      </c>
      <c r="AI151" s="479">
        <v>0</v>
      </c>
      <c r="AJ151" s="479">
        <v>0</v>
      </c>
      <c r="AK151" s="479">
        <v>0</v>
      </c>
      <c r="AL151" s="479">
        <v>0</v>
      </c>
      <c r="AM151" s="479">
        <v>0</v>
      </c>
      <c r="AN151" s="479" t="s">
        <v>1292</v>
      </c>
      <c r="AQ151" s="341"/>
    </row>
    <row r="152" spans="2:43" s="141" customFormat="1" x14ac:dyDescent="0.3">
      <c r="B152" s="61" t="s">
        <v>872</v>
      </c>
      <c r="C152" s="141" t="s">
        <v>873</v>
      </c>
      <c r="D152" s="479">
        <f t="shared" si="16"/>
        <v>37355.226946000002</v>
      </c>
      <c r="E152" s="479">
        <f t="shared" si="16"/>
        <v>29754.048650000001</v>
      </c>
      <c r="F152" s="479">
        <f t="shared" si="16"/>
        <v>24241.130940999999</v>
      </c>
      <c r="G152" s="217"/>
      <c r="H152" s="479">
        <f t="shared" si="11"/>
        <v>37356</v>
      </c>
      <c r="I152" s="479">
        <f t="shared" si="17"/>
        <v>29754</v>
      </c>
      <c r="J152" s="479">
        <f t="shared" si="17"/>
        <v>17814.597410999999</v>
      </c>
      <c r="M152" s="479"/>
      <c r="N152" s="479">
        <v>37355.226946000002</v>
      </c>
      <c r="O152" s="479">
        <v>35615.423695999998</v>
      </c>
      <c r="P152" s="479">
        <v>30622.189036</v>
      </c>
      <c r="Q152" s="479">
        <v>27189.943139999999</v>
      </c>
      <c r="R152" s="479">
        <v>29754.048650000001</v>
      </c>
      <c r="S152" s="479">
        <v>28884.462926</v>
      </c>
      <c r="T152" s="479">
        <v>26435.510161999999</v>
      </c>
      <c r="U152" s="479">
        <v>24546.810546000001</v>
      </c>
      <c r="V152" s="479">
        <v>24241.130940999999</v>
      </c>
      <c r="W152" s="479">
        <v>23232.248629000002</v>
      </c>
      <c r="X152" s="479">
        <v>18264.456063000001</v>
      </c>
      <c r="Y152" s="479">
        <v>24241.130940999999</v>
      </c>
      <c r="Z152" s="479"/>
      <c r="AA152" s="479"/>
      <c r="AB152" s="479"/>
      <c r="AC152" s="479">
        <v>37356</v>
      </c>
      <c r="AD152" s="479">
        <v>35615</v>
      </c>
      <c r="AE152" s="479">
        <v>30621</v>
      </c>
      <c r="AF152" s="479">
        <v>27190</v>
      </c>
      <c r="AG152" s="479">
        <v>29754</v>
      </c>
      <c r="AH152" s="479">
        <v>28884</v>
      </c>
      <c r="AI152" s="479">
        <v>26436</v>
      </c>
      <c r="AJ152" s="479">
        <v>24547</v>
      </c>
      <c r="AK152" s="479">
        <v>24241.130940999996</v>
      </c>
      <c r="AL152" s="479">
        <v>23232.248629000002</v>
      </c>
      <c r="AM152" s="479">
        <v>18264.456063000001</v>
      </c>
      <c r="AN152" s="479">
        <v>17814.597410999999</v>
      </c>
      <c r="AQ152" s="341"/>
    </row>
    <row r="153" spans="2:43" s="141" customFormat="1" x14ac:dyDescent="0.3">
      <c r="B153" s="61" t="s">
        <v>857</v>
      </c>
      <c r="C153" s="141" t="s">
        <v>858</v>
      </c>
      <c r="D153" s="479">
        <f t="shared" si="16"/>
        <v>-28204.481519000001</v>
      </c>
      <c r="E153" s="479">
        <f t="shared" si="16"/>
        <v>-23983.909016000001</v>
      </c>
      <c r="F153" s="479">
        <f t="shared" si="16"/>
        <v>-17411.170959999999</v>
      </c>
      <c r="G153" s="217"/>
      <c r="H153" s="479">
        <f t="shared" si="11"/>
        <v>-28204</v>
      </c>
      <c r="I153" s="479">
        <f t="shared" si="17"/>
        <v>-23984</v>
      </c>
      <c r="J153" s="479">
        <f t="shared" si="17"/>
        <v>-20188.907472999999</v>
      </c>
      <c r="M153" s="479"/>
      <c r="N153" s="479">
        <v>-28204.481519000001</v>
      </c>
      <c r="O153" s="479">
        <v>-27374.848623000002</v>
      </c>
      <c r="P153" s="479">
        <v>-16946.273220999999</v>
      </c>
      <c r="Q153" s="479">
        <v>-16563.193810000001</v>
      </c>
      <c r="R153" s="479">
        <v>-23983.909016000001</v>
      </c>
      <c r="S153" s="479">
        <v>-13324.570024000001</v>
      </c>
      <c r="T153" s="479">
        <v>-14863.423487</v>
      </c>
      <c r="U153" s="479">
        <v>-16137.368313000001</v>
      </c>
      <c r="V153" s="479">
        <v>-17411.170959999999</v>
      </c>
      <c r="W153" s="479">
        <v>-18578.800052999999</v>
      </c>
      <c r="X153" s="479">
        <v>-19599.648751000001</v>
      </c>
      <c r="Y153" s="479">
        <v>-17411.170959999999</v>
      </c>
      <c r="Z153" s="479"/>
      <c r="AA153" s="479"/>
      <c r="AB153" s="479"/>
      <c r="AC153" s="479">
        <v>-28204</v>
      </c>
      <c r="AD153" s="479">
        <v>-27375</v>
      </c>
      <c r="AE153" s="479">
        <v>-16947</v>
      </c>
      <c r="AF153" s="479">
        <v>-16563</v>
      </c>
      <c r="AG153" s="479">
        <v>-23984</v>
      </c>
      <c r="AH153" s="479">
        <v>-13325</v>
      </c>
      <c r="AI153" s="479">
        <v>-14863</v>
      </c>
      <c r="AJ153" s="479">
        <v>-16137</v>
      </c>
      <c r="AK153" s="479">
        <v>-17411.170960000003</v>
      </c>
      <c r="AL153" s="479">
        <v>-18578.800052999999</v>
      </c>
      <c r="AM153" s="479">
        <v>-19599.648751000001</v>
      </c>
      <c r="AN153" s="479">
        <v>-20188.907472999999</v>
      </c>
      <c r="AQ153" s="341"/>
    </row>
    <row r="154" spans="2:43" s="141" customFormat="1" x14ac:dyDescent="0.3">
      <c r="B154" s="61" t="s">
        <v>859</v>
      </c>
      <c r="C154" s="141" t="s">
        <v>860</v>
      </c>
      <c r="D154" s="479">
        <f t="shared" si="16"/>
        <v>-87840.434638999999</v>
      </c>
      <c r="E154" s="479">
        <f t="shared" si="16"/>
        <v>-82981.666895999995</v>
      </c>
      <c r="F154" s="479">
        <f t="shared" si="16"/>
        <v>-36965.311135000004</v>
      </c>
      <c r="G154" s="217"/>
      <c r="H154" s="479">
        <f t="shared" ref="H154:H217" si="18">IF(HLOOKUP(H$5,$AB$5:$AN$370,ROW()-ROW($J$4),FALSE)=0,"",HLOOKUP(H$5,$AB$5:$AN$370,ROW()-ROW($J$4),FALSE))</f>
        <v>-87840</v>
      </c>
      <c r="I154" s="479">
        <f t="shared" si="17"/>
        <v>-82982</v>
      </c>
      <c r="J154" s="479">
        <f t="shared" si="17"/>
        <v>-29346.540018000003</v>
      </c>
      <c r="M154" s="479"/>
      <c r="N154" s="479">
        <v>-87840.434638999999</v>
      </c>
      <c r="O154" s="479">
        <v>-98302.895776000005</v>
      </c>
      <c r="P154" s="479">
        <v>-78928.749018999995</v>
      </c>
      <c r="Q154" s="479">
        <v>-80948.202025999999</v>
      </c>
      <c r="R154" s="479">
        <v>-82981.666895999995</v>
      </c>
      <c r="S154" s="479">
        <v>-36496.096742000002</v>
      </c>
      <c r="T154" s="479">
        <v>-36125.649545</v>
      </c>
      <c r="U154" s="479">
        <v>-38636.851704000001</v>
      </c>
      <c r="V154" s="479">
        <v>-36965.311135000004</v>
      </c>
      <c r="W154" s="479">
        <v>-41688.600311000002</v>
      </c>
      <c r="X154" s="479">
        <v>-30160.065658</v>
      </c>
      <c r="Y154" s="479">
        <v>-36965.311135000004</v>
      </c>
      <c r="Z154" s="479"/>
      <c r="AA154" s="479"/>
      <c r="AB154" s="479"/>
      <c r="AC154" s="479">
        <v>-87840</v>
      </c>
      <c r="AD154" s="479">
        <v>-98303</v>
      </c>
      <c r="AE154" s="479">
        <v>-78929</v>
      </c>
      <c r="AF154" s="479">
        <v>-80948</v>
      </c>
      <c r="AG154" s="479">
        <v>-82982</v>
      </c>
      <c r="AH154" s="479">
        <v>-36496</v>
      </c>
      <c r="AI154" s="479">
        <v>-36126</v>
      </c>
      <c r="AJ154" s="479">
        <v>-38637</v>
      </c>
      <c r="AK154" s="479">
        <v>-36965.311135000004</v>
      </c>
      <c r="AL154" s="479">
        <v>-41688.600311000002</v>
      </c>
      <c r="AM154" s="479">
        <v>-30160.065658</v>
      </c>
      <c r="AN154" s="479">
        <v>-29346.540018000003</v>
      </c>
      <c r="AQ154" s="341"/>
    </row>
    <row r="155" spans="2:43" s="141" customFormat="1" x14ac:dyDescent="0.3">
      <c r="B155" s="61" t="s">
        <v>861</v>
      </c>
      <c r="C155" s="141" t="s">
        <v>862</v>
      </c>
      <c r="D155" s="479">
        <f t="shared" si="16"/>
        <v>9408.7068060000001</v>
      </c>
      <c r="E155" s="479">
        <f t="shared" si="16"/>
        <v>4220.1381449999999</v>
      </c>
      <c r="F155" s="479">
        <f t="shared" si="16"/>
        <v>4984.7871230000001</v>
      </c>
      <c r="G155" s="217"/>
      <c r="H155" s="479">
        <f t="shared" si="18"/>
        <v>9409</v>
      </c>
      <c r="I155" s="479">
        <f t="shared" si="17"/>
        <v>4220</v>
      </c>
      <c r="J155" s="479">
        <f t="shared" si="17"/>
        <v>4949.2735739999998</v>
      </c>
      <c r="M155" s="479"/>
      <c r="N155" s="479">
        <v>9408.7068060000001</v>
      </c>
      <c r="O155" s="479">
        <v>9879.1831099999999</v>
      </c>
      <c r="P155" s="479">
        <v>5320.0156770000003</v>
      </c>
      <c r="Q155" s="479">
        <v>5338.767288</v>
      </c>
      <c r="R155" s="479">
        <v>4220.1381449999999</v>
      </c>
      <c r="S155" s="479">
        <v>4576.177181</v>
      </c>
      <c r="T155" s="479">
        <v>4613.728631</v>
      </c>
      <c r="U155" s="479">
        <v>5397.7856590000001</v>
      </c>
      <c r="V155" s="479">
        <v>4984.7871230000001</v>
      </c>
      <c r="W155" s="479">
        <v>4681.6801619999997</v>
      </c>
      <c r="X155" s="479">
        <v>4409.1099679999998</v>
      </c>
      <c r="Y155" s="479">
        <v>4984.7871230000001</v>
      </c>
      <c r="Z155" s="479"/>
      <c r="AA155" s="479"/>
      <c r="AB155" s="479"/>
      <c r="AC155" s="479">
        <v>9409</v>
      </c>
      <c r="AD155" s="479">
        <v>9879</v>
      </c>
      <c r="AE155" s="479">
        <v>5320</v>
      </c>
      <c r="AF155" s="479">
        <v>5339</v>
      </c>
      <c r="AG155" s="479">
        <v>4220</v>
      </c>
      <c r="AH155" s="479">
        <v>4576</v>
      </c>
      <c r="AI155" s="479">
        <v>4614</v>
      </c>
      <c r="AJ155" s="479">
        <v>5398</v>
      </c>
      <c r="AK155" s="479">
        <v>4984.7871230000001</v>
      </c>
      <c r="AL155" s="479">
        <v>4681.6801619999997</v>
      </c>
      <c r="AM155" s="479">
        <v>4409.1099679999998</v>
      </c>
      <c r="AN155" s="479">
        <v>4949.2735739999998</v>
      </c>
      <c r="AQ155" s="341"/>
    </row>
    <row r="156" spans="2:43" s="141" customFormat="1" x14ac:dyDescent="0.3">
      <c r="B156" s="61" t="s">
        <v>863</v>
      </c>
      <c r="C156" s="141" t="s">
        <v>864</v>
      </c>
      <c r="D156" s="479">
        <f t="shared" si="16"/>
        <v>50227.246314000004</v>
      </c>
      <c r="E156" s="479">
        <f t="shared" si="16"/>
        <v>54777.619735</v>
      </c>
      <c r="F156" s="479">
        <f t="shared" si="16"/>
        <v>14569.353052</v>
      </c>
      <c r="G156" s="217"/>
      <c r="H156" s="479">
        <f t="shared" si="18"/>
        <v>50227</v>
      </c>
      <c r="I156" s="479">
        <f t="shared" si="17"/>
        <v>54778</v>
      </c>
      <c r="J156" s="479">
        <f t="shared" si="17"/>
        <v>4208.3589709999997</v>
      </c>
      <c r="M156" s="479"/>
      <c r="N156" s="479">
        <v>50227.246314000004</v>
      </c>
      <c r="O156" s="479">
        <v>61048.864043000001</v>
      </c>
      <c r="P156" s="479">
        <v>56662.460120999996</v>
      </c>
      <c r="Q156" s="479">
        <v>59046.240927999999</v>
      </c>
      <c r="R156" s="479">
        <v>54777.619735</v>
      </c>
      <c r="S156" s="479">
        <v>18595.349536999998</v>
      </c>
      <c r="T156" s="479">
        <v>16648.497426999998</v>
      </c>
      <c r="U156" s="479">
        <v>17101.697732000001</v>
      </c>
      <c r="V156" s="479">
        <v>14569.353052</v>
      </c>
      <c r="W156" s="479">
        <v>18428.120095999999</v>
      </c>
      <c r="X156" s="479">
        <v>6151.3069390000001</v>
      </c>
      <c r="Y156" s="479">
        <v>14569.353052</v>
      </c>
      <c r="Z156" s="479"/>
      <c r="AA156" s="479"/>
      <c r="AB156" s="479"/>
      <c r="AC156" s="479">
        <v>50227</v>
      </c>
      <c r="AD156" s="479">
        <v>61049</v>
      </c>
      <c r="AE156" s="479">
        <v>56662</v>
      </c>
      <c r="AF156" s="479">
        <v>59046</v>
      </c>
      <c r="AG156" s="479">
        <v>54778</v>
      </c>
      <c r="AH156" s="479">
        <v>18595</v>
      </c>
      <c r="AI156" s="479">
        <v>16648</v>
      </c>
      <c r="AJ156" s="479">
        <v>17102</v>
      </c>
      <c r="AK156" s="479">
        <v>14569.353052</v>
      </c>
      <c r="AL156" s="479">
        <v>18428.120095999999</v>
      </c>
      <c r="AM156" s="479">
        <v>6151.3069390000001</v>
      </c>
      <c r="AN156" s="479">
        <v>4208.3589709999997</v>
      </c>
      <c r="AQ156" s="341"/>
    </row>
    <row r="157" spans="2:43" s="141" customFormat="1" x14ac:dyDescent="0.3">
      <c r="B157" s="61" t="s">
        <v>865</v>
      </c>
      <c r="C157" s="141" t="s">
        <v>866</v>
      </c>
      <c r="D157" s="479" t="str">
        <f t="shared" si="16"/>
        <v/>
      </c>
      <c r="E157" s="479" t="str">
        <f t="shared" si="16"/>
        <v/>
      </c>
      <c r="F157" s="479" t="str">
        <f t="shared" si="16"/>
        <v/>
      </c>
      <c r="G157" s="217"/>
      <c r="H157" s="479" t="str">
        <f t="shared" si="18"/>
        <v/>
      </c>
      <c r="I157" s="479" t="str">
        <f t="shared" si="17"/>
        <v/>
      </c>
      <c r="J157" s="479" t="str">
        <f t="shared" si="17"/>
        <v/>
      </c>
      <c r="M157" s="479"/>
      <c r="N157" s="479">
        <v>0</v>
      </c>
      <c r="O157" s="479">
        <v>0</v>
      </c>
      <c r="P157" s="479">
        <v>0</v>
      </c>
      <c r="Q157" s="479">
        <v>0</v>
      </c>
      <c r="R157" s="479">
        <v>0</v>
      </c>
      <c r="S157" s="479">
        <v>0</v>
      </c>
      <c r="T157" s="479">
        <v>0</v>
      </c>
      <c r="U157" s="479">
        <v>0</v>
      </c>
      <c r="V157" s="479">
        <v>0</v>
      </c>
      <c r="W157" s="479">
        <v>0</v>
      </c>
      <c r="X157" s="479">
        <v>0</v>
      </c>
      <c r="Y157" s="479">
        <v>0</v>
      </c>
      <c r="Z157" s="479"/>
      <c r="AA157" s="479"/>
      <c r="AB157" s="479"/>
      <c r="AC157" s="479">
        <v>0</v>
      </c>
      <c r="AD157" s="479">
        <v>0</v>
      </c>
      <c r="AE157" s="479">
        <v>0</v>
      </c>
      <c r="AF157" s="479">
        <v>0</v>
      </c>
      <c r="AG157" s="479">
        <v>0</v>
      </c>
      <c r="AH157" s="479">
        <v>0</v>
      </c>
      <c r="AI157" s="479">
        <v>0</v>
      </c>
      <c r="AJ157" s="479">
        <v>0</v>
      </c>
      <c r="AK157" s="479">
        <v>0</v>
      </c>
      <c r="AL157" s="479">
        <v>0</v>
      </c>
      <c r="AM157" s="479">
        <v>0</v>
      </c>
      <c r="AN157" s="479" t="s">
        <v>1292</v>
      </c>
      <c r="AQ157" s="341"/>
    </row>
    <row r="158" spans="2:43" s="141" customFormat="1" x14ac:dyDescent="0.3">
      <c r="B158" s="61" t="s">
        <v>867</v>
      </c>
      <c r="C158" s="141" t="s">
        <v>868</v>
      </c>
      <c r="D158" s="479">
        <f t="shared" si="16"/>
        <v>65559.708465000003</v>
      </c>
      <c r="E158" s="479">
        <f t="shared" si="16"/>
        <v>53737.957666000002</v>
      </c>
      <c r="F158" s="479">
        <f t="shared" si="16"/>
        <v>41652.301900999999</v>
      </c>
      <c r="G158" s="217"/>
      <c r="H158" s="479">
        <f t="shared" si="18"/>
        <v>65560</v>
      </c>
      <c r="I158" s="479">
        <f t="shared" si="17"/>
        <v>53738</v>
      </c>
      <c r="J158" s="479">
        <f t="shared" si="17"/>
        <v>38003.504884000002</v>
      </c>
      <c r="M158" s="479"/>
      <c r="N158" s="479">
        <v>65559.708465000003</v>
      </c>
      <c r="O158" s="479">
        <v>62990.272319000003</v>
      </c>
      <c r="P158" s="479">
        <v>47568.462256999999</v>
      </c>
      <c r="Q158" s="479">
        <v>43753.13695</v>
      </c>
      <c r="R158" s="479">
        <v>53737.957666000002</v>
      </c>
      <c r="S158" s="479">
        <v>42209.032950000001</v>
      </c>
      <c r="T158" s="479">
        <v>41298.933648999999</v>
      </c>
      <c r="U158" s="479">
        <v>40684.178859</v>
      </c>
      <c r="V158" s="479">
        <v>41652.301900999999</v>
      </c>
      <c r="W158" s="479">
        <v>41811.048682000001</v>
      </c>
      <c r="X158" s="479">
        <v>37864.104813999998</v>
      </c>
      <c r="Y158" s="479">
        <v>41652.301900999999</v>
      </c>
      <c r="Z158" s="479"/>
      <c r="AA158" s="479"/>
      <c r="AB158" s="479"/>
      <c r="AC158" s="479">
        <v>65560</v>
      </c>
      <c r="AD158" s="479">
        <v>62990</v>
      </c>
      <c r="AE158" s="479">
        <v>47568</v>
      </c>
      <c r="AF158" s="479">
        <v>43753</v>
      </c>
      <c r="AG158" s="479">
        <v>53738</v>
      </c>
      <c r="AH158" s="479">
        <v>42209</v>
      </c>
      <c r="AI158" s="479">
        <v>41299</v>
      </c>
      <c r="AJ158" s="479">
        <v>40684</v>
      </c>
      <c r="AK158" s="479">
        <v>41652.301900999999</v>
      </c>
      <c r="AL158" s="479">
        <v>41811.048682000001</v>
      </c>
      <c r="AM158" s="479">
        <v>37864.104813999998</v>
      </c>
      <c r="AN158" s="479">
        <v>38003.504884000002</v>
      </c>
      <c r="AQ158" s="341"/>
    </row>
    <row r="159" spans="2:43" s="141" customFormat="1" x14ac:dyDescent="0.3">
      <c r="B159" s="61" t="s">
        <v>859</v>
      </c>
      <c r="C159" s="141" t="s">
        <v>860</v>
      </c>
      <c r="D159" s="479">
        <f t="shared" si="16"/>
        <v>64954.057167999999</v>
      </c>
      <c r="E159" s="479">
        <f t="shared" si="16"/>
        <v>53228.298352999998</v>
      </c>
      <c r="F159" s="479">
        <f t="shared" si="16"/>
        <v>41020.911755000001</v>
      </c>
      <c r="G159" s="217"/>
      <c r="H159" s="479">
        <f t="shared" si="18"/>
        <v>64954</v>
      </c>
      <c r="I159" s="479">
        <f t="shared" si="17"/>
        <v>53228</v>
      </c>
      <c r="J159" s="479">
        <f t="shared" si="17"/>
        <v>37420.454643999998</v>
      </c>
      <c r="M159" s="479"/>
      <c r="N159" s="479">
        <v>64954.057167999999</v>
      </c>
      <c r="O159" s="479">
        <v>62181.390122999997</v>
      </c>
      <c r="P159" s="479">
        <v>46969.287077000001</v>
      </c>
      <c r="Q159" s="479">
        <v>43153.162935</v>
      </c>
      <c r="R159" s="479">
        <v>53228.298352999998</v>
      </c>
      <c r="S159" s="479">
        <v>41634.195778000001</v>
      </c>
      <c r="T159" s="479">
        <v>40750.564617999997</v>
      </c>
      <c r="U159" s="479">
        <v>39863.984880999997</v>
      </c>
      <c r="V159" s="479">
        <v>41020.911755000001</v>
      </c>
      <c r="W159" s="479">
        <v>41027.054426000002</v>
      </c>
      <c r="X159" s="479">
        <v>37271.156153999997</v>
      </c>
      <c r="Y159" s="479">
        <v>41020.911755000001</v>
      </c>
      <c r="Z159" s="479"/>
      <c r="AA159" s="479"/>
      <c r="AB159" s="479"/>
      <c r="AC159" s="479">
        <v>64954</v>
      </c>
      <c r="AD159" s="479">
        <v>62181</v>
      </c>
      <c r="AE159" s="479">
        <v>46969</v>
      </c>
      <c r="AF159" s="479">
        <v>43153</v>
      </c>
      <c r="AG159" s="479">
        <v>53228</v>
      </c>
      <c r="AH159" s="479">
        <v>41634</v>
      </c>
      <c r="AI159" s="479">
        <v>40751</v>
      </c>
      <c r="AJ159" s="479">
        <v>39864</v>
      </c>
      <c r="AK159" s="479">
        <v>41020.911755000001</v>
      </c>
      <c r="AL159" s="479">
        <v>41027.054426000002</v>
      </c>
      <c r="AM159" s="479">
        <v>37271.156153999997</v>
      </c>
      <c r="AN159" s="479">
        <v>37420.454643999998</v>
      </c>
      <c r="AQ159" s="341"/>
    </row>
    <row r="160" spans="2:43" s="141" customFormat="1" x14ac:dyDescent="0.3">
      <c r="B160" s="61" t="s">
        <v>861</v>
      </c>
      <c r="C160" s="141" t="s">
        <v>862</v>
      </c>
      <c r="D160" s="479">
        <f t="shared" si="16"/>
        <v>605.651297</v>
      </c>
      <c r="E160" s="479">
        <f t="shared" si="16"/>
        <v>509.659313</v>
      </c>
      <c r="F160" s="479">
        <f t="shared" si="16"/>
        <v>631.39014599999996</v>
      </c>
      <c r="G160" s="217"/>
      <c r="H160" s="479">
        <f t="shared" si="18"/>
        <v>606</v>
      </c>
      <c r="I160" s="479">
        <f t="shared" si="17"/>
        <v>510</v>
      </c>
      <c r="J160" s="479">
        <f t="shared" si="17"/>
        <v>583.05024000000003</v>
      </c>
      <c r="M160" s="479"/>
      <c r="N160" s="479">
        <v>605.651297</v>
      </c>
      <c r="O160" s="479">
        <v>808.88219600000002</v>
      </c>
      <c r="P160" s="479">
        <v>599.17517999999995</v>
      </c>
      <c r="Q160" s="479">
        <v>599.97401500000001</v>
      </c>
      <c r="R160" s="479">
        <v>509.659313</v>
      </c>
      <c r="S160" s="479">
        <v>574.83717200000001</v>
      </c>
      <c r="T160" s="479">
        <v>548.36903099999995</v>
      </c>
      <c r="U160" s="479">
        <v>820.19397800000002</v>
      </c>
      <c r="V160" s="479">
        <v>631.39014599999996</v>
      </c>
      <c r="W160" s="479">
        <v>783.99425599999995</v>
      </c>
      <c r="X160" s="479">
        <v>592.94866000000002</v>
      </c>
      <c r="Y160" s="479">
        <v>631.39014599999996</v>
      </c>
      <c r="Z160" s="479"/>
      <c r="AA160" s="479"/>
      <c r="AB160" s="479"/>
      <c r="AC160" s="479">
        <v>606</v>
      </c>
      <c r="AD160" s="479">
        <v>809</v>
      </c>
      <c r="AE160" s="479">
        <v>599</v>
      </c>
      <c r="AF160" s="479">
        <v>600</v>
      </c>
      <c r="AG160" s="479">
        <v>510</v>
      </c>
      <c r="AH160" s="479">
        <v>575</v>
      </c>
      <c r="AI160" s="479">
        <v>548</v>
      </c>
      <c r="AJ160" s="479">
        <v>820</v>
      </c>
      <c r="AK160" s="479">
        <v>631.39014599999996</v>
      </c>
      <c r="AL160" s="479">
        <v>783.99425599999995</v>
      </c>
      <c r="AM160" s="479">
        <v>592.94866000000002</v>
      </c>
      <c r="AN160" s="479">
        <v>583.05024000000003</v>
      </c>
      <c r="AQ160" s="341"/>
    </row>
    <row r="161" spans="2:43" s="141" customFormat="1" x14ac:dyDescent="0.3">
      <c r="B161" s="61" t="s">
        <v>545</v>
      </c>
      <c r="C161" s="141" t="s">
        <v>395</v>
      </c>
      <c r="D161" s="479">
        <f t="shared" si="16"/>
        <v>17201.474662000001</v>
      </c>
      <c r="E161" s="479">
        <f t="shared" si="16"/>
        <v>32189.695459999999</v>
      </c>
      <c r="F161" s="479">
        <f t="shared" si="16"/>
        <v>181200.046932</v>
      </c>
      <c r="G161" s="217"/>
      <c r="H161" s="479">
        <f t="shared" si="18"/>
        <v>19535</v>
      </c>
      <c r="I161" s="479">
        <f t="shared" si="17"/>
        <v>35065</v>
      </c>
      <c r="J161" s="479">
        <f t="shared" si="17"/>
        <v>35396.095966000001</v>
      </c>
      <c r="M161" s="479"/>
      <c r="N161" s="479">
        <v>17201.474662000001</v>
      </c>
      <c r="O161" s="479">
        <v>8559.1838590000007</v>
      </c>
      <c r="P161" s="479">
        <v>9410.3515470000002</v>
      </c>
      <c r="Q161" s="479">
        <v>17918.555471</v>
      </c>
      <c r="R161" s="479">
        <v>32189.695459999999</v>
      </c>
      <c r="S161" s="479">
        <v>8763.4995240000007</v>
      </c>
      <c r="T161" s="479">
        <v>25561.275708000001</v>
      </c>
      <c r="U161" s="479">
        <v>28051.070468999998</v>
      </c>
      <c r="V161" s="479">
        <v>181200.046932</v>
      </c>
      <c r="W161" s="479">
        <v>29502.310571000002</v>
      </c>
      <c r="X161" s="479">
        <v>45621.917079999999</v>
      </c>
      <c r="Y161" s="479">
        <v>181200.046932</v>
      </c>
      <c r="Z161" s="479"/>
      <c r="AA161" s="479"/>
      <c r="AB161" s="479"/>
      <c r="AC161" s="479">
        <v>19535</v>
      </c>
      <c r="AD161" s="479">
        <v>14053</v>
      </c>
      <c r="AE161" s="479">
        <v>11686</v>
      </c>
      <c r="AF161" s="479">
        <v>20618</v>
      </c>
      <c r="AG161" s="479">
        <v>35065</v>
      </c>
      <c r="AH161" s="479">
        <v>13611</v>
      </c>
      <c r="AI161" s="479">
        <v>28676</v>
      </c>
      <c r="AJ161" s="479">
        <v>31438</v>
      </c>
      <c r="AK161" s="479">
        <v>184853.63260800001</v>
      </c>
      <c r="AL161" s="479">
        <v>33704.265904</v>
      </c>
      <c r="AM161" s="479">
        <v>49958.083834999998</v>
      </c>
      <c r="AN161" s="479">
        <v>35396.095966000001</v>
      </c>
      <c r="AQ161" s="341"/>
    </row>
    <row r="162" spans="2:43" s="141" customFormat="1" x14ac:dyDescent="0.3">
      <c r="B162" s="61" t="s">
        <v>516</v>
      </c>
      <c r="C162" s="141" t="s">
        <v>366</v>
      </c>
      <c r="D162" s="479" t="str">
        <f t="shared" si="16"/>
        <v/>
      </c>
      <c r="E162" s="479" t="str">
        <f t="shared" si="16"/>
        <v/>
      </c>
      <c r="F162" s="479" t="str">
        <f t="shared" si="16"/>
        <v/>
      </c>
      <c r="G162" s="217"/>
      <c r="H162" s="479" t="str">
        <f t="shared" si="18"/>
        <v/>
      </c>
      <c r="I162" s="479" t="str">
        <f t="shared" si="17"/>
        <v/>
      </c>
      <c r="J162" s="479" t="str">
        <f t="shared" si="17"/>
        <v/>
      </c>
      <c r="M162" s="479"/>
      <c r="N162" s="479">
        <v>0</v>
      </c>
      <c r="O162" s="479">
        <v>0</v>
      </c>
      <c r="P162" s="479">
        <v>0</v>
      </c>
      <c r="Q162" s="479">
        <v>0</v>
      </c>
      <c r="R162" s="479">
        <v>0</v>
      </c>
      <c r="S162" s="479">
        <v>0</v>
      </c>
      <c r="T162" s="479">
        <v>0</v>
      </c>
      <c r="U162" s="479">
        <v>0</v>
      </c>
      <c r="V162" s="479">
        <v>0</v>
      </c>
      <c r="W162" s="479">
        <v>0</v>
      </c>
      <c r="X162" s="479">
        <v>0</v>
      </c>
      <c r="Y162" s="479">
        <v>0</v>
      </c>
      <c r="Z162" s="479"/>
      <c r="AA162" s="479"/>
      <c r="AB162" s="479"/>
      <c r="AC162" s="479">
        <v>0</v>
      </c>
      <c r="AD162" s="479">
        <v>0</v>
      </c>
      <c r="AE162" s="479">
        <v>0</v>
      </c>
      <c r="AF162" s="479">
        <v>0</v>
      </c>
      <c r="AG162" s="479">
        <v>0</v>
      </c>
      <c r="AH162" s="479">
        <v>0</v>
      </c>
      <c r="AI162" s="479">
        <v>0</v>
      </c>
      <c r="AJ162" s="479">
        <v>0</v>
      </c>
      <c r="AK162" s="479">
        <v>0</v>
      </c>
      <c r="AL162" s="479">
        <v>0</v>
      </c>
      <c r="AM162" s="479">
        <v>0</v>
      </c>
      <c r="AN162" s="479" t="s">
        <v>1292</v>
      </c>
      <c r="AQ162" s="341"/>
    </row>
    <row r="163" spans="2:43" s="141" customFormat="1" x14ac:dyDescent="0.3">
      <c r="B163" s="61" t="s">
        <v>517</v>
      </c>
      <c r="C163" s="141" t="s">
        <v>367</v>
      </c>
      <c r="D163" s="479">
        <f t="shared" si="16"/>
        <v>-337.73164000000003</v>
      </c>
      <c r="E163" s="479">
        <f t="shared" si="16"/>
        <v>-338.18663299999997</v>
      </c>
      <c r="F163" s="479">
        <f t="shared" si="16"/>
        <v>-321.45175999999998</v>
      </c>
      <c r="G163" s="217"/>
      <c r="H163" s="479">
        <f t="shared" si="18"/>
        <v>-526</v>
      </c>
      <c r="I163" s="479">
        <f t="shared" si="17"/>
        <v>-448</v>
      </c>
      <c r="J163" s="479">
        <f t="shared" si="17"/>
        <v>-6148.6675490000007</v>
      </c>
      <c r="M163" s="479"/>
      <c r="N163" s="479">
        <v>-337.73164000000003</v>
      </c>
      <c r="O163" s="479">
        <v>-338.73404499999998</v>
      </c>
      <c r="P163" s="479">
        <v>-339.63173599999999</v>
      </c>
      <c r="Q163" s="479">
        <v>-340.53173600000002</v>
      </c>
      <c r="R163" s="479">
        <v>-338.18663299999997</v>
      </c>
      <c r="S163" s="479">
        <v>-339.19517200000001</v>
      </c>
      <c r="T163" s="479">
        <v>-348.12085100000002</v>
      </c>
      <c r="U163" s="479">
        <v>-339.632025</v>
      </c>
      <c r="V163" s="479">
        <v>-321.45175999999998</v>
      </c>
      <c r="W163" s="479">
        <v>-6053.2329840000002</v>
      </c>
      <c r="X163" s="479">
        <v>-5537.9812400000001</v>
      </c>
      <c r="Y163" s="479">
        <v>-321.45175999999998</v>
      </c>
      <c r="Z163" s="479"/>
      <c r="AA163" s="479"/>
      <c r="AB163" s="479"/>
      <c r="AC163" s="479">
        <v>-526</v>
      </c>
      <c r="AD163" s="479">
        <v>-494</v>
      </c>
      <c r="AE163" s="479">
        <v>-497</v>
      </c>
      <c r="AF163" s="479">
        <v>-451</v>
      </c>
      <c r="AG163" s="479">
        <v>-448</v>
      </c>
      <c r="AH163" s="479">
        <v>-455</v>
      </c>
      <c r="AI163" s="479">
        <v>-464</v>
      </c>
      <c r="AJ163" s="479">
        <v>-458</v>
      </c>
      <c r="AK163" s="479">
        <v>-448.53992299999999</v>
      </c>
      <c r="AL163" s="479">
        <v>-6159.3241239999998</v>
      </c>
      <c r="AM163" s="479">
        <v>-5646.8644850000001</v>
      </c>
      <c r="AN163" s="479">
        <v>-6148.6675490000007</v>
      </c>
      <c r="AQ163" s="341"/>
    </row>
    <row r="164" spans="2:43" s="141" customFormat="1" x14ac:dyDescent="0.3">
      <c r="B164" s="61" t="s">
        <v>546</v>
      </c>
      <c r="C164" s="141" t="s">
        <v>396</v>
      </c>
      <c r="D164" s="479">
        <f t="shared" si="16"/>
        <v>13857.146551</v>
      </c>
      <c r="E164" s="479">
        <f t="shared" si="16"/>
        <v>8738.2981789999994</v>
      </c>
      <c r="F164" s="479">
        <f t="shared" si="16"/>
        <v>5739.8031259999998</v>
      </c>
      <c r="G164" s="217"/>
      <c r="H164" s="479">
        <f t="shared" si="18"/>
        <v>29479</v>
      </c>
      <c r="I164" s="479">
        <f t="shared" si="17"/>
        <v>23219</v>
      </c>
      <c r="J164" s="479">
        <f t="shared" si="17"/>
        <v>21773.649307</v>
      </c>
      <c r="M164" s="479"/>
      <c r="N164" s="479">
        <v>13857.146551</v>
      </c>
      <c r="O164" s="479">
        <v>8247.3789639999995</v>
      </c>
      <c r="P164" s="479">
        <v>8415.5086549999996</v>
      </c>
      <c r="Q164" s="479">
        <v>8288.1324609999992</v>
      </c>
      <c r="R164" s="479">
        <v>8738.2981789999994</v>
      </c>
      <c r="S164" s="479">
        <v>5881.3000949999996</v>
      </c>
      <c r="T164" s="479">
        <v>5846.6994260000001</v>
      </c>
      <c r="U164" s="479">
        <v>5797.9245030000002</v>
      </c>
      <c r="V164" s="479">
        <v>5739.8031259999998</v>
      </c>
      <c r="W164" s="479">
        <v>6874.673119</v>
      </c>
      <c r="X164" s="479">
        <v>5542.1963509999996</v>
      </c>
      <c r="Y164" s="479">
        <v>5739.8031259999998</v>
      </c>
      <c r="Z164" s="479"/>
      <c r="AA164" s="479"/>
      <c r="AB164" s="479"/>
      <c r="AC164" s="479">
        <v>29479</v>
      </c>
      <c r="AD164" s="479">
        <v>23486</v>
      </c>
      <c r="AE164" s="479">
        <v>23526</v>
      </c>
      <c r="AF164" s="479">
        <v>23295</v>
      </c>
      <c r="AG164" s="479">
        <v>23219</v>
      </c>
      <c r="AH164" s="479">
        <v>20014</v>
      </c>
      <c r="AI164" s="479">
        <v>19877</v>
      </c>
      <c r="AJ164" s="479">
        <v>19529</v>
      </c>
      <c r="AK164" s="479">
        <v>20103.187507999999</v>
      </c>
      <c r="AL164" s="479">
        <v>23014.204031000001</v>
      </c>
      <c r="AM164" s="479">
        <v>21797.903387999999</v>
      </c>
      <c r="AN164" s="479">
        <v>21773.649307</v>
      </c>
      <c r="AQ164" s="341"/>
    </row>
    <row r="165" spans="2:43" s="141" customFormat="1" x14ac:dyDescent="0.3">
      <c r="B165" s="61" t="s">
        <v>516</v>
      </c>
      <c r="C165" s="141" t="s">
        <v>366</v>
      </c>
      <c r="D165" s="479">
        <f t="shared" si="16"/>
        <v>-395.33475700000002</v>
      </c>
      <c r="E165" s="479">
        <f t="shared" si="16"/>
        <v>-607.20583899999997</v>
      </c>
      <c r="F165" s="479">
        <f t="shared" si="16"/>
        <v>-163.49820299999999</v>
      </c>
      <c r="G165" s="217"/>
      <c r="H165" s="479">
        <f t="shared" si="18"/>
        <v>-857</v>
      </c>
      <c r="I165" s="479">
        <f t="shared" si="17"/>
        <v>-1332</v>
      </c>
      <c r="J165" s="479">
        <f t="shared" si="17"/>
        <v>-1202.273027</v>
      </c>
      <c r="M165" s="479"/>
      <c r="N165" s="479">
        <v>-395.33475700000002</v>
      </c>
      <c r="O165" s="479">
        <v>-432.43235399999998</v>
      </c>
      <c r="P165" s="479">
        <v>-500.65516300000002</v>
      </c>
      <c r="Q165" s="479">
        <v>-552.53135699999996</v>
      </c>
      <c r="R165" s="479">
        <v>-607.20583899999997</v>
      </c>
      <c r="S165" s="479">
        <v>-453.75072699999998</v>
      </c>
      <c r="T165" s="479">
        <v>-488.76729799999998</v>
      </c>
      <c r="U165" s="479">
        <v>-515.43394599999999</v>
      </c>
      <c r="V165" s="479">
        <v>-163.49820299999999</v>
      </c>
      <c r="W165" s="479">
        <v>-196.24063000000001</v>
      </c>
      <c r="X165" s="479">
        <v>-228.717398</v>
      </c>
      <c r="Y165" s="479">
        <v>-163.49820299999999</v>
      </c>
      <c r="Z165" s="479"/>
      <c r="AA165" s="479"/>
      <c r="AB165" s="479"/>
      <c r="AC165" s="479">
        <v>-857</v>
      </c>
      <c r="AD165" s="479">
        <v>-994</v>
      </c>
      <c r="AE165" s="479">
        <v>-1245</v>
      </c>
      <c r="AF165" s="479">
        <v>-1420</v>
      </c>
      <c r="AG165" s="479">
        <v>-1332</v>
      </c>
      <c r="AH165" s="479">
        <v>-1461</v>
      </c>
      <c r="AI165" s="479">
        <v>-1730</v>
      </c>
      <c r="AJ165" s="479">
        <v>-2056</v>
      </c>
      <c r="AK165" s="479">
        <v>-1027.7762660000001</v>
      </c>
      <c r="AL165" s="479">
        <v>-1251.503103</v>
      </c>
      <c r="AM165" s="479">
        <v>-1103.603746</v>
      </c>
      <c r="AN165" s="479">
        <v>-1202.273027</v>
      </c>
      <c r="AQ165" s="341"/>
    </row>
    <row r="166" spans="2:43" s="141" customFormat="1" x14ac:dyDescent="0.3">
      <c r="B166" s="61" t="s">
        <v>517</v>
      </c>
      <c r="C166" s="141" t="s">
        <v>367</v>
      </c>
      <c r="D166" s="479" t="str">
        <f t="shared" ref="D166:F185" si="19">IF(HLOOKUP(D$5,$M$5:$Y$370,ROW()-ROW($F$4),FALSE)=0,"",HLOOKUP(D$5,$M$5:$Y$370,ROW()-ROW($F$4),FALSE))</f>
        <v/>
      </c>
      <c r="E166" s="479" t="str">
        <f t="shared" si="19"/>
        <v/>
      </c>
      <c r="F166" s="479" t="str">
        <f t="shared" si="19"/>
        <v/>
      </c>
      <c r="G166" s="217"/>
      <c r="H166" s="479" t="str">
        <f t="shared" si="18"/>
        <v/>
      </c>
      <c r="I166" s="479" t="str">
        <f t="shared" ref="I166:J185" si="20">IF(HLOOKUP(I$5,$AB$5:$AN$370,ROW()-ROW($J$4),FALSE)=0,"",HLOOKUP(I$5,$AB$5:$AN$370,ROW()-ROW($J$4),FALSE))</f>
        <v/>
      </c>
      <c r="J166" s="479" t="str">
        <f t="shared" si="20"/>
        <v/>
      </c>
      <c r="M166" s="479"/>
      <c r="N166" s="479">
        <v>0</v>
      </c>
      <c r="O166" s="479">
        <v>0</v>
      </c>
      <c r="P166" s="479">
        <v>0</v>
      </c>
      <c r="Q166" s="479">
        <v>0</v>
      </c>
      <c r="R166" s="479">
        <v>0</v>
      </c>
      <c r="S166" s="479">
        <v>0</v>
      </c>
      <c r="T166" s="479">
        <v>0</v>
      </c>
      <c r="U166" s="479">
        <v>0</v>
      </c>
      <c r="V166" s="479">
        <v>0</v>
      </c>
      <c r="W166" s="479">
        <v>0</v>
      </c>
      <c r="X166" s="479">
        <v>0</v>
      </c>
      <c r="Y166" s="479">
        <v>0</v>
      </c>
      <c r="Z166" s="479"/>
      <c r="AA166" s="479"/>
      <c r="AB166" s="479"/>
      <c r="AC166" s="479">
        <v>0</v>
      </c>
      <c r="AD166" s="479">
        <v>0</v>
      </c>
      <c r="AE166" s="479">
        <v>0</v>
      </c>
      <c r="AF166" s="479">
        <v>0</v>
      </c>
      <c r="AG166" s="479">
        <v>0</v>
      </c>
      <c r="AH166" s="479">
        <v>0</v>
      </c>
      <c r="AI166" s="479">
        <v>0</v>
      </c>
      <c r="AJ166" s="479">
        <v>0</v>
      </c>
      <c r="AK166" s="479">
        <v>0</v>
      </c>
      <c r="AL166" s="479">
        <v>0</v>
      </c>
      <c r="AM166" s="479">
        <v>0</v>
      </c>
      <c r="AN166" s="479" t="s">
        <v>1292</v>
      </c>
      <c r="AQ166" s="341"/>
    </row>
    <row r="167" spans="2:43" s="141" customFormat="1" x14ac:dyDescent="0.3">
      <c r="B167" s="61" t="s">
        <v>547</v>
      </c>
      <c r="C167" s="141" t="s">
        <v>397</v>
      </c>
      <c r="D167" s="479">
        <f t="shared" si="19"/>
        <v>100</v>
      </c>
      <c r="E167" s="479">
        <f t="shared" si="19"/>
        <v>100</v>
      </c>
      <c r="F167" s="479">
        <f t="shared" si="19"/>
        <v>100.415902</v>
      </c>
      <c r="G167" s="217"/>
      <c r="H167" s="479">
        <f t="shared" si="18"/>
        <v>100</v>
      </c>
      <c r="I167" s="479">
        <f t="shared" si="20"/>
        <v>100</v>
      </c>
      <c r="J167" s="479">
        <f t="shared" si="20"/>
        <v>0.41590200000000005</v>
      </c>
      <c r="M167" s="479"/>
      <c r="N167" s="479">
        <v>100</v>
      </c>
      <c r="O167" s="479">
        <v>140</v>
      </c>
      <c r="P167" s="479">
        <v>140</v>
      </c>
      <c r="Q167" s="479">
        <v>100</v>
      </c>
      <c r="R167" s="479">
        <v>100</v>
      </c>
      <c r="S167" s="479">
        <v>100</v>
      </c>
      <c r="T167" s="479">
        <v>100.415902</v>
      </c>
      <c r="U167" s="479">
        <v>100.415902</v>
      </c>
      <c r="V167" s="479">
        <v>100.415902</v>
      </c>
      <c r="W167" s="479">
        <v>1300.415902</v>
      </c>
      <c r="X167" s="479">
        <v>0.41590199999999999</v>
      </c>
      <c r="Y167" s="479">
        <v>100.415902</v>
      </c>
      <c r="Z167" s="479"/>
      <c r="AA167" s="479"/>
      <c r="AB167" s="479"/>
      <c r="AC167" s="479">
        <v>100</v>
      </c>
      <c r="AD167" s="479">
        <v>140</v>
      </c>
      <c r="AE167" s="479">
        <v>140</v>
      </c>
      <c r="AF167" s="479">
        <v>100</v>
      </c>
      <c r="AG167" s="479">
        <v>100</v>
      </c>
      <c r="AH167" s="479">
        <v>100</v>
      </c>
      <c r="AI167" s="479">
        <v>100</v>
      </c>
      <c r="AJ167" s="479">
        <v>100</v>
      </c>
      <c r="AK167" s="479">
        <v>100.415902</v>
      </c>
      <c r="AL167" s="479">
        <v>1300.415902</v>
      </c>
      <c r="AM167" s="479">
        <v>0.41590199999999999</v>
      </c>
      <c r="AN167" s="479">
        <v>0.41590200000000005</v>
      </c>
      <c r="AQ167" s="341"/>
    </row>
    <row r="168" spans="2:43" s="141" customFormat="1" x14ac:dyDescent="0.3">
      <c r="B168" s="61" t="s">
        <v>548</v>
      </c>
      <c r="C168" s="141" t="s">
        <v>398</v>
      </c>
      <c r="D168" s="479">
        <f t="shared" si="19"/>
        <v>92.955206000000004</v>
      </c>
      <c r="E168" s="479">
        <f t="shared" si="19"/>
        <v>92.955206000000004</v>
      </c>
      <c r="F168" s="479">
        <f t="shared" si="19"/>
        <v>93.410086000000007</v>
      </c>
      <c r="G168" s="217"/>
      <c r="H168" s="479">
        <f t="shared" si="18"/>
        <v>93</v>
      </c>
      <c r="I168" s="479">
        <f t="shared" si="20"/>
        <v>93</v>
      </c>
      <c r="J168" s="479">
        <f t="shared" si="20"/>
        <v>93.410086000000007</v>
      </c>
      <c r="M168" s="479"/>
      <c r="N168" s="479">
        <v>92.955206000000004</v>
      </c>
      <c r="O168" s="479">
        <v>92.955206000000004</v>
      </c>
      <c r="P168" s="479">
        <v>92.955206000000004</v>
      </c>
      <c r="Q168" s="479">
        <v>92.955206000000004</v>
      </c>
      <c r="R168" s="479">
        <v>92.955206000000004</v>
      </c>
      <c r="S168" s="479">
        <v>92.955206000000004</v>
      </c>
      <c r="T168" s="479">
        <v>92.955206000000004</v>
      </c>
      <c r="U168" s="479">
        <v>92.955206000000004</v>
      </c>
      <c r="V168" s="479">
        <v>93.410086000000007</v>
      </c>
      <c r="W168" s="479">
        <v>93.410086000000007</v>
      </c>
      <c r="X168" s="479">
        <v>93.410086000000007</v>
      </c>
      <c r="Y168" s="479">
        <v>93.410086000000007</v>
      </c>
      <c r="Z168" s="479"/>
      <c r="AA168" s="479"/>
      <c r="AB168" s="479"/>
      <c r="AC168" s="479">
        <v>93</v>
      </c>
      <c r="AD168" s="479">
        <v>93</v>
      </c>
      <c r="AE168" s="479">
        <v>93</v>
      </c>
      <c r="AF168" s="479">
        <v>93</v>
      </c>
      <c r="AG168" s="479">
        <v>93</v>
      </c>
      <c r="AH168" s="479">
        <v>93</v>
      </c>
      <c r="AI168" s="479">
        <v>93</v>
      </c>
      <c r="AJ168" s="479">
        <v>93</v>
      </c>
      <c r="AK168" s="479">
        <v>93.410086000000007</v>
      </c>
      <c r="AL168" s="479">
        <v>93.410086000000007</v>
      </c>
      <c r="AM168" s="479">
        <v>93.410086000000007</v>
      </c>
      <c r="AN168" s="479">
        <v>93.410086000000007</v>
      </c>
      <c r="AQ168" s="341"/>
    </row>
    <row r="169" spans="2:43" s="141" customFormat="1" x14ac:dyDescent="0.3">
      <c r="B169" s="61" t="s">
        <v>549</v>
      </c>
      <c r="C169" s="141" t="s">
        <v>399</v>
      </c>
      <c r="D169" s="479">
        <f t="shared" si="19"/>
        <v>14059.526102</v>
      </c>
      <c r="E169" s="479">
        <f t="shared" si="19"/>
        <v>9152.5488120000009</v>
      </c>
      <c r="F169" s="479">
        <f t="shared" si="19"/>
        <v>5709.4753410000003</v>
      </c>
      <c r="G169" s="217"/>
      <c r="H169" s="479">
        <f t="shared" si="18"/>
        <v>30143</v>
      </c>
      <c r="I169" s="479">
        <f t="shared" si="20"/>
        <v>24358</v>
      </c>
      <c r="J169" s="479">
        <f t="shared" si="20"/>
        <v>22882.096345999998</v>
      </c>
      <c r="M169" s="479"/>
      <c r="N169" s="479">
        <v>14059.526102</v>
      </c>
      <c r="O169" s="479">
        <v>8446.8561119999995</v>
      </c>
      <c r="P169" s="479">
        <v>8683.2086120000004</v>
      </c>
      <c r="Q169" s="479">
        <v>8647.7086120000004</v>
      </c>
      <c r="R169" s="479">
        <v>9152.5488120000009</v>
      </c>
      <c r="S169" s="479">
        <v>6142.0956159999996</v>
      </c>
      <c r="T169" s="479">
        <v>6142.0956159999996</v>
      </c>
      <c r="U169" s="479">
        <v>6119.987341</v>
      </c>
      <c r="V169" s="479">
        <v>5709.4753410000003</v>
      </c>
      <c r="W169" s="479">
        <v>5677.0877609999998</v>
      </c>
      <c r="X169" s="479">
        <v>5677.0877609999998</v>
      </c>
      <c r="Y169" s="479">
        <v>5709.4753410000003</v>
      </c>
      <c r="Z169" s="479"/>
      <c r="AA169" s="479"/>
      <c r="AB169" s="479"/>
      <c r="AC169" s="479">
        <v>30143</v>
      </c>
      <c r="AD169" s="479">
        <v>24247</v>
      </c>
      <c r="AE169" s="479">
        <v>24538</v>
      </c>
      <c r="AF169" s="479">
        <v>24522</v>
      </c>
      <c r="AG169" s="479">
        <v>24358</v>
      </c>
      <c r="AH169" s="479">
        <v>21283</v>
      </c>
      <c r="AI169" s="479">
        <v>21413</v>
      </c>
      <c r="AJ169" s="479">
        <v>21391</v>
      </c>
      <c r="AK169" s="479">
        <v>20937.137785999999</v>
      </c>
      <c r="AL169" s="479">
        <v>22871.881146</v>
      </c>
      <c r="AM169" s="479">
        <v>22807.681145999999</v>
      </c>
      <c r="AN169" s="479">
        <v>22882.096345999998</v>
      </c>
      <c r="AQ169" s="341"/>
    </row>
    <row r="170" spans="2:43" s="141" customFormat="1" x14ac:dyDescent="0.3">
      <c r="B170" s="61" t="s">
        <v>550</v>
      </c>
      <c r="C170" s="141" t="s">
        <v>400</v>
      </c>
      <c r="D170" s="479" t="str">
        <f t="shared" si="19"/>
        <v/>
      </c>
      <c r="E170" s="479" t="str">
        <f t="shared" si="19"/>
        <v/>
      </c>
      <c r="F170" s="479" t="str">
        <f t="shared" si="19"/>
        <v/>
      </c>
      <c r="G170" s="217"/>
      <c r="H170" s="479" t="str">
        <f t="shared" si="18"/>
        <v/>
      </c>
      <c r="I170" s="479" t="str">
        <f t="shared" si="20"/>
        <v/>
      </c>
      <c r="J170" s="479" t="str">
        <f t="shared" si="20"/>
        <v/>
      </c>
      <c r="M170" s="479"/>
      <c r="N170" s="479">
        <v>0</v>
      </c>
      <c r="O170" s="479">
        <v>0</v>
      </c>
      <c r="P170" s="479">
        <v>0</v>
      </c>
      <c r="Q170" s="479">
        <v>0</v>
      </c>
      <c r="R170" s="479">
        <v>0</v>
      </c>
      <c r="S170" s="479">
        <v>0</v>
      </c>
      <c r="T170" s="479">
        <v>0</v>
      </c>
      <c r="U170" s="479">
        <v>0</v>
      </c>
      <c r="V170" s="479">
        <v>0</v>
      </c>
      <c r="W170" s="479">
        <v>0</v>
      </c>
      <c r="X170" s="479">
        <v>0</v>
      </c>
      <c r="Y170" s="479">
        <v>0</v>
      </c>
      <c r="Z170" s="479"/>
      <c r="AA170" s="479"/>
      <c r="AB170" s="479"/>
      <c r="AC170" s="479">
        <v>0</v>
      </c>
      <c r="AD170" s="479">
        <v>0</v>
      </c>
      <c r="AE170" s="479">
        <v>0</v>
      </c>
      <c r="AF170" s="479">
        <v>0</v>
      </c>
      <c r="AG170" s="479">
        <v>0</v>
      </c>
      <c r="AH170" s="479">
        <v>0</v>
      </c>
      <c r="AI170" s="479">
        <v>0</v>
      </c>
      <c r="AJ170" s="479">
        <v>0</v>
      </c>
      <c r="AK170" s="479">
        <v>0</v>
      </c>
      <c r="AL170" s="479">
        <v>0</v>
      </c>
      <c r="AM170" s="479">
        <v>0</v>
      </c>
      <c r="AN170" s="479" t="s">
        <v>1292</v>
      </c>
      <c r="AQ170" s="341"/>
    </row>
    <row r="171" spans="2:43" s="141" customFormat="1" x14ac:dyDescent="0.3">
      <c r="B171" s="61" t="s">
        <v>551</v>
      </c>
      <c r="C171" s="141" t="s">
        <v>401</v>
      </c>
      <c r="D171" s="479">
        <f t="shared" si="19"/>
        <v>535089.10974999995</v>
      </c>
      <c r="E171" s="479">
        <f t="shared" si="19"/>
        <v>635019.47379099997</v>
      </c>
      <c r="F171" s="479">
        <f t="shared" si="19"/>
        <v>690527.74080699997</v>
      </c>
      <c r="G171" s="217"/>
      <c r="H171" s="479">
        <f t="shared" si="18"/>
        <v>542655</v>
      </c>
      <c r="I171" s="479">
        <f t="shared" si="20"/>
        <v>642031</v>
      </c>
      <c r="J171" s="479">
        <f t="shared" si="20"/>
        <v>638696.82590399997</v>
      </c>
      <c r="M171" s="479"/>
      <c r="N171" s="479">
        <v>535089.10974999995</v>
      </c>
      <c r="O171" s="479">
        <v>455378.89397500001</v>
      </c>
      <c r="P171" s="479">
        <v>553726.61308299995</v>
      </c>
      <c r="Q171" s="479">
        <v>554927.46489099995</v>
      </c>
      <c r="R171" s="479">
        <v>635019.47379099997</v>
      </c>
      <c r="S171" s="479">
        <v>583180.90807899996</v>
      </c>
      <c r="T171" s="479">
        <v>721993.97268200002</v>
      </c>
      <c r="U171" s="479">
        <v>674287.74044600001</v>
      </c>
      <c r="V171" s="479">
        <v>690527.74080699997</v>
      </c>
      <c r="W171" s="479">
        <v>658580.64110699994</v>
      </c>
      <c r="X171" s="479">
        <v>666101.28458600002</v>
      </c>
      <c r="Y171" s="479">
        <v>690527.74080699997</v>
      </c>
      <c r="Z171" s="479"/>
      <c r="AA171" s="479"/>
      <c r="AB171" s="479"/>
      <c r="AC171" s="479">
        <v>542655</v>
      </c>
      <c r="AD171" s="479">
        <v>460842</v>
      </c>
      <c r="AE171" s="479">
        <v>558418</v>
      </c>
      <c r="AF171" s="479">
        <v>561071</v>
      </c>
      <c r="AG171" s="479">
        <v>642031</v>
      </c>
      <c r="AH171" s="479">
        <v>596773</v>
      </c>
      <c r="AI171" s="479">
        <v>733644</v>
      </c>
      <c r="AJ171" s="479">
        <v>685304</v>
      </c>
      <c r="AK171" s="479">
        <v>696154.29053600004</v>
      </c>
      <c r="AL171" s="479">
        <v>668294.67163600004</v>
      </c>
      <c r="AM171" s="479">
        <v>675825.74054300005</v>
      </c>
      <c r="AN171" s="479">
        <v>638696.82590399997</v>
      </c>
      <c r="AQ171" s="341"/>
    </row>
    <row r="172" spans="2:43" s="141" customFormat="1" x14ac:dyDescent="0.3">
      <c r="B172" s="61" t="s">
        <v>517</v>
      </c>
      <c r="C172" s="141" t="s">
        <v>367</v>
      </c>
      <c r="D172" s="479">
        <f t="shared" si="19"/>
        <v>-234.27112700000001</v>
      </c>
      <c r="E172" s="479">
        <f t="shared" si="19"/>
        <v>-497.27097700000002</v>
      </c>
      <c r="F172" s="479">
        <f t="shared" si="19"/>
        <v>-348.56403299999999</v>
      </c>
      <c r="G172" s="217"/>
      <c r="H172" s="479">
        <f t="shared" si="18"/>
        <v>-234</v>
      </c>
      <c r="I172" s="479">
        <f t="shared" si="20"/>
        <v>-497</v>
      </c>
      <c r="J172" s="479">
        <f t="shared" si="20"/>
        <v>-9015.0386710000002</v>
      </c>
      <c r="M172" s="479"/>
      <c r="N172" s="479">
        <v>-234.27112700000001</v>
      </c>
      <c r="O172" s="479">
        <v>-211.97906699999999</v>
      </c>
      <c r="P172" s="479">
        <v>-503.25194699999997</v>
      </c>
      <c r="Q172" s="479">
        <v>-505.16103299999997</v>
      </c>
      <c r="R172" s="479">
        <v>-497.27097700000002</v>
      </c>
      <c r="S172" s="479">
        <v>-306.46627899999999</v>
      </c>
      <c r="T172" s="479">
        <v>-414.04274400000003</v>
      </c>
      <c r="U172" s="479">
        <v>-381.89269300000001</v>
      </c>
      <c r="V172" s="479">
        <v>-348.56403299999999</v>
      </c>
      <c r="W172" s="479">
        <v>-336.50114300000001</v>
      </c>
      <c r="X172" s="479">
        <v>-9195.2821039999999</v>
      </c>
      <c r="Y172" s="479">
        <v>-348.56403299999999</v>
      </c>
      <c r="Z172" s="479"/>
      <c r="AA172" s="479"/>
      <c r="AB172" s="479"/>
      <c r="AC172" s="479">
        <v>-234</v>
      </c>
      <c r="AD172" s="479">
        <v>-212</v>
      </c>
      <c r="AE172" s="479">
        <v>-503</v>
      </c>
      <c r="AF172" s="479">
        <v>-505</v>
      </c>
      <c r="AG172" s="479">
        <v>-497</v>
      </c>
      <c r="AH172" s="479">
        <v>-306</v>
      </c>
      <c r="AI172" s="479">
        <v>-414</v>
      </c>
      <c r="AJ172" s="479">
        <v>-382</v>
      </c>
      <c r="AK172" s="479">
        <v>-348.56403299999999</v>
      </c>
      <c r="AL172" s="479">
        <v>-336.50114300000001</v>
      </c>
      <c r="AM172" s="479">
        <v>-9195.2821039999999</v>
      </c>
      <c r="AN172" s="479">
        <v>-9015.0386710000002</v>
      </c>
      <c r="AQ172" s="341"/>
    </row>
    <row r="173" spans="2:43" s="141" customFormat="1" x14ac:dyDescent="0.3">
      <c r="B173" s="61" t="s">
        <v>552</v>
      </c>
      <c r="C173" s="141" t="s">
        <v>402</v>
      </c>
      <c r="D173" s="479">
        <f t="shared" si="19"/>
        <v>70347.835365000006</v>
      </c>
      <c r="E173" s="479">
        <f t="shared" si="19"/>
        <v>7024.1425790000003</v>
      </c>
      <c r="F173" s="479">
        <f t="shared" si="19"/>
        <v>4289.7519380000003</v>
      </c>
      <c r="G173" s="217"/>
      <c r="H173" s="479">
        <f t="shared" si="18"/>
        <v>93272</v>
      </c>
      <c r="I173" s="479">
        <f t="shared" si="20"/>
        <v>20545</v>
      </c>
      <c r="J173" s="479">
        <f t="shared" si="20"/>
        <v>23616.534261999997</v>
      </c>
      <c r="M173" s="479"/>
      <c r="N173" s="479">
        <v>70347.835365000006</v>
      </c>
      <c r="O173" s="479">
        <v>45375.302565999998</v>
      </c>
      <c r="P173" s="479">
        <v>49970.358985999999</v>
      </c>
      <c r="Q173" s="479">
        <v>50894.160745000001</v>
      </c>
      <c r="R173" s="479">
        <v>7024.1425790000003</v>
      </c>
      <c r="S173" s="479">
        <v>8104.4416929999998</v>
      </c>
      <c r="T173" s="479">
        <v>10926.69065</v>
      </c>
      <c r="U173" s="479">
        <v>12250.386857</v>
      </c>
      <c r="V173" s="479">
        <v>4289.7519380000003</v>
      </c>
      <c r="W173" s="479">
        <v>6833.3451240000004</v>
      </c>
      <c r="X173" s="479">
        <v>11289.392518000001</v>
      </c>
      <c r="Y173" s="479">
        <v>4289.7519380000003</v>
      </c>
      <c r="Z173" s="479"/>
      <c r="AA173" s="479"/>
      <c r="AB173" s="479"/>
      <c r="AC173" s="479">
        <v>93272</v>
      </c>
      <c r="AD173" s="479">
        <v>62313</v>
      </c>
      <c r="AE173" s="479">
        <v>67743</v>
      </c>
      <c r="AF173" s="479">
        <v>66298</v>
      </c>
      <c r="AG173" s="479">
        <v>20545</v>
      </c>
      <c r="AH173" s="479">
        <v>19388</v>
      </c>
      <c r="AI173" s="479">
        <v>21850</v>
      </c>
      <c r="AJ173" s="479">
        <v>22806</v>
      </c>
      <c r="AK173" s="479">
        <v>14635.971647</v>
      </c>
      <c r="AL173" s="479">
        <v>17237.846014999999</v>
      </c>
      <c r="AM173" s="479">
        <v>21380.226101</v>
      </c>
      <c r="AN173" s="479">
        <v>23616.534261999997</v>
      </c>
      <c r="AQ173" s="341"/>
    </row>
    <row r="174" spans="2:43" s="141" customFormat="1" x14ac:dyDescent="0.3">
      <c r="B174" s="61" t="s">
        <v>553</v>
      </c>
      <c r="C174" s="141" t="s">
        <v>403</v>
      </c>
      <c r="D174" s="479">
        <f t="shared" si="19"/>
        <v>81381.520036999995</v>
      </c>
      <c r="E174" s="479">
        <f t="shared" si="19"/>
        <v>77265.029053999999</v>
      </c>
      <c r="F174" s="479">
        <f t="shared" si="19"/>
        <v>54265.765359999998</v>
      </c>
      <c r="G174" s="217"/>
      <c r="H174" s="479">
        <f t="shared" si="18"/>
        <v>81382</v>
      </c>
      <c r="I174" s="479">
        <f t="shared" si="20"/>
        <v>76069</v>
      </c>
      <c r="J174" s="479">
        <f t="shared" si="20"/>
        <v>70206.783492999995</v>
      </c>
      <c r="M174" s="479"/>
      <c r="N174" s="479">
        <v>81381.520036999995</v>
      </c>
      <c r="O174" s="479">
        <v>58157.756888000004</v>
      </c>
      <c r="P174" s="479">
        <v>38217.116578000001</v>
      </c>
      <c r="Q174" s="479">
        <v>98552.390536999999</v>
      </c>
      <c r="R174" s="479">
        <v>77265.029053999999</v>
      </c>
      <c r="S174" s="479">
        <v>57036.410782999999</v>
      </c>
      <c r="T174" s="479">
        <v>25774.294763000002</v>
      </c>
      <c r="U174" s="479">
        <v>72294.215599999996</v>
      </c>
      <c r="V174" s="479">
        <v>54265.765359999998</v>
      </c>
      <c r="W174" s="479">
        <v>43163.423585999997</v>
      </c>
      <c r="X174" s="479">
        <v>26209.092796000001</v>
      </c>
      <c r="Y174" s="479">
        <v>54265.765359999998</v>
      </c>
      <c r="Z174" s="479"/>
      <c r="AA174" s="479"/>
      <c r="AB174" s="479"/>
      <c r="AC174" s="479">
        <v>81382</v>
      </c>
      <c r="AD174" s="479">
        <v>58158</v>
      </c>
      <c r="AE174" s="479">
        <v>38217</v>
      </c>
      <c r="AF174" s="479">
        <v>98059</v>
      </c>
      <c r="AG174" s="479">
        <v>76069</v>
      </c>
      <c r="AH174" s="479">
        <v>57036</v>
      </c>
      <c r="AI174" s="479">
        <v>25774</v>
      </c>
      <c r="AJ174" s="479">
        <v>72294</v>
      </c>
      <c r="AK174" s="479">
        <v>53376.079207000002</v>
      </c>
      <c r="AL174" s="479">
        <v>42425.456665999998</v>
      </c>
      <c r="AM174" s="479">
        <v>25604.546036</v>
      </c>
      <c r="AN174" s="479">
        <v>70206.783492999995</v>
      </c>
      <c r="AQ174" s="341"/>
    </row>
    <row r="175" spans="2:43" s="141" customFormat="1" x14ac:dyDescent="0.3">
      <c r="B175" s="61" t="s">
        <v>554</v>
      </c>
      <c r="C175" s="141" t="s">
        <v>404</v>
      </c>
      <c r="D175" s="479" t="str">
        <f t="shared" si="19"/>
        <v/>
      </c>
      <c r="E175" s="479" t="str">
        <f t="shared" si="19"/>
        <v/>
      </c>
      <c r="F175" s="479" t="str">
        <f t="shared" si="19"/>
        <v/>
      </c>
      <c r="G175" s="217"/>
      <c r="H175" s="479" t="str">
        <f t="shared" si="18"/>
        <v/>
      </c>
      <c r="I175" s="479" t="str">
        <f t="shared" si="20"/>
        <v/>
      </c>
      <c r="J175" s="479" t="str">
        <f t="shared" si="20"/>
        <v/>
      </c>
      <c r="M175" s="479"/>
      <c r="N175" s="479">
        <v>0</v>
      </c>
      <c r="O175" s="479">
        <v>0</v>
      </c>
      <c r="P175" s="479">
        <v>0</v>
      </c>
      <c r="Q175" s="479">
        <v>0</v>
      </c>
      <c r="R175" s="479">
        <v>0</v>
      </c>
      <c r="S175" s="479">
        <v>0</v>
      </c>
      <c r="T175" s="479">
        <v>0</v>
      </c>
      <c r="U175" s="479">
        <v>0</v>
      </c>
      <c r="V175" s="479">
        <v>0</v>
      </c>
      <c r="W175" s="479">
        <v>0</v>
      </c>
      <c r="X175" s="479">
        <v>0</v>
      </c>
      <c r="Y175" s="479">
        <v>0</v>
      </c>
      <c r="Z175" s="479"/>
      <c r="AA175" s="479"/>
      <c r="AB175" s="479"/>
      <c r="AC175" s="479">
        <v>0</v>
      </c>
      <c r="AD175" s="479">
        <v>0</v>
      </c>
      <c r="AE175" s="479">
        <v>0</v>
      </c>
      <c r="AF175" s="479">
        <v>0</v>
      </c>
      <c r="AG175" s="479">
        <v>0</v>
      </c>
      <c r="AH175" s="479">
        <v>0</v>
      </c>
      <c r="AI175" s="479">
        <v>0</v>
      </c>
      <c r="AJ175" s="479">
        <v>0</v>
      </c>
      <c r="AK175" s="479">
        <v>0</v>
      </c>
      <c r="AL175" s="479">
        <v>0</v>
      </c>
      <c r="AM175" s="479">
        <v>0</v>
      </c>
      <c r="AN175" s="479" t="s">
        <v>1292</v>
      </c>
      <c r="AQ175" s="341"/>
    </row>
    <row r="176" spans="2:43" s="141" customFormat="1" x14ac:dyDescent="0.3">
      <c r="B176" s="61" t="s">
        <v>555</v>
      </c>
      <c r="C176" s="141" t="s">
        <v>405</v>
      </c>
      <c r="D176" s="479" t="str">
        <f t="shared" si="19"/>
        <v/>
      </c>
      <c r="E176" s="479" t="str">
        <f t="shared" si="19"/>
        <v/>
      </c>
      <c r="F176" s="479" t="str">
        <f t="shared" si="19"/>
        <v/>
      </c>
      <c r="G176" s="217"/>
      <c r="H176" s="479">
        <f t="shared" si="18"/>
        <v>157</v>
      </c>
      <c r="I176" s="479">
        <f t="shared" si="20"/>
        <v>288</v>
      </c>
      <c r="J176" s="479">
        <f t="shared" si="20"/>
        <v>328.830105</v>
      </c>
      <c r="M176" s="479"/>
      <c r="N176" s="479">
        <v>0</v>
      </c>
      <c r="O176" s="479">
        <v>0</v>
      </c>
      <c r="P176" s="479">
        <v>0</v>
      </c>
      <c r="Q176" s="479">
        <v>0</v>
      </c>
      <c r="R176" s="479">
        <v>0</v>
      </c>
      <c r="S176" s="479">
        <v>0</v>
      </c>
      <c r="T176" s="479">
        <v>0</v>
      </c>
      <c r="U176" s="479">
        <v>0</v>
      </c>
      <c r="V176" s="479">
        <v>0</v>
      </c>
      <c r="W176" s="479">
        <v>0</v>
      </c>
      <c r="X176" s="479">
        <v>0</v>
      </c>
      <c r="Y176" s="479">
        <v>0</v>
      </c>
      <c r="Z176" s="479"/>
      <c r="AA176" s="479"/>
      <c r="AB176" s="479"/>
      <c r="AC176" s="479">
        <v>157</v>
      </c>
      <c r="AD176" s="479">
        <v>652</v>
      </c>
      <c r="AE176" s="479">
        <v>261</v>
      </c>
      <c r="AF176" s="479">
        <v>95</v>
      </c>
      <c r="AG176" s="479">
        <v>288</v>
      </c>
      <c r="AH176" s="479">
        <v>1337</v>
      </c>
      <c r="AI176" s="479">
        <v>161</v>
      </c>
      <c r="AJ176" s="479">
        <v>234</v>
      </c>
      <c r="AK176" s="479">
        <v>289.20057600000001</v>
      </c>
      <c r="AL176" s="479">
        <v>697.99069899999995</v>
      </c>
      <c r="AM176" s="479">
        <v>257.39805200000001</v>
      </c>
      <c r="AN176" s="479">
        <v>328.830105</v>
      </c>
      <c r="AQ176" s="341"/>
    </row>
    <row r="177" spans="2:43" s="141" customFormat="1" x14ac:dyDescent="0.3">
      <c r="B177" s="61" t="s">
        <v>556</v>
      </c>
      <c r="C177" s="141" t="s">
        <v>406</v>
      </c>
      <c r="D177" s="479" t="str">
        <f t="shared" si="19"/>
        <v/>
      </c>
      <c r="E177" s="479" t="str">
        <f t="shared" si="19"/>
        <v/>
      </c>
      <c r="F177" s="479" t="str">
        <f t="shared" si="19"/>
        <v/>
      </c>
      <c r="G177" s="217"/>
      <c r="H177" s="479">
        <f t="shared" si="18"/>
        <v>157</v>
      </c>
      <c r="I177" s="479">
        <f t="shared" si="20"/>
        <v>288</v>
      </c>
      <c r="J177" s="479" t="str">
        <f t="shared" si="20"/>
        <v/>
      </c>
      <c r="M177" s="479"/>
      <c r="N177" s="479">
        <v>0</v>
      </c>
      <c r="O177" s="479">
        <v>0</v>
      </c>
      <c r="P177" s="479">
        <v>0</v>
      </c>
      <c r="Q177" s="479">
        <v>0</v>
      </c>
      <c r="R177" s="479">
        <v>0</v>
      </c>
      <c r="S177" s="479">
        <v>0</v>
      </c>
      <c r="T177" s="479">
        <v>0</v>
      </c>
      <c r="U177" s="479">
        <v>0</v>
      </c>
      <c r="V177" s="479">
        <v>0</v>
      </c>
      <c r="W177" s="479">
        <v>0</v>
      </c>
      <c r="X177" s="479">
        <v>0</v>
      </c>
      <c r="Y177" s="479">
        <v>0</v>
      </c>
      <c r="Z177" s="479"/>
      <c r="AA177" s="479"/>
      <c r="AB177" s="479"/>
      <c r="AC177" s="479">
        <v>157</v>
      </c>
      <c r="AD177" s="479">
        <v>652</v>
      </c>
      <c r="AE177" s="479">
        <v>261</v>
      </c>
      <c r="AF177" s="479">
        <v>95</v>
      </c>
      <c r="AG177" s="479">
        <v>288</v>
      </c>
      <c r="AH177" s="479">
        <v>1337</v>
      </c>
      <c r="AI177" s="479">
        <v>161</v>
      </c>
      <c r="AJ177" s="479">
        <v>234</v>
      </c>
      <c r="AK177" s="479">
        <v>289.20057600000001</v>
      </c>
      <c r="AL177" s="479">
        <v>697.99069899999995</v>
      </c>
      <c r="AM177" s="479">
        <v>257.39805200000001</v>
      </c>
      <c r="AN177" s="479" t="s">
        <v>1292</v>
      </c>
      <c r="AQ177" s="341"/>
    </row>
    <row r="178" spans="2:43" s="141" customFormat="1" x14ac:dyDescent="0.3">
      <c r="B178" s="61" t="s">
        <v>557</v>
      </c>
      <c r="C178" s="141" t="s">
        <v>407</v>
      </c>
      <c r="D178" s="479" t="str">
        <f t="shared" si="19"/>
        <v/>
      </c>
      <c r="E178" s="479" t="str">
        <f t="shared" si="19"/>
        <v/>
      </c>
      <c r="F178" s="479" t="str">
        <f t="shared" si="19"/>
        <v/>
      </c>
      <c r="G178" s="217"/>
      <c r="H178" s="479" t="str">
        <f t="shared" si="18"/>
        <v/>
      </c>
      <c r="I178" s="479" t="str">
        <f t="shared" si="20"/>
        <v/>
      </c>
      <c r="J178" s="479" t="str">
        <f t="shared" si="20"/>
        <v/>
      </c>
      <c r="M178" s="479"/>
      <c r="N178" s="479">
        <v>0</v>
      </c>
      <c r="O178" s="479">
        <v>0</v>
      </c>
      <c r="P178" s="479">
        <v>0</v>
      </c>
      <c r="Q178" s="479">
        <v>0</v>
      </c>
      <c r="R178" s="479">
        <v>0</v>
      </c>
      <c r="S178" s="479">
        <v>0</v>
      </c>
      <c r="T178" s="479">
        <v>0</v>
      </c>
      <c r="U178" s="479">
        <v>0</v>
      </c>
      <c r="V178" s="479">
        <v>0</v>
      </c>
      <c r="W178" s="479">
        <v>0</v>
      </c>
      <c r="X178" s="479">
        <v>0</v>
      </c>
      <c r="Y178" s="479">
        <v>0</v>
      </c>
      <c r="Z178" s="479"/>
      <c r="AA178" s="479"/>
      <c r="AB178" s="479"/>
      <c r="AC178" s="479">
        <v>0</v>
      </c>
      <c r="AD178" s="479">
        <v>0</v>
      </c>
      <c r="AE178" s="479">
        <v>0</v>
      </c>
      <c r="AF178" s="479">
        <v>0</v>
      </c>
      <c r="AG178" s="479">
        <v>0</v>
      </c>
      <c r="AH178" s="479">
        <v>0</v>
      </c>
      <c r="AI178" s="479">
        <v>0</v>
      </c>
      <c r="AJ178" s="479">
        <v>0</v>
      </c>
      <c r="AK178" s="479">
        <v>0</v>
      </c>
      <c r="AL178" s="479">
        <v>0</v>
      </c>
      <c r="AM178" s="479">
        <v>0</v>
      </c>
      <c r="AN178" s="479" t="s">
        <v>1292</v>
      </c>
      <c r="AQ178" s="341"/>
    </row>
    <row r="179" spans="2:43" s="141" customFormat="1" x14ac:dyDescent="0.3">
      <c r="B179" s="61" t="s">
        <v>558</v>
      </c>
      <c r="C179" s="141" t="s">
        <v>408</v>
      </c>
      <c r="D179" s="479">
        <f t="shared" si="19"/>
        <v>7.7391439999999996</v>
      </c>
      <c r="E179" s="479">
        <f t="shared" si="19"/>
        <v>13.383791</v>
      </c>
      <c r="F179" s="479">
        <f t="shared" si="19"/>
        <v>33.40943</v>
      </c>
      <c r="G179" s="217"/>
      <c r="H179" s="479">
        <f t="shared" si="18"/>
        <v>7</v>
      </c>
      <c r="I179" s="479">
        <f t="shared" si="20"/>
        <v>13</v>
      </c>
      <c r="J179" s="479" t="str">
        <f t="shared" si="20"/>
        <v/>
      </c>
      <c r="M179" s="479"/>
      <c r="N179" s="479">
        <v>7.7391439999999996</v>
      </c>
      <c r="O179" s="479">
        <v>8.9908289999999997</v>
      </c>
      <c r="P179" s="479">
        <v>10.457186999999999</v>
      </c>
      <c r="Q179" s="479">
        <v>11.582096</v>
      </c>
      <c r="R179" s="479">
        <v>13.383791</v>
      </c>
      <c r="S179" s="479">
        <v>15.368719</v>
      </c>
      <c r="T179" s="479">
        <v>14.165782</v>
      </c>
      <c r="U179" s="479">
        <v>14.753247999999999</v>
      </c>
      <c r="V179" s="479">
        <v>33.40943</v>
      </c>
      <c r="W179" s="479">
        <v>33.068739999999998</v>
      </c>
      <c r="X179" s="479">
        <v>34.667395999999997</v>
      </c>
      <c r="Y179" s="479">
        <v>33.40943</v>
      </c>
      <c r="Z179" s="479"/>
      <c r="AA179" s="479"/>
      <c r="AB179" s="479"/>
      <c r="AC179" s="479">
        <v>7</v>
      </c>
      <c r="AD179" s="479">
        <v>9</v>
      </c>
      <c r="AE179" s="479">
        <v>10</v>
      </c>
      <c r="AF179" s="479">
        <v>12</v>
      </c>
      <c r="AG179" s="479">
        <v>13</v>
      </c>
      <c r="AH179" s="479">
        <v>15</v>
      </c>
      <c r="AI179" s="479">
        <v>14</v>
      </c>
      <c r="AJ179" s="479">
        <v>15</v>
      </c>
      <c r="AK179" s="479">
        <v>33.409429999999986</v>
      </c>
      <c r="AL179" s="479">
        <v>33.068739999999998</v>
      </c>
      <c r="AM179" s="479">
        <v>34.667395999999997</v>
      </c>
      <c r="AN179" s="479" t="s">
        <v>1292</v>
      </c>
      <c r="AQ179" s="341"/>
    </row>
    <row r="180" spans="2:43" s="141" customFormat="1" x14ac:dyDescent="0.3">
      <c r="B180" s="61" t="s">
        <v>517</v>
      </c>
      <c r="C180" s="141" t="s">
        <v>367</v>
      </c>
      <c r="D180" s="479">
        <f t="shared" si="19"/>
        <v>-425.64503999999999</v>
      </c>
      <c r="E180" s="479">
        <f t="shared" si="19"/>
        <v>-425.90258999999998</v>
      </c>
      <c r="F180" s="479">
        <f t="shared" si="19"/>
        <v>-430.08327600000001</v>
      </c>
      <c r="G180" s="217"/>
      <c r="H180" s="479">
        <f t="shared" si="18"/>
        <v>-426</v>
      </c>
      <c r="I180" s="479">
        <f t="shared" si="20"/>
        <v>-426</v>
      </c>
      <c r="J180" s="479" t="str">
        <f t="shared" si="20"/>
        <v/>
      </c>
      <c r="M180" s="479"/>
      <c r="N180" s="479">
        <v>-425.64503999999999</v>
      </c>
      <c r="O180" s="479">
        <v>-420.56685299999998</v>
      </c>
      <c r="P180" s="479">
        <v>-427.62906500000003</v>
      </c>
      <c r="Q180" s="479">
        <v>-429.34572800000001</v>
      </c>
      <c r="R180" s="479">
        <v>-425.90258999999998</v>
      </c>
      <c r="S180" s="479">
        <v>-416.888847</v>
      </c>
      <c r="T180" s="479">
        <v>-411.27354200000002</v>
      </c>
      <c r="U180" s="479">
        <v>-402.998786</v>
      </c>
      <c r="V180" s="479">
        <v>-430.08327600000001</v>
      </c>
      <c r="W180" s="479">
        <v>-413.60485399999999</v>
      </c>
      <c r="X180" s="479">
        <v>-504.72407900000002</v>
      </c>
      <c r="Y180" s="479">
        <v>-430.08327600000001</v>
      </c>
      <c r="Z180" s="479"/>
      <c r="AA180" s="479"/>
      <c r="AB180" s="479"/>
      <c r="AC180" s="479">
        <v>-426</v>
      </c>
      <c r="AD180" s="479">
        <v>-421</v>
      </c>
      <c r="AE180" s="479">
        <v>-428</v>
      </c>
      <c r="AF180" s="479">
        <v>-429</v>
      </c>
      <c r="AG180" s="479">
        <v>-426</v>
      </c>
      <c r="AH180" s="479">
        <v>-417</v>
      </c>
      <c r="AI180" s="479">
        <v>-411</v>
      </c>
      <c r="AJ180" s="479">
        <v>-403</v>
      </c>
      <c r="AK180" s="479">
        <v>-430.08327600000001</v>
      </c>
      <c r="AL180" s="479">
        <v>-413.60485399999999</v>
      </c>
      <c r="AM180" s="479">
        <v>-504.72407900000002</v>
      </c>
      <c r="AN180" s="479" t="s">
        <v>1292</v>
      </c>
      <c r="AQ180" s="341"/>
    </row>
    <row r="181" spans="2:43" s="141" customFormat="1" x14ac:dyDescent="0.3">
      <c r="B181" s="61" t="s">
        <v>559</v>
      </c>
      <c r="C181" s="141" t="s">
        <v>409</v>
      </c>
      <c r="D181" s="479">
        <f t="shared" si="19"/>
        <v>433.384184</v>
      </c>
      <c r="E181" s="479">
        <f t="shared" si="19"/>
        <v>439.28638100000001</v>
      </c>
      <c r="F181" s="479">
        <f t="shared" si="19"/>
        <v>463.492706</v>
      </c>
      <c r="G181" s="217"/>
      <c r="H181" s="479">
        <f t="shared" si="18"/>
        <v>433</v>
      </c>
      <c r="I181" s="479">
        <f t="shared" si="20"/>
        <v>439</v>
      </c>
      <c r="J181" s="479" t="str">
        <f t="shared" si="20"/>
        <v/>
      </c>
      <c r="M181" s="479"/>
      <c r="N181" s="479">
        <v>433.384184</v>
      </c>
      <c r="O181" s="479">
        <v>429.557682</v>
      </c>
      <c r="P181" s="479">
        <v>438.086252</v>
      </c>
      <c r="Q181" s="479">
        <v>440.92782399999999</v>
      </c>
      <c r="R181" s="479">
        <v>439.28638100000001</v>
      </c>
      <c r="S181" s="479">
        <v>432.257566</v>
      </c>
      <c r="T181" s="479">
        <v>425.439324</v>
      </c>
      <c r="U181" s="479">
        <v>417.75203399999998</v>
      </c>
      <c r="V181" s="479">
        <v>463.492706</v>
      </c>
      <c r="W181" s="479">
        <v>446.67359399999998</v>
      </c>
      <c r="X181" s="479">
        <v>539.39147500000001</v>
      </c>
      <c r="Y181" s="479">
        <v>463.492706</v>
      </c>
      <c r="Z181" s="479"/>
      <c r="AA181" s="479"/>
      <c r="AB181" s="479"/>
      <c r="AC181" s="479">
        <v>433</v>
      </c>
      <c r="AD181" s="479">
        <v>430</v>
      </c>
      <c r="AE181" s="479">
        <v>438</v>
      </c>
      <c r="AF181" s="479">
        <v>441</v>
      </c>
      <c r="AG181" s="479">
        <v>439</v>
      </c>
      <c r="AH181" s="479">
        <v>432</v>
      </c>
      <c r="AI181" s="479">
        <v>425</v>
      </c>
      <c r="AJ181" s="479">
        <v>418</v>
      </c>
      <c r="AK181" s="479">
        <v>463.492706</v>
      </c>
      <c r="AL181" s="479">
        <v>446.67359399999998</v>
      </c>
      <c r="AM181" s="479">
        <v>539.39147500000001</v>
      </c>
      <c r="AN181" s="479" t="s">
        <v>1292</v>
      </c>
      <c r="AQ181" s="341"/>
    </row>
    <row r="182" spans="2:43" s="141" customFormat="1" x14ac:dyDescent="0.3">
      <c r="B182" s="61" t="s">
        <v>560</v>
      </c>
      <c r="C182" s="141" t="s">
        <v>410</v>
      </c>
      <c r="D182" s="479" t="str">
        <f t="shared" si="19"/>
        <v/>
      </c>
      <c r="E182" s="479" t="str">
        <f t="shared" si="19"/>
        <v/>
      </c>
      <c r="F182" s="479" t="str">
        <f t="shared" si="19"/>
        <v/>
      </c>
      <c r="G182" s="217"/>
      <c r="H182" s="479" t="str">
        <f t="shared" si="18"/>
        <v/>
      </c>
      <c r="I182" s="479" t="str">
        <f t="shared" si="20"/>
        <v/>
      </c>
      <c r="J182" s="479" t="str">
        <f t="shared" si="20"/>
        <v/>
      </c>
      <c r="M182" s="479"/>
      <c r="N182" s="479">
        <v>0</v>
      </c>
      <c r="O182" s="479">
        <v>0</v>
      </c>
      <c r="P182" s="479">
        <v>0</v>
      </c>
      <c r="Q182" s="479">
        <v>0</v>
      </c>
      <c r="R182" s="479">
        <v>0</v>
      </c>
      <c r="S182" s="479">
        <v>0</v>
      </c>
      <c r="T182" s="479">
        <v>0</v>
      </c>
      <c r="U182" s="479">
        <v>0</v>
      </c>
      <c r="V182" s="479">
        <v>0</v>
      </c>
      <c r="W182" s="479">
        <v>0</v>
      </c>
      <c r="X182" s="479">
        <v>0</v>
      </c>
      <c r="Y182" s="479">
        <v>0</v>
      </c>
      <c r="Z182" s="479"/>
      <c r="AA182" s="479"/>
      <c r="AB182" s="479"/>
      <c r="AC182" s="479">
        <v>0</v>
      </c>
      <c r="AD182" s="479">
        <v>0</v>
      </c>
      <c r="AE182" s="479">
        <v>0</v>
      </c>
      <c r="AF182" s="479">
        <v>0</v>
      </c>
      <c r="AG182" s="479">
        <v>0</v>
      </c>
      <c r="AH182" s="479">
        <v>0</v>
      </c>
      <c r="AI182" s="479">
        <v>0</v>
      </c>
      <c r="AJ182" s="479">
        <v>0</v>
      </c>
      <c r="AK182" s="479">
        <v>0</v>
      </c>
      <c r="AL182" s="479">
        <v>0</v>
      </c>
      <c r="AM182" s="479">
        <v>0</v>
      </c>
      <c r="AN182" s="479" t="s">
        <v>1292</v>
      </c>
      <c r="AQ182" s="341"/>
    </row>
    <row r="183" spans="2:43" s="141" customFormat="1" x14ac:dyDescent="0.3">
      <c r="B183" s="61" t="s">
        <v>561</v>
      </c>
      <c r="C183" s="141" t="s">
        <v>411</v>
      </c>
      <c r="D183" s="479" t="str">
        <f t="shared" si="19"/>
        <v/>
      </c>
      <c r="E183" s="479" t="str">
        <f t="shared" si="19"/>
        <v/>
      </c>
      <c r="F183" s="479" t="str">
        <f t="shared" si="19"/>
        <v/>
      </c>
      <c r="G183" s="217"/>
      <c r="H183" s="479" t="str">
        <f t="shared" si="18"/>
        <v/>
      </c>
      <c r="I183" s="479" t="str">
        <f t="shared" si="20"/>
        <v/>
      </c>
      <c r="J183" s="479" t="str">
        <f t="shared" si="20"/>
        <v/>
      </c>
      <c r="M183" s="479"/>
      <c r="N183" s="479">
        <v>0</v>
      </c>
      <c r="O183" s="479">
        <v>0</v>
      </c>
      <c r="P183" s="479">
        <v>0</v>
      </c>
      <c r="Q183" s="479">
        <v>0</v>
      </c>
      <c r="R183" s="479">
        <v>0</v>
      </c>
      <c r="S183" s="479">
        <v>0</v>
      </c>
      <c r="T183" s="479">
        <v>0</v>
      </c>
      <c r="U183" s="479">
        <v>0</v>
      </c>
      <c r="V183" s="479">
        <v>0</v>
      </c>
      <c r="W183" s="479">
        <v>0</v>
      </c>
      <c r="X183" s="479">
        <v>0</v>
      </c>
      <c r="Y183" s="479">
        <v>0</v>
      </c>
      <c r="Z183" s="479"/>
      <c r="AA183" s="479"/>
      <c r="AB183" s="479"/>
      <c r="AC183" s="479">
        <v>0</v>
      </c>
      <c r="AD183" s="479">
        <v>0</v>
      </c>
      <c r="AE183" s="479">
        <v>0</v>
      </c>
      <c r="AF183" s="479">
        <v>0</v>
      </c>
      <c r="AG183" s="479">
        <v>0</v>
      </c>
      <c r="AH183" s="479">
        <v>0</v>
      </c>
      <c r="AI183" s="479">
        <v>0</v>
      </c>
      <c r="AJ183" s="479">
        <v>0</v>
      </c>
      <c r="AK183" s="479">
        <v>0</v>
      </c>
      <c r="AL183" s="479">
        <v>0</v>
      </c>
      <c r="AM183" s="479">
        <v>0</v>
      </c>
      <c r="AN183" s="479" t="s">
        <v>1292</v>
      </c>
      <c r="AQ183" s="341"/>
    </row>
    <row r="184" spans="2:43" s="141" customFormat="1" x14ac:dyDescent="0.3">
      <c r="B184" s="61" t="s">
        <v>562</v>
      </c>
      <c r="C184" s="141" t="s">
        <v>412</v>
      </c>
      <c r="D184" s="479" t="str">
        <f t="shared" si="19"/>
        <v/>
      </c>
      <c r="E184" s="479" t="str">
        <f t="shared" si="19"/>
        <v/>
      </c>
      <c r="F184" s="479" t="str">
        <f t="shared" si="19"/>
        <v/>
      </c>
      <c r="G184" s="217"/>
      <c r="H184" s="479" t="str">
        <f t="shared" si="18"/>
        <v/>
      </c>
      <c r="I184" s="479" t="str">
        <f t="shared" si="20"/>
        <v/>
      </c>
      <c r="J184" s="479" t="str">
        <f t="shared" si="20"/>
        <v/>
      </c>
      <c r="M184" s="479"/>
      <c r="N184" s="479">
        <v>0</v>
      </c>
      <c r="O184" s="479">
        <v>0</v>
      </c>
      <c r="P184" s="479">
        <v>0</v>
      </c>
      <c r="Q184" s="479">
        <v>0</v>
      </c>
      <c r="R184" s="479">
        <v>0</v>
      </c>
      <c r="S184" s="479">
        <v>0</v>
      </c>
      <c r="T184" s="479">
        <v>0</v>
      </c>
      <c r="U184" s="479">
        <v>0</v>
      </c>
      <c r="V184" s="479">
        <v>0</v>
      </c>
      <c r="W184" s="479">
        <v>0</v>
      </c>
      <c r="X184" s="479">
        <v>0</v>
      </c>
      <c r="Y184" s="479">
        <v>0</v>
      </c>
      <c r="Z184" s="479"/>
      <c r="AA184" s="479"/>
      <c r="AB184" s="479"/>
      <c r="AC184" s="479">
        <v>0</v>
      </c>
      <c r="AD184" s="479">
        <v>0</v>
      </c>
      <c r="AE184" s="479">
        <v>0</v>
      </c>
      <c r="AF184" s="479">
        <v>0</v>
      </c>
      <c r="AG184" s="479">
        <v>0</v>
      </c>
      <c r="AH184" s="479">
        <v>0</v>
      </c>
      <c r="AI184" s="479">
        <v>0</v>
      </c>
      <c r="AJ184" s="479">
        <v>0</v>
      </c>
      <c r="AK184" s="479">
        <v>0</v>
      </c>
      <c r="AL184" s="479">
        <v>0</v>
      </c>
      <c r="AM184" s="479">
        <v>0</v>
      </c>
      <c r="AN184" s="479" t="s">
        <v>1292</v>
      </c>
      <c r="AQ184" s="341"/>
    </row>
    <row r="185" spans="2:43" s="141" customFormat="1" x14ac:dyDescent="0.3">
      <c r="B185" s="61" t="s">
        <v>563</v>
      </c>
      <c r="C185" s="141" t="s">
        <v>413</v>
      </c>
      <c r="D185" s="479" t="str">
        <f t="shared" si="19"/>
        <v/>
      </c>
      <c r="E185" s="479" t="str">
        <f t="shared" si="19"/>
        <v/>
      </c>
      <c r="F185" s="479" t="str">
        <f t="shared" si="19"/>
        <v/>
      </c>
      <c r="G185" s="217"/>
      <c r="H185" s="479" t="str">
        <f t="shared" si="18"/>
        <v/>
      </c>
      <c r="I185" s="479" t="str">
        <f t="shared" si="20"/>
        <v/>
      </c>
      <c r="J185" s="479" t="str">
        <f t="shared" si="20"/>
        <v/>
      </c>
      <c r="M185" s="479"/>
      <c r="N185" s="479">
        <v>0</v>
      </c>
      <c r="O185" s="479">
        <v>0</v>
      </c>
      <c r="P185" s="479">
        <v>0</v>
      </c>
      <c r="Q185" s="479">
        <v>0</v>
      </c>
      <c r="R185" s="479">
        <v>0</v>
      </c>
      <c r="S185" s="479">
        <v>0</v>
      </c>
      <c r="T185" s="479">
        <v>0</v>
      </c>
      <c r="U185" s="479">
        <v>0</v>
      </c>
      <c r="V185" s="479">
        <v>0</v>
      </c>
      <c r="W185" s="479">
        <v>0</v>
      </c>
      <c r="X185" s="479">
        <v>0</v>
      </c>
      <c r="Y185" s="479">
        <v>0</v>
      </c>
      <c r="Z185" s="479"/>
      <c r="AA185" s="479"/>
      <c r="AB185" s="479"/>
      <c r="AC185" s="479">
        <v>0</v>
      </c>
      <c r="AD185" s="479">
        <v>0</v>
      </c>
      <c r="AE185" s="479">
        <v>0</v>
      </c>
      <c r="AF185" s="479">
        <v>0</v>
      </c>
      <c r="AG185" s="479">
        <v>0</v>
      </c>
      <c r="AH185" s="479">
        <v>0</v>
      </c>
      <c r="AI185" s="479">
        <v>0</v>
      </c>
      <c r="AJ185" s="479">
        <v>0</v>
      </c>
      <c r="AK185" s="479">
        <v>0</v>
      </c>
      <c r="AL185" s="479">
        <v>0</v>
      </c>
      <c r="AM185" s="479">
        <v>0</v>
      </c>
      <c r="AN185" s="479" t="s">
        <v>1292</v>
      </c>
      <c r="AQ185" s="341"/>
    </row>
    <row r="186" spans="2:43" s="141" customFormat="1" x14ac:dyDescent="0.3">
      <c r="B186" s="61" t="s">
        <v>564</v>
      </c>
      <c r="C186" s="141" t="s">
        <v>414</v>
      </c>
      <c r="D186" s="479" t="str">
        <f t="shared" ref="D186:F205" si="21">IF(HLOOKUP(D$5,$M$5:$Y$370,ROW()-ROW($F$4),FALSE)=0,"",HLOOKUP(D$5,$M$5:$Y$370,ROW()-ROW($F$4),FALSE))</f>
        <v/>
      </c>
      <c r="E186" s="479" t="str">
        <f t="shared" si="21"/>
        <v/>
      </c>
      <c r="F186" s="479" t="str">
        <f t="shared" si="21"/>
        <v/>
      </c>
      <c r="G186" s="217"/>
      <c r="H186" s="479" t="str">
        <f t="shared" si="18"/>
        <v/>
      </c>
      <c r="I186" s="479" t="str">
        <f t="shared" ref="I186:J205" si="22">IF(HLOOKUP(I$5,$AB$5:$AN$370,ROW()-ROW($J$4),FALSE)=0,"",HLOOKUP(I$5,$AB$5:$AN$370,ROW()-ROW($J$4),FALSE))</f>
        <v/>
      </c>
      <c r="J186" s="479" t="str">
        <f t="shared" si="22"/>
        <v/>
      </c>
      <c r="M186" s="479"/>
      <c r="N186" s="479">
        <v>0</v>
      </c>
      <c r="O186" s="479">
        <v>0</v>
      </c>
      <c r="P186" s="479">
        <v>0</v>
      </c>
      <c r="Q186" s="479">
        <v>0</v>
      </c>
      <c r="R186" s="479">
        <v>0</v>
      </c>
      <c r="S186" s="479">
        <v>0</v>
      </c>
      <c r="T186" s="479">
        <v>0</v>
      </c>
      <c r="U186" s="479">
        <v>0</v>
      </c>
      <c r="V186" s="479">
        <v>0</v>
      </c>
      <c r="W186" s="479">
        <v>0</v>
      </c>
      <c r="X186" s="479">
        <v>0</v>
      </c>
      <c r="Y186" s="479">
        <v>0</v>
      </c>
      <c r="Z186" s="479"/>
      <c r="AA186" s="479"/>
      <c r="AB186" s="479"/>
      <c r="AC186" s="479">
        <v>0</v>
      </c>
      <c r="AD186" s="479">
        <v>0</v>
      </c>
      <c r="AE186" s="479">
        <v>0</v>
      </c>
      <c r="AF186" s="479">
        <v>0</v>
      </c>
      <c r="AG186" s="479">
        <v>0</v>
      </c>
      <c r="AH186" s="479">
        <v>0</v>
      </c>
      <c r="AI186" s="479">
        <v>0</v>
      </c>
      <c r="AJ186" s="479">
        <v>0</v>
      </c>
      <c r="AK186" s="479">
        <v>0</v>
      </c>
      <c r="AL186" s="479">
        <v>0</v>
      </c>
      <c r="AM186" s="479">
        <v>0</v>
      </c>
      <c r="AN186" s="479" t="s">
        <v>1292</v>
      </c>
      <c r="AQ186" s="341"/>
    </row>
    <row r="187" spans="2:43" s="141" customFormat="1" x14ac:dyDescent="0.3">
      <c r="B187" s="61" t="s">
        <v>565</v>
      </c>
      <c r="C187" s="141" t="s">
        <v>415</v>
      </c>
      <c r="D187" s="479">
        <f t="shared" si="21"/>
        <v>6377.9388019999997</v>
      </c>
      <c r="E187" s="479">
        <f t="shared" si="21"/>
        <v>6165.9077980000002</v>
      </c>
      <c r="F187" s="479">
        <f t="shared" si="21"/>
        <v>6454.6307989999996</v>
      </c>
      <c r="G187" s="217"/>
      <c r="H187" s="479">
        <f t="shared" si="18"/>
        <v>7568</v>
      </c>
      <c r="I187" s="479">
        <f t="shared" si="22"/>
        <v>7369</v>
      </c>
      <c r="J187" s="479">
        <f t="shared" si="22"/>
        <v>9383.3741430000009</v>
      </c>
      <c r="M187" s="479"/>
      <c r="N187" s="479">
        <v>6377.9388019999997</v>
      </c>
      <c r="O187" s="479">
        <v>5502.4000189999997</v>
      </c>
      <c r="P187" s="479">
        <v>5858.89707</v>
      </c>
      <c r="Q187" s="479">
        <v>6335.2943789999999</v>
      </c>
      <c r="R187" s="479">
        <v>6165.9077980000002</v>
      </c>
      <c r="S187" s="479">
        <v>6819.481941</v>
      </c>
      <c r="T187" s="479">
        <v>7276.6131139999998</v>
      </c>
      <c r="U187" s="479">
        <v>5752.1649850000003</v>
      </c>
      <c r="V187" s="479">
        <v>6454.6307989999996</v>
      </c>
      <c r="W187" s="479">
        <v>7250.8478610000002</v>
      </c>
      <c r="X187" s="479">
        <v>7608.8843189999998</v>
      </c>
      <c r="Y187" s="479">
        <v>6454.6307989999996</v>
      </c>
      <c r="Z187" s="479"/>
      <c r="AA187" s="479"/>
      <c r="AB187" s="479"/>
      <c r="AC187" s="479">
        <v>7568</v>
      </c>
      <c r="AD187" s="479">
        <v>6668</v>
      </c>
      <c r="AE187" s="479">
        <v>7207</v>
      </c>
      <c r="AF187" s="479">
        <v>7615</v>
      </c>
      <c r="AG187" s="479">
        <v>7369</v>
      </c>
      <c r="AH187" s="479">
        <v>8147</v>
      </c>
      <c r="AI187" s="479">
        <v>8735</v>
      </c>
      <c r="AJ187" s="479">
        <v>7201</v>
      </c>
      <c r="AK187" s="479">
        <v>8075.8133859999998</v>
      </c>
      <c r="AL187" s="479">
        <v>8950.1625380000005</v>
      </c>
      <c r="AM187" s="479">
        <v>9441.4546549999995</v>
      </c>
      <c r="AN187" s="479">
        <v>9383.3741430000009</v>
      </c>
      <c r="AQ187" s="341"/>
    </row>
    <row r="188" spans="2:43" s="141" customFormat="1" x14ac:dyDescent="0.3">
      <c r="B188" s="61" t="s">
        <v>564</v>
      </c>
      <c r="C188" s="141" t="s">
        <v>414</v>
      </c>
      <c r="D188" s="479">
        <f t="shared" si="21"/>
        <v>-52109.170493999998</v>
      </c>
      <c r="E188" s="479">
        <f t="shared" si="21"/>
        <v>-50734.607683000002</v>
      </c>
      <c r="F188" s="479">
        <f t="shared" si="21"/>
        <v>-46676.319824999999</v>
      </c>
      <c r="G188" s="217"/>
      <c r="H188" s="479">
        <f t="shared" si="18"/>
        <v>-57058</v>
      </c>
      <c r="I188" s="479">
        <f t="shared" si="22"/>
        <v>-55299</v>
      </c>
      <c r="J188" s="479">
        <f t="shared" si="22"/>
        <v>-49965.502493</v>
      </c>
      <c r="M188" s="479"/>
      <c r="N188" s="479">
        <v>-52109.170493999998</v>
      </c>
      <c r="O188" s="479">
        <v>-53273.710136000002</v>
      </c>
      <c r="P188" s="479">
        <v>-52350.107085000003</v>
      </c>
      <c r="Q188" s="479">
        <v>-51555.345503999997</v>
      </c>
      <c r="R188" s="479">
        <v>-50734.607683000002</v>
      </c>
      <c r="S188" s="479">
        <v>-49609.13134</v>
      </c>
      <c r="T188" s="479">
        <v>-48488.711866999998</v>
      </c>
      <c r="U188" s="479">
        <v>-47513.149367999999</v>
      </c>
      <c r="V188" s="479">
        <v>-46676.319824999999</v>
      </c>
      <c r="W188" s="479">
        <v>-48643.586202999999</v>
      </c>
      <c r="X188" s="479">
        <v>-47517.361044999998</v>
      </c>
      <c r="Y188" s="479">
        <v>-46676.319824999999</v>
      </c>
      <c r="Z188" s="479"/>
      <c r="AA188" s="479"/>
      <c r="AB188" s="479"/>
      <c r="AC188" s="479">
        <v>-57058</v>
      </c>
      <c r="AD188" s="479">
        <v>-58236</v>
      </c>
      <c r="AE188" s="479">
        <v>-57138</v>
      </c>
      <c r="AF188" s="479">
        <v>-56193</v>
      </c>
      <c r="AG188" s="479">
        <v>-55299</v>
      </c>
      <c r="AH188" s="479">
        <v>-54119</v>
      </c>
      <c r="AI188" s="479">
        <v>-52953</v>
      </c>
      <c r="AJ188" s="479">
        <v>-51795</v>
      </c>
      <c r="AK188" s="479">
        <v>-50778.33279</v>
      </c>
      <c r="AL188" s="479">
        <v>-52558.105748000002</v>
      </c>
      <c r="AM188" s="479">
        <v>-51206.010047999996</v>
      </c>
      <c r="AN188" s="479">
        <v>-49965.502493</v>
      </c>
      <c r="AQ188" s="341"/>
    </row>
    <row r="189" spans="2:43" s="141" customFormat="1" x14ac:dyDescent="0.3">
      <c r="B189" s="61" t="s">
        <v>566</v>
      </c>
      <c r="C189" s="141" t="s">
        <v>416</v>
      </c>
      <c r="D189" s="479" t="str">
        <f t="shared" si="21"/>
        <v/>
      </c>
      <c r="E189" s="479" t="str">
        <f t="shared" si="21"/>
        <v/>
      </c>
      <c r="F189" s="479" t="str">
        <f t="shared" si="21"/>
        <v/>
      </c>
      <c r="G189" s="217"/>
      <c r="H189" s="479" t="str">
        <f t="shared" si="18"/>
        <v/>
      </c>
      <c r="I189" s="479" t="str">
        <f t="shared" si="22"/>
        <v/>
      </c>
      <c r="J189" s="479" t="str">
        <f t="shared" si="22"/>
        <v/>
      </c>
      <c r="M189" s="479"/>
      <c r="N189" s="479">
        <v>0</v>
      </c>
      <c r="O189" s="479">
        <v>0</v>
      </c>
      <c r="P189" s="479">
        <v>0</v>
      </c>
      <c r="Q189" s="479">
        <v>0</v>
      </c>
      <c r="R189" s="479">
        <v>0</v>
      </c>
      <c r="S189" s="479">
        <v>0</v>
      </c>
      <c r="T189" s="479">
        <v>0</v>
      </c>
      <c r="U189" s="479">
        <v>0</v>
      </c>
      <c r="V189" s="479">
        <v>0</v>
      </c>
      <c r="W189" s="479">
        <v>0</v>
      </c>
      <c r="X189" s="479">
        <v>0</v>
      </c>
      <c r="Y189" s="479">
        <v>0</v>
      </c>
      <c r="Z189" s="479"/>
      <c r="AA189" s="479"/>
      <c r="AB189" s="479"/>
      <c r="AC189" s="479">
        <v>0</v>
      </c>
      <c r="AD189" s="479">
        <v>0</v>
      </c>
      <c r="AE189" s="479">
        <v>0</v>
      </c>
      <c r="AF189" s="479">
        <v>0</v>
      </c>
      <c r="AG189" s="479">
        <v>0</v>
      </c>
      <c r="AH189" s="479">
        <v>0</v>
      </c>
      <c r="AI189" s="479">
        <v>0</v>
      </c>
      <c r="AJ189" s="479">
        <v>0</v>
      </c>
      <c r="AK189" s="479">
        <v>0</v>
      </c>
      <c r="AL189" s="479">
        <v>0</v>
      </c>
      <c r="AM189" s="479">
        <v>0</v>
      </c>
      <c r="AN189" s="479" t="s">
        <v>1292</v>
      </c>
      <c r="AQ189" s="341"/>
    </row>
    <row r="190" spans="2:43" s="141" customFormat="1" x14ac:dyDescent="0.3">
      <c r="B190" s="61" t="s">
        <v>564</v>
      </c>
      <c r="C190" s="141" t="s">
        <v>414</v>
      </c>
      <c r="D190" s="479" t="str">
        <f t="shared" si="21"/>
        <v/>
      </c>
      <c r="E190" s="479" t="str">
        <f t="shared" si="21"/>
        <v/>
      </c>
      <c r="F190" s="479" t="str">
        <f t="shared" si="21"/>
        <v/>
      </c>
      <c r="G190" s="217"/>
      <c r="H190" s="479" t="str">
        <f t="shared" si="18"/>
        <v/>
      </c>
      <c r="I190" s="479" t="str">
        <f t="shared" si="22"/>
        <v/>
      </c>
      <c r="J190" s="479" t="str">
        <f t="shared" si="22"/>
        <v/>
      </c>
      <c r="M190" s="479"/>
      <c r="N190" s="479">
        <v>0</v>
      </c>
      <c r="O190" s="479">
        <v>0</v>
      </c>
      <c r="P190" s="479">
        <v>0</v>
      </c>
      <c r="Q190" s="479">
        <v>0</v>
      </c>
      <c r="R190" s="479">
        <v>0</v>
      </c>
      <c r="S190" s="479">
        <v>0</v>
      </c>
      <c r="T190" s="479">
        <v>0</v>
      </c>
      <c r="U190" s="479">
        <v>0</v>
      </c>
      <c r="V190" s="479">
        <v>0</v>
      </c>
      <c r="W190" s="479">
        <v>0</v>
      </c>
      <c r="X190" s="479">
        <v>0</v>
      </c>
      <c r="Y190" s="479">
        <v>0</v>
      </c>
      <c r="Z190" s="479"/>
      <c r="AA190" s="479"/>
      <c r="AB190" s="479"/>
      <c r="AC190" s="479">
        <v>0</v>
      </c>
      <c r="AD190" s="479">
        <v>0</v>
      </c>
      <c r="AE190" s="479">
        <v>0</v>
      </c>
      <c r="AF190" s="479">
        <v>0</v>
      </c>
      <c r="AG190" s="479">
        <v>0</v>
      </c>
      <c r="AH190" s="479">
        <v>0</v>
      </c>
      <c r="AI190" s="479">
        <v>0</v>
      </c>
      <c r="AJ190" s="479">
        <v>0</v>
      </c>
      <c r="AK190" s="479">
        <v>0</v>
      </c>
      <c r="AL190" s="479">
        <v>0</v>
      </c>
      <c r="AM190" s="479">
        <v>0</v>
      </c>
      <c r="AN190" s="479" t="s">
        <v>1292</v>
      </c>
      <c r="AQ190" s="341"/>
    </row>
    <row r="191" spans="2:43" s="141" customFormat="1" x14ac:dyDescent="0.3">
      <c r="B191" s="61" t="s">
        <v>874</v>
      </c>
      <c r="C191" s="141" t="s">
        <v>432</v>
      </c>
      <c r="D191" s="479">
        <f t="shared" si="21"/>
        <v>13020.330189</v>
      </c>
      <c r="E191" s="479">
        <f t="shared" si="21"/>
        <v>18951.008680999999</v>
      </c>
      <c r="F191" s="479">
        <f t="shared" si="21"/>
        <v>3721.4334909999998</v>
      </c>
      <c r="G191" s="217"/>
      <c r="H191" s="479">
        <f t="shared" si="18"/>
        <v>18564</v>
      </c>
      <c r="I191" s="479">
        <f t="shared" si="22"/>
        <v>24219</v>
      </c>
      <c r="J191" s="479">
        <f t="shared" si="22"/>
        <v>13370.977440999999</v>
      </c>
      <c r="M191" s="479"/>
      <c r="N191" s="479">
        <v>13020.330189</v>
      </c>
      <c r="O191" s="479">
        <v>13504.094021999999</v>
      </c>
      <c r="P191" s="479">
        <v>16154.889673</v>
      </c>
      <c r="Q191" s="479">
        <v>17484.678818</v>
      </c>
      <c r="R191" s="479">
        <v>18951.008680999999</v>
      </c>
      <c r="S191" s="479">
        <v>12261.175103</v>
      </c>
      <c r="T191" s="479">
        <v>13631.700954</v>
      </c>
      <c r="U191" s="479">
        <v>15159.947888999999</v>
      </c>
      <c r="V191" s="479">
        <v>3721.4334909999998</v>
      </c>
      <c r="W191" s="479">
        <v>4857.80944</v>
      </c>
      <c r="X191" s="479">
        <v>6114.2405879999997</v>
      </c>
      <c r="Y191" s="479">
        <v>3721.4334909999998</v>
      </c>
      <c r="Z191" s="479"/>
      <c r="AA191" s="479"/>
      <c r="AB191" s="479"/>
      <c r="AC191" s="479">
        <v>18564</v>
      </c>
      <c r="AD191" s="479">
        <v>18714</v>
      </c>
      <c r="AE191" s="479">
        <v>22047</v>
      </c>
      <c r="AF191" s="479">
        <v>24607</v>
      </c>
      <c r="AG191" s="479">
        <v>24219</v>
      </c>
      <c r="AH191" s="479">
        <v>18799</v>
      </c>
      <c r="AI191" s="479">
        <v>21300</v>
      </c>
      <c r="AJ191" s="479">
        <v>24547</v>
      </c>
      <c r="AK191" s="479">
        <v>9344.4200729999993</v>
      </c>
      <c r="AL191" s="479">
        <v>11144.776103</v>
      </c>
      <c r="AM191" s="479">
        <v>12662.241941</v>
      </c>
      <c r="AN191" s="479">
        <v>13370.977440999999</v>
      </c>
      <c r="AQ191" s="341"/>
    </row>
    <row r="192" spans="2:43" s="141" customFormat="1" x14ac:dyDescent="0.3">
      <c r="B192" s="61" t="s">
        <v>567</v>
      </c>
      <c r="C192" s="141" t="s">
        <v>417</v>
      </c>
      <c r="D192" s="479" t="str">
        <f t="shared" si="21"/>
        <v/>
      </c>
      <c r="E192" s="479" t="str">
        <f t="shared" si="21"/>
        <v/>
      </c>
      <c r="F192" s="479" t="str">
        <f t="shared" si="21"/>
        <v/>
      </c>
      <c r="G192" s="217"/>
      <c r="H192" s="479" t="str">
        <f t="shared" si="18"/>
        <v/>
      </c>
      <c r="I192" s="479" t="str">
        <f t="shared" si="22"/>
        <v/>
      </c>
      <c r="J192" s="479" t="str">
        <f t="shared" si="22"/>
        <v/>
      </c>
      <c r="M192" s="479"/>
      <c r="N192" s="479">
        <v>0</v>
      </c>
      <c r="O192" s="479">
        <v>0</v>
      </c>
      <c r="P192" s="479">
        <v>0</v>
      </c>
      <c r="Q192" s="479">
        <v>0</v>
      </c>
      <c r="R192" s="479">
        <v>0</v>
      </c>
      <c r="S192" s="479">
        <v>0</v>
      </c>
      <c r="T192" s="479">
        <v>0</v>
      </c>
      <c r="U192" s="479">
        <v>0</v>
      </c>
      <c r="V192" s="479">
        <v>0</v>
      </c>
      <c r="W192" s="479">
        <v>0</v>
      </c>
      <c r="X192" s="479">
        <v>0</v>
      </c>
      <c r="Y192" s="479">
        <v>0</v>
      </c>
      <c r="Z192" s="479"/>
      <c r="AA192" s="479"/>
      <c r="AB192" s="479"/>
      <c r="AC192" s="479">
        <v>0</v>
      </c>
      <c r="AD192" s="479">
        <v>0</v>
      </c>
      <c r="AE192" s="479">
        <v>0</v>
      </c>
      <c r="AF192" s="479">
        <v>0</v>
      </c>
      <c r="AG192" s="479">
        <v>0</v>
      </c>
      <c r="AH192" s="479">
        <v>0</v>
      </c>
      <c r="AI192" s="479">
        <v>0</v>
      </c>
      <c r="AJ192" s="479">
        <v>0</v>
      </c>
      <c r="AK192" s="479">
        <v>0</v>
      </c>
      <c r="AL192" s="479">
        <v>0</v>
      </c>
      <c r="AM192" s="479">
        <v>0</v>
      </c>
      <c r="AN192" s="479" t="s">
        <v>1292</v>
      </c>
      <c r="AQ192" s="341"/>
    </row>
    <row r="193" spans="2:43" s="141" customFormat="1" x14ac:dyDescent="0.3">
      <c r="B193" s="61" t="s">
        <v>568</v>
      </c>
      <c r="C193" s="141" t="s">
        <v>418</v>
      </c>
      <c r="D193" s="479">
        <f t="shared" si="21"/>
        <v>24363.558010000001</v>
      </c>
      <c r="E193" s="479">
        <f t="shared" si="21"/>
        <v>238178.21090599999</v>
      </c>
      <c r="F193" s="479">
        <f t="shared" si="21"/>
        <v>170939.00768800001</v>
      </c>
      <c r="G193" s="217"/>
      <c r="H193" s="479">
        <f t="shared" si="18"/>
        <v>26945</v>
      </c>
      <c r="I193" s="479">
        <f t="shared" si="22"/>
        <v>238178</v>
      </c>
      <c r="J193" s="479">
        <f t="shared" si="22"/>
        <v>10660.501404000001</v>
      </c>
      <c r="M193" s="479"/>
      <c r="N193" s="479">
        <v>24363.558010000001</v>
      </c>
      <c r="O193" s="479">
        <v>141191.890055</v>
      </c>
      <c r="P193" s="479">
        <v>242836.16701</v>
      </c>
      <c r="Q193" s="479">
        <v>336568.11410000001</v>
      </c>
      <c r="R193" s="479">
        <v>238178.21090599999</v>
      </c>
      <c r="S193" s="479">
        <v>221404.55306899999</v>
      </c>
      <c r="T193" s="479">
        <v>97661.209726999994</v>
      </c>
      <c r="U193" s="479">
        <v>69234.654743000006</v>
      </c>
      <c r="V193" s="479">
        <v>170939.00768800001</v>
      </c>
      <c r="W193" s="479">
        <v>1521.0892739999999</v>
      </c>
      <c r="X193" s="479">
        <v>8955.6477479999994</v>
      </c>
      <c r="Y193" s="479">
        <v>170939.00768800001</v>
      </c>
      <c r="Z193" s="479"/>
      <c r="AA193" s="479"/>
      <c r="AB193" s="479"/>
      <c r="AC193" s="479">
        <v>26945</v>
      </c>
      <c r="AD193" s="479">
        <v>141192</v>
      </c>
      <c r="AE193" s="479">
        <v>246134</v>
      </c>
      <c r="AF193" s="479">
        <v>336568</v>
      </c>
      <c r="AG193" s="479">
        <v>238178</v>
      </c>
      <c r="AH193" s="479">
        <v>221405</v>
      </c>
      <c r="AI193" s="479">
        <v>97661</v>
      </c>
      <c r="AJ193" s="479">
        <v>69235</v>
      </c>
      <c r="AK193" s="479">
        <v>170939.00768799998</v>
      </c>
      <c r="AL193" s="479">
        <v>1620.6839110000001</v>
      </c>
      <c r="AM193" s="479">
        <v>9969.0074509999995</v>
      </c>
      <c r="AN193" s="479">
        <v>10660.501404000001</v>
      </c>
      <c r="AQ193" s="341"/>
    </row>
    <row r="194" spans="2:43" s="141" customFormat="1" x14ac:dyDescent="0.3">
      <c r="B194" s="61" t="s">
        <v>569</v>
      </c>
      <c r="C194" s="141" t="s">
        <v>419</v>
      </c>
      <c r="D194" s="479" t="str">
        <f t="shared" si="21"/>
        <v/>
      </c>
      <c r="E194" s="479" t="str">
        <f t="shared" si="21"/>
        <v/>
      </c>
      <c r="F194" s="479">
        <f t="shared" si="21"/>
        <v>3824.0091710000002</v>
      </c>
      <c r="G194" s="217"/>
      <c r="H194" s="479">
        <f t="shared" si="18"/>
        <v>2581</v>
      </c>
      <c r="I194" s="479" t="str">
        <f t="shared" si="22"/>
        <v/>
      </c>
      <c r="J194" s="479">
        <f t="shared" si="22"/>
        <v>2589.191386</v>
      </c>
      <c r="M194" s="479"/>
      <c r="N194" s="479">
        <v>0</v>
      </c>
      <c r="O194" s="479">
        <v>1667.918668</v>
      </c>
      <c r="P194" s="479">
        <v>6283.5277470000001</v>
      </c>
      <c r="Q194" s="479">
        <v>339.96920399999999</v>
      </c>
      <c r="R194" s="479">
        <v>0</v>
      </c>
      <c r="S194" s="479">
        <v>2220.1498390000002</v>
      </c>
      <c r="T194" s="479">
        <v>1113.824036</v>
      </c>
      <c r="U194" s="479">
        <v>470.42973699999999</v>
      </c>
      <c r="V194" s="479">
        <v>3824.0091710000002</v>
      </c>
      <c r="W194" s="479">
        <v>0</v>
      </c>
      <c r="X194" s="479">
        <v>8340.9763970000004</v>
      </c>
      <c r="Y194" s="479">
        <v>3824.0091710000002</v>
      </c>
      <c r="Z194" s="479"/>
      <c r="AA194" s="479"/>
      <c r="AB194" s="479"/>
      <c r="AC194" s="479">
        <v>2581</v>
      </c>
      <c r="AD194" s="479">
        <v>1668</v>
      </c>
      <c r="AE194" s="479">
        <v>9581</v>
      </c>
      <c r="AF194" s="479">
        <v>340</v>
      </c>
      <c r="AG194" s="479">
        <v>0</v>
      </c>
      <c r="AH194" s="479">
        <v>2220</v>
      </c>
      <c r="AI194" s="479">
        <v>1114</v>
      </c>
      <c r="AJ194" s="479">
        <v>470</v>
      </c>
      <c r="AK194" s="479">
        <v>3824.0091710000002</v>
      </c>
      <c r="AL194" s="479">
        <v>99.594637000000006</v>
      </c>
      <c r="AM194" s="479">
        <v>9354.3361000000004</v>
      </c>
      <c r="AN194" s="479">
        <v>2589.191386</v>
      </c>
      <c r="AQ194" s="341"/>
    </row>
    <row r="195" spans="2:43" s="141" customFormat="1" x14ac:dyDescent="0.3">
      <c r="B195" s="61" t="s">
        <v>570</v>
      </c>
      <c r="C195" s="141" t="s">
        <v>420</v>
      </c>
      <c r="D195" s="479">
        <f t="shared" si="21"/>
        <v>24363.558010000001</v>
      </c>
      <c r="E195" s="479">
        <f t="shared" si="21"/>
        <v>238178.21090599999</v>
      </c>
      <c r="F195" s="479">
        <f t="shared" si="21"/>
        <v>167114.998517</v>
      </c>
      <c r="G195" s="217"/>
      <c r="H195" s="479">
        <f t="shared" si="18"/>
        <v>24364</v>
      </c>
      <c r="I195" s="479">
        <f t="shared" si="22"/>
        <v>238178</v>
      </c>
      <c r="J195" s="479">
        <f t="shared" si="22"/>
        <v>8071.3100180000001</v>
      </c>
      <c r="M195" s="479"/>
      <c r="N195" s="479">
        <v>24363.558010000001</v>
      </c>
      <c r="O195" s="479">
        <v>139523.971387</v>
      </c>
      <c r="P195" s="479">
        <v>236552.63926299999</v>
      </c>
      <c r="Q195" s="479">
        <v>336228.14489599998</v>
      </c>
      <c r="R195" s="479">
        <v>238178.21090599999</v>
      </c>
      <c r="S195" s="479">
        <v>219184.40323</v>
      </c>
      <c r="T195" s="479">
        <v>96547.385691000003</v>
      </c>
      <c r="U195" s="479">
        <v>68764.225005999993</v>
      </c>
      <c r="V195" s="479">
        <v>167114.998517</v>
      </c>
      <c r="W195" s="479">
        <v>1521.0892739999999</v>
      </c>
      <c r="X195" s="479">
        <v>614.67135099999996</v>
      </c>
      <c r="Y195" s="479">
        <v>167114.998517</v>
      </c>
      <c r="Z195" s="479"/>
      <c r="AA195" s="479"/>
      <c r="AB195" s="479"/>
      <c r="AC195" s="479">
        <v>24364</v>
      </c>
      <c r="AD195" s="479">
        <v>139524</v>
      </c>
      <c r="AE195" s="479">
        <v>236553</v>
      </c>
      <c r="AF195" s="479">
        <v>336228</v>
      </c>
      <c r="AG195" s="479">
        <v>238178</v>
      </c>
      <c r="AH195" s="479">
        <v>219184</v>
      </c>
      <c r="AI195" s="479">
        <v>96547</v>
      </c>
      <c r="AJ195" s="479">
        <v>68764</v>
      </c>
      <c r="AK195" s="479">
        <v>167114.998517</v>
      </c>
      <c r="AL195" s="479">
        <v>1521.0892739999999</v>
      </c>
      <c r="AM195" s="479">
        <v>614.67135099999996</v>
      </c>
      <c r="AN195" s="479">
        <v>8071.3100180000001</v>
      </c>
      <c r="AQ195" s="341"/>
    </row>
    <row r="196" spans="2:43" x14ac:dyDescent="0.3">
      <c r="B196" s="61" t="s">
        <v>571</v>
      </c>
      <c r="C196" s="141" t="s">
        <v>421</v>
      </c>
      <c r="D196" s="102">
        <f t="shared" si="21"/>
        <v>22562.976803000001</v>
      </c>
      <c r="E196" s="102">
        <f t="shared" si="21"/>
        <v>238178.21090599999</v>
      </c>
      <c r="F196" s="102">
        <f t="shared" si="21"/>
        <v>131487.11322599999</v>
      </c>
      <c r="G196" s="96"/>
      <c r="H196" s="102">
        <f t="shared" si="18"/>
        <v>22563</v>
      </c>
      <c r="I196" s="102">
        <f t="shared" si="22"/>
        <v>238178</v>
      </c>
      <c r="J196" s="102">
        <f t="shared" si="22"/>
        <v>8071.3100180000001</v>
      </c>
      <c r="M196" s="102"/>
      <c r="N196" s="102">
        <v>22562.976803000001</v>
      </c>
      <c r="O196" s="102">
        <v>138590.99405400001</v>
      </c>
      <c r="P196" s="102">
        <v>234319.17717700001</v>
      </c>
      <c r="Q196" s="102">
        <v>336568.11410000001</v>
      </c>
      <c r="R196" s="102">
        <v>238178.21090599999</v>
      </c>
      <c r="S196" s="102">
        <v>211688.69556399999</v>
      </c>
      <c r="T196" s="102">
        <v>97661.209726999994</v>
      </c>
      <c r="U196" s="102">
        <v>68167.550363000002</v>
      </c>
      <c r="V196" s="102">
        <v>131487.11322599999</v>
      </c>
      <c r="W196" s="102">
        <v>249.729645</v>
      </c>
      <c r="X196" s="102">
        <v>614.67135099999996</v>
      </c>
      <c r="Y196" s="102">
        <v>131487.11322599999</v>
      </c>
      <c r="Z196" s="102"/>
      <c r="AA196" s="102"/>
      <c r="AB196" s="102"/>
      <c r="AC196" s="102">
        <v>22563</v>
      </c>
      <c r="AD196" s="102">
        <v>138591</v>
      </c>
      <c r="AE196" s="102">
        <v>234319</v>
      </c>
      <c r="AF196" s="102">
        <v>336568</v>
      </c>
      <c r="AG196" s="102">
        <v>238178</v>
      </c>
      <c r="AH196" s="102">
        <v>211689</v>
      </c>
      <c r="AI196" s="102">
        <v>97661</v>
      </c>
      <c r="AJ196" s="102">
        <v>68168</v>
      </c>
      <c r="AK196" s="102">
        <v>131487.11322599999</v>
      </c>
      <c r="AL196" s="102">
        <v>249.729645</v>
      </c>
      <c r="AM196" s="102">
        <v>614.67135099999996</v>
      </c>
      <c r="AN196" s="102">
        <v>8071.3100180000001</v>
      </c>
      <c r="AQ196" s="125"/>
    </row>
    <row r="197" spans="2:43" x14ac:dyDescent="0.3">
      <c r="B197" s="61" t="s">
        <v>572</v>
      </c>
      <c r="C197" s="141" t="s">
        <v>422</v>
      </c>
      <c r="D197" s="102">
        <f t="shared" si="21"/>
        <v>1800.5812069999999</v>
      </c>
      <c r="E197" s="102" t="str">
        <f t="shared" si="21"/>
        <v/>
      </c>
      <c r="F197" s="102">
        <f t="shared" si="21"/>
        <v>39451.894461999997</v>
      </c>
      <c r="G197" s="96"/>
      <c r="H197" s="102">
        <f t="shared" si="18"/>
        <v>8525</v>
      </c>
      <c r="I197" s="102" t="str">
        <f t="shared" si="22"/>
        <v/>
      </c>
      <c r="J197" s="102">
        <f t="shared" si="22"/>
        <v>2589.191386</v>
      </c>
      <c r="M197" s="102"/>
      <c r="N197" s="102">
        <v>1800.5812069999999</v>
      </c>
      <c r="O197" s="102">
        <v>2600.8960010000001</v>
      </c>
      <c r="P197" s="102">
        <v>8516.9898329999996</v>
      </c>
      <c r="Q197" s="102">
        <v>0</v>
      </c>
      <c r="R197" s="102">
        <v>0</v>
      </c>
      <c r="S197" s="102">
        <v>9715.8575049999999</v>
      </c>
      <c r="T197" s="102">
        <v>0</v>
      </c>
      <c r="U197" s="102">
        <v>1067.10438</v>
      </c>
      <c r="V197" s="102">
        <v>39451.894461999997</v>
      </c>
      <c r="W197" s="102">
        <v>1271.359629</v>
      </c>
      <c r="X197" s="102">
        <v>8340.9763970000004</v>
      </c>
      <c r="Y197" s="102">
        <v>39451.894461999997</v>
      </c>
      <c r="Z197" s="102"/>
      <c r="AA197" s="102"/>
      <c r="AB197" s="102"/>
      <c r="AC197" s="102">
        <v>8525</v>
      </c>
      <c r="AD197" s="102">
        <v>2601</v>
      </c>
      <c r="AE197" s="102">
        <v>60813</v>
      </c>
      <c r="AF197" s="102">
        <v>44</v>
      </c>
      <c r="AG197" s="102">
        <v>0</v>
      </c>
      <c r="AH197" s="102">
        <v>9716</v>
      </c>
      <c r="AI197" s="102">
        <v>0</v>
      </c>
      <c r="AJ197" s="102">
        <v>1067</v>
      </c>
      <c r="AK197" s="102">
        <v>39451.894461999997</v>
      </c>
      <c r="AL197" s="102">
        <v>1370.954266</v>
      </c>
      <c r="AM197" s="102">
        <v>9354.3361000000004</v>
      </c>
      <c r="AN197" s="102">
        <v>2589.191386</v>
      </c>
      <c r="AQ197" s="125"/>
    </row>
    <row r="198" spans="2:43" x14ac:dyDescent="0.3">
      <c r="B198" s="61" t="s">
        <v>573</v>
      </c>
      <c r="C198" s="141" t="s">
        <v>423</v>
      </c>
      <c r="D198" s="102" t="str">
        <f t="shared" si="21"/>
        <v/>
      </c>
      <c r="E198" s="102" t="str">
        <f t="shared" si="21"/>
        <v/>
      </c>
      <c r="F198" s="102" t="str">
        <f t="shared" si="21"/>
        <v/>
      </c>
      <c r="G198" s="96"/>
      <c r="H198" s="102" t="str">
        <f t="shared" si="18"/>
        <v/>
      </c>
      <c r="I198" s="102" t="str">
        <f t="shared" si="22"/>
        <v/>
      </c>
      <c r="J198" s="102" t="str">
        <f t="shared" si="22"/>
        <v/>
      </c>
      <c r="M198" s="102"/>
      <c r="N198" s="102">
        <v>0</v>
      </c>
      <c r="O198" s="102">
        <v>0</v>
      </c>
      <c r="P198" s="102">
        <v>0</v>
      </c>
      <c r="Q198" s="102">
        <v>0</v>
      </c>
      <c r="R198" s="102">
        <v>0</v>
      </c>
      <c r="S198" s="102">
        <v>0</v>
      </c>
      <c r="T198" s="102">
        <v>0</v>
      </c>
      <c r="U198" s="102">
        <v>0</v>
      </c>
      <c r="V198" s="102">
        <v>0</v>
      </c>
      <c r="W198" s="102">
        <v>0</v>
      </c>
      <c r="X198" s="102">
        <v>0</v>
      </c>
      <c r="Y198" s="102">
        <v>0</v>
      </c>
      <c r="Z198" s="102"/>
      <c r="AA198" s="102"/>
      <c r="AB198" s="102"/>
      <c r="AC198" s="102">
        <v>0</v>
      </c>
      <c r="AD198" s="102">
        <v>0</v>
      </c>
      <c r="AE198" s="102">
        <v>0</v>
      </c>
      <c r="AF198" s="102">
        <v>0</v>
      </c>
      <c r="AG198" s="102">
        <v>0</v>
      </c>
      <c r="AH198" s="102">
        <v>0</v>
      </c>
      <c r="AI198" s="102">
        <v>0</v>
      </c>
      <c r="AJ198" s="102">
        <v>0</v>
      </c>
      <c r="AK198" s="102">
        <v>0</v>
      </c>
      <c r="AL198" s="102">
        <v>0</v>
      </c>
      <c r="AM198" s="102">
        <v>0</v>
      </c>
      <c r="AN198" s="102" t="s">
        <v>1292</v>
      </c>
      <c r="AQ198" s="125"/>
    </row>
    <row r="199" spans="2:43" x14ac:dyDescent="0.3">
      <c r="B199" s="61" t="s">
        <v>574</v>
      </c>
      <c r="C199" s="141" t="s">
        <v>424</v>
      </c>
      <c r="D199" s="102" t="str">
        <f t="shared" si="21"/>
        <v/>
      </c>
      <c r="E199" s="102" t="str">
        <f t="shared" si="21"/>
        <v/>
      </c>
      <c r="F199" s="102" t="str">
        <f t="shared" si="21"/>
        <v/>
      </c>
      <c r="G199" s="96"/>
      <c r="H199" s="102" t="str">
        <f t="shared" si="18"/>
        <v/>
      </c>
      <c r="I199" s="102" t="str">
        <f t="shared" si="22"/>
        <v/>
      </c>
      <c r="J199" s="102" t="str">
        <f t="shared" si="22"/>
        <v/>
      </c>
      <c r="M199" s="102"/>
      <c r="N199" s="102">
        <v>0</v>
      </c>
      <c r="O199" s="102">
        <v>0</v>
      </c>
      <c r="P199" s="102">
        <v>0</v>
      </c>
      <c r="Q199" s="102">
        <v>0</v>
      </c>
      <c r="R199" s="102">
        <v>0</v>
      </c>
      <c r="S199" s="102">
        <v>0</v>
      </c>
      <c r="T199" s="102">
        <v>0</v>
      </c>
      <c r="U199" s="102">
        <v>0</v>
      </c>
      <c r="V199" s="102">
        <v>0</v>
      </c>
      <c r="W199" s="102">
        <v>0</v>
      </c>
      <c r="X199" s="102">
        <v>0</v>
      </c>
      <c r="Y199" s="102">
        <v>0</v>
      </c>
      <c r="Z199" s="102"/>
      <c r="AA199" s="102"/>
      <c r="AB199" s="102"/>
      <c r="AC199" s="102">
        <v>0</v>
      </c>
      <c r="AD199" s="102">
        <v>0</v>
      </c>
      <c r="AE199" s="102">
        <v>0</v>
      </c>
      <c r="AF199" s="102">
        <v>0</v>
      </c>
      <c r="AG199" s="102">
        <v>0</v>
      </c>
      <c r="AH199" s="102">
        <v>0</v>
      </c>
      <c r="AI199" s="102">
        <v>0</v>
      </c>
      <c r="AJ199" s="102">
        <v>0</v>
      </c>
      <c r="AK199" s="102">
        <v>0</v>
      </c>
      <c r="AL199" s="102">
        <v>0</v>
      </c>
      <c r="AM199" s="102">
        <v>0</v>
      </c>
      <c r="AN199" s="102" t="s">
        <v>1292</v>
      </c>
      <c r="AQ199" s="125"/>
    </row>
    <row r="200" spans="2:43" x14ac:dyDescent="0.3">
      <c r="B200" s="61" t="s">
        <v>576</v>
      </c>
      <c r="C200" s="141" t="s">
        <v>425</v>
      </c>
      <c r="D200" s="102" t="str">
        <f t="shared" si="21"/>
        <v/>
      </c>
      <c r="E200" s="102" t="str">
        <f t="shared" si="21"/>
        <v/>
      </c>
      <c r="F200" s="102" t="str">
        <f t="shared" si="21"/>
        <v/>
      </c>
      <c r="G200" s="96"/>
      <c r="H200" s="102">
        <f t="shared" si="18"/>
        <v>-4143</v>
      </c>
      <c r="I200" s="102" t="str">
        <f t="shared" si="22"/>
        <v/>
      </c>
      <c r="J200" s="102" t="str">
        <f t="shared" si="22"/>
        <v/>
      </c>
      <c r="M200" s="102"/>
      <c r="N200" s="102">
        <v>0</v>
      </c>
      <c r="O200" s="102">
        <v>0</v>
      </c>
      <c r="P200" s="102">
        <v>0</v>
      </c>
      <c r="Q200" s="102">
        <v>0</v>
      </c>
      <c r="R200" s="102">
        <v>0</v>
      </c>
      <c r="S200" s="102">
        <v>0</v>
      </c>
      <c r="T200" s="102">
        <v>0</v>
      </c>
      <c r="U200" s="102">
        <v>0</v>
      </c>
      <c r="V200" s="102">
        <v>0</v>
      </c>
      <c r="W200" s="102">
        <v>0</v>
      </c>
      <c r="X200" s="102">
        <v>0</v>
      </c>
      <c r="Y200" s="102">
        <v>0</v>
      </c>
      <c r="Z200" s="102"/>
      <c r="AA200" s="102"/>
      <c r="AB200" s="102"/>
      <c r="AC200" s="102">
        <v>-4143</v>
      </c>
      <c r="AD200" s="102">
        <v>0</v>
      </c>
      <c r="AE200" s="102">
        <v>-48998</v>
      </c>
      <c r="AF200" s="102">
        <v>-44</v>
      </c>
      <c r="AG200" s="102">
        <v>0</v>
      </c>
      <c r="AH200" s="102">
        <v>0</v>
      </c>
      <c r="AI200" s="102">
        <v>0</v>
      </c>
      <c r="AJ200" s="102">
        <v>0</v>
      </c>
      <c r="AK200" s="102">
        <v>0</v>
      </c>
      <c r="AL200" s="102">
        <v>0</v>
      </c>
      <c r="AM200" s="102">
        <v>0</v>
      </c>
      <c r="AN200" s="102" t="s">
        <v>1292</v>
      </c>
      <c r="AQ200" s="125"/>
    </row>
    <row r="201" spans="2:43" x14ac:dyDescent="0.3">
      <c r="B201" s="61" t="s">
        <v>577</v>
      </c>
      <c r="C201" s="141" t="s">
        <v>426</v>
      </c>
      <c r="D201" s="102">
        <f t="shared" si="21"/>
        <v>27860.664825</v>
      </c>
      <c r="E201" s="102">
        <f t="shared" si="21"/>
        <v>31396.666391999999</v>
      </c>
      <c r="F201" s="102">
        <f t="shared" si="21"/>
        <v>39451.616075999998</v>
      </c>
      <c r="G201" s="96"/>
      <c r="H201" s="102">
        <f t="shared" si="18"/>
        <v>28551</v>
      </c>
      <c r="I201" s="102">
        <f t="shared" si="22"/>
        <v>31913</v>
      </c>
      <c r="J201" s="102">
        <f t="shared" si="22"/>
        <v>37997.902972000004</v>
      </c>
      <c r="M201" s="102"/>
      <c r="N201" s="102">
        <v>27860.664825</v>
      </c>
      <c r="O201" s="102">
        <v>31664.801723</v>
      </c>
      <c r="P201" s="102">
        <v>30797.092395</v>
      </c>
      <c r="Q201" s="102">
        <v>33057.719686999997</v>
      </c>
      <c r="R201" s="102">
        <v>31396.666391999999</v>
      </c>
      <c r="S201" s="102">
        <v>30860.278333999999</v>
      </c>
      <c r="T201" s="102">
        <v>33586.913402999999</v>
      </c>
      <c r="U201" s="102">
        <v>36163.70076</v>
      </c>
      <c r="V201" s="102">
        <v>39451.616075999998</v>
      </c>
      <c r="W201" s="102">
        <v>39121.363695</v>
      </c>
      <c r="X201" s="102">
        <v>38034.476303000003</v>
      </c>
      <c r="Y201" s="102">
        <v>39451.616075999998</v>
      </c>
      <c r="Z201" s="102"/>
      <c r="AA201" s="102"/>
      <c r="AB201" s="102"/>
      <c r="AC201" s="102">
        <v>28551</v>
      </c>
      <c r="AD201" s="102">
        <v>32415</v>
      </c>
      <c r="AE201" s="102">
        <v>31612</v>
      </c>
      <c r="AF201" s="102">
        <v>33563</v>
      </c>
      <c r="AG201" s="102">
        <v>31913</v>
      </c>
      <c r="AH201" s="102">
        <v>31381</v>
      </c>
      <c r="AI201" s="102">
        <v>34149</v>
      </c>
      <c r="AJ201" s="102">
        <v>36556</v>
      </c>
      <c r="AK201" s="102">
        <v>39871.623459000002</v>
      </c>
      <c r="AL201" s="102">
        <v>39506.415481000004</v>
      </c>
      <c r="AM201" s="102">
        <v>38400.614814</v>
      </c>
      <c r="AN201" s="102">
        <v>37997.902972000004</v>
      </c>
      <c r="AQ201" s="125"/>
    </row>
    <row r="202" spans="2:43" x14ac:dyDescent="0.3">
      <c r="B202" s="61" t="s">
        <v>528</v>
      </c>
      <c r="C202" s="141" t="s">
        <v>427</v>
      </c>
      <c r="D202" s="102">
        <f t="shared" si="21"/>
        <v>-97.943899999999999</v>
      </c>
      <c r="E202" s="102">
        <f t="shared" si="21"/>
        <v>-97.943899999999999</v>
      </c>
      <c r="F202" s="102">
        <f t="shared" si="21"/>
        <v>-97.943899999999999</v>
      </c>
      <c r="G202" s="96"/>
      <c r="H202" s="102">
        <f t="shared" si="18"/>
        <v>-98</v>
      </c>
      <c r="I202" s="102">
        <f t="shared" si="22"/>
        <v>-98</v>
      </c>
      <c r="J202" s="102">
        <f t="shared" si="22"/>
        <v>-323.904719</v>
      </c>
      <c r="M202" s="102"/>
      <c r="N202" s="102">
        <v>-97.943899999999999</v>
      </c>
      <c r="O202" s="102">
        <v>-97.943899999999999</v>
      </c>
      <c r="P202" s="102">
        <v>-97.943899999999999</v>
      </c>
      <c r="Q202" s="102">
        <v>-97.943899999999999</v>
      </c>
      <c r="R202" s="102">
        <v>-97.943899999999999</v>
      </c>
      <c r="S202" s="102">
        <v>-97.943899999999999</v>
      </c>
      <c r="T202" s="102">
        <v>-97.943899999999999</v>
      </c>
      <c r="U202" s="102">
        <v>-97.943899999999999</v>
      </c>
      <c r="V202" s="102">
        <v>-97.943899999999999</v>
      </c>
      <c r="W202" s="102">
        <v>-97.943899999999999</v>
      </c>
      <c r="X202" s="102">
        <v>-97.943899999999999</v>
      </c>
      <c r="Y202" s="102">
        <v>-97.943899999999999</v>
      </c>
      <c r="Z202" s="102"/>
      <c r="AA202" s="102"/>
      <c r="AB202" s="102"/>
      <c r="AC202" s="102">
        <v>-98</v>
      </c>
      <c r="AD202" s="102">
        <v>-98</v>
      </c>
      <c r="AE202" s="102">
        <v>-98</v>
      </c>
      <c r="AF202" s="102">
        <v>-98</v>
      </c>
      <c r="AG202" s="102">
        <v>-98</v>
      </c>
      <c r="AH202" s="102">
        <v>-98</v>
      </c>
      <c r="AI202" s="102">
        <v>-98</v>
      </c>
      <c r="AJ202" s="102">
        <v>-324</v>
      </c>
      <c r="AK202" s="102">
        <v>-323.904719</v>
      </c>
      <c r="AL202" s="102">
        <v>-323.904719</v>
      </c>
      <c r="AM202" s="102">
        <v>-323.904719</v>
      </c>
      <c r="AN202" s="102">
        <v>-323.904719</v>
      </c>
      <c r="AQ202" s="125"/>
    </row>
    <row r="203" spans="2:43" x14ac:dyDescent="0.3">
      <c r="B203" s="61" t="s">
        <v>578</v>
      </c>
      <c r="C203" s="141" t="s">
        <v>428</v>
      </c>
      <c r="D203" s="102" t="str">
        <f t="shared" si="21"/>
        <v/>
      </c>
      <c r="E203" s="102" t="str">
        <f t="shared" si="21"/>
        <v/>
      </c>
      <c r="F203" s="102" t="str">
        <f t="shared" si="21"/>
        <v/>
      </c>
      <c r="G203" s="96"/>
      <c r="H203" s="102" t="str">
        <f t="shared" si="18"/>
        <v/>
      </c>
      <c r="I203" s="102" t="str">
        <f t="shared" si="22"/>
        <v/>
      </c>
      <c r="J203" s="102" t="str">
        <f t="shared" si="22"/>
        <v/>
      </c>
      <c r="M203" s="102"/>
      <c r="N203" s="102">
        <v>0</v>
      </c>
      <c r="O203" s="102">
        <v>0</v>
      </c>
      <c r="P203" s="102">
        <v>0</v>
      </c>
      <c r="Q203" s="102">
        <v>0</v>
      </c>
      <c r="R203" s="102">
        <v>0</v>
      </c>
      <c r="S203" s="102">
        <v>0</v>
      </c>
      <c r="T203" s="102">
        <v>0</v>
      </c>
      <c r="U203" s="102">
        <v>0</v>
      </c>
      <c r="V203" s="102">
        <v>0</v>
      </c>
      <c r="W203" s="102">
        <v>0</v>
      </c>
      <c r="X203" s="102">
        <v>0</v>
      </c>
      <c r="Y203" s="102">
        <v>0</v>
      </c>
      <c r="Z203" s="102"/>
      <c r="AA203" s="102"/>
      <c r="AB203" s="102"/>
      <c r="AC203" s="102">
        <v>0</v>
      </c>
      <c r="AD203" s="102">
        <v>0</v>
      </c>
      <c r="AE203" s="102">
        <v>0</v>
      </c>
      <c r="AF203" s="102">
        <v>0</v>
      </c>
      <c r="AG203" s="102">
        <v>0</v>
      </c>
      <c r="AH203" s="102">
        <v>0</v>
      </c>
      <c r="AI203" s="102">
        <v>0</v>
      </c>
      <c r="AJ203" s="102">
        <v>0</v>
      </c>
      <c r="AK203" s="102">
        <v>0</v>
      </c>
      <c r="AL203" s="102">
        <v>0</v>
      </c>
      <c r="AM203" s="102">
        <v>0</v>
      </c>
      <c r="AN203" s="102" t="s">
        <v>1292</v>
      </c>
      <c r="AQ203" s="125"/>
    </row>
    <row r="204" spans="2:43" x14ac:dyDescent="0.3">
      <c r="B204" s="61" t="s">
        <v>579</v>
      </c>
      <c r="C204" s="141" t="s">
        <v>429</v>
      </c>
      <c r="D204" s="102">
        <f t="shared" si="21"/>
        <v>5186.1712429999998</v>
      </c>
      <c r="E204" s="102">
        <f t="shared" si="21"/>
        <v>5918.8352649999997</v>
      </c>
      <c r="F204" s="102">
        <f t="shared" si="21"/>
        <v>7018.3431190000001</v>
      </c>
      <c r="G204" s="96"/>
      <c r="H204" s="102">
        <f t="shared" si="18"/>
        <v>5662</v>
      </c>
      <c r="I204" s="102">
        <f t="shared" si="22"/>
        <v>6111</v>
      </c>
      <c r="J204" s="102">
        <f t="shared" si="22"/>
        <v>6241.8172610000001</v>
      </c>
      <c r="M204" s="102"/>
      <c r="N204" s="102">
        <v>5186.1712429999998</v>
      </c>
      <c r="O204" s="102">
        <v>5719.49395</v>
      </c>
      <c r="P204" s="102">
        <v>6057.9616729999998</v>
      </c>
      <c r="Q204" s="102">
        <v>5629.5406089999997</v>
      </c>
      <c r="R204" s="102">
        <v>5918.8352649999997</v>
      </c>
      <c r="S204" s="102">
        <v>6147.7138370000002</v>
      </c>
      <c r="T204" s="102">
        <v>6186.2887019999998</v>
      </c>
      <c r="U204" s="102">
        <v>6448.0816070000001</v>
      </c>
      <c r="V204" s="102">
        <v>7018.3431190000001</v>
      </c>
      <c r="W204" s="102">
        <v>6010.6137079999999</v>
      </c>
      <c r="X204" s="102">
        <v>6377.9529510000002</v>
      </c>
      <c r="Y204" s="102">
        <v>7018.3431190000001</v>
      </c>
      <c r="Z204" s="102"/>
      <c r="AA204" s="102"/>
      <c r="AB204" s="102"/>
      <c r="AC204" s="102">
        <v>5662</v>
      </c>
      <c r="AD204" s="102">
        <v>6226</v>
      </c>
      <c r="AE204" s="102">
        <v>6599</v>
      </c>
      <c r="AF204" s="102">
        <v>5831</v>
      </c>
      <c r="AG204" s="102">
        <v>6111</v>
      </c>
      <c r="AH204" s="102">
        <v>6314</v>
      </c>
      <c r="AI204" s="102">
        <v>6366</v>
      </c>
      <c r="AJ204" s="102">
        <v>6611</v>
      </c>
      <c r="AK204" s="102">
        <v>7189.2875910000002</v>
      </c>
      <c r="AL204" s="102">
        <v>6126.4753339999997</v>
      </c>
      <c r="AM204" s="102">
        <v>6501.7999689999997</v>
      </c>
      <c r="AN204" s="102">
        <v>6241.8172610000001</v>
      </c>
      <c r="AQ204" s="125"/>
    </row>
    <row r="205" spans="2:43" x14ac:dyDescent="0.3">
      <c r="B205" s="61" t="s">
        <v>580</v>
      </c>
      <c r="C205" s="141" t="s">
        <v>430</v>
      </c>
      <c r="D205" s="102" t="str">
        <f t="shared" si="21"/>
        <v/>
      </c>
      <c r="E205" s="102" t="str">
        <f t="shared" si="21"/>
        <v/>
      </c>
      <c r="F205" s="102" t="str">
        <f t="shared" si="21"/>
        <v/>
      </c>
      <c r="G205" s="96"/>
      <c r="H205" s="102" t="str">
        <f t="shared" si="18"/>
        <v/>
      </c>
      <c r="I205" s="102" t="str">
        <f t="shared" si="22"/>
        <v/>
      </c>
      <c r="J205" s="102" t="str">
        <f t="shared" si="22"/>
        <v/>
      </c>
      <c r="M205" s="102"/>
      <c r="N205" s="102">
        <v>0</v>
      </c>
      <c r="O205" s="102">
        <v>0</v>
      </c>
      <c r="P205" s="102">
        <v>0</v>
      </c>
      <c r="Q205" s="102">
        <v>0</v>
      </c>
      <c r="R205" s="102">
        <v>0</v>
      </c>
      <c r="S205" s="102">
        <v>0</v>
      </c>
      <c r="T205" s="102">
        <v>0</v>
      </c>
      <c r="U205" s="102">
        <v>0</v>
      </c>
      <c r="V205" s="102">
        <v>0</v>
      </c>
      <c r="W205" s="102">
        <v>0</v>
      </c>
      <c r="X205" s="102">
        <v>0</v>
      </c>
      <c r="Y205" s="102">
        <v>0</v>
      </c>
      <c r="Z205" s="102"/>
      <c r="AA205" s="102"/>
      <c r="AB205" s="102"/>
      <c r="AC205" s="102">
        <v>0</v>
      </c>
      <c r="AD205" s="102">
        <v>0</v>
      </c>
      <c r="AE205" s="102">
        <v>0</v>
      </c>
      <c r="AF205" s="102">
        <v>0</v>
      </c>
      <c r="AG205" s="102">
        <v>0</v>
      </c>
      <c r="AH205" s="102">
        <v>0</v>
      </c>
      <c r="AI205" s="102">
        <v>0</v>
      </c>
      <c r="AJ205" s="102">
        <v>0</v>
      </c>
      <c r="AK205" s="102">
        <v>0</v>
      </c>
      <c r="AL205" s="102">
        <v>0</v>
      </c>
      <c r="AM205" s="102">
        <v>0</v>
      </c>
      <c r="AN205" s="102" t="s">
        <v>1292</v>
      </c>
      <c r="AQ205" s="125"/>
    </row>
    <row r="206" spans="2:43" x14ac:dyDescent="0.3">
      <c r="B206" s="61" t="s">
        <v>581</v>
      </c>
      <c r="C206" s="141" t="s">
        <v>431</v>
      </c>
      <c r="D206" s="102">
        <f t="shared" ref="D206:F225" si="23">IF(HLOOKUP(D$5,$M$5:$Y$370,ROW()-ROW($F$4),FALSE)=0,"",HLOOKUP(D$5,$M$5:$Y$370,ROW()-ROW($F$4),FALSE))</f>
        <v>22772.437482000001</v>
      </c>
      <c r="E206" s="102">
        <f t="shared" si="23"/>
        <v>25575.775027</v>
      </c>
      <c r="F206" s="102">
        <f t="shared" si="23"/>
        <v>32531.216856999999</v>
      </c>
      <c r="G206" s="96"/>
      <c r="H206" s="102">
        <f t="shared" si="18"/>
        <v>22987</v>
      </c>
      <c r="I206" s="102">
        <f t="shared" ref="I206:J221" si="24">IF(HLOOKUP(I$5,$AB$5:$AN$370,ROW()-ROW($J$4),FALSE)=0,"",HLOOKUP(I$5,$AB$5:$AN$370,ROW()-ROW($J$4),FALSE))</f>
        <v>25900</v>
      </c>
      <c r="J206" s="102">
        <f t="shared" si="24"/>
        <v>32079.990429999998</v>
      </c>
      <c r="M206" s="102"/>
      <c r="N206" s="102">
        <v>22772.437482000001</v>
      </c>
      <c r="O206" s="102">
        <v>26043.251672999999</v>
      </c>
      <c r="P206" s="102">
        <v>24837.074622</v>
      </c>
      <c r="Q206" s="102">
        <v>27526.122977999999</v>
      </c>
      <c r="R206" s="102">
        <v>25575.775027</v>
      </c>
      <c r="S206" s="102">
        <v>24810.508397000001</v>
      </c>
      <c r="T206" s="102">
        <v>27498.568600999999</v>
      </c>
      <c r="U206" s="102">
        <v>29813.563053000002</v>
      </c>
      <c r="V206" s="102">
        <v>32531.216856999999</v>
      </c>
      <c r="W206" s="102">
        <v>33208.693887000001</v>
      </c>
      <c r="X206" s="102">
        <v>31754.467251999999</v>
      </c>
      <c r="Y206" s="102">
        <v>32531.216856999999</v>
      </c>
      <c r="Z206" s="102"/>
      <c r="AA206" s="102"/>
      <c r="AB206" s="102"/>
      <c r="AC206" s="102">
        <v>22987</v>
      </c>
      <c r="AD206" s="102">
        <v>26287</v>
      </c>
      <c r="AE206" s="102">
        <v>25111</v>
      </c>
      <c r="AF206" s="102">
        <v>27829</v>
      </c>
      <c r="AG206" s="102">
        <v>25900</v>
      </c>
      <c r="AH206" s="102">
        <v>25164</v>
      </c>
      <c r="AI206" s="102">
        <v>27881</v>
      </c>
      <c r="AJ206" s="102">
        <v>30268</v>
      </c>
      <c r="AK206" s="102">
        <v>33006.240587</v>
      </c>
      <c r="AL206" s="102">
        <v>33703.844865999999</v>
      </c>
      <c r="AM206" s="102">
        <v>32222.719563999999</v>
      </c>
      <c r="AN206" s="102">
        <v>32079.990429999998</v>
      </c>
      <c r="AQ206" s="125"/>
    </row>
    <row r="207" spans="2:43" x14ac:dyDescent="0.3">
      <c r="B207" s="61" t="s">
        <v>875</v>
      </c>
      <c r="C207" s="141" t="s">
        <v>876</v>
      </c>
      <c r="D207" s="102" t="str">
        <f t="shared" si="23"/>
        <v/>
      </c>
      <c r="E207" s="102" t="str">
        <f t="shared" si="23"/>
        <v/>
      </c>
      <c r="F207" s="102" t="str">
        <f t="shared" si="23"/>
        <v/>
      </c>
      <c r="G207" s="96"/>
      <c r="H207" s="102" t="str">
        <f t="shared" si="18"/>
        <v/>
      </c>
      <c r="I207" s="102" t="str">
        <f t="shared" si="24"/>
        <v/>
      </c>
      <c r="J207" s="102" t="str">
        <f t="shared" si="24"/>
        <v/>
      </c>
      <c r="M207" s="102"/>
      <c r="N207" s="102">
        <v>0</v>
      </c>
      <c r="O207" s="102">
        <v>0</v>
      </c>
      <c r="P207" s="102">
        <v>0</v>
      </c>
      <c r="Q207" s="102">
        <v>0</v>
      </c>
      <c r="R207" s="102">
        <v>0</v>
      </c>
      <c r="S207" s="102">
        <v>0</v>
      </c>
      <c r="T207" s="102">
        <v>0</v>
      </c>
      <c r="U207" s="102">
        <v>0</v>
      </c>
      <c r="V207" s="102">
        <v>0</v>
      </c>
      <c r="W207" s="102">
        <v>0</v>
      </c>
      <c r="X207" s="102">
        <v>0</v>
      </c>
      <c r="Y207" s="102">
        <v>0</v>
      </c>
      <c r="Z207" s="102"/>
      <c r="AA207" s="102"/>
      <c r="AB207" s="102"/>
      <c r="AC207" s="102">
        <v>0</v>
      </c>
      <c r="AD207" s="102">
        <v>0</v>
      </c>
      <c r="AE207" s="102">
        <v>0</v>
      </c>
      <c r="AF207" s="102">
        <v>0</v>
      </c>
      <c r="AG207" s="102">
        <v>0</v>
      </c>
      <c r="AH207" s="102">
        <v>0</v>
      </c>
      <c r="AI207" s="102">
        <v>0</v>
      </c>
      <c r="AJ207" s="102">
        <v>0</v>
      </c>
      <c r="AK207" s="102">
        <v>0</v>
      </c>
      <c r="AL207" s="102">
        <v>0</v>
      </c>
      <c r="AM207" s="102">
        <v>0</v>
      </c>
      <c r="AN207" s="102" t="s">
        <v>1292</v>
      </c>
      <c r="AQ207" s="125"/>
    </row>
    <row r="208" spans="2:43" x14ac:dyDescent="0.3">
      <c r="B208" s="61" t="s">
        <v>517</v>
      </c>
      <c r="C208" s="141" t="s">
        <v>367</v>
      </c>
      <c r="D208" s="102" t="str">
        <f t="shared" si="23"/>
        <v/>
      </c>
      <c r="E208" s="102" t="str">
        <f t="shared" si="23"/>
        <v/>
      </c>
      <c r="F208" s="102" t="str">
        <f t="shared" si="23"/>
        <v/>
      </c>
      <c r="G208" s="96"/>
      <c r="H208" s="102" t="str">
        <f t="shared" si="18"/>
        <v/>
      </c>
      <c r="I208" s="102" t="str">
        <f t="shared" si="24"/>
        <v/>
      </c>
      <c r="J208" s="102" t="str">
        <f t="shared" si="24"/>
        <v/>
      </c>
      <c r="M208" s="102"/>
      <c r="N208" s="102">
        <v>0</v>
      </c>
      <c r="O208" s="102">
        <v>0</v>
      </c>
      <c r="P208" s="102">
        <v>0</v>
      </c>
      <c r="Q208" s="102">
        <v>0</v>
      </c>
      <c r="R208" s="102">
        <v>0</v>
      </c>
      <c r="S208" s="102">
        <v>0</v>
      </c>
      <c r="T208" s="102">
        <v>0</v>
      </c>
      <c r="U208" s="102">
        <v>0</v>
      </c>
      <c r="V208" s="102">
        <v>0</v>
      </c>
      <c r="W208" s="102">
        <v>0</v>
      </c>
      <c r="X208" s="102">
        <v>0</v>
      </c>
      <c r="Y208" s="102">
        <v>0</v>
      </c>
      <c r="Z208" s="102"/>
      <c r="AA208" s="102"/>
      <c r="AB208" s="102"/>
      <c r="AC208" s="102">
        <v>0</v>
      </c>
      <c r="AD208" s="102">
        <v>0</v>
      </c>
      <c r="AE208" s="102">
        <v>0</v>
      </c>
      <c r="AF208" s="102">
        <v>0</v>
      </c>
      <c r="AG208" s="102">
        <v>0</v>
      </c>
      <c r="AH208" s="102">
        <v>0</v>
      </c>
      <c r="AI208" s="102">
        <v>0</v>
      </c>
      <c r="AJ208" s="102">
        <v>0</v>
      </c>
      <c r="AK208" s="102">
        <v>0</v>
      </c>
      <c r="AL208" s="102">
        <v>0</v>
      </c>
      <c r="AM208" s="102">
        <v>0</v>
      </c>
      <c r="AN208" s="102" t="s">
        <v>1292</v>
      </c>
      <c r="AQ208" s="125"/>
    </row>
    <row r="209" spans="2:43" x14ac:dyDescent="0.3">
      <c r="B209" s="61" t="s">
        <v>877</v>
      </c>
      <c r="C209" s="141" t="s">
        <v>878</v>
      </c>
      <c r="D209" s="102" t="str">
        <f t="shared" si="23"/>
        <v/>
      </c>
      <c r="E209" s="102" t="str">
        <f t="shared" si="23"/>
        <v/>
      </c>
      <c r="F209" s="102" t="str">
        <f t="shared" si="23"/>
        <v/>
      </c>
      <c r="G209" s="96"/>
      <c r="H209" s="102" t="str">
        <f t="shared" si="18"/>
        <v/>
      </c>
      <c r="I209" s="102" t="str">
        <f t="shared" si="24"/>
        <v/>
      </c>
      <c r="J209" s="102" t="str">
        <f t="shared" si="24"/>
        <v/>
      </c>
      <c r="M209" s="102"/>
      <c r="N209" s="102">
        <v>0</v>
      </c>
      <c r="O209" s="102">
        <v>0</v>
      </c>
      <c r="P209" s="102">
        <v>0</v>
      </c>
      <c r="Q209" s="102">
        <v>0</v>
      </c>
      <c r="R209" s="102">
        <v>0</v>
      </c>
      <c r="S209" s="102">
        <v>0</v>
      </c>
      <c r="T209" s="102">
        <v>0</v>
      </c>
      <c r="U209" s="102">
        <v>0</v>
      </c>
      <c r="V209" s="102">
        <v>0</v>
      </c>
      <c r="W209" s="102">
        <v>0</v>
      </c>
      <c r="X209" s="102">
        <v>0</v>
      </c>
      <c r="Y209" s="102">
        <v>0</v>
      </c>
      <c r="Z209" s="102"/>
      <c r="AA209" s="102"/>
      <c r="AB209" s="102"/>
      <c r="AC209" s="102">
        <v>0</v>
      </c>
      <c r="AD209" s="102">
        <v>0</v>
      </c>
      <c r="AE209" s="102">
        <v>0</v>
      </c>
      <c r="AF209" s="102">
        <v>0</v>
      </c>
      <c r="AG209" s="102">
        <v>0</v>
      </c>
      <c r="AH209" s="102">
        <v>0</v>
      </c>
      <c r="AI209" s="102">
        <v>0</v>
      </c>
      <c r="AJ209" s="102">
        <v>0</v>
      </c>
      <c r="AK209" s="102">
        <v>0</v>
      </c>
      <c r="AL209" s="102">
        <v>0</v>
      </c>
      <c r="AM209" s="102">
        <v>0</v>
      </c>
      <c r="AN209" s="102" t="s">
        <v>1292</v>
      </c>
      <c r="AQ209" s="125"/>
    </row>
    <row r="210" spans="2:43" x14ac:dyDescent="0.3">
      <c r="B210" s="61" t="s">
        <v>879</v>
      </c>
      <c r="C210" s="141" t="s">
        <v>880</v>
      </c>
      <c r="D210" s="102" t="str">
        <f t="shared" si="23"/>
        <v/>
      </c>
      <c r="E210" s="102" t="str">
        <f t="shared" si="23"/>
        <v/>
      </c>
      <c r="F210" s="102" t="str">
        <f t="shared" si="23"/>
        <v/>
      </c>
      <c r="G210" s="96"/>
      <c r="H210" s="102" t="str">
        <f t="shared" si="18"/>
        <v/>
      </c>
      <c r="I210" s="102" t="str">
        <f t="shared" si="24"/>
        <v/>
      </c>
      <c r="J210" s="102" t="str">
        <f t="shared" si="24"/>
        <v/>
      </c>
      <c r="M210" s="102"/>
      <c r="N210" s="102">
        <v>0</v>
      </c>
      <c r="O210" s="102">
        <v>0</v>
      </c>
      <c r="P210" s="102">
        <v>0</v>
      </c>
      <c r="Q210" s="102">
        <v>0</v>
      </c>
      <c r="R210" s="102">
        <v>0</v>
      </c>
      <c r="S210" s="102">
        <v>0</v>
      </c>
      <c r="T210" s="102">
        <v>0</v>
      </c>
      <c r="U210" s="102">
        <v>0</v>
      </c>
      <c r="V210" s="102">
        <v>0</v>
      </c>
      <c r="W210" s="102">
        <v>0</v>
      </c>
      <c r="X210" s="102">
        <v>0</v>
      </c>
      <c r="Y210" s="102">
        <v>0</v>
      </c>
      <c r="Z210" s="102"/>
      <c r="AA210" s="102"/>
      <c r="AB210" s="102"/>
      <c r="AC210" s="102">
        <v>0</v>
      </c>
      <c r="AD210" s="102">
        <v>0</v>
      </c>
      <c r="AE210" s="102">
        <v>0</v>
      </c>
      <c r="AF210" s="102">
        <v>0</v>
      </c>
      <c r="AG210" s="102">
        <v>0</v>
      </c>
      <c r="AH210" s="102">
        <v>0</v>
      </c>
      <c r="AI210" s="102">
        <v>0</v>
      </c>
      <c r="AJ210" s="102">
        <v>0</v>
      </c>
      <c r="AK210" s="102">
        <v>0</v>
      </c>
      <c r="AL210" s="102">
        <v>0</v>
      </c>
      <c r="AM210" s="102">
        <v>0</v>
      </c>
      <c r="AN210" s="102" t="s">
        <v>1292</v>
      </c>
      <c r="AQ210" s="125"/>
    </row>
    <row r="211" spans="2:43" x14ac:dyDescent="0.3">
      <c r="B211" s="61" t="s">
        <v>881</v>
      </c>
      <c r="C211" s="141" t="s">
        <v>882</v>
      </c>
      <c r="D211" s="102" t="str">
        <f t="shared" si="23"/>
        <v/>
      </c>
      <c r="E211" s="102" t="str">
        <f t="shared" si="23"/>
        <v/>
      </c>
      <c r="F211" s="102" t="str">
        <f t="shared" si="23"/>
        <v/>
      </c>
      <c r="G211" s="96"/>
      <c r="H211" s="102" t="str">
        <f t="shared" si="18"/>
        <v/>
      </c>
      <c r="I211" s="102" t="str">
        <f t="shared" si="24"/>
        <v/>
      </c>
      <c r="J211" s="102" t="str">
        <f t="shared" si="24"/>
        <v/>
      </c>
      <c r="M211" s="102"/>
      <c r="N211" s="102">
        <v>0</v>
      </c>
      <c r="O211" s="102">
        <v>0</v>
      </c>
      <c r="P211" s="102">
        <v>0</v>
      </c>
      <c r="Q211" s="102">
        <v>0</v>
      </c>
      <c r="R211" s="102">
        <v>0</v>
      </c>
      <c r="S211" s="102">
        <v>0</v>
      </c>
      <c r="T211" s="102">
        <v>0</v>
      </c>
      <c r="U211" s="102">
        <v>0</v>
      </c>
      <c r="V211" s="102">
        <v>0</v>
      </c>
      <c r="W211" s="102">
        <v>0</v>
      </c>
      <c r="X211" s="102">
        <v>0</v>
      </c>
      <c r="Y211" s="102">
        <v>0</v>
      </c>
      <c r="Z211" s="102"/>
      <c r="AA211" s="102"/>
      <c r="AB211" s="102"/>
      <c r="AC211" s="102">
        <v>0</v>
      </c>
      <c r="AD211" s="102">
        <v>0</v>
      </c>
      <c r="AE211" s="102">
        <v>0</v>
      </c>
      <c r="AF211" s="102">
        <v>0</v>
      </c>
      <c r="AG211" s="102">
        <v>0</v>
      </c>
      <c r="AH211" s="102">
        <v>0</v>
      </c>
      <c r="AI211" s="102">
        <v>0</v>
      </c>
      <c r="AJ211" s="102">
        <v>0</v>
      </c>
      <c r="AK211" s="102">
        <v>0</v>
      </c>
      <c r="AL211" s="102">
        <v>0</v>
      </c>
      <c r="AM211" s="102">
        <v>0</v>
      </c>
      <c r="AN211" s="102" t="s">
        <v>1292</v>
      </c>
      <c r="AQ211" s="125"/>
    </row>
    <row r="212" spans="2:43" x14ac:dyDescent="0.3">
      <c r="B212" s="61" t="s">
        <v>582</v>
      </c>
      <c r="C212" s="141" t="s">
        <v>433</v>
      </c>
      <c r="D212" s="102" t="str">
        <f t="shared" si="23"/>
        <v/>
      </c>
      <c r="E212" s="102" t="str">
        <f t="shared" si="23"/>
        <v/>
      </c>
      <c r="F212" s="102" t="str">
        <f t="shared" si="23"/>
        <v/>
      </c>
      <c r="G212" s="96"/>
      <c r="H212" s="102" t="str">
        <f t="shared" si="18"/>
        <v/>
      </c>
      <c r="I212" s="102" t="str">
        <f t="shared" si="24"/>
        <v/>
      </c>
      <c r="J212" s="102" t="str">
        <f t="shared" si="24"/>
        <v/>
      </c>
      <c r="M212" s="102"/>
      <c r="N212" s="102">
        <v>0</v>
      </c>
      <c r="O212" s="102">
        <v>0</v>
      </c>
      <c r="P212" s="102">
        <v>0</v>
      </c>
      <c r="Q212" s="102">
        <v>0</v>
      </c>
      <c r="R212" s="102">
        <v>0</v>
      </c>
      <c r="S212" s="102">
        <v>0</v>
      </c>
      <c r="T212" s="102">
        <v>0</v>
      </c>
      <c r="U212" s="102">
        <v>0</v>
      </c>
      <c r="V212" s="102">
        <v>0</v>
      </c>
      <c r="W212" s="102">
        <v>0</v>
      </c>
      <c r="X212" s="102">
        <v>0</v>
      </c>
      <c r="Y212" s="102">
        <v>0</v>
      </c>
      <c r="Z212" s="102"/>
      <c r="AA212" s="102"/>
      <c r="AB212" s="102"/>
      <c r="AC212" s="102">
        <v>0</v>
      </c>
      <c r="AD212" s="102">
        <v>0</v>
      </c>
      <c r="AE212" s="102">
        <v>0</v>
      </c>
      <c r="AF212" s="102">
        <v>0</v>
      </c>
      <c r="AG212" s="102">
        <v>0</v>
      </c>
      <c r="AH212" s="102">
        <v>0</v>
      </c>
      <c r="AI212" s="102">
        <v>0</v>
      </c>
      <c r="AJ212" s="102">
        <v>0</v>
      </c>
      <c r="AK212" s="102">
        <v>0</v>
      </c>
      <c r="AL212" s="102">
        <v>0</v>
      </c>
      <c r="AM212" s="102">
        <v>0</v>
      </c>
      <c r="AN212" s="102" t="s">
        <v>1292</v>
      </c>
      <c r="AQ212" s="125"/>
    </row>
    <row r="213" spans="2:43" s="112" customFormat="1" x14ac:dyDescent="0.3">
      <c r="B213" s="78" t="s">
        <v>583</v>
      </c>
      <c r="C213" s="141" t="s">
        <v>434</v>
      </c>
      <c r="D213" s="100">
        <f t="shared" si="23"/>
        <v>13487230.093769001</v>
      </c>
      <c r="E213" s="100">
        <f t="shared" si="23"/>
        <v>12068465.738017</v>
      </c>
      <c r="F213" s="100">
        <f t="shared" si="23"/>
        <v>12239364.230695</v>
      </c>
      <c r="G213" s="101"/>
      <c r="H213" s="100">
        <f t="shared" si="18"/>
        <v>13487230</v>
      </c>
      <c r="I213" s="100">
        <f t="shared" si="24"/>
        <v>12068466</v>
      </c>
      <c r="J213" s="100">
        <f t="shared" si="24"/>
        <v>11941203.613065999</v>
      </c>
      <c r="M213" s="100"/>
      <c r="N213" s="102">
        <v>13487230.093769001</v>
      </c>
      <c r="O213" s="102">
        <v>13292290.385647999</v>
      </c>
      <c r="P213" s="102">
        <v>12262933.405889001</v>
      </c>
      <c r="Q213" s="102">
        <v>11774721.840636</v>
      </c>
      <c r="R213" s="102">
        <v>12068465.738017</v>
      </c>
      <c r="S213" s="102">
        <v>11858153.357918</v>
      </c>
      <c r="T213" s="102">
        <v>12252612.986768</v>
      </c>
      <c r="U213" s="102">
        <v>12486896.880617</v>
      </c>
      <c r="V213" s="100">
        <v>12239364.230695</v>
      </c>
      <c r="W213" s="100">
        <v>11772891.794899</v>
      </c>
      <c r="X213" s="100">
        <v>12197311.984913999</v>
      </c>
      <c r="Y213" s="102">
        <v>12239364.230695</v>
      </c>
      <c r="Z213" s="100"/>
      <c r="AA213" s="100"/>
      <c r="AB213" s="100"/>
      <c r="AC213" s="100">
        <v>13487230</v>
      </c>
      <c r="AD213" s="100">
        <v>13292289</v>
      </c>
      <c r="AE213" s="100">
        <v>12262933</v>
      </c>
      <c r="AF213" s="100">
        <v>11774722</v>
      </c>
      <c r="AG213" s="100">
        <v>12068466</v>
      </c>
      <c r="AH213" s="100">
        <v>11858153</v>
      </c>
      <c r="AI213" s="102">
        <v>12252613</v>
      </c>
      <c r="AJ213" s="102">
        <v>12486897</v>
      </c>
      <c r="AK213" s="100">
        <v>12239364.230695</v>
      </c>
      <c r="AL213" s="100">
        <v>11772891.794899</v>
      </c>
      <c r="AM213" s="100">
        <v>12197311.984913999</v>
      </c>
      <c r="AN213" s="102">
        <v>11941203.613065999</v>
      </c>
    </row>
    <row r="214" spans="2:43" x14ac:dyDescent="0.3">
      <c r="B214" s="61" t="s">
        <v>883</v>
      </c>
      <c r="C214" s="141" t="s">
        <v>884</v>
      </c>
      <c r="D214" s="102">
        <f t="shared" si="23"/>
        <v>-6483.9093279999997</v>
      </c>
      <c r="E214" s="102">
        <f t="shared" si="23"/>
        <v>-5434.959914</v>
      </c>
      <c r="F214" s="102">
        <f t="shared" si="23"/>
        <v>-3221.8497809999999</v>
      </c>
      <c r="G214" s="96"/>
      <c r="H214" s="102">
        <f t="shared" si="18"/>
        <v>-6484</v>
      </c>
      <c r="I214" s="102">
        <f t="shared" si="24"/>
        <v>-5435</v>
      </c>
      <c r="J214" s="102">
        <f t="shared" si="24"/>
        <v>-1297.13166</v>
      </c>
      <c r="M214" s="102"/>
      <c r="N214" s="102">
        <v>-6483.9093279999997</v>
      </c>
      <c r="O214" s="102">
        <v>-1378.521041</v>
      </c>
      <c r="P214" s="102">
        <v>-1343.971673</v>
      </c>
      <c r="Q214" s="102">
        <v>-2183.4470430000001</v>
      </c>
      <c r="R214" s="102">
        <v>-5434.959914</v>
      </c>
      <c r="S214" s="102">
        <v>-968.35119099999997</v>
      </c>
      <c r="T214" s="102">
        <v>-1451.0791320000001</v>
      </c>
      <c r="U214" s="102">
        <v>-1609.49791</v>
      </c>
      <c r="V214" s="102">
        <v>-3221.8497809999999</v>
      </c>
      <c r="W214" s="102">
        <v>-613.67317300000002</v>
      </c>
      <c r="X214" s="102">
        <v>-855.49535800000001</v>
      </c>
      <c r="Y214" s="102">
        <v>-3221.8497809999999</v>
      </c>
      <c r="Z214" s="102"/>
      <c r="AA214" s="102"/>
      <c r="AB214" s="102"/>
      <c r="AC214" s="102">
        <v>-6484</v>
      </c>
      <c r="AD214" s="102">
        <v>-1379</v>
      </c>
      <c r="AE214" s="102">
        <v>-1344</v>
      </c>
      <c r="AF214" s="102">
        <v>-2183</v>
      </c>
      <c r="AG214" s="102">
        <v>-5435</v>
      </c>
      <c r="AH214" s="102">
        <v>-968</v>
      </c>
      <c r="AI214" s="102">
        <v>-1451</v>
      </c>
      <c r="AJ214" s="102">
        <v>-1609</v>
      </c>
      <c r="AK214" s="102">
        <v>-3221.8497809999999</v>
      </c>
      <c r="AL214" s="102">
        <v>-613.67317300000002</v>
      </c>
      <c r="AM214" s="102">
        <v>-855.49535800000001</v>
      </c>
      <c r="AN214" s="102">
        <v>-1297.13166</v>
      </c>
    </row>
    <row r="215" spans="2:43" x14ac:dyDescent="0.3">
      <c r="B215" s="61" t="s">
        <v>885</v>
      </c>
      <c r="C215" s="141" t="s">
        <v>886</v>
      </c>
      <c r="D215" s="102">
        <f t="shared" si="23"/>
        <v>-186060.845497</v>
      </c>
      <c r="E215" s="102">
        <f t="shared" si="23"/>
        <v>-168478.42279499999</v>
      </c>
      <c r="F215" s="102">
        <f t="shared" si="23"/>
        <v>-109814.692119</v>
      </c>
      <c r="G215" s="96"/>
      <c r="H215" s="102">
        <f t="shared" si="18"/>
        <v>-186061</v>
      </c>
      <c r="I215" s="102">
        <f t="shared" si="24"/>
        <v>-168478</v>
      </c>
      <c r="J215" s="102"/>
      <c r="M215" s="102"/>
      <c r="N215" s="102">
        <v>-186060.845497</v>
      </c>
      <c r="O215" s="102">
        <v>-228869.561931</v>
      </c>
      <c r="P215" s="102">
        <v>-142690.54871900001</v>
      </c>
      <c r="Q215" s="102">
        <v>-143457.56713000001</v>
      </c>
      <c r="R215" s="102">
        <v>-168478.42279499999</v>
      </c>
      <c r="S215" s="102">
        <v>-144880.53512799999</v>
      </c>
      <c r="T215" s="102">
        <v>-129011.671764</v>
      </c>
      <c r="U215" s="102">
        <v>-115498.02840700001</v>
      </c>
      <c r="V215" s="102">
        <v>-109814.692119</v>
      </c>
      <c r="W215" s="102">
        <v>-114542.946904</v>
      </c>
      <c r="X215" s="102">
        <v>-79852.508510999993</v>
      </c>
      <c r="Y215" s="102">
        <v>-109814.692119</v>
      </c>
      <c r="Z215" s="102"/>
      <c r="AA215" s="102"/>
      <c r="AB215" s="102"/>
      <c r="AC215" s="102">
        <v>-186061</v>
      </c>
      <c r="AD215" s="102">
        <v>-228870</v>
      </c>
      <c r="AE215" s="102">
        <v>-142691</v>
      </c>
      <c r="AF215" s="102">
        <v>-143458</v>
      </c>
      <c r="AG215" s="102">
        <v>-168478</v>
      </c>
      <c r="AH215" s="102">
        <v>-144881</v>
      </c>
      <c r="AI215" s="102">
        <v>-129012</v>
      </c>
      <c r="AJ215" s="102">
        <v>-115498</v>
      </c>
      <c r="AK215" s="102">
        <v>-109814.692119</v>
      </c>
      <c r="AL215" s="102">
        <v>-114542.946904</v>
      </c>
      <c r="AM215" s="102">
        <v>-79852.508510999993</v>
      </c>
      <c r="AN215" s="102">
        <v>-68902.068033999996</v>
      </c>
    </row>
    <row r="216" spans="2:43" x14ac:dyDescent="0.3">
      <c r="B216" s="61" t="s">
        <v>887</v>
      </c>
      <c r="C216" s="141" t="s">
        <v>888</v>
      </c>
      <c r="D216" s="102">
        <f t="shared" si="23"/>
        <v>356626.72967199999</v>
      </c>
      <c r="E216" s="102">
        <f t="shared" si="23"/>
        <v>249636.73057099999</v>
      </c>
      <c r="F216" s="102">
        <f t="shared" si="23"/>
        <v>186822.05074899999</v>
      </c>
      <c r="G216" s="96"/>
      <c r="H216" s="102">
        <f t="shared" si="18"/>
        <v>356627</v>
      </c>
      <c r="I216" s="102">
        <f t="shared" si="24"/>
        <v>249637</v>
      </c>
      <c r="J216" s="102">
        <f t="shared" ref="I216:J235" si="25">IF(HLOOKUP(J$5,$AB$5:$AN$370,ROW()-ROW($J$4),FALSE)=0,"",HLOOKUP(J$5,$AB$5:$AN$370,ROW()-ROW($J$4),FALSE))</f>
        <v>172102.234612</v>
      </c>
      <c r="M216" s="102"/>
      <c r="N216" s="102">
        <v>356626.72967199999</v>
      </c>
      <c r="O216" s="102">
        <v>333407.14415800001</v>
      </c>
      <c r="P216" s="102">
        <v>274511.92197299999</v>
      </c>
      <c r="Q216" s="102">
        <v>251230.28958899999</v>
      </c>
      <c r="R216" s="102">
        <v>249636.73057099999</v>
      </c>
      <c r="S216" s="102">
        <v>216968.842195</v>
      </c>
      <c r="T216" s="102">
        <v>213016.8511</v>
      </c>
      <c r="U216" s="102">
        <v>200118.319736</v>
      </c>
      <c r="V216" s="102">
        <v>186822.05074899999</v>
      </c>
      <c r="W216" s="102">
        <v>171664.74400899999</v>
      </c>
      <c r="X216" s="102">
        <v>175844.45226600001</v>
      </c>
      <c r="Y216" s="102">
        <v>186822.05074899999</v>
      </c>
      <c r="Z216" s="102"/>
      <c r="AA216" s="102"/>
      <c r="AB216" s="102"/>
      <c r="AC216" s="102">
        <v>356627</v>
      </c>
      <c r="AD216" s="102">
        <v>333407</v>
      </c>
      <c r="AE216" s="102">
        <v>274512</v>
      </c>
      <c r="AF216" s="102">
        <v>251230</v>
      </c>
      <c r="AG216" s="102">
        <v>249637</v>
      </c>
      <c r="AH216" s="102">
        <v>216969</v>
      </c>
      <c r="AI216" s="102">
        <v>213017</v>
      </c>
      <c r="AJ216" s="102">
        <v>200118</v>
      </c>
      <c r="AK216" s="102">
        <v>186822.05074899999</v>
      </c>
      <c r="AL216" s="102">
        <v>171664.74400899999</v>
      </c>
      <c r="AM216" s="102">
        <v>175844.45226600001</v>
      </c>
      <c r="AN216" s="102">
        <v>172102.234612</v>
      </c>
    </row>
    <row r="217" spans="2:43" x14ac:dyDescent="0.3">
      <c r="B217" s="61" t="s">
        <v>889</v>
      </c>
      <c r="C217" s="141" t="s">
        <v>890</v>
      </c>
      <c r="D217" s="102">
        <f t="shared" si="23"/>
        <v>13323148.118922001</v>
      </c>
      <c r="E217" s="102">
        <f t="shared" si="23"/>
        <v>11992742.390155001</v>
      </c>
      <c r="F217" s="102">
        <f t="shared" si="23"/>
        <v>12165578.721845999</v>
      </c>
      <c r="G217" s="96"/>
      <c r="H217" s="102">
        <f t="shared" si="18"/>
        <v>13323148</v>
      </c>
      <c r="I217" s="102">
        <f t="shared" si="24"/>
        <v>11992742</v>
      </c>
      <c r="J217" s="102">
        <f t="shared" si="25"/>
        <v>11839300.578148</v>
      </c>
      <c r="M217" s="102"/>
      <c r="N217" s="102">
        <v>13323148.118922001</v>
      </c>
      <c r="O217" s="102">
        <v>13189131.324462</v>
      </c>
      <c r="P217" s="102">
        <v>12132456.004308</v>
      </c>
      <c r="Q217" s="102">
        <v>11669132.56522</v>
      </c>
      <c r="R217" s="102">
        <v>11992742.390155001</v>
      </c>
      <c r="S217" s="102">
        <v>11787033.402042</v>
      </c>
      <c r="T217" s="102">
        <v>12170058.886564</v>
      </c>
      <c r="U217" s="102">
        <v>12403886.087198</v>
      </c>
      <c r="V217" s="102">
        <v>12165578.721845999</v>
      </c>
      <c r="W217" s="102">
        <v>11716383.670967</v>
      </c>
      <c r="X217" s="102">
        <v>12102175.536517</v>
      </c>
      <c r="Y217" s="102">
        <v>12165578.721845999</v>
      </c>
      <c r="Z217" s="102"/>
      <c r="AA217" s="102"/>
      <c r="AB217" s="102"/>
      <c r="AC217" s="102">
        <v>13323148</v>
      </c>
      <c r="AD217" s="102">
        <v>13189131</v>
      </c>
      <c r="AE217" s="102">
        <v>12132456</v>
      </c>
      <c r="AF217" s="102">
        <v>11669133</v>
      </c>
      <c r="AG217" s="102">
        <v>11992742</v>
      </c>
      <c r="AH217" s="102">
        <v>11787033</v>
      </c>
      <c r="AI217" s="102">
        <v>12170059</v>
      </c>
      <c r="AJ217" s="102">
        <v>12403886</v>
      </c>
      <c r="AK217" s="102">
        <v>12165578.721845999</v>
      </c>
      <c r="AL217" s="102">
        <v>11716383.670967</v>
      </c>
      <c r="AM217" s="102">
        <v>12102175.536517</v>
      </c>
      <c r="AN217" s="102">
        <v>11839300.578148</v>
      </c>
    </row>
    <row r="218" spans="2:43" s="112" customFormat="1" x14ac:dyDescent="0.3">
      <c r="B218" s="78" t="s">
        <v>169</v>
      </c>
      <c r="C218" s="141" t="s">
        <v>61</v>
      </c>
      <c r="D218" s="100">
        <f t="shared" si="23"/>
        <v>32855181.935105994</v>
      </c>
      <c r="E218" s="100">
        <f t="shared" si="23"/>
        <v>32404438.804746002</v>
      </c>
      <c r="F218" s="100">
        <f t="shared" si="23"/>
        <v>33046193.024997003</v>
      </c>
      <c r="G218" s="101"/>
      <c r="H218" s="100">
        <f t="shared" ref="H218:H281" si="26">IF(HLOOKUP(H$5,$AB$5:$AN$370,ROW()-ROW($J$4),FALSE)=0,"",HLOOKUP(H$5,$AB$5:$AN$370,ROW()-ROW($J$4),FALSE))</f>
        <v>32920827</v>
      </c>
      <c r="I218" s="100">
        <f t="shared" si="24"/>
        <v>32493623</v>
      </c>
      <c r="J218" s="100">
        <f t="shared" si="25"/>
        <v>33188650.467659004</v>
      </c>
      <c r="M218" s="100"/>
      <c r="N218" s="102">
        <v>32855181.935105994</v>
      </c>
      <c r="O218" s="102">
        <v>33165463.238683999</v>
      </c>
      <c r="P218" s="102">
        <v>32215468.491140999</v>
      </c>
      <c r="Q218" s="102">
        <v>32214588.505664002</v>
      </c>
      <c r="R218" s="102">
        <v>32404438.804746002</v>
      </c>
      <c r="S218" s="102">
        <v>32232652.833784997</v>
      </c>
      <c r="T218" s="102">
        <v>32188592.706805002</v>
      </c>
      <c r="U218" s="102">
        <v>32333017.256452002</v>
      </c>
      <c r="V218" s="100">
        <v>33046193.024997003</v>
      </c>
      <c r="W218" s="100">
        <v>32111059.738974996</v>
      </c>
      <c r="X218" s="100">
        <v>32951333.185621001</v>
      </c>
      <c r="Y218" s="102">
        <v>33046193.024997003</v>
      </c>
      <c r="Z218" s="100"/>
      <c r="AA218" s="100"/>
      <c r="AB218" s="100"/>
      <c r="AC218" s="100">
        <v>32920827</v>
      </c>
      <c r="AD218" s="100">
        <v>33221043</v>
      </c>
      <c r="AE218" s="100">
        <v>32262700</v>
      </c>
      <c r="AF218" s="100">
        <v>32292185</v>
      </c>
      <c r="AG218" s="100">
        <v>32493623</v>
      </c>
      <c r="AH218" s="100">
        <v>32311033</v>
      </c>
      <c r="AI218" s="102">
        <v>32269311</v>
      </c>
      <c r="AJ218" s="102">
        <v>32398401</v>
      </c>
      <c r="AK218" s="100">
        <v>33092023.489391997</v>
      </c>
      <c r="AL218" s="100">
        <v>33188650.467659004</v>
      </c>
      <c r="AM218" s="100">
        <v>33053385.020775996</v>
      </c>
      <c r="AN218" s="102">
        <v>33188650.467659004</v>
      </c>
    </row>
    <row r="219" spans="2:43" s="112" customFormat="1" x14ac:dyDescent="0.3">
      <c r="B219" s="78"/>
      <c r="C219" s="141"/>
      <c r="D219" s="100" t="str">
        <f t="shared" si="23"/>
        <v/>
      </c>
      <c r="E219" s="100" t="str">
        <f t="shared" si="23"/>
        <v/>
      </c>
      <c r="F219" s="100" t="str">
        <f t="shared" si="23"/>
        <v/>
      </c>
      <c r="G219" s="101"/>
      <c r="H219" s="100" t="str">
        <f t="shared" si="26"/>
        <v/>
      </c>
      <c r="I219" s="100" t="str">
        <f t="shared" si="24"/>
        <v/>
      </c>
      <c r="J219" s="100" t="str">
        <f t="shared" si="25"/>
        <v/>
      </c>
      <c r="M219" s="100"/>
      <c r="N219" s="100"/>
      <c r="O219" s="100"/>
      <c r="P219" s="100"/>
      <c r="Q219" s="100"/>
      <c r="R219" s="100"/>
      <c r="S219" s="100"/>
      <c r="T219" s="100"/>
      <c r="U219" s="100"/>
      <c r="V219" s="100"/>
      <c r="W219" s="100"/>
      <c r="X219" s="100"/>
      <c r="Y219" s="100"/>
      <c r="Z219" s="100"/>
      <c r="AA219" s="100"/>
      <c r="AB219" s="100"/>
      <c r="AC219" s="100"/>
      <c r="AD219" s="100"/>
      <c r="AE219" s="100"/>
      <c r="AF219" s="100"/>
      <c r="AG219" s="100"/>
      <c r="AH219" s="100"/>
      <c r="AI219" s="102"/>
      <c r="AJ219" s="102"/>
      <c r="AK219" s="100"/>
      <c r="AL219" s="100">
        <v>0</v>
      </c>
      <c r="AM219" s="100"/>
      <c r="AN219" s="102" t="s">
        <v>1292</v>
      </c>
    </row>
    <row r="220" spans="2:43" s="112" customFormat="1" x14ac:dyDescent="0.3">
      <c r="B220" s="78" t="s">
        <v>584</v>
      </c>
      <c r="C220" s="141" t="s">
        <v>435</v>
      </c>
      <c r="D220" s="100">
        <f t="shared" si="23"/>
        <v>30418680.438639998</v>
      </c>
      <c r="E220" s="100">
        <f t="shared" si="23"/>
        <v>29851200.854978003</v>
      </c>
      <c r="F220" s="100">
        <f t="shared" si="23"/>
        <v>30027165.961452</v>
      </c>
      <c r="G220" s="101"/>
      <c r="H220" s="100">
        <f t="shared" si="26"/>
        <v>30472729</v>
      </c>
      <c r="I220" s="100">
        <f t="shared" si="24"/>
        <v>29929970</v>
      </c>
      <c r="J220" s="100">
        <f t="shared" si="25"/>
        <v>30322482.178092003</v>
      </c>
      <c r="M220" s="100"/>
      <c r="N220" s="100">
        <v>30418680.438639998</v>
      </c>
      <c r="O220" s="100">
        <v>30683351.810686998</v>
      </c>
      <c r="P220" s="100">
        <v>29744745.599780999</v>
      </c>
      <c r="Q220" s="100">
        <v>29747791.285061002</v>
      </c>
      <c r="R220" s="100">
        <v>29851200.854978003</v>
      </c>
      <c r="S220" s="100">
        <v>29703679.511985004</v>
      </c>
      <c r="T220" s="100">
        <v>29660895.32446</v>
      </c>
      <c r="U220" s="100">
        <v>29599141.786692999</v>
      </c>
      <c r="V220" s="100">
        <v>30027165.961452</v>
      </c>
      <c r="W220" s="100">
        <v>29140783.776515998</v>
      </c>
      <c r="X220" s="100">
        <v>30008689.760710001</v>
      </c>
      <c r="Y220" s="100">
        <v>30027165.961452</v>
      </c>
      <c r="Z220" s="100"/>
      <c r="AA220" s="100"/>
      <c r="AB220" s="100"/>
      <c r="AC220" s="100">
        <v>30472729</v>
      </c>
      <c r="AD220" s="100">
        <v>30729498</v>
      </c>
      <c r="AE220" s="100">
        <v>29786394</v>
      </c>
      <c r="AF220" s="100">
        <v>29814766</v>
      </c>
      <c r="AG220" s="100">
        <v>29929970</v>
      </c>
      <c r="AH220" s="100">
        <v>29777861</v>
      </c>
      <c r="AI220" s="102">
        <v>29737477</v>
      </c>
      <c r="AJ220" s="102">
        <v>29662595</v>
      </c>
      <c r="AK220" s="100">
        <v>30076512.345785998</v>
      </c>
      <c r="AL220" s="100">
        <v>29198963.191711001</v>
      </c>
      <c r="AM220" s="100">
        <v>30106554.593719997</v>
      </c>
      <c r="AN220" s="102">
        <v>30322482.178092003</v>
      </c>
    </row>
    <row r="221" spans="2:43" s="112" customFormat="1" x14ac:dyDescent="0.3">
      <c r="B221" s="78" t="s">
        <v>170</v>
      </c>
      <c r="C221" s="141" t="s">
        <v>67</v>
      </c>
      <c r="D221" s="100">
        <f t="shared" si="23"/>
        <v>30418680.438639998</v>
      </c>
      <c r="E221" s="100">
        <f t="shared" si="23"/>
        <v>29851200.854977995</v>
      </c>
      <c r="F221" s="100">
        <f t="shared" si="23"/>
        <v>30027165.961452</v>
      </c>
      <c r="G221" s="101"/>
      <c r="H221" s="100">
        <f t="shared" si="26"/>
        <v>30472729</v>
      </c>
      <c r="I221" s="100">
        <f t="shared" si="24"/>
        <v>29929997</v>
      </c>
      <c r="J221" s="100">
        <f t="shared" si="25"/>
        <v>30322482.178091995</v>
      </c>
      <c r="M221" s="100"/>
      <c r="N221" s="100">
        <v>30418680.438639998</v>
      </c>
      <c r="O221" s="100">
        <v>30683351.810686998</v>
      </c>
      <c r="P221" s="100">
        <v>29744745.599781003</v>
      </c>
      <c r="Q221" s="100">
        <v>29747791.285061002</v>
      </c>
      <c r="R221" s="100">
        <v>29851200.854977995</v>
      </c>
      <c r="S221" s="100">
        <v>29703679.511984996</v>
      </c>
      <c r="T221" s="100">
        <v>29660895.32446</v>
      </c>
      <c r="U221" s="100">
        <v>29599141.786692999</v>
      </c>
      <c r="V221" s="100">
        <v>30027165.961452</v>
      </c>
      <c r="W221" s="100">
        <v>29140783.776516005</v>
      </c>
      <c r="X221" s="100">
        <v>30008689.760709994</v>
      </c>
      <c r="Y221" s="100">
        <v>30027165.961452</v>
      </c>
      <c r="Z221" s="100"/>
      <c r="AA221" s="100"/>
      <c r="AB221" s="100"/>
      <c r="AC221" s="100">
        <v>30472729</v>
      </c>
      <c r="AD221" s="100">
        <v>30729499</v>
      </c>
      <c r="AE221" s="100">
        <v>29786395</v>
      </c>
      <c r="AF221" s="100">
        <v>29814766</v>
      </c>
      <c r="AG221" s="100">
        <v>29929997</v>
      </c>
      <c r="AH221" s="100">
        <v>29777861</v>
      </c>
      <c r="AI221" s="102">
        <v>29737477</v>
      </c>
      <c r="AJ221" s="102">
        <v>29662595</v>
      </c>
      <c r="AK221" s="100">
        <v>30076512.345785998</v>
      </c>
      <c r="AL221" s="100">
        <v>29198963.191711001</v>
      </c>
      <c r="AM221" s="100">
        <v>30106554.593719997</v>
      </c>
      <c r="AN221" s="102">
        <v>30322482.178091995</v>
      </c>
    </row>
    <row r="222" spans="2:43" x14ac:dyDescent="0.3">
      <c r="B222" s="61" t="s">
        <v>303</v>
      </c>
      <c r="C222" s="141" t="s">
        <v>436</v>
      </c>
      <c r="D222" s="102">
        <f t="shared" si="23"/>
        <v>13725437.212744001</v>
      </c>
      <c r="E222" s="102">
        <f t="shared" si="23"/>
        <v>14408062.515636999</v>
      </c>
      <c r="F222" s="102">
        <f t="shared" si="23"/>
        <v>13520140.304886</v>
      </c>
      <c r="G222" s="96"/>
      <c r="H222" s="102">
        <f t="shared" si="26"/>
        <v>13725436</v>
      </c>
      <c r="I222" s="102">
        <f t="shared" si="25"/>
        <v>14408062</v>
      </c>
      <c r="J222" s="102">
        <f t="shared" si="25"/>
        <v>13300291.997421999</v>
      </c>
      <c r="M222" s="102"/>
      <c r="N222" s="102">
        <v>13725437.212744001</v>
      </c>
      <c r="O222" s="102">
        <v>14525912.074186999</v>
      </c>
      <c r="P222" s="102">
        <v>14708850.342513001</v>
      </c>
      <c r="Q222" s="102">
        <v>14947165.281981001</v>
      </c>
      <c r="R222" s="102">
        <v>14408062.515636999</v>
      </c>
      <c r="S222" s="102">
        <v>14428703.852523999</v>
      </c>
      <c r="T222" s="102">
        <v>13924471.762269</v>
      </c>
      <c r="U222" s="102">
        <v>13470401.981973</v>
      </c>
      <c r="V222" s="102">
        <v>13520140.304886</v>
      </c>
      <c r="W222" s="102">
        <v>12396734.482139001</v>
      </c>
      <c r="X222" s="102">
        <v>12829586.230377</v>
      </c>
      <c r="Y222" s="102">
        <v>13520140.304886</v>
      </c>
      <c r="Z222" s="102"/>
      <c r="AA222" s="102"/>
      <c r="AB222" s="102"/>
      <c r="AC222" s="102">
        <v>13725436</v>
      </c>
      <c r="AD222" s="102">
        <v>14525912</v>
      </c>
      <c r="AE222" s="102">
        <v>14708850</v>
      </c>
      <c r="AF222" s="102">
        <v>14947165</v>
      </c>
      <c r="AG222" s="102">
        <v>14408062</v>
      </c>
      <c r="AH222" s="102">
        <v>14428704</v>
      </c>
      <c r="AI222" s="102">
        <v>13924472</v>
      </c>
      <c r="AJ222" s="102">
        <v>13470402</v>
      </c>
      <c r="AK222" s="102">
        <v>13520140.304885998</v>
      </c>
      <c r="AL222" s="102">
        <v>12396734.482139001</v>
      </c>
      <c r="AM222" s="102">
        <v>12829586.230377</v>
      </c>
      <c r="AN222" s="102">
        <v>13300291.997421999</v>
      </c>
    </row>
    <row r="223" spans="2:43" x14ac:dyDescent="0.3">
      <c r="B223" s="61" t="s">
        <v>891</v>
      </c>
      <c r="C223" s="141" t="s">
        <v>892</v>
      </c>
      <c r="D223" s="102" t="str">
        <f t="shared" si="23"/>
        <v/>
      </c>
      <c r="E223" s="102">
        <f t="shared" si="23"/>
        <v>1370.826673</v>
      </c>
      <c r="F223" s="102">
        <f t="shared" si="23"/>
        <v>847.92660899999998</v>
      </c>
      <c r="G223" s="96"/>
      <c r="H223" s="102" t="str">
        <f t="shared" si="26"/>
        <v/>
      </c>
      <c r="I223" s="102">
        <f t="shared" si="25"/>
        <v>1371</v>
      </c>
      <c r="J223" s="102">
        <f t="shared" si="25"/>
        <v>5709.0257840000004</v>
      </c>
      <c r="M223" s="102"/>
      <c r="N223" s="102">
        <v>0</v>
      </c>
      <c r="O223" s="102">
        <v>0</v>
      </c>
      <c r="P223" s="102">
        <v>2416.5890850000001</v>
      </c>
      <c r="Q223" s="102">
        <v>4336.2652900000003</v>
      </c>
      <c r="R223" s="102">
        <v>1370.826673</v>
      </c>
      <c r="S223" s="102">
        <v>3543.1381419999998</v>
      </c>
      <c r="T223" s="102">
        <v>4724.7093130000003</v>
      </c>
      <c r="U223" s="102">
        <v>5926.7046630000004</v>
      </c>
      <c r="V223" s="102">
        <v>847.92660899999998</v>
      </c>
      <c r="W223" s="102">
        <v>446.205263</v>
      </c>
      <c r="X223" s="102">
        <v>4562.1519010000002</v>
      </c>
      <c r="Y223" s="102">
        <v>847.92660899999998</v>
      </c>
      <c r="Z223" s="102"/>
      <c r="AA223" s="102"/>
      <c r="AB223" s="102"/>
      <c r="AC223" s="102">
        <v>0</v>
      </c>
      <c r="AD223" s="102">
        <v>0</v>
      </c>
      <c r="AE223" s="102">
        <v>2417</v>
      </c>
      <c r="AF223" s="102">
        <v>4336</v>
      </c>
      <c r="AG223" s="102">
        <v>1371</v>
      </c>
      <c r="AH223" s="102">
        <v>3543</v>
      </c>
      <c r="AI223" s="102">
        <v>4725</v>
      </c>
      <c r="AJ223" s="102">
        <v>5927</v>
      </c>
      <c r="AK223" s="102">
        <v>847.9266090000001</v>
      </c>
      <c r="AL223" s="102">
        <v>446.205263</v>
      </c>
      <c r="AM223" s="102">
        <v>4562.1519010000002</v>
      </c>
      <c r="AN223" s="102">
        <v>5709.0257840000004</v>
      </c>
    </row>
    <row r="224" spans="2:43" x14ac:dyDescent="0.3">
      <c r="B224" s="61" t="s">
        <v>893</v>
      </c>
      <c r="C224" s="141" t="s">
        <v>894</v>
      </c>
      <c r="D224" s="102">
        <f t="shared" si="23"/>
        <v>1825441.6713370001</v>
      </c>
      <c r="E224" s="102">
        <f t="shared" si="23"/>
        <v>2185981.6074140002</v>
      </c>
      <c r="F224" s="102">
        <f t="shared" si="23"/>
        <v>2995391.8887450001</v>
      </c>
      <c r="G224" s="96"/>
      <c r="H224" s="102">
        <f t="shared" si="26"/>
        <v>1825442</v>
      </c>
      <c r="I224" s="102">
        <f t="shared" si="25"/>
        <v>2185982</v>
      </c>
      <c r="J224" s="102">
        <f t="shared" si="25"/>
        <v>3843881.4291920005</v>
      </c>
      <c r="M224" s="102"/>
      <c r="N224" s="102">
        <v>1825441.6713370001</v>
      </c>
      <c r="O224" s="102">
        <v>1897351.861085</v>
      </c>
      <c r="P224" s="102">
        <v>1998002.0864490001</v>
      </c>
      <c r="Q224" s="102">
        <v>2068323.1158479999</v>
      </c>
      <c r="R224" s="102">
        <v>2185981.6074140002</v>
      </c>
      <c r="S224" s="102">
        <v>2617086.6243759999</v>
      </c>
      <c r="T224" s="102">
        <v>2642681.7533740001</v>
      </c>
      <c r="U224" s="102">
        <v>2793485.286115</v>
      </c>
      <c r="V224" s="102">
        <v>2995391.8887450001</v>
      </c>
      <c r="W224" s="102">
        <v>3732956.791805</v>
      </c>
      <c r="X224" s="102">
        <v>3729662.9920959999</v>
      </c>
      <c r="Y224" s="102">
        <v>2995391.8887450001</v>
      </c>
      <c r="Z224" s="102"/>
      <c r="AA224" s="102"/>
      <c r="AB224" s="102"/>
      <c r="AC224" s="102">
        <v>1825442</v>
      </c>
      <c r="AD224" s="102">
        <v>1897352</v>
      </c>
      <c r="AE224" s="102">
        <v>1998002</v>
      </c>
      <c r="AF224" s="102">
        <v>2068323</v>
      </c>
      <c r="AG224" s="102">
        <v>2185982</v>
      </c>
      <c r="AH224" s="102">
        <v>2617087</v>
      </c>
      <c r="AI224" s="102">
        <v>2642682</v>
      </c>
      <c r="AJ224" s="102">
        <v>2793485</v>
      </c>
      <c r="AK224" s="102">
        <v>2995391.8887450001</v>
      </c>
      <c r="AL224" s="102">
        <v>3732956.791805</v>
      </c>
      <c r="AM224" s="102">
        <v>3729662.9920959999</v>
      </c>
      <c r="AN224" s="102">
        <v>3843881.4291920005</v>
      </c>
    </row>
    <row r="225" spans="2:40" x14ac:dyDescent="0.3">
      <c r="B225" s="61" t="s">
        <v>895</v>
      </c>
      <c r="C225" s="141" t="s">
        <v>896</v>
      </c>
      <c r="D225" s="102">
        <f t="shared" si="23"/>
        <v>43743.193284000001</v>
      </c>
      <c r="E225" s="102">
        <f t="shared" si="23"/>
        <v>10862.316363</v>
      </c>
      <c r="F225" s="102">
        <f t="shared" si="23"/>
        <v>14502.236174</v>
      </c>
      <c r="G225" s="96"/>
      <c r="H225" s="102">
        <f t="shared" si="26"/>
        <v>53350</v>
      </c>
      <c r="I225" s="102">
        <f t="shared" si="25"/>
        <v>45235</v>
      </c>
      <c r="J225" s="102">
        <f t="shared" si="25"/>
        <v>162839.56997499999</v>
      </c>
      <c r="M225" s="102"/>
      <c r="N225" s="102">
        <v>43743.193284000001</v>
      </c>
      <c r="O225" s="102">
        <v>17267.462984999998</v>
      </c>
      <c r="P225" s="102">
        <v>12373.845364000001</v>
      </c>
      <c r="Q225" s="102">
        <v>3130.4987470000001</v>
      </c>
      <c r="R225" s="102">
        <v>10862.316363</v>
      </c>
      <c r="S225" s="102">
        <v>0</v>
      </c>
      <c r="T225" s="102">
        <v>2746.5597750000002</v>
      </c>
      <c r="U225" s="102">
        <v>74.993706000000003</v>
      </c>
      <c r="V225" s="102">
        <v>14502.236174</v>
      </c>
      <c r="W225" s="102">
        <v>66029.976861000003</v>
      </c>
      <c r="X225" s="102">
        <v>120978.02678499999</v>
      </c>
      <c r="Y225" s="102">
        <v>14502.236174</v>
      </c>
      <c r="Z225" s="102"/>
      <c r="AA225" s="102"/>
      <c r="AB225" s="102"/>
      <c r="AC225" s="102">
        <v>53350</v>
      </c>
      <c r="AD225" s="102">
        <v>25442</v>
      </c>
      <c r="AE225" s="102">
        <v>15806</v>
      </c>
      <c r="AF225" s="102">
        <v>29232</v>
      </c>
      <c r="AG225" s="102">
        <v>45235</v>
      </c>
      <c r="AH225" s="102">
        <v>16825</v>
      </c>
      <c r="AI225" s="102">
        <v>28999</v>
      </c>
      <c r="AJ225" s="102">
        <v>13954</v>
      </c>
      <c r="AK225" s="102">
        <v>21895.938931000001</v>
      </c>
      <c r="AL225" s="102">
        <v>106944.55516800001</v>
      </c>
      <c r="AM225" s="102">
        <v>126574.96748000001</v>
      </c>
      <c r="AN225" s="102">
        <v>162839.56997499999</v>
      </c>
    </row>
    <row r="226" spans="2:40" x14ac:dyDescent="0.3">
      <c r="B226" s="61" t="s">
        <v>897</v>
      </c>
      <c r="C226" s="141" t="s">
        <v>898</v>
      </c>
      <c r="D226" s="102">
        <f t="shared" ref="D226:F245" si="27">IF(HLOOKUP(D$5,$M$5:$Y$370,ROW()-ROW($F$4),FALSE)=0,"",HLOOKUP(D$5,$M$5:$Y$370,ROW()-ROW($F$4),FALSE))</f>
        <v>700128.508394</v>
      </c>
      <c r="E226" s="102">
        <f t="shared" si="27"/>
        <v>383301.08034500002</v>
      </c>
      <c r="F226" s="102">
        <f t="shared" si="27"/>
        <v>373383.364566</v>
      </c>
      <c r="G226" s="96"/>
      <c r="H226" s="102">
        <f t="shared" si="26"/>
        <v>730041</v>
      </c>
      <c r="I226" s="102">
        <f t="shared" si="25"/>
        <v>416086</v>
      </c>
      <c r="J226" s="102">
        <f t="shared" si="25"/>
        <v>602569.91657</v>
      </c>
      <c r="M226" s="102"/>
      <c r="N226" s="102">
        <v>700128.508394</v>
      </c>
      <c r="O226" s="102">
        <v>393989.79394299997</v>
      </c>
      <c r="P226" s="102">
        <v>351037.71446400002</v>
      </c>
      <c r="Q226" s="102">
        <v>399160.58603299997</v>
      </c>
      <c r="R226" s="102">
        <v>383301.08034500002</v>
      </c>
      <c r="S226" s="102">
        <v>363298.30896200007</v>
      </c>
      <c r="T226" s="102">
        <v>355429.25342700002</v>
      </c>
      <c r="U226" s="102">
        <v>364495.55557199998</v>
      </c>
      <c r="V226" s="102">
        <v>373383.364566</v>
      </c>
      <c r="W226" s="102">
        <v>561623.07757099997</v>
      </c>
      <c r="X226" s="102">
        <v>601779.95365599997</v>
      </c>
      <c r="Y226" s="102">
        <v>373383.364566</v>
      </c>
      <c r="Z226" s="102"/>
      <c r="AA226" s="102"/>
      <c r="AB226" s="102"/>
      <c r="AC226" s="102">
        <v>730041</v>
      </c>
      <c r="AD226" s="102">
        <v>422980</v>
      </c>
      <c r="AE226" s="102">
        <v>379719</v>
      </c>
      <c r="AF226" s="102">
        <v>428308</v>
      </c>
      <c r="AG226" s="102">
        <v>416086</v>
      </c>
      <c r="AH226" s="102">
        <v>404577</v>
      </c>
      <c r="AI226" s="102">
        <v>388917</v>
      </c>
      <c r="AJ226" s="102">
        <v>395829</v>
      </c>
      <c r="AK226" s="102">
        <v>399624.12598699995</v>
      </c>
      <c r="AL226" s="102">
        <v>605416.09590199997</v>
      </c>
      <c r="AM226" s="102">
        <v>694025.77990199998</v>
      </c>
      <c r="AN226" s="102">
        <v>602569.91657</v>
      </c>
    </row>
    <row r="227" spans="2:40" x14ac:dyDescent="0.3">
      <c r="B227" s="61" t="s">
        <v>304</v>
      </c>
      <c r="C227" s="141" t="s">
        <v>437</v>
      </c>
      <c r="D227" s="102">
        <f t="shared" si="27"/>
        <v>203185.97641800001</v>
      </c>
      <c r="E227" s="102">
        <f t="shared" si="27"/>
        <v>170831.332218</v>
      </c>
      <c r="F227" s="102">
        <f t="shared" si="27"/>
        <v>5608.3852370000004</v>
      </c>
      <c r="G227" s="96"/>
      <c r="H227" s="102">
        <f t="shared" si="26"/>
        <v>203186</v>
      </c>
      <c r="I227" s="102">
        <f t="shared" si="25"/>
        <v>170831</v>
      </c>
      <c r="J227" s="102">
        <f t="shared" si="25"/>
        <v>17925.129519999999</v>
      </c>
      <c r="M227" s="102"/>
      <c r="N227" s="102">
        <v>203185.97641800001</v>
      </c>
      <c r="O227" s="102">
        <v>111556.88026799999</v>
      </c>
      <c r="P227" s="102">
        <v>41151.548513000002</v>
      </c>
      <c r="Q227" s="102">
        <v>181739.33583900001</v>
      </c>
      <c r="R227" s="102">
        <v>170831.332218</v>
      </c>
      <c r="S227" s="102">
        <v>18734.207684000001</v>
      </c>
      <c r="T227" s="102">
        <v>74227.976618000001</v>
      </c>
      <c r="U227" s="102">
        <v>37743.102986999998</v>
      </c>
      <c r="V227" s="102">
        <v>5608.3852370000004</v>
      </c>
      <c r="W227" s="102">
        <v>89570.559173000001</v>
      </c>
      <c r="X227" s="102">
        <v>39817.475857999998</v>
      </c>
      <c r="Y227" s="102">
        <v>5608.3852370000004</v>
      </c>
      <c r="Z227" s="102"/>
      <c r="AA227" s="102"/>
      <c r="AB227" s="102"/>
      <c r="AC227" s="102">
        <v>203186</v>
      </c>
      <c r="AD227" s="102">
        <v>111557</v>
      </c>
      <c r="AE227" s="102">
        <v>41152</v>
      </c>
      <c r="AF227" s="102">
        <v>181739</v>
      </c>
      <c r="AG227" s="102">
        <v>170831</v>
      </c>
      <c r="AH227" s="102">
        <v>18734</v>
      </c>
      <c r="AI227" s="102">
        <v>74228</v>
      </c>
      <c r="AJ227" s="102">
        <v>37743</v>
      </c>
      <c r="AK227" s="102">
        <v>5608.3852370000004</v>
      </c>
      <c r="AL227" s="102">
        <v>60177.002191</v>
      </c>
      <c r="AM227" s="102">
        <v>39817.475857999998</v>
      </c>
      <c r="AN227" s="102">
        <v>17925.129519999999</v>
      </c>
    </row>
    <row r="228" spans="2:40" x14ac:dyDescent="0.3">
      <c r="B228" s="61" t="s">
        <v>305</v>
      </c>
      <c r="C228" s="141" t="s">
        <v>438</v>
      </c>
      <c r="D228" s="102">
        <f t="shared" si="27"/>
        <v>270251.02162599971</v>
      </c>
      <c r="E228" s="102">
        <f t="shared" si="27"/>
        <v>493039.5934340001</v>
      </c>
      <c r="F228" s="102">
        <f t="shared" si="27"/>
        <v>795309.85107499978</v>
      </c>
      <c r="G228" s="96"/>
      <c r="H228" s="102">
        <f t="shared" si="26"/>
        <v>284781</v>
      </c>
      <c r="I228" s="102">
        <f t="shared" si="25"/>
        <v>504651</v>
      </c>
      <c r="J228" s="102">
        <f t="shared" si="25"/>
        <v>398893.75397000002</v>
      </c>
      <c r="M228" s="102"/>
      <c r="N228" s="102">
        <v>270251.02162599971</v>
      </c>
      <c r="O228" s="102">
        <v>245900.419711</v>
      </c>
      <c r="P228" s="102">
        <v>249652.52762300006</v>
      </c>
      <c r="Q228" s="102">
        <v>247267.35504799994</v>
      </c>
      <c r="R228" s="102">
        <v>493039.5934340001</v>
      </c>
      <c r="S228" s="102">
        <v>299724.66324299999</v>
      </c>
      <c r="T228" s="102">
        <v>301652.66833799996</v>
      </c>
      <c r="U228" s="102">
        <v>366559.301928</v>
      </c>
      <c r="V228" s="102">
        <v>795309.85107499978</v>
      </c>
      <c r="W228" s="102">
        <v>423648.54573500005</v>
      </c>
      <c r="X228" s="102">
        <v>421911.27616900019</v>
      </c>
      <c r="Y228" s="102">
        <v>795309.85107499978</v>
      </c>
      <c r="Z228" s="102"/>
      <c r="AA228" s="102"/>
      <c r="AB228" s="102"/>
      <c r="AC228" s="102">
        <v>284781</v>
      </c>
      <c r="AD228" s="102">
        <v>254883</v>
      </c>
      <c r="AE228" s="102">
        <v>259188</v>
      </c>
      <c r="AF228" s="102">
        <v>258992</v>
      </c>
      <c r="AG228" s="102">
        <v>504651</v>
      </c>
      <c r="AH228" s="102">
        <v>315803</v>
      </c>
      <c r="AI228" s="102">
        <v>318494</v>
      </c>
      <c r="AJ228" s="102">
        <v>384801</v>
      </c>
      <c r="AK228" s="102">
        <v>811021.7712309995</v>
      </c>
      <c r="AL228" s="102">
        <v>426513.92127400002</v>
      </c>
      <c r="AM228" s="102">
        <v>421933.34223800036</v>
      </c>
      <c r="AN228" s="102">
        <v>398893.75397000002</v>
      </c>
    </row>
    <row r="229" spans="2:40" x14ac:dyDescent="0.3">
      <c r="B229" s="61" t="s">
        <v>306</v>
      </c>
      <c r="C229" s="141" t="s">
        <v>439</v>
      </c>
      <c r="D229" s="102" t="str">
        <f t="shared" si="27"/>
        <v/>
      </c>
      <c r="E229" s="102" t="str">
        <f t="shared" si="27"/>
        <v/>
      </c>
      <c r="F229" s="102" t="str">
        <f t="shared" si="27"/>
        <v/>
      </c>
      <c r="G229" s="96"/>
      <c r="H229" s="102" t="str">
        <f t="shared" si="26"/>
        <v/>
      </c>
      <c r="I229" s="102" t="str">
        <f t="shared" si="25"/>
        <v/>
      </c>
      <c r="J229" s="102" t="str">
        <f t="shared" si="25"/>
        <v/>
      </c>
      <c r="M229" s="102"/>
      <c r="N229" s="102"/>
      <c r="O229" s="102"/>
      <c r="P229" s="102"/>
      <c r="Q229" s="102"/>
      <c r="R229" s="102"/>
      <c r="S229" s="102"/>
      <c r="T229" s="102"/>
      <c r="U229" s="102"/>
      <c r="V229" s="102"/>
      <c r="W229" s="102"/>
      <c r="X229" s="102"/>
      <c r="Y229" s="102"/>
      <c r="Z229" s="102"/>
      <c r="AA229" s="102"/>
      <c r="AB229" s="102"/>
      <c r="AC229" s="102">
        <v>0</v>
      </c>
      <c r="AD229" s="102">
        <v>0</v>
      </c>
      <c r="AE229" s="102">
        <v>0</v>
      </c>
      <c r="AF229" s="102">
        <v>0</v>
      </c>
      <c r="AG229" s="102">
        <v>0</v>
      </c>
      <c r="AH229" s="102">
        <v>0</v>
      </c>
      <c r="AI229" s="102">
        <v>0</v>
      </c>
      <c r="AJ229" s="102">
        <v>0</v>
      </c>
      <c r="AK229" s="102">
        <v>0</v>
      </c>
      <c r="AL229" s="102">
        <v>0</v>
      </c>
      <c r="AM229" s="102"/>
      <c r="AN229" s="102" t="s">
        <v>1292</v>
      </c>
    </row>
    <row r="230" spans="2:40" x14ac:dyDescent="0.3">
      <c r="B230" s="61" t="s">
        <v>307</v>
      </c>
      <c r="C230" s="141" t="s">
        <v>440</v>
      </c>
      <c r="D230" s="102">
        <f t="shared" si="27"/>
        <v>13650492.854837</v>
      </c>
      <c r="E230" s="102">
        <f t="shared" si="27"/>
        <v>12197751.582893999</v>
      </c>
      <c r="F230" s="102">
        <f t="shared" si="27"/>
        <v>12321982.00416</v>
      </c>
      <c r="G230" s="96"/>
      <c r="H230" s="102">
        <f t="shared" si="26"/>
        <v>13650493</v>
      </c>
      <c r="I230" s="102">
        <f t="shared" si="25"/>
        <v>12197779</v>
      </c>
      <c r="J230" s="102">
        <f t="shared" si="25"/>
        <v>11990371.355658999</v>
      </c>
      <c r="M230" s="102"/>
      <c r="N230" s="102">
        <v>13650492.854837</v>
      </c>
      <c r="O230" s="102">
        <v>13491373.318507999</v>
      </c>
      <c r="P230" s="102">
        <v>12381260.945769999</v>
      </c>
      <c r="Q230" s="102">
        <v>11896668.846275</v>
      </c>
      <c r="R230" s="102">
        <v>12197751.582893999</v>
      </c>
      <c r="S230" s="102">
        <v>11972588.717054</v>
      </c>
      <c r="T230" s="102">
        <v>12354960.641346</v>
      </c>
      <c r="U230" s="102">
        <v>12560454.859749001</v>
      </c>
      <c r="V230" s="102">
        <v>12321982.00416</v>
      </c>
      <c r="W230" s="102">
        <v>11869774.137969</v>
      </c>
      <c r="X230" s="102">
        <v>12260391.653867999</v>
      </c>
      <c r="Y230" s="102">
        <v>12321982.00416</v>
      </c>
      <c r="Z230" s="102"/>
      <c r="AA230" s="102"/>
      <c r="AB230" s="102"/>
      <c r="AC230" s="102">
        <v>13650493</v>
      </c>
      <c r="AD230" s="102">
        <v>13491373</v>
      </c>
      <c r="AE230" s="102">
        <v>12381261</v>
      </c>
      <c r="AF230" s="102">
        <v>11896669</v>
      </c>
      <c r="AG230" s="102">
        <v>12197779</v>
      </c>
      <c r="AH230" s="102">
        <v>11972589</v>
      </c>
      <c r="AI230" s="102">
        <v>12354961</v>
      </c>
      <c r="AJ230" s="102">
        <v>12560455</v>
      </c>
      <c r="AK230" s="102">
        <v>12321982.00416</v>
      </c>
      <c r="AL230" s="102">
        <v>11869774.137969</v>
      </c>
      <c r="AM230" s="102">
        <v>12260391.653867999</v>
      </c>
      <c r="AN230" s="102">
        <v>11990371.355658999</v>
      </c>
    </row>
    <row r="231" spans="2:40" x14ac:dyDescent="0.3">
      <c r="B231" s="61" t="s">
        <v>308</v>
      </c>
      <c r="C231" s="141" t="s">
        <v>308</v>
      </c>
      <c r="D231" s="102" t="str">
        <f t="shared" si="27"/>
        <v/>
      </c>
      <c r="E231" s="102" t="str">
        <f t="shared" si="27"/>
        <v/>
      </c>
      <c r="F231" s="102" t="str">
        <f t="shared" si="27"/>
        <v/>
      </c>
      <c r="G231" s="96"/>
      <c r="H231" s="102" t="str">
        <f t="shared" si="26"/>
        <v/>
      </c>
      <c r="I231" s="102" t="str">
        <f t="shared" si="25"/>
        <v/>
      </c>
      <c r="J231" s="102" t="str">
        <f t="shared" si="25"/>
        <v/>
      </c>
      <c r="M231" s="102"/>
      <c r="N231" s="102"/>
      <c r="O231" s="102"/>
      <c r="P231" s="102"/>
      <c r="Q231" s="102"/>
      <c r="R231" s="102"/>
      <c r="S231" s="102"/>
      <c r="T231" s="102"/>
      <c r="U231" s="102"/>
      <c r="V231" s="102"/>
      <c r="W231" s="102"/>
      <c r="X231" s="102"/>
      <c r="Y231" s="102"/>
      <c r="Z231" s="102"/>
      <c r="AA231" s="102"/>
      <c r="AB231" s="102"/>
      <c r="AC231" s="102">
        <v>0</v>
      </c>
      <c r="AD231" s="102">
        <v>0</v>
      </c>
      <c r="AE231" s="102">
        <v>0</v>
      </c>
      <c r="AF231" s="102"/>
      <c r="AG231" s="102">
        <v>0</v>
      </c>
      <c r="AH231" s="102"/>
      <c r="AI231" s="102"/>
      <c r="AJ231" s="102"/>
      <c r="AK231" s="102">
        <v>0</v>
      </c>
      <c r="AL231" s="102">
        <v>0</v>
      </c>
      <c r="AM231" s="102"/>
      <c r="AN231" s="102" t="s">
        <v>1292</v>
      </c>
    </row>
    <row r="232" spans="2:40" s="112" customFormat="1" x14ac:dyDescent="0.3">
      <c r="B232" s="78" t="s">
        <v>585</v>
      </c>
      <c r="C232" s="141" t="s">
        <v>441</v>
      </c>
      <c r="D232" s="100">
        <f t="shared" si="27"/>
        <v>15550878.824878</v>
      </c>
      <c r="E232" s="100">
        <f t="shared" si="27"/>
        <v>16595414.888565</v>
      </c>
      <c r="F232" s="100">
        <f t="shared" si="27"/>
        <v>16516380.014221</v>
      </c>
      <c r="G232" s="101"/>
      <c r="H232" s="100">
        <f t="shared" si="26"/>
        <v>15550878</v>
      </c>
      <c r="I232" s="100">
        <f t="shared" si="25"/>
        <v>16595415</v>
      </c>
      <c r="J232" s="100">
        <f t="shared" si="25"/>
        <v>17150128.061456002</v>
      </c>
      <c r="M232" s="100"/>
      <c r="N232" s="100">
        <v>15550878.824878</v>
      </c>
      <c r="O232" s="100">
        <v>16423263.875417</v>
      </c>
      <c r="P232" s="100">
        <v>16709268.957854999</v>
      </c>
      <c r="Q232" s="100">
        <v>17019824.602028001</v>
      </c>
      <c r="R232" s="100">
        <v>16595414.888565</v>
      </c>
      <c r="S232" s="100">
        <v>17052237.071353</v>
      </c>
      <c r="T232" s="100">
        <v>16574425.612578999</v>
      </c>
      <c r="U232" s="100">
        <v>16270695.539267</v>
      </c>
      <c r="V232" s="100">
        <v>16516380.014221</v>
      </c>
      <c r="W232" s="100">
        <v>16131479.244281</v>
      </c>
      <c r="X232" s="100">
        <v>16564833.107408</v>
      </c>
      <c r="Y232" s="100">
        <v>16516380.014221</v>
      </c>
      <c r="Z232" s="100"/>
      <c r="AA232" s="100"/>
      <c r="AB232" s="100"/>
      <c r="AC232" s="100">
        <v>15550878</v>
      </c>
      <c r="AD232" s="100">
        <v>16423264</v>
      </c>
      <c r="AE232" s="100">
        <v>16709269</v>
      </c>
      <c r="AF232" s="100">
        <v>17019825</v>
      </c>
      <c r="AG232" s="100">
        <v>16595415</v>
      </c>
      <c r="AH232" s="100">
        <v>17052237</v>
      </c>
      <c r="AI232" s="102">
        <v>16574426</v>
      </c>
      <c r="AJ232" s="102">
        <v>16270696</v>
      </c>
      <c r="AK232" s="100">
        <v>16516380.014221</v>
      </c>
      <c r="AL232" s="100">
        <v>16131479.244281</v>
      </c>
      <c r="AM232" s="100">
        <v>16564833.107408</v>
      </c>
      <c r="AN232" s="102">
        <v>17150128.061456002</v>
      </c>
    </row>
    <row r="233" spans="2:40" x14ac:dyDescent="0.3">
      <c r="B233" s="61" t="s">
        <v>899</v>
      </c>
      <c r="C233" s="141" t="s">
        <v>442</v>
      </c>
      <c r="D233" s="102">
        <f t="shared" si="27"/>
        <v>13725437.153541001</v>
      </c>
      <c r="E233" s="102">
        <f t="shared" si="27"/>
        <v>14408062.454477999</v>
      </c>
      <c r="F233" s="102">
        <f t="shared" si="27"/>
        <v>13520140.198867001</v>
      </c>
      <c r="G233" s="96"/>
      <c r="H233" s="102">
        <f t="shared" si="26"/>
        <v>13725436</v>
      </c>
      <c r="I233" s="102">
        <f t="shared" si="25"/>
        <v>14408062</v>
      </c>
      <c r="J233" s="102">
        <f t="shared" si="25"/>
        <v>13300537.606479999</v>
      </c>
      <c r="M233" s="102"/>
      <c r="N233" s="100">
        <v>13725437.153541001</v>
      </c>
      <c r="O233" s="100">
        <v>14525912.014332</v>
      </c>
      <c r="P233" s="100">
        <v>14708850.282321</v>
      </c>
      <c r="Q233" s="100">
        <v>14947165.22089</v>
      </c>
      <c r="R233" s="100">
        <v>14408062.454477999</v>
      </c>
      <c r="S233" s="100">
        <v>14431607.308835</v>
      </c>
      <c r="T233" s="100">
        <v>13927019.149892</v>
      </c>
      <c r="U233" s="100">
        <v>13471283.548489001</v>
      </c>
      <c r="V233" s="102">
        <v>13520140.198867001</v>
      </c>
      <c r="W233" s="102">
        <v>12398076.247213</v>
      </c>
      <c r="X233" s="102">
        <v>12830607.963411</v>
      </c>
      <c r="Y233" s="100">
        <v>13520140.198867001</v>
      </c>
      <c r="Z233" s="102"/>
      <c r="AA233" s="102"/>
      <c r="AB233" s="102"/>
      <c r="AC233" s="102">
        <v>13725436</v>
      </c>
      <c r="AD233" s="102">
        <v>14525912</v>
      </c>
      <c r="AE233" s="102">
        <v>14708850</v>
      </c>
      <c r="AF233" s="102">
        <v>14947165</v>
      </c>
      <c r="AG233" s="102">
        <v>14408062</v>
      </c>
      <c r="AH233" s="102">
        <v>14431607</v>
      </c>
      <c r="AI233" s="102">
        <v>13927019</v>
      </c>
      <c r="AJ233" s="102">
        <v>13471284</v>
      </c>
      <c r="AK233" s="102">
        <v>13520140.198866999</v>
      </c>
      <c r="AL233" s="102">
        <v>12398076.247213</v>
      </c>
      <c r="AM233" s="102">
        <v>12830607.963411</v>
      </c>
      <c r="AN233" s="102">
        <v>13300537.606479999</v>
      </c>
    </row>
    <row r="234" spans="2:40" x14ac:dyDescent="0.3">
      <c r="B234" s="61" t="s">
        <v>900</v>
      </c>
      <c r="C234" s="141" t="s">
        <v>1455</v>
      </c>
      <c r="D234" s="102">
        <f t="shared" si="27"/>
        <v>1532305.4016720001</v>
      </c>
      <c r="E234" s="102">
        <f t="shared" si="27"/>
        <v>1515143.9296840001</v>
      </c>
      <c r="F234" s="102">
        <f t="shared" si="27"/>
        <v>1495672.1250730001</v>
      </c>
      <c r="G234" s="96"/>
      <c r="H234" s="102">
        <f t="shared" si="26"/>
        <v>1532305</v>
      </c>
      <c r="I234" s="102">
        <f t="shared" si="25"/>
        <v>1489959</v>
      </c>
      <c r="J234" s="102" t="str">
        <f t="shared" si="25"/>
        <v/>
      </c>
      <c r="M234" s="102"/>
      <c r="N234" s="100">
        <v>1532305.4016720001</v>
      </c>
      <c r="O234" s="100">
        <v>1507603.7999700001</v>
      </c>
      <c r="P234" s="100">
        <v>1501632.1247400001</v>
      </c>
      <c r="Q234" s="100">
        <v>1508200.655697</v>
      </c>
      <c r="R234" s="100">
        <v>1515143.9296840001</v>
      </c>
      <c r="S234" s="100">
        <v>1489959.4798059999</v>
      </c>
      <c r="T234" s="100">
        <v>1486803.7098020001</v>
      </c>
      <c r="U234" s="100">
        <v>1483158.856106</v>
      </c>
      <c r="V234" s="102">
        <v>1495672.1250730001</v>
      </c>
      <c r="W234" s="102">
        <v>1476817.7630169999</v>
      </c>
      <c r="X234" s="102">
        <v>1435318.329344</v>
      </c>
      <c r="Y234" s="100">
        <v>1495672.1250730001</v>
      </c>
      <c r="Z234" s="102"/>
      <c r="AA234" s="102"/>
      <c r="AB234" s="102"/>
      <c r="AC234" s="102">
        <v>1532305</v>
      </c>
      <c r="AD234" s="102">
        <v>1507604</v>
      </c>
      <c r="AE234" s="102">
        <v>1501632</v>
      </c>
      <c r="AF234" s="102">
        <v>1508201</v>
      </c>
      <c r="AG234" s="102">
        <v>1489959</v>
      </c>
      <c r="AH234" s="102">
        <v>1489959</v>
      </c>
      <c r="AI234" s="102">
        <v>1486804</v>
      </c>
      <c r="AJ234" s="102">
        <v>1483159</v>
      </c>
      <c r="AK234" s="102">
        <v>1495672.1250730001</v>
      </c>
      <c r="AL234" s="102">
        <v>1476817.7630169999</v>
      </c>
      <c r="AM234" s="102">
        <v>1435318.329344</v>
      </c>
      <c r="AN234" s="102" t="s">
        <v>1292</v>
      </c>
    </row>
    <row r="235" spans="2:40" x14ac:dyDescent="0.3">
      <c r="B235" s="61" t="s">
        <v>901</v>
      </c>
      <c r="C235" s="141" t="s">
        <v>1456</v>
      </c>
      <c r="D235" s="102">
        <f t="shared" si="27"/>
        <v>30109.512089</v>
      </c>
      <c r="E235" s="102">
        <f t="shared" si="27"/>
        <v>36299.465955</v>
      </c>
      <c r="F235" s="102">
        <f t="shared" si="27"/>
        <v>37116.415370000002</v>
      </c>
      <c r="G235" s="96"/>
      <c r="H235" s="102">
        <f t="shared" si="26"/>
        <v>30110</v>
      </c>
      <c r="I235" s="102">
        <f t="shared" si="25"/>
        <v>37524</v>
      </c>
      <c r="J235" s="102" t="str">
        <f t="shared" si="25"/>
        <v/>
      </c>
      <c r="M235" s="102"/>
      <c r="N235" s="100">
        <v>30109.512089</v>
      </c>
      <c r="O235" s="100">
        <v>36737.838379000001</v>
      </c>
      <c r="P235" s="100">
        <v>35213.069654999999</v>
      </c>
      <c r="Q235" s="100">
        <v>35455.307847999997</v>
      </c>
      <c r="R235" s="100">
        <v>36299.465955</v>
      </c>
      <c r="S235" s="100">
        <v>37523.879507999998</v>
      </c>
      <c r="T235" s="100">
        <v>37840.997306999998</v>
      </c>
      <c r="U235" s="100">
        <v>36936.756444999999</v>
      </c>
      <c r="V235" s="102">
        <v>37116.415370000002</v>
      </c>
      <c r="W235" s="102">
        <v>41611.865082999997</v>
      </c>
      <c r="X235" s="102">
        <v>41969.250425999999</v>
      </c>
      <c r="Y235" s="100">
        <v>37116.415370000002</v>
      </c>
      <c r="Z235" s="102"/>
      <c r="AA235" s="102"/>
      <c r="AB235" s="102"/>
      <c r="AC235" s="102">
        <v>30110</v>
      </c>
      <c r="AD235" s="102">
        <v>36738</v>
      </c>
      <c r="AE235" s="102">
        <v>35213</v>
      </c>
      <c r="AF235" s="102">
        <v>35455</v>
      </c>
      <c r="AG235" s="102">
        <v>37524</v>
      </c>
      <c r="AH235" s="102">
        <v>37524</v>
      </c>
      <c r="AI235" s="102">
        <v>37841</v>
      </c>
      <c r="AJ235" s="102">
        <v>36937</v>
      </c>
      <c r="AK235" s="102">
        <v>37116.415370000002</v>
      </c>
      <c r="AL235" s="102">
        <v>41611.865082999997</v>
      </c>
      <c r="AM235" s="102">
        <v>41969.250425999999</v>
      </c>
      <c r="AN235" s="102" t="s">
        <v>1292</v>
      </c>
    </row>
    <row r="236" spans="2:40" x14ac:dyDescent="0.3">
      <c r="B236" s="61" t="s">
        <v>902</v>
      </c>
      <c r="C236" s="141" t="s">
        <v>1457</v>
      </c>
      <c r="D236" s="102">
        <f t="shared" si="27"/>
        <v>26901.752136999999</v>
      </c>
      <c r="E236" s="102">
        <f t="shared" si="27"/>
        <v>29847.773258000001</v>
      </c>
      <c r="F236" s="102">
        <f t="shared" si="27"/>
        <v>33271.933435999999</v>
      </c>
      <c r="G236" s="96"/>
      <c r="H236" s="102">
        <f t="shared" si="26"/>
        <v>26902</v>
      </c>
      <c r="I236" s="102">
        <f t="shared" ref="I236:J255" si="28">IF(HLOOKUP(I$5,$AB$5:$AN$370,ROW()-ROW($J$4),FALSE)=0,"",HLOOKUP(I$5,$AB$5:$AN$370,ROW()-ROW($J$4),FALSE))</f>
        <v>30776</v>
      </c>
      <c r="J236" s="102" t="str">
        <f t="shared" si="28"/>
        <v/>
      </c>
      <c r="M236" s="102"/>
      <c r="N236" s="100">
        <v>26901.752136999999</v>
      </c>
      <c r="O236" s="100">
        <v>27841.208376999999</v>
      </c>
      <c r="P236" s="100">
        <v>28440.123045</v>
      </c>
      <c r="Q236" s="100">
        <v>28975.332429999999</v>
      </c>
      <c r="R236" s="100">
        <v>29847.773258000001</v>
      </c>
      <c r="S236" s="100">
        <v>30775.880073</v>
      </c>
      <c r="T236" s="100">
        <v>31449.066401</v>
      </c>
      <c r="U236" s="100">
        <v>32210.601976000002</v>
      </c>
      <c r="V236" s="102">
        <v>33271.933435999999</v>
      </c>
      <c r="W236" s="102">
        <v>31643.282971000001</v>
      </c>
      <c r="X236" s="102">
        <v>32320.699842999999</v>
      </c>
      <c r="Y236" s="100">
        <v>33271.933435999999</v>
      </c>
      <c r="Z236" s="102"/>
      <c r="AA236" s="102"/>
      <c r="AB236" s="102"/>
      <c r="AC236" s="102">
        <v>26902</v>
      </c>
      <c r="AD236" s="102">
        <v>27841</v>
      </c>
      <c r="AE236" s="102">
        <v>28440</v>
      </c>
      <c r="AF236" s="102">
        <v>28975</v>
      </c>
      <c r="AG236" s="102">
        <v>30776</v>
      </c>
      <c r="AH236" s="102">
        <v>30776</v>
      </c>
      <c r="AI236" s="102">
        <v>31449</v>
      </c>
      <c r="AJ236" s="102">
        <v>32211</v>
      </c>
      <c r="AK236" s="102">
        <v>33271.933435999999</v>
      </c>
      <c r="AL236" s="102">
        <v>31643.282971000001</v>
      </c>
      <c r="AM236" s="102">
        <v>32320.699842999999</v>
      </c>
      <c r="AN236" s="102" t="s">
        <v>1292</v>
      </c>
    </row>
    <row r="237" spans="2:40" x14ac:dyDescent="0.3">
      <c r="B237" s="61" t="s">
        <v>903</v>
      </c>
      <c r="C237" s="141" t="s">
        <v>1458</v>
      </c>
      <c r="D237" s="102">
        <f t="shared" si="27"/>
        <v>1853.1818539999999</v>
      </c>
      <c r="E237" s="102">
        <f t="shared" si="27"/>
        <v>1820.027259</v>
      </c>
      <c r="F237" s="102" t="str">
        <f t="shared" si="27"/>
        <v/>
      </c>
      <c r="G237" s="96"/>
      <c r="H237" s="102">
        <f t="shared" si="26"/>
        <v>1853</v>
      </c>
      <c r="I237" s="102">
        <f t="shared" si="28"/>
        <v>2904</v>
      </c>
      <c r="J237" s="102" t="str">
        <f t="shared" si="28"/>
        <v/>
      </c>
      <c r="M237" s="102"/>
      <c r="N237" s="100">
        <v>1853.1818539999999</v>
      </c>
      <c r="O237" s="100">
        <v>4264.9645639999999</v>
      </c>
      <c r="P237" s="100">
        <v>2141.281172</v>
      </c>
      <c r="Q237" s="100">
        <v>1848.30998</v>
      </c>
      <c r="R237" s="100">
        <v>1820.027259</v>
      </c>
      <c r="S237" s="100">
        <v>2903.5175009999998</v>
      </c>
      <c r="T237" s="100">
        <v>2547.4489720000001</v>
      </c>
      <c r="U237" s="100">
        <v>881.67253500000004</v>
      </c>
      <c r="V237" s="102">
        <v>0</v>
      </c>
      <c r="W237" s="102">
        <v>1341.87204</v>
      </c>
      <c r="X237" s="102">
        <v>1021.840511</v>
      </c>
      <c r="Y237" s="100">
        <v>0</v>
      </c>
      <c r="Z237" s="102"/>
      <c r="AA237" s="102"/>
      <c r="AB237" s="102"/>
      <c r="AC237" s="102">
        <v>1853</v>
      </c>
      <c r="AD237" s="102">
        <v>4265</v>
      </c>
      <c r="AE237" s="102">
        <v>2141</v>
      </c>
      <c r="AF237" s="102">
        <v>1848</v>
      </c>
      <c r="AG237" s="102">
        <v>2904</v>
      </c>
      <c r="AH237" s="102">
        <v>2904</v>
      </c>
      <c r="AI237" s="102">
        <v>2547</v>
      </c>
      <c r="AJ237" s="102">
        <v>882</v>
      </c>
      <c r="AK237" s="102">
        <v>0</v>
      </c>
      <c r="AL237" s="102">
        <v>1341.87204</v>
      </c>
      <c r="AM237" s="102">
        <v>1021.840511</v>
      </c>
      <c r="AN237" s="102" t="s">
        <v>1292</v>
      </c>
    </row>
    <row r="238" spans="2:40" x14ac:dyDescent="0.3">
      <c r="B238" s="61" t="s">
        <v>904</v>
      </c>
      <c r="C238" s="141" t="s">
        <v>1476</v>
      </c>
      <c r="D238" s="102">
        <f t="shared" si="27"/>
        <v>1354.578098</v>
      </c>
      <c r="E238" s="102">
        <f t="shared" si="27"/>
        <v>4631.665438</v>
      </c>
      <c r="F238" s="102">
        <f t="shared" si="27"/>
        <v>3844.4819339999999</v>
      </c>
      <c r="G238" s="96"/>
      <c r="H238" s="102">
        <f t="shared" si="26"/>
        <v>1355</v>
      </c>
      <c r="I238" s="102">
        <f t="shared" si="28"/>
        <v>3844</v>
      </c>
      <c r="J238" s="102" t="str">
        <f t="shared" si="28"/>
        <v/>
      </c>
      <c r="M238" s="102"/>
      <c r="N238" s="100">
        <v>1354.578098</v>
      </c>
      <c r="O238" s="100">
        <v>4631.665438</v>
      </c>
      <c r="P238" s="100">
        <v>4631.665438</v>
      </c>
      <c r="Q238" s="100">
        <v>4631.665438</v>
      </c>
      <c r="R238" s="100">
        <v>4631.665438</v>
      </c>
      <c r="S238" s="100">
        <v>3844.4819339999999</v>
      </c>
      <c r="T238" s="100">
        <v>3844.4819339999999</v>
      </c>
      <c r="U238" s="100">
        <v>3844.4819339999999</v>
      </c>
      <c r="V238" s="102">
        <v>3844.4819339999999</v>
      </c>
      <c r="W238" s="102">
        <v>8626.7100719999999</v>
      </c>
      <c r="X238" s="102">
        <v>8626.7100719999999</v>
      </c>
      <c r="Y238" s="100">
        <v>3844.4819339999999</v>
      </c>
      <c r="Z238" s="102"/>
      <c r="AA238" s="102"/>
      <c r="AB238" s="102"/>
      <c r="AC238" s="102">
        <v>1355</v>
      </c>
      <c r="AD238" s="102">
        <v>4632</v>
      </c>
      <c r="AE238" s="102">
        <v>4632</v>
      </c>
      <c r="AF238" s="102">
        <v>4632</v>
      </c>
      <c r="AG238" s="102">
        <v>3844</v>
      </c>
      <c r="AH238" s="102">
        <v>3844</v>
      </c>
      <c r="AI238" s="102">
        <v>3844</v>
      </c>
      <c r="AJ238" s="102">
        <v>3844</v>
      </c>
      <c r="AK238" s="102">
        <v>3844.4819339999999</v>
      </c>
      <c r="AL238" s="102">
        <v>8626.7100719999999</v>
      </c>
      <c r="AM238" s="102">
        <v>8626.7100719999999</v>
      </c>
      <c r="AN238" s="102" t="s">
        <v>1292</v>
      </c>
    </row>
    <row r="239" spans="2:40" x14ac:dyDescent="0.3">
      <c r="B239" s="61" t="s">
        <v>905</v>
      </c>
      <c r="C239" s="141" t="s">
        <v>1475</v>
      </c>
      <c r="D239" s="102" t="str">
        <f t="shared" si="27"/>
        <v/>
      </c>
      <c r="E239" s="102" t="str">
        <f t="shared" si="27"/>
        <v/>
      </c>
      <c r="F239" s="102" t="str">
        <f t="shared" si="27"/>
        <v/>
      </c>
      <c r="G239" s="96"/>
      <c r="H239" s="102" t="str">
        <f t="shared" si="26"/>
        <v/>
      </c>
      <c r="I239" s="102" t="str">
        <f t="shared" si="28"/>
        <v/>
      </c>
      <c r="J239" s="102" t="str">
        <f t="shared" si="28"/>
        <v/>
      </c>
      <c r="M239" s="102"/>
      <c r="N239" s="100">
        <v>0</v>
      </c>
      <c r="O239" s="100">
        <v>0</v>
      </c>
      <c r="P239" s="100">
        <v>0</v>
      </c>
      <c r="Q239" s="100">
        <v>0</v>
      </c>
      <c r="R239" s="100">
        <v>0</v>
      </c>
      <c r="S239" s="100">
        <v>0</v>
      </c>
      <c r="T239" s="100">
        <v>0</v>
      </c>
      <c r="U239" s="100">
        <v>0</v>
      </c>
      <c r="V239" s="102">
        <v>0</v>
      </c>
      <c r="W239" s="102">
        <v>0</v>
      </c>
      <c r="X239" s="102">
        <v>0</v>
      </c>
      <c r="Y239" s="100">
        <v>0</v>
      </c>
      <c r="Z239" s="102"/>
      <c r="AA239" s="102"/>
      <c r="AB239" s="102"/>
      <c r="AC239" s="102">
        <v>0</v>
      </c>
      <c r="AD239" s="102">
        <v>0</v>
      </c>
      <c r="AE239" s="102">
        <v>0</v>
      </c>
      <c r="AF239" s="102">
        <v>0</v>
      </c>
      <c r="AG239" s="102">
        <v>0</v>
      </c>
      <c r="AH239" s="102">
        <v>0</v>
      </c>
      <c r="AI239" s="102">
        <v>0</v>
      </c>
      <c r="AJ239" s="102">
        <v>0</v>
      </c>
      <c r="AK239" s="102">
        <v>0</v>
      </c>
      <c r="AL239" s="102">
        <v>0</v>
      </c>
      <c r="AM239" s="102">
        <v>0</v>
      </c>
      <c r="AN239" s="102" t="s">
        <v>1292</v>
      </c>
    </row>
    <row r="240" spans="2:40" x14ac:dyDescent="0.3">
      <c r="B240" s="61" t="s">
        <v>906</v>
      </c>
      <c r="C240" s="141" t="s">
        <v>1477</v>
      </c>
      <c r="D240" s="102" t="str">
        <f t="shared" si="27"/>
        <v/>
      </c>
      <c r="E240" s="102" t="str">
        <f t="shared" si="27"/>
        <v/>
      </c>
      <c r="F240" s="102" t="str">
        <f t="shared" si="27"/>
        <v/>
      </c>
      <c r="G240" s="96"/>
      <c r="H240" s="102" t="str">
        <f t="shared" si="26"/>
        <v/>
      </c>
      <c r="I240" s="102" t="str">
        <f t="shared" si="28"/>
        <v/>
      </c>
      <c r="J240" s="102" t="str">
        <f t="shared" si="28"/>
        <v/>
      </c>
      <c r="M240" s="102"/>
      <c r="N240" s="100">
        <v>0</v>
      </c>
      <c r="O240" s="100">
        <v>0</v>
      </c>
      <c r="P240" s="100">
        <v>0</v>
      </c>
      <c r="Q240" s="100">
        <v>0</v>
      </c>
      <c r="R240" s="100">
        <v>0</v>
      </c>
      <c r="S240" s="100">
        <v>0</v>
      </c>
      <c r="T240" s="100">
        <v>0</v>
      </c>
      <c r="U240" s="100">
        <v>0</v>
      </c>
      <c r="V240" s="102">
        <v>0</v>
      </c>
      <c r="W240" s="102">
        <v>0</v>
      </c>
      <c r="X240" s="102">
        <v>0</v>
      </c>
      <c r="Y240" s="100">
        <v>0</v>
      </c>
      <c r="Z240" s="102"/>
      <c r="AA240" s="102"/>
      <c r="AB240" s="102"/>
      <c r="AC240" s="102">
        <v>0</v>
      </c>
      <c r="AD240" s="102">
        <v>0</v>
      </c>
      <c r="AE240" s="102">
        <v>0</v>
      </c>
      <c r="AF240" s="102">
        <v>0</v>
      </c>
      <c r="AG240" s="102">
        <v>0</v>
      </c>
      <c r="AH240" s="102">
        <v>0</v>
      </c>
      <c r="AI240" s="102">
        <v>0</v>
      </c>
      <c r="AJ240" s="102">
        <v>0</v>
      </c>
      <c r="AK240" s="102">
        <v>0</v>
      </c>
      <c r="AL240" s="102">
        <v>0</v>
      </c>
      <c r="AM240" s="102">
        <v>0</v>
      </c>
      <c r="AN240" s="102" t="s">
        <v>1292</v>
      </c>
    </row>
    <row r="241" spans="2:40" x14ac:dyDescent="0.3">
      <c r="B241" s="61" t="s">
        <v>857</v>
      </c>
      <c r="C241" s="141" t="s">
        <v>1467</v>
      </c>
      <c r="D241" s="102">
        <f t="shared" si="27"/>
        <v>13313235.910675</v>
      </c>
      <c r="E241" s="102">
        <f t="shared" si="27"/>
        <v>14002864.422813</v>
      </c>
      <c r="F241" s="102">
        <f t="shared" si="27"/>
        <v>13133099.281355999</v>
      </c>
      <c r="G241" s="96"/>
      <c r="H241" s="102">
        <f t="shared" si="26"/>
        <v>13313235</v>
      </c>
      <c r="I241" s="102">
        <f t="shared" si="28"/>
        <v>14002864</v>
      </c>
      <c r="J241" s="102">
        <f t="shared" si="28"/>
        <v>12904545.008090999</v>
      </c>
      <c r="M241" s="102"/>
      <c r="N241" s="100">
        <v>13313235.910675</v>
      </c>
      <c r="O241" s="100">
        <v>14107645.445311001</v>
      </c>
      <c r="P241" s="100">
        <v>14296980.447688</v>
      </c>
      <c r="Q241" s="100">
        <v>14531073.298789</v>
      </c>
      <c r="R241" s="100">
        <v>14002864.422813</v>
      </c>
      <c r="S241" s="100">
        <v>14026050.785963999</v>
      </c>
      <c r="T241" s="100">
        <v>13523659.211029001</v>
      </c>
      <c r="U241" s="100">
        <v>13063976.821079001</v>
      </c>
      <c r="V241" s="102">
        <v>13133099.281355999</v>
      </c>
      <c r="W241" s="102">
        <v>12010132.809219999</v>
      </c>
      <c r="X241" s="102">
        <v>12447073.15299</v>
      </c>
      <c r="Y241" s="100">
        <v>13133099.281355999</v>
      </c>
      <c r="Z241" s="102"/>
      <c r="AA241" s="102"/>
      <c r="AB241" s="102"/>
      <c r="AC241" s="102">
        <v>13313235</v>
      </c>
      <c r="AD241" s="102">
        <v>14107645</v>
      </c>
      <c r="AE241" s="102">
        <v>14296981</v>
      </c>
      <c r="AF241" s="102">
        <v>14531073</v>
      </c>
      <c r="AG241" s="102">
        <v>14002864</v>
      </c>
      <c r="AH241" s="102">
        <v>14026051</v>
      </c>
      <c r="AI241" s="102">
        <v>13523659</v>
      </c>
      <c r="AJ241" s="102">
        <v>13063977</v>
      </c>
      <c r="AK241" s="102">
        <v>13133099.281355999</v>
      </c>
      <c r="AL241" s="102">
        <v>12010132.809219999</v>
      </c>
      <c r="AM241" s="102">
        <v>12447073.15299</v>
      </c>
      <c r="AN241" s="102">
        <v>12904545.008090999</v>
      </c>
    </row>
    <row r="242" spans="2:40" x14ac:dyDescent="0.3">
      <c r="B242" s="61" t="s">
        <v>859</v>
      </c>
      <c r="C242" s="141" t="s">
        <v>1468</v>
      </c>
      <c r="D242" s="102">
        <f t="shared" si="27"/>
        <v>10852016.494207</v>
      </c>
      <c r="E242" s="102">
        <f t="shared" si="27"/>
        <v>11541365.291696001</v>
      </c>
      <c r="F242" s="102">
        <f t="shared" si="27"/>
        <v>10735942.157614</v>
      </c>
      <c r="G242" s="96"/>
      <c r="H242" s="102">
        <f t="shared" si="26"/>
        <v>10852016</v>
      </c>
      <c r="I242" s="102">
        <f t="shared" si="28"/>
        <v>11541365</v>
      </c>
      <c r="J242" s="102">
        <f t="shared" si="28"/>
        <v>10497577.870778</v>
      </c>
      <c r="M242" s="102"/>
      <c r="N242" s="100">
        <v>10852016.494207</v>
      </c>
      <c r="O242" s="100">
        <v>11363842.049693</v>
      </c>
      <c r="P242" s="100">
        <v>11713984.644433999</v>
      </c>
      <c r="Q242" s="100">
        <v>12065761.665994</v>
      </c>
      <c r="R242" s="100">
        <v>11541365.291696001</v>
      </c>
      <c r="S242" s="100">
        <v>11584703.000396</v>
      </c>
      <c r="T242" s="100">
        <v>11056035.220133999</v>
      </c>
      <c r="U242" s="100">
        <v>10590544.241299</v>
      </c>
      <c r="V242" s="102">
        <v>10735942.157614</v>
      </c>
      <c r="W242" s="102">
        <v>9676333.5680909995</v>
      </c>
      <c r="X242" s="102">
        <v>9951146.2076680008</v>
      </c>
      <c r="Y242" s="100">
        <v>10735942.157614</v>
      </c>
      <c r="Z242" s="102"/>
      <c r="AA242" s="102"/>
      <c r="AB242" s="102"/>
      <c r="AC242" s="102">
        <v>10852016</v>
      </c>
      <c r="AD242" s="102">
        <v>11363842</v>
      </c>
      <c r="AE242" s="102">
        <v>11713985</v>
      </c>
      <c r="AF242" s="102">
        <v>12065762</v>
      </c>
      <c r="AG242" s="102">
        <v>11541365</v>
      </c>
      <c r="AH242" s="102">
        <v>11584703</v>
      </c>
      <c r="AI242" s="102">
        <v>11056035</v>
      </c>
      <c r="AJ242" s="102">
        <v>10590544</v>
      </c>
      <c r="AK242" s="102">
        <v>10735942.157614</v>
      </c>
      <c r="AL242" s="102">
        <v>9676333.5680909995</v>
      </c>
      <c r="AM242" s="102">
        <v>9951146.2076680008</v>
      </c>
      <c r="AN242" s="102">
        <v>10497577.870778</v>
      </c>
    </row>
    <row r="243" spans="2:40" x14ac:dyDescent="0.3">
      <c r="B243" s="61" t="s">
        <v>861</v>
      </c>
      <c r="C243" s="141" t="s">
        <v>1466</v>
      </c>
      <c r="D243" s="102">
        <f t="shared" si="27"/>
        <v>402796.29642099998</v>
      </c>
      <c r="E243" s="102">
        <f t="shared" si="27"/>
        <v>383287.06213799998</v>
      </c>
      <c r="F243" s="102">
        <f t="shared" si="27"/>
        <v>375706.26893800002</v>
      </c>
      <c r="G243" s="96"/>
      <c r="H243" s="102">
        <f t="shared" si="26"/>
        <v>402796</v>
      </c>
      <c r="I243" s="102">
        <f t="shared" si="28"/>
        <v>383287</v>
      </c>
      <c r="J243" s="102">
        <f t="shared" si="28"/>
        <v>400109.81626500003</v>
      </c>
      <c r="M243" s="102"/>
      <c r="N243" s="100">
        <v>402796.29642099998</v>
      </c>
      <c r="O243" s="100">
        <v>410871.00233599998</v>
      </c>
      <c r="P243" s="100">
        <v>397768.88078399998</v>
      </c>
      <c r="Q243" s="100">
        <v>380584.99719899998</v>
      </c>
      <c r="R243" s="100">
        <v>383287.06213799998</v>
      </c>
      <c r="S243" s="100">
        <v>375938.32449700002</v>
      </c>
      <c r="T243" s="100">
        <v>377304.28318099998</v>
      </c>
      <c r="U243" s="100">
        <v>380908.98381200002</v>
      </c>
      <c r="V243" s="102">
        <v>375706.26893800002</v>
      </c>
      <c r="W243" s="102">
        <v>389814.70811399998</v>
      </c>
      <c r="X243" s="102">
        <v>401772.94189100002</v>
      </c>
      <c r="Y243" s="100">
        <v>375706.26893800002</v>
      </c>
      <c r="Z243" s="102"/>
      <c r="AA243" s="102"/>
      <c r="AB243" s="102"/>
      <c r="AC243" s="102">
        <v>402796</v>
      </c>
      <c r="AD243" s="102">
        <v>410871</v>
      </c>
      <c r="AE243" s="102">
        <v>397769</v>
      </c>
      <c r="AF243" s="102">
        <v>380585</v>
      </c>
      <c r="AG243" s="102">
        <v>383287</v>
      </c>
      <c r="AH243" s="102">
        <v>375938</v>
      </c>
      <c r="AI243" s="102">
        <v>377304</v>
      </c>
      <c r="AJ243" s="102">
        <v>380909</v>
      </c>
      <c r="AK243" s="102">
        <v>375706.26893800002</v>
      </c>
      <c r="AL243" s="102">
        <v>389814.70811399998</v>
      </c>
      <c r="AM243" s="102">
        <v>401772.94189100002</v>
      </c>
      <c r="AN243" s="102">
        <v>400109.81626500003</v>
      </c>
    </row>
    <row r="244" spans="2:40" x14ac:dyDescent="0.3">
      <c r="B244" s="61" t="s">
        <v>863</v>
      </c>
      <c r="C244" s="141" t="s">
        <v>1469</v>
      </c>
      <c r="D244" s="102">
        <f t="shared" si="27"/>
        <v>2058423.120047</v>
      </c>
      <c r="E244" s="102">
        <f t="shared" si="27"/>
        <v>2078212.068979</v>
      </c>
      <c r="F244" s="102">
        <f t="shared" si="27"/>
        <v>2021450.8548039999</v>
      </c>
      <c r="G244" s="96"/>
      <c r="H244" s="102">
        <f t="shared" si="26"/>
        <v>2058423</v>
      </c>
      <c r="I244" s="102">
        <f t="shared" si="28"/>
        <v>2078212</v>
      </c>
      <c r="J244" s="102">
        <f t="shared" si="28"/>
        <v>2006857.3210480001</v>
      </c>
      <c r="M244" s="102"/>
      <c r="N244" s="100">
        <v>2058423.120047</v>
      </c>
      <c r="O244" s="100">
        <v>2332932.393282</v>
      </c>
      <c r="P244" s="100">
        <v>2185226.9224700001</v>
      </c>
      <c r="Q244" s="100">
        <v>2084726.6355959999</v>
      </c>
      <c r="R244" s="100">
        <v>2078212.068979</v>
      </c>
      <c r="S244" s="100">
        <v>2065409.461071</v>
      </c>
      <c r="T244" s="100">
        <v>2090319.707714</v>
      </c>
      <c r="U244" s="100">
        <v>2092523.5959679999</v>
      </c>
      <c r="V244" s="102">
        <v>2021450.8548039999</v>
      </c>
      <c r="W244" s="102">
        <v>1943984.5330149999</v>
      </c>
      <c r="X244" s="102">
        <v>2094154.003431</v>
      </c>
      <c r="Y244" s="100">
        <v>2021450.8548039999</v>
      </c>
      <c r="Z244" s="102"/>
      <c r="AA244" s="102"/>
      <c r="AB244" s="102"/>
      <c r="AC244" s="102">
        <v>2058423</v>
      </c>
      <c r="AD244" s="102">
        <v>2332932</v>
      </c>
      <c r="AE244" s="102">
        <v>2185227</v>
      </c>
      <c r="AF244" s="102">
        <v>2084727</v>
      </c>
      <c r="AG244" s="102">
        <v>2078212</v>
      </c>
      <c r="AH244" s="102">
        <v>2065409</v>
      </c>
      <c r="AI244" s="102">
        <v>2090320</v>
      </c>
      <c r="AJ244" s="102">
        <v>2092524</v>
      </c>
      <c r="AK244" s="102">
        <v>2021450.8548039999</v>
      </c>
      <c r="AL244" s="102">
        <v>1943984.5330149999</v>
      </c>
      <c r="AM244" s="102">
        <v>2094154.003431</v>
      </c>
      <c r="AN244" s="102">
        <v>2006857.3210480001</v>
      </c>
    </row>
    <row r="245" spans="2:40" x14ac:dyDescent="0.3">
      <c r="B245" s="61" t="s">
        <v>865</v>
      </c>
      <c r="C245" s="141" t="s">
        <v>1470</v>
      </c>
      <c r="D245" s="102" t="str">
        <f t="shared" si="27"/>
        <v/>
      </c>
      <c r="E245" s="102" t="str">
        <f t="shared" si="27"/>
        <v/>
      </c>
      <c r="F245" s="102" t="str">
        <f t="shared" si="27"/>
        <v/>
      </c>
      <c r="G245" s="96"/>
      <c r="H245" s="102" t="str">
        <f t="shared" si="26"/>
        <v/>
      </c>
      <c r="I245" s="102" t="str">
        <f t="shared" si="28"/>
        <v/>
      </c>
      <c r="J245" s="102" t="str">
        <f t="shared" si="28"/>
        <v/>
      </c>
      <c r="M245" s="102"/>
      <c r="N245" s="100">
        <v>0</v>
      </c>
      <c r="O245" s="100">
        <v>0</v>
      </c>
      <c r="P245" s="100">
        <v>0</v>
      </c>
      <c r="Q245" s="100">
        <v>0</v>
      </c>
      <c r="R245" s="100">
        <v>0</v>
      </c>
      <c r="S245" s="100">
        <v>0</v>
      </c>
      <c r="T245" s="100">
        <v>0</v>
      </c>
      <c r="U245" s="100">
        <v>0</v>
      </c>
      <c r="V245" s="102">
        <v>0</v>
      </c>
      <c r="W245" s="102">
        <v>0</v>
      </c>
      <c r="X245" s="102">
        <v>0</v>
      </c>
      <c r="Y245" s="100">
        <v>0</v>
      </c>
      <c r="Z245" s="102"/>
      <c r="AA245" s="102"/>
      <c r="AB245" s="102"/>
      <c r="AC245" s="102">
        <v>0</v>
      </c>
      <c r="AD245" s="102">
        <v>0</v>
      </c>
      <c r="AE245" s="102">
        <v>0</v>
      </c>
      <c r="AF245" s="102">
        <v>0</v>
      </c>
      <c r="AG245" s="102">
        <v>0</v>
      </c>
      <c r="AH245" s="102">
        <v>0</v>
      </c>
      <c r="AI245" s="102">
        <v>0</v>
      </c>
      <c r="AJ245" s="102">
        <v>0</v>
      </c>
      <c r="AK245" s="102">
        <v>0</v>
      </c>
      <c r="AL245" s="102">
        <v>0</v>
      </c>
      <c r="AM245" s="102">
        <v>0</v>
      </c>
      <c r="AN245" s="102" t="s">
        <v>1292</v>
      </c>
    </row>
    <row r="246" spans="2:40" x14ac:dyDescent="0.3">
      <c r="B246" s="61" t="s">
        <v>867</v>
      </c>
      <c r="C246" s="141" t="s">
        <v>1474</v>
      </c>
      <c r="D246" s="102">
        <f t="shared" ref="D246:F265" si="29">IF(HLOOKUP(D$5,$M$5:$Y$370,ROW()-ROW($F$4),FALSE)=0,"",HLOOKUP(D$5,$M$5:$Y$370,ROW()-ROW($F$4),FALSE))</f>
        <v>412201.24286599999</v>
      </c>
      <c r="E246" s="102">
        <f t="shared" si="29"/>
        <v>405198.03166500002</v>
      </c>
      <c r="F246" s="102">
        <f t="shared" si="29"/>
        <v>387040.91751100001</v>
      </c>
      <c r="G246" s="96"/>
      <c r="H246" s="102">
        <f t="shared" si="26"/>
        <v>412201</v>
      </c>
      <c r="I246" s="102">
        <f t="shared" si="28"/>
        <v>405198</v>
      </c>
      <c r="J246" s="102">
        <f t="shared" si="28"/>
        <v>395992.59838900005</v>
      </c>
      <c r="M246" s="102"/>
      <c r="N246" s="100">
        <v>412201.24286599999</v>
      </c>
      <c r="O246" s="100">
        <v>418266.569021</v>
      </c>
      <c r="P246" s="100">
        <v>411869.83463300002</v>
      </c>
      <c r="Q246" s="100">
        <v>416091.92210099997</v>
      </c>
      <c r="R246" s="100">
        <v>405198.03166500002</v>
      </c>
      <c r="S246" s="100">
        <v>405556.52287099999</v>
      </c>
      <c r="T246" s="100">
        <v>403359.93886300002</v>
      </c>
      <c r="U246" s="100">
        <v>407306.72740999999</v>
      </c>
      <c r="V246" s="102">
        <v>387040.91751100001</v>
      </c>
      <c r="W246" s="102">
        <v>387943.43799300003</v>
      </c>
      <c r="X246" s="102">
        <v>383534.810421</v>
      </c>
      <c r="Y246" s="100">
        <v>387040.91751100001</v>
      </c>
      <c r="Z246" s="102"/>
      <c r="AA246" s="102"/>
      <c r="AB246" s="102"/>
      <c r="AC246" s="102">
        <v>412201</v>
      </c>
      <c r="AD246" s="102">
        <v>418267</v>
      </c>
      <c r="AE246" s="102">
        <v>411869</v>
      </c>
      <c r="AF246" s="102">
        <v>416092</v>
      </c>
      <c r="AG246" s="102">
        <v>405198</v>
      </c>
      <c r="AH246" s="102">
        <v>405557</v>
      </c>
      <c r="AI246" s="102">
        <v>403360</v>
      </c>
      <c r="AJ246" s="102">
        <v>407307</v>
      </c>
      <c r="AK246" s="102">
        <v>387040.91751100001</v>
      </c>
      <c r="AL246" s="102">
        <v>387943.43799300003</v>
      </c>
      <c r="AM246" s="102">
        <v>383534.810421</v>
      </c>
      <c r="AN246" s="102">
        <v>395992.59838900005</v>
      </c>
    </row>
    <row r="247" spans="2:40" x14ac:dyDescent="0.3">
      <c r="B247" s="61" t="s">
        <v>859</v>
      </c>
      <c r="C247" s="141" t="s">
        <v>1468</v>
      </c>
      <c r="D247" s="102">
        <f t="shared" si="29"/>
        <v>408951.03824299999</v>
      </c>
      <c r="E247" s="102">
        <f t="shared" si="29"/>
        <v>401772.409262</v>
      </c>
      <c r="F247" s="102">
        <f t="shared" si="29"/>
        <v>382247.807837</v>
      </c>
      <c r="G247" s="96"/>
      <c r="H247" s="102">
        <f t="shared" si="26"/>
        <v>408951</v>
      </c>
      <c r="I247" s="102">
        <f t="shared" si="28"/>
        <v>401772</v>
      </c>
      <c r="J247" s="102">
        <f t="shared" si="28"/>
        <v>392142.78866200004</v>
      </c>
      <c r="M247" s="102"/>
      <c r="N247" s="100">
        <v>408951.03824299999</v>
      </c>
      <c r="O247" s="100">
        <v>414268.06284999999</v>
      </c>
      <c r="P247" s="100">
        <v>407915.39873999998</v>
      </c>
      <c r="Q247" s="100">
        <v>412258.33009900001</v>
      </c>
      <c r="R247" s="100">
        <v>401772.409262</v>
      </c>
      <c r="S247" s="100">
        <v>401188.69115799997</v>
      </c>
      <c r="T247" s="100">
        <v>399499.25702700001</v>
      </c>
      <c r="U247" s="100">
        <v>402097.813784</v>
      </c>
      <c r="V247" s="102">
        <v>382247.807837</v>
      </c>
      <c r="W247" s="102">
        <v>382657.71734999999</v>
      </c>
      <c r="X247" s="102">
        <v>379751.47783500003</v>
      </c>
      <c r="Y247" s="100">
        <v>382247.807837</v>
      </c>
      <c r="Z247" s="102"/>
      <c r="AA247" s="102"/>
      <c r="AB247" s="102"/>
      <c r="AC247" s="102">
        <v>408951</v>
      </c>
      <c r="AD247" s="102">
        <v>414268</v>
      </c>
      <c r="AE247" s="102">
        <v>407915</v>
      </c>
      <c r="AF247" s="102">
        <v>412258</v>
      </c>
      <c r="AG247" s="102">
        <v>401772</v>
      </c>
      <c r="AH247" s="102">
        <v>401189</v>
      </c>
      <c r="AI247" s="102">
        <v>399499</v>
      </c>
      <c r="AJ247" s="102">
        <v>402098</v>
      </c>
      <c r="AK247" s="102">
        <v>382247.807837</v>
      </c>
      <c r="AL247" s="102">
        <v>382657.71734999999</v>
      </c>
      <c r="AM247" s="102">
        <v>379751.47783500003</v>
      </c>
      <c r="AN247" s="102">
        <v>392142.78866200004</v>
      </c>
    </row>
    <row r="248" spans="2:40" x14ac:dyDescent="0.3">
      <c r="B248" s="61" t="s">
        <v>861</v>
      </c>
      <c r="C248" s="141" t="s">
        <v>1466</v>
      </c>
      <c r="D248" s="102">
        <f t="shared" si="29"/>
        <v>3250.2046230000001</v>
      </c>
      <c r="E248" s="102">
        <f t="shared" si="29"/>
        <v>3425.6224029999998</v>
      </c>
      <c r="F248" s="102">
        <f t="shared" si="29"/>
        <v>4793.1096740000003</v>
      </c>
      <c r="G248" s="96"/>
      <c r="H248" s="102">
        <f t="shared" si="26"/>
        <v>3250</v>
      </c>
      <c r="I248" s="102">
        <f t="shared" si="28"/>
        <v>3426</v>
      </c>
      <c r="J248" s="102">
        <f t="shared" si="28"/>
        <v>3849.8097270000003</v>
      </c>
      <c r="M248" s="102"/>
      <c r="N248" s="100">
        <v>3250.2046230000001</v>
      </c>
      <c r="O248" s="100">
        <v>3998.506171</v>
      </c>
      <c r="P248" s="100">
        <v>3954.4358929999999</v>
      </c>
      <c r="Q248" s="100">
        <v>3833.5920019999999</v>
      </c>
      <c r="R248" s="100">
        <v>3425.6224029999998</v>
      </c>
      <c r="S248" s="100">
        <v>4367.8317129999996</v>
      </c>
      <c r="T248" s="100">
        <v>3860.6818360000002</v>
      </c>
      <c r="U248" s="100">
        <v>5208.9136259999996</v>
      </c>
      <c r="V248" s="102">
        <v>4793.1096740000003</v>
      </c>
      <c r="W248" s="102">
        <v>5285.7206429999997</v>
      </c>
      <c r="X248" s="102">
        <v>3783.332586</v>
      </c>
      <c r="Y248" s="100">
        <v>4793.1096740000003</v>
      </c>
      <c r="Z248" s="102"/>
      <c r="AA248" s="102"/>
      <c r="AB248" s="102"/>
      <c r="AC248" s="102">
        <v>3250</v>
      </c>
      <c r="AD248" s="102">
        <v>3999</v>
      </c>
      <c r="AE248" s="102">
        <v>3954</v>
      </c>
      <c r="AF248" s="102">
        <v>3834</v>
      </c>
      <c r="AG248" s="102">
        <v>3426</v>
      </c>
      <c r="AH248" s="102">
        <v>4368</v>
      </c>
      <c r="AI248" s="102">
        <v>3861</v>
      </c>
      <c r="AJ248" s="102">
        <v>5209</v>
      </c>
      <c r="AK248" s="102">
        <v>4793.1096740000003</v>
      </c>
      <c r="AL248" s="102">
        <v>5285.7206429999997</v>
      </c>
      <c r="AM248" s="102">
        <v>3783.332586</v>
      </c>
      <c r="AN248" s="102">
        <v>3849.8097270000003</v>
      </c>
    </row>
    <row r="249" spans="2:40" x14ac:dyDescent="0.3">
      <c r="B249" s="61" t="s">
        <v>869</v>
      </c>
      <c r="C249" s="141" t="s">
        <v>1473</v>
      </c>
      <c r="D249" s="102" t="str">
        <f t="shared" si="29"/>
        <v/>
      </c>
      <c r="E249" s="102" t="str">
        <f t="shared" si="29"/>
        <v/>
      </c>
      <c r="F249" s="102" t="str">
        <f t="shared" si="29"/>
        <v/>
      </c>
      <c r="G249" s="96"/>
      <c r="H249" s="102" t="str">
        <f t="shared" si="26"/>
        <v/>
      </c>
      <c r="I249" s="102" t="str">
        <f t="shared" si="28"/>
        <v/>
      </c>
      <c r="J249" s="102" t="str">
        <f t="shared" si="28"/>
        <v/>
      </c>
      <c r="M249" s="102"/>
      <c r="N249" s="100">
        <v>0</v>
      </c>
      <c r="O249" s="100">
        <v>0</v>
      </c>
      <c r="P249" s="100">
        <v>0</v>
      </c>
      <c r="Q249" s="100">
        <v>0</v>
      </c>
      <c r="R249" s="100">
        <v>0</v>
      </c>
      <c r="S249" s="100">
        <v>0</v>
      </c>
      <c r="T249" s="100">
        <v>0</v>
      </c>
      <c r="U249" s="100">
        <v>0</v>
      </c>
      <c r="V249" s="102">
        <v>0</v>
      </c>
      <c r="W249" s="102">
        <v>0</v>
      </c>
      <c r="X249" s="102">
        <v>0</v>
      </c>
      <c r="Y249" s="100">
        <v>0</v>
      </c>
      <c r="Z249" s="102"/>
      <c r="AA249" s="102"/>
      <c r="AB249" s="102"/>
      <c r="AC249" s="102">
        <v>0</v>
      </c>
      <c r="AD249" s="102">
        <v>0</v>
      </c>
      <c r="AE249" s="102">
        <v>0</v>
      </c>
      <c r="AF249" s="102">
        <v>0</v>
      </c>
      <c r="AG249" s="102">
        <v>0</v>
      </c>
      <c r="AH249" s="102">
        <v>0</v>
      </c>
      <c r="AI249" s="102">
        <v>0</v>
      </c>
      <c r="AJ249" s="102">
        <v>0</v>
      </c>
      <c r="AK249" s="102">
        <v>0</v>
      </c>
      <c r="AL249" s="102">
        <v>0</v>
      </c>
      <c r="AM249" s="102">
        <v>0</v>
      </c>
      <c r="AN249" s="102" t="s">
        <v>1292</v>
      </c>
    </row>
    <row r="250" spans="2:40" x14ac:dyDescent="0.3">
      <c r="B250" s="61" t="s">
        <v>907</v>
      </c>
      <c r="C250" s="141" t="s">
        <v>1472</v>
      </c>
      <c r="D250" s="102" t="str">
        <f t="shared" si="29"/>
        <v/>
      </c>
      <c r="E250" s="102">
        <f t="shared" si="29"/>
        <v>1370.826673</v>
      </c>
      <c r="F250" s="102">
        <f t="shared" si="29"/>
        <v>847.92660899999998</v>
      </c>
      <c r="G250" s="96"/>
      <c r="H250" s="102" t="str">
        <f t="shared" si="26"/>
        <v/>
      </c>
      <c r="I250" s="102">
        <f t="shared" si="28"/>
        <v>1371</v>
      </c>
      <c r="J250" s="102">
        <f t="shared" si="28"/>
        <v>5709.0257840000004</v>
      </c>
      <c r="M250" s="102"/>
      <c r="N250" s="100">
        <v>0</v>
      </c>
      <c r="O250" s="100">
        <v>0</v>
      </c>
      <c r="P250" s="100">
        <v>2416.5890850000001</v>
      </c>
      <c r="Q250" s="100">
        <v>4336.2652900000003</v>
      </c>
      <c r="R250" s="100">
        <v>1370.826673</v>
      </c>
      <c r="S250" s="100">
        <v>3543.1381419999998</v>
      </c>
      <c r="T250" s="100">
        <v>4724.7093130000003</v>
      </c>
      <c r="U250" s="100">
        <v>5926.7046630000004</v>
      </c>
      <c r="V250" s="102">
        <v>847.92660899999998</v>
      </c>
      <c r="W250" s="102">
        <v>446.205263</v>
      </c>
      <c r="X250" s="102">
        <v>4562.1519010000002</v>
      </c>
      <c r="Y250" s="100">
        <v>847.92660899999998</v>
      </c>
      <c r="Z250" s="102"/>
      <c r="AA250" s="102"/>
      <c r="AB250" s="102"/>
      <c r="AC250" s="102">
        <v>0</v>
      </c>
      <c r="AD250" s="102">
        <v>0</v>
      </c>
      <c r="AE250" s="102">
        <v>2417</v>
      </c>
      <c r="AF250" s="102">
        <v>4336</v>
      </c>
      <c r="AG250" s="102">
        <v>1371</v>
      </c>
      <c r="AH250" s="102">
        <v>3543</v>
      </c>
      <c r="AI250" s="102">
        <v>4725</v>
      </c>
      <c r="AJ250" s="102">
        <v>5927</v>
      </c>
      <c r="AK250" s="102">
        <v>847.9266090000001</v>
      </c>
      <c r="AL250" s="102">
        <v>446.205263</v>
      </c>
      <c r="AM250" s="102">
        <v>4562.1519010000002</v>
      </c>
      <c r="AN250" s="102">
        <v>5709.0257840000004</v>
      </c>
    </row>
    <row r="251" spans="2:40" x14ac:dyDescent="0.3">
      <c r="B251" s="61" t="s">
        <v>857</v>
      </c>
      <c r="C251" s="141" t="s">
        <v>1467</v>
      </c>
      <c r="D251" s="102" t="str">
        <f t="shared" si="29"/>
        <v/>
      </c>
      <c r="E251" s="102">
        <f t="shared" si="29"/>
        <v>10710.239519000001</v>
      </c>
      <c r="F251" s="102">
        <f t="shared" si="29"/>
        <v>12249.832638</v>
      </c>
      <c r="G251" s="96"/>
      <c r="H251" s="102" t="str">
        <f t="shared" si="26"/>
        <v/>
      </c>
      <c r="I251" s="102">
        <f t="shared" si="28"/>
        <v>10710</v>
      </c>
      <c r="J251" s="102">
        <f t="shared" si="28"/>
        <v>12745.860609000001</v>
      </c>
      <c r="M251" s="102"/>
      <c r="N251" s="100">
        <v>0</v>
      </c>
      <c r="O251" s="100">
        <v>0</v>
      </c>
      <c r="P251" s="100">
        <v>11151.196433999999</v>
      </c>
      <c r="Q251" s="100">
        <v>11690.808461000001</v>
      </c>
      <c r="R251" s="100">
        <v>10710.239519000001</v>
      </c>
      <c r="S251" s="100">
        <v>10997.57474</v>
      </c>
      <c r="T251" s="100">
        <v>11146.099201000001</v>
      </c>
      <c r="U251" s="100">
        <v>11060.821760999999</v>
      </c>
      <c r="V251" s="102">
        <v>12249.832638</v>
      </c>
      <c r="W251" s="102">
        <v>9419.4935069999992</v>
      </c>
      <c r="X251" s="102">
        <v>12020.547064</v>
      </c>
      <c r="Y251" s="100">
        <v>12249.832638</v>
      </c>
      <c r="Z251" s="102"/>
      <c r="AA251" s="102"/>
      <c r="AB251" s="102"/>
      <c r="AC251" s="102">
        <v>0</v>
      </c>
      <c r="AD251" s="102">
        <v>0</v>
      </c>
      <c r="AE251" s="102">
        <v>11151</v>
      </c>
      <c r="AF251" s="102">
        <v>11691</v>
      </c>
      <c r="AG251" s="102">
        <v>10710</v>
      </c>
      <c r="AH251" s="102">
        <v>10998</v>
      </c>
      <c r="AI251" s="102">
        <v>11146</v>
      </c>
      <c r="AJ251" s="102">
        <v>11061</v>
      </c>
      <c r="AK251" s="102">
        <v>12249.832638</v>
      </c>
      <c r="AL251" s="102">
        <v>9419.4935069999992</v>
      </c>
      <c r="AM251" s="102">
        <v>12020.547064</v>
      </c>
      <c r="AN251" s="102">
        <v>12745.860609000001</v>
      </c>
    </row>
    <row r="252" spans="2:40" x14ac:dyDescent="0.3">
      <c r="B252" s="61" t="s">
        <v>859</v>
      </c>
      <c r="C252" s="141" t="s">
        <v>1468</v>
      </c>
      <c r="D252" s="102" t="str">
        <f t="shared" si="29"/>
        <v/>
      </c>
      <c r="E252" s="102">
        <f t="shared" si="29"/>
        <v>16252.808703000001</v>
      </c>
      <c r="F252" s="102">
        <f t="shared" si="29"/>
        <v>17230.290113999999</v>
      </c>
      <c r="G252" s="96"/>
      <c r="H252" s="102" t="str">
        <f t="shared" si="26"/>
        <v/>
      </c>
      <c r="I252" s="102">
        <f t="shared" si="28"/>
        <v>16253</v>
      </c>
      <c r="J252" s="102">
        <f t="shared" si="28"/>
        <v>16657.038539000001</v>
      </c>
      <c r="M252" s="102"/>
      <c r="N252" s="100">
        <v>0</v>
      </c>
      <c r="O252" s="100">
        <v>0</v>
      </c>
      <c r="P252" s="100">
        <v>17701.800618000001</v>
      </c>
      <c r="Q252" s="100">
        <v>18190.017843000001</v>
      </c>
      <c r="R252" s="100">
        <v>16252.808703000001</v>
      </c>
      <c r="S252" s="100">
        <v>17541.083784999999</v>
      </c>
      <c r="T252" s="100">
        <v>17457.798912999999</v>
      </c>
      <c r="U252" s="100">
        <v>17490.082822</v>
      </c>
      <c r="V252" s="102">
        <v>17230.290113999999</v>
      </c>
      <c r="W252" s="102">
        <v>16165.859640999999</v>
      </c>
      <c r="X252" s="102">
        <v>16162.714732</v>
      </c>
      <c r="Y252" s="100">
        <v>17230.290113999999</v>
      </c>
      <c r="Z252" s="102"/>
      <c r="AA252" s="102"/>
      <c r="AB252" s="102"/>
      <c r="AC252" s="102">
        <v>0</v>
      </c>
      <c r="AD252" s="102">
        <v>0</v>
      </c>
      <c r="AE252" s="102">
        <v>17702</v>
      </c>
      <c r="AF252" s="102">
        <v>18190</v>
      </c>
      <c r="AG252" s="102">
        <v>16253</v>
      </c>
      <c r="AH252" s="102">
        <v>17541</v>
      </c>
      <c r="AI252" s="102">
        <v>17458</v>
      </c>
      <c r="AJ252" s="102">
        <v>17490</v>
      </c>
      <c r="AK252" s="102">
        <v>17230.290113999999</v>
      </c>
      <c r="AL252" s="102">
        <v>16165.859640999999</v>
      </c>
      <c r="AM252" s="102">
        <v>16162.714732</v>
      </c>
      <c r="AN252" s="102">
        <v>16657.038539000001</v>
      </c>
    </row>
    <row r="253" spans="2:40" x14ac:dyDescent="0.3">
      <c r="B253" s="61" t="s">
        <v>861</v>
      </c>
      <c r="C253" s="141" t="s">
        <v>1466</v>
      </c>
      <c r="D253" s="102" t="str">
        <f t="shared" si="29"/>
        <v/>
      </c>
      <c r="E253" s="102">
        <f t="shared" si="29"/>
        <v>-2545.6139199999998</v>
      </c>
      <c r="F253" s="102">
        <f t="shared" si="29"/>
        <v>-1304.9883930000001</v>
      </c>
      <c r="G253" s="96"/>
      <c r="H253" s="102" t="str">
        <f t="shared" si="26"/>
        <v/>
      </c>
      <c r="I253" s="102">
        <f t="shared" si="28"/>
        <v>-2546</v>
      </c>
      <c r="J253" s="102">
        <f t="shared" si="28"/>
        <v>-740.22492800000009</v>
      </c>
      <c r="M253" s="102"/>
      <c r="N253" s="100">
        <v>0</v>
      </c>
      <c r="O253" s="100">
        <v>0</v>
      </c>
      <c r="P253" s="100">
        <v>-3908.7789710000002</v>
      </c>
      <c r="Q253" s="100">
        <v>-3342.9415159999999</v>
      </c>
      <c r="R253" s="100">
        <v>-2545.6139199999998</v>
      </c>
      <c r="S253" s="100">
        <v>-2100.958803</v>
      </c>
      <c r="T253" s="100">
        <v>-1685.06566</v>
      </c>
      <c r="U253" s="100">
        <v>-1554.51286</v>
      </c>
      <c r="V253" s="102">
        <v>-1304.9883930000001</v>
      </c>
      <c r="W253" s="102">
        <v>-1135.1781169999999</v>
      </c>
      <c r="X253" s="102">
        <v>-1030.657526</v>
      </c>
      <c r="Y253" s="100">
        <v>-1304.9883930000001</v>
      </c>
      <c r="Z253" s="102"/>
      <c r="AA253" s="102"/>
      <c r="AB253" s="102"/>
      <c r="AC253" s="102">
        <v>0</v>
      </c>
      <c r="AD253" s="102">
        <v>0</v>
      </c>
      <c r="AE253" s="102">
        <v>-3909</v>
      </c>
      <c r="AF253" s="102">
        <v>-3343</v>
      </c>
      <c r="AG253" s="102">
        <v>-2546</v>
      </c>
      <c r="AH253" s="102">
        <v>-2101</v>
      </c>
      <c r="AI253" s="102">
        <v>-1685</v>
      </c>
      <c r="AJ253" s="102">
        <v>-1555</v>
      </c>
      <c r="AK253" s="102">
        <v>-1304.9883930000001</v>
      </c>
      <c r="AL253" s="102">
        <v>-1135.1781169999999</v>
      </c>
      <c r="AM253" s="102">
        <v>-1030.657526</v>
      </c>
      <c r="AN253" s="102">
        <v>-740.22492800000009</v>
      </c>
    </row>
    <row r="254" spans="2:40" x14ac:dyDescent="0.3">
      <c r="B254" s="61" t="s">
        <v>863</v>
      </c>
      <c r="C254" s="141" t="s">
        <v>1469</v>
      </c>
      <c r="D254" s="102" t="str">
        <f t="shared" si="29"/>
        <v/>
      </c>
      <c r="E254" s="102">
        <f t="shared" si="29"/>
        <v>-2996.9552640000002</v>
      </c>
      <c r="F254" s="102">
        <f t="shared" si="29"/>
        <v>-3675.469083</v>
      </c>
      <c r="G254" s="96"/>
      <c r="H254" s="102" t="str">
        <f t="shared" si="26"/>
        <v/>
      </c>
      <c r="I254" s="102">
        <f t="shared" si="28"/>
        <v>-2997</v>
      </c>
      <c r="J254" s="102">
        <f t="shared" si="28"/>
        <v>-3170.9530019999997</v>
      </c>
      <c r="M254" s="102"/>
      <c r="N254" s="100">
        <v>0</v>
      </c>
      <c r="O254" s="100">
        <v>0</v>
      </c>
      <c r="P254" s="100">
        <v>-2641.8252130000001</v>
      </c>
      <c r="Q254" s="100">
        <v>-3156.2678660000001</v>
      </c>
      <c r="R254" s="100">
        <v>-2996.9552640000002</v>
      </c>
      <c r="S254" s="100">
        <v>-4442.5502420000003</v>
      </c>
      <c r="T254" s="100">
        <v>-4626.6340520000003</v>
      </c>
      <c r="U254" s="100">
        <v>-4874.7482010000003</v>
      </c>
      <c r="V254" s="102">
        <v>-3675.469083</v>
      </c>
      <c r="W254" s="102">
        <v>-5611.1880170000004</v>
      </c>
      <c r="X254" s="102">
        <v>-3111.5101420000001</v>
      </c>
      <c r="Y254" s="100">
        <v>-3675.469083</v>
      </c>
      <c r="Z254" s="102"/>
      <c r="AA254" s="102"/>
      <c r="AB254" s="102"/>
      <c r="AC254" s="102">
        <v>0</v>
      </c>
      <c r="AD254" s="102">
        <v>0</v>
      </c>
      <c r="AE254" s="102">
        <v>-2642</v>
      </c>
      <c r="AF254" s="102">
        <v>-3156</v>
      </c>
      <c r="AG254" s="102">
        <v>-2997</v>
      </c>
      <c r="AH254" s="102">
        <v>-4443</v>
      </c>
      <c r="AI254" s="102">
        <v>-4627</v>
      </c>
      <c r="AJ254" s="102">
        <v>-4875</v>
      </c>
      <c r="AK254" s="102">
        <v>-3675.469083</v>
      </c>
      <c r="AL254" s="102">
        <v>-5611.1880170000004</v>
      </c>
      <c r="AM254" s="102">
        <v>-3111.5101420000001</v>
      </c>
      <c r="AN254" s="102">
        <v>-3170.9530019999997</v>
      </c>
    </row>
    <row r="255" spans="2:40" x14ac:dyDescent="0.3">
      <c r="B255" s="61" t="s">
        <v>865</v>
      </c>
      <c r="C255" s="141" t="s">
        <v>1470</v>
      </c>
      <c r="D255" s="102" t="str">
        <f t="shared" si="29"/>
        <v/>
      </c>
      <c r="E255" s="102" t="str">
        <f t="shared" si="29"/>
        <v/>
      </c>
      <c r="F255" s="102" t="str">
        <f t="shared" si="29"/>
        <v/>
      </c>
      <c r="G255" s="96"/>
      <c r="H255" s="102" t="str">
        <f t="shared" si="26"/>
        <v/>
      </c>
      <c r="I255" s="102" t="str">
        <f t="shared" si="28"/>
        <v/>
      </c>
      <c r="J255" s="102" t="str">
        <f t="shared" si="28"/>
        <v/>
      </c>
      <c r="M255" s="102"/>
      <c r="N255" s="100">
        <v>0</v>
      </c>
      <c r="O255" s="100">
        <v>0</v>
      </c>
      <c r="P255" s="100">
        <v>0</v>
      </c>
      <c r="Q255" s="100">
        <v>0</v>
      </c>
      <c r="R255" s="100">
        <v>0</v>
      </c>
      <c r="S255" s="100">
        <v>0</v>
      </c>
      <c r="T255" s="100">
        <v>0</v>
      </c>
      <c r="U255" s="100">
        <v>0</v>
      </c>
      <c r="V255" s="102">
        <v>0</v>
      </c>
      <c r="W255" s="102">
        <v>0</v>
      </c>
      <c r="X255" s="102">
        <v>0</v>
      </c>
      <c r="Y255" s="100">
        <v>0</v>
      </c>
      <c r="Z255" s="102"/>
      <c r="AA255" s="102"/>
      <c r="AB255" s="102"/>
      <c r="AC255" s="102">
        <v>0</v>
      </c>
      <c r="AD255" s="102">
        <v>0</v>
      </c>
      <c r="AE255" s="102">
        <v>0</v>
      </c>
      <c r="AF255" s="102">
        <v>0</v>
      </c>
      <c r="AG255" s="102">
        <v>0</v>
      </c>
      <c r="AH255" s="102">
        <v>0</v>
      </c>
      <c r="AI255" s="102">
        <v>0</v>
      </c>
      <c r="AJ255" s="102">
        <v>0</v>
      </c>
      <c r="AK255" s="102">
        <v>0</v>
      </c>
      <c r="AL255" s="102">
        <v>0</v>
      </c>
      <c r="AM255" s="102">
        <v>0</v>
      </c>
      <c r="AN255" s="102" t="s">
        <v>1292</v>
      </c>
    </row>
    <row r="256" spans="2:40" x14ac:dyDescent="0.3">
      <c r="B256" s="61" t="s">
        <v>867</v>
      </c>
      <c r="C256" s="141" t="s">
        <v>1471</v>
      </c>
      <c r="D256" s="102" t="str">
        <f t="shared" si="29"/>
        <v/>
      </c>
      <c r="E256" s="102">
        <f t="shared" si="29"/>
        <v>-9339.4128459999993</v>
      </c>
      <c r="F256" s="102">
        <f t="shared" si="29"/>
        <v>-11401.906029</v>
      </c>
      <c r="G256" s="96"/>
      <c r="H256" s="102" t="str">
        <f t="shared" si="26"/>
        <v/>
      </c>
      <c r="I256" s="102">
        <f t="shared" ref="I256:J275" si="30">IF(HLOOKUP(I$5,$AB$5:$AN$370,ROW()-ROW($J$4),FALSE)=0,"",HLOOKUP(I$5,$AB$5:$AN$370,ROW()-ROW($J$4),FALSE))</f>
        <v>-9339</v>
      </c>
      <c r="J256" s="102">
        <f t="shared" si="30"/>
        <v>-7036.8348249999999</v>
      </c>
      <c r="M256" s="102"/>
      <c r="N256" s="100">
        <v>0</v>
      </c>
      <c r="O256" s="100">
        <v>0</v>
      </c>
      <c r="P256" s="100">
        <v>-8734.6073489999999</v>
      </c>
      <c r="Q256" s="100">
        <v>-7354.5431710000003</v>
      </c>
      <c r="R256" s="100">
        <v>-9339.4128459999993</v>
      </c>
      <c r="S256" s="100">
        <v>-7454.4365980000002</v>
      </c>
      <c r="T256" s="100">
        <v>-6421.3898879999997</v>
      </c>
      <c r="U256" s="100">
        <v>-5134.1170979999997</v>
      </c>
      <c r="V256" s="102">
        <v>-11401.906029</v>
      </c>
      <c r="W256" s="102">
        <v>-8973.2882439999994</v>
      </c>
      <c r="X256" s="102">
        <v>-7458.3951630000001</v>
      </c>
      <c r="Y256" s="100">
        <v>-11401.906029</v>
      </c>
      <c r="Z256" s="102"/>
      <c r="AA256" s="102"/>
      <c r="AB256" s="102"/>
      <c r="AC256" s="102">
        <v>0</v>
      </c>
      <c r="AD256" s="102">
        <v>0</v>
      </c>
      <c r="AE256" s="102">
        <v>-8734</v>
      </c>
      <c r="AF256" s="102">
        <v>-7355</v>
      </c>
      <c r="AG256" s="102">
        <v>-9339</v>
      </c>
      <c r="AH256" s="102">
        <v>-7454</v>
      </c>
      <c r="AI256" s="102">
        <v>-6421</v>
      </c>
      <c r="AJ256" s="102">
        <v>-5134</v>
      </c>
      <c r="AK256" s="102">
        <v>-11401.906029</v>
      </c>
      <c r="AL256" s="102">
        <v>-8973.2882439999994</v>
      </c>
      <c r="AM256" s="102">
        <v>-7458.3951630000001</v>
      </c>
      <c r="AN256" s="102">
        <v>-7036.8348249999999</v>
      </c>
    </row>
    <row r="257" spans="2:40" x14ac:dyDescent="0.3">
      <c r="B257" s="61" t="s">
        <v>859</v>
      </c>
      <c r="C257" s="141" t="s">
        <v>1468</v>
      </c>
      <c r="D257" s="102" t="str">
        <f t="shared" si="29"/>
        <v/>
      </c>
      <c r="E257" s="102">
        <f t="shared" si="29"/>
        <v>-9194.0052809999997</v>
      </c>
      <c r="F257" s="102">
        <f t="shared" si="29"/>
        <v>-11192.671828</v>
      </c>
      <c r="G257" s="96"/>
      <c r="H257" s="102" t="str">
        <f t="shared" si="26"/>
        <v/>
      </c>
      <c r="I257" s="102">
        <f t="shared" si="30"/>
        <v>-9194</v>
      </c>
      <c r="J257" s="102">
        <f t="shared" si="30"/>
        <v>-6876.0588369999996</v>
      </c>
      <c r="M257" s="102"/>
      <c r="N257" s="100">
        <v>0</v>
      </c>
      <c r="O257" s="100">
        <v>0</v>
      </c>
      <c r="P257" s="100">
        <v>-8535.3433189999996</v>
      </c>
      <c r="Q257" s="100">
        <v>-7202.8547099999996</v>
      </c>
      <c r="R257" s="100">
        <v>-9194.0052809999997</v>
      </c>
      <c r="S257" s="100">
        <v>-7257.5945240000001</v>
      </c>
      <c r="T257" s="100">
        <v>-6271.3099910000001</v>
      </c>
      <c r="U257" s="100">
        <v>-4973.8294610000003</v>
      </c>
      <c r="V257" s="102">
        <v>-11192.671828</v>
      </c>
      <c r="W257" s="102">
        <v>-8738.3816480000005</v>
      </c>
      <c r="X257" s="102">
        <v>-7301.9989349999996</v>
      </c>
      <c r="Y257" s="100">
        <v>-11192.671828</v>
      </c>
      <c r="Z257" s="102"/>
      <c r="AA257" s="102"/>
      <c r="AB257" s="102"/>
      <c r="AC257" s="102">
        <v>0</v>
      </c>
      <c r="AD257" s="102">
        <v>0</v>
      </c>
      <c r="AE257" s="102">
        <v>-8535</v>
      </c>
      <c r="AF257" s="102">
        <v>-7203</v>
      </c>
      <c r="AG257" s="102">
        <v>-9194</v>
      </c>
      <c r="AH257" s="102">
        <v>-7258</v>
      </c>
      <c r="AI257" s="102">
        <v>-6271</v>
      </c>
      <c r="AJ257" s="102">
        <v>-4974</v>
      </c>
      <c r="AK257" s="102">
        <v>-11192.671828</v>
      </c>
      <c r="AL257" s="102">
        <v>-8738.3816480000005</v>
      </c>
      <c r="AM257" s="102">
        <v>-7301.9989349999996</v>
      </c>
      <c r="AN257" s="102">
        <v>-6876.0588369999996</v>
      </c>
    </row>
    <row r="258" spans="2:40" x14ac:dyDescent="0.3">
      <c r="B258" s="61" t="s">
        <v>861</v>
      </c>
      <c r="C258" s="141" t="s">
        <v>1466</v>
      </c>
      <c r="D258" s="102" t="str">
        <f t="shared" si="29"/>
        <v/>
      </c>
      <c r="E258" s="102">
        <f t="shared" si="29"/>
        <v>-145.40756500000001</v>
      </c>
      <c r="F258" s="102">
        <f t="shared" si="29"/>
        <v>-209.23420100000001</v>
      </c>
      <c r="G258" s="96"/>
      <c r="H258" s="102" t="str">
        <f t="shared" si="26"/>
        <v/>
      </c>
      <c r="I258" s="102">
        <f t="shared" si="30"/>
        <v>-145</v>
      </c>
      <c r="J258" s="102">
        <f t="shared" si="30"/>
        <v>-160.77598799999998</v>
      </c>
      <c r="M258" s="102"/>
      <c r="N258" s="100">
        <v>0</v>
      </c>
      <c r="O258" s="100">
        <v>0</v>
      </c>
      <c r="P258" s="100">
        <v>-199.26402999999999</v>
      </c>
      <c r="Q258" s="100">
        <v>-151.68846099999999</v>
      </c>
      <c r="R258" s="100">
        <v>-145.40756500000001</v>
      </c>
      <c r="S258" s="100">
        <v>-196.842074</v>
      </c>
      <c r="T258" s="100">
        <v>-150.07989699999999</v>
      </c>
      <c r="U258" s="100">
        <v>-160.28763699999999</v>
      </c>
      <c r="V258" s="102">
        <v>-209.23420100000001</v>
      </c>
      <c r="W258" s="102">
        <v>-234.90659600000001</v>
      </c>
      <c r="X258" s="102">
        <v>-156.39622800000001</v>
      </c>
      <c r="Y258" s="100">
        <v>-209.23420100000001</v>
      </c>
      <c r="Z258" s="102"/>
      <c r="AA258" s="102"/>
      <c r="AB258" s="102"/>
      <c r="AC258" s="102">
        <v>0</v>
      </c>
      <c r="AD258" s="102">
        <v>0</v>
      </c>
      <c r="AE258" s="102">
        <v>-199</v>
      </c>
      <c r="AF258" s="102">
        <v>-152</v>
      </c>
      <c r="AG258" s="102">
        <v>-145</v>
      </c>
      <c r="AH258" s="102">
        <v>-197</v>
      </c>
      <c r="AI258" s="102">
        <v>-150</v>
      </c>
      <c r="AJ258" s="102">
        <v>-160</v>
      </c>
      <c r="AK258" s="102">
        <v>-209.23420100000001</v>
      </c>
      <c r="AL258" s="102">
        <v>-234.90659600000001</v>
      </c>
      <c r="AM258" s="102">
        <v>-156.39622800000001</v>
      </c>
      <c r="AN258" s="102">
        <v>-160.77598799999998</v>
      </c>
    </row>
    <row r="259" spans="2:40" x14ac:dyDescent="0.3">
      <c r="B259" s="61" t="s">
        <v>908</v>
      </c>
      <c r="C259" s="141" t="s">
        <v>1465</v>
      </c>
      <c r="D259" s="102">
        <f t="shared" si="29"/>
        <v>1825441.6713370001</v>
      </c>
      <c r="E259" s="102">
        <f t="shared" si="29"/>
        <v>2185981.6074140002</v>
      </c>
      <c r="F259" s="102">
        <f t="shared" si="29"/>
        <v>2995391.8887450001</v>
      </c>
      <c r="G259" s="96"/>
      <c r="H259" s="102">
        <f t="shared" si="26"/>
        <v>1825442</v>
      </c>
      <c r="I259" s="102">
        <f t="shared" si="30"/>
        <v>2185982</v>
      </c>
      <c r="J259" s="102">
        <f t="shared" si="30"/>
        <v>3843881.4291920005</v>
      </c>
      <c r="M259" s="102"/>
      <c r="N259" s="100">
        <v>1825441.6713370001</v>
      </c>
      <c r="O259" s="100">
        <v>1897351.861085</v>
      </c>
      <c r="P259" s="100">
        <v>1998002.0864490001</v>
      </c>
      <c r="Q259" s="100">
        <v>2068323.1158479999</v>
      </c>
      <c r="R259" s="100">
        <v>2185981.6074140002</v>
      </c>
      <c r="S259" s="100">
        <v>2617086.6243759999</v>
      </c>
      <c r="T259" s="100">
        <v>2642681.7533740001</v>
      </c>
      <c r="U259" s="100">
        <v>2793485.286115</v>
      </c>
      <c r="V259" s="102">
        <v>2995391.8887450001</v>
      </c>
      <c r="W259" s="102">
        <v>3732956.791805</v>
      </c>
      <c r="X259" s="102">
        <v>3729662.9920959999</v>
      </c>
      <c r="Y259" s="100">
        <v>2995391.8887450001</v>
      </c>
      <c r="Z259" s="102"/>
      <c r="AA259" s="102"/>
      <c r="AB259" s="102"/>
      <c r="AC259" s="102">
        <v>1825442</v>
      </c>
      <c r="AD259" s="102">
        <v>1897352</v>
      </c>
      <c r="AE259" s="102">
        <v>1998002</v>
      </c>
      <c r="AF259" s="102">
        <v>2068323</v>
      </c>
      <c r="AG259" s="102">
        <v>2185982</v>
      </c>
      <c r="AH259" s="102">
        <v>2617087</v>
      </c>
      <c r="AI259" s="102">
        <v>2642682</v>
      </c>
      <c r="AJ259" s="102">
        <v>2793485</v>
      </c>
      <c r="AK259" s="102">
        <v>2995391.8887450001</v>
      </c>
      <c r="AL259" s="102">
        <v>3732956.791805</v>
      </c>
      <c r="AM259" s="102">
        <v>3729662.9920959999</v>
      </c>
      <c r="AN259" s="102">
        <v>3843881.4291920005</v>
      </c>
    </row>
    <row r="260" spans="2:40" s="112" customFormat="1" x14ac:dyDescent="0.3">
      <c r="B260" s="78" t="s">
        <v>586</v>
      </c>
      <c r="C260" s="141" t="s">
        <v>443</v>
      </c>
      <c r="D260" s="100">
        <f t="shared" si="29"/>
        <v>5.9202999999999999E-2</v>
      </c>
      <c r="E260" s="100">
        <f t="shared" si="29"/>
        <v>6.1158999999999998E-2</v>
      </c>
      <c r="F260" s="100">
        <f t="shared" si="29"/>
        <v>0.106019</v>
      </c>
      <c r="G260" s="101"/>
      <c r="H260" s="102" t="str">
        <f t="shared" si="26"/>
        <v/>
      </c>
      <c r="I260" s="102" t="str">
        <f t="shared" si="30"/>
        <v/>
      </c>
      <c r="J260" s="102">
        <f t="shared" si="30"/>
        <v>-245.609058</v>
      </c>
      <c r="M260" s="100"/>
      <c r="N260" s="100">
        <v>5.9202999999999999E-2</v>
      </c>
      <c r="O260" s="100">
        <v>5.9854999999999998E-2</v>
      </c>
      <c r="P260" s="100">
        <v>6.0192000000000002E-2</v>
      </c>
      <c r="Q260" s="100">
        <v>6.1090999999999999E-2</v>
      </c>
      <c r="R260" s="100">
        <v>6.1158999999999998E-2</v>
      </c>
      <c r="S260" s="100">
        <v>-2903.4563109999999</v>
      </c>
      <c r="T260" s="100">
        <v>-2547.3876230000001</v>
      </c>
      <c r="U260" s="100">
        <v>-881.56651599999998</v>
      </c>
      <c r="V260" s="100">
        <v>0.106019</v>
      </c>
      <c r="W260" s="100">
        <v>-1341.7650739999999</v>
      </c>
      <c r="X260" s="100">
        <v>-1021.733034</v>
      </c>
      <c r="Y260" s="100">
        <v>0.106019</v>
      </c>
      <c r="Z260" s="100"/>
      <c r="AA260" s="100"/>
      <c r="AB260" s="100"/>
      <c r="AC260" s="100">
        <v>0</v>
      </c>
      <c r="AD260" s="100">
        <v>0</v>
      </c>
      <c r="AE260" s="100">
        <v>0</v>
      </c>
      <c r="AF260" s="100">
        <v>0</v>
      </c>
      <c r="AG260" s="100">
        <v>0</v>
      </c>
      <c r="AH260" s="100">
        <v>-2903</v>
      </c>
      <c r="AI260" s="102">
        <v>-2547</v>
      </c>
      <c r="AJ260" s="102">
        <v>-882</v>
      </c>
      <c r="AK260" s="100">
        <v>0.106019</v>
      </c>
      <c r="AL260" s="100">
        <v>-1341.7650739999999</v>
      </c>
      <c r="AM260" s="100">
        <v>-1021.733034</v>
      </c>
      <c r="AN260" s="102">
        <v>-245.609058</v>
      </c>
    </row>
    <row r="261" spans="2:40" x14ac:dyDescent="0.3">
      <c r="B261" s="61" t="s">
        <v>909</v>
      </c>
      <c r="C261" s="141" t="s">
        <v>910</v>
      </c>
      <c r="D261" s="100" t="str">
        <f t="shared" si="29"/>
        <v/>
      </c>
      <c r="E261" s="100" t="str">
        <f t="shared" si="29"/>
        <v/>
      </c>
      <c r="F261" s="100" t="str">
        <f t="shared" si="29"/>
        <v/>
      </c>
      <c r="G261" s="96"/>
      <c r="H261" s="102" t="str">
        <f t="shared" si="26"/>
        <v/>
      </c>
      <c r="I261" s="102" t="str">
        <f t="shared" si="30"/>
        <v/>
      </c>
      <c r="J261" s="102" t="str">
        <f t="shared" si="30"/>
        <v/>
      </c>
      <c r="M261" s="102"/>
      <c r="N261" s="100">
        <v>0</v>
      </c>
      <c r="O261" s="100">
        <v>0</v>
      </c>
      <c r="P261" s="100">
        <v>0</v>
      </c>
      <c r="Q261" s="100">
        <v>0</v>
      </c>
      <c r="R261" s="100">
        <v>0</v>
      </c>
      <c r="S261" s="100">
        <v>0</v>
      </c>
      <c r="T261" s="100">
        <v>0</v>
      </c>
      <c r="U261" s="100">
        <v>0</v>
      </c>
      <c r="V261" s="102">
        <v>0</v>
      </c>
      <c r="W261" s="102">
        <v>0</v>
      </c>
      <c r="X261" s="102">
        <v>0</v>
      </c>
      <c r="Y261" s="100">
        <v>0</v>
      </c>
      <c r="Z261" s="102"/>
      <c r="AA261" s="102"/>
      <c r="AB261" s="102"/>
      <c r="AC261" s="102">
        <v>0</v>
      </c>
      <c r="AD261" s="102">
        <v>0</v>
      </c>
      <c r="AE261" s="102">
        <v>0</v>
      </c>
      <c r="AF261" s="102">
        <v>0</v>
      </c>
      <c r="AG261" s="102">
        <v>0</v>
      </c>
      <c r="AH261" s="102">
        <v>0</v>
      </c>
      <c r="AI261" s="102">
        <v>0</v>
      </c>
      <c r="AJ261" s="102">
        <v>0</v>
      </c>
      <c r="AK261" s="102">
        <v>0</v>
      </c>
      <c r="AL261" s="102">
        <v>0</v>
      </c>
      <c r="AM261" s="102">
        <v>0</v>
      </c>
      <c r="AN261" s="102" t="s">
        <v>1292</v>
      </c>
    </row>
    <row r="262" spans="2:40" x14ac:dyDescent="0.3">
      <c r="B262" s="61" t="s">
        <v>911</v>
      </c>
      <c r="C262" s="141" t="s">
        <v>912</v>
      </c>
      <c r="D262" s="100" t="str">
        <f t="shared" si="29"/>
        <v/>
      </c>
      <c r="E262" s="100" t="str">
        <f t="shared" si="29"/>
        <v/>
      </c>
      <c r="F262" s="100" t="str">
        <f t="shared" si="29"/>
        <v/>
      </c>
      <c r="G262" s="96"/>
      <c r="H262" s="102" t="str">
        <f t="shared" si="26"/>
        <v/>
      </c>
      <c r="I262" s="102" t="str">
        <f t="shared" si="30"/>
        <v/>
      </c>
      <c r="J262" s="102">
        <f t="shared" si="30"/>
        <v>-245.71660799999998</v>
      </c>
      <c r="M262" s="102"/>
      <c r="N262" s="100">
        <v>0</v>
      </c>
      <c r="O262" s="100">
        <v>0</v>
      </c>
      <c r="P262" s="100">
        <v>0</v>
      </c>
      <c r="Q262" s="100">
        <v>0</v>
      </c>
      <c r="R262" s="100">
        <v>0</v>
      </c>
      <c r="S262" s="100">
        <v>-2903.5175009999998</v>
      </c>
      <c r="T262" s="100">
        <v>-2547.4489720000001</v>
      </c>
      <c r="U262" s="100">
        <v>-881.67253500000004</v>
      </c>
      <c r="V262" s="102">
        <v>0</v>
      </c>
      <c r="W262" s="102">
        <v>-1341.87204</v>
      </c>
      <c r="X262" s="102">
        <v>-1021.840511</v>
      </c>
      <c r="Y262" s="100">
        <v>0</v>
      </c>
      <c r="Z262" s="102"/>
      <c r="AA262" s="102"/>
      <c r="AB262" s="102"/>
      <c r="AC262" s="102">
        <v>0</v>
      </c>
      <c r="AD262" s="102">
        <v>0</v>
      </c>
      <c r="AE262" s="102">
        <v>0</v>
      </c>
      <c r="AF262" s="102">
        <v>0</v>
      </c>
      <c r="AG262" s="102">
        <v>0</v>
      </c>
      <c r="AH262" s="102">
        <v>-2904</v>
      </c>
      <c r="AI262" s="102">
        <v>-2547</v>
      </c>
      <c r="AJ262" s="102">
        <v>-882</v>
      </c>
      <c r="AK262" s="102">
        <v>0</v>
      </c>
      <c r="AL262" s="102">
        <v>-1341.87204</v>
      </c>
      <c r="AM262" s="102">
        <v>-1021.840511</v>
      </c>
      <c r="AN262" s="102">
        <v>-245.71660799999998</v>
      </c>
    </row>
    <row r="263" spans="2:40" x14ac:dyDescent="0.3">
      <c r="B263" s="61" t="s">
        <v>913</v>
      </c>
      <c r="C263" s="141" t="s">
        <v>914</v>
      </c>
      <c r="D263" s="100" t="str">
        <f t="shared" si="29"/>
        <v/>
      </c>
      <c r="E263" s="100" t="str">
        <f t="shared" si="29"/>
        <v/>
      </c>
      <c r="F263" s="100" t="str">
        <f t="shared" si="29"/>
        <v/>
      </c>
      <c r="G263" s="96"/>
      <c r="H263" s="102" t="str">
        <f t="shared" si="26"/>
        <v/>
      </c>
      <c r="I263" s="102" t="str">
        <f t="shared" si="30"/>
        <v/>
      </c>
      <c r="J263" s="102" t="str">
        <f t="shared" si="30"/>
        <v/>
      </c>
      <c r="M263" s="102"/>
      <c r="N263" s="100">
        <v>0</v>
      </c>
      <c r="O263" s="100">
        <v>0</v>
      </c>
      <c r="P263" s="100">
        <v>0</v>
      </c>
      <c r="Q263" s="100">
        <v>0</v>
      </c>
      <c r="R263" s="100">
        <v>0</v>
      </c>
      <c r="S263" s="100">
        <v>0</v>
      </c>
      <c r="T263" s="100">
        <v>0</v>
      </c>
      <c r="U263" s="100">
        <v>0</v>
      </c>
      <c r="V263" s="102">
        <v>0</v>
      </c>
      <c r="W263" s="102">
        <v>0</v>
      </c>
      <c r="X263" s="102">
        <v>0</v>
      </c>
      <c r="Y263" s="100">
        <v>0</v>
      </c>
      <c r="Z263" s="102"/>
      <c r="AA263" s="102"/>
      <c r="AB263" s="102"/>
      <c r="AC263" s="102">
        <v>0</v>
      </c>
      <c r="AD263" s="102">
        <v>0</v>
      </c>
      <c r="AE263" s="102">
        <v>0</v>
      </c>
      <c r="AF263" s="102">
        <v>0</v>
      </c>
      <c r="AG263" s="102">
        <v>0</v>
      </c>
      <c r="AH263" s="102">
        <v>0</v>
      </c>
      <c r="AI263" s="102">
        <v>0</v>
      </c>
      <c r="AJ263" s="102">
        <v>0</v>
      </c>
      <c r="AK263" s="102">
        <v>0</v>
      </c>
      <c r="AL263" s="102">
        <v>0</v>
      </c>
      <c r="AM263" s="102">
        <v>0</v>
      </c>
      <c r="AN263" s="102" t="s">
        <v>1292</v>
      </c>
    </row>
    <row r="264" spans="2:40" x14ac:dyDescent="0.3">
      <c r="B264" s="61" t="s">
        <v>915</v>
      </c>
      <c r="C264" s="141" t="s">
        <v>916</v>
      </c>
      <c r="D264" s="100" t="str">
        <f t="shared" si="29"/>
        <v/>
      </c>
      <c r="E264" s="100" t="str">
        <f t="shared" si="29"/>
        <v/>
      </c>
      <c r="F264" s="100" t="str">
        <f t="shared" si="29"/>
        <v/>
      </c>
      <c r="G264" s="96"/>
      <c r="H264" s="102" t="str">
        <f t="shared" si="26"/>
        <v/>
      </c>
      <c r="I264" s="102" t="str">
        <f t="shared" si="30"/>
        <v/>
      </c>
      <c r="J264" s="102" t="str">
        <f t="shared" si="30"/>
        <v/>
      </c>
      <c r="M264" s="102"/>
      <c r="N264" s="100">
        <v>0</v>
      </c>
      <c r="O264" s="100">
        <v>0</v>
      </c>
      <c r="P264" s="100">
        <v>0</v>
      </c>
      <c r="Q264" s="100">
        <v>0</v>
      </c>
      <c r="R264" s="100">
        <v>0</v>
      </c>
      <c r="S264" s="100">
        <v>0</v>
      </c>
      <c r="T264" s="100">
        <v>0</v>
      </c>
      <c r="U264" s="100">
        <v>0</v>
      </c>
      <c r="V264" s="102">
        <v>0</v>
      </c>
      <c r="W264" s="102">
        <v>0</v>
      </c>
      <c r="X264" s="102">
        <v>0</v>
      </c>
      <c r="Y264" s="100">
        <v>0</v>
      </c>
      <c r="Z264" s="102"/>
      <c r="AA264" s="102"/>
      <c r="AB264" s="102"/>
      <c r="AC264" s="102">
        <v>0</v>
      </c>
      <c r="AD264" s="102">
        <v>0</v>
      </c>
      <c r="AE264" s="102">
        <v>0</v>
      </c>
      <c r="AF264" s="102">
        <v>0</v>
      </c>
      <c r="AG264" s="102">
        <v>0</v>
      </c>
      <c r="AH264" s="102">
        <v>0</v>
      </c>
      <c r="AI264" s="102">
        <v>0</v>
      </c>
      <c r="AJ264" s="102">
        <v>0</v>
      </c>
      <c r="AK264" s="102">
        <v>0</v>
      </c>
      <c r="AL264" s="102">
        <v>0</v>
      </c>
      <c r="AM264" s="102">
        <v>0</v>
      </c>
      <c r="AN264" s="102" t="s">
        <v>1292</v>
      </c>
    </row>
    <row r="265" spans="2:40" x14ac:dyDescent="0.3">
      <c r="B265" s="61" t="s">
        <v>917</v>
      </c>
      <c r="C265" s="141" t="s">
        <v>918</v>
      </c>
      <c r="D265" s="100">
        <f t="shared" si="29"/>
        <v>5.9202999999999999E-2</v>
      </c>
      <c r="E265" s="100">
        <f t="shared" si="29"/>
        <v>6.1158999999999998E-2</v>
      </c>
      <c r="F265" s="100">
        <f t="shared" si="29"/>
        <v>0.106019</v>
      </c>
      <c r="G265" s="96"/>
      <c r="H265" s="102" t="str">
        <f t="shared" si="26"/>
        <v/>
      </c>
      <c r="I265" s="102" t="str">
        <f t="shared" si="30"/>
        <v/>
      </c>
      <c r="J265" s="102">
        <f t="shared" si="30"/>
        <v>0.10755000000000001</v>
      </c>
      <c r="M265" s="102"/>
      <c r="N265" s="100">
        <v>5.9202999999999999E-2</v>
      </c>
      <c r="O265" s="100">
        <v>5.9854999999999998E-2</v>
      </c>
      <c r="P265" s="100">
        <v>6.0192000000000002E-2</v>
      </c>
      <c r="Q265" s="100">
        <v>6.1090999999999999E-2</v>
      </c>
      <c r="R265" s="100">
        <v>6.1158999999999998E-2</v>
      </c>
      <c r="S265" s="100">
        <v>6.1190000000000001E-2</v>
      </c>
      <c r="T265" s="100">
        <v>6.1349000000000001E-2</v>
      </c>
      <c r="U265" s="100">
        <v>0.106019</v>
      </c>
      <c r="V265" s="102">
        <v>0.106019</v>
      </c>
      <c r="W265" s="102">
        <v>0.10696600000000001</v>
      </c>
      <c r="X265" s="102">
        <v>0.107477</v>
      </c>
      <c r="Y265" s="100">
        <v>0.106019</v>
      </c>
      <c r="Z265" s="102"/>
      <c r="AA265" s="102"/>
      <c r="AB265" s="102"/>
      <c r="AC265" s="102">
        <v>0</v>
      </c>
      <c r="AD265" s="102">
        <v>0</v>
      </c>
      <c r="AE265" s="102">
        <v>0</v>
      </c>
      <c r="AF265" s="102">
        <v>0</v>
      </c>
      <c r="AG265" s="102">
        <v>0</v>
      </c>
      <c r="AH265" s="102">
        <v>0</v>
      </c>
      <c r="AI265" s="102">
        <v>0</v>
      </c>
      <c r="AJ265" s="102">
        <v>0</v>
      </c>
      <c r="AK265" s="102">
        <v>0.106019</v>
      </c>
      <c r="AL265" s="102">
        <v>0.10696600000000001</v>
      </c>
      <c r="AM265" s="102">
        <v>0.107477</v>
      </c>
      <c r="AN265" s="102">
        <v>0.10755000000000001</v>
      </c>
    </row>
    <row r="266" spans="2:40" s="112" customFormat="1" x14ac:dyDescent="0.3">
      <c r="B266" s="78" t="s">
        <v>587</v>
      </c>
      <c r="C266" s="141" t="s">
        <v>444</v>
      </c>
      <c r="D266" s="100">
        <f t="shared" ref="D266:F285" si="31">IF(HLOOKUP(D$5,$M$5:$Y$370,ROW()-ROW($F$4),FALSE)=0,"",HLOOKUP(D$5,$M$5:$Y$370,ROW()-ROW($F$4),FALSE))</f>
        <v>1217308.6997219999</v>
      </c>
      <c r="E266" s="100">
        <f t="shared" si="31"/>
        <v>1058034.3223600001</v>
      </c>
      <c r="F266" s="100">
        <f t="shared" si="31"/>
        <v>1188803.837052</v>
      </c>
      <c r="G266" s="101"/>
      <c r="H266" s="102">
        <f t="shared" si="26"/>
        <v>1271358</v>
      </c>
      <c r="I266" s="102">
        <f t="shared" si="30"/>
        <v>1136803</v>
      </c>
      <c r="J266" s="102">
        <f t="shared" si="30"/>
        <v>1182228.3700350001</v>
      </c>
      <c r="M266" s="100"/>
      <c r="N266" s="100">
        <v>1217308.6997219999</v>
      </c>
      <c r="O266" s="100">
        <v>768714.55690700002</v>
      </c>
      <c r="P266" s="100">
        <v>654215.63596400002</v>
      </c>
      <c r="Q266" s="100">
        <v>831297.77566699998</v>
      </c>
      <c r="R266" s="100">
        <v>1058034.3223600001</v>
      </c>
      <c r="S266" s="100">
        <v>681757.17988900002</v>
      </c>
      <c r="T266" s="100">
        <v>734056.45815800002</v>
      </c>
      <c r="U266" s="100">
        <v>768872.95419299998</v>
      </c>
      <c r="V266" s="100">
        <v>1188803.837052</v>
      </c>
      <c r="W266" s="100">
        <v>1140872.15934</v>
      </c>
      <c r="X266" s="100">
        <v>1184486.7324679999</v>
      </c>
      <c r="Y266" s="100">
        <v>1188803.837052</v>
      </c>
      <c r="Z266" s="100"/>
      <c r="AA266" s="100"/>
      <c r="AB266" s="100"/>
      <c r="AC266" s="100">
        <v>1271358</v>
      </c>
      <c r="AD266" s="100">
        <v>814861</v>
      </c>
      <c r="AE266" s="100">
        <v>695864</v>
      </c>
      <c r="AF266" s="100">
        <v>898272</v>
      </c>
      <c r="AG266" s="100">
        <v>1136803</v>
      </c>
      <c r="AH266" s="100">
        <v>755939</v>
      </c>
      <c r="AI266" s="102">
        <v>810638</v>
      </c>
      <c r="AJ266" s="102">
        <v>832327</v>
      </c>
      <c r="AK266" s="100">
        <v>1238150.2213859996</v>
      </c>
      <c r="AL266" s="100">
        <v>1199051.5745349999</v>
      </c>
      <c r="AM266" s="100">
        <v>1282351.5654780001</v>
      </c>
      <c r="AN266" s="102">
        <v>1182228.3700350001</v>
      </c>
    </row>
    <row r="267" spans="2:40" x14ac:dyDescent="0.3">
      <c r="B267" s="61" t="s">
        <v>919</v>
      </c>
      <c r="C267" s="141" t="s">
        <v>920</v>
      </c>
      <c r="D267" s="100" t="str">
        <f t="shared" si="31"/>
        <v/>
      </c>
      <c r="E267" s="100" t="str">
        <f t="shared" si="31"/>
        <v/>
      </c>
      <c r="F267" s="100" t="str">
        <f t="shared" si="31"/>
        <v/>
      </c>
      <c r="G267" s="96"/>
      <c r="H267" s="102" t="str">
        <f t="shared" si="26"/>
        <v/>
      </c>
      <c r="I267" s="102" t="str">
        <f t="shared" si="30"/>
        <v/>
      </c>
      <c r="J267" s="102" t="str">
        <f t="shared" si="30"/>
        <v/>
      </c>
      <c r="M267" s="102"/>
      <c r="N267" s="100">
        <v>0</v>
      </c>
      <c r="O267" s="100">
        <v>0</v>
      </c>
      <c r="P267" s="100">
        <v>0</v>
      </c>
      <c r="Q267" s="100">
        <v>0</v>
      </c>
      <c r="R267" s="100">
        <v>0</v>
      </c>
      <c r="S267" s="100">
        <v>0</v>
      </c>
      <c r="T267" s="100">
        <v>0</v>
      </c>
      <c r="U267" s="100">
        <v>0</v>
      </c>
      <c r="V267" s="102">
        <v>0</v>
      </c>
      <c r="W267" s="102">
        <v>0</v>
      </c>
      <c r="X267" s="102">
        <v>0</v>
      </c>
      <c r="Y267" s="100">
        <v>0</v>
      </c>
      <c r="Z267" s="102"/>
      <c r="AA267" s="102"/>
      <c r="AB267" s="102"/>
      <c r="AC267" s="102">
        <v>0</v>
      </c>
      <c r="AD267" s="102">
        <v>0</v>
      </c>
      <c r="AE267" s="102">
        <v>0</v>
      </c>
      <c r="AF267" s="102">
        <v>0</v>
      </c>
      <c r="AG267" s="102">
        <v>0</v>
      </c>
      <c r="AH267" s="102">
        <v>0</v>
      </c>
      <c r="AI267" s="102">
        <v>0</v>
      </c>
      <c r="AJ267" s="102">
        <v>0</v>
      </c>
      <c r="AK267" s="102">
        <v>0</v>
      </c>
      <c r="AL267" s="102">
        <v>0</v>
      </c>
      <c r="AM267" s="102">
        <v>0</v>
      </c>
      <c r="AN267" s="102" t="s">
        <v>1292</v>
      </c>
    </row>
    <row r="268" spans="2:40" x14ac:dyDescent="0.3">
      <c r="B268" s="61" t="s">
        <v>921</v>
      </c>
      <c r="C268" s="141" t="s">
        <v>922</v>
      </c>
      <c r="D268" s="100">
        <f t="shared" si="31"/>
        <v>1771.005971</v>
      </c>
      <c r="E268" s="100">
        <f t="shared" si="31"/>
        <v>1947.688971</v>
      </c>
      <c r="F268" s="100">
        <f t="shared" si="31"/>
        <v>1844.909167</v>
      </c>
      <c r="G268" s="96"/>
      <c r="H268" s="102">
        <f t="shared" si="26"/>
        <v>6138</v>
      </c>
      <c r="I268" s="102">
        <f t="shared" si="30"/>
        <v>5686</v>
      </c>
      <c r="J268" s="102">
        <f t="shared" si="30"/>
        <v>5556.0086550000005</v>
      </c>
      <c r="M268" s="102"/>
      <c r="N268" s="100">
        <v>1771.005971</v>
      </c>
      <c r="O268" s="100">
        <v>16338.104992</v>
      </c>
      <c r="P268" s="100">
        <v>898.22811799999999</v>
      </c>
      <c r="Q268" s="100">
        <v>433.47343100000001</v>
      </c>
      <c r="R268" s="100">
        <v>1947.688971</v>
      </c>
      <c r="S268" s="100">
        <v>9619.3418020000008</v>
      </c>
      <c r="T268" s="100">
        <v>6074.5014840000003</v>
      </c>
      <c r="U268" s="100">
        <v>702.67124799999999</v>
      </c>
      <c r="V268" s="102">
        <v>1844.909167</v>
      </c>
      <c r="W268" s="102">
        <v>1384.6206440000001</v>
      </c>
      <c r="X268" s="102">
        <v>42463.945961999998</v>
      </c>
      <c r="Y268" s="100">
        <v>1844.909167</v>
      </c>
      <c r="Z268" s="102"/>
      <c r="AA268" s="102"/>
      <c r="AB268" s="102"/>
      <c r="AC268" s="102">
        <v>6138</v>
      </c>
      <c r="AD268" s="102">
        <v>20370</v>
      </c>
      <c r="AE268" s="102">
        <v>4790</v>
      </c>
      <c r="AF268" s="102">
        <v>4461</v>
      </c>
      <c r="AG268" s="102">
        <v>5686</v>
      </c>
      <c r="AH268" s="102">
        <v>15509</v>
      </c>
      <c r="AI268" s="102">
        <v>9473</v>
      </c>
      <c r="AJ268" s="102">
        <v>4747</v>
      </c>
      <c r="AK268" s="102">
        <v>6156.4057359999997</v>
      </c>
      <c r="AL268" s="102">
        <v>6652.7857370000002</v>
      </c>
      <c r="AM268" s="102">
        <v>114059.915385</v>
      </c>
      <c r="AN268" s="102">
        <v>5556.0086550000005</v>
      </c>
    </row>
    <row r="269" spans="2:40" x14ac:dyDescent="0.3">
      <c r="B269" s="61" t="s">
        <v>923</v>
      </c>
      <c r="C269" s="141" t="s">
        <v>924</v>
      </c>
      <c r="D269" s="100">
        <f t="shared" si="31"/>
        <v>99590.230261000004</v>
      </c>
      <c r="E269" s="100">
        <f t="shared" si="31"/>
        <v>81808.376145000002</v>
      </c>
      <c r="F269" s="100">
        <f t="shared" si="31"/>
        <v>72106.030499</v>
      </c>
      <c r="G269" s="96"/>
      <c r="H269" s="102">
        <f t="shared" si="26"/>
        <v>124754</v>
      </c>
      <c r="I269" s="102">
        <f t="shared" si="30"/>
        <v>110505</v>
      </c>
      <c r="J269" s="102">
        <f t="shared" si="30"/>
        <v>85991.616129000002</v>
      </c>
      <c r="M269" s="102"/>
      <c r="N269" s="100">
        <v>99590.230261000004</v>
      </c>
      <c r="O269" s="100">
        <v>78044.081109000006</v>
      </c>
      <c r="P269" s="100">
        <v>50552.979464999997</v>
      </c>
      <c r="Q269" s="100">
        <v>99161.469824</v>
      </c>
      <c r="R269" s="100">
        <v>81808.376145000002</v>
      </c>
      <c r="S269" s="100">
        <v>54162.249266999999</v>
      </c>
      <c r="T269" s="100">
        <v>49866.323944000003</v>
      </c>
      <c r="U269" s="100">
        <v>64332.431457999999</v>
      </c>
      <c r="V269" s="102">
        <v>72106.030499</v>
      </c>
      <c r="W269" s="102">
        <v>61237.014753000003</v>
      </c>
      <c r="X269" s="102">
        <v>60349.306127000003</v>
      </c>
      <c r="Y269" s="100">
        <v>72106.030499</v>
      </c>
      <c r="Z269" s="102"/>
      <c r="AA269" s="102"/>
      <c r="AB269" s="102"/>
      <c r="AC269" s="102">
        <v>124754</v>
      </c>
      <c r="AD269" s="102">
        <v>102639</v>
      </c>
      <c r="AE269" s="102">
        <v>74985</v>
      </c>
      <c r="AF269" s="102">
        <v>123922</v>
      </c>
      <c r="AG269" s="102">
        <v>110505</v>
      </c>
      <c r="AH269" s="102">
        <v>89212</v>
      </c>
      <c r="AI269" s="102">
        <v>79615</v>
      </c>
      <c r="AJ269" s="102">
        <v>91280</v>
      </c>
      <c r="AK269" s="102">
        <v>93666.559387999994</v>
      </c>
      <c r="AL269" s="102">
        <v>91712.171816000002</v>
      </c>
      <c r="AM269" s="102">
        <v>84983.782735999994</v>
      </c>
      <c r="AN269" s="102">
        <v>85991.616129000002</v>
      </c>
    </row>
    <row r="270" spans="2:40" x14ac:dyDescent="0.3">
      <c r="B270" s="61" t="s">
        <v>925</v>
      </c>
      <c r="C270" s="141" t="s">
        <v>926</v>
      </c>
      <c r="D270" s="100" t="str">
        <f t="shared" si="31"/>
        <v/>
      </c>
      <c r="E270" s="100" t="str">
        <f t="shared" si="31"/>
        <v/>
      </c>
      <c r="F270" s="100" t="str">
        <f t="shared" si="31"/>
        <v/>
      </c>
      <c r="G270" s="96"/>
      <c r="H270" s="102">
        <f t="shared" si="26"/>
        <v>2089</v>
      </c>
      <c r="I270" s="102" t="str">
        <f t="shared" si="30"/>
        <v/>
      </c>
      <c r="J270" s="102">
        <f t="shared" si="30"/>
        <v>323.84669400000001</v>
      </c>
      <c r="M270" s="102"/>
      <c r="N270" s="100">
        <v>0</v>
      </c>
      <c r="O270" s="100">
        <v>0</v>
      </c>
      <c r="P270" s="100">
        <v>0</v>
      </c>
      <c r="Q270" s="100">
        <v>0</v>
      </c>
      <c r="R270" s="100">
        <v>0</v>
      </c>
      <c r="S270" s="100">
        <v>0</v>
      </c>
      <c r="T270" s="100">
        <v>0</v>
      </c>
      <c r="U270" s="100">
        <v>0</v>
      </c>
      <c r="V270" s="102">
        <v>0</v>
      </c>
      <c r="W270" s="102">
        <v>0</v>
      </c>
      <c r="X270" s="102">
        <v>0</v>
      </c>
      <c r="Y270" s="100">
        <v>0</v>
      </c>
      <c r="Z270" s="102"/>
      <c r="AA270" s="102"/>
      <c r="AB270" s="102"/>
      <c r="AC270" s="102">
        <v>2089</v>
      </c>
      <c r="AD270" s="102">
        <v>0</v>
      </c>
      <c r="AE270" s="102">
        <v>0</v>
      </c>
      <c r="AF270" s="102">
        <v>0</v>
      </c>
      <c r="AG270" s="102">
        <v>0</v>
      </c>
      <c r="AH270" s="102">
        <v>0</v>
      </c>
      <c r="AI270" s="102">
        <v>0</v>
      </c>
      <c r="AJ270" s="102">
        <v>0</v>
      </c>
      <c r="AK270" s="102">
        <v>0</v>
      </c>
      <c r="AL270" s="102">
        <v>33.762700000000002</v>
      </c>
      <c r="AM270" s="102">
        <v>458.74599599999999</v>
      </c>
      <c r="AN270" s="102">
        <v>323.84669400000001</v>
      </c>
    </row>
    <row r="271" spans="2:40" x14ac:dyDescent="0.3">
      <c r="B271" s="61" t="s">
        <v>927</v>
      </c>
      <c r="C271" s="141" t="s">
        <v>928</v>
      </c>
      <c r="D271" s="100" t="str">
        <f t="shared" si="31"/>
        <v/>
      </c>
      <c r="E271" s="100" t="str">
        <f t="shared" si="31"/>
        <v/>
      </c>
      <c r="F271" s="100" t="str">
        <f t="shared" si="31"/>
        <v/>
      </c>
      <c r="G271" s="96"/>
      <c r="H271" s="102" t="str">
        <f t="shared" si="26"/>
        <v/>
      </c>
      <c r="I271" s="102" t="str">
        <f t="shared" si="30"/>
        <v/>
      </c>
      <c r="J271" s="102" t="str">
        <f t="shared" si="30"/>
        <v/>
      </c>
      <c r="M271" s="102"/>
      <c r="N271" s="100">
        <v>0</v>
      </c>
      <c r="O271" s="100">
        <v>0</v>
      </c>
      <c r="P271" s="100">
        <v>0</v>
      </c>
      <c r="Q271" s="100">
        <v>0</v>
      </c>
      <c r="R271" s="100">
        <v>0</v>
      </c>
      <c r="S271" s="100">
        <v>0</v>
      </c>
      <c r="T271" s="100">
        <v>0</v>
      </c>
      <c r="U271" s="100">
        <v>0</v>
      </c>
      <c r="V271" s="102">
        <v>0</v>
      </c>
      <c r="W271" s="102">
        <v>0</v>
      </c>
      <c r="X271" s="102">
        <v>0</v>
      </c>
      <c r="Y271" s="100">
        <v>0</v>
      </c>
      <c r="Z271" s="102"/>
      <c r="AA271" s="102"/>
      <c r="AB271" s="102"/>
      <c r="AC271" s="102">
        <v>0</v>
      </c>
      <c r="AD271" s="102">
        <v>0</v>
      </c>
      <c r="AE271" s="102">
        <v>0</v>
      </c>
      <c r="AF271" s="102">
        <v>0</v>
      </c>
      <c r="AG271" s="102">
        <v>0</v>
      </c>
      <c r="AH271" s="102">
        <v>0</v>
      </c>
      <c r="AI271" s="102">
        <v>0</v>
      </c>
      <c r="AJ271" s="102">
        <v>0</v>
      </c>
      <c r="AK271" s="102">
        <v>0</v>
      </c>
      <c r="AL271" s="102">
        <v>0</v>
      </c>
      <c r="AM271" s="102">
        <v>0</v>
      </c>
      <c r="AN271" s="102" t="s">
        <v>1292</v>
      </c>
    </row>
    <row r="272" spans="2:40" x14ac:dyDescent="0.3">
      <c r="B272" s="61" t="s">
        <v>929</v>
      </c>
      <c r="C272" s="141" t="s">
        <v>930</v>
      </c>
      <c r="D272" s="100" t="str">
        <f t="shared" si="31"/>
        <v/>
      </c>
      <c r="E272" s="100">
        <f t="shared" si="31"/>
        <v>200000</v>
      </c>
      <c r="F272" s="100">
        <f t="shared" si="31"/>
        <v>250000</v>
      </c>
      <c r="G272" s="96"/>
      <c r="H272" s="102" t="str">
        <f t="shared" si="26"/>
        <v/>
      </c>
      <c r="I272" s="102">
        <f t="shared" si="30"/>
        <v>200000</v>
      </c>
      <c r="J272" s="102" t="str">
        <f t="shared" si="30"/>
        <v/>
      </c>
      <c r="M272" s="102"/>
      <c r="N272" s="100">
        <v>0</v>
      </c>
      <c r="O272" s="100">
        <v>0</v>
      </c>
      <c r="P272" s="100">
        <v>0</v>
      </c>
      <c r="Q272" s="100">
        <v>0</v>
      </c>
      <c r="R272" s="100">
        <v>200000</v>
      </c>
      <c r="S272" s="100">
        <v>0</v>
      </c>
      <c r="T272" s="100">
        <v>0</v>
      </c>
      <c r="U272" s="100">
        <v>0</v>
      </c>
      <c r="V272" s="102">
        <v>250000</v>
      </c>
      <c r="W272" s="102">
        <v>0</v>
      </c>
      <c r="X272" s="102">
        <v>0</v>
      </c>
      <c r="Y272" s="100">
        <v>250000</v>
      </c>
      <c r="Z272" s="102"/>
      <c r="AA272" s="102"/>
      <c r="AB272" s="102"/>
      <c r="AC272" s="102">
        <v>0</v>
      </c>
      <c r="AD272" s="102">
        <v>0</v>
      </c>
      <c r="AE272" s="102">
        <v>0</v>
      </c>
      <c r="AF272" s="102">
        <v>0</v>
      </c>
      <c r="AG272" s="102">
        <v>200000</v>
      </c>
      <c r="AH272" s="102">
        <v>0</v>
      </c>
      <c r="AI272" s="102">
        <v>0</v>
      </c>
      <c r="AJ272" s="102">
        <v>0</v>
      </c>
      <c r="AK272" s="102">
        <v>250000</v>
      </c>
      <c r="AL272" s="102">
        <v>0</v>
      </c>
      <c r="AM272" s="102">
        <v>0</v>
      </c>
      <c r="AN272" s="102" t="s">
        <v>1292</v>
      </c>
    </row>
    <row r="273" spans="2:40" x14ac:dyDescent="0.3">
      <c r="B273" s="61" t="s">
        <v>588</v>
      </c>
      <c r="C273" s="141" t="s">
        <v>445</v>
      </c>
      <c r="D273" s="100" t="str">
        <f t="shared" si="31"/>
        <v/>
      </c>
      <c r="E273" s="100" t="str">
        <f t="shared" si="31"/>
        <v/>
      </c>
      <c r="F273" s="100" t="str">
        <f t="shared" si="31"/>
        <v/>
      </c>
      <c r="G273" s="96"/>
      <c r="H273" s="102" t="str">
        <f t="shared" si="26"/>
        <v/>
      </c>
      <c r="I273" s="102" t="str">
        <f t="shared" si="30"/>
        <v/>
      </c>
      <c r="J273" s="102" t="str">
        <f t="shared" si="30"/>
        <v/>
      </c>
      <c r="M273" s="102"/>
      <c r="N273" s="100">
        <v>0</v>
      </c>
      <c r="O273" s="100">
        <v>0</v>
      </c>
      <c r="P273" s="100">
        <v>0</v>
      </c>
      <c r="Q273" s="100">
        <v>0</v>
      </c>
      <c r="R273" s="100">
        <v>0</v>
      </c>
      <c r="S273" s="100">
        <v>0</v>
      </c>
      <c r="T273" s="100">
        <v>0</v>
      </c>
      <c r="U273" s="100">
        <v>0</v>
      </c>
      <c r="V273" s="102">
        <v>0</v>
      </c>
      <c r="W273" s="102">
        <v>0</v>
      </c>
      <c r="X273" s="102">
        <v>0</v>
      </c>
      <c r="Y273" s="100">
        <v>0</v>
      </c>
      <c r="Z273" s="102"/>
      <c r="AA273" s="102"/>
      <c r="AB273" s="102"/>
      <c r="AC273" s="102">
        <v>0</v>
      </c>
      <c r="AD273" s="102">
        <v>0</v>
      </c>
      <c r="AE273" s="102">
        <v>0</v>
      </c>
      <c r="AF273" s="102">
        <v>0</v>
      </c>
      <c r="AG273" s="102">
        <v>0</v>
      </c>
      <c r="AH273" s="102">
        <v>0</v>
      </c>
      <c r="AI273" s="102">
        <v>0</v>
      </c>
      <c r="AJ273" s="102">
        <v>0</v>
      </c>
      <c r="AK273" s="102">
        <v>0</v>
      </c>
      <c r="AL273" s="102">
        <v>0</v>
      </c>
      <c r="AM273" s="102">
        <v>0</v>
      </c>
      <c r="AN273" s="102" t="s">
        <v>1292</v>
      </c>
    </row>
    <row r="274" spans="2:40" x14ac:dyDescent="0.3">
      <c r="B274" s="61" t="s">
        <v>590</v>
      </c>
      <c r="C274" s="141" t="s">
        <v>446</v>
      </c>
      <c r="D274" s="100" t="str">
        <f t="shared" si="31"/>
        <v/>
      </c>
      <c r="E274" s="100">
        <f t="shared" si="31"/>
        <v>200000</v>
      </c>
      <c r="F274" s="100">
        <f t="shared" si="31"/>
        <v>250000</v>
      </c>
      <c r="G274" s="96"/>
      <c r="H274" s="102" t="str">
        <f t="shared" si="26"/>
        <v/>
      </c>
      <c r="I274" s="102">
        <f t="shared" si="30"/>
        <v>200000</v>
      </c>
      <c r="J274" s="102" t="str">
        <f t="shared" si="30"/>
        <v/>
      </c>
      <c r="M274" s="102"/>
      <c r="N274" s="100">
        <v>0</v>
      </c>
      <c r="O274" s="100">
        <v>0</v>
      </c>
      <c r="P274" s="100">
        <v>0</v>
      </c>
      <c r="Q274" s="100">
        <v>0</v>
      </c>
      <c r="R274" s="100">
        <v>200000</v>
      </c>
      <c r="S274" s="100">
        <v>0</v>
      </c>
      <c r="T274" s="100">
        <v>0</v>
      </c>
      <c r="U274" s="100">
        <v>0</v>
      </c>
      <c r="V274" s="102">
        <v>250000</v>
      </c>
      <c r="W274" s="102">
        <v>0</v>
      </c>
      <c r="X274" s="102">
        <v>0</v>
      </c>
      <c r="Y274" s="100">
        <v>250000</v>
      </c>
      <c r="Z274" s="102"/>
      <c r="AA274" s="102"/>
      <c r="AB274" s="102"/>
      <c r="AC274" s="102">
        <v>0</v>
      </c>
      <c r="AD274" s="102">
        <v>0</v>
      </c>
      <c r="AE274" s="102">
        <v>0</v>
      </c>
      <c r="AF274" s="102">
        <v>0</v>
      </c>
      <c r="AG274" s="102">
        <v>200000</v>
      </c>
      <c r="AH274" s="102">
        <v>0</v>
      </c>
      <c r="AI274" s="102">
        <v>0</v>
      </c>
      <c r="AJ274" s="102">
        <v>0</v>
      </c>
      <c r="AK274" s="102">
        <v>250000</v>
      </c>
      <c r="AL274" s="102">
        <v>0</v>
      </c>
      <c r="AM274" s="102">
        <v>0</v>
      </c>
      <c r="AN274" s="102" t="s">
        <v>1292</v>
      </c>
    </row>
    <row r="275" spans="2:40" x14ac:dyDescent="0.3">
      <c r="B275" s="61" t="s">
        <v>589</v>
      </c>
      <c r="C275" s="141" t="s">
        <v>447</v>
      </c>
      <c r="D275" s="100" t="str">
        <f t="shared" si="31"/>
        <v/>
      </c>
      <c r="E275" s="100" t="str">
        <f t="shared" si="31"/>
        <v/>
      </c>
      <c r="F275" s="100" t="str">
        <f t="shared" si="31"/>
        <v/>
      </c>
      <c r="G275" s="96"/>
      <c r="H275" s="102" t="str">
        <f t="shared" si="26"/>
        <v/>
      </c>
      <c r="I275" s="102" t="str">
        <f t="shared" si="30"/>
        <v/>
      </c>
      <c r="J275" s="102" t="str">
        <f t="shared" si="30"/>
        <v/>
      </c>
      <c r="M275" s="102"/>
      <c r="N275" s="100">
        <v>0</v>
      </c>
      <c r="O275" s="100">
        <v>0</v>
      </c>
      <c r="P275" s="100">
        <v>0</v>
      </c>
      <c r="Q275" s="100">
        <v>0</v>
      </c>
      <c r="R275" s="100">
        <v>0</v>
      </c>
      <c r="S275" s="100">
        <v>0</v>
      </c>
      <c r="T275" s="100">
        <v>0</v>
      </c>
      <c r="U275" s="100">
        <v>0</v>
      </c>
      <c r="V275" s="102">
        <v>0</v>
      </c>
      <c r="W275" s="102">
        <v>0</v>
      </c>
      <c r="X275" s="102">
        <v>0</v>
      </c>
      <c r="Y275" s="100">
        <v>0</v>
      </c>
      <c r="Z275" s="102"/>
      <c r="AA275" s="102"/>
      <c r="AB275" s="102"/>
      <c r="AC275" s="102">
        <v>0</v>
      </c>
      <c r="AD275" s="102">
        <v>0</v>
      </c>
      <c r="AE275" s="102">
        <v>0</v>
      </c>
      <c r="AF275" s="102">
        <v>0</v>
      </c>
      <c r="AG275" s="102">
        <v>0</v>
      </c>
      <c r="AH275" s="102">
        <v>0</v>
      </c>
      <c r="AI275" s="102">
        <v>0</v>
      </c>
      <c r="AJ275" s="102">
        <v>0</v>
      </c>
      <c r="AK275" s="102">
        <v>0</v>
      </c>
      <c r="AL275" s="102">
        <v>0</v>
      </c>
      <c r="AM275" s="102">
        <v>0</v>
      </c>
      <c r="AN275" s="102" t="s">
        <v>1292</v>
      </c>
    </row>
    <row r="276" spans="2:40" x14ac:dyDescent="0.3">
      <c r="B276" s="61" t="s">
        <v>591</v>
      </c>
      <c r="C276" s="141" t="s">
        <v>448</v>
      </c>
      <c r="D276" s="100" t="str">
        <f t="shared" si="31"/>
        <v/>
      </c>
      <c r="E276" s="100" t="str">
        <f t="shared" si="31"/>
        <v/>
      </c>
      <c r="F276" s="100" t="str">
        <f t="shared" si="31"/>
        <v/>
      </c>
      <c r="G276" s="96"/>
      <c r="H276" s="102" t="str">
        <f t="shared" si="26"/>
        <v/>
      </c>
      <c r="I276" s="102" t="str">
        <f t="shared" ref="I276:J295" si="32">IF(HLOOKUP(I$5,$AB$5:$AN$370,ROW()-ROW($J$4),FALSE)=0,"",HLOOKUP(I$5,$AB$5:$AN$370,ROW()-ROW($J$4),FALSE))</f>
        <v/>
      </c>
      <c r="J276" s="102" t="str">
        <f t="shared" si="32"/>
        <v/>
      </c>
      <c r="M276" s="102"/>
      <c r="N276" s="100">
        <v>0</v>
      </c>
      <c r="O276" s="100">
        <v>0</v>
      </c>
      <c r="P276" s="100">
        <v>0</v>
      </c>
      <c r="Q276" s="100">
        <v>0</v>
      </c>
      <c r="R276" s="100">
        <v>0</v>
      </c>
      <c r="S276" s="100">
        <v>0</v>
      </c>
      <c r="T276" s="100">
        <v>0</v>
      </c>
      <c r="U276" s="100">
        <v>0</v>
      </c>
      <c r="V276" s="102">
        <v>0</v>
      </c>
      <c r="W276" s="102">
        <v>0</v>
      </c>
      <c r="X276" s="102">
        <v>0</v>
      </c>
      <c r="Y276" s="100">
        <v>0</v>
      </c>
      <c r="Z276" s="102"/>
      <c r="AA276" s="102"/>
      <c r="AB276" s="102"/>
      <c r="AC276" s="102">
        <v>0</v>
      </c>
      <c r="AD276" s="102">
        <v>0</v>
      </c>
      <c r="AE276" s="102">
        <v>0</v>
      </c>
      <c r="AF276" s="102">
        <v>0</v>
      </c>
      <c r="AG276" s="102">
        <v>0</v>
      </c>
      <c r="AH276" s="102">
        <v>0</v>
      </c>
      <c r="AI276" s="102">
        <v>0</v>
      </c>
      <c r="AJ276" s="102">
        <v>0</v>
      </c>
      <c r="AK276" s="102">
        <v>0</v>
      </c>
      <c r="AL276" s="102">
        <v>0</v>
      </c>
      <c r="AM276" s="102">
        <v>0</v>
      </c>
      <c r="AN276" s="102" t="s">
        <v>1292</v>
      </c>
    </row>
    <row r="277" spans="2:40" x14ac:dyDescent="0.3">
      <c r="B277" s="61" t="s">
        <v>575</v>
      </c>
      <c r="C277" s="141" t="s">
        <v>425</v>
      </c>
      <c r="D277" s="100" t="str">
        <f t="shared" si="31"/>
        <v/>
      </c>
      <c r="E277" s="100" t="str">
        <f t="shared" si="31"/>
        <v/>
      </c>
      <c r="F277" s="100" t="str">
        <f t="shared" si="31"/>
        <v/>
      </c>
      <c r="G277" s="96"/>
      <c r="H277" s="102" t="str">
        <f t="shared" si="26"/>
        <v/>
      </c>
      <c r="I277" s="102" t="str">
        <f t="shared" si="32"/>
        <v/>
      </c>
      <c r="J277" s="102" t="str">
        <f t="shared" si="32"/>
        <v/>
      </c>
      <c r="M277" s="102"/>
      <c r="N277" s="100">
        <v>0</v>
      </c>
      <c r="O277" s="100">
        <v>0</v>
      </c>
      <c r="P277" s="100">
        <v>0</v>
      </c>
      <c r="Q277" s="100">
        <v>0</v>
      </c>
      <c r="R277" s="100">
        <v>0</v>
      </c>
      <c r="S277" s="100">
        <v>0</v>
      </c>
      <c r="T277" s="100">
        <v>0</v>
      </c>
      <c r="U277" s="100">
        <v>0</v>
      </c>
      <c r="V277" s="102">
        <v>0</v>
      </c>
      <c r="W277" s="102">
        <v>0</v>
      </c>
      <c r="X277" s="102">
        <v>0</v>
      </c>
      <c r="Y277" s="100">
        <v>0</v>
      </c>
      <c r="Z277" s="102"/>
      <c r="AA277" s="102"/>
      <c r="AB277" s="102"/>
      <c r="AC277" s="102">
        <v>0</v>
      </c>
      <c r="AD277" s="102">
        <v>0</v>
      </c>
      <c r="AE277" s="102">
        <v>0</v>
      </c>
      <c r="AF277" s="102">
        <v>0</v>
      </c>
      <c r="AG277" s="102">
        <v>0</v>
      </c>
      <c r="AH277" s="102">
        <v>0</v>
      </c>
      <c r="AI277" s="102">
        <v>0</v>
      </c>
      <c r="AJ277" s="102">
        <v>0</v>
      </c>
      <c r="AK277" s="102">
        <v>0</v>
      </c>
      <c r="AL277" s="102">
        <v>0</v>
      </c>
      <c r="AM277" s="102">
        <v>0</v>
      </c>
      <c r="AN277" s="102" t="s">
        <v>1292</v>
      </c>
    </row>
    <row r="278" spans="2:40" x14ac:dyDescent="0.3">
      <c r="B278" s="61" t="s">
        <v>931</v>
      </c>
      <c r="C278" s="141" t="s">
        <v>932</v>
      </c>
      <c r="D278" s="100">
        <f t="shared" si="31"/>
        <v>598648.78516199999</v>
      </c>
      <c r="E278" s="100">
        <f t="shared" si="31"/>
        <v>299429.951306</v>
      </c>
      <c r="F278" s="100">
        <f t="shared" si="31"/>
        <v>299320.99855999998</v>
      </c>
      <c r="G278" s="96"/>
      <c r="H278" s="102">
        <f t="shared" si="26"/>
        <v>598649</v>
      </c>
      <c r="I278" s="102">
        <f t="shared" si="32"/>
        <v>299430</v>
      </c>
      <c r="J278" s="102">
        <f t="shared" si="32"/>
        <v>498823.57656100002</v>
      </c>
      <c r="M278" s="102"/>
      <c r="N278" s="100">
        <v>598648.78516199999</v>
      </c>
      <c r="O278" s="100">
        <v>299489.75352799997</v>
      </c>
      <c r="P278" s="100">
        <v>299469.60039799998</v>
      </c>
      <c r="Q278" s="100">
        <v>299449.66632399999</v>
      </c>
      <c r="R278" s="100">
        <v>299429.951306</v>
      </c>
      <c r="S278" s="100">
        <v>299402.57935900002</v>
      </c>
      <c r="T278" s="100">
        <v>299375.20741199999</v>
      </c>
      <c r="U278" s="100">
        <v>299348.13298599998</v>
      </c>
      <c r="V278" s="102">
        <v>299320.99855999998</v>
      </c>
      <c r="W278" s="102">
        <v>498890.91196900001</v>
      </c>
      <c r="X278" s="102">
        <v>498857.06028899999</v>
      </c>
      <c r="Y278" s="100">
        <v>299320.99855999998</v>
      </c>
      <c r="Z278" s="102"/>
      <c r="AA278" s="102"/>
      <c r="AB278" s="102"/>
      <c r="AC278" s="102">
        <v>598649</v>
      </c>
      <c r="AD278" s="102">
        <v>299490</v>
      </c>
      <c r="AE278" s="102">
        <v>299470</v>
      </c>
      <c r="AF278" s="102">
        <v>299450</v>
      </c>
      <c r="AG278" s="102">
        <v>299430</v>
      </c>
      <c r="AH278" s="102">
        <v>299403</v>
      </c>
      <c r="AI278" s="102">
        <v>299375</v>
      </c>
      <c r="AJ278" s="102">
        <v>299348</v>
      </c>
      <c r="AK278" s="102">
        <v>299320.99855999998</v>
      </c>
      <c r="AL278" s="102">
        <v>498890.91196900001</v>
      </c>
      <c r="AM278" s="102">
        <v>498857.06028899999</v>
      </c>
      <c r="AN278" s="102">
        <v>498823.57656100002</v>
      </c>
    </row>
    <row r="279" spans="2:40" x14ac:dyDescent="0.3">
      <c r="B279" s="61" t="s">
        <v>592</v>
      </c>
      <c r="C279" s="141" t="s">
        <v>449</v>
      </c>
      <c r="D279" s="100">
        <f t="shared" si="31"/>
        <v>598648.78516199999</v>
      </c>
      <c r="E279" s="100">
        <f t="shared" si="31"/>
        <v>299429.951306</v>
      </c>
      <c r="F279" s="100">
        <f t="shared" si="31"/>
        <v>299320.99855999998</v>
      </c>
      <c r="G279" s="96"/>
      <c r="H279" s="102">
        <f t="shared" si="26"/>
        <v>598649</v>
      </c>
      <c r="I279" s="102">
        <f t="shared" si="32"/>
        <v>299430</v>
      </c>
      <c r="J279" s="102">
        <f t="shared" si="32"/>
        <v>498823.57656100002</v>
      </c>
      <c r="M279" s="102"/>
      <c r="N279" s="100">
        <v>598648.78516199999</v>
      </c>
      <c r="O279" s="100">
        <v>299489.75352799997</v>
      </c>
      <c r="P279" s="100">
        <v>299469.60039799998</v>
      </c>
      <c r="Q279" s="100">
        <v>299449.66632399999</v>
      </c>
      <c r="R279" s="100">
        <v>299429.951306</v>
      </c>
      <c r="S279" s="100">
        <v>299402.57935900002</v>
      </c>
      <c r="T279" s="100">
        <v>299375.20741199999</v>
      </c>
      <c r="U279" s="100">
        <v>299348.13298599998</v>
      </c>
      <c r="V279" s="102">
        <v>299320.99855999998</v>
      </c>
      <c r="W279" s="102">
        <v>498890.91196900001</v>
      </c>
      <c r="X279" s="102">
        <v>498857.06028899999</v>
      </c>
      <c r="Y279" s="100">
        <v>299320.99855999998</v>
      </c>
      <c r="Z279" s="102"/>
      <c r="AA279" s="102"/>
      <c r="AB279" s="102"/>
      <c r="AC279" s="102">
        <v>598649</v>
      </c>
      <c r="AD279" s="102">
        <v>299490</v>
      </c>
      <c r="AE279" s="102">
        <v>299470</v>
      </c>
      <c r="AF279" s="102">
        <v>299450</v>
      </c>
      <c r="AG279" s="102">
        <v>299430</v>
      </c>
      <c r="AH279" s="102">
        <v>299403</v>
      </c>
      <c r="AI279" s="102">
        <v>299375</v>
      </c>
      <c r="AJ279" s="102">
        <v>299348</v>
      </c>
      <c r="AK279" s="102">
        <v>299320.99855999998</v>
      </c>
      <c r="AL279" s="102">
        <v>498890.91196900001</v>
      </c>
      <c r="AM279" s="102">
        <v>498857.06028899999</v>
      </c>
      <c r="AN279" s="102">
        <v>498823.57656100002</v>
      </c>
    </row>
    <row r="280" spans="2:40" x14ac:dyDescent="0.3">
      <c r="B280" s="61" t="s">
        <v>593</v>
      </c>
      <c r="C280" s="141" t="s">
        <v>450</v>
      </c>
      <c r="D280" s="100" t="str">
        <f t="shared" si="31"/>
        <v/>
      </c>
      <c r="E280" s="100" t="str">
        <f t="shared" si="31"/>
        <v/>
      </c>
      <c r="F280" s="100" t="str">
        <f t="shared" si="31"/>
        <v/>
      </c>
      <c r="G280" s="96"/>
      <c r="H280" s="102" t="str">
        <f t="shared" si="26"/>
        <v/>
      </c>
      <c r="I280" s="102" t="str">
        <f t="shared" si="32"/>
        <v/>
      </c>
      <c r="J280" s="102" t="str">
        <f t="shared" si="32"/>
        <v/>
      </c>
      <c r="M280" s="102"/>
      <c r="N280" s="100">
        <v>0</v>
      </c>
      <c r="O280" s="100">
        <v>0</v>
      </c>
      <c r="P280" s="100">
        <v>0</v>
      </c>
      <c r="Q280" s="100">
        <v>0</v>
      </c>
      <c r="R280" s="100">
        <v>0</v>
      </c>
      <c r="S280" s="100">
        <v>0</v>
      </c>
      <c r="T280" s="100">
        <v>0</v>
      </c>
      <c r="U280" s="100">
        <v>0</v>
      </c>
      <c r="V280" s="102">
        <v>0</v>
      </c>
      <c r="W280" s="102">
        <v>0</v>
      </c>
      <c r="X280" s="102">
        <v>0</v>
      </c>
      <c r="Y280" s="100">
        <v>0</v>
      </c>
      <c r="Z280" s="102"/>
      <c r="AA280" s="102"/>
      <c r="AB280" s="102"/>
      <c r="AC280" s="102">
        <v>0</v>
      </c>
      <c r="AD280" s="102">
        <v>0</v>
      </c>
      <c r="AE280" s="102">
        <v>0</v>
      </c>
      <c r="AF280" s="102">
        <v>0</v>
      </c>
      <c r="AG280" s="102">
        <v>0</v>
      </c>
      <c r="AH280" s="102">
        <v>0</v>
      </c>
      <c r="AI280" s="102">
        <v>0</v>
      </c>
      <c r="AJ280" s="102">
        <v>0</v>
      </c>
      <c r="AK280" s="102">
        <v>0</v>
      </c>
      <c r="AL280" s="102">
        <v>0</v>
      </c>
      <c r="AM280" s="102">
        <v>0</v>
      </c>
      <c r="AN280" s="102" t="s">
        <v>1292</v>
      </c>
    </row>
    <row r="281" spans="2:40" x14ac:dyDescent="0.3">
      <c r="B281" s="61" t="s">
        <v>933</v>
      </c>
      <c r="C281" s="141" t="s">
        <v>934</v>
      </c>
      <c r="D281" s="100" t="str">
        <f t="shared" si="31"/>
        <v/>
      </c>
      <c r="E281" s="100" t="str">
        <f t="shared" si="31"/>
        <v/>
      </c>
      <c r="F281" s="100" t="str">
        <f t="shared" si="31"/>
        <v/>
      </c>
      <c r="G281" s="96"/>
      <c r="H281" s="102" t="str">
        <f t="shared" si="26"/>
        <v/>
      </c>
      <c r="I281" s="102" t="str">
        <f t="shared" si="32"/>
        <v/>
      </c>
      <c r="J281" s="102" t="str">
        <f t="shared" si="32"/>
        <v/>
      </c>
      <c r="M281" s="102"/>
      <c r="N281" s="100">
        <v>0</v>
      </c>
      <c r="O281" s="100">
        <v>0</v>
      </c>
      <c r="P281" s="100">
        <v>0</v>
      </c>
      <c r="Q281" s="100">
        <v>0</v>
      </c>
      <c r="R281" s="100">
        <v>0</v>
      </c>
      <c r="S281" s="100">
        <v>0</v>
      </c>
      <c r="T281" s="100">
        <v>0</v>
      </c>
      <c r="U281" s="100">
        <v>0</v>
      </c>
      <c r="V281" s="102">
        <v>0</v>
      </c>
      <c r="W281" s="102">
        <v>0</v>
      </c>
      <c r="X281" s="102">
        <v>0</v>
      </c>
      <c r="Y281" s="100">
        <v>0</v>
      </c>
      <c r="Z281" s="102"/>
      <c r="AA281" s="102"/>
      <c r="AB281" s="102"/>
      <c r="AC281" s="102">
        <v>0</v>
      </c>
      <c r="AD281" s="102">
        <v>0</v>
      </c>
      <c r="AE281" s="102">
        <v>0</v>
      </c>
      <c r="AF281" s="102">
        <v>0</v>
      </c>
      <c r="AG281" s="102">
        <v>0</v>
      </c>
      <c r="AH281" s="102">
        <v>0</v>
      </c>
      <c r="AI281" s="102">
        <v>0</v>
      </c>
      <c r="AJ281" s="102">
        <v>0</v>
      </c>
      <c r="AK281" s="102">
        <v>0</v>
      </c>
      <c r="AL281" s="102">
        <v>0</v>
      </c>
      <c r="AM281" s="102">
        <v>0</v>
      </c>
      <c r="AN281" s="102" t="s">
        <v>1292</v>
      </c>
    </row>
    <row r="282" spans="2:40" x14ac:dyDescent="0.3">
      <c r="B282" s="61" t="s">
        <v>935</v>
      </c>
      <c r="C282" s="141" t="s">
        <v>936</v>
      </c>
      <c r="D282" s="100">
        <f t="shared" si="31"/>
        <v>1.9726239999999999</v>
      </c>
      <c r="E282" s="100">
        <f t="shared" si="31"/>
        <v>99.943031000000005</v>
      </c>
      <c r="F282" s="100">
        <f t="shared" si="31"/>
        <v>195.41632899999999</v>
      </c>
      <c r="G282" s="96"/>
      <c r="H282" s="102">
        <f t="shared" ref="H282:H345" si="33">IF(HLOOKUP(H$5,$AB$5:$AN$370,ROW()-ROW($J$4),FALSE)=0,"",HLOOKUP(H$5,$AB$5:$AN$370,ROW()-ROW($J$4),FALSE))</f>
        <v>2</v>
      </c>
      <c r="I282" s="102">
        <f t="shared" si="32"/>
        <v>100</v>
      </c>
      <c r="J282" s="102">
        <f t="shared" si="32"/>
        <v>283.63203399999998</v>
      </c>
      <c r="M282" s="102"/>
      <c r="N282" s="100">
        <v>1.9726239999999999</v>
      </c>
      <c r="O282" s="100">
        <v>84.097980000000007</v>
      </c>
      <c r="P282" s="100">
        <v>95.533118000000002</v>
      </c>
      <c r="Q282" s="100">
        <v>95.774749</v>
      </c>
      <c r="R282" s="100">
        <v>99.943031000000005</v>
      </c>
      <c r="S282" s="100">
        <v>106.18837000000001</v>
      </c>
      <c r="T282" s="100">
        <v>118.378417</v>
      </c>
      <c r="U282" s="100">
        <v>181.010695</v>
      </c>
      <c r="V282" s="102">
        <v>195.41632899999999</v>
      </c>
      <c r="W282" s="102">
        <v>196.78810300000001</v>
      </c>
      <c r="X282" s="102">
        <v>201.68453099999999</v>
      </c>
      <c r="Y282" s="100">
        <v>195.41632899999999</v>
      </c>
      <c r="Z282" s="102"/>
      <c r="AA282" s="102"/>
      <c r="AB282" s="102"/>
      <c r="AC282" s="102">
        <v>2</v>
      </c>
      <c r="AD282" s="102">
        <v>152</v>
      </c>
      <c r="AE282" s="102">
        <v>151</v>
      </c>
      <c r="AF282" s="102">
        <v>132</v>
      </c>
      <c r="AG282" s="102">
        <v>100</v>
      </c>
      <c r="AH282" s="102">
        <v>149</v>
      </c>
      <c r="AI282" s="102">
        <v>160</v>
      </c>
      <c r="AJ282" s="102">
        <v>223</v>
      </c>
      <c r="AK282" s="102">
        <v>195.41632899999999</v>
      </c>
      <c r="AL282" s="102">
        <v>269.478835</v>
      </c>
      <c r="AM282" s="102">
        <v>260.29287099999999</v>
      </c>
      <c r="AN282" s="102">
        <v>283.63203399999998</v>
      </c>
    </row>
    <row r="283" spans="2:40" x14ac:dyDescent="0.3">
      <c r="B283" s="61" t="s">
        <v>937</v>
      </c>
      <c r="C283" s="141" t="s">
        <v>938</v>
      </c>
      <c r="D283" s="100">
        <f t="shared" si="31"/>
        <v>40987.529839000003</v>
      </c>
      <c r="E283" s="100">
        <f t="shared" si="31"/>
        <v>40049.013940999997</v>
      </c>
      <c r="F283" s="100">
        <f t="shared" si="31"/>
        <v>128166.75989099999</v>
      </c>
      <c r="G283" s="96"/>
      <c r="H283" s="102">
        <f t="shared" si="33"/>
        <v>44600</v>
      </c>
      <c r="I283" s="102">
        <f t="shared" si="32"/>
        <v>43203</v>
      </c>
      <c r="J283" s="102">
        <f t="shared" si="32"/>
        <v>23305.905914999999</v>
      </c>
      <c r="M283" s="102"/>
      <c r="N283" s="100">
        <v>40987.529839000003</v>
      </c>
      <c r="O283" s="100">
        <v>15296.353195</v>
      </c>
      <c r="P283" s="100">
        <v>13202.205405999999</v>
      </c>
      <c r="Q283" s="100">
        <v>11727.152765999999</v>
      </c>
      <c r="R283" s="100">
        <v>40049.013940999997</v>
      </c>
      <c r="S283" s="100">
        <v>9441.6619769999998</v>
      </c>
      <c r="T283" s="100">
        <v>9841.4115230000007</v>
      </c>
      <c r="U283" s="100">
        <v>17424.703192000001</v>
      </c>
      <c r="V283" s="102">
        <v>128166.75989099999</v>
      </c>
      <c r="W283" s="102">
        <v>16408.347237999998</v>
      </c>
      <c r="X283" s="102">
        <v>16456.483064</v>
      </c>
      <c r="Y283" s="100">
        <v>128166.75989099999</v>
      </c>
      <c r="Z283" s="102"/>
      <c r="AA283" s="102"/>
      <c r="AB283" s="102"/>
      <c r="AC283" s="102">
        <v>44600</v>
      </c>
      <c r="AD283" s="102">
        <v>17689</v>
      </c>
      <c r="AE283" s="102">
        <v>15784</v>
      </c>
      <c r="AF283" s="102">
        <v>14127</v>
      </c>
      <c r="AG283" s="102">
        <v>43203</v>
      </c>
      <c r="AH283" s="102">
        <v>11747</v>
      </c>
      <c r="AI283" s="102">
        <v>11997</v>
      </c>
      <c r="AJ283" s="102">
        <v>19581</v>
      </c>
      <c r="AK283" s="102">
        <v>131398.62954200001</v>
      </c>
      <c r="AL283" s="102">
        <v>18727.863797999998</v>
      </c>
      <c r="AM283" s="102">
        <v>18568.313234000001</v>
      </c>
      <c r="AN283" s="102">
        <v>23305.905914999999</v>
      </c>
    </row>
    <row r="284" spans="2:40" x14ac:dyDescent="0.3">
      <c r="B284" s="61" t="s">
        <v>939</v>
      </c>
      <c r="C284" s="141" t="s">
        <v>940</v>
      </c>
      <c r="D284" s="100" t="str">
        <f t="shared" si="31"/>
        <v/>
      </c>
      <c r="E284" s="100" t="str">
        <f t="shared" si="31"/>
        <v/>
      </c>
      <c r="F284" s="100" t="str">
        <f t="shared" si="31"/>
        <v/>
      </c>
      <c r="G284" s="96"/>
      <c r="H284" s="102" t="str">
        <f t="shared" si="33"/>
        <v/>
      </c>
      <c r="I284" s="102" t="str">
        <f t="shared" si="32"/>
        <v/>
      </c>
      <c r="J284" s="102">
        <f t="shared" si="32"/>
        <v>264.78176100000002</v>
      </c>
      <c r="M284" s="102"/>
      <c r="N284" s="100">
        <v>0</v>
      </c>
      <c r="O284" s="100">
        <v>0</v>
      </c>
      <c r="P284" s="100">
        <v>0</v>
      </c>
      <c r="Q284" s="100">
        <v>0</v>
      </c>
      <c r="R284" s="100">
        <v>0</v>
      </c>
      <c r="S284" s="100">
        <v>0</v>
      </c>
      <c r="T284" s="100">
        <v>0</v>
      </c>
      <c r="U284" s="100">
        <v>0</v>
      </c>
      <c r="V284" s="102">
        <v>0</v>
      </c>
      <c r="W284" s="102">
        <v>0</v>
      </c>
      <c r="X284" s="102">
        <v>0</v>
      </c>
      <c r="Y284" s="100">
        <v>0</v>
      </c>
      <c r="Z284" s="102"/>
      <c r="AA284" s="102"/>
      <c r="AB284" s="102"/>
      <c r="AC284" s="102">
        <v>0</v>
      </c>
      <c r="AD284" s="102">
        <v>0</v>
      </c>
      <c r="AE284" s="102">
        <v>0</v>
      </c>
      <c r="AF284" s="102">
        <v>0</v>
      </c>
      <c r="AG284" s="102">
        <v>0</v>
      </c>
      <c r="AH284" s="102">
        <v>0</v>
      </c>
      <c r="AI284" s="102">
        <v>0</v>
      </c>
      <c r="AJ284" s="102">
        <v>0</v>
      </c>
      <c r="AK284" s="102">
        <v>0</v>
      </c>
      <c r="AL284" s="102">
        <v>3824.707934</v>
      </c>
      <c r="AM284" s="102">
        <v>181.68709200000001</v>
      </c>
      <c r="AN284" s="102">
        <v>264.78176100000002</v>
      </c>
    </row>
    <row r="285" spans="2:40" x14ac:dyDescent="0.3">
      <c r="B285" s="61" t="s">
        <v>941</v>
      </c>
      <c r="C285" s="141" t="s">
        <v>942</v>
      </c>
      <c r="D285" s="100" t="str">
        <f t="shared" si="31"/>
        <v/>
      </c>
      <c r="E285" s="100" t="str">
        <f t="shared" si="31"/>
        <v/>
      </c>
      <c r="F285" s="100" t="str">
        <f t="shared" si="31"/>
        <v/>
      </c>
      <c r="G285" s="96"/>
      <c r="H285" s="102" t="str">
        <f t="shared" si="33"/>
        <v/>
      </c>
      <c r="I285" s="102" t="str">
        <f t="shared" si="32"/>
        <v/>
      </c>
      <c r="J285" s="102" t="str">
        <f t="shared" si="32"/>
        <v/>
      </c>
      <c r="M285" s="102"/>
      <c r="N285" s="100">
        <v>0</v>
      </c>
      <c r="O285" s="100">
        <v>0</v>
      </c>
      <c r="P285" s="100">
        <v>0</v>
      </c>
      <c r="Q285" s="100">
        <v>0</v>
      </c>
      <c r="R285" s="100">
        <v>0</v>
      </c>
      <c r="S285" s="100">
        <v>0</v>
      </c>
      <c r="T285" s="100">
        <v>0</v>
      </c>
      <c r="U285" s="100">
        <v>0</v>
      </c>
      <c r="V285" s="102">
        <v>0</v>
      </c>
      <c r="W285" s="102">
        <v>0</v>
      </c>
      <c r="X285" s="102">
        <v>0</v>
      </c>
      <c r="Y285" s="100">
        <v>0</v>
      </c>
      <c r="Z285" s="102"/>
      <c r="AA285" s="102"/>
      <c r="AB285" s="102"/>
      <c r="AC285" s="102">
        <v>0</v>
      </c>
      <c r="AD285" s="102">
        <v>0</v>
      </c>
      <c r="AE285" s="102">
        <v>0</v>
      </c>
      <c r="AF285" s="102">
        <v>0</v>
      </c>
      <c r="AG285" s="102">
        <v>0</v>
      </c>
      <c r="AH285" s="102">
        <v>0</v>
      </c>
      <c r="AI285" s="102">
        <v>0</v>
      </c>
      <c r="AJ285" s="102">
        <v>0</v>
      </c>
      <c r="AK285" s="102">
        <v>0</v>
      </c>
      <c r="AL285" s="102">
        <v>0</v>
      </c>
      <c r="AM285" s="102">
        <v>0</v>
      </c>
      <c r="AN285" s="102" t="s">
        <v>1292</v>
      </c>
    </row>
    <row r="286" spans="2:40" x14ac:dyDescent="0.3">
      <c r="B286" s="61" t="s">
        <v>943</v>
      </c>
      <c r="C286" s="141" t="s">
        <v>944</v>
      </c>
      <c r="D286" s="100" t="str">
        <f t="shared" ref="D286:F305" si="34">IF(HLOOKUP(D$5,$M$5:$Y$370,ROW()-ROW($F$4),FALSE)=0,"",HLOOKUP(D$5,$M$5:$Y$370,ROW()-ROW($F$4),FALSE))</f>
        <v/>
      </c>
      <c r="E286" s="100" t="str">
        <f t="shared" si="34"/>
        <v/>
      </c>
      <c r="F286" s="100" t="str">
        <f t="shared" si="34"/>
        <v/>
      </c>
      <c r="G286" s="96"/>
      <c r="H286" s="102" t="str">
        <f t="shared" si="33"/>
        <v/>
      </c>
      <c r="I286" s="102" t="str">
        <f t="shared" si="32"/>
        <v/>
      </c>
      <c r="J286" s="102" t="str">
        <f t="shared" si="32"/>
        <v/>
      </c>
      <c r="M286" s="102"/>
      <c r="N286" s="100">
        <v>0</v>
      </c>
      <c r="O286" s="100">
        <v>0</v>
      </c>
      <c r="P286" s="100">
        <v>0</v>
      </c>
      <c r="Q286" s="100">
        <v>0</v>
      </c>
      <c r="R286" s="100">
        <v>0</v>
      </c>
      <c r="S286" s="100">
        <v>0</v>
      </c>
      <c r="T286" s="100">
        <v>0</v>
      </c>
      <c r="U286" s="100">
        <v>0</v>
      </c>
      <c r="V286" s="102">
        <v>0</v>
      </c>
      <c r="W286" s="102">
        <v>0</v>
      </c>
      <c r="X286" s="102">
        <v>0</v>
      </c>
      <c r="Y286" s="100">
        <v>0</v>
      </c>
      <c r="Z286" s="102"/>
      <c r="AA286" s="102"/>
      <c r="AB286" s="102"/>
      <c r="AC286" s="102">
        <v>0</v>
      </c>
      <c r="AD286" s="102">
        <v>0</v>
      </c>
      <c r="AE286" s="102">
        <v>0</v>
      </c>
      <c r="AF286" s="102">
        <v>0</v>
      </c>
      <c r="AG286" s="102">
        <v>0</v>
      </c>
      <c r="AH286" s="102">
        <v>0</v>
      </c>
      <c r="AI286" s="102">
        <v>0</v>
      </c>
      <c r="AJ286" s="102">
        <v>0</v>
      </c>
      <c r="AK286" s="102">
        <v>0</v>
      </c>
      <c r="AL286" s="102">
        <v>0</v>
      </c>
      <c r="AM286" s="102">
        <v>0</v>
      </c>
      <c r="AN286" s="102" t="s">
        <v>1292</v>
      </c>
    </row>
    <row r="287" spans="2:40" x14ac:dyDescent="0.3">
      <c r="B287" s="61" t="s">
        <v>945</v>
      </c>
      <c r="C287" s="141" t="s">
        <v>946</v>
      </c>
      <c r="D287" s="100" t="str">
        <f t="shared" si="34"/>
        <v/>
      </c>
      <c r="E287" s="100" t="str">
        <f t="shared" si="34"/>
        <v/>
      </c>
      <c r="F287" s="100" t="str">
        <f t="shared" si="34"/>
        <v/>
      </c>
      <c r="G287" s="96"/>
      <c r="H287" s="102" t="str">
        <f t="shared" si="33"/>
        <v/>
      </c>
      <c r="I287" s="102" t="str">
        <f t="shared" si="32"/>
        <v/>
      </c>
      <c r="J287" s="102" t="str">
        <f t="shared" si="32"/>
        <v/>
      </c>
      <c r="M287" s="102"/>
      <c r="N287" s="100">
        <v>0</v>
      </c>
      <c r="O287" s="100">
        <v>0</v>
      </c>
      <c r="P287" s="100">
        <v>0</v>
      </c>
      <c r="Q287" s="100">
        <v>0</v>
      </c>
      <c r="R287" s="100">
        <v>0</v>
      </c>
      <c r="S287" s="100">
        <v>0</v>
      </c>
      <c r="T287" s="100">
        <v>0</v>
      </c>
      <c r="U287" s="100">
        <v>0</v>
      </c>
      <c r="V287" s="102">
        <v>0</v>
      </c>
      <c r="W287" s="102">
        <v>0</v>
      </c>
      <c r="X287" s="102">
        <v>0</v>
      </c>
      <c r="Y287" s="100">
        <v>0</v>
      </c>
      <c r="Z287" s="102"/>
      <c r="AA287" s="102"/>
      <c r="AB287" s="102"/>
      <c r="AC287" s="102">
        <v>0</v>
      </c>
      <c r="AD287" s="102">
        <v>0</v>
      </c>
      <c r="AE287" s="102">
        <v>0</v>
      </c>
      <c r="AF287" s="102">
        <v>0</v>
      </c>
      <c r="AG287" s="102">
        <v>0</v>
      </c>
      <c r="AH287" s="102">
        <v>0</v>
      </c>
      <c r="AI287" s="102">
        <v>0</v>
      </c>
      <c r="AJ287" s="102">
        <v>0</v>
      </c>
      <c r="AK287" s="102">
        <v>0</v>
      </c>
      <c r="AL287" s="102">
        <v>0</v>
      </c>
      <c r="AM287" s="102">
        <v>0</v>
      </c>
      <c r="AN287" s="102" t="s">
        <v>1292</v>
      </c>
    </row>
    <row r="288" spans="2:40" x14ac:dyDescent="0.3">
      <c r="B288" s="61" t="s">
        <v>947</v>
      </c>
      <c r="C288" s="141" t="s">
        <v>948</v>
      </c>
      <c r="D288" s="100">
        <f t="shared" si="34"/>
        <v>195366.14067699999</v>
      </c>
      <c r="E288" s="100">
        <f t="shared" si="34"/>
        <v>207351.41085499999</v>
      </c>
      <c r="F288" s="100">
        <f t="shared" si="34"/>
        <v>379826.77373100002</v>
      </c>
      <c r="G288" s="96"/>
      <c r="H288" s="102">
        <f t="shared" si="33"/>
        <v>196428</v>
      </c>
      <c r="I288" s="102">
        <f t="shared" si="32"/>
        <v>208437</v>
      </c>
      <c r="J288" s="102">
        <f t="shared" si="32"/>
        <v>323217.31721499999</v>
      </c>
      <c r="M288" s="102"/>
      <c r="N288" s="100">
        <v>195366.14067699999</v>
      </c>
      <c r="O288" s="100">
        <v>186357.96481899999</v>
      </c>
      <c r="P288" s="100">
        <v>184153.52703600001</v>
      </c>
      <c r="Q288" s="100">
        <v>184104.754908</v>
      </c>
      <c r="R288" s="100">
        <v>207351.41085499999</v>
      </c>
      <c r="S288" s="100">
        <v>240508.87515400001</v>
      </c>
      <c r="T288" s="100">
        <v>242996.40846899999</v>
      </c>
      <c r="U288" s="100">
        <v>298257.09849599999</v>
      </c>
      <c r="V288" s="102">
        <v>379826.77373100002</v>
      </c>
      <c r="W288" s="102">
        <v>364035.40285800002</v>
      </c>
      <c r="X288" s="102">
        <v>361134.376758</v>
      </c>
      <c r="Y288" s="100">
        <v>379826.77373100002</v>
      </c>
      <c r="Z288" s="102"/>
      <c r="AA288" s="102"/>
      <c r="AB288" s="102"/>
      <c r="AC288" s="102">
        <v>196428</v>
      </c>
      <c r="AD288" s="102">
        <v>185500</v>
      </c>
      <c r="AE288" s="102">
        <v>183200</v>
      </c>
      <c r="AF288" s="102">
        <v>184471</v>
      </c>
      <c r="AG288" s="102">
        <v>208437</v>
      </c>
      <c r="AH288" s="102">
        <v>245951</v>
      </c>
      <c r="AI288" s="102">
        <v>248444</v>
      </c>
      <c r="AJ288" s="102">
        <v>303714</v>
      </c>
      <c r="AK288" s="102">
        <v>384860.41717299999</v>
      </c>
      <c r="AL288" s="102">
        <v>353041.34489900002</v>
      </c>
      <c r="AM288" s="102">
        <v>350653.08350499999</v>
      </c>
      <c r="AN288" s="102">
        <v>323217.31721499999</v>
      </c>
    </row>
    <row r="289" spans="2:40" x14ac:dyDescent="0.3">
      <c r="B289" s="61" t="s">
        <v>949</v>
      </c>
      <c r="C289" s="141" t="s">
        <v>950</v>
      </c>
      <c r="D289" s="100">
        <f t="shared" si="34"/>
        <v>118.48699999999999</v>
      </c>
      <c r="E289" s="100">
        <f t="shared" si="34"/>
        <v>115.063923</v>
      </c>
      <c r="F289" s="100">
        <f t="shared" si="34"/>
        <v>111.42634</v>
      </c>
      <c r="G289" s="96"/>
      <c r="H289" s="102">
        <f t="shared" si="33"/>
        <v>118</v>
      </c>
      <c r="I289" s="102">
        <f t="shared" si="32"/>
        <v>115</v>
      </c>
      <c r="J289" s="102">
        <f t="shared" si="32"/>
        <v>25.870692000000002</v>
      </c>
      <c r="M289" s="102"/>
      <c r="N289" s="100">
        <v>118.48699999999999</v>
      </c>
      <c r="O289" s="100">
        <v>117.854314</v>
      </c>
      <c r="P289" s="100">
        <v>116.90648299999999</v>
      </c>
      <c r="Q289" s="100">
        <v>115.976454</v>
      </c>
      <c r="R289" s="100">
        <v>115.063923</v>
      </c>
      <c r="S289" s="100">
        <v>114.13853400000001</v>
      </c>
      <c r="T289" s="100">
        <v>113.22058699999999</v>
      </c>
      <c r="U289" s="100">
        <v>112.31988</v>
      </c>
      <c r="V289" s="102">
        <v>111.42634</v>
      </c>
      <c r="W289" s="102">
        <v>110.530205</v>
      </c>
      <c r="X289" s="102">
        <v>109.641278</v>
      </c>
      <c r="Y289" s="100">
        <v>111.42634</v>
      </c>
      <c r="Z289" s="102"/>
      <c r="AA289" s="102"/>
      <c r="AB289" s="102"/>
      <c r="AC289" s="102">
        <v>118</v>
      </c>
      <c r="AD289" s="102">
        <v>118</v>
      </c>
      <c r="AE289" s="102">
        <v>117</v>
      </c>
      <c r="AF289" s="102">
        <v>116</v>
      </c>
      <c r="AG289" s="102">
        <v>115</v>
      </c>
      <c r="AH289" s="102">
        <v>114</v>
      </c>
      <c r="AI289" s="102">
        <v>113</v>
      </c>
      <c r="AJ289" s="102">
        <v>112</v>
      </c>
      <c r="AK289" s="102">
        <v>111.42634</v>
      </c>
      <c r="AL289" s="102">
        <v>110.530205</v>
      </c>
      <c r="AM289" s="102">
        <v>109.641278</v>
      </c>
      <c r="AN289" s="102">
        <v>25.870692000000002</v>
      </c>
    </row>
    <row r="290" spans="2:40" x14ac:dyDescent="0.3">
      <c r="B290" s="61" t="s">
        <v>594</v>
      </c>
      <c r="C290" s="141" t="s">
        <v>595</v>
      </c>
      <c r="D290" s="100" t="str">
        <f t="shared" si="34"/>
        <v/>
      </c>
      <c r="E290" s="100">
        <f t="shared" si="34"/>
        <v>-3.4230770000000001</v>
      </c>
      <c r="F290" s="100">
        <f t="shared" si="34"/>
        <v>-7.0606600000000004</v>
      </c>
      <c r="G290" s="96"/>
      <c r="H290" s="102" t="str">
        <f t="shared" si="33"/>
        <v/>
      </c>
      <c r="I290" s="102">
        <f t="shared" si="32"/>
        <v>-3</v>
      </c>
      <c r="J290" s="102">
        <f t="shared" si="32"/>
        <v>-0.37930799999999998</v>
      </c>
      <c r="M290" s="102"/>
      <c r="N290" s="100">
        <v>0</v>
      </c>
      <c r="O290" s="100">
        <v>-0.63268599999999997</v>
      </c>
      <c r="P290" s="100">
        <v>-1.5805169999999999</v>
      </c>
      <c r="Q290" s="100">
        <v>-2.5105460000000002</v>
      </c>
      <c r="R290" s="100">
        <v>-3.4230770000000001</v>
      </c>
      <c r="S290" s="100">
        <v>-4.3484660000000002</v>
      </c>
      <c r="T290" s="100">
        <v>-5.266413</v>
      </c>
      <c r="U290" s="100">
        <v>-6.1671199999999997</v>
      </c>
      <c r="V290" s="102">
        <v>-7.0606600000000004</v>
      </c>
      <c r="W290" s="102">
        <v>-7.9567949999999996</v>
      </c>
      <c r="X290" s="102">
        <v>-8.8457220000000003</v>
      </c>
      <c r="Y290" s="100">
        <v>-7.0606600000000004</v>
      </c>
      <c r="Z290" s="102"/>
      <c r="AA290" s="102"/>
      <c r="AB290" s="102"/>
      <c r="AC290" s="102">
        <v>0</v>
      </c>
      <c r="AD290" s="102">
        <v>-1</v>
      </c>
      <c r="AE290" s="102">
        <v>-2</v>
      </c>
      <c r="AF290" s="102">
        <v>-3</v>
      </c>
      <c r="AG290" s="102">
        <v>-3</v>
      </c>
      <c r="AH290" s="102">
        <v>-4</v>
      </c>
      <c r="AI290" s="102">
        <v>-5</v>
      </c>
      <c r="AJ290" s="102">
        <v>-6</v>
      </c>
      <c r="AK290" s="102">
        <v>-7.0606600000000004</v>
      </c>
      <c r="AL290" s="102">
        <v>-7.9567949999999996</v>
      </c>
      <c r="AM290" s="102">
        <v>-8.8457220000000003</v>
      </c>
      <c r="AN290" s="102">
        <v>-0.37930799999999998</v>
      </c>
    </row>
    <row r="291" spans="2:40" x14ac:dyDescent="0.3">
      <c r="B291" s="61" t="s">
        <v>951</v>
      </c>
      <c r="C291" s="141" t="s">
        <v>952</v>
      </c>
      <c r="D291" s="100">
        <f t="shared" si="34"/>
        <v>7087.0528279999999</v>
      </c>
      <c r="E291" s="100">
        <f t="shared" si="34"/>
        <v>13107.425947</v>
      </c>
      <c r="F291" s="100">
        <f t="shared" si="34"/>
        <v>11286.506685</v>
      </c>
      <c r="G291" s="96"/>
      <c r="H291" s="102">
        <f t="shared" si="33"/>
        <v>7087</v>
      </c>
      <c r="I291" s="102">
        <f t="shared" si="32"/>
        <v>13108</v>
      </c>
      <c r="J291" s="102">
        <f t="shared" si="32"/>
        <v>10227.590681</v>
      </c>
      <c r="M291" s="102"/>
      <c r="N291" s="100">
        <v>7087.0528279999999</v>
      </c>
      <c r="O291" s="100">
        <v>12703.102762</v>
      </c>
      <c r="P291" s="100">
        <v>13105.233011</v>
      </c>
      <c r="Q291" s="100">
        <v>13158.918276</v>
      </c>
      <c r="R291" s="100">
        <v>13107.425947</v>
      </c>
      <c r="S291" s="100">
        <v>11811.16749</v>
      </c>
      <c r="T291" s="100">
        <v>11694.916206</v>
      </c>
      <c r="U291" s="100">
        <v>11287.522402000001</v>
      </c>
      <c r="V291" s="102">
        <v>11286.506685</v>
      </c>
      <c r="W291" s="102">
        <v>9887.7000229999994</v>
      </c>
      <c r="X291" s="102">
        <v>10090.391185</v>
      </c>
      <c r="Y291" s="100">
        <v>11286.506685</v>
      </c>
      <c r="Z291" s="102"/>
      <c r="AA291" s="102"/>
      <c r="AB291" s="102"/>
      <c r="AC291" s="102">
        <v>7087</v>
      </c>
      <c r="AD291" s="102">
        <v>12703</v>
      </c>
      <c r="AE291" s="102">
        <v>13106</v>
      </c>
      <c r="AF291" s="102">
        <v>13159</v>
      </c>
      <c r="AG291" s="102">
        <v>13108</v>
      </c>
      <c r="AH291" s="102">
        <v>11811</v>
      </c>
      <c r="AI291" s="102">
        <v>11695</v>
      </c>
      <c r="AJ291" s="102">
        <v>11288</v>
      </c>
      <c r="AK291" s="102">
        <v>11286.506685</v>
      </c>
      <c r="AL291" s="102">
        <v>9887.7000229999994</v>
      </c>
      <c r="AM291" s="102">
        <v>10090.391185</v>
      </c>
      <c r="AN291" s="102">
        <v>10227.590681</v>
      </c>
    </row>
    <row r="292" spans="2:40" x14ac:dyDescent="0.3">
      <c r="B292" s="61" t="s">
        <v>953</v>
      </c>
      <c r="C292" s="141" t="s">
        <v>954</v>
      </c>
      <c r="D292" s="100">
        <f t="shared" si="34"/>
        <v>18692.268585999998</v>
      </c>
      <c r="E292" s="100">
        <f t="shared" si="34"/>
        <v>25016.679706999999</v>
      </c>
      <c r="F292" s="100">
        <f t="shared" si="34"/>
        <v>23472.536677</v>
      </c>
      <c r="G292" s="96"/>
      <c r="H292" s="102">
        <f t="shared" si="33"/>
        <v>18692</v>
      </c>
      <c r="I292" s="102">
        <f t="shared" si="32"/>
        <v>25017</v>
      </c>
      <c r="J292" s="102">
        <f t="shared" si="32"/>
        <v>22691.999604000001</v>
      </c>
      <c r="M292" s="102"/>
      <c r="N292" s="100">
        <v>18692.268585999998</v>
      </c>
      <c r="O292" s="100">
        <v>24443.901991999999</v>
      </c>
      <c r="P292" s="100">
        <v>25000.599837000002</v>
      </c>
      <c r="Q292" s="100">
        <v>25175.399296</v>
      </c>
      <c r="R292" s="100">
        <v>25016.679706999999</v>
      </c>
      <c r="S292" s="100">
        <v>23607.210605</v>
      </c>
      <c r="T292" s="100">
        <v>23501.44023</v>
      </c>
      <c r="U292" s="100">
        <v>23226.249546999999</v>
      </c>
      <c r="V292" s="102">
        <v>23472.536677</v>
      </c>
      <c r="W292" s="102">
        <v>22055.390339000001</v>
      </c>
      <c r="X292" s="102">
        <v>22189.597812</v>
      </c>
      <c r="Y292" s="100">
        <v>23472.536677</v>
      </c>
      <c r="Z292" s="102"/>
      <c r="AA292" s="102"/>
      <c r="AB292" s="102"/>
      <c r="AC292" s="102">
        <v>18692</v>
      </c>
      <c r="AD292" s="102">
        <v>24444</v>
      </c>
      <c r="AE292" s="102">
        <v>25001</v>
      </c>
      <c r="AF292" s="102">
        <v>25175</v>
      </c>
      <c r="AG292" s="102">
        <v>25017</v>
      </c>
      <c r="AH292" s="102">
        <v>23607</v>
      </c>
      <c r="AI292" s="102">
        <v>23501</v>
      </c>
      <c r="AJ292" s="102">
        <v>23226</v>
      </c>
      <c r="AK292" s="102">
        <v>23472.536677</v>
      </c>
      <c r="AL292" s="102">
        <v>22055.390339000001</v>
      </c>
      <c r="AM292" s="102">
        <v>22189.597812</v>
      </c>
      <c r="AN292" s="102">
        <v>22691.999604000001</v>
      </c>
    </row>
    <row r="293" spans="2:40" x14ac:dyDescent="0.3">
      <c r="B293" s="61" t="s">
        <v>955</v>
      </c>
      <c r="C293" s="141" t="s">
        <v>956</v>
      </c>
      <c r="D293" s="100" t="str">
        <f t="shared" si="34"/>
        <v/>
      </c>
      <c r="E293" s="100" t="str">
        <f t="shared" si="34"/>
        <v/>
      </c>
      <c r="F293" s="100" t="str">
        <f t="shared" si="34"/>
        <v/>
      </c>
      <c r="G293" s="96"/>
      <c r="H293" s="102" t="str">
        <f t="shared" si="33"/>
        <v/>
      </c>
      <c r="I293" s="102" t="str">
        <f t="shared" si="32"/>
        <v/>
      </c>
      <c r="J293" s="102" t="str">
        <f t="shared" si="32"/>
        <v/>
      </c>
      <c r="M293" s="102"/>
      <c r="N293" s="100">
        <v>0</v>
      </c>
      <c r="O293" s="100">
        <v>0</v>
      </c>
      <c r="P293" s="100">
        <v>0</v>
      </c>
      <c r="Q293" s="100">
        <v>0</v>
      </c>
      <c r="R293" s="100">
        <v>0</v>
      </c>
      <c r="S293" s="100">
        <v>0</v>
      </c>
      <c r="T293" s="100">
        <v>0</v>
      </c>
      <c r="U293" s="100">
        <v>0</v>
      </c>
      <c r="V293" s="102">
        <v>0</v>
      </c>
      <c r="W293" s="102">
        <v>0</v>
      </c>
      <c r="X293" s="102">
        <v>0</v>
      </c>
      <c r="Y293" s="100">
        <v>0</v>
      </c>
      <c r="Z293" s="102"/>
      <c r="AA293" s="102"/>
      <c r="AB293" s="102"/>
      <c r="AC293" s="102">
        <v>0</v>
      </c>
      <c r="AD293" s="102">
        <v>0</v>
      </c>
      <c r="AE293" s="102">
        <v>0</v>
      </c>
      <c r="AF293" s="102">
        <v>0</v>
      </c>
      <c r="AG293" s="102">
        <v>0</v>
      </c>
      <c r="AH293" s="102">
        <v>0</v>
      </c>
      <c r="AI293" s="102">
        <v>0</v>
      </c>
      <c r="AJ293" s="102">
        <v>0</v>
      </c>
      <c r="AK293" s="102">
        <v>0</v>
      </c>
      <c r="AL293" s="102">
        <v>0</v>
      </c>
      <c r="AM293" s="102">
        <v>0</v>
      </c>
      <c r="AN293" s="102" t="s">
        <v>1292</v>
      </c>
    </row>
    <row r="294" spans="2:40" x14ac:dyDescent="0.3">
      <c r="B294" s="61" t="s">
        <v>957</v>
      </c>
      <c r="C294" s="141" t="s">
        <v>958</v>
      </c>
      <c r="D294" s="100" t="str">
        <f t="shared" si="34"/>
        <v/>
      </c>
      <c r="E294" s="100" t="str">
        <f t="shared" si="34"/>
        <v/>
      </c>
      <c r="F294" s="100" t="str">
        <f t="shared" si="34"/>
        <v/>
      </c>
      <c r="G294" s="96"/>
      <c r="H294" s="102" t="str">
        <f t="shared" si="33"/>
        <v/>
      </c>
      <c r="I294" s="102" t="str">
        <f t="shared" si="32"/>
        <v/>
      </c>
      <c r="J294" s="102" t="str">
        <f t="shared" si="32"/>
        <v/>
      </c>
      <c r="M294" s="102"/>
      <c r="N294" s="100">
        <v>0</v>
      </c>
      <c r="O294" s="100">
        <v>0</v>
      </c>
      <c r="P294" s="100">
        <v>0</v>
      </c>
      <c r="Q294" s="100">
        <v>0</v>
      </c>
      <c r="R294" s="100">
        <v>0</v>
      </c>
      <c r="S294" s="100">
        <v>0</v>
      </c>
      <c r="T294" s="100">
        <v>0</v>
      </c>
      <c r="U294" s="100">
        <v>0</v>
      </c>
      <c r="V294" s="102">
        <v>0</v>
      </c>
      <c r="W294" s="102">
        <v>0</v>
      </c>
      <c r="X294" s="102">
        <v>0</v>
      </c>
      <c r="Y294" s="100">
        <v>0</v>
      </c>
      <c r="Z294" s="102"/>
      <c r="AA294" s="102"/>
      <c r="AB294" s="102"/>
      <c r="AC294" s="102">
        <v>0</v>
      </c>
      <c r="AD294" s="102">
        <v>0</v>
      </c>
      <c r="AE294" s="102">
        <v>0</v>
      </c>
      <c r="AF294" s="102">
        <v>0</v>
      </c>
      <c r="AG294" s="102">
        <v>0</v>
      </c>
      <c r="AH294" s="102">
        <v>0</v>
      </c>
      <c r="AI294" s="102">
        <v>0</v>
      </c>
      <c r="AJ294" s="102">
        <v>0</v>
      </c>
      <c r="AK294" s="102">
        <v>0</v>
      </c>
      <c r="AL294" s="102">
        <v>0</v>
      </c>
      <c r="AM294" s="102">
        <v>0</v>
      </c>
      <c r="AN294" s="102" t="s">
        <v>1292</v>
      </c>
    </row>
    <row r="295" spans="2:40" x14ac:dyDescent="0.3">
      <c r="B295" s="61" t="s">
        <v>959</v>
      </c>
      <c r="C295" s="141" t="s">
        <v>960</v>
      </c>
      <c r="D295" s="100">
        <f t="shared" si="34"/>
        <v>-11605.215758</v>
      </c>
      <c r="E295" s="100">
        <f t="shared" si="34"/>
        <v>-11909.25376</v>
      </c>
      <c r="F295" s="100">
        <f t="shared" si="34"/>
        <v>-12186.029992</v>
      </c>
      <c r="G295" s="96"/>
      <c r="H295" s="102">
        <f t="shared" si="33"/>
        <v>-11605</v>
      </c>
      <c r="I295" s="102">
        <f t="shared" si="32"/>
        <v>-11909</v>
      </c>
      <c r="J295" s="102">
        <f t="shared" si="32"/>
        <v>-12464.408923000001</v>
      </c>
      <c r="M295" s="102"/>
      <c r="N295" s="100">
        <v>-11605.215758</v>
      </c>
      <c r="O295" s="100">
        <v>-11740.799230000001</v>
      </c>
      <c r="P295" s="100">
        <v>-11895.366825999999</v>
      </c>
      <c r="Q295" s="100">
        <v>-12016.481019999999</v>
      </c>
      <c r="R295" s="100">
        <v>-11909.25376</v>
      </c>
      <c r="S295" s="100">
        <v>-11796.043115</v>
      </c>
      <c r="T295" s="100">
        <v>-11806.524024</v>
      </c>
      <c r="U295" s="100">
        <v>-11938.727145000001</v>
      </c>
      <c r="V295" s="102">
        <v>-12186.029992</v>
      </c>
      <c r="W295" s="102">
        <v>-12167.690316</v>
      </c>
      <c r="X295" s="102">
        <v>-12099.206627</v>
      </c>
      <c r="Y295" s="100">
        <v>-12186.029992</v>
      </c>
      <c r="Z295" s="102"/>
      <c r="AA295" s="102"/>
      <c r="AB295" s="102"/>
      <c r="AC295" s="102">
        <v>-11605</v>
      </c>
      <c r="AD295" s="102">
        <v>-11741</v>
      </c>
      <c r="AE295" s="102">
        <v>-11895</v>
      </c>
      <c r="AF295" s="102">
        <v>-12016</v>
      </c>
      <c r="AG295" s="102">
        <v>-11909</v>
      </c>
      <c r="AH295" s="102">
        <v>-11796</v>
      </c>
      <c r="AI295" s="102">
        <v>-11807</v>
      </c>
      <c r="AJ295" s="102">
        <v>-11939</v>
      </c>
      <c r="AK295" s="102">
        <v>-12186.029992</v>
      </c>
      <c r="AL295" s="102">
        <v>-12167.690316</v>
      </c>
      <c r="AM295" s="102">
        <v>-12099.206627</v>
      </c>
      <c r="AN295" s="102">
        <v>-12464.408923000001</v>
      </c>
    </row>
    <row r="296" spans="2:40" x14ac:dyDescent="0.3">
      <c r="B296" s="61" t="s">
        <v>961</v>
      </c>
      <c r="C296" s="141" t="s">
        <v>1518</v>
      </c>
      <c r="D296" s="100">
        <f t="shared" si="34"/>
        <v>-11605.215758</v>
      </c>
      <c r="E296" s="100">
        <f t="shared" si="34"/>
        <v>-11909.25376</v>
      </c>
      <c r="F296" s="100">
        <f t="shared" si="34"/>
        <v>-12186.029992</v>
      </c>
      <c r="G296" s="96"/>
      <c r="H296" s="102">
        <f t="shared" si="33"/>
        <v>-11605</v>
      </c>
      <c r="I296" s="102">
        <f t="shared" ref="I296:J315" si="35">IF(HLOOKUP(I$5,$AB$5:$AN$370,ROW()-ROW($J$4),FALSE)=0,"",HLOOKUP(I$5,$AB$5:$AN$370,ROW()-ROW($J$4),FALSE))</f>
        <v>-11909</v>
      </c>
      <c r="J296" s="102">
        <f t="shared" si="35"/>
        <v>-12464.408923000001</v>
      </c>
      <c r="M296" s="102"/>
      <c r="N296" s="100">
        <v>-11605.215758</v>
      </c>
      <c r="O296" s="100">
        <v>-11740.799230000001</v>
      </c>
      <c r="P296" s="100">
        <v>-11895.366825999999</v>
      </c>
      <c r="Q296" s="100">
        <v>-12016.481019999999</v>
      </c>
      <c r="R296" s="100">
        <v>-11909.25376</v>
      </c>
      <c r="S296" s="100">
        <v>-11796.043115</v>
      </c>
      <c r="T296" s="100">
        <v>-11806.524024</v>
      </c>
      <c r="U296" s="100">
        <v>-11938.727145000001</v>
      </c>
      <c r="V296" s="102">
        <v>-12186.029992</v>
      </c>
      <c r="W296" s="102">
        <v>-12167.690316</v>
      </c>
      <c r="X296" s="102">
        <v>-12099.206627</v>
      </c>
      <c r="Y296" s="100">
        <v>-12186.029992</v>
      </c>
      <c r="Z296" s="102"/>
      <c r="AA296" s="102"/>
      <c r="AB296" s="102"/>
      <c r="AC296" s="102">
        <v>-11605</v>
      </c>
      <c r="AD296" s="102">
        <v>-11741</v>
      </c>
      <c r="AE296" s="102">
        <v>-11895</v>
      </c>
      <c r="AF296" s="102">
        <v>-12016</v>
      </c>
      <c r="AG296" s="102">
        <v>-11909</v>
      </c>
      <c r="AH296" s="102">
        <v>-11796</v>
      </c>
      <c r="AI296" s="102">
        <v>-11807</v>
      </c>
      <c r="AJ296" s="102">
        <v>-11939</v>
      </c>
      <c r="AK296" s="102">
        <v>-12186.029992</v>
      </c>
      <c r="AL296" s="102">
        <v>-12167.690316</v>
      </c>
      <c r="AM296" s="102">
        <v>-12099.206627</v>
      </c>
      <c r="AN296" s="102">
        <v>-12464.408923000001</v>
      </c>
    </row>
    <row r="297" spans="2:40" x14ac:dyDescent="0.3">
      <c r="B297" s="61" t="s">
        <v>962</v>
      </c>
      <c r="C297" s="141" t="s">
        <v>963</v>
      </c>
      <c r="D297" s="100" t="str">
        <f t="shared" si="34"/>
        <v/>
      </c>
      <c r="E297" s="100" t="str">
        <f t="shared" si="34"/>
        <v/>
      </c>
      <c r="F297" s="100" t="str">
        <f t="shared" si="34"/>
        <v/>
      </c>
      <c r="G297" s="96"/>
      <c r="H297" s="102" t="str">
        <f t="shared" si="33"/>
        <v/>
      </c>
      <c r="I297" s="102" t="str">
        <f t="shared" si="35"/>
        <v/>
      </c>
      <c r="J297" s="102" t="str">
        <f t="shared" si="35"/>
        <v/>
      </c>
      <c r="M297" s="102"/>
      <c r="N297" s="100">
        <v>0</v>
      </c>
      <c r="O297" s="100">
        <v>0</v>
      </c>
      <c r="P297" s="100">
        <v>0</v>
      </c>
      <c r="Q297" s="100">
        <v>0</v>
      </c>
      <c r="R297" s="100">
        <v>0</v>
      </c>
      <c r="S297" s="100">
        <v>0</v>
      </c>
      <c r="T297" s="100">
        <v>0</v>
      </c>
      <c r="U297" s="100">
        <v>0</v>
      </c>
      <c r="V297" s="102">
        <v>0</v>
      </c>
      <c r="W297" s="102">
        <v>0</v>
      </c>
      <c r="X297" s="102">
        <v>0</v>
      </c>
      <c r="Y297" s="100">
        <v>0</v>
      </c>
      <c r="Z297" s="102"/>
      <c r="AA297" s="102"/>
      <c r="AB297" s="102"/>
      <c r="AC297" s="102">
        <v>0</v>
      </c>
      <c r="AD297" s="102">
        <v>0</v>
      </c>
      <c r="AE297" s="102">
        <v>0</v>
      </c>
      <c r="AF297" s="102">
        <v>0</v>
      </c>
      <c r="AG297" s="102">
        <v>0</v>
      </c>
      <c r="AH297" s="102">
        <v>0</v>
      </c>
      <c r="AI297" s="102">
        <v>0</v>
      </c>
      <c r="AJ297" s="102">
        <v>0</v>
      </c>
      <c r="AK297" s="102">
        <v>0</v>
      </c>
      <c r="AL297" s="102">
        <v>0</v>
      </c>
      <c r="AM297" s="102">
        <v>0</v>
      </c>
      <c r="AN297" s="102" t="s">
        <v>1292</v>
      </c>
    </row>
    <row r="298" spans="2:40" x14ac:dyDescent="0.3">
      <c r="B298" s="61" t="s">
        <v>964</v>
      </c>
      <c r="C298" s="141" t="s">
        <v>965</v>
      </c>
      <c r="D298" s="100">
        <f t="shared" si="34"/>
        <v>246929.16970200001</v>
      </c>
      <c r="E298" s="100">
        <f t="shared" si="34"/>
        <v>181693.64858099999</v>
      </c>
      <c r="F298" s="100">
        <f t="shared" si="34"/>
        <v>20110.621411</v>
      </c>
      <c r="G298" s="96"/>
      <c r="H298" s="102">
        <f t="shared" si="33"/>
        <v>256536</v>
      </c>
      <c r="I298" s="102">
        <f t="shared" si="35"/>
        <v>216066</v>
      </c>
      <c r="J298" s="102">
        <f t="shared" si="35"/>
        <v>180764.69949499998</v>
      </c>
      <c r="M298" s="102"/>
      <c r="N298" s="100">
        <v>246929.16970200001</v>
      </c>
      <c r="O298" s="100">
        <v>128824.343253</v>
      </c>
      <c r="P298" s="100">
        <v>53525.393877000002</v>
      </c>
      <c r="Q298" s="100">
        <v>184869.83458600001</v>
      </c>
      <c r="R298" s="100">
        <v>181693.64858099999</v>
      </c>
      <c r="S298" s="100">
        <v>18734.207684000001</v>
      </c>
      <c r="T298" s="100">
        <v>76974.536393000002</v>
      </c>
      <c r="U298" s="100">
        <v>37818.096693</v>
      </c>
      <c r="V298" s="102">
        <v>20110.621411</v>
      </c>
      <c r="W298" s="102">
        <v>155600.53603399999</v>
      </c>
      <c r="X298" s="102">
        <v>160795.50264300001</v>
      </c>
      <c r="Y298" s="100">
        <v>20110.621411</v>
      </c>
      <c r="Z298" s="102"/>
      <c r="AA298" s="102"/>
      <c r="AB298" s="102"/>
      <c r="AC298" s="102">
        <v>256536</v>
      </c>
      <c r="AD298" s="102">
        <v>136998</v>
      </c>
      <c r="AE298" s="102">
        <v>56957</v>
      </c>
      <c r="AF298" s="102">
        <v>210972</v>
      </c>
      <c r="AG298" s="102">
        <v>216066</v>
      </c>
      <c r="AH298" s="102">
        <v>35559</v>
      </c>
      <c r="AI298" s="102">
        <v>103227</v>
      </c>
      <c r="AJ298" s="102">
        <v>51697</v>
      </c>
      <c r="AK298" s="102">
        <v>27504.324167999999</v>
      </c>
      <c r="AL298" s="102">
        <v>167121.557359</v>
      </c>
      <c r="AM298" s="102">
        <v>166392.44333800001</v>
      </c>
      <c r="AN298" s="102">
        <v>180764.69949499998</v>
      </c>
    </row>
    <row r="299" spans="2:40" x14ac:dyDescent="0.3">
      <c r="B299" s="61" t="s">
        <v>966</v>
      </c>
      <c r="C299" s="141" t="s">
        <v>967</v>
      </c>
      <c r="D299" s="100">
        <f t="shared" si="34"/>
        <v>43743.193284000001</v>
      </c>
      <c r="E299" s="100">
        <f t="shared" si="34"/>
        <v>10862.316363</v>
      </c>
      <c r="F299" s="100">
        <f t="shared" si="34"/>
        <v>14502.236174</v>
      </c>
      <c r="G299" s="96"/>
      <c r="H299" s="102">
        <f t="shared" si="33"/>
        <v>53350</v>
      </c>
      <c r="I299" s="102">
        <f t="shared" si="35"/>
        <v>45235</v>
      </c>
      <c r="J299" s="102">
        <f t="shared" si="35"/>
        <v>162839.56997499999</v>
      </c>
      <c r="M299" s="102"/>
      <c r="N299" s="100">
        <v>43743.193284000001</v>
      </c>
      <c r="O299" s="100">
        <v>17267.462984999998</v>
      </c>
      <c r="P299" s="100">
        <v>12373.845364000001</v>
      </c>
      <c r="Q299" s="100">
        <v>3130.4987470000001</v>
      </c>
      <c r="R299" s="100">
        <v>10862.316363</v>
      </c>
      <c r="S299" s="100">
        <v>0</v>
      </c>
      <c r="T299" s="100">
        <v>2746.5597750000002</v>
      </c>
      <c r="U299" s="100">
        <v>74.993706000000003</v>
      </c>
      <c r="V299" s="102">
        <v>14502.236174</v>
      </c>
      <c r="W299" s="102">
        <v>66029.976861000003</v>
      </c>
      <c r="X299" s="102">
        <v>120978.02678499999</v>
      </c>
      <c r="Y299" s="100">
        <v>14502.236174</v>
      </c>
      <c r="Z299" s="102"/>
      <c r="AA299" s="102"/>
      <c r="AB299" s="102"/>
      <c r="AC299" s="102">
        <v>53350</v>
      </c>
      <c r="AD299" s="102">
        <v>25442</v>
      </c>
      <c r="AE299" s="102">
        <v>15806</v>
      </c>
      <c r="AF299" s="102">
        <v>29232</v>
      </c>
      <c r="AG299" s="102">
        <v>45235</v>
      </c>
      <c r="AH299" s="102">
        <v>16825</v>
      </c>
      <c r="AI299" s="102">
        <v>28999</v>
      </c>
      <c r="AJ299" s="102">
        <v>13954</v>
      </c>
      <c r="AK299" s="102">
        <v>21895.938931000001</v>
      </c>
      <c r="AL299" s="102">
        <v>77550.998185999997</v>
      </c>
      <c r="AM299" s="102">
        <v>126574.96748000001</v>
      </c>
      <c r="AN299" s="102">
        <v>162839.56997499999</v>
      </c>
    </row>
    <row r="300" spans="2:40" x14ac:dyDescent="0.3">
      <c r="B300" s="61" t="s">
        <v>968</v>
      </c>
      <c r="C300" s="141" t="s">
        <v>969</v>
      </c>
      <c r="D300" s="100">
        <f t="shared" si="34"/>
        <v>203185.97641800001</v>
      </c>
      <c r="E300" s="100">
        <f t="shared" si="34"/>
        <v>170831.332218</v>
      </c>
      <c r="F300" s="100">
        <f t="shared" si="34"/>
        <v>5608.3852370000004</v>
      </c>
      <c r="G300" s="96"/>
      <c r="H300" s="102">
        <f t="shared" si="33"/>
        <v>203186</v>
      </c>
      <c r="I300" s="102">
        <f t="shared" si="35"/>
        <v>170831</v>
      </c>
      <c r="J300" s="102">
        <f t="shared" si="35"/>
        <v>17925.129519999999</v>
      </c>
      <c r="M300" s="102"/>
      <c r="N300" s="100">
        <v>203185.97641800001</v>
      </c>
      <c r="O300" s="100">
        <v>111556.88026799999</v>
      </c>
      <c r="P300" s="100">
        <v>41151.548513000002</v>
      </c>
      <c r="Q300" s="100">
        <v>181739.33583900001</v>
      </c>
      <c r="R300" s="100">
        <v>170831.332218</v>
      </c>
      <c r="S300" s="100">
        <v>18734.207684000001</v>
      </c>
      <c r="T300" s="100">
        <v>74227.976618000001</v>
      </c>
      <c r="U300" s="100">
        <v>37743.102986999998</v>
      </c>
      <c r="V300" s="102">
        <v>5608.3852370000004</v>
      </c>
      <c r="W300" s="102">
        <v>89570.559173000001</v>
      </c>
      <c r="X300" s="102">
        <v>39817.475857999998</v>
      </c>
      <c r="Y300" s="100">
        <v>5608.3852370000004</v>
      </c>
      <c r="Z300" s="102"/>
      <c r="AA300" s="102"/>
      <c r="AB300" s="102"/>
      <c r="AC300" s="102">
        <v>203186</v>
      </c>
      <c r="AD300" s="102">
        <v>111557</v>
      </c>
      <c r="AE300" s="102">
        <v>41152</v>
      </c>
      <c r="AF300" s="102">
        <v>181739</v>
      </c>
      <c r="AG300" s="102">
        <v>170831</v>
      </c>
      <c r="AH300" s="102">
        <v>18734</v>
      </c>
      <c r="AI300" s="102">
        <v>74228</v>
      </c>
      <c r="AJ300" s="102">
        <v>37743</v>
      </c>
      <c r="AK300" s="102">
        <v>5608.3852370000004</v>
      </c>
      <c r="AL300" s="102">
        <v>89570.559173000001</v>
      </c>
      <c r="AM300" s="102">
        <v>39817.475857999998</v>
      </c>
      <c r="AN300" s="102">
        <v>17925.129519999999</v>
      </c>
    </row>
    <row r="301" spans="2:40" x14ac:dyDescent="0.3">
      <c r="B301" s="61" t="s">
        <v>571</v>
      </c>
      <c r="C301" s="141" t="s">
        <v>421</v>
      </c>
      <c r="D301" s="100">
        <f t="shared" si="34"/>
        <v>79365.718857999993</v>
      </c>
      <c r="E301" s="100">
        <f t="shared" si="34"/>
        <v>144.665537</v>
      </c>
      <c r="F301" s="100">
        <f t="shared" si="34"/>
        <v>2943.5481460000001</v>
      </c>
      <c r="G301" s="96"/>
      <c r="H301" s="102">
        <f t="shared" si="33"/>
        <v>79366</v>
      </c>
      <c r="I301" s="102">
        <f t="shared" si="35"/>
        <v>145</v>
      </c>
      <c r="J301" s="102">
        <f t="shared" si="35"/>
        <v>17925.129519999999</v>
      </c>
      <c r="M301" s="102"/>
      <c r="N301" s="100">
        <v>79365.718857999993</v>
      </c>
      <c r="O301" s="100">
        <v>19400.478752999999</v>
      </c>
      <c r="P301" s="100">
        <v>12800.392329</v>
      </c>
      <c r="Q301" s="100">
        <v>972.04018299999996</v>
      </c>
      <c r="R301" s="100">
        <v>144.665537</v>
      </c>
      <c r="S301" s="100">
        <v>701.40409399999999</v>
      </c>
      <c r="T301" s="100">
        <v>1009.744115</v>
      </c>
      <c r="U301" s="100">
        <v>6815.9559499999996</v>
      </c>
      <c r="V301" s="102">
        <v>2943.5481460000001</v>
      </c>
      <c r="W301" s="102">
        <v>60177.002191</v>
      </c>
      <c r="X301" s="102">
        <v>39817.475857999998</v>
      </c>
      <c r="Y301" s="100">
        <v>2943.5481460000001</v>
      </c>
      <c r="Z301" s="102"/>
      <c r="AA301" s="102"/>
      <c r="AB301" s="102"/>
      <c r="AC301" s="102">
        <v>79366</v>
      </c>
      <c r="AD301" s="102">
        <v>19400</v>
      </c>
      <c r="AE301" s="102">
        <v>12800</v>
      </c>
      <c r="AF301" s="102">
        <v>972</v>
      </c>
      <c r="AG301" s="102">
        <v>145</v>
      </c>
      <c r="AH301" s="102">
        <v>701</v>
      </c>
      <c r="AI301" s="102">
        <v>1010</v>
      </c>
      <c r="AJ301" s="102">
        <v>6816</v>
      </c>
      <c r="AK301" s="102">
        <v>2943.5481460000001</v>
      </c>
      <c r="AL301" s="102">
        <v>60177.002191</v>
      </c>
      <c r="AM301" s="102">
        <v>39817.475857999998</v>
      </c>
      <c r="AN301" s="102">
        <v>17925.129519999999</v>
      </c>
    </row>
    <row r="302" spans="2:40" x14ac:dyDescent="0.3">
      <c r="B302" s="61" t="s">
        <v>572</v>
      </c>
      <c r="C302" s="141" t="s">
        <v>422</v>
      </c>
      <c r="D302" s="100">
        <f t="shared" si="34"/>
        <v>167563.45084400001</v>
      </c>
      <c r="E302" s="100">
        <f t="shared" si="34"/>
        <v>181548.98304399999</v>
      </c>
      <c r="F302" s="100">
        <f t="shared" si="34"/>
        <v>17167.073264999999</v>
      </c>
      <c r="G302" s="96"/>
      <c r="H302" s="102">
        <f t="shared" si="33"/>
        <v>177170</v>
      </c>
      <c r="I302" s="102">
        <f t="shared" si="35"/>
        <v>215921</v>
      </c>
      <c r="J302" s="102">
        <f t="shared" si="35"/>
        <v>108736.723985</v>
      </c>
      <c r="M302" s="102"/>
      <c r="N302" s="100">
        <v>167563.45084400001</v>
      </c>
      <c r="O302" s="100">
        <v>109423.8645</v>
      </c>
      <c r="P302" s="100">
        <v>40725.001548</v>
      </c>
      <c r="Q302" s="100">
        <v>183897.79440300001</v>
      </c>
      <c r="R302" s="100">
        <v>181548.98304399999</v>
      </c>
      <c r="S302" s="100">
        <v>18032.80359</v>
      </c>
      <c r="T302" s="100">
        <v>75964.792277999994</v>
      </c>
      <c r="U302" s="100">
        <v>31002.140743</v>
      </c>
      <c r="V302" s="102">
        <v>17167.073264999999</v>
      </c>
      <c r="W302" s="102">
        <v>95423.533842999997</v>
      </c>
      <c r="X302" s="102">
        <v>120978.02678499999</v>
      </c>
      <c r="Y302" s="100">
        <v>17167.073264999999</v>
      </c>
      <c r="Z302" s="102"/>
      <c r="AA302" s="102"/>
      <c r="AB302" s="102"/>
      <c r="AC302" s="102">
        <v>177170</v>
      </c>
      <c r="AD302" s="102">
        <v>117598</v>
      </c>
      <c r="AE302" s="102">
        <v>44157</v>
      </c>
      <c r="AF302" s="102">
        <v>210000</v>
      </c>
      <c r="AG302" s="102">
        <v>215921</v>
      </c>
      <c r="AH302" s="102">
        <v>34857</v>
      </c>
      <c r="AI302" s="102">
        <v>102217</v>
      </c>
      <c r="AJ302" s="102">
        <v>44881</v>
      </c>
      <c r="AK302" s="102">
        <v>24560.776021999998</v>
      </c>
      <c r="AL302" s="102">
        <v>106944.55516800001</v>
      </c>
      <c r="AM302" s="102">
        <v>126574.96748000001</v>
      </c>
      <c r="AN302" s="102">
        <v>108736.723985</v>
      </c>
    </row>
    <row r="303" spans="2:40" x14ac:dyDescent="0.3">
      <c r="B303" s="61" t="s">
        <v>573</v>
      </c>
      <c r="C303" s="141" t="s">
        <v>423</v>
      </c>
      <c r="D303" s="100" t="str">
        <f t="shared" si="34"/>
        <v/>
      </c>
      <c r="E303" s="100" t="str">
        <f t="shared" si="34"/>
        <v/>
      </c>
      <c r="F303" s="100" t="str">
        <f t="shared" si="34"/>
        <v/>
      </c>
      <c r="G303" s="96"/>
      <c r="H303" s="102" t="str">
        <f t="shared" si="33"/>
        <v/>
      </c>
      <c r="I303" s="102" t="str">
        <f t="shared" si="35"/>
        <v/>
      </c>
      <c r="J303" s="102" t="str">
        <f t="shared" si="35"/>
        <v/>
      </c>
      <c r="M303" s="102"/>
      <c r="N303" s="100">
        <v>0</v>
      </c>
      <c r="O303" s="100">
        <v>0</v>
      </c>
      <c r="P303" s="100">
        <v>0</v>
      </c>
      <c r="Q303" s="100">
        <v>0</v>
      </c>
      <c r="R303" s="100">
        <v>0</v>
      </c>
      <c r="S303" s="100">
        <v>0</v>
      </c>
      <c r="T303" s="100">
        <v>0</v>
      </c>
      <c r="U303" s="100">
        <v>0</v>
      </c>
      <c r="V303" s="102">
        <v>0</v>
      </c>
      <c r="W303" s="102">
        <v>0</v>
      </c>
      <c r="X303" s="102">
        <v>0</v>
      </c>
      <c r="Y303" s="100">
        <v>0</v>
      </c>
      <c r="Z303" s="102"/>
      <c r="AA303" s="102"/>
      <c r="AB303" s="102"/>
      <c r="AC303" s="102">
        <v>0</v>
      </c>
      <c r="AD303" s="102">
        <v>0</v>
      </c>
      <c r="AE303" s="102">
        <v>0</v>
      </c>
      <c r="AF303" s="102">
        <v>0</v>
      </c>
      <c r="AG303" s="102">
        <v>0</v>
      </c>
      <c r="AH303" s="102">
        <v>0</v>
      </c>
      <c r="AI303" s="102">
        <v>0</v>
      </c>
      <c r="AJ303" s="102">
        <v>0</v>
      </c>
      <c r="AK303" s="102">
        <v>0</v>
      </c>
      <c r="AL303" s="102">
        <v>0</v>
      </c>
      <c r="AM303" s="102">
        <v>0</v>
      </c>
      <c r="AN303" s="102" t="s">
        <v>1292</v>
      </c>
    </row>
    <row r="304" spans="2:40" x14ac:dyDescent="0.3">
      <c r="B304" s="61" t="s">
        <v>574</v>
      </c>
      <c r="C304" s="141" t="s">
        <v>424</v>
      </c>
      <c r="D304" s="100" t="str">
        <f t="shared" si="34"/>
        <v/>
      </c>
      <c r="E304" s="100" t="str">
        <f t="shared" si="34"/>
        <v/>
      </c>
      <c r="F304" s="100" t="str">
        <f t="shared" si="34"/>
        <v/>
      </c>
      <c r="G304" s="96"/>
      <c r="H304" s="102" t="str">
        <f t="shared" si="33"/>
        <v/>
      </c>
      <c r="I304" s="102" t="str">
        <f t="shared" si="35"/>
        <v/>
      </c>
      <c r="J304" s="102" t="str">
        <f t="shared" si="35"/>
        <v/>
      </c>
      <c r="M304" s="102"/>
      <c r="N304" s="100">
        <v>0</v>
      </c>
      <c r="O304" s="100">
        <v>0</v>
      </c>
      <c r="P304" s="100">
        <v>0</v>
      </c>
      <c r="Q304" s="100">
        <v>0</v>
      </c>
      <c r="R304" s="100">
        <v>0</v>
      </c>
      <c r="S304" s="100">
        <v>0</v>
      </c>
      <c r="T304" s="100">
        <v>0</v>
      </c>
      <c r="U304" s="100">
        <v>0</v>
      </c>
      <c r="V304" s="102">
        <v>0</v>
      </c>
      <c r="W304" s="102">
        <v>0</v>
      </c>
      <c r="X304" s="102">
        <v>0</v>
      </c>
      <c r="Y304" s="100">
        <v>0</v>
      </c>
      <c r="Z304" s="102"/>
      <c r="AA304" s="102"/>
      <c r="AB304" s="102"/>
      <c r="AC304" s="102">
        <v>0</v>
      </c>
      <c r="AD304" s="102">
        <v>0</v>
      </c>
      <c r="AE304" s="102">
        <v>0</v>
      </c>
      <c r="AF304" s="102">
        <v>0</v>
      </c>
      <c r="AG304" s="102">
        <v>0</v>
      </c>
      <c r="AH304" s="102">
        <v>0</v>
      </c>
      <c r="AI304" s="102">
        <v>0</v>
      </c>
      <c r="AJ304" s="102">
        <v>0</v>
      </c>
      <c r="AK304" s="102">
        <v>0</v>
      </c>
      <c r="AL304" s="102">
        <v>0</v>
      </c>
      <c r="AM304" s="102">
        <v>0</v>
      </c>
      <c r="AN304" s="102" t="s">
        <v>1292</v>
      </c>
    </row>
    <row r="305" spans="2:40" x14ac:dyDescent="0.3">
      <c r="B305" s="61" t="s">
        <v>576</v>
      </c>
      <c r="C305" s="141" t="s">
        <v>596</v>
      </c>
      <c r="D305" s="100" t="str">
        <f t="shared" si="34"/>
        <v/>
      </c>
      <c r="E305" s="100" t="str">
        <f t="shared" si="34"/>
        <v/>
      </c>
      <c r="F305" s="100" t="str">
        <f t="shared" si="34"/>
        <v/>
      </c>
      <c r="G305" s="96"/>
      <c r="H305" s="102" t="str">
        <f t="shared" si="33"/>
        <v/>
      </c>
      <c r="I305" s="102" t="str">
        <f t="shared" si="35"/>
        <v/>
      </c>
      <c r="J305" s="102">
        <f t="shared" si="35"/>
        <v>54102.845990000002</v>
      </c>
      <c r="M305" s="102"/>
      <c r="N305" s="100">
        <v>0</v>
      </c>
      <c r="O305" s="100">
        <v>0</v>
      </c>
      <c r="P305" s="100">
        <v>0</v>
      </c>
      <c r="Q305" s="100">
        <v>0</v>
      </c>
      <c r="R305" s="100">
        <v>0</v>
      </c>
      <c r="S305" s="100">
        <v>0</v>
      </c>
      <c r="T305" s="100">
        <v>0</v>
      </c>
      <c r="U305" s="100">
        <v>0</v>
      </c>
      <c r="V305" s="102">
        <v>0</v>
      </c>
      <c r="W305" s="102">
        <v>0</v>
      </c>
      <c r="X305" s="102">
        <v>0</v>
      </c>
      <c r="Y305" s="100">
        <v>0</v>
      </c>
      <c r="Z305" s="102"/>
      <c r="AA305" s="102"/>
      <c r="AB305" s="102"/>
      <c r="AC305" s="102">
        <v>0</v>
      </c>
      <c r="AD305" s="102">
        <v>0</v>
      </c>
      <c r="AE305" s="102">
        <v>0</v>
      </c>
      <c r="AF305" s="102">
        <v>0</v>
      </c>
      <c r="AG305" s="102">
        <v>0</v>
      </c>
      <c r="AH305" s="102">
        <v>0</v>
      </c>
      <c r="AI305" s="102">
        <v>0</v>
      </c>
      <c r="AJ305" s="102">
        <v>0</v>
      </c>
      <c r="AK305" s="102">
        <v>0</v>
      </c>
      <c r="AL305" s="102">
        <v>0</v>
      </c>
      <c r="AM305" s="102">
        <v>0</v>
      </c>
      <c r="AN305" s="102">
        <v>54102.845990000002</v>
      </c>
    </row>
    <row r="306" spans="2:40" x14ac:dyDescent="0.3">
      <c r="B306" s="61" t="s">
        <v>970</v>
      </c>
      <c r="C306" s="141" t="s">
        <v>971</v>
      </c>
      <c r="D306" s="100" t="str">
        <f t="shared" ref="D306:F325" si="36">IF(HLOOKUP(D$5,$M$5:$Y$370,ROW()-ROW($F$4),FALSE)=0,"",HLOOKUP(D$5,$M$5:$Y$370,ROW()-ROW($F$4),FALSE))</f>
        <v/>
      </c>
      <c r="E306" s="100" t="str">
        <f t="shared" si="36"/>
        <v/>
      </c>
      <c r="F306" s="100" t="str">
        <f t="shared" si="36"/>
        <v/>
      </c>
      <c r="G306" s="96"/>
      <c r="H306" s="102" t="str">
        <f t="shared" si="33"/>
        <v/>
      </c>
      <c r="I306" s="102" t="str">
        <f t="shared" si="35"/>
        <v/>
      </c>
      <c r="J306" s="102" t="str">
        <f t="shared" si="35"/>
        <v/>
      </c>
      <c r="M306" s="102"/>
      <c r="N306" s="100">
        <v>0</v>
      </c>
      <c r="O306" s="100">
        <v>0</v>
      </c>
      <c r="P306" s="100">
        <v>0</v>
      </c>
      <c r="Q306" s="100">
        <v>0</v>
      </c>
      <c r="R306" s="100">
        <v>0</v>
      </c>
      <c r="S306" s="100">
        <v>0</v>
      </c>
      <c r="T306" s="100">
        <v>0</v>
      </c>
      <c r="U306" s="100">
        <v>0</v>
      </c>
      <c r="V306" s="102">
        <v>0</v>
      </c>
      <c r="W306" s="102">
        <v>0</v>
      </c>
      <c r="X306" s="102">
        <v>0</v>
      </c>
      <c r="Y306" s="100">
        <v>0</v>
      </c>
      <c r="Z306" s="102"/>
      <c r="AA306" s="102"/>
      <c r="AB306" s="102"/>
      <c r="AC306" s="102">
        <v>0</v>
      </c>
      <c r="AD306" s="102">
        <v>0</v>
      </c>
      <c r="AE306" s="102">
        <v>0</v>
      </c>
      <c r="AF306" s="102">
        <v>0</v>
      </c>
      <c r="AG306" s="102">
        <v>0</v>
      </c>
      <c r="AH306" s="102">
        <v>0</v>
      </c>
      <c r="AI306" s="102">
        <v>0</v>
      </c>
      <c r="AJ306" s="102">
        <v>0</v>
      </c>
      <c r="AK306" s="102">
        <v>0</v>
      </c>
      <c r="AL306" s="102">
        <v>0</v>
      </c>
      <c r="AM306" s="102">
        <v>0</v>
      </c>
      <c r="AN306" s="102" t="s">
        <v>1292</v>
      </c>
    </row>
    <row r="307" spans="2:40" x14ac:dyDescent="0.3">
      <c r="B307" s="61" t="s">
        <v>972</v>
      </c>
      <c r="C307" s="141" t="s">
        <v>973</v>
      </c>
      <c r="D307" s="100">
        <f t="shared" si="36"/>
        <v>2108.7229980000002</v>
      </c>
      <c r="E307" s="100">
        <f t="shared" si="36"/>
        <v>2181.4282429999998</v>
      </c>
      <c r="F307" s="100">
        <f t="shared" si="36"/>
        <v>1072.8066369999999</v>
      </c>
      <c r="G307" s="96"/>
      <c r="H307" s="102">
        <f t="shared" si="33"/>
        <v>5074</v>
      </c>
      <c r="I307" s="102">
        <f t="shared" si="35"/>
        <v>5145</v>
      </c>
      <c r="J307" s="102">
        <f t="shared" si="35"/>
        <v>2914.331866</v>
      </c>
      <c r="M307" s="102"/>
      <c r="N307" s="100">
        <v>2108.7229980000002</v>
      </c>
      <c r="O307" s="100">
        <v>2265.9738360000001</v>
      </c>
      <c r="P307" s="100">
        <v>2291.2802609999999</v>
      </c>
      <c r="Q307" s="100">
        <v>2251.5520750000001</v>
      </c>
      <c r="R307" s="100">
        <v>2181.4282429999998</v>
      </c>
      <c r="S307" s="100">
        <v>1793.957866</v>
      </c>
      <c r="T307" s="100">
        <v>1741.2052900000001</v>
      </c>
      <c r="U307" s="100">
        <v>1735.9490490000001</v>
      </c>
      <c r="V307" s="102">
        <v>1072.8066369999999</v>
      </c>
      <c r="W307" s="102">
        <v>1081.6364570000001</v>
      </c>
      <c r="X307" s="102">
        <v>1042.2322670000001</v>
      </c>
      <c r="Y307" s="100">
        <v>1072.8066369999999</v>
      </c>
      <c r="Z307" s="102"/>
      <c r="AA307" s="102"/>
      <c r="AB307" s="102"/>
      <c r="AC307" s="102">
        <v>5074</v>
      </c>
      <c r="AD307" s="102">
        <v>5180</v>
      </c>
      <c r="AE307" s="102">
        <v>5184</v>
      </c>
      <c r="AF307" s="102">
        <v>5129</v>
      </c>
      <c r="AG307" s="102">
        <v>5145</v>
      </c>
      <c r="AH307" s="102">
        <v>4702</v>
      </c>
      <c r="AI307" s="102">
        <v>4602</v>
      </c>
      <c r="AJ307" s="102">
        <v>4674</v>
      </c>
      <c r="AK307" s="102">
        <v>4020.0975600000002</v>
      </c>
      <c r="AL307" s="102">
        <v>4064.000595</v>
      </c>
      <c r="AM307" s="102">
        <v>3996.597597</v>
      </c>
      <c r="AN307" s="102">
        <v>2914.331866</v>
      </c>
    </row>
    <row r="308" spans="2:40" x14ac:dyDescent="0.3">
      <c r="B308" s="61" t="s">
        <v>974</v>
      </c>
      <c r="C308" s="141" t="s">
        <v>975</v>
      </c>
      <c r="D308" s="100" t="str">
        <f t="shared" si="36"/>
        <v/>
      </c>
      <c r="E308" s="100" t="str">
        <f t="shared" si="36"/>
        <v/>
      </c>
      <c r="F308" s="100" t="str">
        <f t="shared" si="36"/>
        <v/>
      </c>
      <c r="G308" s="96"/>
      <c r="H308" s="102" t="str">
        <f t="shared" si="33"/>
        <v/>
      </c>
      <c r="I308" s="102" t="str">
        <f t="shared" si="35"/>
        <v/>
      </c>
      <c r="J308" s="102" t="str">
        <f t="shared" si="35"/>
        <v/>
      </c>
      <c r="M308" s="102"/>
      <c r="N308" s="100">
        <v>0</v>
      </c>
      <c r="O308" s="100">
        <v>0</v>
      </c>
      <c r="P308" s="100">
        <v>0</v>
      </c>
      <c r="Q308" s="100">
        <v>0</v>
      </c>
      <c r="R308" s="100">
        <v>0</v>
      </c>
      <c r="S308" s="100">
        <v>0</v>
      </c>
      <c r="T308" s="100">
        <v>0</v>
      </c>
      <c r="U308" s="100">
        <v>0</v>
      </c>
      <c r="V308" s="102">
        <v>0</v>
      </c>
      <c r="W308" s="102">
        <v>0</v>
      </c>
      <c r="X308" s="102">
        <v>0</v>
      </c>
      <c r="Y308" s="100">
        <v>0</v>
      </c>
      <c r="Z308" s="102"/>
      <c r="AA308" s="102"/>
      <c r="AB308" s="102"/>
      <c r="AC308" s="102">
        <v>0</v>
      </c>
      <c r="AD308" s="102">
        <v>0</v>
      </c>
      <c r="AE308" s="102">
        <v>0</v>
      </c>
      <c r="AF308" s="102">
        <v>0</v>
      </c>
      <c r="AG308" s="102">
        <v>0</v>
      </c>
      <c r="AH308" s="102">
        <v>0</v>
      </c>
      <c r="AI308" s="102">
        <v>0</v>
      </c>
      <c r="AJ308" s="102">
        <v>0</v>
      </c>
      <c r="AK308" s="102">
        <v>0</v>
      </c>
      <c r="AL308" s="102">
        <v>0</v>
      </c>
      <c r="AM308" s="102">
        <v>0</v>
      </c>
      <c r="AN308" s="102" t="s">
        <v>1292</v>
      </c>
    </row>
    <row r="309" spans="2:40" x14ac:dyDescent="0.3">
      <c r="B309" s="61" t="s">
        <v>976</v>
      </c>
      <c r="C309" s="141" t="s">
        <v>977</v>
      </c>
      <c r="D309" s="100" t="str">
        <f t="shared" si="36"/>
        <v/>
      </c>
      <c r="E309" s="100" t="str">
        <f t="shared" si="36"/>
        <v/>
      </c>
      <c r="F309" s="100" t="str">
        <f t="shared" si="36"/>
        <v/>
      </c>
      <c r="G309" s="96"/>
      <c r="H309" s="102">
        <f t="shared" si="33"/>
        <v>382</v>
      </c>
      <c r="I309" s="102">
        <f t="shared" si="35"/>
        <v>350</v>
      </c>
      <c r="J309" s="102">
        <f t="shared" si="35"/>
        <v>12172.844533</v>
      </c>
      <c r="M309" s="102"/>
      <c r="N309" s="100">
        <v>0</v>
      </c>
      <c r="O309" s="100">
        <v>0</v>
      </c>
      <c r="P309" s="100">
        <v>0</v>
      </c>
      <c r="Q309" s="100">
        <v>0</v>
      </c>
      <c r="R309" s="100">
        <v>0</v>
      </c>
      <c r="S309" s="100">
        <v>0</v>
      </c>
      <c r="T309" s="100">
        <v>0</v>
      </c>
      <c r="U309" s="100">
        <v>0</v>
      </c>
      <c r="V309" s="102">
        <v>0</v>
      </c>
      <c r="W309" s="102">
        <v>0</v>
      </c>
      <c r="X309" s="102">
        <v>0</v>
      </c>
      <c r="Y309" s="100">
        <v>0</v>
      </c>
      <c r="Z309" s="102"/>
      <c r="AA309" s="102"/>
      <c r="AB309" s="102"/>
      <c r="AC309" s="102">
        <v>382</v>
      </c>
      <c r="AD309" s="102">
        <v>363</v>
      </c>
      <c r="AE309" s="102">
        <v>357</v>
      </c>
      <c r="AF309" s="102">
        <v>359</v>
      </c>
      <c r="AG309" s="102">
        <v>350</v>
      </c>
      <c r="AH309" s="102">
        <v>339</v>
      </c>
      <c r="AI309" s="102">
        <v>340</v>
      </c>
      <c r="AJ309" s="102">
        <v>342</v>
      </c>
      <c r="AK309" s="102">
        <v>368.73596300000003</v>
      </c>
      <c r="AL309" s="102">
        <v>8049.696175</v>
      </c>
      <c r="AM309" s="102">
        <v>-3984.6197860000002</v>
      </c>
      <c r="AN309" s="102">
        <v>12172.844533</v>
      </c>
    </row>
    <row r="310" spans="2:40" x14ac:dyDescent="0.3">
      <c r="B310" s="61" t="s">
        <v>597</v>
      </c>
      <c r="C310" s="141" t="s">
        <v>451</v>
      </c>
      <c r="D310" s="100" t="str">
        <f t="shared" si="36"/>
        <v/>
      </c>
      <c r="E310" s="100" t="str">
        <f t="shared" si="36"/>
        <v/>
      </c>
      <c r="F310" s="100" t="str">
        <f t="shared" si="36"/>
        <v/>
      </c>
      <c r="G310" s="96"/>
      <c r="H310" s="102" t="str">
        <f t="shared" si="33"/>
        <v/>
      </c>
      <c r="I310" s="102" t="str">
        <f t="shared" si="35"/>
        <v/>
      </c>
      <c r="J310" s="102" t="str">
        <f t="shared" si="35"/>
        <v/>
      </c>
      <c r="M310" s="102"/>
      <c r="N310" s="100">
        <v>0</v>
      </c>
      <c r="O310" s="100">
        <v>0</v>
      </c>
      <c r="P310" s="100">
        <v>0</v>
      </c>
      <c r="Q310" s="100">
        <v>0</v>
      </c>
      <c r="R310" s="100">
        <v>0</v>
      </c>
      <c r="S310" s="100">
        <v>0</v>
      </c>
      <c r="T310" s="100">
        <v>0</v>
      </c>
      <c r="U310" s="100">
        <v>0</v>
      </c>
      <c r="V310" s="102">
        <v>0</v>
      </c>
      <c r="W310" s="102">
        <v>0</v>
      </c>
      <c r="X310" s="102">
        <v>0</v>
      </c>
      <c r="Y310" s="100">
        <v>0</v>
      </c>
      <c r="Z310" s="102"/>
      <c r="AA310" s="102"/>
      <c r="AB310" s="102"/>
      <c r="AC310" s="102">
        <v>0</v>
      </c>
      <c r="AD310" s="102">
        <v>0</v>
      </c>
      <c r="AE310" s="102">
        <v>0</v>
      </c>
      <c r="AF310" s="102">
        <v>0</v>
      </c>
      <c r="AG310" s="102">
        <v>0</v>
      </c>
      <c r="AH310" s="102">
        <v>0</v>
      </c>
      <c r="AI310" s="102">
        <v>0</v>
      </c>
      <c r="AJ310" s="102">
        <v>0</v>
      </c>
      <c r="AK310" s="102">
        <v>0</v>
      </c>
      <c r="AL310" s="102">
        <v>0</v>
      </c>
      <c r="AM310" s="102">
        <v>0</v>
      </c>
      <c r="AN310" s="102" t="s">
        <v>1292</v>
      </c>
    </row>
    <row r="311" spans="2:40" x14ac:dyDescent="0.3">
      <c r="B311" s="61" t="s">
        <v>598</v>
      </c>
      <c r="C311" s="141" t="s">
        <v>452</v>
      </c>
      <c r="D311" s="100" t="str">
        <f t="shared" si="36"/>
        <v/>
      </c>
      <c r="E311" s="100" t="str">
        <f t="shared" si="36"/>
        <v/>
      </c>
      <c r="F311" s="100" t="str">
        <f t="shared" si="36"/>
        <v/>
      </c>
      <c r="G311" s="96"/>
      <c r="H311" s="102">
        <f t="shared" si="33"/>
        <v>382</v>
      </c>
      <c r="I311" s="102">
        <f t="shared" si="35"/>
        <v>350</v>
      </c>
      <c r="J311" s="102">
        <f t="shared" si="35"/>
        <v>12172.844533</v>
      </c>
      <c r="M311" s="102"/>
      <c r="N311" s="100">
        <v>0</v>
      </c>
      <c r="O311" s="100">
        <v>0</v>
      </c>
      <c r="P311" s="100">
        <v>0</v>
      </c>
      <c r="Q311" s="100">
        <v>0</v>
      </c>
      <c r="R311" s="100">
        <v>0</v>
      </c>
      <c r="S311" s="100">
        <v>0</v>
      </c>
      <c r="T311" s="100">
        <v>0</v>
      </c>
      <c r="U311" s="100">
        <v>0</v>
      </c>
      <c r="V311" s="102">
        <v>0</v>
      </c>
      <c r="W311" s="102">
        <v>0</v>
      </c>
      <c r="X311" s="102">
        <v>0</v>
      </c>
      <c r="Y311" s="100">
        <v>0</v>
      </c>
      <c r="Z311" s="102"/>
      <c r="AA311" s="102"/>
      <c r="AB311" s="102"/>
      <c r="AC311" s="102">
        <v>382</v>
      </c>
      <c r="AD311" s="102">
        <v>363</v>
      </c>
      <c r="AE311" s="102">
        <v>357</v>
      </c>
      <c r="AF311" s="102">
        <v>359</v>
      </c>
      <c r="AG311" s="102">
        <v>350</v>
      </c>
      <c r="AH311" s="102">
        <v>339</v>
      </c>
      <c r="AI311" s="102">
        <v>340</v>
      </c>
      <c r="AJ311" s="102">
        <v>342</v>
      </c>
      <c r="AK311" s="102">
        <v>368.73596300000003</v>
      </c>
      <c r="AL311" s="102">
        <v>8049.696175</v>
      </c>
      <c r="AM311" s="102">
        <v>-3984.6197860000002</v>
      </c>
      <c r="AN311" s="102">
        <v>12172.844533</v>
      </c>
    </row>
    <row r="312" spans="2:40" x14ac:dyDescent="0.3">
      <c r="B312" s="61" t="s">
        <v>978</v>
      </c>
      <c r="C312" s="141" t="s">
        <v>979</v>
      </c>
      <c r="D312" s="100" t="str">
        <f t="shared" si="36"/>
        <v/>
      </c>
      <c r="E312" s="100" t="str">
        <f t="shared" si="36"/>
        <v/>
      </c>
      <c r="F312" s="100" t="str">
        <f t="shared" si="36"/>
        <v/>
      </c>
      <c r="G312" s="96"/>
      <c r="H312" s="102" t="str">
        <f t="shared" si="33"/>
        <v/>
      </c>
      <c r="I312" s="102" t="str">
        <f t="shared" si="35"/>
        <v/>
      </c>
      <c r="J312" s="102" t="str">
        <f t="shared" si="35"/>
        <v/>
      </c>
      <c r="M312" s="102"/>
      <c r="N312" s="100">
        <v>0</v>
      </c>
      <c r="O312" s="100">
        <v>0</v>
      </c>
      <c r="P312" s="100">
        <v>0</v>
      </c>
      <c r="Q312" s="100">
        <v>0</v>
      </c>
      <c r="R312" s="100">
        <v>0</v>
      </c>
      <c r="S312" s="100">
        <v>0</v>
      </c>
      <c r="T312" s="100">
        <v>0</v>
      </c>
      <c r="U312" s="100">
        <v>0</v>
      </c>
      <c r="V312" s="102">
        <v>0</v>
      </c>
      <c r="W312" s="102">
        <v>0</v>
      </c>
      <c r="X312" s="102">
        <v>0</v>
      </c>
      <c r="Y312" s="100">
        <v>0</v>
      </c>
      <c r="Z312" s="102"/>
      <c r="AA312" s="102"/>
      <c r="AB312" s="102"/>
      <c r="AC312" s="102">
        <v>0</v>
      </c>
      <c r="AD312" s="102">
        <v>0</v>
      </c>
      <c r="AE312" s="102">
        <v>0</v>
      </c>
      <c r="AF312" s="102">
        <v>0</v>
      </c>
      <c r="AG312" s="102">
        <v>0</v>
      </c>
      <c r="AH312" s="102">
        <v>0</v>
      </c>
      <c r="AI312" s="102">
        <v>0</v>
      </c>
      <c r="AJ312" s="102">
        <v>0</v>
      </c>
      <c r="AK312" s="102">
        <v>0</v>
      </c>
      <c r="AL312" s="102">
        <v>0</v>
      </c>
      <c r="AM312" s="102">
        <v>0</v>
      </c>
      <c r="AN312" s="102" t="s">
        <v>1292</v>
      </c>
    </row>
    <row r="313" spans="2:40" x14ac:dyDescent="0.3">
      <c r="B313" s="61" t="s">
        <v>980</v>
      </c>
      <c r="C313" s="141" t="s">
        <v>981</v>
      </c>
      <c r="D313" s="100">
        <f t="shared" si="36"/>
        <v>24699.60266</v>
      </c>
      <c r="E313" s="100">
        <f t="shared" si="36"/>
        <v>30250.371416999998</v>
      </c>
      <c r="F313" s="100">
        <f t="shared" si="36"/>
        <v>24761.587801999998</v>
      </c>
      <c r="G313" s="96"/>
      <c r="H313" s="102">
        <f t="shared" si="33"/>
        <v>29501</v>
      </c>
      <c r="I313" s="102">
        <f t="shared" si="35"/>
        <v>34658</v>
      </c>
      <c r="J313" s="102">
        <f t="shared" si="35"/>
        <v>38356.347803999997</v>
      </c>
      <c r="M313" s="102"/>
      <c r="N313" s="100">
        <v>24699.60266</v>
      </c>
      <c r="O313" s="100">
        <v>29192.927119</v>
      </c>
      <c r="P313" s="100">
        <v>36804.748790999998</v>
      </c>
      <c r="Q313" s="100">
        <v>35929.202274000003</v>
      </c>
      <c r="R313" s="100">
        <v>30250.371416999998</v>
      </c>
      <c r="S313" s="100">
        <v>36062.812385999998</v>
      </c>
      <c r="T313" s="100">
        <v>35260.348432999999</v>
      </c>
      <c r="U313" s="100">
        <v>37673.018093999999</v>
      </c>
      <c r="V313" s="102">
        <v>24761.587801999998</v>
      </c>
      <c r="W313" s="102">
        <v>32038.671055999999</v>
      </c>
      <c r="X313" s="102">
        <v>32986.108364</v>
      </c>
      <c r="Y313" s="100">
        <v>24761.587801999998</v>
      </c>
      <c r="Z313" s="102"/>
      <c r="AA313" s="102"/>
      <c r="AB313" s="102"/>
      <c r="AC313" s="102">
        <v>29501</v>
      </c>
      <c r="AD313" s="102">
        <v>33659</v>
      </c>
      <c r="AE313" s="102">
        <v>41763</v>
      </c>
      <c r="AF313" s="102">
        <v>41975</v>
      </c>
      <c r="AG313" s="102">
        <v>34658</v>
      </c>
      <c r="AH313" s="102">
        <v>41444</v>
      </c>
      <c r="AI313" s="102">
        <v>41595</v>
      </c>
      <c r="AJ313" s="102">
        <v>45321</v>
      </c>
      <c r="AK313" s="102">
        <v>29260.703942</v>
      </c>
      <c r="AL313" s="102">
        <v>36665.062489999997</v>
      </c>
      <c r="AM313" s="102">
        <v>37724.230757999998</v>
      </c>
      <c r="AN313" s="102">
        <v>38356.347803999997</v>
      </c>
    </row>
    <row r="314" spans="2:40" s="112" customFormat="1" x14ac:dyDescent="0.3">
      <c r="B314" s="78" t="s">
        <v>599</v>
      </c>
      <c r="C314" s="141" t="s">
        <v>453</v>
      </c>
      <c r="D314" s="102">
        <f t="shared" si="36"/>
        <v>13650492.854837</v>
      </c>
      <c r="E314" s="102">
        <f t="shared" si="36"/>
        <v>12197751.582893999</v>
      </c>
      <c r="F314" s="102">
        <f t="shared" si="36"/>
        <v>12321982.00416</v>
      </c>
      <c r="G314" s="101"/>
      <c r="H314" s="100">
        <f t="shared" si="33"/>
        <v>13650493</v>
      </c>
      <c r="I314" s="100">
        <f t="shared" si="35"/>
        <v>12197752</v>
      </c>
      <c r="J314" s="100">
        <f t="shared" si="35"/>
        <v>11990371.355658999</v>
      </c>
      <c r="M314" s="100"/>
      <c r="N314" s="100">
        <v>13650492.854837</v>
      </c>
      <c r="O314" s="100">
        <v>13491373.318507999</v>
      </c>
      <c r="P314" s="100">
        <v>12381260.945769999</v>
      </c>
      <c r="Q314" s="100">
        <v>11896668.846275</v>
      </c>
      <c r="R314" s="100">
        <v>12197751.582893999</v>
      </c>
      <c r="S314" s="100">
        <v>11972588.717054</v>
      </c>
      <c r="T314" s="100">
        <v>12354960.641346</v>
      </c>
      <c r="U314" s="100">
        <v>12560454.859749001</v>
      </c>
      <c r="V314" s="100">
        <v>12321982.00416</v>
      </c>
      <c r="W314" s="100">
        <v>11869774.137969</v>
      </c>
      <c r="X314" s="100">
        <v>12260391.653867999</v>
      </c>
      <c r="Y314" s="100">
        <v>12321982.00416</v>
      </c>
      <c r="Z314" s="100"/>
      <c r="AA314" s="100"/>
      <c r="AB314" s="100"/>
      <c r="AC314" s="100">
        <v>13650493</v>
      </c>
      <c r="AD314" s="100">
        <v>13491373</v>
      </c>
      <c r="AE314" s="100">
        <v>12381261</v>
      </c>
      <c r="AF314" s="100">
        <v>11896669</v>
      </c>
      <c r="AG314" s="100">
        <v>12197752</v>
      </c>
      <c r="AH314" s="100">
        <v>11972589</v>
      </c>
      <c r="AI314" s="102">
        <v>12354961</v>
      </c>
      <c r="AJ314" s="102">
        <v>12560455</v>
      </c>
      <c r="AK314" s="100">
        <v>12321982.00416</v>
      </c>
      <c r="AL314" s="100">
        <v>11869774.137969</v>
      </c>
      <c r="AM314" s="100">
        <v>12260391.653867999</v>
      </c>
      <c r="AN314" s="102">
        <v>11990371.355658999</v>
      </c>
    </row>
    <row r="315" spans="2:40" x14ac:dyDescent="0.3">
      <c r="B315" s="61" t="s">
        <v>982</v>
      </c>
      <c r="C315" s="141" t="s">
        <v>983</v>
      </c>
      <c r="D315" s="102" t="str">
        <f t="shared" si="36"/>
        <v/>
      </c>
      <c r="E315" s="102">
        <f t="shared" si="36"/>
        <v>-27.324774000000001</v>
      </c>
      <c r="F315" s="102" t="str">
        <f t="shared" si="36"/>
        <v/>
      </c>
      <c r="G315" s="96"/>
      <c r="H315" s="102" t="str">
        <f t="shared" si="33"/>
        <v/>
      </c>
      <c r="I315" s="102">
        <f t="shared" si="35"/>
        <v>-27</v>
      </c>
      <c r="J315" s="102" t="str">
        <f t="shared" si="35"/>
        <v/>
      </c>
      <c r="M315" s="102"/>
      <c r="N315" s="100">
        <v>0</v>
      </c>
      <c r="O315" s="100">
        <v>0</v>
      </c>
      <c r="P315" s="100">
        <v>0</v>
      </c>
      <c r="Q315" s="100">
        <v>0</v>
      </c>
      <c r="R315" s="100">
        <v>-27.324774000000001</v>
      </c>
      <c r="S315" s="100">
        <v>0</v>
      </c>
      <c r="T315" s="100">
        <v>0</v>
      </c>
      <c r="U315" s="100">
        <v>0</v>
      </c>
      <c r="V315" s="102">
        <v>0</v>
      </c>
      <c r="W315" s="102">
        <v>0</v>
      </c>
      <c r="X315" s="102">
        <v>0</v>
      </c>
      <c r="Y315" s="100">
        <v>0</v>
      </c>
      <c r="Z315" s="102"/>
      <c r="AA315" s="102"/>
      <c r="AB315" s="102"/>
      <c r="AC315" s="102">
        <v>0</v>
      </c>
      <c r="AD315" s="102">
        <v>0</v>
      </c>
      <c r="AE315" s="102">
        <v>0</v>
      </c>
      <c r="AF315" s="102">
        <v>0</v>
      </c>
      <c r="AG315" s="102">
        <v>-27</v>
      </c>
      <c r="AH315" s="102">
        <v>0</v>
      </c>
      <c r="AI315" s="102">
        <v>0</v>
      </c>
      <c r="AJ315" s="102">
        <v>0</v>
      </c>
      <c r="AK315" s="102">
        <v>0</v>
      </c>
      <c r="AL315" s="102">
        <v>0</v>
      </c>
      <c r="AM315" s="102">
        <v>0</v>
      </c>
      <c r="AN315" s="102" t="s">
        <v>1292</v>
      </c>
    </row>
    <row r="316" spans="2:40" x14ac:dyDescent="0.3">
      <c r="B316" s="61" t="s">
        <v>984</v>
      </c>
      <c r="C316" s="141" t="s">
        <v>985</v>
      </c>
      <c r="D316" s="102">
        <f t="shared" si="36"/>
        <v>-29281.993757</v>
      </c>
      <c r="E316" s="102">
        <f t="shared" si="36"/>
        <v>-44600.213058000001</v>
      </c>
      <c r="F316" s="102">
        <f t="shared" si="36"/>
        <v>-30418.768435000002</v>
      </c>
      <c r="G316" s="96"/>
      <c r="H316" s="102">
        <f t="shared" si="33"/>
        <v>-29282</v>
      </c>
      <c r="I316" s="102">
        <f t="shared" ref="I316:J335" si="37">IF(HLOOKUP(I$5,$AB$5:$AN$370,ROW()-ROW($J$4),FALSE)=0,"",HLOOKUP(I$5,$AB$5:$AN$370,ROW()-ROW($J$4),FALSE))</f>
        <v>-44600</v>
      </c>
      <c r="J316" s="102">
        <f t="shared" si="37"/>
        <v>-21031.457101</v>
      </c>
      <c r="M316" s="102"/>
      <c r="N316" s="100">
        <v>-29281.993757</v>
      </c>
      <c r="O316" s="100">
        <v>-31165.150111999999</v>
      </c>
      <c r="P316" s="100">
        <v>-25706.980511000002</v>
      </c>
      <c r="Q316" s="100">
        <v>-23694.008534000001</v>
      </c>
      <c r="R316" s="100">
        <v>-44600.213058000001</v>
      </c>
      <c r="S316" s="100">
        <v>-31413.527182999998</v>
      </c>
      <c r="T316" s="100">
        <v>-28115.096318</v>
      </c>
      <c r="U316" s="100">
        <v>-43549.547185000003</v>
      </c>
      <c r="V316" s="102">
        <v>-30418.768435000002</v>
      </c>
      <c r="W316" s="102">
        <v>-18274.277007000001</v>
      </c>
      <c r="X316" s="102">
        <v>-17628.334914999999</v>
      </c>
      <c r="Y316" s="100">
        <v>-30418.768435000002</v>
      </c>
      <c r="Z316" s="102"/>
      <c r="AA316" s="102"/>
      <c r="AB316" s="102"/>
      <c r="AC316" s="102">
        <v>-29282</v>
      </c>
      <c r="AD316" s="102">
        <v>-31165</v>
      </c>
      <c r="AE316" s="102">
        <v>-25707</v>
      </c>
      <c r="AF316" s="102">
        <v>-23694</v>
      </c>
      <c r="AG316" s="102">
        <v>-44600</v>
      </c>
      <c r="AH316" s="102">
        <v>-31414</v>
      </c>
      <c r="AI316" s="102">
        <v>-28115</v>
      </c>
      <c r="AJ316" s="102">
        <v>-43550</v>
      </c>
      <c r="AK316" s="102">
        <v>-30418.768435000002</v>
      </c>
      <c r="AL316" s="102">
        <v>-18274.277007000001</v>
      </c>
      <c r="AM316" s="102">
        <v>-17628.334914999999</v>
      </c>
      <c r="AN316" s="102">
        <v>-21031.457101</v>
      </c>
    </row>
    <row r="317" spans="2:40" x14ac:dyDescent="0.3">
      <c r="B317" s="61" t="s">
        <v>887</v>
      </c>
      <c r="C317" s="141" t="s">
        <v>888</v>
      </c>
      <c r="D317" s="102">
        <f t="shared" si="36"/>
        <v>356626.72967199999</v>
      </c>
      <c r="E317" s="102">
        <f t="shared" si="36"/>
        <v>249636.73057099999</v>
      </c>
      <c r="F317" s="102">
        <f t="shared" si="36"/>
        <v>186822.05074899999</v>
      </c>
      <c r="G317" s="96"/>
      <c r="H317" s="102">
        <f t="shared" si="33"/>
        <v>356627</v>
      </c>
      <c r="I317" s="102">
        <f t="shared" si="37"/>
        <v>249637</v>
      </c>
      <c r="J317" s="102">
        <f t="shared" si="37"/>
        <v>172102.234612</v>
      </c>
      <c r="M317" s="102"/>
      <c r="N317" s="100">
        <v>356626.72967199999</v>
      </c>
      <c r="O317" s="100">
        <v>333407.14415800001</v>
      </c>
      <c r="P317" s="100">
        <v>274511.92197299999</v>
      </c>
      <c r="Q317" s="100">
        <v>251230.28958899999</v>
      </c>
      <c r="R317" s="100">
        <v>249636.73057099999</v>
      </c>
      <c r="S317" s="100">
        <v>216968.842195</v>
      </c>
      <c r="T317" s="100">
        <v>213016.8511</v>
      </c>
      <c r="U317" s="100">
        <v>200118.319736</v>
      </c>
      <c r="V317" s="102">
        <v>186822.05074899999</v>
      </c>
      <c r="W317" s="102">
        <v>171664.74400899999</v>
      </c>
      <c r="X317" s="102">
        <v>175844.45226600001</v>
      </c>
      <c r="Y317" s="100">
        <v>186822.05074899999</v>
      </c>
      <c r="Z317" s="102"/>
      <c r="AA317" s="102"/>
      <c r="AB317" s="102"/>
      <c r="AC317" s="102">
        <v>356627</v>
      </c>
      <c r="AD317" s="102">
        <v>333407</v>
      </c>
      <c r="AE317" s="102">
        <v>274512</v>
      </c>
      <c r="AF317" s="102">
        <v>251230</v>
      </c>
      <c r="AG317" s="102">
        <v>249637</v>
      </c>
      <c r="AH317" s="102">
        <v>216969</v>
      </c>
      <c r="AI317" s="102">
        <v>213017</v>
      </c>
      <c r="AJ317" s="102">
        <v>200118</v>
      </c>
      <c r="AK317" s="102">
        <v>186822.05074899999</v>
      </c>
      <c r="AL317" s="102">
        <v>171664.74400899999</v>
      </c>
      <c r="AM317" s="102">
        <v>175844.45226600001</v>
      </c>
      <c r="AN317" s="102">
        <v>172102.234612</v>
      </c>
    </row>
    <row r="318" spans="2:40" x14ac:dyDescent="0.3">
      <c r="B318" s="61" t="s">
        <v>889</v>
      </c>
      <c r="C318" s="141" t="s">
        <v>890</v>
      </c>
      <c r="D318" s="102">
        <f t="shared" si="36"/>
        <v>13323148.118922001</v>
      </c>
      <c r="E318" s="102">
        <f t="shared" si="36"/>
        <v>11992742.390155001</v>
      </c>
      <c r="F318" s="102">
        <f t="shared" si="36"/>
        <v>12165578.721845999</v>
      </c>
      <c r="G318" s="96"/>
      <c r="H318" s="102">
        <f t="shared" si="33"/>
        <v>13323148</v>
      </c>
      <c r="I318" s="102">
        <f t="shared" si="37"/>
        <v>11992742</v>
      </c>
      <c r="J318" s="102">
        <f t="shared" si="37"/>
        <v>11839300.578148</v>
      </c>
      <c r="M318" s="102"/>
      <c r="N318" s="100">
        <v>13323148.118922001</v>
      </c>
      <c r="O318" s="100">
        <v>13189131.324462</v>
      </c>
      <c r="P318" s="100">
        <v>12132456.004308</v>
      </c>
      <c r="Q318" s="100">
        <v>11669132.56522</v>
      </c>
      <c r="R318" s="100">
        <v>11992742.390155001</v>
      </c>
      <c r="S318" s="100">
        <v>11787033.402042</v>
      </c>
      <c r="T318" s="100">
        <v>12170058.886564</v>
      </c>
      <c r="U318" s="100">
        <v>12403886.087198</v>
      </c>
      <c r="V318" s="102">
        <v>12165578.721845999</v>
      </c>
      <c r="W318" s="102">
        <v>11716383.670967</v>
      </c>
      <c r="X318" s="102">
        <v>12102175.536517</v>
      </c>
      <c r="Y318" s="100">
        <v>12165578.721845999</v>
      </c>
      <c r="Z318" s="102"/>
      <c r="AA318" s="102"/>
      <c r="AB318" s="102"/>
      <c r="AC318" s="102">
        <v>13323148</v>
      </c>
      <c r="AD318" s="102">
        <v>13189131</v>
      </c>
      <c r="AE318" s="102">
        <v>12132456</v>
      </c>
      <c r="AF318" s="102">
        <v>11669133</v>
      </c>
      <c r="AG318" s="102">
        <v>11992742</v>
      </c>
      <c r="AH318" s="102">
        <v>11787033</v>
      </c>
      <c r="AI318" s="102">
        <v>12170059</v>
      </c>
      <c r="AJ318" s="102">
        <v>12403886</v>
      </c>
      <c r="AK318" s="102">
        <v>12165578.721845999</v>
      </c>
      <c r="AL318" s="102">
        <v>11716383.670967</v>
      </c>
      <c r="AM318" s="102">
        <v>12102175.536517</v>
      </c>
      <c r="AN318" s="102">
        <v>11839300.578148</v>
      </c>
    </row>
    <row r="319" spans="2:40" x14ac:dyDescent="0.3">
      <c r="B319" s="61" t="s">
        <v>308</v>
      </c>
      <c r="C319" s="141" t="s">
        <v>308</v>
      </c>
      <c r="D319" s="102" t="str">
        <f t="shared" si="36"/>
        <v/>
      </c>
      <c r="E319" s="102" t="str">
        <f t="shared" si="36"/>
        <v/>
      </c>
      <c r="F319" s="102" t="str">
        <f t="shared" si="36"/>
        <v/>
      </c>
      <c r="G319" s="96"/>
      <c r="H319" s="102" t="str">
        <f t="shared" si="33"/>
        <v/>
      </c>
      <c r="I319" s="102" t="str">
        <f t="shared" si="37"/>
        <v/>
      </c>
      <c r="J319" s="102" t="str">
        <f t="shared" si="37"/>
        <v/>
      </c>
      <c r="M319" s="102"/>
      <c r="N319" s="102"/>
      <c r="O319" s="102"/>
      <c r="P319" s="102"/>
      <c r="Q319" s="102"/>
      <c r="R319" s="102"/>
      <c r="S319" s="102"/>
      <c r="T319" s="102"/>
      <c r="U319" s="102"/>
      <c r="V319" s="102"/>
      <c r="W319" s="102"/>
      <c r="X319" s="102"/>
      <c r="Y319" s="102"/>
      <c r="Z319" s="102"/>
      <c r="AA319" s="102"/>
      <c r="AB319" s="102"/>
      <c r="AC319" s="102">
        <v>0</v>
      </c>
      <c r="AD319" s="102">
        <v>0</v>
      </c>
      <c r="AE319" s="102">
        <v>0</v>
      </c>
      <c r="AF319" s="102"/>
      <c r="AG319" s="102">
        <v>0</v>
      </c>
      <c r="AH319" s="102"/>
      <c r="AI319" s="102"/>
      <c r="AJ319" s="102"/>
      <c r="AK319" s="102">
        <v>0</v>
      </c>
      <c r="AL319" s="102">
        <v>0</v>
      </c>
      <c r="AM319" s="102"/>
      <c r="AN319" s="102" t="s">
        <v>1292</v>
      </c>
    </row>
    <row r="320" spans="2:40" s="112" customFormat="1" x14ac:dyDescent="0.3">
      <c r="B320" s="78" t="s">
        <v>600</v>
      </c>
      <c r="C320" s="141" t="s">
        <v>454</v>
      </c>
      <c r="D320" s="100">
        <f t="shared" si="36"/>
        <v>2436501.4964660001</v>
      </c>
      <c r="E320" s="100">
        <f t="shared" si="36"/>
        <v>2553237.9497679998</v>
      </c>
      <c r="F320" s="100">
        <f t="shared" si="36"/>
        <v>3019027.0635450003</v>
      </c>
      <c r="G320" s="101"/>
      <c r="H320" s="100">
        <f t="shared" si="33"/>
        <v>2448095</v>
      </c>
      <c r="I320" s="100">
        <f t="shared" si="37"/>
        <v>2563653</v>
      </c>
      <c r="J320" s="100" t="str">
        <f t="shared" si="37"/>
        <v/>
      </c>
      <c r="M320" s="100"/>
      <c r="N320" s="100">
        <v>2436501.4964660001</v>
      </c>
      <c r="O320" s="100">
        <v>2482111.427997</v>
      </c>
      <c r="P320" s="100">
        <v>2470722.8913600002</v>
      </c>
      <c r="Q320" s="100">
        <v>2466797.2206029999</v>
      </c>
      <c r="R320" s="100">
        <v>2553237.9497679998</v>
      </c>
      <c r="S320" s="100">
        <v>2528973.3218</v>
      </c>
      <c r="T320" s="100">
        <v>2527697.3823450003</v>
      </c>
      <c r="U320" s="100">
        <v>2733875.4697590005</v>
      </c>
      <c r="V320" s="100">
        <v>3019027.0635450003</v>
      </c>
      <c r="W320" s="100">
        <v>2970275.9624590003</v>
      </c>
      <c r="X320" s="100">
        <v>2942643.4249110003</v>
      </c>
      <c r="Y320" s="100">
        <v>3019027.0635450003</v>
      </c>
      <c r="Z320" s="100"/>
      <c r="AA320" s="100"/>
      <c r="AB320" s="100"/>
      <c r="AC320" s="100">
        <v>2448095</v>
      </c>
      <c r="AD320" s="100">
        <v>2491548</v>
      </c>
      <c r="AE320" s="100">
        <v>2476309</v>
      </c>
      <c r="AF320" s="100">
        <v>2477419</v>
      </c>
      <c r="AG320" s="100">
        <v>2563653</v>
      </c>
      <c r="AH320" s="100">
        <v>2533172</v>
      </c>
      <c r="AI320" s="102">
        <v>2531834</v>
      </c>
      <c r="AJ320" s="102">
        <v>2735806</v>
      </c>
      <c r="AK320" s="100">
        <v>3015511.1436060001</v>
      </c>
      <c r="AL320" s="100">
        <v>0</v>
      </c>
      <c r="AM320" s="100">
        <v>2946830.4270560001</v>
      </c>
      <c r="AN320" s="102" t="s">
        <v>1292</v>
      </c>
    </row>
    <row r="321" spans="2:40" s="112" customFormat="1" x14ac:dyDescent="0.3">
      <c r="B321" s="78" t="s">
        <v>171</v>
      </c>
      <c r="C321" s="141" t="s">
        <v>73</v>
      </c>
      <c r="D321" s="100">
        <f t="shared" si="36"/>
        <v>2436501.4964660001</v>
      </c>
      <c r="E321" s="100">
        <f t="shared" si="36"/>
        <v>2553237.9497679998</v>
      </c>
      <c r="F321" s="100">
        <f t="shared" si="36"/>
        <v>3019027.0635449998</v>
      </c>
      <c r="G321" s="101"/>
      <c r="H321" s="100">
        <f t="shared" si="33"/>
        <v>2448095</v>
      </c>
      <c r="I321" s="100">
        <f t="shared" si="37"/>
        <v>2563653</v>
      </c>
      <c r="J321" s="100">
        <f t="shared" si="37"/>
        <v>2866168.2895670002</v>
      </c>
      <c r="M321" s="100"/>
      <c r="N321" s="100">
        <v>2436501.4964660001</v>
      </c>
      <c r="O321" s="100">
        <v>2482111.427997</v>
      </c>
      <c r="P321" s="100">
        <v>2470722.8913599998</v>
      </c>
      <c r="Q321" s="100">
        <v>2466797.2206029999</v>
      </c>
      <c r="R321" s="100">
        <v>2553237.9497679998</v>
      </c>
      <c r="S321" s="100">
        <v>2528973.3218</v>
      </c>
      <c r="T321" s="100">
        <v>2527697.3823449998</v>
      </c>
      <c r="U321" s="100">
        <v>2733875.469759</v>
      </c>
      <c r="V321" s="100">
        <v>3019027.0635449998</v>
      </c>
      <c r="W321" s="100">
        <v>2970275.9624589998</v>
      </c>
      <c r="X321" s="100">
        <v>2942643.4249109998</v>
      </c>
      <c r="Y321" s="100">
        <v>3019027.0635449998</v>
      </c>
      <c r="Z321" s="100"/>
      <c r="AA321" s="100"/>
      <c r="AB321" s="100"/>
      <c r="AC321" s="100">
        <v>2448095</v>
      </c>
      <c r="AD321" s="100">
        <v>2491548</v>
      </c>
      <c r="AE321" s="100">
        <v>2476309</v>
      </c>
      <c r="AF321" s="100">
        <v>2477419</v>
      </c>
      <c r="AG321" s="100">
        <v>2563653</v>
      </c>
      <c r="AH321" s="100">
        <v>2533172</v>
      </c>
      <c r="AI321" s="102">
        <v>2531834</v>
      </c>
      <c r="AJ321" s="102">
        <v>2735806</v>
      </c>
      <c r="AK321" s="100">
        <v>3015511.1436060001</v>
      </c>
      <c r="AL321" s="100">
        <v>3013329.1197500001</v>
      </c>
      <c r="AM321" s="100">
        <v>2946830.4270560001</v>
      </c>
      <c r="AN321" s="102">
        <v>2866168.2895670002</v>
      </c>
    </row>
    <row r="322" spans="2:40" s="112" customFormat="1" x14ac:dyDescent="0.3">
      <c r="B322" s="78" t="s">
        <v>601</v>
      </c>
      <c r="C322" s="141" t="s">
        <v>455</v>
      </c>
      <c r="D322" s="100">
        <f t="shared" si="36"/>
        <v>990714.745</v>
      </c>
      <c r="E322" s="100">
        <f t="shared" si="36"/>
        <v>990714.745</v>
      </c>
      <c r="F322" s="100">
        <f t="shared" si="36"/>
        <v>990714.745</v>
      </c>
      <c r="G322" s="101"/>
      <c r="H322" s="100">
        <f t="shared" si="33"/>
        <v>990715</v>
      </c>
      <c r="I322" s="100">
        <f t="shared" si="37"/>
        <v>990715</v>
      </c>
      <c r="J322" s="100">
        <f t="shared" si="37"/>
        <v>990714.745</v>
      </c>
      <c r="M322" s="100"/>
      <c r="N322" s="100">
        <v>990714.745</v>
      </c>
      <c r="O322" s="100">
        <v>990714.745</v>
      </c>
      <c r="P322" s="100">
        <v>990714.745</v>
      </c>
      <c r="Q322" s="100">
        <v>990714.745</v>
      </c>
      <c r="R322" s="100">
        <v>990714.745</v>
      </c>
      <c r="S322" s="100">
        <v>990714.745</v>
      </c>
      <c r="T322" s="100">
        <v>990714.745</v>
      </c>
      <c r="U322" s="100">
        <v>990714.745</v>
      </c>
      <c r="V322" s="100">
        <v>990714.745</v>
      </c>
      <c r="W322" s="100">
        <v>990714.745</v>
      </c>
      <c r="X322" s="100">
        <v>990714.745</v>
      </c>
      <c r="Y322" s="100">
        <v>990714.745</v>
      </c>
      <c r="Z322" s="100"/>
      <c r="AA322" s="100"/>
      <c r="AB322" s="100"/>
      <c r="AC322" s="100">
        <v>990715</v>
      </c>
      <c r="AD322" s="100">
        <v>990715</v>
      </c>
      <c r="AE322" s="100">
        <v>990715</v>
      </c>
      <c r="AF322" s="100">
        <v>990715</v>
      </c>
      <c r="AG322" s="100">
        <v>990715</v>
      </c>
      <c r="AH322" s="100">
        <v>990715</v>
      </c>
      <c r="AI322" s="102">
        <v>990715</v>
      </c>
      <c r="AJ322" s="102">
        <v>990715</v>
      </c>
      <c r="AK322" s="100">
        <v>990714.745</v>
      </c>
      <c r="AL322" s="100">
        <v>990714.745</v>
      </c>
      <c r="AM322" s="100">
        <v>990714.745</v>
      </c>
      <c r="AN322" s="102">
        <v>990714.745</v>
      </c>
    </row>
    <row r="323" spans="2:40" x14ac:dyDescent="0.3">
      <c r="B323" s="61" t="s">
        <v>986</v>
      </c>
      <c r="C323" s="141" t="s">
        <v>987</v>
      </c>
      <c r="D323" s="102">
        <f t="shared" si="36"/>
        <v>0.3</v>
      </c>
      <c r="E323" s="102">
        <f t="shared" si="36"/>
        <v>0.3</v>
      </c>
      <c r="F323" s="102">
        <f t="shared" si="36"/>
        <v>0.3</v>
      </c>
      <c r="G323" s="96"/>
      <c r="H323" s="102" t="str">
        <f t="shared" si="33"/>
        <v/>
      </c>
      <c r="I323" s="102" t="str">
        <f t="shared" si="37"/>
        <v/>
      </c>
      <c r="J323" s="102" t="str">
        <f t="shared" si="37"/>
        <v/>
      </c>
      <c r="M323" s="102"/>
      <c r="N323" s="100">
        <v>0.3</v>
      </c>
      <c r="O323" s="100">
        <v>0.3</v>
      </c>
      <c r="P323" s="100">
        <v>0.3</v>
      </c>
      <c r="Q323" s="100">
        <v>0.3</v>
      </c>
      <c r="R323" s="100">
        <v>0.3</v>
      </c>
      <c r="S323" s="100">
        <v>0.3</v>
      </c>
      <c r="T323" s="100">
        <v>0.3</v>
      </c>
      <c r="U323" s="100">
        <v>0.3</v>
      </c>
      <c r="V323" s="102">
        <v>0.3</v>
      </c>
      <c r="W323" s="102">
        <v>0.3</v>
      </c>
      <c r="X323" s="102">
        <v>0.3</v>
      </c>
      <c r="Y323" s="100">
        <v>0.3</v>
      </c>
      <c r="Z323" s="102"/>
      <c r="AA323" s="102"/>
      <c r="AB323" s="102"/>
      <c r="AC323" s="102">
        <v>0</v>
      </c>
      <c r="AD323" s="102">
        <v>0</v>
      </c>
      <c r="AE323" s="102">
        <v>0</v>
      </c>
      <c r="AF323" s="102"/>
      <c r="AG323" s="102">
        <v>0</v>
      </c>
      <c r="AH323" s="102"/>
      <c r="AI323" s="102"/>
      <c r="AJ323" s="102"/>
      <c r="AK323" s="102">
        <v>0</v>
      </c>
      <c r="AL323" s="102">
        <v>0</v>
      </c>
      <c r="AM323" s="102">
        <v>0</v>
      </c>
      <c r="AN323" s="102" t="s">
        <v>1292</v>
      </c>
    </row>
    <row r="324" spans="2:40" x14ac:dyDescent="0.3">
      <c r="B324" s="61" t="s">
        <v>988</v>
      </c>
      <c r="C324" s="141" t="s">
        <v>989</v>
      </c>
      <c r="D324" s="102">
        <f t="shared" si="36"/>
        <v>0.19814300000000001</v>
      </c>
      <c r="E324" s="102">
        <f t="shared" si="36"/>
        <v>0.19814300000000001</v>
      </c>
      <c r="F324" s="102">
        <f t="shared" si="36"/>
        <v>0.19814300000000001</v>
      </c>
      <c r="G324" s="96"/>
      <c r="H324" s="102" t="str">
        <f t="shared" si="33"/>
        <v/>
      </c>
      <c r="I324" s="102" t="str">
        <f t="shared" si="37"/>
        <v/>
      </c>
      <c r="J324" s="102" t="str">
        <f t="shared" si="37"/>
        <v/>
      </c>
      <c r="M324" s="102"/>
      <c r="N324" s="100">
        <v>0.19814300000000001</v>
      </c>
      <c r="O324" s="100">
        <v>0.19814300000000001</v>
      </c>
      <c r="P324" s="100">
        <v>0.19814300000000001</v>
      </c>
      <c r="Q324" s="100">
        <v>0.19814300000000001</v>
      </c>
      <c r="R324" s="100">
        <v>0.19814300000000001</v>
      </c>
      <c r="S324" s="100">
        <v>0.19814300000000001</v>
      </c>
      <c r="T324" s="100">
        <v>0.19814300000000001</v>
      </c>
      <c r="U324" s="100">
        <v>0.19814300000000001</v>
      </c>
      <c r="V324" s="102">
        <v>0.19814300000000001</v>
      </c>
      <c r="W324" s="102">
        <v>0.19814300000000001</v>
      </c>
      <c r="X324" s="102">
        <v>0.19814300000000001</v>
      </c>
      <c r="Y324" s="100">
        <v>0.19814300000000001</v>
      </c>
      <c r="Z324" s="102"/>
      <c r="AA324" s="102"/>
      <c r="AB324" s="102"/>
      <c r="AC324" s="102">
        <v>0</v>
      </c>
      <c r="AD324" s="102">
        <v>0</v>
      </c>
      <c r="AE324" s="102">
        <v>0</v>
      </c>
      <c r="AF324" s="102"/>
      <c r="AG324" s="102">
        <v>0</v>
      </c>
      <c r="AH324" s="102"/>
      <c r="AI324" s="102"/>
      <c r="AJ324" s="102"/>
      <c r="AK324" s="102">
        <v>0</v>
      </c>
      <c r="AL324" s="102">
        <v>0</v>
      </c>
      <c r="AM324" s="102">
        <v>0</v>
      </c>
      <c r="AN324" s="102" t="s">
        <v>1292</v>
      </c>
    </row>
    <row r="325" spans="2:40" x14ac:dyDescent="0.3">
      <c r="B325" s="61" t="s">
        <v>602</v>
      </c>
      <c r="C325" s="141" t="s">
        <v>456</v>
      </c>
      <c r="D325" s="102">
        <f t="shared" si="36"/>
        <v>885080.94499999995</v>
      </c>
      <c r="E325" s="102">
        <f t="shared" si="36"/>
        <v>885080.94499999995</v>
      </c>
      <c r="F325" s="102">
        <f t="shared" si="36"/>
        <v>885080.94499999995</v>
      </c>
      <c r="G325" s="96"/>
      <c r="H325" s="102">
        <f t="shared" si="33"/>
        <v>885081</v>
      </c>
      <c r="I325" s="102">
        <f t="shared" si="37"/>
        <v>885081</v>
      </c>
      <c r="J325" s="102">
        <f t="shared" si="37"/>
        <v>885080.94500000007</v>
      </c>
      <c r="M325" s="102"/>
      <c r="N325" s="102">
        <v>885080.94499999995</v>
      </c>
      <c r="O325" s="102">
        <v>885080.94499999995</v>
      </c>
      <c r="P325" s="102">
        <v>885080.94499999995</v>
      </c>
      <c r="Q325" s="102">
        <v>885080.94499999995</v>
      </c>
      <c r="R325" s="102">
        <v>885080.94499999995</v>
      </c>
      <c r="S325" s="102">
        <v>885080.94499999995</v>
      </c>
      <c r="T325" s="102">
        <v>885080.94499999995</v>
      </c>
      <c r="U325" s="102">
        <v>885080.94499999995</v>
      </c>
      <c r="V325" s="102">
        <v>885080.94499999995</v>
      </c>
      <c r="W325" s="102">
        <v>885080.94499999995</v>
      </c>
      <c r="X325" s="102">
        <v>885080.94499999995</v>
      </c>
      <c r="Y325" s="102">
        <v>885080.94499999995</v>
      </c>
      <c r="Z325" s="102"/>
      <c r="AA325" s="102"/>
      <c r="AB325" s="102"/>
      <c r="AC325" s="102">
        <v>885081</v>
      </c>
      <c r="AD325" s="102">
        <v>885081</v>
      </c>
      <c r="AE325" s="102">
        <v>885081</v>
      </c>
      <c r="AF325" s="102">
        <v>885081</v>
      </c>
      <c r="AG325" s="102">
        <v>885081</v>
      </c>
      <c r="AH325" s="102">
        <v>885081</v>
      </c>
      <c r="AI325" s="102">
        <v>885081</v>
      </c>
      <c r="AJ325" s="102">
        <v>885081</v>
      </c>
      <c r="AK325" s="102">
        <v>885080.94499999995</v>
      </c>
      <c r="AL325" s="102">
        <v>885080.94499999995</v>
      </c>
      <c r="AM325" s="102">
        <v>885080.94499999995</v>
      </c>
      <c r="AN325" s="102">
        <v>885080.94500000007</v>
      </c>
    </row>
    <row r="326" spans="2:40" x14ac:dyDescent="0.3">
      <c r="B326" s="61" t="s">
        <v>990</v>
      </c>
      <c r="C326" s="141" t="s">
        <v>991</v>
      </c>
      <c r="D326" s="102" t="str">
        <f t="shared" ref="D326:F345" si="38">IF(HLOOKUP(D$5,$M$5:$Y$370,ROW()-ROW($F$4),FALSE)=0,"",HLOOKUP(D$5,$M$5:$Y$370,ROW()-ROW($F$4),FALSE))</f>
        <v/>
      </c>
      <c r="E326" s="102" t="str">
        <f t="shared" si="38"/>
        <v/>
      </c>
      <c r="F326" s="102" t="str">
        <f t="shared" si="38"/>
        <v/>
      </c>
      <c r="G326" s="96"/>
      <c r="H326" s="102" t="str">
        <f t="shared" si="33"/>
        <v/>
      </c>
      <c r="I326" s="102" t="str">
        <f t="shared" si="37"/>
        <v/>
      </c>
      <c r="J326" s="102" t="str">
        <f t="shared" si="37"/>
        <v/>
      </c>
      <c r="M326" s="102"/>
      <c r="N326" s="100">
        <v>0</v>
      </c>
      <c r="O326" s="100">
        <v>0</v>
      </c>
      <c r="P326" s="100">
        <v>0</v>
      </c>
      <c r="Q326" s="100">
        <v>0</v>
      </c>
      <c r="R326" s="100">
        <v>0</v>
      </c>
      <c r="S326" s="100">
        <v>0</v>
      </c>
      <c r="T326" s="100">
        <v>0</v>
      </c>
      <c r="U326" s="100">
        <v>0</v>
      </c>
      <c r="V326" s="102">
        <v>0</v>
      </c>
      <c r="W326" s="102">
        <v>0</v>
      </c>
      <c r="X326" s="102">
        <v>0</v>
      </c>
      <c r="Y326" s="100">
        <v>0</v>
      </c>
      <c r="Z326" s="102"/>
      <c r="AA326" s="102"/>
      <c r="AB326" s="102"/>
      <c r="AC326" s="102">
        <v>0</v>
      </c>
      <c r="AD326" s="102">
        <v>0</v>
      </c>
      <c r="AE326" s="102">
        <v>0</v>
      </c>
      <c r="AF326" s="102"/>
      <c r="AG326" s="102">
        <v>0</v>
      </c>
      <c r="AH326" s="102"/>
      <c r="AI326" s="102"/>
      <c r="AJ326" s="102"/>
      <c r="AK326" s="102">
        <v>0</v>
      </c>
      <c r="AL326" s="102">
        <v>0</v>
      </c>
      <c r="AM326" s="102">
        <v>0</v>
      </c>
      <c r="AN326" s="102" t="s">
        <v>1292</v>
      </c>
    </row>
    <row r="327" spans="2:40" x14ac:dyDescent="0.3">
      <c r="B327" s="61" t="s">
        <v>603</v>
      </c>
      <c r="C327" s="141" t="s">
        <v>457</v>
      </c>
      <c r="D327" s="102">
        <f t="shared" si="38"/>
        <v>105633.8</v>
      </c>
      <c r="E327" s="102">
        <f t="shared" si="38"/>
        <v>105633.8</v>
      </c>
      <c r="F327" s="102">
        <f t="shared" si="38"/>
        <v>105633.8</v>
      </c>
      <c r="G327" s="96"/>
      <c r="H327" s="102">
        <f t="shared" si="33"/>
        <v>105634</v>
      </c>
      <c r="I327" s="102">
        <f t="shared" si="37"/>
        <v>105634</v>
      </c>
      <c r="J327" s="102">
        <f t="shared" si="37"/>
        <v>105633.8</v>
      </c>
      <c r="M327" s="102"/>
      <c r="N327" s="100">
        <v>105633.8</v>
      </c>
      <c r="O327" s="100">
        <v>105633.8</v>
      </c>
      <c r="P327" s="100">
        <v>105633.8</v>
      </c>
      <c r="Q327" s="100">
        <v>105633.8</v>
      </c>
      <c r="R327" s="100">
        <v>105633.8</v>
      </c>
      <c r="S327" s="100">
        <v>105633.8</v>
      </c>
      <c r="T327" s="100">
        <v>105633.8</v>
      </c>
      <c r="U327" s="100">
        <v>105633.8</v>
      </c>
      <c r="V327" s="102">
        <v>105633.8</v>
      </c>
      <c r="W327" s="102">
        <v>105633.8</v>
      </c>
      <c r="X327" s="102">
        <v>105633.8</v>
      </c>
      <c r="Y327" s="100">
        <v>105633.8</v>
      </c>
      <c r="Z327" s="102"/>
      <c r="AA327" s="102"/>
      <c r="AB327" s="102"/>
      <c r="AC327" s="102">
        <v>105634</v>
      </c>
      <c r="AD327" s="102">
        <v>105634</v>
      </c>
      <c r="AE327" s="102">
        <v>105634</v>
      </c>
      <c r="AF327" s="102">
        <v>105634</v>
      </c>
      <c r="AG327" s="102">
        <v>105634</v>
      </c>
      <c r="AH327" s="102">
        <v>105634</v>
      </c>
      <c r="AI327" s="102">
        <v>105634</v>
      </c>
      <c r="AJ327" s="102">
        <v>105634</v>
      </c>
      <c r="AK327" s="102">
        <v>105633.8</v>
      </c>
      <c r="AL327" s="102">
        <v>105633.8</v>
      </c>
      <c r="AM327" s="102">
        <v>105633.8</v>
      </c>
      <c r="AN327" s="102">
        <v>105633.8</v>
      </c>
    </row>
    <row r="328" spans="2:40" x14ac:dyDescent="0.3">
      <c r="B328" s="61" t="s">
        <v>992</v>
      </c>
      <c r="C328" s="141" t="s">
        <v>993</v>
      </c>
      <c r="D328" s="102" t="str">
        <f t="shared" si="38"/>
        <v/>
      </c>
      <c r="E328" s="102" t="str">
        <f t="shared" si="38"/>
        <v/>
      </c>
      <c r="F328" s="102" t="str">
        <f t="shared" si="38"/>
        <v/>
      </c>
      <c r="G328" s="96"/>
      <c r="H328" s="102" t="str">
        <f t="shared" si="33"/>
        <v/>
      </c>
      <c r="I328" s="102" t="str">
        <f t="shared" si="37"/>
        <v/>
      </c>
      <c r="J328" s="102" t="str">
        <f t="shared" si="37"/>
        <v/>
      </c>
      <c r="M328" s="102"/>
      <c r="N328" s="100">
        <v>0</v>
      </c>
      <c r="O328" s="100">
        <v>0</v>
      </c>
      <c r="P328" s="100">
        <v>0</v>
      </c>
      <c r="Q328" s="100">
        <v>0</v>
      </c>
      <c r="R328" s="100">
        <v>0</v>
      </c>
      <c r="S328" s="100">
        <v>0</v>
      </c>
      <c r="T328" s="100">
        <v>0</v>
      </c>
      <c r="U328" s="100">
        <v>0</v>
      </c>
      <c r="V328" s="102">
        <v>0</v>
      </c>
      <c r="W328" s="102">
        <v>0</v>
      </c>
      <c r="X328" s="102">
        <v>0</v>
      </c>
      <c r="Y328" s="100">
        <v>0</v>
      </c>
      <c r="Z328" s="102"/>
      <c r="AA328" s="102"/>
      <c r="AB328" s="102"/>
      <c r="AC328" s="102">
        <v>0</v>
      </c>
      <c r="AD328" s="102">
        <v>0</v>
      </c>
      <c r="AE328" s="102">
        <v>0</v>
      </c>
      <c r="AF328" s="102"/>
      <c r="AG328" s="102">
        <v>0</v>
      </c>
      <c r="AH328" s="102"/>
      <c r="AI328" s="102"/>
      <c r="AJ328" s="102"/>
      <c r="AK328" s="102">
        <v>0</v>
      </c>
      <c r="AL328" s="102">
        <v>0</v>
      </c>
      <c r="AM328" s="102">
        <v>0</v>
      </c>
      <c r="AN328" s="102" t="s">
        <v>1292</v>
      </c>
    </row>
    <row r="329" spans="2:40" s="112" customFormat="1" x14ac:dyDescent="0.3">
      <c r="B329" s="78" t="s">
        <v>714</v>
      </c>
      <c r="C329" s="141" t="s">
        <v>1519</v>
      </c>
      <c r="D329" s="102">
        <f t="shared" si="38"/>
        <v>181384.48384</v>
      </c>
      <c r="E329" s="102">
        <f t="shared" si="38"/>
        <v>181384.48384</v>
      </c>
      <c r="F329" s="102">
        <f t="shared" si="38"/>
        <v>181384.48384</v>
      </c>
      <c r="G329" s="101"/>
      <c r="H329" s="100">
        <f t="shared" si="33"/>
        <v>181384</v>
      </c>
      <c r="I329" s="100">
        <f t="shared" si="37"/>
        <v>181384</v>
      </c>
      <c r="J329" s="100">
        <f t="shared" si="37"/>
        <v>181384.48384</v>
      </c>
      <c r="M329" s="100"/>
      <c r="N329" s="100">
        <v>181384.48384</v>
      </c>
      <c r="O329" s="100">
        <v>181384.48384</v>
      </c>
      <c r="P329" s="100">
        <v>181384.48384</v>
      </c>
      <c r="Q329" s="100">
        <v>181384.48384</v>
      </c>
      <c r="R329" s="100">
        <v>181384.48384</v>
      </c>
      <c r="S329" s="100">
        <v>181384.48384</v>
      </c>
      <c r="T329" s="100">
        <v>181384.48384</v>
      </c>
      <c r="U329" s="100">
        <v>181384.48384</v>
      </c>
      <c r="V329" s="100">
        <v>181384.48384</v>
      </c>
      <c r="W329" s="100">
        <v>181384.48384</v>
      </c>
      <c r="X329" s="100">
        <v>181384.48384</v>
      </c>
      <c r="Y329" s="100">
        <v>181384.48384</v>
      </c>
      <c r="Z329" s="100"/>
      <c r="AA329" s="100"/>
      <c r="AB329" s="100"/>
      <c r="AC329" s="100">
        <v>181384</v>
      </c>
      <c r="AD329" s="100">
        <v>181384</v>
      </c>
      <c r="AE329" s="100">
        <v>181384</v>
      </c>
      <c r="AF329" s="100">
        <v>181384</v>
      </c>
      <c r="AG329" s="100">
        <v>181384</v>
      </c>
      <c r="AH329" s="100">
        <v>181384</v>
      </c>
      <c r="AI329" s="102">
        <v>181384</v>
      </c>
      <c r="AJ329" s="102">
        <v>181384</v>
      </c>
      <c r="AK329" s="100">
        <v>181384.48384</v>
      </c>
      <c r="AL329" s="100">
        <v>181384.48384</v>
      </c>
      <c r="AM329" s="100">
        <v>181384.48384</v>
      </c>
      <c r="AN329" s="102">
        <v>181384.48384</v>
      </c>
    </row>
    <row r="330" spans="2:40" x14ac:dyDescent="0.3">
      <c r="B330" s="61" t="s">
        <v>604</v>
      </c>
      <c r="C330" s="141" t="s">
        <v>458</v>
      </c>
      <c r="D330" s="102">
        <f t="shared" si="38"/>
        <v>181361.27526200001</v>
      </c>
      <c r="E330" s="102">
        <f t="shared" si="38"/>
        <v>181361.27526200001</v>
      </c>
      <c r="F330" s="102">
        <f t="shared" si="38"/>
        <v>181361.27526200001</v>
      </c>
      <c r="G330" s="96"/>
      <c r="H330" s="102">
        <f t="shared" si="33"/>
        <v>181361</v>
      </c>
      <c r="I330" s="102">
        <f t="shared" si="37"/>
        <v>181361</v>
      </c>
      <c r="J330" s="102">
        <f t="shared" si="37"/>
        <v>181361.27526200001</v>
      </c>
      <c r="M330" s="102"/>
      <c r="N330" s="100">
        <v>181361.27526200001</v>
      </c>
      <c r="O330" s="100">
        <v>181361.27526200001</v>
      </c>
      <c r="P330" s="100">
        <v>181361.27526200001</v>
      </c>
      <c r="Q330" s="100">
        <v>181361.27526200001</v>
      </c>
      <c r="R330" s="100">
        <v>181361.27526200001</v>
      </c>
      <c r="S330" s="100">
        <v>181361.27526200001</v>
      </c>
      <c r="T330" s="100">
        <v>181361.27526200001</v>
      </c>
      <c r="U330" s="100">
        <v>181361.27526200001</v>
      </c>
      <c r="V330" s="102">
        <v>181361.27526200001</v>
      </c>
      <c r="W330" s="102">
        <v>181361.27526200001</v>
      </c>
      <c r="X330" s="102">
        <v>181361.27526200001</v>
      </c>
      <c r="Y330" s="100">
        <v>181361.27526200001</v>
      </c>
      <c r="Z330" s="102"/>
      <c r="AA330" s="102"/>
      <c r="AB330" s="102"/>
      <c r="AC330" s="102">
        <v>181361</v>
      </c>
      <c r="AD330" s="102">
        <v>181361</v>
      </c>
      <c r="AE330" s="102">
        <v>181361</v>
      </c>
      <c r="AF330" s="102">
        <v>181361</v>
      </c>
      <c r="AG330" s="102">
        <v>181361</v>
      </c>
      <c r="AH330" s="102">
        <v>181361</v>
      </c>
      <c r="AI330" s="102">
        <v>181361</v>
      </c>
      <c r="AJ330" s="102">
        <v>181361</v>
      </c>
      <c r="AK330" s="102">
        <v>181361.27526200001</v>
      </c>
      <c r="AL330" s="102">
        <v>181361.27526200001</v>
      </c>
      <c r="AM330" s="102">
        <v>181361.27526200001</v>
      </c>
      <c r="AN330" s="102">
        <v>181361.27526200001</v>
      </c>
    </row>
    <row r="331" spans="2:40" x14ac:dyDescent="0.3">
      <c r="B331" s="61" t="s">
        <v>605</v>
      </c>
      <c r="C331" s="141" t="s">
        <v>459</v>
      </c>
      <c r="D331" s="102" t="str">
        <f t="shared" si="38"/>
        <v/>
      </c>
      <c r="E331" s="102" t="str">
        <f t="shared" si="38"/>
        <v/>
      </c>
      <c r="F331" s="102" t="str">
        <f t="shared" si="38"/>
        <v/>
      </c>
      <c r="G331" s="96"/>
      <c r="H331" s="102" t="str">
        <f t="shared" si="33"/>
        <v/>
      </c>
      <c r="I331" s="102" t="str">
        <f t="shared" si="37"/>
        <v/>
      </c>
      <c r="J331" s="102" t="str">
        <f t="shared" si="37"/>
        <v/>
      </c>
      <c r="M331" s="102"/>
      <c r="N331" s="100">
        <v>0</v>
      </c>
      <c r="O331" s="100">
        <v>0</v>
      </c>
      <c r="P331" s="100">
        <v>0</v>
      </c>
      <c r="Q331" s="100">
        <v>0</v>
      </c>
      <c r="R331" s="100">
        <v>0</v>
      </c>
      <c r="S331" s="100">
        <v>0</v>
      </c>
      <c r="T331" s="100">
        <v>0</v>
      </c>
      <c r="U331" s="100">
        <v>0</v>
      </c>
      <c r="V331" s="102">
        <v>0</v>
      </c>
      <c r="W331" s="102">
        <v>0</v>
      </c>
      <c r="X331" s="102">
        <v>0</v>
      </c>
      <c r="Y331" s="100">
        <v>0</v>
      </c>
      <c r="Z331" s="102"/>
      <c r="AA331" s="102"/>
      <c r="AB331" s="102"/>
      <c r="AC331" s="102">
        <v>0</v>
      </c>
      <c r="AD331" s="102">
        <v>0</v>
      </c>
      <c r="AE331" s="102">
        <v>0</v>
      </c>
      <c r="AF331" s="102">
        <v>0</v>
      </c>
      <c r="AG331" s="102">
        <v>0</v>
      </c>
      <c r="AH331" s="102">
        <v>0</v>
      </c>
      <c r="AI331" s="102">
        <v>0</v>
      </c>
      <c r="AJ331" s="102">
        <v>0</v>
      </c>
      <c r="AK331" s="102">
        <v>0</v>
      </c>
      <c r="AL331" s="102">
        <v>0</v>
      </c>
      <c r="AM331" s="102">
        <v>0</v>
      </c>
      <c r="AN331" s="102" t="s">
        <v>1292</v>
      </c>
    </row>
    <row r="332" spans="2:40" x14ac:dyDescent="0.3">
      <c r="B332" s="61" t="s">
        <v>606</v>
      </c>
      <c r="C332" s="141" t="s">
        <v>460</v>
      </c>
      <c r="D332" s="102" t="str">
        <f t="shared" si="38"/>
        <v/>
      </c>
      <c r="E332" s="102" t="str">
        <f t="shared" si="38"/>
        <v/>
      </c>
      <c r="F332" s="102" t="str">
        <f t="shared" si="38"/>
        <v/>
      </c>
      <c r="G332" s="96"/>
      <c r="H332" s="102" t="str">
        <f t="shared" si="33"/>
        <v/>
      </c>
      <c r="I332" s="102" t="str">
        <f t="shared" si="37"/>
        <v/>
      </c>
      <c r="J332" s="102" t="str">
        <f t="shared" si="37"/>
        <v/>
      </c>
      <c r="M332" s="102"/>
      <c r="N332" s="100">
        <v>0</v>
      </c>
      <c r="O332" s="100">
        <v>0</v>
      </c>
      <c r="P332" s="100">
        <v>0</v>
      </c>
      <c r="Q332" s="100">
        <v>0</v>
      </c>
      <c r="R332" s="100">
        <v>0</v>
      </c>
      <c r="S332" s="100">
        <v>0</v>
      </c>
      <c r="T332" s="100">
        <v>0</v>
      </c>
      <c r="U332" s="100">
        <v>0</v>
      </c>
      <c r="V332" s="102">
        <v>0</v>
      </c>
      <c r="W332" s="102">
        <v>0</v>
      </c>
      <c r="X332" s="102">
        <v>0</v>
      </c>
      <c r="Y332" s="100">
        <v>0</v>
      </c>
      <c r="Z332" s="102"/>
      <c r="AA332" s="102"/>
      <c r="AB332" s="102"/>
      <c r="AC332" s="102">
        <v>0</v>
      </c>
      <c r="AD332" s="102">
        <v>0</v>
      </c>
      <c r="AE332" s="102">
        <v>0</v>
      </c>
      <c r="AF332" s="102">
        <v>0</v>
      </c>
      <c r="AG332" s="102">
        <v>0</v>
      </c>
      <c r="AH332" s="102">
        <v>0</v>
      </c>
      <c r="AI332" s="102">
        <v>0</v>
      </c>
      <c r="AJ332" s="102">
        <v>0</v>
      </c>
      <c r="AK332" s="102">
        <v>0</v>
      </c>
      <c r="AL332" s="102">
        <v>0</v>
      </c>
      <c r="AM332" s="102">
        <v>0</v>
      </c>
      <c r="AN332" s="102" t="s">
        <v>1292</v>
      </c>
    </row>
    <row r="333" spans="2:40" x14ac:dyDescent="0.3">
      <c r="B333" s="61" t="s">
        <v>607</v>
      </c>
      <c r="C333" s="141" t="s">
        <v>461</v>
      </c>
      <c r="D333" s="102">
        <f t="shared" si="38"/>
        <v>23.208577999999999</v>
      </c>
      <c r="E333" s="102">
        <f t="shared" si="38"/>
        <v>23.208577999999999</v>
      </c>
      <c r="F333" s="102">
        <f t="shared" si="38"/>
        <v>23.208577999999999</v>
      </c>
      <c r="G333" s="96"/>
      <c r="H333" s="102">
        <f t="shared" si="33"/>
        <v>23</v>
      </c>
      <c r="I333" s="102">
        <f t="shared" si="37"/>
        <v>23</v>
      </c>
      <c r="J333" s="102">
        <f t="shared" si="37"/>
        <v>23.208577999999999</v>
      </c>
      <c r="M333" s="102"/>
      <c r="N333" s="100">
        <v>23.208577999999999</v>
      </c>
      <c r="O333" s="100">
        <v>23.208577999999999</v>
      </c>
      <c r="P333" s="100">
        <v>23.208577999999999</v>
      </c>
      <c r="Q333" s="100">
        <v>23.208577999999999</v>
      </c>
      <c r="R333" s="100">
        <v>23.208577999999999</v>
      </c>
      <c r="S333" s="100">
        <v>23.208577999999999</v>
      </c>
      <c r="T333" s="100">
        <v>23.208577999999999</v>
      </c>
      <c r="U333" s="100">
        <v>23.208577999999999</v>
      </c>
      <c r="V333" s="102">
        <v>23.208577999999999</v>
      </c>
      <c r="W333" s="102">
        <v>23.208577999999999</v>
      </c>
      <c r="X333" s="102">
        <v>23.208577999999999</v>
      </c>
      <c r="Y333" s="100">
        <v>23.208577999999999</v>
      </c>
      <c r="Z333" s="102"/>
      <c r="AA333" s="102"/>
      <c r="AB333" s="102"/>
      <c r="AC333" s="102">
        <v>23</v>
      </c>
      <c r="AD333" s="102">
        <v>23</v>
      </c>
      <c r="AE333" s="102">
        <v>23</v>
      </c>
      <c r="AF333" s="102">
        <v>23</v>
      </c>
      <c r="AG333" s="102">
        <v>23</v>
      </c>
      <c r="AH333" s="102">
        <v>23</v>
      </c>
      <c r="AI333" s="102">
        <v>23</v>
      </c>
      <c r="AJ333" s="102">
        <v>23</v>
      </c>
      <c r="AK333" s="102">
        <v>23.208577999999999</v>
      </c>
      <c r="AL333" s="102">
        <v>23.208577999999999</v>
      </c>
      <c r="AM333" s="102">
        <v>23.208577999999999</v>
      </c>
      <c r="AN333" s="102">
        <v>23.208577999999999</v>
      </c>
    </row>
    <row r="334" spans="2:40" x14ac:dyDescent="0.3">
      <c r="B334" s="78" t="s">
        <v>747</v>
      </c>
      <c r="C334" s="141" t="s">
        <v>1520</v>
      </c>
      <c r="D334" s="102" t="str">
        <f t="shared" si="38"/>
        <v/>
      </c>
      <c r="E334" s="102" t="str">
        <f t="shared" si="38"/>
        <v/>
      </c>
      <c r="F334" s="102" t="str">
        <f t="shared" si="38"/>
        <v/>
      </c>
      <c r="G334" s="96"/>
      <c r="H334" s="102" t="str">
        <f t="shared" si="33"/>
        <v/>
      </c>
      <c r="I334" s="102" t="str">
        <f t="shared" si="37"/>
        <v/>
      </c>
      <c r="J334" s="102" t="str">
        <f t="shared" si="37"/>
        <v/>
      </c>
      <c r="M334" s="102"/>
      <c r="N334" s="100">
        <v>0</v>
      </c>
      <c r="O334" s="100">
        <v>0</v>
      </c>
      <c r="P334" s="100">
        <v>0</v>
      </c>
      <c r="Q334" s="100">
        <v>0</v>
      </c>
      <c r="R334" s="100">
        <v>0</v>
      </c>
      <c r="S334" s="100">
        <v>0</v>
      </c>
      <c r="T334" s="100">
        <v>0</v>
      </c>
      <c r="U334" s="100">
        <v>0</v>
      </c>
      <c r="V334" s="102">
        <v>0</v>
      </c>
      <c r="W334" s="102">
        <v>0</v>
      </c>
      <c r="X334" s="102">
        <v>0</v>
      </c>
      <c r="Y334" s="100">
        <v>0</v>
      </c>
      <c r="Z334" s="102"/>
      <c r="AA334" s="102"/>
      <c r="AB334" s="102"/>
      <c r="AC334" s="102">
        <v>0</v>
      </c>
      <c r="AD334" s="102">
        <v>0</v>
      </c>
      <c r="AE334" s="102">
        <v>0</v>
      </c>
      <c r="AF334" s="102">
        <v>0</v>
      </c>
      <c r="AG334" s="102">
        <v>0</v>
      </c>
      <c r="AH334" s="102">
        <v>0</v>
      </c>
      <c r="AI334" s="102">
        <v>0</v>
      </c>
      <c r="AJ334" s="102">
        <v>0</v>
      </c>
      <c r="AK334" s="102">
        <v>0</v>
      </c>
      <c r="AL334" s="102">
        <v>0</v>
      </c>
      <c r="AM334" s="102">
        <v>0</v>
      </c>
      <c r="AN334" s="102" t="s">
        <v>1292</v>
      </c>
    </row>
    <row r="335" spans="2:40" x14ac:dyDescent="0.3">
      <c r="B335" s="61" t="s">
        <v>748</v>
      </c>
      <c r="C335" s="141" t="s">
        <v>745</v>
      </c>
      <c r="D335" s="102" t="str">
        <f t="shared" si="38"/>
        <v/>
      </c>
      <c r="E335" s="102" t="str">
        <f t="shared" si="38"/>
        <v/>
      </c>
      <c r="F335" s="102" t="str">
        <f t="shared" si="38"/>
        <v/>
      </c>
      <c r="G335" s="96"/>
      <c r="H335" s="102" t="str">
        <f t="shared" si="33"/>
        <v/>
      </c>
      <c r="I335" s="102" t="str">
        <f t="shared" si="37"/>
        <v/>
      </c>
      <c r="J335" s="102" t="str">
        <f t="shared" si="37"/>
        <v/>
      </c>
      <c r="M335" s="102"/>
      <c r="N335" s="100">
        <v>0</v>
      </c>
      <c r="O335" s="100">
        <v>0</v>
      </c>
      <c r="P335" s="100">
        <v>0</v>
      </c>
      <c r="Q335" s="100">
        <v>0</v>
      </c>
      <c r="R335" s="100">
        <v>0</v>
      </c>
      <c r="S335" s="100">
        <v>0</v>
      </c>
      <c r="T335" s="100">
        <v>0</v>
      </c>
      <c r="U335" s="100">
        <v>0</v>
      </c>
      <c r="V335" s="102">
        <v>0</v>
      </c>
      <c r="W335" s="102">
        <v>0</v>
      </c>
      <c r="X335" s="102">
        <v>0</v>
      </c>
      <c r="Y335" s="100">
        <v>0</v>
      </c>
      <c r="Z335" s="102"/>
      <c r="AA335" s="102"/>
      <c r="AB335" s="102"/>
      <c r="AC335" s="102">
        <v>0</v>
      </c>
      <c r="AD335" s="102">
        <v>0</v>
      </c>
      <c r="AE335" s="102">
        <v>0</v>
      </c>
      <c r="AF335" s="102">
        <v>0</v>
      </c>
      <c r="AG335" s="102">
        <v>0</v>
      </c>
      <c r="AH335" s="102">
        <v>0</v>
      </c>
      <c r="AI335" s="102">
        <v>0</v>
      </c>
      <c r="AJ335" s="102">
        <v>0</v>
      </c>
      <c r="AK335" s="102">
        <v>0</v>
      </c>
      <c r="AL335" s="102">
        <v>0</v>
      </c>
      <c r="AM335" s="102">
        <v>0</v>
      </c>
      <c r="AN335" s="102" t="s">
        <v>1292</v>
      </c>
    </row>
    <row r="336" spans="2:40" x14ac:dyDescent="0.3">
      <c r="B336" s="61" t="s">
        <v>749</v>
      </c>
      <c r="C336" s="141" t="s">
        <v>746</v>
      </c>
      <c r="D336" s="102" t="str">
        <f t="shared" si="38"/>
        <v/>
      </c>
      <c r="E336" s="102" t="str">
        <f t="shared" si="38"/>
        <v/>
      </c>
      <c r="F336" s="102" t="str">
        <f t="shared" si="38"/>
        <v/>
      </c>
      <c r="G336" s="96"/>
      <c r="H336" s="102" t="str">
        <f t="shared" si="33"/>
        <v/>
      </c>
      <c r="I336" s="102" t="str">
        <f t="shared" ref="I336:J351" si="39">IF(HLOOKUP(I$5,$AB$5:$AN$370,ROW()-ROW($J$4),FALSE)=0,"",HLOOKUP(I$5,$AB$5:$AN$370,ROW()-ROW($J$4),FALSE))</f>
        <v/>
      </c>
      <c r="J336" s="102" t="str">
        <f t="shared" si="39"/>
        <v/>
      </c>
      <c r="M336" s="102"/>
      <c r="N336" s="100">
        <v>0</v>
      </c>
      <c r="O336" s="100">
        <v>0</v>
      </c>
      <c r="P336" s="100">
        <v>0</v>
      </c>
      <c r="Q336" s="100">
        <v>0</v>
      </c>
      <c r="R336" s="100">
        <v>0</v>
      </c>
      <c r="S336" s="100">
        <v>0</v>
      </c>
      <c r="T336" s="100">
        <v>0</v>
      </c>
      <c r="U336" s="100">
        <v>0</v>
      </c>
      <c r="V336" s="102">
        <v>0</v>
      </c>
      <c r="W336" s="102">
        <v>0</v>
      </c>
      <c r="X336" s="102">
        <v>0</v>
      </c>
      <c r="Y336" s="100">
        <v>0</v>
      </c>
      <c r="Z336" s="102"/>
      <c r="AA336" s="102"/>
      <c r="AB336" s="102"/>
      <c r="AC336" s="102">
        <v>0</v>
      </c>
      <c r="AD336" s="102">
        <v>0</v>
      </c>
      <c r="AE336" s="102">
        <v>0</v>
      </c>
      <c r="AF336" s="102">
        <v>0</v>
      </c>
      <c r="AG336" s="102">
        <v>0</v>
      </c>
      <c r="AH336" s="102">
        <v>0</v>
      </c>
      <c r="AI336" s="102">
        <v>0</v>
      </c>
      <c r="AJ336" s="102">
        <v>0</v>
      </c>
      <c r="AK336" s="102">
        <v>0</v>
      </c>
      <c r="AL336" s="102">
        <v>0</v>
      </c>
      <c r="AM336" s="102">
        <v>0</v>
      </c>
      <c r="AN336" s="102" t="s">
        <v>1292</v>
      </c>
    </row>
    <row r="337" spans="2:40" s="112" customFormat="1" x14ac:dyDescent="0.3">
      <c r="B337" s="78" t="s">
        <v>750</v>
      </c>
      <c r="C337" s="141" t="s">
        <v>1521</v>
      </c>
      <c r="D337" s="100">
        <f t="shared" si="38"/>
        <v>2067824.4682199999</v>
      </c>
      <c r="E337" s="100">
        <f t="shared" si="38"/>
        <v>1942924.0789989999</v>
      </c>
      <c r="F337" s="100">
        <f t="shared" si="38"/>
        <v>1817884.4423539999</v>
      </c>
      <c r="G337" s="101"/>
      <c r="H337" s="100">
        <f t="shared" si="33"/>
        <v>2073912</v>
      </c>
      <c r="I337" s="100">
        <f t="shared" si="39"/>
        <v>1943135</v>
      </c>
      <c r="J337" s="100">
        <f t="shared" si="39"/>
        <v>1714318.2498360001</v>
      </c>
      <c r="M337" s="100"/>
      <c r="N337" s="100">
        <v>2067824.4682199999</v>
      </c>
      <c r="O337" s="100">
        <v>2064121.302131</v>
      </c>
      <c r="P337" s="100">
        <v>2017597.478136</v>
      </c>
      <c r="Q337" s="100">
        <v>1967243.847174</v>
      </c>
      <c r="R337" s="100">
        <v>1942924.0789989999</v>
      </c>
      <c r="S337" s="100">
        <v>1865267.1389339999</v>
      </c>
      <c r="T337" s="100">
        <v>1864219.6759850001</v>
      </c>
      <c r="U337" s="100">
        <v>1850207.92255</v>
      </c>
      <c r="V337" s="100">
        <v>1817884.4423539999</v>
      </c>
      <c r="W337" s="100">
        <v>1747467.6120559999</v>
      </c>
      <c r="X337" s="100">
        <v>1723001.0848970001</v>
      </c>
      <c r="Y337" s="100">
        <v>1817884.4423539999</v>
      </c>
      <c r="Z337" s="100"/>
      <c r="AA337" s="100"/>
      <c r="AB337" s="100"/>
      <c r="AC337" s="100">
        <v>2073912</v>
      </c>
      <c r="AD337" s="100">
        <v>2068367</v>
      </c>
      <c r="AE337" s="100">
        <v>2018610</v>
      </c>
      <c r="AF337" s="100">
        <v>1967919</v>
      </c>
      <c r="AG337" s="100">
        <v>1943135</v>
      </c>
      <c r="AH337" s="100">
        <v>1862089</v>
      </c>
      <c r="AI337" s="102">
        <v>1860287</v>
      </c>
      <c r="AJ337" s="102">
        <v>1843536</v>
      </c>
      <c r="AK337" s="100">
        <v>1807019.9715769999</v>
      </c>
      <c r="AL337" s="100">
        <v>1820044.7551140001</v>
      </c>
      <c r="AM337" s="100">
        <v>1759653.4442199999</v>
      </c>
      <c r="AN337" s="102">
        <v>1714318.2498360001</v>
      </c>
    </row>
    <row r="338" spans="2:40" x14ac:dyDescent="0.3">
      <c r="B338" s="61" t="s">
        <v>751</v>
      </c>
      <c r="C338" s="141" t="s">
        <v>462</v>
      </c>
      <c r="D338" s="102">
        <f t="shared" si="38"/>
        <v>29423.725175</v>
      </c>
      <c r="E338" s="102">
        <f t="shared" si="38"/>
        <v>29423.725175</v>
      </c>
      <c r="F338" s="102">
        <f t="shared" si="38"/>
        <v>29423.725175</v>
      </c>
      <c r="G338" s="96"/>
      <c r="H338" s="102">
        <f t="shared" si="33"/>
        <v>29424</v>
      </c>
      <c r="I338" s="102">
        <f t="shared" si="39"/>
        <v>29424</v>
      </c>
      <c r="J338" s="102">
        <f t="shared" si="39"/>
        <v>29423.725175</v>
      </c>
      <c r="M338" s="102"/>
      <c r="N338" s="100">
        <v>29423.725175</v>
      </c>
      <c r="O338" s="100">
        <v>29423.725175</v>
      </c>
      <c r="P338" s="100">
        <v>29423.725175</v>
      </c>
      <c r="Q338" s="100">
        <v>29423.725175</v>
      </c>
      <c r="R338" s="100">
        <v>29423.725175</v>
      </c>
      <c r="S338" s="100">
        <v>29423.725175</v>
      </c>
      <c r="T338" s="100">
        <v>29423.725175</v>
      </c>
      <c r="U338" s="100">
        <v>29423.725175</v>
      </c>
      <c r="V338" s="102">
        <v>29423.725175</v>
      </c>
      <c r="W338" s="102">
        <v>29423.725175</v>
      </c>
      <c r="X338" s="102">
        <v>29423.725175</v>
      </c>
      <c r="Y338" s="100">
        <v>29423.725175</v>
      </c>
      <c r="Z338" s="102"/>
      <c r="AA338" s="102"/>
      <c r="AB338" s="102"/>
      <c r="AC338" s="102">
        <v>29424</v>
      </c>
      <c r="AD338" s="102">
        <v>29424</v>
      </c>
      <c r="AE338" s="102">
        <v>29424</v>
      </c>
      <c r="AF338" s="102">
        <v>29424</v>
      </c>
      <c r="AG338" s="102">
        <v>29424</v>
      </c>
      <c r="AH338" s="102">
        <v>29424</v>
      </c>
      <c r="AI338" s="102">
        <v>29424</v>
      </c>
      <c r="AJ338" s="102">
        <v>29424</v>
      </c>
      <c r="AK338" s="102">
        <v>29423.725175</v>
      </c>
      <c r="AL338" s="102">
        <v>29423.725175</v>
      </c>
      <c r="AM338" s="102">
        <v>29423.725175</v>
      </c>
      <c r="AN338" s="102">
        <v>29423.725175</v>
      </c>
    </row>
    <row r="339" spans="2:40" x14ac:dyDescent="0.3">
      <c r="B339" s="61" t="s">
        <v>752</v>
      </c>
      <c r="C339" s="141" t="s">
        <v>463</v>
      </c>
      <c r="D339" s="102" t="str">
        <f t="shared" si="38"/>
        <v/>
      </c>
      <c r="E339" s="102" t="str">
        <f t="shared" si="38"/>
        <v/>
      </c>
      <c r="F339" s="102" t="str">
        <f t="shared" si="38"/>
        <v/>
      </c>
      <c r="G339" s="96"/>
      <c r="H339" s="102" t="str">
        <f t="shared" si="33"/>
        <v/>
      </c>
      <c r="I339" s="102" t="str">
        <f t="shared" si="39"/>
        <v/>
      </c>
      <c r="J339" s="102" t="str">
        <f t="shared" si="39"/>
        <v/>
      </c>
      <c r="M339" s="102"/>
      <c r="N339" s="100">
        <v>0</v>
      </c>
      <c r="O339" s="100">
        <v>0</v>
      </c>
      <c r="P339" s="100">
        <v>0</v>
      </c>
      <c r="Q339" s="100">
        <v>0</v>
      </c>
      <c r="R339" s="100">
        <v>0</v>
      </c>
      <c r="S339" s="100">
        <v>0</v>
      </c>
      <c r="T339" s="100">
        <v>0</v>
      </c>
      <c r="U339" s="100">
        <v>0</v>
      </c>
      <c r="V339" s="102">
        <v>0</v>
      </c>
      <c r="W339" s="102">
        <v>0</v>
      </c>
      <c r="X339" s="102">
        <v>0</v>
      </c>
      <c r="Y339" s="100">
        <v>0</v>
      </c>
      <c r="Z339" s="102"/>
      <c r="AA339" s="102"/>
      <c r="AB339" s="102"/>
      <c r="AC339" s="102">
        <v>0</v>
      </c>
      <c r="AD339" s="102">
        <v>0</v>
      </c>
      <c r="AE339" s="102">
        <v>0</v>
      </c>
      <c r="AF339" s="102">
        <v>0</v>
      </c>
      <c r="AG339" s="102">
        <v>0</v>
      </c>
      <c r="AH339" s="102">
        <v>0</v>
      </c>
      <c r="AI339" s="102">
        <v>0</v>
      </c>
      <c r="AJ339" s="102">
        <v>0</v>
      </c>
      <c r="AK339" s="102">
        <v>0</v>
      </c>
      <c r="AL339" s="102">
        <v>0</v>
      </c>
      <c r="AM339" s="102">
        <v>0</v>
      </c>
      <c r="AN339" s="102" t="s">
        <v>1292</v>
      </c>
    </row>
    <row r="340" spans="2:40" x14ac:dyDescent="0.3">
      <c r="B340" s="61" t="s">
        <v>753</v>
      </c>
      <c r="C340" s="141" t="s">
        <v>464</v>
      </c>
      <c r="D340" s="102" t="str">
        <f t="shared" si="38"/>
        <v/>
      </c>
      <c r="E340" s="102" t="str">
        <f t="shared" si="38"/>
        <v/>
      </c>
      <c r="F340" s="102" t="str">
        <f t="shared" si="38"/>
        <v/>
      </c>
      <c r="G340" s="96"/>
      <c r="H340" s="102" t="str">
        <f t="shared" si="33"/>
        <v/>
      </c>
      <c r="I340" s="102" t="str">
        <f t="shared" si="39"/>
        <v/>
      </c>
      <c r="J340" s="102" t="str">
        <f t="shared" si="39"/>
        <v/>
      </c>
      <c r="M340" s="102"/>
      <c r="N340" s="100">
        <v>0</v>
      </c>
      <c r="O340" s="100">
        <v>0</v>
      </c>
      <c r="P340" s="100">
        <v>0</v>
      </c>
      <c r="Q340" s="100">
        <v>0</v>
      </c>
      <c r="R340" s="100">
        <v>0</v>
      </c>
      <c r="S340" s="100">
        <v>0</v>
      </c>
      <c r="T340" s="100">
        <v>0</v>
      </c>
      <c r="U340" s="100">
        <v>0</v>
      </c>
      <c r="V340" s="102">
        <v>0</v>
      </c>
      <c r="W340" s="102">
        <v>0</v>
      </c>
      <c r="X340" s="102">
        <v>0</v>
      </c>
      <c r="Y340" s="100">
        <v>0</v>
      </c>
      <c r="Z340" s="102"/>
      <c r="AA340" s="102"/>
      <c r="AB340" s="102"/>
      <c r="AC340" s="102">
        <v>0</v>
      </c>
      <c r="AD340" s="102">
        <v>0</v>
      </c>
      <c r="AE340" s="102">
        <v>0</v>
      </c>
      <c r="AF340" s="102">
        <v>0</v>
      </c>
      <c r="AG340" s="102">
        <v>0</v>
      </c>
      <c r="AH340" s="102">
        <v>0</v>
      </c>
      <c r="AI340" s="102">
        <v>0</v>
      </c>
      <c r="AJ340" s="102">
        <v>0</v>
      </c>
      <c r="AK340" s="102">
        <v>0</v>
      </c>
      <c r="AL340" s="102">
        <v>0</v>
      </c>
      <c r="AM340" s="102">
        <v>0</v>
      </c>
      <c r="AN340" s="102" t="s">
        <v>1292</v>
      </c>
    </row>
    <row r="341" spans="2:40" x14ac:dyDescent="0.3">
      <c r="B341" s="61" t="s">
        <v>754</v>
      </c>
      <c r="C341" s="141" t="s">
        <v>465</v>
      </c>
      <c r="D341" s="102">
        <f t="shared" si="38"/>
        <v>8123.0393999999997</v>
      </c>
      <c r="E341" s="102">
        <f t="shared" si="38"/>
        <v>13210.263878</v>
      </c>
      <c r="F341" s="102">
        <f t="shared" si="38"/>
        <v>14872.620865999999</v>
      </c>
      <c r="G341" s="96"/>
      <c r="H341" s="102">
        <f t="shared" si="33"/>
        <v>8123</v>
      </c>
      <c r="I341" s="102">
        <f t="shared" si="39"/>
        <v>13210</v>
      </c>
      <c r="J341" s="102">
        <f t="shared" si="39"/>
        <v>15771.143906000001</v>
      </c>
      <c r="M341" s="102"/>
      <c r="N341" s="100">
        <v>8123.0393999999997</v>
      </c>
      <c r="O341" s="100">
        <v>10098.738398</v>
      </c>
      <c r="P341" s="100">
        <v>10539.449001999999</v>
      </c>
      <c r="Q341" s="100">
        <v>11362.475480999999</v>
      </c>
      <c r="R341" s="100">
        <v>13210.263878</v>
      </c>
      <c r="S341" s="100">
        <v>15764.940608999999</v>
      </c>
      <c r="T341" s="100">
        <v>17480.892958</v>
      </c>
      <c r="U341" s="100">
        <v>18403.451012000001</v>
      </c>
      <c r="V341" s="102">
        <v>14872.620865999999</v>
      </c>
      <c r="W341" s="102">
        <v>15574.191392000001</v>
      </c>
      <c r="X341" s="102">
        <v>18574.576648999999</v>
      </c>
      <c r="Y341" s="100">
        <v>14872.620865999999</v>
      </c>
      <c r="Z341" s="102"/>
      <c r="AA341" s="102"/>
      <c r="AB341" s="102"/>
      <c r="AC341" s="102">
        <v>8123</v>
      </c>
      <c r="AD341" s="102">
        <v>10099</v>
      </c>
      <c r="AE341" s="102">
        <v>10539</v>
      </c>
      <c r="AF341" s="102">
        <v>11362</v>
      </c>
      <c r="AG341" s="102">
        <v>13210</v>
      </c>
      <c r="AH341" s="102">
        <v>15765</v>
      </c>
      <c r="AI341" s="102">
        <v>17481</v>
      </c>
      <c r="AJ341" s="102">
        <v>18403</v>
      </c>
      <c r="AK341" s="102">
        <v>14872.620865999999</v>
      </c>
      <c r="AL341" s="102">
        <v>15574.191392000001</v>
      </c>
      <c r="AM341" s="102">
        <v>18574.576648999999</v>
      </c>
      <c r="AN341" s="102">
        <v>15771.143906000001</v>
      </c>
    </row>
    <row r="342" spans="2:40" x14ac:dyDescent="0.3">
      <c r="B342" s="61" t="s">
        <v>994</v>
      </c>
      <c r="C342" s="141" t="s">
        <v>995</v>
      </c>
      <c r="D342" s="102" t="str">
        <f t="shared" si="38"/>
        <v/>
      </c>
      <c r="E342" s="102" t="str">
        <f t="shared" si="38"/>
        <v/>
      </c>
      <c r="F342" s="102" t="str">
        <f t="shared" si="38"/>
        <v/>
      </c>
      <c r="G342" s="96"/>
      <c r="H342" s="102" t="str">
        <f t="shared" si="33"/>
        <v/>
      </c>
      <c r="I342" s="102" t="str">
        <f t="shared" si="39"/>
        <v/>
      </c>
      <c r="J342" s="102" t="str">
        <f t="shared" si="39"/>
        <v/>
      </c>
      <c r="M342" s="102"/>
      <c r="N342" s="100">
        <v>0</v>
      </c>
      <c r="O342" s="100">
        <v>0</v>
      </c>
      <c r="P342" s="100">
        <v>0</v>
      </c>
      <c r="Q342" s="100">
        <v>0</v>
      </c>
      <c r="R342" s="100">
        <v>0</v>
      </c>
      <c r="S342" s="100">
        <v>0</v>
      </c>
      <c r="T342" s="100">
        <v>0</v>
      </c>
      <c r="U342" s="100">
        <v>0</v>
      </c>
      <c r="V342" s="102">
        <v>0</v>
      </c>
      <c r="W342" s="102">
        <v>0</v>
      </c>
      <c r="X342" s="102">
        <v>0</v>
      </c>
      <c r="Y342" s="100">
        <v>0</v>
      </c>
      <c r="Z342" s="102"/>
      <c r="AA342" s="102"/>
      <c r="AB342" s="102"/>
      <c r="AC342" s="102">
        <v>0</v>
      </c>
      <c r="AD342" s="102">
        <v>0</v>
      </c>
      <c r="AE342" s="102">
        <v>0</v>
      </c>
      <c r="AF342" s="102">
        <v>0</v>
      </c>
      <c r="AG342" s="102">
        <v>0</v>
      </c>
      <c r="AH342" s="102">
        <v>0</v>
      </c>
      <c r="AI342" s="102">
        <v>0</v>
      </c>
      <c r="AJ342" s="102">
        <v>0</v>
      </c>
      <c r="AK342" s="102">
        <v>0</v>
      </c>
      <c r="AL342" s="102">
        <v>0</v>
      </c>
      <c r="AM342" s="102">
        <v>0</v>
      </c>
      <c r="AN342" s="102" t="s">
        <v>1292</v>
      </c>
    </row>
    <row r="343" spans="2:40" x14ac:dyDescent="0.3">
      <c r="B343" s="61" t="s">
        <v>996</v>
      </c>
      <c r="C343" s="141" t="s">
        <v>997</v>
      </c>
      <c r="D343" s="102">
        <f t="shared" si="38"/>
        <v>609270.01481700002</v>
      </c>
      <c r="E343" s="102">
        <f t="shared" si="38"/>
        <v>724349.60682999995</v>
      </c>
      <c r="F343" s="102">
        <f t="shared" si="38"/>
        <v>567830.06991700002</v>
      </c>
      <c r="G343" s="96"/>
      <c r="H343" s="102">
        <f t="shared" si="33"/>
        <v>615358</v>
      </c>
      <c r="I343" s="102">
        <f t="shared" si="39"/>
        <v>724561</v>
      </c>
      <c r="J343" s="102">
        <f t="shared" si="39"/>
        <v>1566543.4549469999</v>
      </c>
      <c r="M343" s="102"/>
      <c r="N343" s="100">
        <v>609270.01481700002</v>
      </c>
      <c r="O343" s="100">
        <v>680140.73553399998</v>
      </c>
      <c r="P343" s="100">
        <v>709183.88875100005</v>
      </c>
      <c r="Q343" s="100">
        <v>722887.60765000002</v>
      </c>
      <c r="R343" s="100">
        <v>724349.60682999995</v>
      </c>
      <c r="S343" s="100">
        <v>477278.21435700002</v>
      </c>
      <c r="T343" s="100">
        <v>525372.71904500003</v>
      </c>
      <c r="U343" s="100">
        <v>550825.58150099998</v>
      </c>
      <c r="V343" s="102">
        <v>567830.06991700002</v>
      </c>
      <c r="W343" s="102">
        <v>693894.03083299997</v>
      </c>
      <c r="X343" s="102">
        <v>718794.27220400004</v>
      </c>
      <c r="Y343" s="100">
        <v>567830.06991700002</v>
      </c>
      <c r="Z343" s="102"/>
      <c r="AA343" s="102"/>
      <c r="AB343" s="102"/>
      <c r="AC343" s="102">
        <v>615358</v>
      </c>
      <c r="AD343" s="102">
        <v>684386</v>
      </c>
      <c r="AE343" s="102">
        <v>710197</v>
      </c>
      <c r="AF343" s="102">
        <v>723562</v>
      </c>
      <c r="AG343" s="102">
        <v>724561</v>
      </c>
      <c r="AH343" s="102">
        <v>474100</v>
      </c>
      <c r="AI343" s="102">
        <v>521440</v>
      </c>
      <c r="AJ343" s="102">
        <v>544153</v>
      </c>
      <c r="AK343" s="102">
        <v>556965.59913999995</v>
      </c>
      <c r="AL343" s="102">
        <v>766471.17389099998</v>
      </c>
      <c r="AM343" s="102">
        <v>755446.63152699999</v>
      </c>
      <c r="AN343" s="102">
        <v>1566543.4549469999</v>
      </c>
    </row>
    <row r="344" spans="2:40" x14ac:dyDescent="0.3">
      <c r="B344" s="61" t="s">
        <v>998</v>
      </c>
      <c r="C344" s="141" t="s">
        <v>755</v>
      </c>
      <c r="D344" s="102">
        <f t="shared" si="38"/>
        <v>124900.389221</v>
      </c>
      <c r="E344" s="102">
        <f t="shared" si="38"/>
        <v>125038.95284</v>
      </c>
      <c r="F344" s="102">
        <f t="shared" si="38"/>
        <v>109199.854875</v>
      </c>
      <c r="G344" s="96"/>
      <c r="H344" s="102">
        <f t="shared" si="33"/>
        <v>130776</v>
      </c>
      <c r="I344" s="102">
        <f t="shared" si="39"/>
        <v>136115</v>
      </c>
      <c r="J344" s="102">
        <f t="shared" si="39"/>
        <v>102579.925808</v>
      </c>
      <c r="M344" s="102"/>
      <c r="N344" s="100">
        <v>124900.389221</v>
      </c>
      <c r="O344" s="100">
        <v>121197.223132</v>
      </c>
      <c r="P344" s="100">
        <v>74673.399137</v>
      </c>
      <c r="Q344" s="100">
        <v>24319.768175000001</v>
      </c>
      <c r="R344" s="100">
        <v>125038.95284</v>
      </c>
      <c r="S344" s="100">
        <v>47382.012775000003</v>
      </c>
      <c r="T344" s="100">
        <v>46334.549826000002</v>
      </c>
      <c r="U344" s="100">
        <v>32322.796391</v>
      </c>
      <c r="V344" s="102">
        <v>109199.854875</v>
      </c>
      <c r="W344" s="102">
        <v>159231.33945999999</v>
      </c>
      <c r="X344" s="102">
        <v>134764.812301</v>
      </c>
      <c r="Y344" s="100">
        <v>109199.854875</v>
      </c>
      <c r="Z344" s="102"/>
      <c r="AA344" s="102"/>
      <c r="AB344" s="102"/>
      <c r="AC344" s="102">
        <v>130776</v>
      </c>
      <c r="AD344" s="102">
        <v>125231</v>
      </c>
      <c r="AE344" s="102">
        <v>75475</v>
      </c>
      <c r="AF344" s="102">
        <v>24783</v>
      </c>
      <c r="AG344" s="102">
        <v>136115</v>
      </c>
      <c r="AH344" s="102">
        <v>55069</v>
      </c>
      <c r="AI344" s="102">
        <v>53267</v>
      </c>
      <c r="AJ344" s="102">
        <v>36515</v>
      </c>
      <c r="AK344" s="102">
        <v>101404.714525</v>
      </c>
      <c r="AL344" s="102">
        <v>208306.36608599999</v>
      </c>
      <c r="AM344" s="102">
        <v>147915.055192</v>
      </c>
      <c r="AN344" s="102">
        <v>102579.925808</v>
      </c>
    </row>
    <row r="345" spans="2:40" x14ac:dyDescent="0.3">
      <c r="B345" s="61" t="s">
        <v>999</v>
      </c>
      <c r="C345" s="141" t="s">
        <v>1459</v>
      </c>
      <c r="D345" s="102">
        <f t="shared" si="38"/>
        <v>1219968.1906920001</v>
      </c>
      <c r="E345" s="102">
        <f t="shared" si="38"/>
        <v>992343.16090500006</v>
      </c>
      <c r="F345" s="102">
        <f t="shared" si="38"/>
        <v>1037584.108003</v>
      </c>
      <c r="G345" s="96"/>
      <c r="H345" s="102">
        <f t="shared" si="33"/>
        <v>1219968</v>
      </c>
      <c r="I345" s="102">
        <f t="shared" si="39"/>
        <v>992343</v>
      </c>
      <c r="J345" s="102"/>
      <c r="M345" s="102"/>
      <c r="N345" s="100">
        <v>1219968.1906920001</v>
      </c>
      <c r="O345" s="100">
        <v>1147657.4280059999</v>
      </c>
      <c r="P345" s="100">
        <v>1075511.1597160001</v>
      </c>
      <c r="Q345" s="100">
        <v>1031843.28691</v>
      </c>
      <c r="R345" s="100">
        <v>992343.16090500006</v>
      </c>
      <c r="S345" s="100">
        <v>1162859.4644820001</v>
      </c>
      <c r="T345" s="100">
        <v>1116544.244621</v>
      </c>
      <c r="U345" s="100">
        <v>1079851.798561</v>
      </c>
      <c r="V345" s="102">
        <v>1037584.108003</v>
      </c>
      <c r="W345" s="102">
        <v>845009.45472599997</v>
      </c>
      <c r="X345" s="102">
        <v>796954.767444</v>
      </c>
      <c r="Y345" s="100">
        <v>1037584.108003</v>
      </c>
      <c r="Z345" s="102"/>
      <c r="AA345" s="102"/>
      <c r="AB345" s="102"/>
      <c r="AC345" s="102">
        <v>1219968</v>
      </c>
      <c r="AD345" s="102">
        <v>1147657</v>
      </c>
      <c r="AE345" s="102">
        <v>1075511</v>
      </c>
      <c r="AF345" s="102">
        <v>1031843</v>
      </c>
      <c r="AG345" s="102">
        <v>992343</v>
      </c>
      <c r="AH345" s="102">
        <v>1162859</v>
      </c>
      <c r="AI345" s="102">
        <v>1116544</v>
      </c>
      <c r="AJ345" s="102">
        <v>1079852</v>
      </c>
      <c r="AK345" s="102">
        <v>1037584.108003</v>
      </c>
      <c r="AL345" s="102">
        <v>845009.45472599997</v>
      </c>
      <c r="AM345" s="102">
        <v>796954.767444</v>
      </c>
      <c r="AN345" s="102" t="s">
        <v>1292</v>
      </c>
    </row>
    <row r="346" spans="2:40" x14ac:dyDescent="0.3">
      <c r="B346" s="61" t="s">
        <v>1000</v>
      </c>
      <c r="C346" s="141" t="s">
        <v>1460</v>
      </c>
      <c r="D346" s="102">
        <f t="shared" ref="D346:F359" si="40">IF(HLOOKUP(D$5,$M$5:$Y$370,ROW()-ROW($F$4),FALSE)=0,"",HLOOKUP(D$5,$M$5:$Y$370,ROW()-ROW($F$4),FALSE))</f>
        <v>201039.49813600001</v>
      </c>
      <c r="E346" s="102">
        <f t="shared" si="40"/>
        <v>183597.32221099999</v>
      </c>
      <c r="F346" s="102">
        <f t="shared" si="40"/>
        <v>168173.918393</v>
      </c>
      <c r="G346" s="96"/>
      <c r="H346" s="102">
        <f t="shared" ref="H346:H369" si="41">IF(HLOOKUP(H$5,$AB$5:$AN$370,ROW()-ROW($J$4),FALSE)=0,"",HLOOKUP(H$5,$AB$5:$AN$370,ROW()-ROW($J$4),FALSE))</f>
        <v>201039</v>
      </c>
      <c r="I346" s="102">
        <f t="shared" si="39"/>
        <v>183597</v>
      </c>
      <c r="J346" s="102"/>
      <c r="M346" s="102"/>
      <c r="N346" s="100">
        <v>201039.49813600001</v>
      </c>
      <c r="O346" s="100">
        <v>196800.67501800001</v>
      </c>
      <c r="P346" s="100">
        <v>192939.255492</v>
      </c>
      <c r="Q346" s="100">
        <v>171726.75195800001</v>
      </c>
      <c r="R346" s="100">
        <v>183597.32221099999</v>
      </c>
      <c r="S346" s="100">
        <v>179940.79431100001</v>
      </c>
      <c r="T346" s="100">
        <v>175398.094186</v>
      </c>
      <c r="U346" s="100">
        <v>171703.366301</v>
      </c>
      <c r="V346" s="102">
        <v>168173.918393</v>
      </c>
      <c r="W346" s="102">
        <v>163566.20993000001</v>
      </c>
      <c r="X346" s="102">
        <v>159253.74342499999</v>
      </c>
      <c r="Y346" s="100">
        <v>168173.918393</v>
      </c>
      <c r="Z346" s="102"/>
      <c r="AA346" s="102"/>
      <c r="AB346" s="102"/>
      <c r="AC346" s="102">
        <v>201039</v>
      </c>
      <c r="AD346" s="102">
        <v>196801</v>
      </c>
      <c r="AE346" s="102">
        <v>192939</v>
      </c>
      <c r="AF346" s="102">
        <v>171727</v>
      </c>
      <c r="AG346" s="102">
        <v>183597</v>
      </c>
      <c r="AH346" s="102">
        <v>179941</v>
      </c>
      <c r="AI346" s="102">
        <v>175398</v>
      </c>
      <c r="AJ346" s="102">
        <v>171703</v>
      </c>
      <c r="AK346" s="102">
        <v>168173.918393</v>
      </c>
      <c r="AL346" s="102">
        <v>163566.20993000001</v>
      </c>
      <c r="AM346" s="102">
        <v>159253.74342499999</v>
      </c>
      <c r="AN346" s="102" t="s">
        <v>1292</v>
      </c>
    </row>
    <row r="347" spans="2:40" x14ac:dyDescent="0.3">
      <c r="B347" s="61" t="s">
        <v>1001</v>
      </c>
      <c r="C347" s="141" t="s">
        <v>1461</v>
      </c>
      <c r="D347" s="102" t="str">
        <f t="shared" si="40"/>
        <v/>
      </c>
      <c r="E347" s="102" t="str">
        <f t="shared" si="40"/>
        <v/>
      </c>
      <c r="F347" s="102" t="str">
        <f t="shared" si="40"/>
        <v/>
      </c>
      <c r="G347" s="96"/>
      <c r="H347" s="102" t="str">
        <f t="shared" si="41"/>
        <v/>
      </c>
      <c r="I347" s="102" t="str">
        <f t="shared" si="39"/>
        <v/>
      </c>
      <c r="J347" s="102"/>
      <c r="M347" s="102"/>
      <c r="N347" s="100">
        <v>0</v>
      </c>
      <c r="O347" s="100">
        <v>0</v>
      </c>
      <c r="P347" s="100">
        <v>0</v>
      </c>
      <c r="Q347" s="100">
        <v>0</v>
      </c>
      <c r="R347" s="100">
        <v>0</v>
      </c>
      <c r="S347" s="100">
        <v>0</v>
      </c>
      <c r="T347" s="100">
        <v>0</v>
      </c>
      <c r="U347" s="100">
        <v>0</v>
      </c>
      <c r="V347" s="102">
        <v>0</v>
      </c>
      <c r="W347" s="102">
        <v>0</v>
      </c>
      <c r="X347" s="102">
        <v>0</v>
      </c>
      <c r="Y347" s="100">
        <v>0</v>
      </c>
      <c r="Z347" s="102"/>
      <c r="AA347" s="102"/>
      <c r="AB347" s="102"/>
      <c r="AC347" s="102">
        <v>0</v>
      </c>
      <c r="AD347" s="102">
        <v>0</v>
      </c>
      <c r="AE347" s="102">
        <v>0</v>
      </c>
      <c r="AF347" s="102">
        <v>0</v>
      </c>
      <c r="AG347" s="102">
        <v>0</v>
      </c>
      <c r="AH347" s="102">
        <v>0</v>
      </c>
      <c r="AI347" s="102">
        <v>0</v>
      </c>
      <c r="AJ347" s="102">
        <v>0</v>
      </c>
      <c r="AK347" s="102">
        <v>0</v>
      </c>
      <c r="AL347" s="102">
        <v>0</v>
      </c>
      <c r="AM347" s="102">
        <v>0</v>
      </c>
      <c r="AN347" s="102" t="s">
        <v>1292</v>
      </c>
    </row>
    <row r="348" spans="2:40" s="112" customFormat="1" x14ac:dyDescent="0.3">
      <c r="B348" s="78" t="s">
        <v>756</v>
      </c>
      <c r="C348" s="141" t="s">
        <v>1522</v>
      </c>
      <c r="D348" s="100">
        <f t="shared" si="40"/>
        <v>-371175.44889499998</v>
      </c>
      <c r="E348" s="100">
        <f t="shared" si="40"/>
        <v>-371175.44889499998</v>
      </c>
      <c r="F348" s="100">
        <f t="shared" si="40"/>
        <v>-371175.44889499998</v>
      </c>
      <c r="G348" s="101"/>
      <c r="H348" s="100">
        <f t="shared" si="41"/>
        <v>-371277</v>
      </c>
      <c r="I348" s="100">
        <f t="shared" si="39"/>
        <v>-371277</v>
      </c>
      <c r="J348" s="100">
        <f t="shared" ref="I348:J363" si="42">IF(HLOOKUP(J$5,$AB$5:$AN$370,ROW()-ROW($J$4),FALSE)=0,"",HLOOKUP(J$5,$AB$5:$AN$370,ROW()-ROW($J$4),FALSE))</f>
        <v>-371276.25289500004</v>
      </c>
      <c r="M348" s="100"/>
      <c r="N348" s="100">
        <v>-371175.44889499998</v>
      </c>
      <c r="O348" s="100">
        <v>-371175.44889499998</v>
      </c>
      <c r="P348" s="100">
        <v>-371175.44889499998</v>
      </c>
      <c r="Q348" s="100">
        <v>-371175.44889499998</v>
      </c>
      <c r="R348" s="100">
        <v>-371175.44889499998</v>
      </c>
      <c r="S348" s="100">
        <v>-371175.44889499998</v>
      </c>
      <c r="T348" s="100">
        <v>-371175.44889499998</v>
      </c>
      <c r="U348" s="100">
        <v>-371175.44889499998</v>
      </c>
      <c r="V348" s="100">
        <v>-371175.44889499998</v>
      </c>
      <c r="W348" s="100">
        <v>-371175.44889499998</v>
      </c>
      <c r="X348" s="100">
        <v>-371175.44889499998</v>
      </c>
      <c r="Y348" s="100">
        <v>-371175.44889499998</v>
      </c>
      <c r="Z348" s="100"/>
      <c r="AA348" s="100"/>
      <c r="AB348" s="100"/>
      <c r="AC348" s="100">
        <v>-371277</v>
      </c>
      <c r="AD348" s="100">
        <v>-371277</v>
      </c>
      <c r="AE348" s="100">
        <v>-371277</v>
      </c>
      <c r="AF348" s="100">
        <v>-371276</v>
      </c>
      <c r="AG348" s="100">
        <v>-371277</v>
      </c>
      <c r="AH348" s="100">
        <v>-371276</v>
      </c>
      <c r="AI348" s="102">
        <v>-371276</v>
      </c>
      <c r="AJ348" s="102">
        <v>-371276</v>
      </c>
      <c r="AK348" s="100">
        <v>-371276.25289499998</v>
      </c>
      <c r="AL348" s="100">
        <v>-371276.25289499998</v>
      </c>
      <c r="AM348" s="100">
        <v>-371276.25289499998</v>
      </c>
      <c r="AN348" s="102">
        <v>-371276.25289500004</v>
      </c>
    </row>
    <row r="349" spans="2:40" x14ac:dyDescent="0.3">
      <c r="B349" s="61" t="s">
        <v>757</v>
      </c>
      <c r="C349" s="141" t="s">
        <v>466</v>
      </c>
      <c r="D349" s="102" t="str">
        <f t="shared" si="40"/>
        <v/>
      </c>
      <c r="E349" s="102" t="str">
        <f t="shared" si="40"/>
        <v/>
      </c>
      <c r="F349" s="102" t="str">
        <f t="shared" si="40"/>
        <v/>
      </c>
      <c r="G349" s="96"/>
      <c r="H349" s="102" t="str">
        <f t="shared" si="41"/>
        <v/>
      </c>
      <c r="I349" s="102" t="str">
        <f t="shared" si="39"/>
        <v/>
      </c>
      <c r="J349" s="102" t="str">
        <f t="shared" si="42"/>
        <v/>
      </c>
      <c r="M349" s="102"/>
      <c r="N349" s="100">
        <v>0</v>
      </c>
      <c r="O349" s="100">
        <v>0</v>
      </c>
      <c r="P349" s="100">
        <v>0</v>
      </c>
      <c r="Q349" s="100">
        <v>0</v>
      </c>
      <c r="R349" s="100">
        <v>0</v>
      </c>
      <c r="S349" s="100">
        <v>0</v>
      </c>
      <c r="T349" s="100">
        <v>0</v>
      </c>
      <c r="U349" s="100">
        <v>0</v>
      </c>
      <c r="V349" s="102">
        <v>0</v>
      </c>
      <c r="W349" s="102">
        <v>0</v>
      </c>
      <c r="X349" s="102">
        <v>0</v>
      </c>
      <c r="Y349" s="100">
        <v>0</v>
      </c>
      <c r="Z349" s="102"/>
      <c r="AA349" s="102"/>
      <c r="AB349" s="102"/>
      <c r="AC349" s="102">
        <v>0</v>
      </c>
      <c r="AD349" s="102">
        <v>0</v>
      </c>
      <c r="AE349" s="102">
        <v>0</v>
      </c>
      <c r="AF349" s="102">
        <v>0</v>
      </c>
      <c r="AG349" s="102">
        <v>0</v>
      </c>
      <c r="AH349" s="102">
        <v>0</v>
      </c>
      <c r="AI349" s="102">
        <v>0</v>
      </c>
      <c r="AJ349" s="102">
        <v>0</v>
      </c>
      <c r="AK349" s="102">
        <v>0</v>
      </c>
      <c r="AL349" s="102">
        <v>0</v>
      </c>
      <c r="AM349" s="102">
        <v>0</v>
      </c>
      <c r="AN349" s="102" t="s">
        <v>1292</v>
      </c>
    </row>
    <row r="350" spans="2:40" x14ac:dyDescent="0.3">
      <c r="B350" s="61" t="s">
        <v>758</v>
      </c>
      <c r="C350" s="141" t="s">
        <v>467</v>
      </c>
      <c r="D350" s="102">
        <f t="shared" si="40"/>
        <v>-371164.57530500001</v>
      </c>
      <c r="E350" s="102">
        <f t="shared" si="40"/>
        <v>-371164.57530500001</v>
      </c>
      <c r="F350" s="102">
        <f t="shared" si="40"/>
        <v>-371164.57530500001</v>
      </c>
      <c r="G350" s="96"/>
      <c r="H350" s="102">
        <f t="shared" si="41"/>
        <v>-371165</v>
      </c>
      <c r="I350" s="102">
        <f t="shared" si="39"/>
        <v>-371165</v>
      </c>
      <c r="J350" s="102">
        <f t="shared" si="42"/>
        <v>-371164.57530500001</v>
      </c>
      <c r="M350" s="102"/>
      <c r="N350" s="100">
        <v>-371164.57530500001</v>
      </c>
      <c r="O350" s="100">
        <v>-371164.57530500001</v>
      </c>
      <c r="P350" s="100">
        <v>-371164.57530500001</v>
      </c>
      <c r="Q350" s="100">
        <v>-371164.57530500001</v>
      </c>
      <c r="R350" s="100">
        <v>-371164.57530500001</v>
      </c>
      <c r="S350" s="100">
        <v>-371164.57530500001</v>
      </c>
      <c r="T350" s="100">
        <v>-371164.57530500001</v>
      </c>
      <c r="U350" s="100">
        <v>-371164.57530500001</v>
      </c>
      <c r="V350" s="102">
        <v>-371164.57530500001</v>
      </c>
      <c r="W350" s="102">
        <v>-371164.57530500001</v>
      </c>
      <c r="X350" s="102">
        <v>-371164.57530500001</v>
      </c>
      <c r="Y350" s="100">
        <v>-371164.57530500001</v>
      </c>
      <c r="Z350" s="102"/>
      <c r="AA350" s="102"/>
      <c r="AB350" s="102"/>
      <c r="AC350" s="102">
        <v>-371165</v>
      </c>
      <c r="AD350" s="102">
        <v>-371165</v>
      </c>
      <c r="AE350" s="102">
        <v>-371165</v>
      </c>
      <c r="AF350" s="102">
        <v>-371165</v>
      </c>
      <c r="AG350" s="102">
        <v>-371165</v>
      </c>
      <c r="AH350" s="102">
        <v>-371165</v>
      </c>
      <c r="AI350" s="102">
        <v>-371165</v>
      </c>
      <c r="AJ350" s="102">
        <v>-371165</v>
      </c>
      <c r="AK350" s="102">
        <v>-371164.57530500001</v>
      </c>
      <c r="AL350" s="102">
        <v>-371164.57530500001</v>
      </c>
      <c r="AM350" s="102">
        <v>-371164.57530500001</v>
      </c>
      <c r="AN350" s="102">
        <v>-371164.57530500001</v>
      </c>
    </row>
    <row r="351" spans="2:40" x14ac:dyDescent="0.3">
      <c r="B351" s="61" t="s">
        <v>759</v>
      </c>
      <c r="C351" s="141" t="s">
        <v>468</v>
      </c>
      <c r="D351" s="102">
        <f t="shared" si="40"/>
        <v>-10.87359</v>
      </c>
      <c r="E351" s="102">
        <f t="shared" si="40"/>
        <v>-10.87359</v>
      </c>
      <c r="F351" s="102">
        <f t="shared" si="40"/>
        <v>-10.87359</v>
      </c>
      <c r="G351" s="96"/>
      <c r="H351" s="102">
        <f t="shared" si="41"/>
        <v>-112</v>
      </c>
      <c r="I351" s="102">
        <f t="shared" si="39"/>
        <v>-112</v>
      </c>
      <c r="J351" s="102">
        <f t="shared" si="42"/>
        <v>-111.67759</v>
      </c>
      <c r="M351" s="102"/>
      <c r="N351" s="100">
        <v>-10.87359</v>
      </c>
      <c r="O351" s="100">
        <v>-10.87359</v>
      </c>
      <c r="P351" s="100">
        <v>-10.87359</v>
      </c>
      <c r="Q351" s="100">
        <v>-10.87359</v>
      </c>
      <c r="R351" s="100">
        <v>-10.87359</v>
      </c>
      <c r="S351" s="100">
        <v>-10.87359</v>
      </c>
      <c r="T351" s="100">
        <v>-10.87359</v>
      </c>
      <c r="U351" s="100">
        <v>-10.87359</v>
      </c>
      <c r="V351" s="102">
        <v>-10.87359</v>
      </c>
      <c r="W351" s="102">
        <v>-10.87359</v>
      </c>
      <c r="X351" s="102">
        <v>-10.87359</v>
      </c>
      <c r="Y351" s="100">
        <v>-10.87359</v>
      </c>
      <c r="Z351" s="102"/>
      <c r="AA351" s="102"/>
      <c r="AB351" s="102"/>
      <c r="AC351" s="102">
        <v>-112</v>
      </c>
      <c r="AD351" s="102">
        <v>-112</v>
      </c>
      <c r="AE351" s="102">
        <v>-112</v>
      </c>
      <c r="AF351" s="102">
        <v>-112</v>
      </c>
      <c r="AG351" s="102">
        <v>-112</v>
      </c>
      <c r="AH351" s="102">
        <v>-112</v>
      </c>
      <c r="AI351" s="102">
        <v>-112</v>
      </c>
      <c r="AJ351" s="102">
        <v>-112</v>
      </c>
      <c r="AK351" s="102">
        <v>-111.67759</v>
      </c>
      <c r="AL351" s="102">
        <v>-111.67759</v>
      </c>
      <c r="AM351" s="102">
        <v>-111.67759</v>
      </c>
      <c r="AN351" s="102">
        <v>-111.67759</v>
      </c>
    </row>
    <row r="352" spans="2:40" s="112" customFormat="1" x14ac:dyDescent="0.3">
      <c r="B352" s="78" t="s">
        <v>760</v>
      </c>
      <c r="C352" s="141" t="s">
        <v>1523</v>
      </c>
      <c r="D352" s="100">
        <f t="shared" si="40"/>
        <v>-432246.75169900001</v>
      </c>
      <c r="E352" s="100">
        <f t="shared" si="40"/>
        <v>-190609.90917599999</v>
      </c>
      <c r="F352" s="100">
        <f t="shared" si="40"/>
        <v>400218.84124600003</v>
      </c>
      <c r="G352" s="101"/>
      <c r="H352" s="100">
        <f t="shared" si="41"/>
        <v>-426639</v>
      </c>
      <c r="I352" s="100">
        <f t="shared" si="42"/>
        <v>-180304</v>
      </c>
      <c r="J352" s="100">
        <f t="shared" si="42"/>
        <v>351027.06378600001</v>
      </c>
      <c r="M352" s="100"/>
      <c r="N352" s="100">
        <v>-432246.75169900001</v>
      </c>
      <c r="O352" s="100">
        <v>-382933.654079</v>
      </c>
      <c r="P352" s="100">
        <v>-347798.366721</v>
      </c>
      <c r="Q352" s="100">
        <v>-301370.40651599999</v>
      </c>
      <c r="R352" s="100">
        <v>-190609.90917599999</v>
      </c>
      <c r="S352" s="100">
        <v>-137217.597079</v>
      </c>
      <c r="T352" s="100">
        <v>-137446.07358500001</v>
      </c>
      <c r="U352" s="100">
        <v>82743.767263999995</v>
      </c>
      <c r="V352" s="100">
        <v>400218.84124600003</v>
      </c>
      <c r="W352" s="100">
        <v>421884.570458</v>
      </c>
      <c r="X352" s="100">
        <v>418718.560069</v>
      </c>
      <c r="Y352" s="100">
        <v>400218.84124600003</v>
      </c>
      <c r="Z352" s="100"/>
      <c r="AA352" s="100"/>
      <c r="AB352" s="100"/>
      <c r="AC352" s="100">
        <v>-426639</v>
      </c>
      <c r="AD352" s="100">
        <v>-377641</v>
      </c>
      <c r="AE352" s="100">
        <v>-343123</v>
      </c>
      <c r="AF352" s="100">
        <v>-291322</v>
      </c>
      <c r="AG352" s="100">
        <v>-180304</v>
      </c>
      <c r="AH352" s="100">
        <v>-129740</v>
      </c>
      <c r="AI352" s="102">
        <v>-129276</v>
      </c>
      <c r="AJ352" s="102">
        <v>91447</v>
      </c>
      <c r="AK352" s="100">
        <v>407668.196084</v>
      </c>
      <c r="AL352" s="100">
        <v>392461.388691</v>
      </c>
      <c r="AM352" s="100">
        <v>386354.00689100003</v>
      </c>
      <c r="AN352" s="102">
        <v>351027.06378600001</v>
      </c>
    </row>
    <row r="353" spans="2:40" x14ac:dyDescent="0.3">
      <c r="B353" s="61" t="s">
        <v>1002</v>
      </c>
      <c r="C353" s="141" t="s">
        <v>1003</v>
      </c>
      <c r="D353" s="102">
        <f t="shared" si="40"/>
        <v>-1046921.695128</v>
      </c>
      <c r="E353" s="102">
        <f t="shared" si="40"/>
        <v>-664356.90533800004</v>
      </c>
      <c r="F353" s="102">
        <f t="shared" si="40"/>
        <v>-851660.100553</v>
      </c>
      <c r="G353" s="96"/>
      <c r="H353" s="102">
        <f t="shared" si="41"/>
        <v>-1046922</v>
      </c>
      <c r="I353" s="102">
        <f t="shared" si="42"/>
        <v>-664357</v>
      </c>
      <c r="J353" s="102">
        <f t="shared" si="42"/>
        <v>-1165657.283117</v>
      </c>
      <c r="M353" s="102"/>
      <c r="N353" s="100">
        <v>-1046921.695128</v>
      </c>
      <c r="O353" s="100">
        <v>-564149.76536700001</v>
      </c>
      <c r="P353" s="100">
        <v>-515241.35969800001</v>
      </c>
      <c r="Q353" s="100">
        <v>-369396.06640800001</v>
      </c>
      <c r="R353" s="100">
        <v>-664356.90533800004</v>
      </c>
      <c r="S353" s="100">
        <v>-609244.45460299996</v>
      </c>
      <c r="T353" s="100">
        <v>-980626.15960999997</v>
      </c>
      <c r="U353" s="100">
        <v>-1108300.2755199999</v>
      </c>
      <c r="V353" s="102">
        <v>-851660.100553</v>
      </c>
      <c r="W353" s="102">
        <v>-1752378.360696</v>
      </c>
      <c r="X353" s="102">
        <v>-1437297.9633559999</v>
      </c>
      <c r="Y353" s="100">
        <v>-851660.100553</v>
      </c>
      <c r="Z353" s="102"/>
      <c r="AA353" s="102"/>
      <c r="AB353" s="102"/>
      <c r="AC353" s="102">
        <v>-1046922</v>
      </c>
      <c r="AD353" s="102">
        <v>-564150</v>
      </c>
      <c r="AE353" s="102">
        <v>-515241</v>
      </c>
      <c r="AF353" s="102">
        <v>-369396</v>
      </c>
      <c r="AG353" s="102">
        <v>-664357</v>
      </c>
      <c r="AH353" s="102">
        <v>-609244</v>
      </c>
      <c r="AI353" s="102">
        <v>-980626</v>
      </c>
      <c r="AJ353" s="102">
        <v>-1108300</v>
      </c>
      <c r="AK353" s="102">
        <v>-851660.100553</v>
      </c>
      <c r="AL353" s="102">
        <v>-1752378.360696</v>
      </c>
      <c r="AM353" s="102">
        <v>-1437297.9633559999</v>
      </c>
      <c r="AN353" s="102">
        <v>-1165657.283117</v>
      </c>
    </row>
    <row r="354" spans="2:40" x14ac:dyDescent="0.3">
      <c r="B354" s="61" t="s">
        <v>1004</v>
      </c>
      <c r="C354" s="141" t="s">
        <v>1462</v>
      </c>
      <c r="D354" s="102" t="str">
        <f t="shared" si="40"/>
        <v/>
      </c>
      <c r="E354" s="102" t="str">
        <f t="shared" si="40"/>
        <v/>
      </c>
      <c r="F354" s="102" t="str">
        <f t="shared" si="40"/>
        <v/>
      </c>
      <c r="G354" s="96"/>
      <c r="H354" s="102" t="str">
        <f t="shared" si="41"/>
        <v/>
      </c>
      <c r="I354" s="102" t="str">
        <f t="shared" si="42"/>
        <v/>
      </c>
      <c r="J354" s="102">
        <f t="shared" si="42"/>
        <v>8175.9675509999997</v>
      </c>
      <c r="M354" s="102"/>
      <c r="N354" s="100">
        <v>0</v>
      </c>
      <c r="O354" s="100">
        <v>0</v>
      </c>
      <c r="P354" s="100">
        <v>0</v>
      </c>
      <c r="Q354" s="100">
        <v>0</v>
      </c>
      <c r="R354" s="100">
        <v>0</v>
      </c>
      <c r="S354" s="100">
        <v>0</v>
      </c>
      <c r="T354" s="100">
        <v>0</v>
      </c>
      <c r="U354" s="100">
        <v>0</v>
      </c>
      <c r="V354" s="102">
        <v>0</v>
      </c>
      <c r="W354" s="102">
        <v>0</v>
      </c>
      <c r="X354" s="102">
        <v>0</v>
      </c>
      <c r="Y354" s="100">
        <v>0</v>
      </c>
      <c r="Z354" s="102"/>
      <c r="AA354" s="102"/>
      <c r="AB354" s="102"/>
      <c r="AC354" s="102">
        <v>0</v>
      </c>
      <c r="AD354" s="102">
        <v>0</v>
      </c>
      <c r="AE354" s="102">
        <v>0</v>
      </c>
      <c r="AF354" s="102">
        <v>0</v>
      </c>
      <c r="AG354" s="102">
        <v>0</v>
      </c>
      <c r="AH354" s="102">
        <v>0</v>
      </c>
      <c r="AI354" s="102">
        <v>0</v>
      </c>
      <c r="AJ354" s="102">
        <v>0</v>
      </c>
      <c r="AK354" s="102">
        <v>0</v>
      </c>
      <c r="AL354" s="102">
        <v>0</v>
      </c>
      <c r="AM354" s="102">
        <v>0</v>
      </c>
      <c r="AN354" s="102">
        <v>8175.9675509999997</v>
      </c>
    </row>
    <row r="355" spans="2:40" x14ac:dyDescent="0.3">
      <c r="B355" s="61" t="s">
        <v>1005</v>
      </c>
      <c r="C355" s="141" t="s">
        <v>1006</v>
      </c>
      <c r="D355" s="102">
        <f t="shared" si="40"/>
        <v>673.80482500000005</v>
      </c>
      <c r="E355" s="102">
        <f t="shared" si="40"/>
        <v>786.22964400000001</v>
      </c>
      <c r="F355" s="102">
        <f t="shared" si="40"/>
        <v>529.53310099999999</v>
      </c>
      <c r="G355" s="96"/>
      <c r="H355" s="102">
        <f t="shared" si="41"/>
        <v>674</v>
      </c>
      <c r="I355" s="102">
        <f t="shared" si="42"/>
        <v>786</v>
      </c>
      <c r="J355" s="102">
        <f t="shared" si="42"/>
        <v>633.26328999999998</v>
      </c>
      <c r="M355" s="102"/>
      <c r="N355" s="100">
        <v>673.80482500000005</v>
      </c>
      <c r="O355" s="100">
        <v>677.53207299999997</v>
      </c>
      <c r="P355" s="100">
        <v>678.13565000000006</v>
      </c>
      <c r="Q355" s="100">
        <v>712.87857299999996</v>
      </c>
      <c r="R355" s="100">
        <v>786.22964400000001</v>
      </c>
      <c r="S355" s="100">
        <v>383.59436499999998</v>
      </c>
      <c r="T355" s="100">
        <v>516.923002</v>
      </c>
      <c r="U355" s="100">
        <v>503.54461800000001</v>
      </c>
      <c r="V355" s="102">
        <v>529.53310099999999</v>
      </c>
      <c r="W355" s="102">
        <v>876.44487900000001</v>
      </c>
      <c r="X355" s="102">
        <v>925.11692600000003</v>
      </c>
      <c r="Y355" s="100">
        <v>529.53310099999999</v>
      </c>
      <c r="Z355" s="102"/>
      <c r="AA355" s="102"/>
      <c r="AB355" s="102"/>
      <c r="AC355" s="102">
        <v>674</v>
      </c>
      <c r="AD355" s="102">
        <v>678</v>
      </c>
      <c r="AE355" s="102">
        <v>678</v>
      </c>
      <c r="AF355" s="102">
        <v>713</v>
      </c>
      <c r="AG355" s="102">
        <v>786</v>
      </c>
      <c r="AH355" s="102">
        <v>384</v>
      </c>
      <c r="AI355" s="102">
        <v>517</v>
      </c>
      <c r="AJ355" s="102">
        <v>504</v>
      </c>
      <c r="AK355" s="102">
        <v>529.53310099999999</v>
      </c>
      <c r="AL355" s="102">
        <v>876.44487900000001</v>
      </c>
      <c r="AM355" s="102">
        <v>925.11692600000003</v>
      </c>
      <c r="AN355" s="102">
        <v>633.26328999999998</v>
      </c>
    </row>
    <row r="356" spans="2:40" x14ac:dyDescent="0.3">
      <c r="B356" s="61" t="s">
        <v>913</v>
      </c>
      <c r="C356" s="141" t="s">
        <v>1007</v>
      </c>
      <c r="D356" s="102" t="str">
        <f t="shared" si="40"/>
        <v/>
      </c>
      <c r="E356" s="102" t="str">
        <f t="shared" si="40"/>
        <v/>
      </c>
      <c r="F356" s="102" t="str">
        <f t="shared" si="40"/>
        <v/>
      </c>
      <c r="G356" s="96"/>
      <c r="H356" s="102" t="str">
        <f t="shared" si="41"/>
        <v/>
      </c>
      <c r="I356" s="102" t="str">
        <f t="shared" si="42"/>
        <v/>
      </c>
      <c r="J356" s="102" t="str">
        <f t="shared" si="42"/>
        <v/>
      </c>
      <c r="M356" s="102"/>
      <c r="N356" s="100">
        <v>0</v>
      </c>
      <c r="O356" s="100">
        <v>0</v>
      </c>
      <c r="P356" s="100">
        <v>0</v>
      </c>
      <c r="Q356" s="100">
        <v>0</v>
      </c>
      <c r="R356" s="100">
        <v>0</v>
      </c>
      <c r="S356" s="100">
        <v>0</v>
      </c>
      <c r="T356" s="100">
        <v>0</v>
      </c>
      <c r="U356" s="100">
        <v>0</v>
      </c>
      <c r="V356" s="102">
        <v>0</v>
      </c>
      <c r="W356" s="102">
        <v>0</v>
      </c>
      <c r="X356" s="102">
        <v>0</v>
      </c>
      <c r="Y356" s="100">
        <v>0</v>
      </c>
      <c r="Z356" s="102"/>
      <c r="AA356" s="102"/>
      <c r="AB356" s="102"/>
      <c r="AC356" s="102">
        <v>0</v>
      </c>
      <c r="AD356" s="102">
        <v>0</v>
      </c>
      <c r="AE356" s="102">
        <v>0</v>
      </c>
      <c r="AF356" s="102"/>
      <c r="AG356" s="102">
        <v>0</v>
      </c>
      <c r="AH356" s="102"/>
      <c r="AI356" s="102"/>
      <c r="AJ356" s="102"/>
      <c r="AK356" s="102">
        <v>0</v>
      </c>
      <c r="AL356" s="102">
        <v>0</v>
      </c>
      <c r="AM356" s="102">
        <v>0</v>
      </c>
      <c r="AN356" s="102" t="s">
        <v>1292</v>
      </c>
    </row>
    <row r="357" spans="2:40" x14ac:dyDescent="0.3">
      <c r="B357" s="61" t="s">
        <v>1008</v>
      </c>
      <c r="C357" s="141" t="s">
        <v>1463</v>
      </c>
      <c r="D357" s="102">
        <f t="shared" si="40"/>
        <v>632811.51359600003</v>
      </c>
      <c r="E357" s="102">
        <f t="shared" si="40"/>
        <v>259437.85597100001</v>
      </c>
      <c r="F357" s="102">
        <f t="shared" si="40"/>
        <v>1146603.1523589999</v>
      </c>
      <c r="G357" s="96"/>
      <c r="H357" s="102">
        <f t="shared" si="41"/>
        <v>632812</v>
      </c>
      <c r="I357" s="102">
        <f t="shared" si="42"/>
        <v>259438</v>
      </c>
      <c r="J357" s="102">
        <f t="shared" si="42"/>
        <v>1565469.0786970002</v>
      </c>
      <c r="M357" s="102"/>
      <c r="N357" s="100">
        <v>632811.51359600003</v>
      </c>
      <c r="O357" s="100">
        <v>69595.550105999995</v>
      </c>
      <c r="P357" s="100">
        <v>-28949.164986</v>
      </c>
      <c r="Q357" s="100">
        <v>-207613.64614200001</v>
      </c>
      <c r="R357" s="100">
        <v>259437.85597100001</v>
      </c>
      <c r="S357" s="100">
        <v>309852.61242999998</v>
      </c>
      <c r="T357" s="100">
        <v>750246.83092900005</v>
      </c>
      <c r="U357" s="100">
        <v>1134041.511563</v>
      </c>
      <c r="V357" s="102">
        <v>1146603.1523589999</v>
      </c>
      <c r="W357" s="102">
        <v>2208241.8222050001</v>
      </c>
      <c r="X357" s="102">
        <v>1880495.246978</v>
      </c>
      <c r="Y357" s="100">
        <v>1146603.1523589999</v>
      </c>
      <c r="Z357" s="102"/>
      <c r="AA357" s="102"/>
      <c r="AB357" s="102"/>
      <c r="AC357" s="102">
        <v>632812</v>
      </c>
      <c r="AD357" s="102">
        <v>69596</v>
      </c>
      <c r="AE357" s="102">
        <v>-28949</v>
      </c>
      <c r="AF357" s="102">
        <v>-207614</v>
      </c>
      <c r="AG357" s="102">
        <v>259438</v>
      </c>
      <c r="AH357" s="102">
        <v>309853</v>
      </c>
      <c r="AI357" s="102">
        <v>750247</v>
      </c>
      <c r="AJ357" s="102">
        <v>1134042</v>
      </c>
      <c r="AK357" s="102">
        <v>1146603.1523589999</v>
      </c>
      <c r="AL357" s="102">
        <v>2208241.8222050001</v>
      </c>
      <c r="AM357" s="102">
        <v>1880495.246978</v>
      </c>
      <c r="AN357" s="102">
        <v>1565469.0786970002</v>
      </c>
    </row>
    <row r="358" spans="2:40" x14ac:dyDescent="0.3">
      <c r="B358" s="61" t="s">
        <v>1009</v>
      </c>
      <c r="C358" s="141" t="s">
        <v>1464</v>
      </c>
      <c r="D358" s="102">
        <f t="shared" si="40"/>
        <v>-2748.7731939999999</v>
      </c>
      <c r="E358" s="102">
        <f t="shared" si="40"/>
        <v>-310.97893800000003</v>
      </c>
      <c r="F358" s="102">
        <f t="shared" si="40"/>
        <v>-279.38134300000002</v>
      </c>
      <c r="G358" s="96"/>
      <c r="H358" s="102">
        <f t="shared" si="41"/>
        <v>-2749</v>
      </c>
      <c r="I358" s="102">
        <f t="shared" si="42"/>
        <v>-311</v>
      </c>
      <c r="J358" s="102">
        <f t="shared" si="42"/>
        <v>-2561.7598539999999</v>
      </c>
      <c r="M358" s="102"/>
      <c r="N358" s="100">
        <v>-2748.7731939999999</v>
      </c>
      <c r="O358" s="100">
        <v>-1981.914014</v>
      </c>
      <c r="P358" s="100">
        <v>-2208.532674</v>
      </c>
      <c r="Q358" s="100">
        <v>-1552.4584030000001</v>
      </c>
      <c r="R358" s="100">
        <v>-310.97893800000003</v>
      </c>
      <c r="S358" s="100">
        <v>90.761249000000007</v>
      </c>
      <c r="T358" s="100">
        <v>-284.73173100000002</v>
      </c>
      <c r="U358" s="100">
        <v>-161.70848100000001</v>
      </c>
      <c r="V358" s="102">
        <v>-279.38134300000002</v>
      </c>
      <c r="W358" s="102">
        <v>-170.61772199999999</v>
      </c>
      <c r="X358" s="102">
        <v>-2187.1518759999999</v>
      </c>
      <c r="Y358" s="100">
        <v>-279.38134300000002</v>
      </c>
      <c r="Z358" s="102"/>
      <c r="AA358" s="102"/>
      <c r="AB358" s="102"/>
      <c r="AC358" s="102">
        <v>-2749</v>
      </c>
      <c r="AD358" s="102">
        <v>-1982</v>
      </c>
      <c r="AE358" s="102">
        <v>-2209</v>
      </c>
      <c r="AF358" s="102">
        <v>-1552</v>
      </c>
      <c r="AG358" s="102">
        <v>-311</v>
      </c>
      <c r="AH358" s="102">
        <v>91</v>
      </c>
      <c r="AI358" s="102">
        <v>-285</v>
      </c>
      <c r="AJ358" s="102">
        <v>-162</v>
      </c>
      <c r="AK358" s="102">
        <v>-279.38134300000002</v>
      </c>
      <c r="AL358" s="102">
        <v>-170.61772199999999</v>
      </c>
      <c r="AM358" s="102">
        <v>-2187.1518759999999</v>
      </c>
      <c r="AN358" s="102">
        <v>-2561.7598539999999</v>
      </c>
    </row>
    <row r="359" spans="2:40" x14ac:dyDescent="0.3">
      <c r="B359" s="61" t="s">
        <v>1652</v>
      </c>
      <c r="C359" s="141" t="s">
        <v>1653</v>
      </c>
      <c r="D359" s="102" t="str">
        <f t="shared" si="40"/>
        <v/>
      </c>
      <c r="E359" s="102" t="str">
        <f t="shared" si="40"/>
        <v/>
      </c>
      <c r="F359" s="102" t="str">
        <f t="shared" si="40"/>
        <v/>
      </c>
      <c r="G359" s="96"/>
      <c r="H359" s="102">
        <f t="shared" si="41"/>
        <v>5607</v>
      </c>
      <c r="I359" s="102">
        <f t="shared" si="42"/>
        <v>10306</v>
      </c>
      <c r="J359" s="102" t="str">
        <f t="shared" si="42"/>
        <v/>
      </c>
      <c r="M359" s="102"/>
      <c r="N359" s="100"/>
      <c r="O359" s="100"/>
      <c r="P359" s="100"/>
      <c r="Q359" s="100"/>
      <c r="R359" s="100"/>
      <c r="S359" s="100"/>
      <c r="T359" s="100"/>
      <c r="U359" s="100"/>
      <c r="V359" s="102"/>
      <c r="W359" s="102"/>
      <c r="X359" s="102"/>
      <c r="Y359" s="100"/>
      <c r="Z359" s="102"/>
      <c r="AA359" s="102"/>
      <c r="AB359" s="102"/>
      <c r="AC359" s="102">
        <v>5607</v>
      </c>
      <c r="AD359" s="102">
        <v>5292</v>
      </c>
      <c r="AE359" s="102">
        <v>4675</v>
      </c>
      <c r="AF359" s="102">
        <v>10048</v>
      </c>
      <c r="AG359" s="102">
        <v>10306</v>
      </c>
      <c r="AH359" s="102">
        <v>7477</v>
      </c>
      <c r="AI359" s="102">
        <v>8170</v>
      </c>
      <c r="AJ359" s="102">
        <v>8703</v>
      </c>
      <c r="AK359" s="102">
        <v>7449.3548380000002</v>
      </c>
      <c r="AL359" s="102">
        <v>8707.0260710000002</v>
      </c>
      <c r="AM359" s="102">
        <v>9328.9177319999999</v>
      </c>
      <c r="AN359" s="102"/>
    </row>
    <row r="360" spans="2:40" x14ac:dyDescent="0.3">
      <c r="B360" s="61" t="s">
        <v>1645</v>
      </c>
      <c r="C360" s="141" t="s">
        <v>1650</v>
      </c>
      <c r="D360" s="102"/>
      <c r="E360" s="102" t="str">
        <f t="shared" ref="E360:E369" si="43">IF(HLOOKUP(E$5,$M$5:$Y$370,ROW()-ROW($F$4),FALSE)=0,"",HLOOKUP(E$5,$M$5:$Y$370,ROW()-ROW($F$4),FALSE))</f>
        <v/>
      </c>
      <c r="F360" s="102"/>
      <c r="G360" s="96"/>
      <c r="H360" s="102" t="str">
        <f t="shared" si="41"/>
        <v/>
      </c>
      <c r="I360" s="102" t="str">
        <f t="shared" si="42"/>
        <v/>
      </c>
      <c r="J360" s="102"/>
      <c r="M360" s="102"/>
      <c r="N360" s="100">
        <v>0</v>
      </c>
      <c r="O360" s="100">
        <v>0</v>
      </c>
      <c r="P360" s="100">
        <v>0</v>
      </c>
      <c r="Q360" s="100">
        <v>0</v>
      </c>
      <c r="R360" s="100">
        <v>0</v>
      </c>
      <c r="S360" s="100">
        <v>0</v>
      </c>
      <c r="T360" s="100">
        <v>0</v>
      </c>
      <c r="U360" s="100">
        <v>0</v>
      </c>
      <c r="V360" s="102">
        <v>0</v>
      </c>
      <c r="W360" s="102">
        <v>0</v>
      </c>
      <c r="X360" s="102">
        <v>0</v>
      </c>
      <c r="Y360" s="100">
        <v>0</v>
      </c>
      <c r="Z360" s="102"/>
      <c r="AA360" s="102"/>
      <c r="AB360" s="102"/>
      <c r="AC360" s="102">
        <v>0</v>
      </c>
      <c r="AD360" s="102">
        <v>0</v>
      </c>
      <c r="AE360" s="102">
        <v>0</v>
      </c>
      <c r="AF360" s="102">
        <v>0</v>
      </c>
      <c r="AG360" s="102">
        <v>0</v>
      </c>
      <c r="AH360" s="102">
        <v>0</v>
      </c>
      <c r="AI360" s="102">
        <v>0</v>
      </c>
      <c r="AJ360" s="102">
        <v>0</v>
      </c>
      <c r="AK360" s="102">
        <v>0</v>
      </c>
      <c r="AL360" s="102">
        <v>-38130.207838000002</v>
      </c>
      <c r="AM360" s="102">
        <v>-41693.470909999996</v>
      </c>
      <c r="AN360" s="102">
        <v>-43484.514725999994</v>
      </c>
    </row>
    <row r="361" spans="2:40" x14ac:dyDescent="0.3">
      <c r="B361" s="61" t="s">
        <v>1646</v>
      </c>
      <c r="C361" s="141" t="s">
        <v>1657</v>
      </c>
      <c r="D361" s="102">
        <f t="shared" ref="D361:D370" si="44">IF(HLOOKUP(D$5,$M$5:$Y$370,ROW()-ROW($F$4),FALSE)=0,"",HLOOKUP(D$5,$M$5:$Y$370,ROW()-ROW($F$4),FALSE))</f>
        <v>-20537.736696</v>
      </c>
      <c r="E361" s="102">
        <f t="shared" si="43"/>
        <v>215427.89632999999</v>
      </c>
      <c r="F361" s="102">
        <f t="shared" ref="F361:F370" si="45">IF(HLOOKUP(F$5,$M$5:$Y$370,ROW()-ROW($F$4),FALSE)=0,"",HLOOKUP(F$5,$M$5:$Y$370,ROW()-ROW($F$4),FALSE))</f>
        <v>106720.58609700001</v>
      </c>
      <c r="G361" s="96"/>
      <c r="H361" s="102">
        <f t="shared" si="41"/>
        <v>-20537</v>
      </c>
      <c r="I361" s="102">
        <f t="shared" si="42"/>
        <v>215428</v>
      </c>
      <c r="J361" s="102">
        <f t="shared" ref="J361:J369" si="46">IF(HLOOKUP(J$5,$AB$5:$AN$370,ROW()-ROW($J$4),FALSE)=0,"",HLOOKUP(J$5,$AB$5:$AN$370,ROW()-ROW($J$4),FALSE))</f>
        <v>-10580.453554</v>
      </c>
      <c r="M361" s="102"/>
      <c r="N361" s="100">
        <v>-20537.736696</v>
      </c>
      <c r="O361" s="100">
        <v>113268.772136</v>
      </c>
      <c r="P361" s="100">
        <v>198983.62318</v>
      </c>
      <c r="Q361" s="100">
        <v>277923.73251900001</v>
      </c>
      <c r="R361" s="100">
        <v>215427.89632999999</v>
      </c>
      <c r="S361" s="100">
        <v>162586.860953</v>
      </c>
      <c r="T361" s="100">
        <v>93957.414535999997</v>
      </c>
      <c r="U361" s="100">
        <v>57950.451309999997</v>
      </c>
      <c r="V361" s="102">
        <v>106720.58609700001</v>
      </c>
      <c r="W361" s="102">
        <v>-33896.821210000002</v>
      </c>
      <c r="X361" s="102">
        <v>-21965.763906</v>
      </c>
      <c r="Y361" s="100">
        <v>106720.58609700001</v>
      </c>
      <c r="Z361" s="102"/>
      <c r="AA361" s="102"/>
      <c r="AB361" s="102"/>
      <c r="AC361" s="102">
        <v>-20537</v>
      </c>
      <c r="AD361" s="102">
        <v>113269</v>
      </c>
      <c r="AE361" s="102">
        <v>198984</v>
      </c>
      <c r="AF361" s="102">
        <v>277924</v>
      </c>
      <c r="AG361" s="102">
        <v>215428</v>
      </c>
      <c r="AH361" s="102">
        <v>162587</v>
      </c>
      <c r="AI361" s="102">
        <v>93957</v>
      </c>
      <c r="AJ361" s="102">
        <v>57950</v>
      </c>
      <c r="AK361" s="102">
        <v>106720.58609700001</v>
      </c>
      <c r="AL361" s="102">
        <v>-33896.821210000002</v>
      </c>
      <c r="AM361" s="102">
        <v>-21965.763906</v>
      </c>
      <c r="AN361" s="102">
        <v>-10580.453554</v>
      </c>
    </row>
    <row r="362" spans="2:40" x14ac:dyDescent="0.3">
      <c r="B362" s="61" t="s">
        <v>309</v>
      </c>
      <c r="C362" s="141" t="s">
        <v>1515</v>
      </c>
      <c r="D362" s="102">
        <f t="shared" si="44"/>
        <v>29524.535133000001</v>
      </c>
      <c r="E362" s="102">
        <f t="shared" si="43"/>
        <v>217666.79342199999</v>
      </c>
      <c r="F362" s="102">
        <f t="shared" si="45"/>
        <v>110831.11089500001</v>
      </c>
      <c r="G362" s="96"/>
      <c r="H362" s="102">
        <f t="shared" si="41"/>
        <v>29525</v>
      </c>
      <c r="I362" s="102">
        <f t="shared" si="42"/>
        <v>217667</v>
      </c>
      <c r="J362" s="102">
        <f t="shared" si="46"/>
        <v>9838.1341929999999</v>
      </c>
      <c r="M362" s="102"/>
      <c r="N362" s="100">
        <v>29524.535133000001</v>
      </c>
      <c r="O362" s="100">
        <v>117575.511679</v>
      </c>
      <c r="P362" s="100">
        <v>200052.707211</v>
      </c>
      <c r="Q362" s="100">
        <v>279924.648805</v>
      </c>
      <c r="R362" s="100">
        <v>217666.79342199999</v>
      </c>
      <c r="S362" s="100">
        <v>168806.48532499999</v>
      </c>
      <c r="T362" s="100">
        <v>95351.100657999996</v>
      </c>
      <c r="U362" s="100">
        <v>65827.534346999993</v>
      </c>
      <c r="V362" s="102">
        <v>110831.11089500001</v>
      </c>
      <c r="W362" s="102">
        <v>25109.450997</v>
      </c>
      <c r="X362" s="102">
        <v>14123.042363</v>
      </c>
      <c r="Y362" s="100">
        <v>110831.11089500001</v>
      </c>
      <c r="Z362" s="102"/>
      <c r="AA362" s="102"/>
      <c r="AB362" s="102"/>
      <c r="AC362" s="102">
        <v>29525</v>
      </c>
      <c r="AD362" s="102">
        <v>117576</v>
      </c>
      <c r="AE362" s="102">
        <v>200053</v>
      </c>
      <c r="AF362" s="102">
        <v>279925</v>
      </c>
      <c r="AG362" s="102">
        <v>217667</v>
      </c>
      <c r="AH362" s="102">
        <v>168806</v>
      </c>
      <c r="AI362" s="102">
        <v>95351</v>
      </c>
      <c r="AJ362" s="102">
        <v>65828</v>
      </c>
      <c r="AK362" s="102">
        <v>110831.11089500001</v>
      </c>
      <c r="AL362" s="102">
        <v>25109.450997</v>
      </c>
      <c r="AM362" s="102">
        <v>14123.042363</v>
      </c>
      <c r="AN362" s="102">
        <v>9838.1341929999999</v>
      </c>
    </row>
    <row r="363" spans="2:40" x14ac:dyDescent="0.3">
      <c r="B363" s="61" t="s">
        <v>310</v>
      </c>
      <c r="C363" s="141" t="s">
        <v>469</v>
      </c>
      <c r="D363" s="102">
        <f t="shared" si="44"/>
        <v>-50062.271828999998</v>
      </c>
      <c r="E363" s="102">
        <f t="shared" si="43"/>
        <v>-2238.8970920000002</v>
      </c>
      <c r="F363" s="102">
        <f t="shared" si="45"/>
        <v>-4110.5247980000004</v>
      </c>
      <c r="G363" s="96"/>
      <c r="H363" s="102">
        <f t="shared" si="41"/>
        <v>-50062</v>
      </c>
      <c r="I363" s="102">
        <f t="shared" si="42"/>
        <v>-2239</v>
      </c>
      <c r="J363" s="102">
        <f t="shared" si="46"/>
        <v>-20418.587747000001</v>
      </c>
      <c r="M363" s="102"/>
      <c r="N363" s="100">
        <v>-50062.271828999998</v>
      </c>
      <c r="O363" s="100">
        <v>-4306.7395429999997</v>
      </c>
      <c r="P363" s="100">
        <v>-1069.0840310000001</v>
      </c>
      <c r="Q363" s="100">
        <v>-2000.9162859999999</v>
      </c>
      <c r="R363" s="100">
        <v>-2238.8970920000002</v>
      </c>
      <c r="S363" s="100">
        <v>-6219.6243720000002</v>
      </c>
      <c r="T363" s="100">
        <v>-1393.6861220000001</v>
      </c>
      <c r="U363" s="100">
        <v>-7877.0830370000003</v>
      </c>
      <c r="V363" s="102">
        <v>-4110.5247980000004</v>
      </c>
      <c r="W363" s="102">
        <v>-59006.272207000002</v>
      </c>
      <c r="X363" s="102">
        <v>-36088.806269000001</v>
      </c>
      <c r="Y363" s="100">
        <v>-4110.5247980000004</v>
      </c>
      <c r="Z363" s="102"/>
      <c r="AA363" s="102"/>
      <c r="AB363" s="102"/>
      <c r="AC363" s="102">
        <v>-50062</v>
      </c>
      <c r="AD363" s="102">
        <v>-4307</v>
      </c>
      <c r="AE363" s="102">
        <v>-1069</v>
      </c>
      <c r="AF363" s="102">
        <v>-2001</v>
      </c>
      <c r="AG363" s="102">
        <v>-2239</v>
      </c>
      <c r="AH363" s="102">
        <v>-6220</v>
      </c>
      <c r="AI363" s="102">
        <v>-1394</v>
      </c>
      <c r="AJ363" s="102">
        <v>-7877</v>
      </c>
      <c r="AK363" s="102">
        <v>-4110.5247980000004</v>
      </c>
      <c r="AL363" s="102">
        <v>-59006.272207000002</v>
      </c>
      <c r="AM363" s="102">
        <v>-36088.806269000001</v>
      </c>
      <c r="AN363" s="102">
        <v>-20418.587747000001</v>
      </c>
    </row>
    <row r="364" spans="2:40" x14ac:dyDescent="0.3">
      <c r="B364" s="61" t="s">
        <v>1010</v>
      </c>
      <c r="C364" s="141" t="s">
        <v>1516</v>
      </c>
      <c r="D364" s="102" t="str">
        <f t="shared" si="44"/>
        <v/>
      </c>
      <c r="E364" s="102" t="str">
        <f t="shared" si="43"/>
        <v/>
      </c>
      <c r="F364" s="102" t="str">
        <f t="shared" si="45"/>
        <v/>
      </c>
      <c r="G364" s="96"/>
      <c r="H364" s="102" t="str">
        <f t="shared" si="41"/>
        <v/>
      </c>
      <c r="I364" s="102" t="str">
        <f t="shared" ref="I364:I369" si="47">IF(HLOOKUP(I$5,$AB$5:$AN$370,ROW()-ROW($J$4),FALSE)=0,"",HLOOKUP(I$5,$AB$5:$AN$370,ROW()-ROW($J$4),FALSE))</f>
        <v/>
      </c>
      <c r="J364" s="102" t="str">
        <f t="shared" si="46"/>
        <v/>
      </c>
      <c r="M364" s="102"/>
      <c r="N364" s="100">
        <v>0</v>
      </c>
      <c r="O364" s="100">
        <v>0</v>
      </c>
      <c r="P364" s="100">
        <v>0</v>
      </c>
      <c r="Q364" s="100">
        <v>0</v>
      </c>
      <c r="R364" s="100">
        <v>0</v>
      </c>
      <c r="S364" s="100">
        <v>0</v>
      </c>
      <c r="T364" s="100">
        <v>0</v>
      </c>
      <c r="U364" s="100">
        <v>0</v>
      </c>
      <c r="V364" s="102">
        <v>0</v>
      </c>
      <c r="W364" s="102">
        <v>0</v>
      </c>
      <c r="X364" s="102">
        <v>0</v>
      </c>
      <c r="Y364" s="100">
        <v>0</v>
      </c>
      <c r="Z364" s="102"/>
      <c r="AA364" s="102"/>
      <c r="AB364" s="102"/>
      <c r="AC364" s="102">
        <v>0</v>
      </c>
      <c r="AD364" s="102">
        <v>0</v>
      </c>
      <c r="AE364" s="102">
        <v>0</v>
      </c>
      <c r="AF364" s="102">
        <v>0</v>
      </c>
      <c r="AG364" s="102">
        <v>0</v>
      </c>
      <c r="AH364" s="102">
        <v>0</v>
      </c>
      <c r="AI364" s="102">
        <v>0</v>
      </c>
      <c r="AJ364" s="102">
        <v>0</v>
      </c>
      <c r="AK364" s="102">
        <v>0</v>
      </c>
      <c r="AL364" s="102">
        <v>0</v>
      </c>
      <c r="AM364" s="102">
        <v>0</v>
      </c>
      <c r="AN364" s="102" t="s">
        <v>1292</v>
      </c>
    </row>
    <row r="365" spans="2:40" x14ac:dyDescent="0.3">
      <c r="B365" s="61" t="s">
        <v>1011</v>
      </c>
      <c r="C365" s="141" t="s">
        <v>1517</v>
      </c>
      <c r="D365" s="102" t="str">
        <f t="shared" si="44"/>
        <v/>
      </c>
      <c r="E365" s="102" t="str">
        <f t="shared" si="43"/>
        <v/>
      </c>
      <c r="F365" s="102" t="str">
        <f t="shared" si="45"/>
        <v/>
      </c>
      <c r="G365" s="96"/>
      <c r="H365" s="102" t="str">
        <f t="shared" si="41"/>
        <v/>
      </c>
      <c r="I365" s="102" t="str">
        <f t="shared" si="47"/>
        <v/>
      </c>
      <c r="J365" s="102" t="str">
        <f t="shared" si="46"/>
        <v/>
      </c>
      <c r="M365" s="102"/>
      <c r="N365" s="100">
        <v>0</v>
      </c>
      <c r="O365" s="100">
        <v>0</v>
      </c>
      <c r="P365" s="100">
        <v>0</v>
      </c>
      <c r="Q365" s="100">
        <v>0</v>
      </c>
      <c r="R365" s="100">
        <v>0</v>
      </c>
      <c r="S365" s="100">
        <v>0</v>
      </c>
      <c r="T365" s="100">
        <v>0</v>
      </c>
      <c r="U365" s="100">
        <v>0</v>
      </c>
      <c r="V365" s="102">
        <v>0</v>
      </c>
      <c r="W365" s="102">
        <v>0</v>
      </c>
      <c r="X365" s="102">
        <v>0</v>
      </c>
      <c r="Y365" s="100">
        <v>0</v>
      </c>
      <c r="Z365" s="102"/>
      <c r="AA365" s="102"/>
      <c r="AB365" s="102"/>
      <c r="AC365" s="102">
        <v>0</v>
      </c>
      <c r="AD365" s="102">
        <v>0</v>
      </c>
      <c r="AE365" s="102">
        <v>0</v>
      </c>
      <c r="AF365" s="102">
        <v>0</v>
      </c>
      <c r="AG365" s="102">
        <v>0</v>
      </c>
      <c r="AH365" s="102">
        <v>0</v>
      </c>
      <c r="AI365" s="102">
        <v>0</v>
      </c>
      <c r="AJ365" s="102">
        <v>0</v>
      </c>
      <c r="AK365" s="102">
        <v>0</v>
      </c>
      <c r="AL365" s="102">
        <v>0</v>
      </c>
      <c r="AM365" s="102">
        <v>0</v>
      </c>
      <c r="AN365" s="102" t="s">
        <v>1292</v>
      </c>
    </row>
    <row r="366" spans="2:40" x14ac:dyDescent="0.3">
      <c r="B366" s="61" t="s">
        <v>1647</v>
      </c>
      <c r="C366" s="141" t="s">
        <v>1651</v>
      </c>
      <c r="D366" s="102">
        <f t="shared" si="44"/>
        <v>0.69943900000000003</v>
      </c>
      <c r="E366" s="102">
        <f t="shared" si="43"/>
        <v>0.72459200000000001</v>
      </c>
      <c r="F366" s="102">
        <f t="shared" si="45"/>
        <v>1.19869</v>
      </c>
      <c r="G366" s="96"/>
      <c r="H366" s="102">
        <f t="shared" si="41"/>
        <v>1</v>
      </c>
      <c r="I366" s="102">
        <f t="shared" si="47"/>
        <v>1</v>
      </c>
      <c r="J366" s="102">
        <f t="shared" si="46"/>
        <v>1.1975039999999999</v>
      </c>
      <c r="M366" s="102"/>
      <c r="N366" s="100">
        <v>0.69943900000000003</v>
      </c>
      <c r="O366" s="100">
        <v>0.72181099999999998</v>
      </c>
      <c r="P366" s="100">
        <v>0.72154399999999996</v>
      </c>
      <c r="Q366" s="100">
        <v>0.72082999999999997</v>
      </c>
      <c r="R366" s="100">
        <v>0.72459200000000001</v>
      </c>
      <c r="S366" s="100">
        <v>0.70503800000000005</v>
      </c>
      <c r="T366" s="100">
        <v>0.70491499999999996</v>
      </c>
      <c r="U366" s="100">
        <v>0.51999099999999998</v>
      </c>
      <c r="V366" s="102">
        <v>1.19869</v>
      </c>
      <c r="W366" s="102">
        <v>1.1979569999999999</v>
      </c>
      <c r="X366" s="102">
        <v>1.1975610000000001</v>
      </c>
      <c r="Y366" s="100">
        <v>1.19869</v>
      </c>
      <c r="Z366" s="102"/>
      <c r="AA366" s="102"/>
      <c r="AB366" s="102"/>
      <c r="AC366" s="102">
        <v>1</v>
      </c>
      <c r="AD366" s="102">
        <v>1</v>
      </c>
      <c r="AE366" s="102">
        <v>1</v>
      </c>
      <c r="AF366" s="102">
        <v>1</v>
      </c>
      <c r="AG366" s="102">
        <v>1</v>
      </c>
      <c r="AH366" s="102">
        <v>1</v>
      </c>
      <c r="AI366" s="102">
        <v>1</v>
      </c>
      <c r="AJ366" s="102">
        <v>1</v>
      </c>
      <c r="AK366" s="102">
        <v>1.19869</v>
      </c>
      <c r="AL366" s="102">
        <v>1.1979569999999999</v>
      </c>
      <c r="AM366" s="102">
        <v>1.1975610000000001</v>
      </c>
      <c r="AN366" s="102">
        <v>1.1975039999999999</v>
      </c>
    </row>
    <row r="367" spans="2:40" x14ac:dyDescent="0.3">
      <c r="B367" s="61" t="s">
        <v>1648</v>
      </c>
      <c r="C367" s="141" t="s">
        <v>1654</v>
      </c>
      <c r="D367" s="102">
        <f t="shared" si="44"/>
        <v>4475.4354590000003</v>
      </c>
      <c r="E367" s="102">
        <f t="shared" si="43"/>
        <v>-1594.7314369999999</v>
      </c>
      <c r="F367" s="102">
        <f t="shared" si="45"/>
        <v>-1696.147105</v>
      </c>
      <c r="G367" s="96"/>
      <c r="H367" s="102">
        <f t="shared" si="41"/>
        <v>4475</v>
      </c>
      <c r="I367" s="102">
        <f t="shared" si="47"/>
        <v>-1595</v>
      </c>
      <c r="J367" s="102" t="str">
        <f t="shared" si="46"/>
        <v/>
      </c>
      <c r="M367" s="102"/>
      <c r="N367" s="100">
        <v>4475.4354590000003</v>
      </c>
      <c r="O367" s="100">
        <v>-344.55082399999998</v>
      </c>
      <c r="P367" s="100">
        <v>-1061.7897370000001</v>
      </c>
      <c r="Q367" s="100">
        <v>-1445.567485</v>
      </c>
      <c r="R367" s="100">
        <v>-1594.7314369999999</v>
      </c>
      <c r="S367" s="100">
        <v>-887.676511</v>
      </c>
      <c r="T367" s="100">
        <v>-1257.0556260000001</v>
      </c>
      <c r="U367" s="100">
        <v>-1290.2762170000001</v>
      </c>
      <c r="V367" s="102">
        <v>-1696.147105</v>
      </c>
      <c r="W367" s="102">
        <v>-789.09495500000003</v>
      </c>
      <c r="X367" s="102">
        <v>0</v>
      </c>
      <c r="Y367" s="100">
        <v>-1696.147105</v>
      </c>
      <c r="Z367" s="102"/>
      <c r="AA367" s="102"/>
      <c r="AB367" s="102"/>
      <c r="AC367" s="102">
        <v>4475</v>
      </c>
      <c r="AD367" s="102">
        <v>-345</v>
      </c>
      <c r="AE367" s="102">
        <v>-1062</v>
      </c>
      <c r="AF367" s="102">
        <v>-1446</v>
      </c>
      <c r="AG367" s="102">
        <v>-1595</v>
      </c>
      <c r="AH367" s="102">
        <v>-888</v>
      </c>
      <c r="AI367" s="102">
        <v>-1257</v>
      </c>
      <c r="AJ367" s="102">
        <v>-1290</v>
      </c>
      <c r="AK367" s="102">
        <v>-1696.147105</v>
      </c>
      <c r="AL367" s="102">
        <v>-789.09495500000003</v>
      </c>
      <c r="AM367" s="102">
        <v>0</v>
      </c>
      <c r="AN367" s="102" t="s">
        <v>1292</v>
      </c>
    </row>
    <row r="368" spans="2:40" x14ac:dyDescent="0.3">
      <c r="B368" s="61" t="s">
        <v>1649</v>
      </c>
      <c r="C368" s="141" t="s">
        <v>1655</v>
      </c>
      <c r="D368" s="102" t="str">
        <f t="shared" si="44"/>
        <v/>
      </c>
      <c r="E368" s="102" t="str">
        <f t="shared" si="43"/>
        <v/>
      </c>
      <c r="F368" s="102" t="str">
        <f t="shared" si="45"/>
        <v/>
      </c>
      <c r="G368" s="96"/>
      <c r="H368" s="102" t="str">
        <f t="shared" si="41"/>
        <v/>
      </c>
      <c r="I368" s="102" t="str">
        <f t="shared" si="47"/>
        <v/>
      </c>
      <c r="J368" s="102">
        <f t="shared" si="46"/>
        <v>-968.432005</v>
      </c>
      <c r="M368" s="102"/>
      <c r="N368" s="100">
        <v>0</v>
      </c>
      <c r="O368" s="100">
        <v>0</v>
      </c>
      <c r="P368" s="100">
        <v>0</v>
      </c>
      <c r="Q368" s="100">
        <v>0</v>
      </c>
      <c r="R368" s="100">
        <v>0</v>
      </c>
      <c r="S368" s="100">
        <v>0</v>
      </c>
      <c r="T368" s="100">
        <v>0</v>
      </c>
      <c r="U368" s="100">
        <v>0</v>
      </c>
      <c r="V368" s="102">
        <v>0</v>
      </c>
      <c r="W368" s="102">
        <v>0</v>
      </c>
      <c r="X368" s="102">
        <v>-1252.1222580000001</v>
      </c>
      <c r="Y368" s="100">
        <v>0</v>
      </c>
      <c r="Z368" s="102"/>
      <c r="AA368" s="102"/>
      <c r="AB368" s="102"/>
      <c r="AC368" s="102">
        <v>0</v>
      </c>
      <c r="AD368" s="102">
        <v>0</v>
      </c>
      <c r="AE368" s="102">
        <v>0</v>
      </c>
      <c r="AF368" s="102">
        <v>0</v>
      </c>
      <c r="AG368" s="102">
        <v>0</v>
      </c>
      <c r="AH368" s="102">
        <v>0</v>
      </c>
      <c r="AI368" s="102">
        <v>0</v>
      </c>
      <c r="AJ368" s="102">
        <v>0</v>
      </c>
      <c r="AK368" s="102">
        <v>0</v>
      </c>
      <c r="AL368" s="102">
        <v>0</v>
      </c>
      <c r="AM368" s="102">
        <v>-1252.1222580000001</v>
      </c>
      <c r="AN368" s="102">
        <v>-968.432005</v>
      </c>
    </row>
    <row r="369" spans="2:40" s="112" customFormat="1" x14ac:dyDescent="0.3">
      <c r="B369" s="78" t="s">
        <v>761</v>
      </c>
      <c r="C369" s="141" t="s">
        <v>470</v>
      </c>
      <c r="D369" s="100">
        <f t="shared" si="44"/>
        <v>32855181.935106002</v>
      </c>
      <c r="E369" s="100">
        <f t="shared" si="43"/>
        <v>32404438.804745998</v>
      </c>
      <c r="F369" s="100">
        <f t="shared" si="45"/>
        <v>33046193.024997</v>
      </c>
      <c r="G369" s="101"/>
      <c r="H369" s="100">
        <f t="shared" si="41"/>
        <v>32920824</v>
      </c>
      <c r="I369" s="100">
        <f t="shared" si="47"/>
        <v>32493623</v>
      </c>
      <c r="J369" s="100">
        <f t="shared" si="46"/>
        <v>33188650.467659004</v>
      </c>
      <c r="M369" s="100"/>
      <c r="N369" s="100">
        <v>32855181.935106002</v>
      </c>
      <c r="O369" s="100">
        <v>33165463.238683999</v>
      </c>
      <c r="P369" s="100">
        <v>32215468.491140999</v>
      </c>
      <c r="Q369" s="100">
        <v>32214588.505663998</v>
      </c>
      <c r="R369" s="100">
        <v>32404438.804745998</v>
      </c>
      <c r="S369" s="100">
        <v>32232652.833785001</v>
      </c>
      <c r="T369" s="100">
        <v>32188592.706804998</v>
      </c>
      <c r="U369" s="100">
        <v>32333017.256452002</v>
      </c>
      <c r="V369" s="100">
        <v>33046193.024997</v>
      </c>
      <c r="W369" s="100">
        <v>32111059.738975</v>
      </c>
      <c r="X369" s="100">
        <v>32951333.185621001</v>
      </c>
      <c r="Y369" s="100">
        <v>33046193.024997</v>
      </c>
      <c r="Z369" s="100"/>
      <c r="AA369" s="100"/>
      <c r="AB369" s="100"/>
      <c r="AC369" s="100">
        <v>32920824</v>
      </c>
      <c r="AD369" s="100">
        <v>33221046</v>
      </c>
      <c r="AE369" s="100">
        <v>32262703</v>
      </c>
      <c r="AF369" s="100">
        <v>32292185</v>
      </c>
      <c r="AG369" s="100">
        <v>32493623</v>
      </c>
      <c r="AH369" s="100">
        <v>32311033</v>
      </c>
      <c r="AI369" s="102">
        <v>32269311</v>
      </c>
      <c r="AJ369" s="102">
        <v>32398401</v>
      </c>
      <c r="AK369" s="100">
        <v>33092023.489391997</v>
      </c>
      <c r="AL369" s="100">
        <v>32212292.311461002</v>
      </c>
      <c r="AM369" s="100">
        <v>33053385.020776</v>
      </c>
      <c r="AN369" s="102">
        <v>33188650.467659004</v>
      </c>
    </row>
    <row r="370" spans="2:40" s="40" customFormat="1" x14ac:dyDescent="0.3">
      <c r="B370" s="78"/>
      <c r="C370" s="141"/>
      <c r="D370" s="102" t="str">
        <f t="shared" si="44"/>
        <v/>
      </c>
      <c r="E370" s="102"/>
      <c r="F370" s="102" t="str">
        <f t="shared" si="45"/>
        <v/>
      </c>
      <c r="G370" s="96"/>
      <c r="H370" s="43"/>
      <c r="I370" s="43"/>
      <c r="J370" s="43"/>
      <c r="M370" s="43"/>
      <c r="N370" s="43"/>
      <c r="O370" s="43"/>
      <c r="P370" s="43"/>
      <c r="Q370" s="43"/>
      <c r="R370" s="43"/>
      <c r="S370" s="43"/>
      <c r="T370" s="43"/>
      <c r="U370" s="43"/>
      <c r="V370" s="43"/>
      <c r="W370" s="43"/>
      <c r="X370" s="43"/>
      <c r="Y370" s="43"/>
      <c r="Z370" s="102"/>
      <c r="AA370" s="102"/>
      <c r="AB370" s="43"/>
      <c r="AC370" s="43"/>
      <c r="AD370" s="43"/>
      <c r="AE370" s="43"/>
      <c r="AF370" s="43"/>
      <c r="AG370" s="43"/>
      <c r="AH370" s="43"/>
      <c r="AI370" s="43"/>
      <c r="AJ370" s="43"/>
      <c r="AK370" s="43"/>
      <c r="AL370" s="43"/>
      <c r="AM370" s="43"/>
      <c r="AN370" s="43"/>
    </row>
    <row r="371" spans="2:40" x14ac:dyDescent="0.3">
      <c r="B371" s="83"/>
      <c r="C371" s="247"/>
      <c r="D371" s="37"/>
      <c r="E371" s="37"/>
      <c r="F371" s="37"/>
      <c r="H371" s="754">
        <f>H369-H6</f>
        <v>-3</v>
      </c>
      <c r="I371" s="754">
        <f>I369-I6</f>
        <v>0</v>
      </c>
      <c r="J371" s="37"/>
      <c r="M371" s="37"/>
      <c r="N371" s="37"/>
      <c r="O371" s="37"/>
      <c r="P371" s="37"/>
      <c r="Q371" s="37"/>
      <c r="R371" s="37"/>
      <c r="S371" s="37"/>
      <c r="T371" s="37"/>
      <c r="U371" s="37"/>
      <c r="V371" s="37"/>
      <c r="W371" s="37"/>
      <c r="X371" s="37"/>
      <c r="Y371" s="37"/>
      <c r="Z371" s="40"/>
      <c r="AB371" s="37"/>
      <c r="AC371" s="731"/>
      <c r="AD371" s="731"/>
      <c r="AE371" s="731">
        <f>AE369-AE6</f>
        <v>3</v>
      </c>
      <c r="AF371" s="37"/>
      <c r="AG371" s="37"/>
      <c r="AH371" s="37"/>
      <c r="AI371" s="37"/>
      <c r="AJ371" s="37"/>
      <c r="AK371" s="37"/>
      <c r="AL371" s="37"/>
      <c r="AM371" s="37"/>
      <c r="AN371" s="37"/>
    </row>
    <row r="372" spans="2:40" x14ac:dyDescent="0.3">
      <c r="H372" s="682"/>
    </row>
  </sheetData>
  <phoneticPr fontId="1" type="noConversion"/>
  <pageMargins left="0.23622047244094491" right="0.23622047244094491" top="0.78740157480314965" bottom="0.23622047244094491" header="0.31496062992125984" footer="0.31496062992125984"/>
  <pageSetup paperSize="9" scale="57" fitToHeight="0"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B1:AP320"/>
  <sheetViews>
    <sheetView showGridLines="0" view="pageBreakPreview" zoomScale="80" zoomScaleNormal="100" zoomScaleSheetLayoutView="80" workbookViewId="0">
      <selection activeCell="G47" sqref="G47"/>
    </sheetView>
  </sheetViews>
  <sheetFormatPr defaultRowHeight="16.5" outlineLevelCol="4" x14ac:dyDescent="0.3"/>
  <cols>
    <col min="1" max="1" width="5" style="35" customWidth="1"/>
    <col min="2" max="2" width="52" style="61" bestFit="1" customWidth="1"/>
    <col min="3" max="3" width="77" style="141" customWidth="1"/>
    <col min="4" max="5" width="10" style="35" customWidth="1"/>
    <col min="6" max="6" width="10" style="35" hidden="1" customWidth="1"/>
    <col min="7" max="7" width="1.625" style="40" customWidth="1"/>
    <col min="8" max="9" width="10" style="51" customWidth="1"/>
    <col min="10" max="10" width="10.25" style="51" hidden="1" customWidth="1"/>
    <col min="11" max="11" width="1.625" style="40" customWidth="1"/>
    <col min="12" max="12" width="9" style="35" hidden="1" customWidth="1" outlineLevel="1"/>
    <col min="13" max="21" width="10" style="35" hidden="1" customWidth="1" outlineLevel="2"/>
    <col min="22" max="25" width="10" style="35" hidden="1" customWidth="1" outlineLevel="3"/>
    <col min="26" max="26" width="9" style="40" hidden="1" customWidth="1" outlineLevel="2" collapsed="1"/>
    <col min="27" max="35" width="10" style="35" hidden="1" customWidth="1" outlineLevel="2"/>
    <col min="36" max="39" width="10" style="35" hidden="1" customWidth="1" outlineLevel="4"/>
    <col min="40" max="40" width="9" style="35" hidden="1" customWidth="1" outlineLevel="1"/>
    <col min="41" max="41" width="9" style="35" collapsed="1"/>
    <col min="42" max="16384" width="9" style="35"/>
  </cols>
  <sheetData>
    <row r="1" spans="2:39" s="34" customFormat="1" x14ac:dyDescent="0.3">
      <c r="B1" s="78" t="str">
        <f>[8]INDEX!G7</f>
        <v>보험회계기준 (SAP) 손익계산서</v>
      </c>
      <c r="C1" s="141" t="s">
        <v>1737</v>
      </c>
      <c r="G1" s="48"/>
      <c r="H1" s="48"/>
      <c r="I1" s="48"/>
      <c r="J1" s="48"/>
      <c r="K1" s="48"/>
      <c r="M1" s="458"/>
      <c r="N1" s="458"/>
      <c r="O1" s="458"/>
      <c r="P1" s="458"/>
      <c r="Q1" s="458"/>
      <c r="R1" s="458"/>
      <c r="S1" s="458"/>
      <c r="T1" s="248"/>
      <c r="U1" s="248"/>
      <c r="V1" s="248"/>
      <c r="W1" s="248"/>
      <c r="X1" s="248"/>
      <c r="Y1" s="248"/>
      <c r="Z1" s="48"/>
      <c r="AA1" s="248"/>
      <c r="AB1" s="248"/>
      <c r="AC1" s="248"/>
      <c r="AD1" s="248"/>
      <c r="AE1" s="248"/>
      <c r="AF1" s="248"/>
      <c r="AG1" s="248"/>
      <c r="AH1" s="248"/>
      <c r="AI1" s="248"/>
      <c r="AJ1" s="248"/>
      <c r="AK1" s="248"/>
      <c r="AL1" s="248"/>
      <c r="AM1" s="248"/>
    </row>
    <row r="2" spans="2:39" x14ac:dyDescent="0.3">
      <c r="B2" s="79" t="s">
        <v>737</v>
      </c>
      <c r="F2" s="55"/>
      <c r="H2" s="40"/>
      <c r="I2" s="40"/>
      <c r="J2" s="40"/>
    </row>
    <row r="3" spans="2:39" s="36" customFormat="1" x14ac:dyDescent="0.3">
      <c r="B3" s="80"/>
      <c r="C3" s="143"/>
      <c r="D3" s="143"/>
      <c r="E3" s="143"/>
      <c r="F3" s="143"/>
      <c r="G3" s="182"/>
      <c r="H3" s="824"/>
      <c r="I3" s="824"/>
      <c r="J3" s="824" t="s">
        <v>789</v>
      </c>
      <c r="K3" s="182"/>
      <c r="M3" s="109" t="s">
        <v>1728</v>
      </c>
      <c r="N3" s="109"/>
      <c r="O3" s="109"/>
      <c r="P3" s="109"/>
      <c r="Q3" s="109"/>
      <c r="R3" s="109"/>
      <c r="S3" s="109"/>
      <c r="T3" s="109"/>
      <c r="U3" s="109"/>
      <c r="V3" s="109"/>
      <c r="W3" s="109"/>
      <c r="X3" s="109"/>
      <c r="Y3" s="109"/>
      <c r="Z3" s="812"/>
      <c r="AA3" s="109" t="s">
        <v>1728</v>
      </c>
      <c r="AB3" s="109"/>
      <c r="AC3" s="109"/>
      <c r="AD3" s="109"/>
      <c r="AE3" s="109"/>
      <c r="AF3" s="109"/>
      <c r="AG3" s="109"/>
      <c r="AH3" s="109"/>
      <c r="AI3" s="109"/>
      <c r="AJ3" s="109"/>
      <c r="AK3" s="109"/>
      <c r="AL3" s="109"/>
      <c r="AM3" s="109"/>
    </row>
    <row r="4" spans="2:39" s="36" customFormat="1" ht="33" x14ac:dyDescent="0.3">
      <c r="B4" s="81"/>
      <c r="C4" s="313"/>
      <c r="D4" s="103" t="s">
        <v>1593</v>
      </c>
      <c r="E4" s="694" t="s">
        <v>1593</v>
      </c>
      <c r="F4" s="103" t="s">
        <v>1593</v>
      </c>
      <c r="G4" s="812"/>
      <c r="H4" s="328" t="s">
        <v>1594</v>
      </c>
      <c r="I4" s="329" t="s">
        <v>1594</v>
      </c>
      <c r="J4" s="157" t="s">
        <v>1594</v>
      </c>
      <c r="K4" s="681"/>
      <c r="M4" s="109" t="str">
        <f>F4</f>
        <v xml:space="preserve">별도 Standalone </v>
      </c>
      <c r="N4" s="109"/>
      <c r="O4" s="109"/>
      <c r="P4" s="109"/>
      <c r="Q4" s="109"/>
      <c r="R4" s="109"/>
      <c r="S4" s="109"/>
      <c r="T4" s="109"/>
      <c r="U4" s="109"/>
      <c r="V4" s="109"/>
      <c r="W4" s="109"/>
      <c r="X4" s="109"/>
      <c r="Y4" s="109"/>
      <c r="Z4" s="812"/>
      <c r="AA4" s="144" t="str">
        <f>J4</f>
        <v xml:space="preserve">연결 Consolidated </v>
      </c>
      <c r="AB4" s="144"/>
      <c r="AC4" s="144"/>
      <c r="AD4" s="144"/>
      <c r="AE4" s="144"/>
      <c r="AF4" s="144"/>
      <c r="AG4" s="144"/>
      <c r="AH4" s="144"/>
      <c r="AI4" s="144"/>
      <c r="AJ4" s="144"/>
      <c r="AK4" s="144"/>
      <c r="AL4" s="144"/>
      <c r="AM4" s="144"/>
    </row>
    <row r="5" spans="2:39" s="36" customFormat="1" x14ac:dyDescent="0.3">
      <c r="B5" s="82"/>
      <c r="C5" s="824"/>
      <c r="D5" s="820" t="str">
        <f>N5</f>
        <v>2025 Q4</v>
      </c>
      <c r="E5" s="820" t="str">
        <f>R5</f>
        <v>2024 Q4</v>
      </c>
      <c r="F5" s="820" t="s">
        <v>776</v>
      </c>
      <c r="G5" s="812"/>
      <c r="H5" s="50" t="str">
        <f>D5</f>
        <v>2025 Q4</v>
      </c>
      <c r="I5" s="50" t="str">
        <f>E5</f>
        <v>2024 Q4</v>
      </c>
      <c r="J5" s="50" t="s">
        <v>776</v>
      </c>
      <c r="K5" s="57"/>
      <c r="M5" s="820" t="s">
        <v>740</v>
      </c>
      <c r="N5" s="820" t="s">
        <v>1970</v>
      </c>
      <c r="O5" s="820" t="s">
        <v>1966</v>
      </c>
      <c r="P5" s="820" t="s">
        <v>1945</v>
      </c>
      <c r="Q5" s="820" t="s">
        <v>1938</v>
      </c>
      <c r="R5" s="820" t="s">
        <v>1932</v>
      </c>
      <c r="S5" s="820" t="s">
        <v>1909</v>
      </c>
      <c r="T5" s="820" t="s">
        <v>1815</v>
      </c>
      <c r="U5" s="820" t="s">
        <v>1727</v>
      </c>
      <c r="V5" s="820" t="s">
        <v>1682</v>
      </c>
      <c r="W5" s="820" t="s">
        <v>1644</v>
      </c>
      <c r="X5" s="820" t="s">
        <v>1556</v>
      </c>
      <c r="Y5" s="820" t="s">
        <v>776</v>
      </c>
      <c r="Z5" s="819"/>
      <c r="AA5" s="50" t="s">
        <v>740</v>
      </c>
      <c r="AB5" s="50" t="s">
        <v>1970</v>
      </c>
      <c r="AC5" s="50" t="s">
        <v>1966</v>
      </c>
      <c r="AD5" s="50" t="s">
        <v>1945</v>
      </c>
      <c r="AE5" s="50" t="s">
        <v>1938</v>
      </c>
      <c r="AF5" s="50" t="s">
        <v>1932</v>
      </c>
      <c r="AG5" s="50" t="s">
        <v>1909</v>
      </c>
      <c r="AH5" s="50" t="s">
        <v>1815</v>
      </c>
      <c r="AI5" s="50" t="s">
        <v>1727</v>
      </c>
      <c r="AJ5" s="50" t="s">
        <v>1689</v>
      </c>
      <c r="AK5" s="50" t="s">
        <v>1644</v>
      </c>
      <c r="AL5" s="50" t="s">
        <v>1556</v>
      </c>
      <c r="AM5" s="50" t="s">
        <v>776</v>
      </c>
    </row>
    <row r="6" spans="2:39" s="112" customFormat="1" x14ac:dyDescent="0.3">
      <c r="B6" s="78" t="s">
        <v>694</v>
      </c>
      <c r="C6" s="307" t="s">
        <v>611</v>
      </c>
      <c r="D6" s="100">
        <f t="shared" ref="D6:F25" si="0">IF(HLOOKUP(D$5,$M$5:$Y$319,ROW()-ROW($F$4),FALSE)=0,"",HLOOKUP(D$5,$M$5:$Y$319,ROW()-ROW($F$4),FALSE))</f>
        <v>111990.10958399976</v>
      </c>
      <c r="E6" s="100">
        <f t="shared" si="0"/>
        <v>119275.54434700002</v>
      </c>
      <c r="F6" s="100">
        <f t="shared" si="0"/>
        <v>43698.503999999986</v>
      </c>
      <c r="G6" s="154"/>
      <c r="H6" s="100">
        <f>IF(HLOOKUP(H$5,$AA$5:$AM$315,ROW()-ROW($H$4),FALSE)=0,"",HLOOKUP(H$5,$AA$5:$AM$315,ROW()-ROW($J$4),FALSE))</f>
        <v>77004.454914000002</v>
      </c>
      <c r="I6" s="100">
        <f t="shared" ref="I6:I69" si="1">IF(HLOOKUP(I$5,$AA$5:$AM$315,ROW()-ROW($J$4),FALSE)=0,"",HLOOKUP(I$5,$AA$5:$AM$315,ROW()-ROW($J$4),FALSE))</f>
        <v>84835.760647999909</v>
      </c>
      <c r="J6" s="100">
        <f t="shared" ref="J6:J25" si="2">IF(HLOOKUP(J$5,$AA$5:$AM$315,ROW()-ROW($J$4),FALSE)=0,"",HLOOKUP(J$5,$AA$5:$AM$315,ROW()-ROW($J$4),FALSE))</f>
        <v>24494.263397999992</v>
      </c>
      <c r="K6" s="682"/>
      <c r="M6" s="100"/>
      <c r="N6" s="100">
        <v>111990.10958399976</v>
      </c>
      <c r="O6" s="100">
        <v>117870.78556999998</v>
      </c>
      <c r="P6" s="100">
        <v>83561.575138999993</v>
      </c>
      <c r="Q6" s="100">
        <v>38885.30658300002</v>
      </c>
      <c r="R6" s="100">
        <v>119275.54434700002</v>
      </c>
      <c r="S6" s="100">
        <v>99420.4830580001</v>
      </c>
      <c r="T6" s="100">
        <v>68016.325834999967</v>
      </c>
      <c r="U6" s="100">
        <v>22297.512420999996</v>
      </c>
      <c r="V6" s="100">
        <v>169000.76660799998</v>
      </c>
      <c r="W6" s="100">
        <v>111606.10743999996</v>
      </c>
      <c r="X6" s="100">
        <v>84266.200000000012</v>
      </c>
      <c r="Y6" s="100">
        <v>43698.503999999986</v>
      </c>
      <c r="Z6" s="100"/>
      <c r="AA6" s="100"/>
      <c r="AB6" s="100">
        <v>77004.454914000002</v>
      </c>
      <c r="AC6" s="100">
        <v>94478.783386000097</v>
      </c>
      <c r="AD6" s="100">
        <v>68106.96962399999</v>
      </c>
      <c r="AE6" s="100">
        <v>31450.607677</v>
      </c>
      <c r="AF6" s="100">
        <v>84835.760647999909</v>
      </c>
      <c r="AG6" s="100">
        <v>76766.458083000005</v>
      </c>
      <c r="AH6" s="100">
        <v>53178.311310999998</v>
      </c>
      <c r="AI6" s="100">
        <v>600.05782099999999</v>
      </c>
      <c r="AJ6" s="100">
        <v>108825.74899199995</v>
      </c>
      <c r="AK6" s="100">
        <v>64167.015427999999</v>
      </c>
      <c r="AL6" s="100">
        <v>51875.370583999989</v>
      </c>
      <c r="AM6" s="100">
        <v>24494.263397999992</v>
      </c>
    </row>
    <row r="7" spans="2:39" x14ac:dyDescent="0.3">
      <c r="B7" s="61" t="s">
        <v>1012</v>
      </c>
      <c r="C7" s="141" t="s">
        <v>1013</v>
      </c>
      <c r="D7" s="102">
        <f t="shared" si="0"/>
        <v>1080411.5475539998</v>
      </c>
      <c r="E7" s="102">
        <f t="shared" si="0"/>
        <v>963967.42019199999</v>
      </c>
      <c r="F7" s="102">
        <f t="shared" si="0"/>
        <v>225755.49299999999</v>
      </c>
      <c r="G7" s="155"/>
      <c r="H7" s="102">
        <f t="shared" ref="H7:I70" si="3">IF(HLOOKUP(H$5,$AA$5:$AM$315,ROW()-ROW($J$4),FALSE)=0,"",HLOOKUP(H$5,$AA$5:$AM$315,ROW()-ROW($J$4),FALSE))</f>
        <v>1080411.547554</v>
      </c>
      <c r="I7" s="102">
        <f t="shared" si="1"/>
        <v>963967.42019199999</v>
      </c>
      <c r="J7" s="102">
        <f t="shared" si="2"/>
        <v>225755.49332199999</v>
      </c>
      <c r="K7" s="683"/>
      <c r="M7" s="102"/>
      <c r="N7" s="102">
        <v>1080411.5475539998</v>
      </c>
      <c r="O7" s="102">
        <v>795957.570679</v>
      </c>
      <c r="P7" s="102">
        <v>520920.018629</v>
      </c>
      <c r="Q7" s="102">
        <v>259227.86549200001</v>
      </c>
      <c r="R7" s="102">
        <v>963967.42019199999</v>
      </c>
      <c r="S7" s="102">
        <v>718211.17783200007</v>
      </c>
      <c r="T7" s="102">
        <v>474790.24224299996</v>
      </c>
      <c r="U7" s="102">
        <v>235962.95157599999</v>
      </c>
      <c r="V7" s="102">
        <v>901599.247585</v>
      </c>
      <c r="W7" s="102">
        <v>676811.95426699996</v>
      </c>
      <c r="X7" s="102">
        <v>450257.33500000002</v>
      </c>
      <c r="Y7" s="102">
        <v>225755.49299999999</v>
      </c>
      <c r="Z7" s="102"/>
      <c r="AA7" s="102"/>
      <c r="AB7" s="102">
        <v>1080411.547554</v>
      </c>
      <c r="AC7" s="102">
        <v>795957.570679</v>
      </c>
      <c r="AD7" s="102">
        <v>520920.018629</v>
      </c>
      <c r="AE7" s="102">
        <v>259227.86549200001</v>
      </c>
      <c r="AF7" s="102">
        <v>963967.42019199999</v>
      </c>
      <c r="AG7" s="102">
        <v>718211.17783199996</v>
      </c>
      <c r="AH7" s="102">
        <v>474790.24224300002</v>
      </c>
      <c r="AI7" s="102">
        <v>235962.95157599999</v>
      </c>
      <c r="AJ7" s="102">
        <v>901599.247585</v>
      </c>
      <c r="AK7" s="102">
        <v>676811.95426699996</v>
      </c>
      <c r="AL7" s="102">
        <v>450257.33499</v>
      </c>
      <c r="AM7" s="102">
        <v>225755.49332199999</v>
      </c>
    </row>
    <row r="8" spans="2:39" x14ac:dyDescent="0.3">
      <c r="B8" s="61" t="s">
        <v>1014</v>
      </c>
      <c r="C8" s="141" t="s">
        <v>1310</v>
      </c>
      <c r="D8" s="102">
        <f t="shared" si="0"/>
        <v>1080411.5475539998</v>
      </c>
      <c r="E8" s="102">
        <f t="shared" si="0"/>
        <v>963967.42019199999</v>
      </c>
      <c r="F8" s="102">
        <f t="shared" si="0"/>
        <v>225755.49299999999</v>
      </c>
      <c r="G8" s="155"/>
      <c r="H8" s="102">
        <f t="shared" si="3"/>
        <v>1080411.547554</v>
      </c>
      <c r="I8" s="102">
        <f t="shared" si="1"/>
        <v>963967.42019199999</v>
      </c>
      <c r="J8" s="102">
        <f t="shared" si="2"/>
        <v>225755.49332199999</v>
      </c>
      <c r="K8" s="683"/>
      <c r="M8" s="102"/>
      <c r="N8" s="102">
        <v>1080411.5475539998</v>
      </c>
      <c r="O8" s="102">
        <v>795957.570679</v>
      </c>
      <c r="P8" s="102">
        <v>520920.018629</v>
      </c>
      <c r="Q8" s="102">
        <v>259227.86549200001</v>
      </c>
      <c r="R8" s="102">
        <v>963967.42019199999</v>
      </c>
      <c r="S8" s="102">
        <v>718211.17783200007</v>
      </c>
      <c r="T8" s="102">
        <v>474790.24224299996</v>
      </c>
      <c r="U8" s="102">
        <v>235962.95157599999</v>
      </c>
      <c r="V8" s="102">
        <v>901599.247585</v>
      </c>
      <c r="W8" s="102">
        <v>676811.95426699996</v>
      </c>
      <c r="X8" s="102">
        <v>450257.33500000002</v>
      </c>
      <c r="Y8" s="102">
        <v>225755.49299999999</v>
      </c>
      <c r="Z8" s="102"/>
      <c r="AA8" s="102"/>
      <c r="AB8" s="102">
        <v>1080411.547554</v>
      </c>
      <c r="AC8" s="102">
        <v>795957.570679</v>
      </c>
      <c r="AD8" s="102">
        <v>520920.018629</v>
      </c>
      <c r="AE8" s="102">
        <v>259227.86549200001</v>
      </c>
      <c r="AF8" s="102">
        <v>963967.42019199999</v>
      </c>
      <c r="AG8" s="102">
        <v>718211.17783199996</v>
      </c>
      <c r="AH8" s="102">
        <v>474790.24224300002</v>
      </c>
      <c r="AI8" s="102">
        <v>235962.95157599999</v>
      </c>
      <c r="AJ8" s="102">
        <v>901599.247585</v>
      </c>
      <c r="AK8" s="102">
        <v>676811.95426699996</v>
      </c>
      <c r="AL8" s="102">
        <v>450257.33499</v>
      </c>
      <c r="AM8" s="102">
        <v>225755.49332199999</v>
      </c>
    </row>
    <row r="9" spans="2:39" x14ac:dyDescent="0.3">
      <c r="B9" s="61" t="s">
        <v>1015</v>
      </c>
      <c r="C9" s="141" t="s">
        <v>1354</v>
      </c>
      <c r="D9" s="102">
        <f t="shared" si="0"/>
        <v>485978.16151300003</v>
      </c>
      <c r="E9" s="102">
        <f t="shared" si="0"/>
        <v>449061.22033899999</v>
      </c>
      <c r="F9" s="102">
        <f t="shared" si="0"/>
        <v>107346.65399999999</v>
      </c>
      <c r="G9" s="155"/>
      <c r="H9" s="102">
        <f t="shared" si="3"/>
        <v>485978.16151300003</v>
      </c>
      <c r="I9" s="102">
        <f t="shared" si="1"/>
        <v>449061.22033899999</v>
      </c>
      <c r="J9" s="102">
        <f t="shared" si="2"/>
        <v>107346.65441</v>
      </c>
      <c r="K9" s="683"/>
      <c r="M9" s="102"/>
      <c r="N9" s="102">
        <v>485978.16151300003</v>
      </c>
      <c r="O9" s="102">
        <v>359227.47938599996</v>
      </c>
      <c r="P9" s="102">
        <v>235814.39680199997</v>
      </c>
      <c r="Q9" s="102">
        <v>117072.54388500001</v>
      </c>
      <c r="R9" s="102">
        <v>449061.22033899999</v>
      </c>
      <c r="S9" s="102">
        <v>334402.466625</v>
      </c>
      <c r="T9" s="102">
        <v>221033.48204199999</v>
      </c>
      <c r="U9" s="102">
        <v>109848.17917399999</v>
      </c>
      <c r="V9" s="102">
        <v>435094.85386000003</v>
      </c>
      <c r="W9" s="102">
        <v>325962.63967299997</v>
      </c>
      <c r="X9" s="102">
        <v>215902.69899999999</v>
      </c>
      <c r="Y9" s="102">
        <v>107346.65399999999</v>
      </c>
      <c r="Z9" s="102"/>
      <c r="AA9" s="102"/>
      <c r="AB9" s="102">
        <v>485978.16151300003</v>
      </c>
      <c r="AC9" s="102">
        <v>359227.47938600002</v>
      </c>
      <c r="AD9" s="102">
        <v>235814.396802</v>
      </c>
      <c r="AE9" s="102">
        <v>117072.54388500001</v>
      </c>
      <c r="AF9" s="102">
        <v>449061.22033899999</v>
      </c>
      <c r="AG9" s="102">
        <v>334402.466625</v>
      </c>
      <c r="AH9" s="102">
        <v>221033.48204199999</v>
      </c>
      <c r="AI9" s="102">
        <v>109848.179174</v>
      </c>
      <c r="AJ9" s="102">
        <v>435094.85385999997</v>
      </c>
      <c r="AK9" s="102">
        <v>325962.63967300003</v>
      </c>
      <c r="AL9" s="102">
        <v>215902.69908600001</v>
      </c>
      <c r="AM9" s="102">
        <v>107346.65441</v>
      </c>
    </row>
    <row r="10" spans="2:39" x14ac:dyDescent="0.3">
      <c r="B10" s="61" t="s">
        <v>1016</v>
      </c>
      <c r="C10" s="141" t="s">
        <v>1355</v>
      </c>
      <c r="D10" s="102">
        <f t="shared" si="0"/>
        <v>4462.1930820000007</v>
      </c>
      <c r="E10" s="102">
        <f t="shared" si="0"/>
        <v>3401.590404</v>
      </c>
      <c r="F10" s="102">
        <f t="shared" si="0"/>
        <v>965.11099999999999</v>
      </c>
      <c r="G10" s="155"/>
      <c r="H10" s="102">
        <f t="shared" si="3"/>
        <v>4462.1930819999998</v>
      </c>
      <c r="I10" s="102">
        <f t="shared" si="1"/>
        <v>3401.590404</v>
      </c>
      <c r="J10" s="102">
        <f t="shared" si="2"/>
        <v>965.1111350000001</v>
      </c>
      <c r="K10" s="683"/>
      <c r="M10" s="102"/>
      <c r="N10" s="102">
        <v>4462.1930820000007</v>
      </c>
      <c r="O10" s="102">
        <v>3302.8986329999998</v>
      </c>
      <c r="P10" s="102">
        <v>2181.9723059999997</v>
      </c>
      <c r="Q10" s="102">
        <v>1090.4880290000001</v>
      </c>
      <c r="R10" s="102">
        <v>3401.590404</v>
      </c>
      <c r="S10" s="102">
        <v>2538.9541320000003</v>
      </c>
      <c r="T10" s="102">
        <v>1686.8958359999999</v>
      </c>
      <c r="U10" s="102">
        <v>841.37287900000001</v>
      </c>
      <c r="V10" s="102">
        <v>3893.431724</v>
      </c>
      <c r="W10" s="102">
        <v>2918.4205159999997</v>
      </c>
      <c r="X10" s="102">
        <v>1938.193</v>
      </c>
      <c r="Y10" s="102">
        <v>965.11099999999999</v>
      </c>
      <c r="Z10" s="102"/>
      <c r="AA10" s="102"/>
      <c r="AB10" s="102">
        <v>4462.1930819999998</v>
      </c>
      <c r="AC10" s="102">
        <v>3302.8986329999998</v>
      </c>
      <c r="AD10" s="102">
        <v>2181.9723060000001</v>
      </c>
      <c r="AE10" s="102">
        <v>1090.4880290000001</v>
      </c>
      <c r="AF10" s="102">
        <v>3401.590404</v>
      </c>
      <c r="AG10" s="102">
        <v>2538.9541319999998</v>
      </c>
      <c r="AH10" s="102">
        <v>1686.8958359999999</v>
      </c>
      <c r="AI10" s="102">
        <v>841.37287900000001</v>
      </c>
      <c r="AJ10" s="102">
        <v>3893.431724</v>
      </c>
      <c r="AK10" s="102">
        <v>2918.4205160000001</v>
      </c>
      <c r="AL10" s="102">
        <v>1938.1932280000001</v>
      </c>
      <c r="AM10" s="102">
        <v>965.1111350000001</v>
      </c>
    </row>
    <row r="11" spans="2:39" x14ac:dyDescent="0.3">
      <c r="B11" s="61" t="s">
        <v>1017</v>
      </c>
      <c r="C11" s="141" t="s">
        <v>1356</v>
      </c>
      <c r="D11" s="102">
        <f t="shared" si="0"/>
        <v>84471.052643999996</v>
      </c>
      <c r="E11" s="102">
        <f t="shared" si="0"/>
        <v>75957.86153200001</v>
      </c>
      <c r="F11" s="102">
        <f t="shared" si="0"/>
        <v>19364.249</v>
      </c>
      <c r="G11" s="155"/>
      <c r="H11" s="102">
        <f t="shared" si="3"/>
        <v>84471.052643999996</v>
      </c>
      <c r="I11" s="102">
        <f t="shared" si="1"/>
        <v>75957.861531999995</v>
      </c>
      <c r="J11" s="102">
        <f t="shared" si="2"/>
        <v>19364.248638000001</v>
      </c>
      <c r="K11" s="683"/>
      <c r="M11" s="102"/>
      <c r="N11" s="102">
        <v>84471.052643999996</v>
      </c>
      <c r="O11" s="102">
        <v>62777.311869000005</v>
      </c>
      <c r="P11" s="102">
        <v>41104.844450999997</v>
      </c>
      <c r="Q11" s="102">
        <v>20670.604547999999</v>
      </c>
      <c r="R11" s="102">
        <v>75957.86153200001</v>
      </c>
      <c r="S11" s="102">
        <v>56750.140545000002</v>
      </c>
      <c r="T11" s="102">
        <v>37720.464530000005</v>
      </c>
      <c r="U11" s="102">
        <v>18897.408921999999</v>
      </c>
      <c r="V11" s="102">
        <v>76556.017999000003</v>
      </c>
      <c r="W11" s="102">
        <v>57628.968258000001</v>
      </c>
      <c r="X11" s="102">
        <v>38542.739000000001</v>
      </c>
      <c r="Y11" s="102">
        <v>19364.249</v>
      </c>
      <c r="Z11" s="102"/>
      <c r="AA11" s="102"/>
      <c r="AB11" s="102">
        <v>84471.052643999996</v>
      </c>
      <c r="AC11" s="102">
        <v>62777.311868999997</v>
      </c>
      <c r="AD11" s="102">
        <v>41104.844450999997</v>
      </c>
      <c r="AE11" s="102">
        <v>20670.604547999999</v>
      </c>
      <c r="AF11" s="102">
        <v>75957.861531999995</v>
      </c>
      <c r="AG11" s="102">
        <v>56750.140545000002</v>
      </c>
      <c r="AH11" s="102">
        <v>37720.464529999997</v>
      </c>
      <c r="AI11" s="102">
        <v>18897.408921999999</v>
      </c>
      <c r="AJ11" s="102">
        <v>76556.017999000003</v>
      </c>
      <c r="AK11" s="102">
        <v>57628.968258000001</v>
      </c>
      <c r="AL11" s="102">
        <v>38542.738503</v>
      </c>
      <c r="AM11" s="102">
        <v>19364.248638000001</v>
      </c>
    </row>
    <row r="12" spans="2:39" x14ac:dyDescent="0.3">
      <c r="B12" s="61" t="s">
        <v>1018</v>
      </c>
      <c r="C12" s="141" t="s">
        <v>1357</v>
      </c>
      <c r="D12" s="102">
        <f t="shared" si="0"/>
        <v>13789.835804999999</v>
      </c>
      <c r="E12" s="102">
        <f t="shared" si="0"/>
        <v>14644.635289000002</v>
      </c>
      <c r="F12" s="102">
        <f t="shared" si="0"/>
        <v>3613.721</v>
      </c>
      <c r="G12" s="155"/>
      <c r="H12" s="102">
        <f t="shared" si="3"/>
        <v>13789.835805000001</v>
      </c>
      <c r="I12" s="102">
        <f t="shared" si="1"/>
        <v>14644.635289</v>
      </c>
      <c r="J12" s="102">
        <f t="shared" si="2"/>
        <v>3613.7214720000002</v>
      </c>
      <c r="K12" s="683"/>
      <c r="M12" s="102"/>
      <c r="N12" s="102">
        <v>13789.835804999999</v>
      </c>
      <c r="O12" s="102">
        <v>10174.27737</v>
      </c>
      <c r="P12" s="102">
        <v>6722.9685530000006</v>
      </c>
      <c r="Q12" s="102">
        <v>3390.631797</v>
      </c>
      <c r="R12" s="102">
        <v>14644.635289000002</v>
      </c>
      <c r="S12" s="102">
        <v>11051.563536</v>
      </c>
      <c r="T12" s="102">
        <v>7380.6733819999999</v>
      </c>
      <c r="U12" s="102">
        <v>3682.265551</v>
      </c>
      <c r="V12" s="102">
        <v>14838.538294</v>
      </c>
      <c r="W12" s="102">
        <v>11138.139619000001</v>
      </c>
      <c r="X12" s="102">
        <v>7342.9589999999998</v>
      </c>
      <c r="Y12" s="102">
        <v>3613.721</v>
      </c>
      <c r="Z12" s="102"/>
      <c r="AA12" s="102"/>
      <c r="AB12" s="102">
        <v>13789.835805000001</v>
      </c>
      <c r="AC12" s="102">
        <v>10174.27737</v>
      </c>
      <c r="AD12" s="102">
        <v>6722.9685529999997</v>
      </c>
      <c r="AE12" s="102">
        <v>3390.631797</v>
      </c>
      <c r="AF12" s="102">
        <v>14644.635289</v>
      </c>
      <c r="AG12" s="102">
        <v>11051.563536</v>
      </c>
      <c r="AH12" s="102">
        <v>7380.6733819999999</v>
      </c>
      <c r="AI12" s="102">
        <v>3682.265551</v>
      </c>
      <c r="AJ12" s="102">
        <v>14838.538294</v>
      </c>
      <c r="AK12" s="102">
        <v>11138.139619</v>
      </c>
      <c r="AL12" s="102">
        <v>7342.958748</v>
      </c>
      <c r="AM12" s="102">
        <v>3613.7214720000002</v>
      </c>
    </row>
    <row r="13" spans="2:39" x14ac:dyDescent="0.3">
      <c r="B13" s="61" t="s">
        <v>1019</v>
      </c>
      <c r="C13" s="141" t="s">
        <v>1358</v>
      </c>
      <c r="D13" s="102">
        <f t="shared" si="0"/>
        <v>43952.026534000004</v>
      </c>
      <c r="E13" s="102">
        <f t="shared" si="0"/>
        <v>43274.229501999995</v>
      </c>
      <c r="F13" s="102">
        <f t="shared" si="0"/>
        <v>12030.01</v>
      </c>
      <c r="G13" s="155"/>
      <c r="H13" s="102">
        <f t="shared" si="3"/>
        <v>43952.026533999997</v>
      </c>
      <c r="I13" s="102">
        <f t="shared" si="1"/>
        <v>43274.229502000002</v>
      </c>
      <c r="J13" s="102">
        <f t="shared" si="2"/>
        <v>12030.010430999999</v>
      </c>
      <c r="K13" s="683"/>
      <c r="M13" s="102"/>
      <c r="N13" s="102">
        <v>43952.026534000004</v>
      </c>
      <c r="O13" s="102">
        <v>32656.071434000001</v>
      </c>
      <c r="P13" s="102">
        <v>21618.417641</v>
      </c>
      <c r="Q13" s="102">
        <v>10959.723776000001</v>
      </c>
      <c r="R13" s="102">
        <v>43274.229501999995</v>
      </c>
      <c r="S13" s="102">
        <v>32631.175500000001</v>
      </c>
      <c r="T13" s="102">
        <v>21970.390205</v>
      </c>
      <c r="U13" s="102">
        <v>11243.396378000001</v>
      </c>
      <c r="V13" s="102">
        <v>46001.997884999997</v>
      </c>
      <c r="W13" s="102">
        <v>35157.345746999999</v>
      </c>
      <c r="X13" s="102">
        <v>23608.887999999999</v>
      </c>
      <c r="Y13" s="102">
        <v>12030.01</v>
      </c>
      <c r="Z13" s="102"/>
      <c r="AA13" s="102"/>
      <c r="AB13" s="102">
        <v>43952.026533999997</v>
      </c>
      <c r="AC13" s="102">
        <v>32656.071434000001</v>
      </c>
      <c r="AD13" s="102">
        <v>21618.417641</v>
      </c>
      <c r="AE13" s="102">
        <v>10959.723776000001</v>
      </c>
      <c r="AF13" s="102">
        <v>43274.229502000002</v>
      </c>
      <c r="AG13" s="102">
        <v>32631.175500000001</v>
      </c>
      <c r="AH13" s="102">
        <v>21970.390205</v>
      </c>
      <c r="AI13" s="102">
        <v>11243.396377999999</v>
      </c>
      <c r="AJ13" s="102">
        <v>46001.997884999997</v>
      </c>
      <c r="AK13" s="102">
        <v>35157.345746999999</v>
      </c>
      <c r="AL13" s="102">
        <v>23608.888458000001</v>
      </c>
      <c r="AM13" s="102">
        <v>12030.010430999999</v>
      </c>
    </row>
    <row r="14" spans="2:39" x14ac:dyDescent="0.3">
      <c r="B14" s="61" t="s">
        <v>1020</v>
      </c>
      <c r="C14" s="141" t="s">
        <v>1359</v>
      </c>
      <c r="D14" s="102">
        <f t="shared" si="0"/>
        <v>205831.48376499998</v>
      </c>
      <c r="E14" s="102">
        <f t="shared" si="0"/>
        <v>197690.923954</v>
      </c>
      <c r="F14" s="102">
        <f t="shared" si="0"/>
        <v>52013.73</v>
      </c>
      <c r="G14" s="155"/>
      <c r="H14" s="102">
        <f t="shared" si="3"/>
        <v>205831.48376500001</v>
      </c>
      <c r="I14" s="102">
        <f t="shared" si="1"/>
        <v>197690.923954</v>
      </c>
      <c r="J14" s="102">
        <f t="shared" si="2"/>
        <v>52013.729759000002</v>
      </c>
      <c r="K14" s="683"/>
      <c r="M14" s="102"/>
      <c r="N14" s="102">
        <v>205831.48376499998</v>
      </c>
      <c r="O14" s="102">
        <v>153120.51645699999</v>
      </c>
      <c r="P14" s="102">
        <v>99207.397518000012</v>
      </c>
      <c r="Q14" s="102">
        <v>48372.703771</v>
      </c>
      <c r="R14" s="102">
        <v>197690.923954</v>
      </c>
      <c r="S14" s="102">
        <v>148712.81952399999</v>
      </c>
      <c r="T14" s="102">
        <v>100696.379902</v>
      </c>
      <c r="U14" s="102">
        <v>50759.097651000004</v>
      </c>
      <c r="V14" s="102">
        <v>197764.99396399999</v>
      </c>
      <c r="W14" s="102">
        <v>148366.24990299999</v>
      </c>
      <c r="X14" s="102">
        <v>102397.37</v>
      </c>
      <c r="Y14" s="102">
        <v>52013.73</v>
      </c>
      <c r="Z14" s="102"/>
      <c r="AA14" s="102"/>
      <c r="AB14" s="102">
        <v>205831.48376500001</v>
      </c>
      <c r="AC14" s="102">
        <v>153120.51645699999</v>
      </c>
      <c r="AD14" s="102">
        <v>99207.397517999998</v>
      </c>
      <c r="AE14" s="102">
        <v>48372.703771</v>
      </c>
      <c r="AF14" s="102">
        <v>197690.923954</v>
      </c>
      <c r="AG14" s="102">
        <v>148712.81952399999</v>
      </c>
      <c r="AH14" s="102">
        <v>100696.379902</v>
      </c>
      <c r="AI14" s="102">
        <v>50759.097650999996</v>
      </c>
      <c r="AJ14" s="102">
        <v>197764.99396399999</v>
      </c>
      <c r="AK14" s="102">
        <v>148366.24990299999</v>
      </c>
      <c r="AL14" s="102">
        <v>102397.37012399999</v>
      </c>
      <c r="AM14" s="102">
        <v>52013.729759000002</v>
      </c>
    </row>
    <row r="15" spans="2:39" x14ac:dyDescent="0.3">
      <c r="B15" s="61" t="s">
        <v>1021</v>
      </c>
      <c r="C15" s="141" t="s">
        <v>1360</v>
      </c>
      <c r="D15" s="102">
        <f t="shared" si="0"/>
        <v>218864.43749399998</v>
      </c>
      <c r="E15" s="102">
        <f t="shared" si="0"/>
        <v>179608.71614700003</v>
      </c>
      <c r="F15" s="102">
        <f t="shared" si="0"/>
        <v>39890.017999999996</v>
      </c>
      <c r="G15" s="155"/>
      <c r="H15" s="102">
        <f t="shared" si="3"/>
        <v>218864.43749400001</v>
      </c>
      <c r="I15" s="102">
        <f t="shared" si="1"/>
        <v>179608.716147</v>
      </c>
      <c r="J15" s="102">
        <f t="shared" si="2"/>
        <v>39890.018273000001</v>
      </c>
      <c r="K15" s="683"/>
      <c r="M15" s="102"/>
      <c r="N15" s="102">
        <v>218864.43749399998</v>
      </c>
      <c r="O15" s="102">
        <v>160067.34357</v>
      </c>
      <c r="P15" s="102">
        <v>105331.88718199999</v>
      </c>
      <c r="Q15" s="102">
        <v>52180.661306000002</v>
      </c>
      <c r="R15" s="102">
        <v>179608.71614700003</v>
      </c>
      <c r="S15" s="102">
        <v>131352.96064599999</v>
      </c>
      <c r="T15" s="102">
        <v>86056.490575000003</v>
      </c>
      <c r="U15" s="102">
        <v>42360.946976000007</v>
      </c>
      <c r="V15" s="102">
        <v>160395.19491800002</v>
      </c>
      <c r="W15" s="102">
        <v>119607.320343</v>
      </c>
      <c r="X15" s="102">
        <v>79616.216</v>
      </c>
      <c r="Y15" s="102">
        <v>39890.017999999996</v>
      </c>
      <c r="Z15" s="102"/>
      <c r="AA15" s="102"/>
      <c r="AB15" s="102">
        <v>218864.43749400001</v>
      </c>
      <c r="AC15" s="102">
        <v>160067.34357</v>
      </c>
      <c r="AD15" s="102">
        <v>105331.88718200001</v>
      </c>
      <c r="AE15" s="102">
        <v>52180.661306000002</v>
      </c>
      <c r="AF15" s="102">
        <v>179608.716147</v>
      </c>
      <c r="AG15" s="102">
        <v>131352.96064599999</v>
      </c>
      <c r="AH15" s="102">
        <v>86056.490575000003</v>
      </c>
      <c r="AI15" s="102">
        <v>42360.946975999999</v>
      </c>
      <c r="AJ15" s="102">
        <v>160395.19491799999</v>
      </c>
      <c r="AK15" s="102">
        <v>119607.320343</v>
      </c>
      <c r="AL15" s="102">
        <v>79616.215662000002</v>
      </c>
      <c r="AM15" s="102">
        <v>39890.018273000001</v>
      </c>
    </row>
    <row r="16" spans="2:39" x14ac:dyDescent="0.3">
      <c r="B16" s="61" t="s">
        <v>1022</v>
      </c>
      <c r="C16" s="141" t="s">
        <v>1381</v>
      </c>
      <c r="D16" s="102">
        <f t="shared" si="0"/>
        <v>-3809.8582420000002</v>
      </c>
      <c r="E16" s="102">
        <f t="shared" si="0"/>
        <v>-1728.2321010000001</v>
      </c>
      <c r="F16" s="102">
        <f t="shared" si="0"/>
        <v>-1294.961</v>
      </c>
      <c r="G16" s="155"/>
      <c r="H16" s="102">
        <f t="shared" si="3"/>
        <v>-3809.8582419999998</v>
      </c>
      <c r="I16" s="102">
        <f t="shared" si="1"/>
        <v>-1728.2321009999998</v>
      </c>
      <c r="J16" s="102">
        <f t="shared" si="2"/>
        <v>-1294.9608129999999</v>
      </c>
      <c r="K16" s="683"/>
      <c r="M16" s="102"/>
      <c r="N16" s="102">
        <v>-3809.8582420000002</v>
      </c>
      <c r="O16" s="102">
        <v>-2882.7002419999999</v>
      </c>
      <c r="P16" s="102">
        <v>-1746.4871440000002</v>
      </c>
      <c r="Q16" s="102">
        <v>-850.4330379999999</v>
      </c>
      <c r="R16" s="102">
        <v>-1728.2321010000001</v>
      </c>
      <c r="S16" s="102">
        <v>-1199.0990979999999</v>
      </c>
      <c r="T16" s="102">
        <v>-639.08146999999997</v>
      </c>
      <c r="U16" s="102">
        <v>-326.04019699999998</v>
      </c>
      <c r="V16" s="102">
        <v>-5023.2772379999997</v>
      </c>
      <c r="W16" s="102">
        <v>-3533.7361349999996</v>
      </c>
      <c r="X16" s="102">
        <v>-2477.6379999999999</v>
      </c>
      <c r="Y16" s="102">
        <v>-1294.961</v>
      </c>
      <c r="Z16" s="102"/>
      <c r="AA16" s="102"/>
      <c r="AB16" s="102">
        <v>-3809.8582419999998</v>
      </c>
      <c r="AC16" s="102">
        <v>-2882.7002419999999</v>
      </c>
      <c r="AD16" s="102">
        <v>-1746.4871439999999</v>
      </c>
      <c r="AE16" s="102">
        <v>-850.43303800000001</v>
      </c>
      <c r="AF16" s="102">
        <v>-1728.2321009999998</v>
      </c>
      <c r="AG16" s="102">
        <v>-1199.0990979999999</v>
      </c>
      <c r="AH16" s="102">
        <v>-639.08146999999997</v>
      </c>
      <c r="AI16" s="102">
        <v>-326.04019699999998</v>
      </c>
      <c r="AJ16" s="102">
        <v>-5023.2772379999997</v>
      </c>
      <c r="AK16" s="102">
        <v>-3533.7361350000001</v>
      </c>
      <c r="AL16" s="102">
        <v>-2477.6384640000001</v>
      </c>
      <c r="AM16" s="102">
        <v>-1294.9608129999999</v>
      </c>
    </row>
    <row r="17" spans="2:39" x14ac:dyDescent="0.3">
      <c r="B17" s="61" t="s">
        <v>1023</v>
      </c>
      <c r="C17" s="141" t="s">
        <v>1362</v>
      </c>
      <c r="D17" s="102">
        <f t="shared" si="0"/>
        <v>-3731.3059240000002</v>
      </c>
      <c r="E17" s="102">
        <f t="shared" si="0"/>
        <v>-1679.5560130000001</v>
      </c>
      <c r="F17" s="102">
        <f t="shared" si="0"/>
        <v>-1270.3699999999999</v>
      </c>
      <c r="G17" s="155"/>
      <c r="H17" s="102">
        <f t="shared" si="3"/>
        <v>-3731.3059239999998</v>
      </c>
      <c r="I17" s="102">
        <f t="shared" si="1"/>
        <v>-1679.5560129999999</v>
      </c>
      <c r="J17" s="102">
        <f t="shared" si="2"/>
        <v>-1270.36978</v>
      </c>
      <c r="K17" s="683"/>
      <c r="M17" s="102"/>
      <c r="N17" s="102">
        <v>-3731.3059240000002</v>
      </c>
      <c r="O17" s="102">
        <v>-2824.9610259999999</v>
      </c>
      <c r="P17" s="102">
        <v>-1709.4743970000002</v>
      </c>
      <c r="Q17" s="102">
        <v>-833.17795599999999</v>
      </c>
      <c r="R17" s="102">
        <v>-1679.5560130000001</v>
      </c>
      <c r="S17" s="102">
        <v>-1163.351062</v>
      </c>
      <c r="T17" s="102">
        <v>-615.79628000000002</v>
      </c>
      <c r="U17" s="102">
        <v>-314.563289</v>
      </c>
      <c r="V17" s="102">
        <v>-4931.8143639999998</v>
      </c>
      <c r="W17" s="102">
        <v>-3460.2856019999999</v>
      </c>
      <c r="X17" s="102">
        <v>-2427.848</v>
      </c>
      <c r="Y17" s="102">
        <v>-1270.3699999999999</v>
      </c>
      <c r="Z17" s="102"/>
      <c r="AA17" s="102"/>
      <c r="AB17" s="102">
        <v>-3731.3059239999998</v>
      </c>
      <c r="AC17" s="102">
        <v>-2824.9610259999999</v>
      </c>
      <c r="AD17" s="102">
        <v>-1709.474397</v>
      </c>
      <c r="AE17" s="102">
        <v>-833.17795599999999</v>
      </c>
      <c r="AF17" s="102">
        <v>-1679.5560129999999</v>
      </c>
      <c r="AG17" s="102">
        <v>-1163.351062</v>
      </c>
      <c r="AH17" s="102">
        <v>-615.79628000000002</v>
      </c>
      <c r="AI17" s="102">
        <v>-314.563289</v>
      </c>
      <c r="AJ17" s="102">
        <v>-4931.8143639999998</v>
      </c>
      <c r="AK17" s="102">
        <v>-3460.2856019999999</v>
      </c>
      <c r="AL17" s="102">
        <v>-2427.8482899999999</v>
      </c>
      <c r="AM17" s="102">
        <v>-1270.36978</v>
      </c>
    </row>
    <row r="18" spans="2:39" x14ac:dyDescent="0.3">
      <c r="B18" s="61" t="s">
        <v>1024</v>
      </c>
      <c r="C18" s="141" t="s">
        <v>1363</v>
      </c>
      <c r="D18" s="102">
        <f t="shared" si="0"/>
        <v>-78.552318</v>
      </c>
      <c r="E18" s="102">
        <f t="shared" si="0"/>
        <v>-48.676088</v>
      </c>
      <c r="F18" s="102">
        <f t="shared" si="0"/>
        <v>-24.591000000000001</v>
      </c>
      <c r="G18" s="155"/>
      <c r="H18" s="102">
        <f t="shared" si="3"/>
        <v>-78.552318</v>
      </c>
      <c r="I18" s="102">
        <f t="shared" si="1"/>
        <v>-48.676088</v>
      </c>
      <c r="J18" s="102">
        <f t="shared" si="2"/>
        <v>-24.591032999999999</v>
      </c>
      <c r="K18" s="683"/>
      <c r="M18" s="102"/>
      <c r="N18" s="102">
        <v>-78.552318</v>
      </c>
      <c r="O18" s="102">
        <v>-57.739215999999999</v>
      </c>
      <c r="P18" s="102">
        <v>-37.012747000000005</v>
      </c>
      <c r="Q18" s="102">
        <v>-17.255081999999998</v>
      </c>
      <c r="R18" s="102">
        <v>-48.676088</v>
      </c>
      <c r="S18" s="102">
        <v>-35.748035999999999</v>
      </c>
      <c r="T18" s="102">
        <v>-23.28519</v>
      </c>
      <c r="U18" s="102">
        <v>-11.476908</v>
      </c>
      <c r="V18" s="102">
        <v>-91.462873999999999</v>
      </c>
      <c r="W18" s="102">
        <v>-73.450532999999993</v>
      </c>
      <c r="X18" s="102">
        <v>-49.79</v>
      </c>
      <c r="Y18" s="102">
        <v>-24.591000000000001</v>
      </c>
      <c r="Z18" s="102"/>
      <c r="AA18" s="102"/>
      <c r="AB18" s="102">
        <v>-78.552318</v>
      </c>
      <c r="AC18" s="102">
        <v>-57.739215999999999</v>
      </c>
      <c r="AD18" s="102">
        <v>-37.012746999999997</v>
      </c>
      <c r="AE18" s="102">
        <v>-17.255082000000002</v>
      </c>
      <c r="AF18" s="102">
        <v>-48.676088</v>
      </c>
      <c r="AG18" s="102">
        <v>-35.748035999999999</v>
      </c>
      <c r="AH18" s="102">
        <v>-23.28519</v>
      </c>
      <c r="AI18" s="102">
        <v>-11.476908</v>
      </c>
      <c r="AJ18" s="102">
        <v>-91.462873999999999</v>
      </c>
      <c r="AK18" s="102">
        <v>-73.450532999999993</v>
      </c>
      <c r="AL18" s="102">
        <v>-49.790174</v>
      </c>
      <c r="AM18" s="102">
        <v>-24.591032999999999</v>
      </c>
    </row>
    <row r="19" spans="2:39" x14ac:dyDescent="0.3">
      <c r="B19" s="61" t="s">
        <v>1025</v>
      </c>
      <c r="C19" s="141" t="s">
        <v>1364</v>
      </c>
      <c r="D19" s="102">
        <f t="shared" si="0"/>
        <v>26872.214958999997</v>
      </c>
      <c r="E19" s="102">
        <f t="shared" si="0"/>
        <v>2056.4751259999998</v>
      </c>
      <c r="F19" s="102">
        <f t="shared" si="0"/>
        <v>-8173.04</v>
      </c>
      <c r="G19" s="155"/>
      <c r="H19" s="102">
        <f t="shared" si="3"/>
        <v>26872.214959000001</v>
      </c>
      <c r="I19" s="102">
        <f t="shared" si="1"/>
        <v>2056.4751259999998</v>
      </c>
      <c r="J19" s="102">
        <f t="shared" si="2"/>
        <v>-8173.0399829999997</v>
      </c>
      <c r="K19" s="683"/>
      <c r="M19" s="102"/>
      <c r="N19" s="102">
        <v>26872.214958999997</v>
      </c>
      <c r="O19" s="102">
        <v>17514.372201999999</v>
      </c>
      <c r="P19" s="102">
        <v>10684.62132</v>
      </c>
      <c r="Q19" s="102">
        <v>6340.9414179999994</v>
      </c>
      <c r="R19" s="102">
        <v>2056.4751259999998</v>
      </c>
      <c r="S19" s="102">
        <v>1970.196422</v>
      </c>
      <c r="T19" s="102">
        <v>-1115.452759</v>
      </c>
      <c r="U19" s="102">
        <v>-1343.6757579999999</v>
      </c>
      <c r="V19" s="102">
        <v>-27922.503820999998</v>
      </c>
      <c r="W19" s="102">
        <v>-20433.393657000001</v>
      </c>
      <c r="X19" s="102">
        <v>-16614.09</v>
      </c>
      <c r="Y19" s="102">
        <v>-8173.04</v>
      </c>
      <c r="Z19" s="102"/>
      <c r="AA19" s="102"/>
      <c r="AB19" s="102">
        <v>26872.214959000001</v>
      </c>
      <c r="AC19" s="102">
        <v>17514.372202000002</v>
      </c>
      <c r="AD19" s="102">
        <v>10684.621319999998</v>
      </c>
      <c r="AE19" s="102">
        <v>6340.9414180000003</v>
      </c>
      <c r="AF19" s="102">
        <v>2056.4751259999998</v>
      </c>
      <c r="AG19" s="102">
        <v>1970.196422</v>
      </c>
      <c r="AH19" s="102">
        <v>-1115.452759</v>
      </c>
      <c r="AI19" s="102">
        <v>-1343.6757580000001</v>
      </c>
      <c r="AJ19" s="102">
        <v>-27922.503820999998</v>
      </c>
      <c r="AK19" s="102">
        <v>-20433.393657000001</v>
      </c>
      <c r="AL19" s="102">
        <v>-16614.090355</v>
      </c>
      <c r="AM19" s="102">
        <v>-8173.0399829999997</v>
      </c>
    </row>
    <row r="20" spans="2:39" x14ac:dyDescent="0.3">
      <c r="B20" s="61" t="s">
        <v>1026</v>
      </c>
      <c r="C20" s="141" t="s">
        <v>1365</v>
      </c>
      <c r="D20" s="102">
        <f t="shared" si="0"/>
        <v>27405.046834000001</v>
      </c>
      <c r="E20" s="102">
        <f t="shared" si="0"/>
        <v>2289.238625</v>
      </c>
      <c r="F20" s="102">
        <f t="shared" si="0"/>
        <v>-8164.5730000000003</v>
      </c>
      <c r="G20" s="155"/>
      <c r="H20" s="102">
        <f t="shared" si="3"/>
        <v>27405.046834000001</v>
      </c>
      <c r="I20" s="102">
        <f t="shared" si="1"/>
        <v>2289.238625</v>
      </c>
      <c r="J20" s="102">
        <f t="shared" si="2"/>
        <v>-8164.5734599999996</v>
      </c>
      <c r="K20" s="683"/>
      <c r="M20" s="102"/>
      <c r="N20" s="102">
        <v>27405.046834000001</v>
      </c>
      <c r="O20" s="102">
        <v>18060.854283000001</v>
      </c>
      <c r="P20" s="102">
        <v>11147.232303999999</v>
      </c>
      <c r="Q20" s="102">
        <v>6454.5651679999992</v>
      </c>
      <c r="R20" s="102">
        <v>2289.238625</v>
      </c>
      <c r="S20" s="102">
        <v>2111.7974079999999</v>
      </c>
      <c r="T20" s="102">
        <v>-1025.754811</v>
      </c>
      <c r="U20" s="102">
        <v>-1286.5641370000001</v>
      </c>
      <c r="V20" s="102">
        <v>-27846.285419</v>
      </c>
      <c r="W20" s="102">
        <v>-20408.553839</v>
      </c>
      <c r="X20" s="102">
        <v>-16596.642</v>
      </c>
      <c r="Y20" s="102">
        <v>-8164.5730000000003</v>
      </c>
      <c r="Z20" s="102"/>
      <c r="AA20" s="102"/>
      <c r="AB20" s="102">
        <v>27405.046834000001</v>
      </c>
      <c r="AC20" s="102">
        <v>18060.854283000001</v>
      </c>
      <c r="AD20" s="102">
        <v>11147.232303999999</v>
      </c>
      <c r="AE20" s="102">
        <v>6454.5651680000001</v>
      </c>
      <c r="AF20" s="102">
        <v>2289.238625</v>
      </c>
      <c r="AG20" s="102">
        <v>2111.7974079999999</v>
      </c>
      <c r="AH20" s="102">
        <v>-1025.754811</v>
      </c>
      <c r="AI20" s="102">
        <v>-1286.5641370000001</v>
      </c>
      <c r="AJ20" s="102">
        <v>-27846.285419</v>
      </c>
      <c r="AK20" s="102">
        <v>-20408.553839</v>
      </c>
      <c r="AL20" s="102">
        <v>-16596.641898000002</v>
      </c>
      <c r="AM20" s="102">
        <v>-8164.5734599999996</v>
      </c>
    </row>
    <row r="21" spans="2:39" x14ac:dyDescent="0.3">
      <c r="B21" s="61" t="s">
        <v>1027</v>
      </c>
      <c r="C21" s="141" t="s">
        <v>1366</v>
      </c>
      <c r="D21" s="102">
        <f t="shared" si="0"/>
        <v>-532.83187499999997</v>
      </c>
      <c r="E21" s="102">
        <f t="shared" si="0"/>
        <v>-232.76349900000002</v>
      </c>
      <c r="F21" s="102">
        <f t="shared" si="0"/>
        <v>-8.4670000000000005</v>
      </c>
      <c r="G21" s="155"/>
      <c r="H21" s="102">
        <f t="shared" si="3"/>
        <v>-532.83187499999997</v>
      </c>
      <c r="I21" s="102">
        <f t="shared" si="1"/>
        <v>-232.763499</v>
      </c>
      <c r="J21" s="102">
        <f t="shared" si="2"/>
        <v>-8.4665229999999987</v>
      </c>
      <c r="K21" s="683"/>
      <c r="M21" s="102"/>
      <c r="N21" s="102">
        <v>-532.83187499999997</v>
      </c>
      <c r="O21" s="102">
        <v>-546.48208099999999</v>
      </c>
      <c r="P21" s="102">
        <v>-462.61098399999997</v>
      </c>
      <c r="Q21" s="102">
        <v>-113.62375</v>
      </c>
      <c r="R21" s="102">
        <v>-232.76349900000002</v>
      </c>
      <c r="S21" s="102">
        <v>-141.60098600000001</v>
      </c>
      <c r="T21" s="102">
        <v>-89.697948000000011</v>
      </c>
      <c r="U21" s="102">
        <v>-57.111621</v>
      </c>
      <c r="V21" s="102">
        <v>-76.218401999999998</v>
      </c>
      <c r="W21" s="102">
        <v>-24.839818000000001</v>
      </c>
      <c r="X21" s="102">
        <v>-17.448</v>
      </c>
      <c r="Y21" s="102">
        <v>-8.4670000000000005</v>
      </c>
      <c r="Z21" s="102"/>
      <c r="AA21" s="102"/>
      <c r="AB21" s="102">
        <v>-532.83187499999997</v>
      </c>
      <c r="AC21" s="102">
        <v>-546.48208099999999</v>
      </c>
      <c r="AD21" s="102">
        <v>-462.61098399999997</v>
      </c>
      <c r="AE21" s="102">
        <v>-113.62375</v>
      </c>
      <c r="AF21" s="102">
        <v>-232.763499</v>
      </c>
      <c r="AG21" s="102">
        <v>-141.60098600000001</v>
      </c>
      <c r="AH21" s="102">
        <v>-89.697947999999997</v>
      </c>
      <c r="AI21" s="102">
        <v>-57.111621</v>
      </c>
      <c r="AJ21" s="102">
        <v>-76.218401999999998</v>
      </c>
      <c r="AK21" s="102">
        <v>-24.839818000000001</v>
      </c>
      <c r="AL21" s="102">
        <v>-17.448457000000001</v>
      </c>
      <c r="AM21" s="102">
        <v>-8.4665229999999987</v>
      </c>
    </row>
    <row r="22" spans="2:39" x14ac:dyDescent="0.3">
      <c r="B22" s="61" t="s">
        <v>1028</v>
      </c>
      <c r="C22" s="141" t="s">
        <v>1367</v>
      </c>
      <c r="D22" s="102" t="str">
        <f t="shared" si="0"/>
        <v/>
      </c>
      <c r="E22" s="102" t="str">
        <f t="shared" si="0"/>
        <v/>
      </c>
      <c r="F22" s="102" t="str">
        <f t="shared" si="0"/>
        <v/>
      </c>
      <c r="G22" s="155"/>
      <c r="H22" s="102" t="str">
        <f t="shared" si="3"/>
        <v/>
      </c>
      <c r="I22" s="102" t="str">
        <f t="shared" si="1"/>
        <v/>
      </c>
      <c r="J22" s="102" t="str">
        <f t="shared" si="2"/>
        <v/>
      </c>
      <c r="K22" s="683"/>
      <c r="M22" s="102"/>
      <c r="N22" s="102">
        <v>0</v>
      </c>
      <c r="O22" s="102">
        <v>0</v>
      </c>
      <c r="P22" s="102">
        <v>0</v>
      </c>
      <c r="Q22" s="102">
        <v>0</v>
      </c>
      <c r="R22" s="102">
        <v>0</v>
      </c>
      <c r="S22" s="102">
        <v>0</v>
      </c>
      <c r="T22" s="102">
        <v>0</v>
      </c>
      <c r="U22" s="102">
        <v>0</v>
      </c>
      <c r="V22" s="102">
        <v>0</v>
      </c>
      <c r="W22" s="102">
        <v>0</v>
      </c>
      <c r="X22" s="102">
        <v>0</v>
      </c>
      <c r="Y22" s="102">
        <v>0</v>
      </c>
      <c r="Z22" s="102"/>
      <c r="AA22" s="102"/>
      <c r="AB22" s="102">
        <v>0</v>
      </c>
      <c r="AC22" s="102">
        <v>0</v>
      </c>
      <c r="AD22" s="102">
        <v>0</v>
      </c>
      <c r="AE22" s="102">
        <v>0</v>
      </c>
      <c r="AF22" s="102">
        <v>0</v>
      </c>
      <c r="AG22" s="102">
        <v>0</v>
      </c>
      <c r="AH22" s="102">
        <v>0</v>
      </c>
      <c r="AI22" s="102">
        <v>0</v>
      </c>
      <c r="AJ22" s="102">
        <v>0</v>
      </c>
      <c r="AK22" s="102">
        <v>0</v>
      </c>
      <c r="AL22" s="102">
        <v>0</v>
      </c>
      <c r="AM22" s="102">
        <v>0</v>
      </c>
    </row>
    <row r="23" spans="2:39" x14ac:dyDescent="0.3">
      <c r="B23" s="61" t="s">
        <v>1029</v>
      </c>
      <c r="C23" s="141" t="s">
        <v>1368</v>
      </c>
      <c r="D23" s="102" t="str">
        <f t="shared" si="0"/>
        <v/>
      </c>
      <c r="E23" s="102" t="str">
        <f t="shared" si="0"/>
        <v/>
      </c>
      <c r="F23" s="102" t="str">
        <f t="shared" si="0"/>
        <v/>
      </c>
      <c r="G23" s="155"/>
      <c r="H23" s="102" t="str">
        <f t="shared" si="3"/>
        <v/>
      </c>
      <c r="I23" s="102" t="str">
        <f t="shared" si="1"/>
        <v/>
      </c>
      <c r="J23" s="102" t="str">
        <f t="shared" si="2"/>
        <v/>
      </c>
      <c r="K23" s="683"/>
      <c r="M23" s="102"/>
      <c r="N23" s="102">
        <v>0</v>
      </c>
      <c r="O23" s="102">
        <v>0</v>
      </c>
      <c r="P23" s="102">
        <v>0</v>
      </c>
      <c r="Q23" s="102">
        <v>0</v>
      </c>
      <c r="R23" s="102">
        <v>0</v>
      </c>
      <c r="S23" s="102">
        <v>0</v>
      </c>
      <c r="T23" s="102">
        <v>0</v>
      </c>
      <c r="U23" s="102">
        <v>0</v>
      </c>
      <c r="V23" s="102">
        <v>0</v>
      </c>
      <c r="W23" s="102">
        <v>0</v>
      </c>
      <c r="X23" s="102">
        <v>0</v>
      </c>
      <c r="Y23" s="102">
        <v>0</v>
      </c>
      <c r="Z23" s="102"/>
      <c r="AA23" s="102"/>
      <c r="AB23" s="102">
        <v>0</v>
      </c>
      <c r="AC23" s="102">
        <v>0</v>
      </c>
      <c r="AD23" s="102">
        <v>0</v>
      </c>
      <c r="AE23" s="102">
        <v>0</v>
      </c>
      <c r="AF23" s="102">
        <v>0</v>
      </c>
      <c r="AG23" s="102">
        <v>0</v>
      </c>
      <c r="AH23" s="102">
        <v>0</v>
      </c>
      <c r="AI23" s="102">
        <v>0</v>
      </c>
      <c r="AJ23" s="102">
        <v>0</v>
      </c>
      <c r="AK23" s="102">
        <v>0</v>
      </c>
      <c r="AL23" s="102">
        <v>0</v>
      </c>
      <c r="AM23" s="102">
        <v>0</v>
      </c>
    </row>
    <row r="24" spans="2:39" x14ac:dyDescent="0.3">
      <c r="B24" s="61" t="s">
        <v>1030</v>
      </c>
      <c r="C24" s="141" t="s">
        <v>1369</v>
      </c>
      <c r="D24" s="102">
        <f t="shared" si="0"/>
        <v>897786.18423500005</v>
      </c>
      <c r="E24" s="102">
        <f t="shared" si="0"/>
        <v>779359.90332399996</v>
      </c>
      <c r="F24" s="102">
        <f t="shared" si="0"/>
        <v>164813.565</v>
      </c>
      <c r="G24" s="155"/>
      <c r="H24" s="102">
        <f t="shared" si="3"/>
        <v>897786.18423500005</v>
      </c>
      <c r="I24" s="102">
        <f t="shared" si="1"/>
        <v>779359.90332400007</v>
      </c>
      <c r="J24" s="102">
        <f t="shared" si="2"/>
        <v>164813.56485999998</v>
      </c>
      <c r="K24" s="683"/>
      <c r="M24" s="102"/>
      <c r="N24" s="102">
        <v>897786.18423500005</v>
      </c>
      <c r="O24" s="102">
        <v>627357.01168400003</v>
      </c>
      <c r="P24" s="102">
        <v>402130.398835</v>
      </c>
      <c r="Q24" s="102">
        <v>201207.14237799999</v>
      </c>
      <c r="R24" s="102">
        <v>779359.90332399996</v>
      </c>
      <c r="S24" s="102">
        <v>574948.52925999998</v>
      </c>
      <c r="T24" s="102">
        <v>378732.89801399998</v>
      </c>
      <c r="U24" s="102">
        <v>200994.349506</v>
      </c>
      <c r="V24" s="102">
        <v>659299.33354400005</v>
      </c>
      <c r="W24" s="102">
        <v>515343.962849</v>
      </c>
      <c r="X24" s="102">
        <v>330607.99300000002</v>
      </c>
      <c r="Y24" s="102">
        <v>164813.565</v>
      </c>
      <c r="Z24" s="102"/>
      <c r="AA24" s="102"/>
      <c r="AB24" s="102">
        <v>897786.18423500005</v>
      </c>
      <c r="AC24" s="102">
        <v>627357.01168399991</v>
      </c>
      <c r="AD24" s="102">
        <v>402130.398835</v>
      </c>
      <c r="AE24" s="102">
        <v>201207.14237799999</v>
      </c>
      <c r="AF24" s="102">
        <v>779359.90332400007</v>
      </c>
      <c r="AG24" s="102">
        <v>574948.52925999998</v>
      </c>
      <c r="AH24" s="102">
        <v>378732.89801399998</v>
      </c>
      <c r="AI24" s="102">
        <v>200994.349506</v>
      </c>
      <c r="AJ24" s="102">
        <v>659299.33354400005</v>
      </c>
      <c r="AK24" s="102">
        <v>515343.962849</v>
      </c>
      <c r="AL24" s="102">
        <v>330607.99335</v>
      </c>
      <c r="AM24" s="102">
        <v>164813.56485999998</v>
      </c>
    </row>
    <row r="25" spans="2:39" x14ac:dyDescent="0.3">
      <c r="B25" s="61" t="s">
        <v>1031</v>
      </c>
      <c r="C25" s="141" t="s">
        <v>1370</v>
      </c>
      <c r="D25" s="102">
        <f t="shared" si="0"/>
        <v>897786.18423500005</v>
      </c>
      <c r="E25" s="102">
        <f t="shared" si="0"/>
        <v>779359.90332399996</v>
      </c>
      <c r="F25" s="102">
        <f t="shared" si="0"/>
        <v>164813.565</v>
      </c>
      <c r="G25" s="155"/>
      <c r="H25" s="102">
        <f t="shared" si="3"/>
        <v>897786.18423500005</v>
      </c>
      <c r="I25" s="102">
        <f t="shared" si="1"/>
        <v>779359.90332400007</v>
      </c>
      <c r="J25" s="102">
        <f t="shared" si="2"/>
        <v>164813.56485999998</v>
      </c>
      <c r="K25" s="683"/>
      <c r="M25" s="102"/>
      <c r="N25" s="102">
        <v>897786.18423500005</v>
      </c>
      <c r="O25" s="102">
        <v>627357.01168400003</v>
      </c>
      <c r="P25" s="102">
        <v>402130.398835</v>
      </c>
      <c r="Q25" s="102">
        <v>201207.14237799999</v>
      </c>
      <c r="R25" s="102">
        <v>779359.90332399996</v>
      </c>
      <c r="S25" s="102">
        <v>574948.52925999998</v>
      </c>
      <c r="T25" s="102">
        <v>378732.89801399998</v>
      </c>
      <c r="U25" s="102">
        <v>200994.349506</v>
      </c>
      <c r="V25" s="102">
        <v>659299.33354400005</v>
      </c>
      <c r="W25" s="102">
        <v>515343.962849</v>
      </c>
      <c r="X25" s="102">
        <v>330607.99300000002</v>
      </c>
      <c r="Y25" s="102">
        <v>164813.565</v>
      </c>
      <c r="Z25" s="102"/>
      <c r="AA25" s="102"/>
      <c r="AB25" s="102">
        <v>897786.18423500005</v>
      </c>
      <c r="AC25" s="102">
        <v>627357.01168399991</v>
      </c>
      <c r="AD25" s="102">
        <v>402130.398835</v>
      </c>
      <c r="AE25" s="102">
        <v>201207.14237799999</v>
      </c>
      <c r="AF25" s="102">
        <v>779359.90332400007</v>
      </c>
      <c r="AG25" s="102">
        <v>574948.52925999998</v>
      </c>
      <c r="AH25" s="102">
        <v>378732.89801399998</v>
      </c>
      <c r="AI25" s="102">
        <v>200994.349506</v>
      </c>
      <c r="AJ25" s="102">
        <v>659299.33354400005</v>
      </c>
      <c r="AK25" s="102">
        <v>515343.962849</v>
      </c>
      <c r="AL25" s="102">
        <v>330607.99335</v>
      </c>
      <c r="AM25" s="102">
        <v>164813.56485999998</v>
      </c>
    </row>
    <row r="26" spans="2:39" x14ac:dyDescent="0.3">
      <c r="B26" s="61" t="s">
        <v>1032</v>
      </c>
      <c r="C26" s="141" t="s">
        <v>1371</v>
      </c>
      <c r="D26" s="102">
        <f t="shared" ref="D26:F45" si="4">IF(HLOOKUP(D$5,$M$5:$Y$319,ROW()-ROW($F$4),FALSE)=0,"",HLOOKUP(D$5,$M$5:$Y$319,ROW()-ROW($F$4),FALSE))</f>
        <v>495101.47676700004</v>
      </c>
      <c r="E26" s="102">
        <f t="shared" si="4"/>
        <v>450175.17664600001</v>
      </c>
      <c r="F26" s="102">
        <f t="shared" si="4"/>
        <v>105883.099</v>
      </c>
      <c r="G26" s="155"/>
      <c r="H26" s="102">
        <f t="shared" si="3"/>
        <v>495101.47676699999</v>
      </c>
      <c r="I26" s="102">
        <f t="shared" si="1"/>
        <v>450175.17664600001</v>
      </c>
      <c r="J26" s="102">
        <f t="shared" ref="J26:J45" si="5">IF(HLOOKUP(J$5,$AA$5:$AM$315,ROW()-ROW($J$4),FALSE)=0,"",HLOOKUP(J$5,$AA$5:$AM$315,ROW()-ROW($J$4),FALSE))</f>
        <v>105883.099156</v>
      </c>
      <c r="K26" s="683"/>
      <c r="M26" s="102"/>
      <c r="N26" s="102">
        <v>495101.47676700004</v>
      </c>
      <c r="O26" s="102">
        <v>361602.372194</v>
      </c>
      <c r="P26" s="102">
        <v>228890.12052200001</v>
      </c>
      <c r="Q26" s="102">
        <v>112718.77901899999</v>
      </c>
      <c r="R26" s="102">
        <v>450175.17664600001</v>
      </c>
      <c r="S26" s="102">
        <v>334224.07762499998</v>
      </c>
      <c r="T26" s="102">
        <v>219393.059782</v>
      </c>
      <c r="U26" s="102">
        <v>110036.902401</v>
      </c>
      <c r="V26" s="102">
        <v>429116.04531099997</v>
      </c>
      <c r="W26" s="102">
        <v>317636.08458600001</v>
      </c>
      <c r="X26" s="102">
        <v>206654.139</v>
      </c>
      <c r="Y26" s="102">
        <v>105883.099</v>
      </c>
      <c r="Z26" s="102"/>
      <c r="AA26" s="102"/>
      <c r="AB26" s="102">
        <v>495101.47676699999</v>
      </c>
      <c r="AC26" s="102">
        <v>361602.372194</v>
      </c>
      <c r="AD26" s="102">
        <v>228890.12052200001</v>
      </c>
      <c r="AE26" s="102">
        <v>112718.77901899999</v>
      </c>
      <c r="AF26" s="102">
        <v>450175.17664600001</v>
      </c>
      <c r="AG26" s="102">
        <v>334224.07762499998</v>
      </c>
      <c r="AH26" s="102">
        <v>219393.059782</v>
      </c>
      <c r="AI26" s="102">
        <v>110036.902401</v>
      </c>
      <c r="AJ26" s="102">
        <v>429116.04531099997</v>
      </c>
      <c r="AK26" s="102">
        <v>317636.08458600001</v>
      </c>
      <c r="AL26" s="102">
        <v>206654.13850999999</v>
      </c>
      <c r="AM26" s="102">
        <v>105883.099156</v>
      </c>
    </row>
    <row r="27" spans="2:39" x14ac:dyDescent="0.3">
      <c r="B27" s="61" t="s">
        <v>1033</v>
      </c>
      <c r="C27" s="141" t="s">
        <v>1372</v>
      </c>
      <c r="D27" s="102">
        <f t="shared" si="4"/>
        <v>488765.23517</v>
      </c>
      <c r="E27" s="102">
        <f t="shared" si="4"/>
        <v>443165.925843</v>
      </c>
      <c r="F27" s="102">
        <f t="shared" si="4"/>
        <v>103965.474</v>
      </c>
      <c r="G27" s="155"/>
      <c r="H27" s="102">
        <f t="shared" si="3"/>
        <v>488765.23517</v>
      </c>
      <c r="I27" s="102">
        <f t="shared" si="1"/>
        <v>443165.925843</v>
      </c>
      <c r="J27" s="102">
        <f t="shared" si="5"/>
        <v>103965.47365199999</v>
      </c>
      <c r="K27" s="683"/>
      <c r="M27" s="102"/>
      <c r="N27" s="102">
        <v>488765.23517</v>
      </c>
      <c r="O27" s="102">
        <v>356649.86323400005</v>
      </c>
      <c r="P27" s="102">
        <v>225688.21875099998</v>
      </c>
      <c r="Q27" s="102">
        <v>111136.261839</v>
      </c>
      <c r="R27" s="102">
        <v>443165.925843</v>
      </c>
      <c r="S27" s="102">
        <v>328621.779889</v>
      </c>
      <c r="T27" s="102">
        <v>215586.06289500001</v>
      </c>
      <c r="U27" s="102">
        <v>107805.89090299999</v>
      </c>
      <c r="V27" s="102">
        <v>420408.22704900004</v>
      </c>
      <c r="W27" s="102">
        <v>311247.607838</v>
      </c>
      <c r="X27" s="102">
        <v>202954.603</v>
      </c>
      <c r="Y27" s="102">
        <v>103965.474</v>
      </c>
      <c r="Z27" s="102"/>
      <c r="AA27" s="102"/>
      <c r="AB27" s="102">
        <v>488765.23517</v>
      </c>
      <c r="AC27" s="102">
        <v>356649.86323399999</v>
      </c>
      <c r="AD27" s="102">
        <v>225688.21875100001</v>
      </c>
      <c r="AE27" s="102">
        <v>111136.261839</v>
      </c>
      <c r="AF27" s="102">
        <v>443165.925843</v>
      </c>
      <c r="AG27" s="102">
        <v>328621.779889</v>
      </c>
      <c r="AH27" s="102">
        <v>215586.06289500001</v>
      </c>
      <c r="AI27" s="102">
        <v>107805.89090300001</v>
      </c>
      <c r="AJ27" s="102">
        <v>420408.22704899998</v>
      </c>
      <c r="AK27" s="102">
        <v>311247.607838</v>
      </c>
      <c r="AL27" s="102">
        <v>202954.60269299999</v>
      </c>
      <c r="AM27" s="102">
        <v>103965.47365199999</v>
      </c>
    </row>
    <row r="28" spans="2:39" x14ac:dyDescent="0.3">
      <c r="B28" s="61" t="s">
        <v>1034</v>
      </c>
      <c r="C28" s="141" t="s">
        <v>1373</v>
      </c>
      <c r="D28" s="102">
        <f t="shared" si="4"/>
        <v>6336.2415970000002</v>
      </c>
      <c r="E28" s="102">
        <f t="shared" si="4"/>
        <v>7009.2508029999999</v>
      </c>
      <c r="F28" s="102">
        <f t="shared" si="4"/>
        <v>1917.626</v>
      </c>
      <c r="G28" s="155"/>
      <c r="H28" s="102">
        <f t="shared" si="3"/>
        <v>6336.2415970000002</v>
      </c>
      <c r="I28" s="102">
        <f t="shared" si="1"/>
        <v>7009.2508029999999</v>
      </c>
      <c r="J28" s="102">
        <f t="shared" si="5"/>
        <v>1917.6255040000001</v>
      </c>
      <c r="K28" s="683"/>
      <c r="M28" s="102"/>
      <c r="N28" s="102">
        <v>6336.2415970000002</v>
      </c>
      <c r="O28" s="102">
        <v>4952.5089600000001</v>
      </c>
      <c r="P28" s="102">
        <v>3201.9017710000003</v>
      </c>
      <c r="Q28" s="102">
        <v>1582.5171799999998</v>
      </c>
      <c r="R28" s="102">
        <v>7009.2508029999999</v>
      </c>
      <c r="S28" s="102">
        <v>5602.2977359999995</v>
      </c>
      <c r="T28" s="102">
        <v>3806.9968870000002</v>
      </c>
      <c r="U28" s="102">
        <v>2231.0114980000003</v>
      </c>
      <c r="V28" s="102">
        <v>8707.8182620000007</v>
      </c>
      <c r="W28" s="102">
        <v>6388.476748</v>
      </c>
      <c r="X28" s="102">
        <v>3699.5360000000001</v>
      </c>
      <c r="Y28" s="102">
        <v>1917.626</v>
      </c>
      <c r="Z28" s="102"/>
      <c r="AA28" s="102"/>
      <c r="AB28" s="102">
        <v>6336.2415970000002</v>
      </c>
      <c r="AC28" s="102">
        <v>4952.5089600000001</v>
      </c>
      <c r="AD28" s="102">
        <v>3201.9017709999998</v>
      </c>
      <c r="AE28" s="102">
        <v>1582.5171800000001</v>
      </c>
      <c r="AF28" s="102">
        <v>7009.2508029999999</v>
      </c>
      <c r="AG28" s="102">
        <v>5602.2977360000004</v>
      </c>
      <c r="AH28" s="102">
        <v>3806.9968869999998</v>
      </c>
      <c r="AI28" s="102">
        <v>2231.0114979999998</v>
      </c>
      <c r="AJ28" s="102">
        <v>8707.8182620000007</v>
      </c>
      <c r="AK28" s="102">
        <v>6388.476748</v>
      </c>
      <c r="AL28" s="102">
        <v>3699.535817</v>
      </c>
      <c r="AM28" s="102">
        <v>1917.6255040000001</v>
      </c>
    </row>
    <row r="29" spans="2:39" x14ac:dyDescent="0.3">
      <c r="B29" s="61" t="s">
        <v>1035</v>
      </c>
      <c r="C29" s="141" t="s">
        <v>1375</v>
      </c>
      <c r="D29" s="102">
        <f t="shared" si="4"/>
        <v>4502.4567369999995</v>
      </c>
      <c r="E29" s="102">
        <f t="shared" si="4"/>
        <v>4070.7573600000001</v>
      </c>
      <c r="F29" s="102">
        <f t="shared" si="4"/>
        <v>805.73599999999999</v>
      </c>
      <c r="G29" s="155"/>
      <c r="H29" s="102">
        <f t="shared" si="3"/>
        <v>4502.4567370000004</v>
      </c>
      <c r="I29" s="102">
        <f t="shared" si="1"/>
        <v>4070.7573600000001</v>
      </c>
      <c r="J29" s="102">
        <f t="shared" si="5"/>
        <v>805.73637999999994</v>
      </c>
      <c r="K29" s="683"/>
      <c r="M29" s="102"/>
      <c r="N29" s="102">
        <v>4502.4567369999995</v>
      </c>
      <c r="O29" s="102">
        <v>3214.9825490000003</v>
      </c>
      <c r="P29" s="102">
        <v>2111.6180610000001</v>
      </c>
      <c r="Q29" s="102">
        <v>1060.2152469999999</v>
      </c>
      <c r="R29" s="102">
        <v>4070.7573600000001</v>
      </c>
      <c r="S29" s="102">
        <v>2975.6575090000001</v>
      </c>
      <c r="T29" s="102">
        <v>2010.7086850000001</v>
      </c>
      <c r="U29" s="102">
        <v>1058.2747939999999</v>
      </c>
      <c r="V29" s="102">
        <v>3600.0207930000001</v>
      </c>
      <c r="W29" s="102">
        <v>2633.7987560000001</v>
      </c>
      <c r="X29" s="102">
        <v>1677.403</v>
      </c>
      <c r="Y29" s="102">
        <v>805.73599999999999</v>
      </c>
      <c r="Z29" s="102"/>
      <c r="AA29" s="102"/>
      <c r="AB29" s="102">
        <v>4502.4567370000004</v>
      </c>
      <c r="AC29" s="102">
        <v>3214.9825489999998</v>
      </c>
      <c r="AD29" s="102">
        <v>2111.6180610000001</v>
      </c>
      <c r="AE29" s="102">
        <v>1060.2152470000001</v>
      </c>
      <c r="AF29" s="102">
        <v>4070.7573600000001</v>
      </c>
      <c r="AG29" s="102">
        <v>2975.6575090000001</v>
      </c>
      <c r="AH29" s="102">
        <v>2010.7086850000001</v>
      </c>
      <c r="AI29" s="102">
        <v>1058.2747939999999</v>
      </c>
      <c r="AJ29" s="102">
        <v>3600.0207930000001</v>
      </c>
      <c r="AK29" s="102">
        <v>2633.7987560000001</v>
      </c>
      <c r="AL29" s="102">
        <v>1677.4030230000001</v>
      </c>
      <c r="AM29" s="102">
        <v>805.73637999999994</v>
      </c>
    </row>
    <row r="30" spans="2:39" x14ac:dyDescent="0.3">
      <c r="B30" s="61" t="s">
        <v>1036</v>
      </c>
      <c r="C30" s="141" t="s">
        <v>1376</v>
      </c>
      <c r="D30" s="102">
        <f t="shared" si="4"/>
        <v>82264.394267000011</v>
      </c>
      <c r="E30" s="102">
        <f t="shared" si="4"/>
        <v>77385.507605999999</v>
      </c>
      <c r="F30" s="102">
        <f t="shared" si="4"/>
        <v>12614.575999999999</v>
      </c>
      <c r="G30" s="155"/>
      <c r="H30" s="102">
        <f t="shared" si="3"/>
        <v>82264.394266999996</v>
      </c>
      <c r="I30" s="102">
        <f t="shared" si="1"/>
        <v>77385.507605999999</v>
      </c>
      <c r="J30" s="102">
        <f t="shared" si="5"/>
        <v>12614.575632</v>
      </c>
      <c r="K30" s="683"/>
      <c r="M30" s="102"/>
      <c r="N30" s="102">
        <v>82264.394267000011</v>
      </c>
      <c r="O30" s="102">
        <v>62073.489534</v>
      </c>
      <c r="P30" s="102">
        <v>39809.364227999999</v>
      </c>
      <c r="Q30" s="102">
        <v>20296.332655000002</v>
      </c>
      <c r="R30" s="102">
        <v>77385.507605999999</v>
      </c>
      <c r="S30" s="102">
        <v>56937.892402000005</v>
      </c>
      <c r="T30" s="102">
        <v>38847.502262000002</v>
      </c>
      <c r="U30" s="102">
        <v>20375.793631</v>
      </c>
      <c r="V30" s="102">
        <v>67614.138525999995</v>
      </c>
      <c r="W30" s="102">
        <v>51880.765381999998</v>
      </c>
      <c r="X30" s="102">
        <v>34409.351999999999</v>
      </c>
      <c r="Y30" s="102">
        <v>12614.575999999999</v>
      </c>
      <c r="Z30" s="102"/>
      <c r="AA30" s="102"/>
      <c r="AB30" s="102">
        <v>82264.394266999996</v>
      </c>
      <c r="AC30" s="102">
        <v>62073.489534</v>
      </c>
      <c r="AD30" s="102">
        <v>39809.364227999999</v>
      </c>
      <c r="AE30" s="102">
        <v>20296.332654999998</v>
      </c>
      <c r="AF30" s="102">
        <v>77385.507605999999</v>
      </c>
      <c r="AG30" s="102">
        <v>56937.892401999998</v>
      </c>
      <c r="AH30" s="102">
        <v>38847.502262000002</v>
      </c>
      <c r="AI30" s="102">
        <v>20375.793631</v>
      </c>
      <c r="AJ30" s="102">
        <v>67614.138525999995</v>
      </c>
      <c r="AK30" s="102">
        <v>51880.765381999998</v>
      </c>
      <c r="AL30" s="102">
        <v>34409.351907999997</v>
      </c>
      <c r="AM30" s="102">
        <v>12614.575632</v>
      </c>
    </row>
    <row r="31" spans="2:39" x14ac:dyDescent="0.3">
      <c r="B31" s="61" t="s">
        <v>1037</v>
      </c>
      <c r="C31" s="141" t="s">
        <v>1377</v>
      </c>
      <c r="D31" s="102">
        <f t="shared" si="4"/>
        <v>14568.318078</v>
      </c>
      <c r="E31" s="102">
        <f t="shared" si="4"/>
        <v>14164.059035</v>
      </c>
      <c r="F31" s="102">
        <f t="shared" si="4"/>
        <v>3790.71</v>
      </c>
      <c r="G31" s="155"/>
      <c r="H31" s="102">
        <f t="shared" si="3"/>
        <v>14568.318078</v>
      </c>
      <c r="I31" s="102">
        <f t="shared" si="1"/>
        <v>14164.059035</v>
      </c>
      <c r="J31" s="102">
        <f t="shared" si="5"/>
        <v>3790.70975</v>
      </c>
      <c r="K31" s="683"/>
      <c r="M31" s="102"/>
      <c r="N31" s="102">
        <v>14568.318078</v>
      </c>
      <c r="O31" s="102">
        <v>10944.965188999999</v>
      </c>
      <c r="P31" s="102">
        <v>7092.7963720000007</v>
      </c>
      <c r="Q31" s="102">
        <v>3501.9516639999997</v>
      </c>
      <c r="R31" s="102">
        <v>14164.059035</v>
      </c>
      <c r="S31" s="102">
        <v>10277.822817</v>
      </c>
      <c r="T31" s="102">
        <v>6928.7934720000003</v>
      </c>
      <c r="U31" s="102">
        <v>3577.1125099999999</v>
      </c>
      <c r="V31" s="102">
        <v>14573.75676</v>
      </c>
      <c r="W31" s="102">
        <v>10976.515221000001</v>
      </c>
      <c r="X31" s="102">
        <v>7592.4219999999996</v>
      </c>
      <c r="Y31" s="102">
        <v>3790.71</v>
      </c>
      <c r="Z31" s="102"/>
      <c r="AA31" s="102"/>
      <c r="AB31" s="102">
        <v>14568.318078</v>
      </c>
      <c r="AC31" s="102">
        <v>10944.965189</v>
      </c>
      <c r="AD31" s="102">
        <v>7092.7963719999998</v>
      </c>
      <c r="AE31" s="102">
        <v>3501.9516640000002</v>
      </c>
      <c r="AF31" s="102">
        <v>14164.059035</v>
      </c>
      <c r="AG31" s="102">
        <v>10277.822817</v>
      </c>
      <c r="AH31" s="102">
        <v>6928.7934720000003</v>
      </c>
      <c r="AI31" s="102">
        <v>3577.1125099999999</v>
      </c>
      <c r="AJ31" s="102">
        <v>14573.75676</v>
      </c>
      <c r="AK31" s="102">
        <v>10976.515221</v>
      </c>
      <c r="AL31" s="102">
        <v>7592.4218529999998</v>
      </c>
      <c r="AM31" s="102">
        <v>3790.70975</v>
      </c>
    </row>
    <row r="32" spans="2:39" x14ac:dyDescent="0.3">
      <c r="B32" s="61" t="s">
        <v>1038</v>
      </c>
      <c r="C32" s="141" t="s">
        <v>1378</v>
      </c>
      <c r="D32" s="102">
        <f t="shared" si="4"/>
        <v>66710.164164999995</v>
      </c>
      <c r="E32" s="102">
        <f t="shared" si="4"/>
        <v>30339.748234000002</v>
      </c>
      <c r="F32" s="102">
        <f t="shared" si="4"/>
        <v>1038.9349999999999</v>
      </c>
      <c r="G32" s="155"/>
      <c r="H32" s="102">
        <f t="shared" si="3"/>
        <v>66710.164164999995</v>
      </c>
      <c r="I32" s="102">
        <f t="shared" si="1"/>
        <v>30339.748233999999</v>
      </c>
      <c r="J32" s="102">
        <f t="shared" si="5"/>
        <v>1038.935313</v>
      </c>
      <c r="K32" s="683"/>
      <c r="M32" s="102"/>
      <c r="N32" s="102">
        <v>66710.164164999995</v>
      </c>
      <c r="O32" s="102">
        <v>10867.492781999999</v>
      </c>
      <c r="P32" s="102">
        <v>8818.6974389999996</v>
      </c>
      <c r="Q32" s="102">
        <v>7342.1793180000004</v>
      </c>
      <c r="R32" s="102">
        <v>30339.748234000002</v>
      </c>
      <c r="S32" s="102">
        <v>14442.759838</v>
      </c>
      <c r="T32" s="102">
        <v>4029.2266060000002</v>
      </c>
      <c r="U32" s="102">
        <v>1130.5613780000001</v>
      </c>
      <c r="V32" s="102">
        <v>-17808.041712000002</v>
      </c>
      <c r="W32" s="102">
        <v>6890.2729129999998</v>
      </c>
      <c r="X32" s="102">
        <v>-1060.078</v>
      </c>
      <c r="Y32" s="102">
        <v>1038.9349999999999</v>
      </c>
      <c r="Z32" s="102"/>
      <c r="AA32" s="102"/>
      <c r="AB32" s="102">
        <v>66710.164164999995</v>
      </c>
      <c r="AC32" s="102">
        <v>10867.492781999999</v>
      </c>
      <c r="AD32" s="102">
        <v>8818.6974389999996</v>
      </c>
      <c r="AE32" s="102">
        <v>7342.1793180000004</v>
      </c>
      <c r="AF32" s="102">
        <v>30339.748233999999</v>
      </c>
      <c r="AG32" s="102">
        <v>14442.759838</v>
      </c>
      <c r="AH32" s="102">
        <v>4029.2266060000002</v>
      </c>
      <c r="AI32" s="102">
        <v>1130.5613780000001</v>
      </c>
      <c r="AJ32" s="102">
        <v>-17808.041711999998</v>
      </c>
      <c r="AK32" s="102">
        <v>6890.2729129999998</v>
      </c>
      <c r="AL32" s="102">
        <v>-1060.0777660000001</v>
      </c>
      <c r="AM32" s="102">
        <v>1038.935313</v>
      </c>
    </row>
    <row r="33" spans="2:39" x14ac:dyDescent="0.3">
      <c r="B33" s="61" t="s">
        <v>1039</v>
      </c>
      <c r="C33" s="141" t="s">
        <v>1379</v>
      </c>
      <c r="D33" s="102">
        <f t="shared" si="4"/>
        <v>19584.794969000002</v>
      </c>
      <c r="E33" s="102">
        <f t="shared" si="4"/>
        <v>25344.170397000002</v>
      </c>
      <c r="F33" s="102">
        <f t="shared" si="4"/>
        <v>2085.451</v>
      </c>
      <c r="G33" s="155"/>
      <c r="H33" s="102">
        <f t="shared" si="3"/>
        <v>19584.794968999999</v>
      </c>
      <c r="I33" s="102">
        <f t="shared" si="1"/>
        <v>25344.170397000002</v>
      </c>
      <c r="J33" s="102">
        <f t="shared" si="5"/>
        <v>2085.4511689999999</v>
      </c>
      <c r="K33" s="683"/>
      <c r="M33" s="102"/>
      <c r="N33" s="102">
        <v>19584.794969000002</v>
      </c>
      <c r="O33" s="102">
        <v>21469.066107999999</v>
      </c>
      <c r="P33" s="102">
        <v>11822.402175000001</v>
      </c>
      <c r="Q33" s="102">
        <v>4957.4562070000002</v>
      </c>
      <c r="R33" s="102">
        <v>25344.170397000002</v>
      </c>
      <c r="S33" s="102">
        <v>25936.457521</v>
      </c>
      <c r="T33" s="102">
        <v>22106.198102000002</v>
      </c>
      <c r="U33" s="102">
        <v>22780.798013</v>
      </c>
      <c r="V33" s="102">
        <v>6831.4961859999994</v>
      </c>
      <c r="W33" s="102">
        <v>9252.9417830000002</v>
      </c>
      <c r="X33" s="102">
        <v>4196.1790000000001</v>
      </c>
      <c r="Y33" s="102">
        <v>2085.451</v>
      </c>
      <c r="Z33" s="102"/>
      <c r="AA33" s="102"/>
      <c r="AB33" s="102">
        <v>19584.794968999999</v>
      </c>
      <c r="AC33" s="102">
        <v>21469.066107999999</v>
      </c>
      <c r="AD33" s="102">
        <v>11822.402174999999</v>
      </c>
      <c r="AE33" s="102">
        <v>4957.4562070000002</v>
      </c>
      <c r="AF33" s="102">
        <v>25344.170397000002</v>
      </c>
      <c r="AG33" s="102">
        <v>25936.457521</v>
      </c>
      <c r="AH33" s="102">
        <v>22106.198101999998</v>
      </c>
      <c r="AI33" s="102">
        <v>22780.798013</v>
      </c>
      <c r="AJ33" s="102">
        <v>6831.4961860000003</v>
      </c>
      <c r="AK33" s="102">
        <v>9252.9417830000002</v>
      </c>
      <c r="AL33" s="102">
        <v>4196.1786240000001</v>
      </c>
      <c r="AM33" s="102">
        <v>2085.4511689999999</v>
      </c>
    </row>
    <row r="34" spans="2:39" x14ac:dyDescent="0.3">
      <c r="B34" s="61" t="s">
        <v>1040</v>
      </c>
      <c r="C34" s="141" t="s">
        <v>1374</v>
      </c>
      <c r="D34" s="102">
        <f t="shared" si="4"/>
        <v>26216.212061999999</v>
      </c>
      <c r="E34" s="102">
        <f t="shared" si="4"/>
        <v>33899.862016999999</v>
      </c>
      <c r="F34" s="102">
        <f t="shared" si="4"/>
        <v>3614.203</v>
      </c>
      <c r="G34" s="155"/>
      <c r="H34" s="102">
        <f t="shared" si="3"/>
        <v>26216.212061999999</v>
      </c>
      <c r="I34" s="102">
        <f t="shared" si="1"/>
        <v>33899.862016999999</v>
      </c>
      <c r="J34" s="102">
        <f t="shared" si="5"/>
        <v>3614.2030409999998</v>
      </c>
      <c r="K34" s="683"/>
      <c r="M34" s="102"/>
      <c r="N34" s="102">
        <v>26216.212061999999</v>
      </c>
      <c r="O34" s="102">
        <v>25946.003984000003</v>
      </c>
      <c r="P34" s="102">
        <v>14564.639739</v>
      </c>
      <c r="Q34" s="102">
        <v>6163.3677109999999</v>
      </c>
      <c r="R34" s="102">
        <v>33899.862016999999</v>
      </c>
      <c r="S34" s="102">
        <v>32103.214769000002</v>
      </c>
      <c r="T34" s="102">
        <v>26941.643561000001</v>
      </c>
      <c r="U34" s="102">
        <v>24630.331541</v>
      </c>
      <c r="V34" s="102">
        <v>14300.82323</v>
      </c>
      <c r="W34" s="102">
        <v>13849.478121</v>
      </c>
      <c r="X34" s="102">
        <v>7594.2629999999999</v>
      </c>
      <c r="Y34" s="102">
        <v>3614.203</v>
      </c>
      <c r="Z34" s="102"/>
      <c r="AA34" s="102"/>
      <c r="AB34" s="102">
        <v>26216.212061999999</v>
      </c>
      <c r="AC34" s="102">
        <v>25946.003983999999</v>
      </c>
      <c r="AD34" s="102">
        <v>14564.639739</v>
      </c>
      <c r="AE34" s="102">
        <v>6163.3677109999999</v>
      </c>
      <c r="AF34" s="102">
        <v>33899.862016999999</v>
      </c>
      <c r="AG34" s="102">
        <v>32103.214768999998</v>
      </c>
      <c r="AH34" s="102">
        <v>26941.643561000001</v>
      </c>
      <c r="AI34" s="102">
        <v>24630.331541</v>
      </c>
      <c r="AJ34" s="102">
        <v>14300.82323</v>
      </c>
      <c r="AK34" s="102">
        <v>13849.478121</v>
      </c>
      <c r="AL34" s="102">
        <v>7594.2628439999999</v>
      </c>
      <c r="AM34" s="102">
        <v>3614.2030409999998</v>
      </c>
    </row>
    <row r="35" spans="2:39" x14ac:dyDescent="0.3">
      <c r="B35" s="61" t="s">
        <v>1041</v>
      </c>
      <c r="C35" s="141" t="s">
        <v>1380</v>
      </c>
      <c r="D35" s="102">
        <f t="shared" si="4"/>
        <v>-6631.417093</v>
      </c>
      <c r="E35" s="102">
        <f t="shared" si="4"/>
        <v>-8555.6916199999996</v>
      </c>
      <c r="F35" s="102">
        <f t="shared" si="4"/>
        <v>-1528.752</v>
      </c>
      <c r="G35" s="155"/>
      <c r="H35" s="102">
        <f t="shared" si="3"/>
        <v>-6631.417093</v>
      </c>
      <c r="I35" s="102">
        <f t="shared" si="1"/>
        <v>-8555.6916199999996</v>
      </c>
      <c r="J35" s="102">
        <f t="shared" si="5"/>
        <v>-1528.751872</v>
      </c>
      <c r="K35" s="683"/>
      <c r="M35" s="102"/>
      <c r="N35" s="102">
        <v>-6631.417093</v>
      </c>
      <c r="O35" s="102">
        <v>-4476.937876</v>
      </c>
      <c r="P35" s="102">
        <v>-2742.2375639999996</v>
      </c>
      <c r="Q35" s="102">
        <v>-1205.9115039999999</v>
      </c>
      <c r="R35" s="102">
        <v>-8555.6916199999996</v>
      </c>
      <c r="S35" s="102">
        <v>-6166.7572479999999</v>
      </c>
      <c r="T35" s="102">
        <v>-4835.4454589999996</v>
      </c>
      <c r="U35" s="102">
        <v>-1849.5335279999999</v>
      </c>
      <c r="V35" s="102">
        <v>-7469.3270439999997</v>
      </c>
      <c r="W35" s="102">
        <v>-4596.5363380000008</v>
      </c>
      <c r="X35" s="102">
        <v>-3398.0839999999998</v>
      </c>
      <c r="Y35" s="102">
        <v>-1528.752</v>
      </c>
      <c r="Z35" s="102"/>
      <c r="AA35" s="102"/>
      <c r="AB35" s="102">
        <v>-6631.417093</v>
      </c>
      <c r="AC35" s="102">
        <v>-4476.937876</v>
      </c>
      <c r="AD35" s="102">
        <v>-2742.237564</v>
      </c>
      <c r="AE35" s="102">
        <v>-1205.9115039999999</v>
      </c>
      <c r="AF35" s="102">
        <v>-8555.6916199999996</v>
      </c>
      <c r="AG35" s="102">
        <v>-6166.7572479999999</v>
      </c>
      <c r="AH35" s="102">
        <v>-4835.4454589999996</v>
      </c>
      <c r="AI35" s="102">
        <v>-1849.5335279999999</v>
      </c>
      <c r="AJ35" s="102">
        <v>-7469.3270439999997</v>
      </c>
      <c r="AK35" s="102">
        <v>-4596.5363379999999</v>
      </c>
      <c r="AL35" s="102">
        <v>-3398.0842200000002</v>
      </c>
      <c r="AM35" s="102">
        <v>-1528.751872</v>
      </c>
    </row>
    <row r="36" spans="2:39" x14ac:dyDescent="0.3">
      <c r="B36" s="61" t="s">
        <v>1021</v>
      </c>
      <c r="C36" s="141" t="s">
        <v>1360</v>
      </c>
      <c r="D36" s="102">
        <f t="shared" si="4"/>
        <v>218864.43749399998</v>
      </c>
      <c r="E36" s="102">
        <f t="shared" si="4"/>
        <v>179608.71614700003</v>
      </c>
      <c r="F36" s="102">
        <f t="shared" si="4"/>
        <v>39890.017999999996</v>
      </c>
      <c r="G36" s="155"/>
      <c r="H36" s="102">
        <f t="shared" si="3"/>
        <v>218864.43749400001</v>
      </c>
      <c r="I36" s="102">
        <f t="shared" si="1"/>
        <v>179608.716147</v>
      </c>
      <c r="J36" s="102">
        <f t="shared" si="5"/>
        <v>39890.018273000001</v>
      </c>
      <c r="K36" s="683"/>
      <c r="M36" s="102"/>
      <c r="N36" s="102">
        <v>218864.43749399998</v>
      </c>
      <c r="O36" s="102">
        <v>160067.34357</v>
      </c>
      <c r="P36" s="102">
        <v>105331.88718199999</v>
      </c>
      <c r="Q36" s="102">
        <v>52180.661306000002</v>
      </c>
      <c r="R36" s="102">
        <v>179608.71614700003</v>
      </c>
      <c r="S36" s="102">
        <v>131352.96064599999</v>
      </c>
      <c r="T36" s="102">
        <v>86056.490575000003</v>
      </c>
      <c r="U36" s="102">
        <v>42360.946976000007</v>
      </c>
      <c r="V36" s="102">
        <v>160395.19491800002</v>
      </c>
      <c r="W36" s="102">
        <v>119607.320343</v>
      </c>
      <c r="X36" s="102">
        <v>79616.216</v>
      </c>
      <c r="Y36" s="102">
        <v>39890.017999999996</v>
      </c>
      <c r="Z36" s="102"/>
      <c r="AA36" s="102"/>
      <c r="AB36" s="102">
        <v>218864.43749400001</v>
      </c>
      <c r="AC36" s="102">
        <v>160067.34357</v>
      </c>
      <c r="AD36" s="102">
        <v>105331.88718200001</v>
      </c>
      <c r="AE36" s="102">
        <v>52180.661306000002</v>
      </c>
      <c r="AF36" s="102">
        <v>179608.716147</v>
      </c>
      <c r="AG36" s="102">
        <v>131352.96064599999</v>
      </c>
      <c r="AH36" s="102">
        <v>86056.490575000003</v>
      </c>
      <c r="AI36" s="102">
        <v>42360.946975999999</v>
      </c>
      <c r="AJ36" s="102">
        <v>160395.19491799999</v>
      </c>
      <c r="AK36" s="102">
        <v>119607.320343</v>
      </c>
      <c r="AL36" s="102">
        <v>79616.215662000002</v>
      </c>
      <c r="AM36" s="102">
        <v>39890.018273000001</v>
      </c>
    </row>
    <row r="37" spans="2:39" x14ac:dyDescent="0.3">
      <c r="B37" s="61" t="s">
        <v>1022</v>
      </c>
      <c r="C37" s="141" t="s">
        <v>1381</v>
      </c>
      <c r="D37" s="102">
        <f t="shared" si="4"/>
        <v>-3809.8582420000002</v>
      </c>
      <c r="E37" s="102">
        <f t="shared" si="4"/>
        <v>-1728.2321010000001</v>
      </c>
      <c r="F37" s="102">
        <f t="shared" si="4"/>
        <v>-1294.961</v>
      </c>
      <c r="G37" s="155"/>
      <c r="H37" s="102">
        <f t="shared" si="3"/>
        <v>-3809.8582419999998</v>
      </c>
      <c r="I37" s="102">
        <f t="shared" si="1"/>
        <v>-1728.2321010000001</v>
      </c>
      <c r="J37" s="102">
        <f t="shared" si="5"/>
        <v>-1294.9608129999999</v>
      </c>
      <c r="K37" s="683"/>
      <c r="M37" s="102"/>
      <c r="N37" s="102">
        <v>-3809.8582420000002</v>
      </c>
      <c r="O37" s="102">
        <v>-2882.7002419999999</v>
      </c>
      <c r="P37" s="102">
        <v>-1746.4871440000002</v>
      </c>
      <c r="Q37" s="102">
        <v>-850.4330379999999</v>
      </c>
      <c r="R37" s="102">
        <v>-1728.2321010000001</v>
      </c>
      <c r="S37" s="102">
        <v>-1199.0990979999999</v>
      </c>
      <c r="T37" s="102">
        <v>-639.08146999999997</v>
      </c>
      <c r="U37" s="102">
        <v>-326.04019699999998</v>
      </c>
      <c r="V37" s="102">
        <v>-5023.2772379999997</v>
      </c>
      <c r="W37" s="102">
        <v>-3533.7361349999996</v>
      </c>
      <c r="X37" s="102">
        <v>-2477.6379999999999</v>
      </c>
      <c r="Y37" s="102">
        <v>-1294.961</v>
      </c>
      <c r="Z37" s="102"/>
      <c r="AA37" s="102"/>
      <c r="AB37" s="102">
        <v>-3809.8582419999998</v>
      </c>
      <c r="AC37" s="102">
        <v>-2882.7002419999999</v>
      </c>
      <c r="AD37" s="102">
        <v>-1746.4871439999999</v>
      </c>
      <c r="AE37" s="102">
        <v>-850.43303800000001</v>
      </c>
      <c r="AF37" s="102">
        <v>-1728.2321010000001</v>
      </c>
      <c r="AG37" s="102">
        <v>-1199.0990979999999</v>
      </c>
      <c r="AH37" s="102">
        <v>-639.08146999999997</v>
      </c>
      <c r="AI37" s="102">
        <v>-326.04019699999998</v>
      </c>
      <c r="AJ37" s="102">
        <v>-5023.2772379999997</v>
      </c>
      <c r="AK37" s="102">
        <v>-3533.7361350000001</v>
      </c>
      <c r="AL37" s="102">
        <v>-2477.6384640000001</v>
      </c>
      <c r="AM37" s="102">
        <v>-1294.9608129999999</v>
      </c>
    </row>
    <row r="38" spans="2:39" x14ac:dyDescent="0.3">
      <c r="B38" s="61" t="s">
        <v>1042</v>
      </c>
      <c r="C38" s="141" t="s">
        <v>1382</v>
      </c>
      <c r="D38" s="102" t="str">
        <f t="shared" si="4"/>
        <v/>
      </c>
      <c r="E38" s="102" t="str">
        <f t="shared" si="4"/>
        <v/>
      </c>
      <c r="F38" s="102" t="str">
        <f t="shared" si="4"/>
        <v/>
      </c>
      <c r="G38" s="155"/>
      <c r="H38" s="102" t="str">
        <f t="shared" si="3"/>
        <v/>
      </c>
      <c r="I38" s="102" t="str">
        <f t="shared" si="1"/>
        <v/>
      </c>
      <c r="J38" s="102" t="str">
        <f t="shared" si="5"/>
        <v/>
      </c>
      <c r="K38" s="683"/>
      <c r="M38" s="102"/>
      <c r="N38" s="102">
        <v>0</v>
      </c>
      <c r="O38" s="102">
        <v>0</v>
      </c>
      <c r="P38" s="102">
        <v>0</v>
      </c>
      <c r="Q38" s="102">
        <v>0</v>
      </c>
      <c r="R38" s="102">
        <v>0</v>
      </c>
      <c r="S38" s="102">
        <v>0</v>
      </c>
      <c r="T38" s="102">
        <v>0</v>
      </c>
      <c r="U38" s="102">
        <v>0</v>
      </c>
      <c r="V38" s="102">
        <v>0</v>
      </c>
      <c r="W38" s="102">
        <v>0</v>
      </c>
      <c r="X38" s="102">
        <v>0</v>
      </c>
      <c r="Y38" s="102">
        <v>0</v>
      </c>
      <c r="Z38" s="102"/>
      <c r="AA38" s="102"/>
      <c r="AB38" s="102">
        <v>0</v>
      </c>
      <c r="AC38" s="102">
        <v>0</v>
      </c>
      <c r="AD38" s="102">
        <v>0</v>
      </c>
      <c r="AE38" s="102">
        <v>0</v>
      </c>
      <c r="AF38" s="102">
        <v>0</v>
      </c>
      <c r="AG38" s="102">
        <v>0</v>
      </c>
      <c r="AH38" s="102">
        <v>0</v>
      </c>
      <c r="AI38" s="102">
        <v>0</v>
      </c>
      <c r="AJ38" s="102">
        <v>0</v>
      </c>
      <c r="AK38" s="102">
        <v>0</v>
      </c>
      <c r="AL38" s="102">
        <v>0</v>
      </c>
      <c r="AM38" s="102">
        <v>0</v>
      </c>
    </row>
    <row r="39" spans="2:39" x14ac:dyDescent="0.3">
      <c r="B39" s="61" t="s">
        <v>1026</v>
      </c>
      <c r="C39" s="141" t="s">
        <v>1383</v>
      </c>
      <c r="D39" s="102" t="str">
        <f t="shared" si="4"/>
        <v/>
      </c>
      <c r="E39" s="102" t="str">
        <f t="shared" si="4"/>
        <v/>
      </c>
      <c r="F39" s="102" t="str">
        <f t="shared" si="4"/>
        <v/>
      </c>
      <c r="G39" s="155"/>
      <c r="H39" s="102" t="str">
        <f t="shared" si="3"/>
        <v/>
      </c>
      <c r="I39" s="102" t="str">
        <f t="shared" si="1"/>
        <v/>
      </c>
      <c r="J39" s="102" t="str">
        <f t="shared" si="5"/>
        <v/>
      </c>
      <c r="K39" s="683"/>
      <c r="M39" s="102"/>
      <c r="N39" s="102">
        <v>0</v>
      </c>
      <c r="O39" s="102">
        <v>0</v>
      </c>
      <c r="P39" s="102">
        <v>0</v>
      </c>
      <c r="Q39" s="102">
        <v>0</v>
      </c>
      <c r="R39" s="102">
        <v>0</v>
      </c>
      <c r="S39" s="102">
        <v>0</v>
      </c>
      <c r="T39" s="102">
        <v>0</v>
      </c>
      <c r="U39" s="102">
        <v>0</v>
      </c>
      <c r="V39" s="102">
        <v>0</v>
      </c>
      <c r="W39" s="102">
        <v>0</v>
      </c>
      <c r="X39" s="102">
        <v>0</v>
      </c>
      <c r="Y39" s="102">
        <v>0</v>
      </c>
      <c r="Z39" s="102"/>
      <c r="AA39" s="102"/>
      <c r="AB39" s="102">
        <v>0</v>
      </c>
      <c r="AC39" s="102">
        <v>0</v>
      </c>
      <c r="AD39" s="102">
        <v>0</v>
      </c>
      <c r="AE39" s="102">
        <v>0</v>
      </c>
      <c r="AF39" s="102">
        <v>0</v>
      </c>
      <c r="AG39" s="102">
        <v>0</v>
      </c>
      <c r="AH39" s="102">
        <v>0</v>
      </c>
      <c r="AI39" s="102">
        <v>0</v>
      </c>
      <c r="AJ39" s="102">
        <v>0</v>
      </c>
      <c r="AK39" s="102">
        <v>0</v>
      </c>
      <c r="AL39" s="102">
        <v>0</v>
      </c>
      <c r="AM39" s="102">
        <v>0</v>
      </c>
    </row>
    <row r="40" spans="2:39" x14ac:dyDescent="0.3">
      <c r="B40" s="61" t="s">
        <v>1043</v>
      </c>
      <c r="C40" s="141" t="s">
        <v>1384</v>
      </c>
      <c r="D40" s="102" t="str">
        <f t="shared" si="4"/>
        <v/>
      </c>
      <c r="E40" s="102" t="str">
        <f t="shared" si="4"/>
        <v/>
      </c>
      <c r="F40" s="102" t="str">
        <f t="shared" si="4"/>
        <v/>
      </c>
      <c r="G40" s="155"/>
      <c r="H40" s="102" t="str">
        <f t="shared" si="3"/>
        <v/>
      </c>
      <c r="I40" s="102" t="str">
        <f t="shared" si="1"/>
        <v/>
      </c>
      <c r="J40" s="102" t="str">
        <f t="shared" si="5"/>
        <v/>
      </c>
      <c r="K40" s="683"/>
      <c r="M40" s="102"/>
      <c r="N40" s="102">
        <v>0</v>
      </c>
      <c r="O40" s="102">
        <v>0</v>
      </c>
      <c r="P40" s="102">
        <v>0</v>
      </c>
      <c r="Q40" s="102">
        <v>0</v>
      </c>
      <c r="R40" s="102">
        <v>0</v>
      </c>
      <c r="S40" s="102">
        <v>0</v>
      </c>
      <c r="T40" s="102">
        <v>0</v>
      </c>
      <c r="U40" s="102">
        <v>0</v>
      </c>
      <c r="V40" s="102">
        <v>0</v>
      </c>
      <c r="W40" s="102">
        <v>0</v>
      </c>
      <c r="X40" s="102">
        <v>0</v>
      </c>
      <c r="Y40" s="102">
        <v>0</v>
      </c>
      <c r="Z40" s="102"/>
      <c r="AA40" s="102"/>
      <c r="AB40" s="102">
        <v>0</v>
      </c>
      <c r="AC40" s="102">
        <v>0</v>
      </c>
      <c r="AD40" s="102">
        <v>0</v>
      </c>
      <c r="AE40" s="102">
        <v>0</v>
      </c>
      <c r="AF40" s="102">
        <v>0</v>
      </c>
      <c r="AG40" s="102">
        <v>0</v>
      </c>
      <c r="AH40" s="102">
        <v>0</v>
      </c>
      <c r="AI40" s="102">
        <v>0</v>
      </c>
      <c r="AJ40" s="102">
        <v>0</v>
      </c>
      <c r="AK40" s="102">
        <v>0</v>
      </c>
      <c r="AL40" s="102">
        <v>0</v>
      </c>
      <c r="AM40" s="102">
        <v>0</v>
      </c>
    </row>
    <row r="41" spans="2:39" x14ac:dyDescent="0.3">
      <c r="B41" s="61" t="s">
        <v>1028</v>
      </c>
      <c r="C41" s="141" t="s">
        <v>1367</v>
      </c>
      <c r="D41" s="102" t="str">
        <f t="shared" si="4"/>
        <v/>
      </c>
      <c r="E41" s="102" t="str">
        <f t="shared" si="4"/>
        <v/>
      </c>
      <c r="F41" s="102" t="str">
        <f t="shared" si="4"/>
        <v/>
      </c>
      <c r="G41" s="155"/>
      <c r="H41" s="102" t="str">
        <f t="shared" si="3"/>
        <v/>
      </c>
      <c r="I41" s="102" t="str">
        <f t="shared" si="1"/>
        <v/>
      </c>
      <c r="J41" s="102" t="str">
        <f t="shared" si="5"/>
        <v/>
      </c>
      <c r="K41" s="683"/>
      <c r="M41" s="102"/>
      <c r="N41" s="102">
        <v>0</v>
      </c>
      <c r="O41" s="102">
        <v>0</v>
      </c>
      <c r="P41" s="102">
        <v>0</v>
      </c>
      <c r="Q41" s="102">
        <v>0</v>
      </c>
      <c r="R41" s="102">
        <v>0</v>
      </c>
      <c r="S41" s="102">
        <v>0</v>
      </c>
      <c r="T41" s="102">
        <v>0</v>
      </c>
      <c r="U41" s="102">
        <v>0</v>
      </c>
      <c r="V41" s="102">
        <v>0</v>
      </c>
      <c r="W41" s="102">
        <v>0</v>
      </c>
      <c r="X41" s="102">
        <v>0</v>
      </c>
      <c r="Y41" s="102">
        <v>0</v>
      </c>
      <c r="Z41" s="102"/>
      <c r="AA41" s="102"/>
      <c r="AB41" s="102">
        <v>0</v>
      </c>
      <c r="AC41" s="102">
        <v>0</v>
      </c>
      <c r="AD41" s="102">
        <v>0</v>
      </c>
      <c r="AE41" s="102">
        <v>0</v>
      </c>
      <c r="AF41" s="102">
        <v>0</v>
      </c>
      <c r="AG41" s="102">
        <v>0</v>
      </c>
      <c r="AH41" s="102">
        <v>0</v>
      </c>
      <c r="AI41" s="102">
        <v>0</v>
      </c>
      <c r="AJ41" s="102">
        <v>0</v>
      </c>
      <c r="AK41" s="102">
        <v>0</v>
      </c>
      <c r="AL41" s="102">
        <v>0</v>
      </c>
      <c r="AM41" s="102">
        <v>0</v>
      </c>
    </row>
    <row r="42" spans="2:39" x14ac:dyDescent="0.3">
      <c r="B42" s="61" t="s">
        <v>1044</v>
      </c>
      <c r="C42" s="141" t="s">
        <v>1385</v>
      </c>
      <c r="D42" s="102" t="str">
        <f t="shared" si="4"/>
        <v/>
      </c>
      <c r="E42" s="102" t="str">
        <f t="shared" si="4"/>
        <v/>
      </c>
      <c r="F42" s="102" t="str">
        <f t="shared" si="4"/>
        <v/>
      </c>
      <c r="G42" s="155"/>
      <c r="H42" s="102" t="str">
        <f t="shared" si="3"/>
        <v/>
      </c>
      <c r="I42" s="102" t="str">
        <f t="shared" si="1"/>
        <v/>
      </c>
      <c r="J42" s="102" t="str">
        <f t="shared" si="5"/>
        <v/>
      </c>
      <c r="K42" s="683"/>
      <c r="M42" s="102"/>
      <c r="N42" s="102">
        <v>0</v>
      </c>
      <c r="O42" s="102">
        <v>0</v>
      </c>
      <c r="P42" s="102">
        <v>0</v>
      </c>
      <c r="Q42" s="102">
        <v>0</v>
      </c>
      <c r="R42" s="102">
        <v>0</v>
      </c>
      <c r="S42" s="102">
        <v>0</v>
      </c>
      <c r="T42" s="102">
        <v>0</v>
      </c>
      <c r="U42" s="102">
        <v>0</v>
      </c>
      <c r="V42" s="102">
        <v>0</v>
      </c>
      <c r="W42" s="102">
        <v>0</v>
      </c>
      <c r="X42" s="102">
        <v>0</v>
      </c>
      <c r="Y42" s="102">
        <v>0</v>
      </c>
      <c r="Z42" s="102"/>
      <c r="AA42" s="102"/>
      <c r="AB42" s="102">
        <v>0</v>
      </c>
      <c r="AC42" s="102">
        <v>0</v>
      </c>
      <c r="AD42" s="102">
        <v>0</v>
      </c>
      <c r="AE42" s="102">
        <v>0</v>
      </c>
      <c r="AF42" s="102">
        <v>0</v>
      </c>
      <c r="AG42" s="102">
        <v>0</v>
      </c>
      <c r="AH42" s="102">
        <v>0</v>
      </c>
      <c r="AI42" s="102">
        <v>0</v>
      </c>
      <c r="AJ42" s="102">
        <v>0</v>
      </c>
      <c r="AK42" s="102">
        <v>0</v>
      </c>
      <c r="AL42" s="102">
        <v>0</v>
      </c>
      <c r="AM42" s="102">
        <v>0</v>
      </c>
    </row>
    <row r="43" spans="2:39" x14ac:dyDescent="0.3">
      <c r="B43" s="61" t="s">
        <v>1032</v>
      </c>
      <c r="C43" s="141" t="s">
        <v>1386</v>
      </c>
      <c r="D43" s="102" t="str">
        <f t="shared" si="4"/>
        <v/>
      </c>
      <c r="E43" s="102" t="str">
        <f t="shared" si="4"/>
        <v/>
      </c>
      <c r="F43" s="102" t="str">
        <f t="shared" si="4"/>
        <v/>
      </c>
      <c r="G43" s="155"/>
      <c r="H43" s="102" t="str">
        <f t="shared" si="3"/>
        <v/>
      </c>
      <c r="I43" s="102" t="str">
        <f t="shared" si="1"/>
        <v/>
      </c>
      <c r="J43" s="102" t="str">
        <f t="shared" si="5"/>
        <v/>
      </c>
      <c r="K43" s="683"/>
      <c r="M43" s="102"/>
      <c r="N43" s="102">
        <v>0</v>
      </c>
      <c r="O43" s="102">
        <v>0</v>
      </c>
      <c r="P43" s="102">
        <v>0</v>
      </c>
      <c r="Q43" s="102">
        <v>0</v>
      </c>
      <c r="R43" s="102">
        <v>0</v>
      </c>
      <c r="S43" s="102">
        <v>0</v>
      </c>
      <c r="T43" s="102">
        <v>0</v>
      </c>
      <c r="U43" s="102">
        <v>0</v>
      </c>
      <c r="V43" s="102">
        <v>0</v>
      </c>
      <c r="W43" s="102">
        <v>0</v>
      </c>
      <c r="X43" s="102">
        <v>0</v>
      </c>
      <c r="Y43" s="102">
        <v>0</v>
      </c>
      <c r="Z43" s="102"/>
      <c r="AA43" s="102"/>
      <c r="AB43" s="102">
        <v>0</v>
      </c>
      <c r="AC43" s="102">
        <v>0</v>
      </c>
      <c r="AD43" s="102">
        <v>0</v>
      </c>
      <c r="AE43" s="102">
        <v>0</v>
      </c>
      <c r="AF43" s="102">
        <v>0</v>
      </c>
      <c r="AG43" s="102">
        <v>0</v>
      </c>
      <c r="AH43" s="102">
        <v>0</v>
      </c>
      <c r="AI43" s="102">
        <v>0</v>
      </c>
      <c r="AJ43" s="102">
        <v>0</v>
      </c>
      <c r="AK43" s="102">
        <v>0</v>
      </c>
      <c r="AL43" s="102">
        <v>0</v>
      </c>
      <c r="AM43" s="102">
        <v>0</v>
      </c>
    </row>
    <row r="44" spans="2:39" x14ac:dyDescent="0.3">
      <c r="B44" s="61" t="s">
        <v>1033</v>
      </c>
      <c r="C44" s="141" t="s">
        <v>1387</v>
      </c>
      <c r="D44" s="102" t="str">
        <f t="shared" si="4"/>
        <v/>
      </c>
      <c r="E44" s="102" t="str">
        <f t="shared" si="4"/>
        <v/>
      </c>
      <c r="F44" s="102" t="str">
        <f t="shared" si="4"/>
        <v/>
      </c>
      <c r="G44" s="155"/>
      <c r="H44" s="102" t="str">
        <f t="shared" si="3"/>
        <v/>
      </c>
      <c r="I44" s="102" t="str">
        <f t="shared" si="1"/>
        <v/>
      </c>
      <c r="J44" s="102" t="str">
        <f t="shared" si="5"/>
        <v/>
      </c>
      <c r="K44" s="683"/>
      <c r="M44" s="102"/>
      <c r="N44" s="102">
        <v>0</v>
      </c>
      <c r="O44" s="102">
        <v>0</v>
      </c>
      <c r="P44" s="102">
        <v>0</v>
      </c>
      <c r="Q44" s="102">
        <v>0</v>
      </c>
      <c r="R44" s="102">
        <v>0</v>
      </c>
      <c r="S44" s="102">
        <v>0</v>
      </c>
      <c r="T44" s="102">
        <v>0</v>
      </c>
      <c r="U44" s="102">
        <v>0</v>
      </c>
      <c r="V44" s="102">
        <v>0</v>
      </c>
      <c r="W44" s="102">
        <v>0</v>
      </c>
      <c r="X44" s="102">
        <v>0</v>
      </c>
      <c r="Y44" s="102">
        <v>0</v>
      </c>
      <c r="Z44" s="102"/>
      <c r="AA44" s="102"/>
      <c r="AB44" s="102">
        <v>0</v>
      </c>
      <c r="AC44" s="102">
        <v>0</v>
      </c>
      <c r="AD44" s="102">
        <v>0</v>
      </c>
      <c r="AE44" s="102">
        <v>0</v>
      </c>
      <c r="AF44" s="102">
        <v>0</v>
      </c>
      <c r="AG44" s="102">
        <v>0</v>
      </c>
      <c r="AH44" s="102">
        <v>0</v>
      </c>
      <c r="AI44" s="102">
        <v>0</v>
      </c>
      <c r="AJ44" s="102">
        <v>0</v>
      </c>
      <c r="AK44" s="102">
        <v>0</v>
      </c>
      <c r="AL44" s="102">
        <v>0</v>
      </c>
      <c r="AM44" s="102">
        <v>0</v>
      </c>
    </row>
    <row r="45" spans="2:39" x14ac:dyDescent="0.3">
      <c r="B45" s="61" t="s">
        <v>1034</v>
      </c>
      <c r="C45" s="141" t="s">
        <v>1388</v>
      </c>
      <c r="D45" s="102" t="str">
        <f t="shared" si="4"/>
        <v/>
      </c>
      <c r="E45" s="102" t="str">
        <f t="shared" si="4"/>
        <v/>
      </c>
      <c r="F45" s="102" t="str">
        <f t="shared" si="4"/>
        <v/>
      </c>
      <c r="G45" s="155"/>
      <c r="H45" s="102" t="str">
        <f t="shared" si="3"/>
        <v/>
      </c>
      <c r="I45" s="102" t="str">
        <f t="shared" si="1"/>
        <v/>
      </c>
      <c r="J45" s="102" t="str">
        <f t="shared" si="5"/>
        <v/>
      </c>
      <c r="K45" s="683"/>
      <c r="M45" s="102"/>
      <c r="N45" s="102">
        <v>0</v>
      </c>
      <c r="O45" s="102">
        <v>0</v>
      </c>
      <c r="P45" s="102">
        <v>0</v>
      </c>
      <c r="Q45" s="102">
        <v>0</v>
      </c>
      <c r="R45" s="102">
        <v>0</v>
      </c>
      <c r="S45" s="102">
        <v>0</v>
      </c>
      <c r="T45" s="102">
        <v>0</v>
      </c>
      <c r="U45" s="102">
        <v>0</v>
      </c>
      <c r="V45" s="102">
        <v>0</v>
      </c>
      <c r="W45" s="102">
        <v>0</v>
      </c>
      <c r="X45" s="102">
        <v>0</v>
      </c>
      <c r="Y45" s="102">
        <v>0</v>
      </c>
      <c r="Z45" s="102"/>
      <c r="AA45" s="102"/>
      <c r="AB45" s="102">
        <v>0</v>
      </c>
      <c r="AC45" s="102">
        <v>0</v>
      </c>
      <c r="AD45" s="102">
        <v>0</v>
      </c>
      <c r="AE45" s="102">
        <v>0</v>
      </c>
      <c r="AF45" s="102">
        <v>0</v>
      </c>
      <c r="AG45" s="102">
        <v>0</v>
      </c>
      <c r="AH45" s="102">
        <v>0</v>
      </c>
      <c r="AI45" s="102">
        <v>0</v>
      </c>
      <c r="AJ45" s="102">
        <v>0</v>
      </c>
      <c r="AK45" s="102">
        <v>0</v>
      </c>
      <c r="AL45" s="102">
        <v>0</v>
      </c>
      <c r="AM45" s="102">
        <v>0</v>
      </c>
    </row>
    <row r="46" spans="2:39" x14ac:dyDescent="0.3">
      <c r="B46" s="61" t="s">
        <v>1035</v>
      </c>
      <c r="C46" s="141" t="s">
        <v>1375</v>
      </c>
      <c r="D46" s="102" t="str">
        <f t="shared" ref="D46:F65" si="6">IF(HLOOKUP(D$5,$M$5:$Y$319,ROW()-ROW($F$4),FALSE)=0,"",HLOOKUP(D$5,$M$5:$Y$319,ROW()-ROW($F$4),FALSE))</f>
        <v/>
      </c>
      <c r="E46" s="102" t="str">
        <f t="shared" si="6"/>
        <v/>
      </c>
      <c r="F46" s="102" t="str">
        <f t="shared" si="6"/>
        <v/>
      </c>
      <c r="G46" s="155"/>
      <c r="H46" s="102" t="str">
        <f t="shared" si="3"/>
        <v/>
      </c>
      <c r="I46" s="102" t="str">
        <f t="shared" si="1"/>
        <v/>
      </c>
      <c r="J46" s="102" t="str">
        <f t="shared" ref="J46:J65" si="7">IF(HLOOKUP(J$5,$AA$5:$AM$315,ROW()-ROW($J$4),FALSE)=0,"",HLOOKUP(J$5,$AA$5:$AM$315,ROW()-ROW($J$4),FALSE))</f>
        <v/>
      </c>
      <c r="K46" s="683"/>
      <c r="M46" s="102"/>
      <c r="N46" s="102">
        <v>0</v>
      </c>
      <c r="O46" s="102">
        <v>0</v>
      </c>
      <c r="P46" s="102">
        <v>0</v>
      </c>
      <c r="Q46" s="102">
        <v>0</v>
      </c>
      <c r="R46" s="102">
        <v>0</v>
      </c>
      <c r="S46" s="102">
        <v>0</v>
      </c>
      <c r="T46" s="102">
        <v>0</v>
      </c>
      <c r="U46" s="102">
        <v>0</v>
      </c>
      <c r="V46" s="102">
        <v>0</v>
      </c>
      <c r="W46" s="102">
        <v>0</v>
      </c>
      <c r="X46" s="102">
        <v>0</v>
      </c>
      <c r="Y46" s="102">
        <v>0</v>
      </c>
      <c r="Z46" s="102"/>
      <c r="AA46" s="102"/>
      <c r="AB46" s="102">
        <v>0</v>
      </c>
      <c r="AC46" s="102">
        <v>0</v>
      </c>
      <c r="AD46" s="102">
        <v>0</v>
      </c>
      <c r="AE46" s="102">
        <v>0</v>
      </c>
      <c r="AF46" s="102">
        <v>0</v>
      </c>
      <c r="AG46" s="102">
        <v>0</v>
      </c>
      <c r="AH46" s="102">
        <v>0</v>
      </c>
      <c r="AI46" s="102">
        <v>0</v>
      </c>
      <c r="AJ46" s="102">
        <v>0</v>
      </c>
      <c r="AK46" s="102">
        <v>0</v>
      </c>
      <c r="AL46" s="102">
        <v>0</v>
      </c>
      <c r="AM46" s="102">
        <v>0</v>
      </c>
    </row>
    <row r="47" spans="2:39" x14ac:dyDescent="0.3">
      <c r="B47" s="61" t="s">
        <v>1045</v>
      </c>
      <c r="C47" s="141" t="s">
        <v>1389</v>
      </c>
      <c r="D47" s="102" t="str">
        <f t="shared" si="6"/>
        <v/>
      </c>
      <c r="E47" s="102" t="str">
        <f t="shared" si="6"/>
        <v/>
      </c>
      <c r="F47" s="102" t="str">
        <f t="shared" si="6"/>
        <v/>
      </c>
      <c r="G47" s="155"/>
      <c r="H47" s="102" t="str">
        <f t="shared" si="3"/>
        <v/>
      </c>
      <c r="I47" s="102" t="str">
        <f t="shared" si="1"/>
        <v/>
      </c>
      <c r="J47" s="102" t="str">
        <f t="shared" si="7"/>
        <v/>
      </c>
      <c r="K47" s="683"/>
      <c r="M47" s="102"/>
      <c r="N47" s="102">
        <v>0</v>
      </c>
      <c r="O47" s="102">
        <v>0</v>
      </c>
      <c r="P47" s="102">
        <v>0</v>
      </c>
      <c r="Q47" s="102">
        <v>0</v>
      </c>
      <c r="R47" s="102">
        <v>0</v>
      </c>
      <c r="S47" s="102">
        <v>0</v>
      </c>
      <c r="T47" s="102">
        <v>0</v>
      </c>
      <c r="U47" s="102">
        <v>0</v>
      </c>
      <c r="V47" s="102">
        <v>0</v>
      </c>
      <c r="W47" s="102">
        <v>0</v>
      </c>
      <c r="X47" s="102">
        <v>0</v>
      </c>
      <c r="Y47" s="102">
        <v>0</v>
      </c>
      <c r="Z47" s="102"/>
      <c r="AA47" s="102"/>
      <c r="AB47" s="102">
        <v>0</v>
      </c>
      <c r="AC47" s="102">
        <v>0</v>
      </c>
      <c r="AD47" s="102">
        <v>0</v>
      </c>
      <c r="AE47" s="102">
        <v>0</v>
      </c>
      <c r="AF47" s="102">
        <v>0</v>
      </c>
      <c r="AG47" s="102">
        <v>0</v>
      </c>
      <c r="AH47" s="102">
        <v>0</v>
      </c>
      <c r="AI47" s="102">
        <v>0</v>
      </c>
      <c r="AJ47" s="102">
        <v>0</v>
      </c>
      <c r="AK47" s="102">
        <v>0</v>
      </c>
      <c r="AL47" s="102">
        <v>0</v>
      </c>
      <c r="AM47" s="102">
        <v>0</v>
      </c>
    </row>
    <row r="48" spans="2:39" x14ac:dyDescent="0.3">
      <c r="B48" s="61" t="s">
        <v>1046</v>
      </c>
      <c r="C48" s="141" t="s">
        <v>1390</v>
      </c>
      <c r="D48" s="102" t="str">
        <f t="shared" si="6"/>
        <v/>
      </c>
      <c r="E48" s="102" t="str">
        <f t="shared" si="6"/>
        <v/>
      </c>
      <c r="F48" s="102" t="str">
        <f t="shared" si="6"/>
        <v/>
      </c>
      <c r="G48" s="155"/>
      <c r="H48" s="102" t="str">
        <f t="shared" si="3"/>
        <v/>
      </c>
      <c r="I48" s="102" t="str">
        <f t="shared" si="1"/>
        <v/>
      </c>
      <c r="J48" s="102" t="str">
        <f t="shared" si="7"/>
        <v/>
      </c>
      <c r="K48" s="683"/>
      <c r="M48" s="102"/>
      <c r="N48" s="102">
        <v>0</v>
      </c>
      <c r="O48" s="102">
        <v>0</v>
      </c>
      <c r="P48" s="102">
        <v>0</v>
      </c>
      <c r="Q48" s="102">
        <v>0</v>
      </c>
      <c r="R48" s="102">
        <v>0</v>
      </c>
      <c r="S48" s="102">
        <v>0</v>
      </c>
      <c r="T48" s="102">
        <v>0</v>
      </c>
      <c r="U48" s="102">
        <v>0</v>
      </c>
      <c r="V48" s="102">
        <v>0</v>
      </c>
      <c r="W48" s="102">
        <v>0</v>
      </c>
      <c r="X48" s="102">
        <v>0</v>
      </c>
      <c r="Y48" s="102">
        <v>0</v>
      </c>
      <c r="Z48" s="102"/>
      <c r="AA48" s="102"/>
      <c r="AB48" s="102">
        <v>0</v>
      </c>
      <c r="AC48" s="102">
        <v>0</v>
      </c>
      <c r="AD48" s="102">
        <v>0</v>
      </c>
      <c r="AE48" s="102">
        <v>0</v>
      </c>
      <c r="AF48" s="102">
        <v>0</v>
      </c>
      <c r="AG48" s="102">
        <v>0</v>
      </c>
      <c r="AH48" s="102">
        <v>0</v>
      </c>
      <c r="AI48" s="102">
        <v>0</v>
      </c>
      <c r="AJ48" s="102">
        <v>0</v>
      </c>
      <c r="AK48" s="102">
        <v>0</v>
      </c>
      <c r="AL48" s="102">
        <v>0</v>
      </c>
      <c r="AM48" s="102">
        <v>0</v>
      </c>
    </row>
    <row r="49" spans="2:42" x14ac:dyDescent="0.3">
      <c r="B49" s="61" t="s">
        <v>1040</v>
      </c>
      <c r="C49" s="141" t="s">
        <v>1391</v>
      </c>
      <c r="D49" s="102" t="str">
        <f t="shared" si="6"/>
        <v/>
      </c>
      <c r="E49" s="102" t="str">
        <f t="shared" si="6"/>
        <v/>
      </c>
      <c r="F49" s="102" t="str">
        <f t="shared" si="6"/>
        <v/>
      </c>
      <c r="G49" s="155"/>
      <c r="H49" s="102" t="str">
        <f t="shared" si="3"/>
        <v/>
      </c>
      <c r="I49" s="102" t="str">
        <f t="shared" si="1"/>
        <v/>
      </c>
      <c r="J49" s="102" t="str">
        <f t="shared" si="7"/>
        <v/>
      </c>
      <c r="K49" s="683"/>
      <c r="M49" s="102"/>
      <c r="N49" s="102">
        <v>0</v>
      </c>
      <c r="O49" s="102">
        <v>0</v>
      </c>
      <c r="P49" s="102">
        <v>0</v>
      </c>
      <c r="Q49" s="102">
        <v>0</v>
      </c>
      <c r="R49" s="102">
        <v>0</v>
      </c>
      <c r="S49" s="102">
        <v>0</v>
      </c>
      <c r="T49" s="102">
        <v>0</v>
      </c>
      <c r="U49" s="102">
        <v>0</v>
      </c>
      <c r="V49" s="102">
        <v>0</v>
      </c>
      <c r="W49" s="102">
        <v>0</v>
      </c>
      <c r="X49" s="102">
        <v>0</v>
      </c>
      <c r="Y49" s="102">
        <v>0</v>
      </c>
      <c r="Z49" s="102"/>
      <c r="AA49" s="102"/>
      <c r="AB49" s="102">
        <v>0</v>
      </c>
      <c r="AC49" s="102">
        <v>0</v>
      </c>
      <c r="AD49" s="102">
        <v>0</v>
      </c>
      <c r="AE49" s="102">
        <v>0</v>
      </c>
      <c r="AF49" s="102">
        <v>0</v>
      </c>
      <c r="AG49" s="102">
        <v>0</v>
      </c>
      <c r="AH49" s="102">
        <v>0</v>
      </c>
      <c r="AI49" s="102">
        <v>0</v>
      </c>
      <c r="AJ49" s="102">
        <v>0</v>
      </c>
      <c r="AK49" s="102">
        <v>0</v>
      </c>
      <c r="AL49" s="102">
        <v>0</v>
      </c>
      <c r="AM49" s="102">
        <v>0</v>
      </c>
    </row>
    <row r="50" spans="2:42" x14ac:dyDescent="0.3">
      <c r="B50" s="61" t="s">
        <v>1041</v>
      </c>
      <c r="C50" s="141" t="s">
        <v>1392</v>
      </c>
      <c r="D50" s="102" t="str">
        <f t="shared" si="6"/>
        <v/>
      </c>
      <c r="E50" s="102" t="str">
        <f t="shared" si="6"/>
        <v/>
      </c>
      <c r="F50" s="102" t="str">
        <f t="shared" si="6"/>
        <v/>
      </c>
      <c r="G50" s="155"/>
      <c r="H50" s="102" t="str">
        <f t="shared" si="3"/>
        <v/>
      </c>
      <c r="I50" s="102" t="str">
        <f t="shared" si="1"/>
        <v/>
      </c>
      <c r="J50" s="102" t="str">
        <f t="shared" si="7"/>
        <v/>
      </c>
      <c r="K50" s="683"/>
      <c r="M50" s="102"/>
      <c r="N50" s="102">
        <v>0</v>
      </c>
      <c r="O50" s="102">
        <v>0</v>
      </c>
      <c r="P50" s="102">
        <v>0</v>
      </c>
      <c r="Q50" s="102">
        <v>0</v>
      </c>
      <c r="R50" s="102">
        <v>0</v>
      </c>
      <c r="S50" s="102">
        <v>0</v>
      </c>
      <c r="T50" s="102">
        <v>0</v>
      </c>
      <c r="U50" s="102">
        <v>0</v>
      </c>
      <c r="V50" s="102">
        <v>0</v>
      </c>
      <c r="W50" s="102">
        <v>0</v>
      </c>
      <c r="X50" s="102">
        <v>0</v>
      </c>
      <c r="Y50" s="102">
        <v>0</v>
      </c>
      <c r="Z50" s="102"/>
      <c r="AA50" s="102"/>
      <c r="AB50" s="102">
        <v>0</v>
      </c>
      <c r="AC50" s="102">
        <v>0</v>
      </c>
      <c r="AD50" s="102">
        <v>0</v>
      </c>
      <c r="AE50" s="102">
        <v>0</v>
      </c>
      <c r="AF50" s="102">
        <v>0</v>
      </c>
      <c r="AG50" s="102">
        <v>0</v>
      </c>
      <c r="AH50" s="102">
        <v>0</v>
      </c>
      <c r="AI50" s="102">
        <v>0</v>
      </c>
      <c r="AJ50" s="102">
        <v>0</v>
      </c>
      <c r="AK50" s="102">
        <v>0</v>
      </c>
      <c r="AL50" s="102">
        <v>0</v>
      </c>
      <c r="AM50" s="102">
        <v>0</v>
      </c>
    </row>
    <row r="51" spans="2:42" x14ac:dyDescent="0.3">
      <c r="B51" s="61" t="s">
        <v>1047</v>
      </c>
      <c r="C51" s="141" t="s">
        <v>1393</v>
      </c>
      <c r="D51" s="102" t="str">
        <f t="shared" si="6"/>
        <v/>
      </c>
      <c r="E51" s="102" t="str">
        <f t="shared" si="6"/>
        <v/>
      </c>
      <c r="F51" s="102" t="str">
        <f t="shared" si="6"/>
        <v/>
      </c>
      <c r="G51" s="155"/>
      <c r="H51" s="102" t="str">
        <f t="shared" si="3"/>
        <v/>
      </c>
      <c r="I51" s="102" t="str">
        <f t="shared" si="1"/>
        <v/>
      </c>
      <c r="J51" s="102" t="str">
        <f t="shared" si="7"/>
        <v/>
      </c>
      <c r="K51" s="683"/>
      <c r="M51" s="102"/>
      <c r="N51" s="102">
        <v>0</v>
      </c>
      <c r="O51" s="102">
        <v>0</v>
      </c>
      <c r="P51" s="102">
        <v>0</v>
      </c>
      <c r="Q51" s="102">
        <v>0</v>
      </c>
      <c r="R51" s="102">
        <v>0</v>
      </c>
      <c r="S51" s="102">
        <v>0</v>
      </c>
      <c r="T51" s="102">
        <v>0</v>
      </c>
      <c r="U51" s="102">
        <v>0</v>
      </c>
      <c r="V51" s="102">
        <v>0</v>
      </c>
      <c r="W51" s="102">
        <v>0</v>
      </c>
      <c r="X51" s="102">
        <v>0</v>
      </c>
      <c r="Y51" s="102">
        <v>0</v>
      </c>
      <c r="Z51" s="102"/>
      <c r="AA51" s="102"/>
      <c r="AB51" s="102">
        <v>0</v>
      </c>
      <c r="AC51" s="102">
        <v>0</v>
      </c>
      <c r="AD51" s="102">
        <v>0</v>
      </c>
      <c r="AE51" s="102">
        <v>0</v>
      </c>
      <c r="AF51" s="102">
        <v>0</v>
      </c>
      <c r="AG51" s="102">
        <v>0</v>
      </c>
      <c r="AH51" s="102">
        <v>0</v>
      </c>
      <c r="AI51" s="102">
        <v>0</v>
      </c>
      <c r="AJ51" s="102">
        <v>0</v>
      </c>
      <c r="AK51" s="102">
        <v>0</v>
      </c>
      <c r="AL51" s="102">
        <v>0</v>
      </c>
      <c r="AM51" s="102">
        <v>0</v>
      </c>
    </row>
    <row r="52" spans="2:42" x14ac:dyDescent="0.3">
      <c r="B52" s="61" t="s">
        <v>1048</v>
      </c>
      <c r="C52" s="141" t="s">
        <v>1394</v>
      </c>
      <c r="D52" s="102" t="str">
        <f t="shared" si="6"/>
        <v/>
      </c>
      <c r="E52" s="102" t="str">
        <f t="shared" si="6"/>
        <v/>
      </c>
      <c r="F52" s="102" t="str">
        <f t="shared" si="6"/>
        <v/>
      </c>
      <c r="G52" s="155"/>
      <c r="H52" s="102" t="str">
        <f t="shared" si="3"/>
        <v/>
      </c>
      <c r="I52" s="102" t="str">
        <f t="shared" si="1"/>
        <v/>
      </c>
      <c r="J52" s="102" t="str">
        <f t="shared" si="7"/>
        <v/>
      </c>
      <c r="K52" s="683"/>
      <c r="M52" s="102"/>
      <c r="N52" s="102">
        <v>0</v>
      </c>
      <c r="O52" s="102">
        <v>0</v>
      </c>
      <c r="P52" s="102">
        <v>0</v>
      </c>
      <c r="Q52" s="102">
        <v>0</v>
      </c>
      <c r="R52" s="102">
        <v>0</v>
      </c>
      <c r="S52" s="102">
        <v>0</v>
      </c>
      <c r="T52" s="102">
        <v>0</v>
      </c>
      <c r="U52" s="102">
        <v>0</v>
      </c>
      <c r="V52" s="102">
        <v>0</v>
      </c>
      <c r="W52" s="102">
        <v>0</v>
      </c>
      <c r="X52" s="102">
        <v>0</v>
      </c>
      <c r="Y52" s="102">
        <v>0</v>
      </c>
      <c r="Z52" s="102"/>
      <c r="AA52" s="102"/>
      <c r="AB52" s="102">
        <v>0</v>
      </c>
      <c r="AC52" s="102">
        <v>0</v>
      </c>
      <c r="AD52" s="102">
        <v>0</v>
      </c>
      <c r="AE52" s="102">
        <v>0</v>
      </c>
      <c r="AF52" s="102">
        <v>0</v>
      </c>
      <c r="AG52" s="102">
        <v>0</v>
      </c>
      <c r="AH52" s="102">
        <v>0</v>
      </c>
      <c r="AI52" s="102">
        <v>0</v>
      </c>
      <c r="AJ52" s="102">
        <v>0</v>
      </c>
      <c r="AK52" s="102">
        <v>0</v>
      </c>
      <c r="AL52" s="102">
        <v>0</v>
      </c>
      <c r="AM52" s="102">
        <v>0</v>
      </c>
    </row>
    <row r="53" spans="2:42" x14ac:dyDescent="0.3">
      <c r="B53" s="61" t="s">
        <v>1049</v>
      </c>
      <c r="C53" s="141" t="s">
        <v>1395</v>
      </c>
      <c r="D53" s="102" t="str">
        <f t="shared" si="6"/>
        <v/>
      </c>
      <c r="E53" s="102" t="str">
        <f t="shared" si="6"/>
        <v/>
      </c>
      <c r="F53" s="102" t="str">
        <f t="shared" si="6"/>
        <v/>
      </c>
      <c r="G53" s="155"/>
      <c r="H53" s="102" t="str">
        <f t="shared" si="3"/>
        <v/>
      </c>
      <c r="I53" s="102" t="str">
        <f t="shared" si="1"/>
        <v/>
      </c>
      <c r="J53" s="102" t="str">
        <f t="shared" si="7"/>
        <v/>
      </c>
      <c r="K53" s="683"/>
      <c r="M53" s="102"/>
      <c r="N53" s="102">
        <v>0</v>
      </c>
      <c r="O53" s="102">
        <v>0</v>
      </c>
      <c r="P53" s="102">
        <v>0</v>
      </c>
      <c r="Q53" s="102">
        <v>0</v>
      </c>
      <c r="R53" s="102">
        <v>0</v>
      </c>
      <c r="S53" s="102">
        <v>0</v>
      </c>
      <c r="T53" s="102">
        <v>0</v>
      </c>
      <c r="U53" s="102">
        <v>0</v>
      </c>
      <c r="V53" s="102">
        <v>0</v>
      </c>
      <c r="W53" s="102">
        <v>0</v>
      </c>
      <c r="X53" s="102">
        <v>0</v>
      </c>
      <c r="Y53" s="102">
        <v>0</v>
      </c>
      <c r="Z53" s="102"/>
      <c r="AA53" s="102"/>
      <c r="AB53" s="102">
        <v>0</v>
      </c>
      <c r="AC53" s="102">
        <v>0</v>
      </c>
      <c r="AD53" s="102">
        <v>0</v>
      </c>
      <c r="AE53" s="102">
        <v>0</v>
      </c>
      <c r="AF53" s="102">
        <v>0</v>
      </c>
      <c r="AG53" s="102">
        <v>0</v>
      </c>
      <c r="AH53" s="102">
        <v>0</v>
      </c>
      <c r="AI53" s="102">
        <v>0</v>
      </c>
      <c r="AJ53" s="102">
        <v>0</v>
      </c>
      <c r="AK53" s="102">
        <v>0</v>
      </c>
      <c r="AL53" s="102">
        <v>0</v>
      </c>
      <c r="AM53" s="102">
        <v>0</v>
      </c>
    </row>
    <row r="54" spans="2:42" x14ac:dyDescent="0.3">
      <c r="B54" s="61" t="s">
        <v>1050</v>
      </c>
      <c r="C54" s="141" t="s">
        <v>1396</v>
      </c>
      <c r="D54" s="102">
        <f t="shared" si="6"/>
        <v>23665.139782999999</v>
      </c>
      <c r="E54" s="102">
        <f t="shared" si="6"/>
        <v>19432.224092999997</v>
      </c>
      <c r="F54" s="102">
        <f t="shared" si="6"/>
        <v>6633.7309999999998</v>
      </c>
      <c r="G54" s="155"/>
      <c r="H54" s="102">
        <f t="shared" si="3"/>
        <v>23665.139783000002</v>
      </c>
      <c r="I54" s="102">
        <f t="shared" si="1"/>
        <v>19432.224093000001</v>
      </c>
      <c r="J54" s="102">
        <f t="shared" si="7"/>
        <v>6633.7314219999998</v>
      </c>
      <c r="K54" s="683"/>
      <c r="M54" s="102"/>
      <c r="N54" s="102">
        <v>23665.139782999999</v>
      </c>
      <c r="O54" s="102">
        <v>18425.950559999997</v>
      </c>
      <c r="P54" s="102">
        <v>11373.400921</v>
      </c>
      <c r="Q54" s="102">
        <v>5778.3982900000001</v>
      </c>
      <c r="R54" s="102">
        <v>19432.224092999997</v>
      </c>
      <c r="S54" s="102">
        <v>19385.760365999999</v>
      </c>
      <c r="T54" s="102">
        <v>15034.017894999999</v>
      </c>
      <c r="U54" s="102">
        <v>9701.7425700000003</v>
      </c>
      <c r="V54" s="102">
        <v>17379.403771000001</v>
      </c>
      <c r="W54" s="102">
        <v>15183.035075</v>
      </c>
      <c r="X54" s="102">
        <v>9785.2459999999992</v>
      </c>
      <c r="Y54" s="102">
        <v>6633.7309999999998</v>
      </c>
      <c r="Z54" s="102"/>
      <c r="AA54" s="102"/>
      <c r="AB54" s="102">
        <v>23665.139783000002</v>
      </c>
      <c r="AC54" s="102">
        <v>18425.950560000001</v>
      </c>
      <c r="AD54" s="102">
        <v>11373.400921</v>
      </c>
      <c r="AE54" s="102">
        <v>5778.3982900000001</v>
      </c>
      <c r="AF54" s="102">
        <v>19432.224093000001</v>
      </c>
      <c r="AG54" s="102">
        <v>19385.760365999999</v>
      </c>
      <c r="AH54" s="102">
        <v>15034.017895000001</v>
      </c>
      <c r="AI54" s="102">
        <v>9701.7425700000003</v>
      </c>
      <c r="AJ54" s="102">
        <v>17379.403770999998</v>
      </c>
      <c r="AK54" s="102">
        <v>15183.035075</v>
      </c>
      <c r="AL54" s="102">
        <v>9785.2463680000001</v>
      </c>
      <c r="AM54" s="102">
        <v>6633.7314219999998</v>
      </c>
      <c r="AP54" s="334"/>
    </row>
    <row r="55" spans="2:42" x14ac:dyDescent="0.3">
      <c r="B55" s="61" t="s">
        <v>1051</v>
      </c>
      <c r="C55" s="141" t="s">
        <v>1397</v>
      </c>
      <c r="D55" s="102">
        <f t="shared" si="6"/>
        <v>23665.139782999999</v>
      </c>
      <c r="E55" s="102">
        <f t="shared" si="6"/>
        <v>19432.224092999997</v>
      </c>
      <c r="F55" s="102">
        <f t="shared" si="6"/>
        <v>6633.7309999999998</v>
      </c>
      <c r="G55" s="155"/>
      <c r="H55" s="102">
        <f t="shared" si="3"/>
        <v>23665.139783000002</v>
      </c>
      <c r="I55" s="102">
        <f t="shared" si="1"/>
        <v>19432.224093000001</v>
      </c>
      <c r="J55" s="102">
        <f t="shared" si="7"/>
        <v>6633.7314219999998</v>
      </c>
      <c r="K55" s="683"/>
      <c r="M55" s="102"/>
      <c r="N55" s="102">
        <v>23665.139782999999</v>
      </c>
      <c r="O55" s="102">
        <v>18425.950559999997</v>
      </c>
      <c r="P55" s="102">
        <v>11373.400921</v>
      </c>
      <c r="Q55" s="102">
        <v>5778.3982900000001</v>
      </c>
      <c r="R55" s="102">
        <v>19432.224092999997</v>
      </c>
      <c r="S55" s="102">
        <v>19385.760365999999</v>
      </c>
      <c r="T55" s="102">
        <v>15034.017894999999</v>
      </c>
      <c r="U55" s="102">
        <v>9701.7425700000003</v>
      </c>
      <c r="V55" s="102">
        <v>17379.403771000001</v>
      </c>
      <c r="W55" s="102">
        <v>15183.035075</v>
      </c>
      <c r="X55" s="102">
        <v>9785.2459999999992</v>
      </c>
      <c r="Y55" s="102">
        <v>6633.7309999999998</v>
      </c>
      <c r="Z55" s="102"/>
      <c r="AA55" s="102"/>
      <c r="AB55" s="102">
        <v>23665.139783000002</v>
      </c>
      <c r="AC55" s="102">
        <v>18425.950560000001</v>
      </c>
      <c r="AD55" s="102">
        <v>11373.400921</v>
      </c>
      <c r="AE55" s="102">
        <v>5778.3982900000001</v>
      </c>
      <c r="AF55" s="102">
        <v>19432.224093000001</v>
      </c>
      <c r="AG55" s="102">
        <v>19385.760365999999</v>
      </c>
      <c r="AH55" s="102">
        <v>15034.017895000001</v>
      </c>
      <c r="AI55" s="102">
        <v>9701.7425700000003</v>
      </c>
      <c r="AJ55" s="102">
        <v>17379.403770999998</v>
      </c>
      <c r="AK55" s="102">
        <v>15183.035075</v>
      </c>
      <c r="AL55" s="102">
        <v>9785.2463680000001</v>
      </c>
      <c r="AM55" s="102">
        <v>6633.7314219999998</v>
      </c>
    </row>
    <row r="56" spans="2:42" x14ac:dyDescent="0.3">
      <c r="B56" s="61" t="s">
        <v>1052</v>
      </c>
      <c r="C56" s="141" t="s">
        <v>1398</v>
      </c>
      <c r="D56" s="102">
        <f t="shared" si="6"/>
        <v>24721.505486999999</v>
      </c>
      <c r="E56" s="102">
        <f t="shared" si="6"/>
        <v>19551.450239000002</v>
      </c>
      <c r="F56" s="102">
        <f t="shared" si="6"/>
        <v>7500.1459999999997</v>
      </c>
      <c r="G56" s="155"/>
      <c r="H56" s="102">
        <f t="shared" si="3"/>
        <v>24721.505487000002</v>
      </c>
      <c r="I56" s="102">
        <f t="shared" si="1"/>
        <v>19551.450239000002</v>
      </c>
      <c r="J56" s="102">
        <f t="shared" si="7"/>
        <v>7500.1455329999999</v>
      </c>
      <c r="K56" s="683"/>
      <c r="M56" s="102"/>
      <c r="N56" s="102">
        <v>24721.505486999999</v>
      </c>
      <c r="O56" s="102">
        <v>17841.087212999999</v>
      </c>
      <c r="P56" s="102">
        <v>11206.126727999999</v>
      </c>
      <c r="Q56" s="102">
        <v>5809.4777340000001</v>
      </c>
      <c r="R56" s="102">
        <v>19551.450239000002</v>
      </c>
      <c r="S56" s="102">
        <v>18343.348526999998</v>
      </c>
      <c r="T56" s="102">
        <v>13916.510752</v>
      </c>
      <c r="U56" s="102">
        <v>7860.4870099999998</v>
      </c>
      <c r="V56" s="102">
        <v>26263.901258999998</v>
      </c>
      <c r="W56" s="102">
        <v>18151.276034000002</v>
      </c>
      <c r="X56" s="102">
        <v>12255.709000000001</v>
      </c>
      <c r="Y56" s="102">
        <v>7500.1459999999997</v>
      </c>
      <c r="Z56" s="102"/>
      <c r="AA56" s="102"/>
      <c r="AB56" s="102">
        <v>24721.505487000002</v>
      </c>
      <c r="AC56" s="102">
        <v>17841.087213000003</v>
      </c>
      <c r="AD56" s="102">
        <v>11206.126727999999</v>
      </c>
      <c r="AE56" s="102">
        <v>5809.4777340000001</v>
      </c>
      <c r="AF56" s="102">
        <v>19551.450239000002</v>
      </c>
      <c r="AG56" s="102">
        <v>18343.348526999998</v>
      </c>
      <c r="AH56" s="102">
        <v>13916.510752</v>
      </c>
      <c r="AI56" s="102">
        <v>7860.4870099999998</v>
      </c>
      <c r="AJ56" s="102">
        <v>26263.901258999998</v>
      </c>
      <c r="AK56" s="102">
        <v>18151.276033999999</v>
      </c>
      <c r="AL56" s="102">
        <v>12255.708681</v>
      </c>
      <c r="AM56" s="102">
        <v>7500.1455329999999</v>
      </c>
    </row>
    <row r="57" spans="2:42" x14ac:dyDescent="0.3">
      <c r="B57" s="61" t="s">
        <v>1033</v>
      </c>
      <c r="C57" s="141" t="s">
        <v>1372</v>
      </c>
      <c r="D57" s="102">
        <f t="shared" si="6"/>
        <v>23389.262675000002</v>
      </c>
      <c r="E57" s="102">
        <f t="shared" si="6"/>
        <v>18211.729702000001</v>
      </c>
      <c r="F57" s="102">
        <f t="shared" si="6"/>
        <v>7129.5309999999999</v>
      </c>
      <c r="G57" s="155"/>
      <c r="H57" s="102">
        <f t="shared" si="3"/>
        <v>23389.262675000002</v>
      </c>
      <c r="I57" s="102">
        <f t="shared" si="1"/>
        <v>18211.729702000001</v>
      </c>
      <c r="J57" s="102">
        <f t="shared" si="7"/>
        <v>7129.5305539999999</v>
      </c>
      <c r="K57" s="683"/>
      <c r="M57" s="102"/>
      <c r="N57" s="102">
        <v>23389.262675000002</v>
      </c>
      <c r="O57" s="102">
        <v>16783.633741999998</v>
      </c>
      <c r="P57" s="102">
        <v>10530.764508</v>
      </c>
      <c r="Q57" s="102">
        <v>5481.6207359999999</v>
      </c>
      <c r="R57" s="102">
        <v>18211.729702000001</v>
      </c>
      <c r="S57" s="102">
        <v>17298.357274000002</v>
      </c>
      <c r="T57" s="102">
        <v>13198.473166</v>
      </c>
      <c r="U57" s="102">
        <v>7436.0869419999999</v>
      </c>
      <c r="V57" s="102">
        <v>24617.687194999999</v>
      </c>
      <c r="W57" s="102">
        <v>16913.466649000002</v>
      </c>
      <c r="X57" s="102">
        <v>11531.13</v>
      </c>
      <c r="Y57" s="102">
        <v>7129.5309999999999</v>
      </c>
      <c r="Z57" s="102"/>
      <c r="AA57" s="102"/>
      <c r="AB57" s="102">
        <v>23389.262675000002</v>
      </c>
      <c r="AC57" s="102">
        <v>16783.633742000002</v>
      </c>
      <c r="AD57" s="102">
        <v>10530.764508</v>
      </c>
      <c r="AE57" s="102">
        <v>5481.6207359999999</v>
      </c>
      <c r="AF57" s="102">
        <v>18211.729702000001</v>
      </c>
      <c r="AG57" s="102">
        <v>17298.357274000002</v>
      </c>
      <c r="AH57" s="102">
        <v>13198.473166</v>
      </c>
      <c r="AI57" s="102">
        <v>7436.0869419999999</v>
      </c>
      <c r="AJ57" s="102">
        <v>24617.687194999999</v>
      </c>
      <c r="AK57" s="102">
        <v>16913.466649000002</v>
      </c>
      <c r="AL57" s="102">
        <v>11531.129686</v>
      </c>
      <c r="AM57" s="102">
        <v>7129.5305539999999</v>
      </c>
    </row>
    <row r="58" spans="2:42" x14ac:dyDescent="0.3">
      <c r="B58" s="61" t="s">
        <v>1034</v>
      </c>
      <c r="C58" s="141" t="s">
        <v>1373</v>
      </c>
      <c r="D58" s="102">
        <f t="shared" si="6"/>
        <v>1332.242812</v>
      </c>
      <c r="E58" s="102">
        <f t="shared" si="6"/>
        <v>1339.7205369999999</v>
      </c>
      <c r="F58" s="102">
        <f t="shared" si="6"/>
        <v>370.61500000000001</v>
      </c>
      <c r="G58" s="155"/>
      <c r="H58" s="102">
        <f t="shared" si="3"/>
        <v>1332.242812</v>
      </c>
      <c r="I58" s="102">
        <f t="shared" si="1"/>
        <v>1339.7205369999999</v>
      </c>
      <c r="J58" s="102">
        <f t="shared" si="7"/>
        <v>370.61497900000001</v>
      </c>
      <c r="K58" s="683"/>
      <c r="M58" s="102"/>
      <c r="N58" s="102">
        <v>1332.242812</v>
      </c>
      <c r="O58" s="102">
        <v>1057.4534709999998</v>
      </c>
      <c r="P58" s="102">
        <v>675.36221999999998</v>
      </c>
      <c r="Q58" s="102">
        <v>327.85699800000003</v>
      </c>
      <c r="R58" s="102">
        <v>1339.7205369999999</v>
      </c>
      <c r="S58" s="102">
        <v>1044.9912529999999</v>
      </c>
      <c r="T58" s="102">
        <v>718.03758600000003</v>
      </c>
      <c r="U58" s="102">
        <v>424.40006800000003</v>
      </c>
      <c r="V58" s="102">
        <v>1646.214064</v>
      </c>
      <c r="W58" s="102">
        <v>1237.809385</v>
      </c>
      <c r="X58" s="102">
        <v>724.57899999999995</v>
      </c>
      <c r="Y58" s="102">
        <v>370.61500000000001</v>
      </c>
      <c r="Z58" s="102"/>
      <c r="AA58" s="102"/>
      <c r="AB58" s="102">
        <v>1332.242812</v>
      </c>
      <c r="AC58" s="102">
        <v>1057.453471</v>
      </c>
      <c r="AD58" s="102">
        <v>675.36221999999998</v>
      </c>
      <c r="AE58" s="102">
        <v>327.85699799999998</v>
      </c>
      <c r="AF58" s="102">
        <v>1339.7205369999999</v>
      </c>
      <c r="AG58" s="102">
        <v>1044.9912529999999</v>
      </c>
      <c r="AH58" s="102">
        <v>718.03758600000003</v>
      </c>
      <c r="AI58" s="102">
        <v>424.40006799999998</v>
      </c>
      <c r="AJ58" s="102">
        <v>1646.214064</v>
      </c>
      <c r="AK58" s="102">
        <v>1237.809385</v>
      </c>
      <c r="AL58" s="102">
        <v>724.57899499999996</v>
      </c>
      <c r="AM58" s="102">
        <v>370.61497900000001</v>
      </c>
    </row>
    <row r="59" spans="2:42" x14ac:dyDescent="0.3">
      <c r="B59" s="61" t="s">
        <v>1035</v>
      </c>
      <c r="C59" s="141" t="s">
        <v>1375</v>
      </c>
      <c r="D59" s="102" t="str">
        <f t="shared" si="6"/>
        <v/>
      </c>
      <c r="E59" s="102" t="str">
        <f t="shared" si="6"/>
        <v/>
      </c>
      <c r="F59" s="102" t="str">
        <f t="shared" si="6"/>
        <v/>
      </c>
      <c r="G59" s="155"/>
      <c r="H59" s="102" t="str">
        <f t="shared" si="3"/>
        <v/>
      </c>
      <c r="I59" s="102" t="str">
        <f t="shared" si="1"/>
        <v/>
      </c>
      <c r="J59" s="102" t="str">
        <f t="shared" si="7"/>
        <v/>
      </c>
      <c r="K59" s="683"/>
      <c r="M59" s="102"/>
      <c r="N59" s="102">
        <v>0</v>
      </c>
      <c r="O59" s="102">
        <v>0</v>
      </c>
      <c r="P59" s="102">
        <v>0</v>
      </c>
      <c r="Q59" s="102">
        <v>0</v>
      </c>
      <c r="R59" s="102">
        <v>0</v>
      </c>
      <c r="S59" s="102">
        <v>0</v>
      </c>
      <c r="T59" s="102">
        <v>0</v>
      </c>
      <c r="U59" s="102">
        <v>0</v>
      </c>
      <c r="V59" s="102">
        <v>0</v>
      </c>
      <c r="W59" s="102">
        <v>0</v>
      </c>
      <c r="X59" s="102">
        <v>0</v>
      </c>
      <c r="Y59" s="102">
        <v>0</v>
      </c>
      <c r="Z59" s="102"/>
      <c r="AA59" s="102"/>
      <c r="AB59" s="102">
        <v>0</v>
      </c>
      <c r="AC59" s="102">
        <v>0</v>
      </c>
      <c r="AD59" s="102">
        <v>0</v>
      </c>
      <c r="AE59" s="102">
        <v>0</v>
      </c>
      <c r="AF59" s="102">
        <v>0</v>
      </c>
      <c r="AG59" s="102">
        <v>0</v>
      </c>
      <c r="AH59" s="102">
        <v>0</v>
      </c>
      <c r="AI59" s="102">
        <v>0</v>
      </c>
      <c r="AJ59" s="102">
        <v>0</v>
      </c>
      <c r="AK59" s="102">
        <v>0</v>
      </c>
      <c r="AL59" s="102">
        <v>0</v>
      </c>
      <c r="AM59" s="102">
        <v>0</v>
      </c>
    </row>
    <row r="60" spans="2:42" x14ac:dyDescent="0.3">
      <c r="B60" s="61" t="s">
        <v>1053</v>
      </c>
      <c r="C60" s="141" t="s">
        <v>1399</v>
      </c>
      <c r="D60" s="102">
        <f t="shared" si="6"/>
        <v>2046.7984809999998</v>
      </c>
      <c r="E60" s="102">
        <f t="shared" si="6"/>
        <v>461.41107400000004</v>
      </c>
      <c r="F60" s="102">
        <f t="shared" si="6"/>
        <v>114.28400000000001</v>
      </c>
      <c r="G60" s="155"/>
      <c r="H60" s="102">
        <f t="shared" si="3"/>
        <v>2046.798481</v>
      </c>
      <c r="I60" s="102">
        <f t="shared" si="1"/>
        <v>461.41107399999999</v>
      </c>
      <c r="J60" s="102">
        <f t="shared" si="7"/>
        <v>39.082008999999999</v>
      </c>
      <c r="K60" s="683"/>
      <c r="M60" s="102"/>
      <c r="N60" s="102">
        <v>2046.7984809999998</v>
      </c>
      <c r="O60" s="102">
        <v>592.19169700000009</v>
      </c>
      <c r="P60" s="102">
        <v>310.50755699999996</v>
      </c>
      <c r="Q60" s="102">
        <v>124.415249</v>
      </c>
      <c r="R60" s="102">
        <v>461.41107400000004</v>
      </c>
      <c r="S60" s="102">
        <v>527.04506800000001</v>
      </c>
      <c r="T60" s="102">
        <v>-36.882144999999994</v>
      </c>
      <c r="U60" s="102">
        <v>-41.022672</v>
      </c>
      <c r="V60" s="102">
        <v>-2197.1165770000002</v>
      </c>
      <c r="W60" s="102">
        <v>-138.229917</v>
      </c>
      <c r="X60" s="102">
        <v>-35.185000000000002</v>
      </c>
      <c r="Y60" s="102">
        <v>114.28400000000001</v>
      </c>
      <c r="Z60" s="102"/>
      <c r="AA60" s="102"/>
      <c r="AB60" s="102">
        <v>2046.798481</v>
      </c>
      <c r="AC60" s="102">
        <v>592.19169699999998</v>
      </c>
      <c r="AD60" s="102">
        <v>310.50755700000002</v>
      </c>
      <c r="AE60" s="102">
        <v>124.415249</v>
      </c>
      <c r="AF60" s="102">
        <v>461.41107399999999</v>
      </c>
      <c r="AG60" s="102">
        <v>527.04506800000001</v>
      </c>
      <c r="AH60" s="102">
        <v>-36.882145000000001</v>
      </c>
      <c r="AI60" s="102">
        <v>-41.022672</v>
      </c>
      <c r="AJ60" s="102">
        <v>-2197.1165769999998</v>
      </c>
      <c r="AK60" s="102">
        <v>-138.229917</v>
      </c>
      <c r="AL60" s="102">
        <v>-35.185417999999999</v>
      </c>
      <c r="AM60" s="102">
        <v>39.082008999999999</v>
      </c>
    </row>
    <row r="61" spans="2:42" x14ac:dyDescent="0.3">
      <c r="B61" s="61" t="s">
        <v>1046</v>
      </c>
      <c r="C61" s="141" t="s">
        <v>1400</v>
      </c>
      <c r="D61" s="102">
        <f t="shared" si="6"/>
        <v>-2977.4719530000002</v>
      </c>
      <c r="E61" s="102">
        <f t="shared" si="6"/>
        <v>-457.55147600000004</v>
      </c>
      <c r="F61" s="102">
        <f t="shared" si="6"/>
        <v>-905.49599999999998</v>
      </c>
      <c r="G61" s="155"/>
      <c r="H61" s="102">
        <f t="shared" si="3"/>
        <v>-2977.4719530000002</v>
      </c>
      <c r="I61" s="102">
        <f t="shared" si="1"/>
        <v>-457.55147600000009</v>
      </c>
      <c r="J61" s="102">
        <f t="shared" si="7"/>
        <v>-905.49611999999991</v>
      </c>
      <c r="K61" s="683"/>
      <c r="M61" s="102"/>
      <c r="N61" s="102">
        <v>-2977.4719530000002</v>
      </c>
      <c r="O61" s="102">
        <v>81.816023000000001</v>
      </c>
      <c r="P61" s="102">
        <v>-86.085540999999992</v>
      </c>
      <c r="Q61" s="102">
        <v>-127.002224</v>
      </c>
      <c r="R61" s="102">
        <v>-457.55147600000004</v>
      </c>
      <c r="S61" s="102">
        <v>601.45578599999999</v>
      </c>
      <c r="T61" s="102">
        <v>1209.5635619999998</v>
      </c>
      <c r="U61" s="102">
        <v>1909.9112769999999</v>
      </c>
      <c r="V61" s="102">
        <v>-6379.1087159999997</v>
      </c>
      <c r="W61" s="102">
        <v>-2614.6165339999998</v>
      </c>
      <c r="X61" s="102">
        <v>-2286.8580000000002</v>
      </c>
      <c r="Y61" s="102">
        <v>-905.49599999999998</v>
      </c>
      <c r="Z61" s="102"/>
      <c r="AA61" s="102"/>
      <c r="AB61" s="102">
        <v>-2977.4719530000002</v>
      </c>
      <c r="AC61" s="102">
        <v>81.816022999999973</v>
      </c>
      <c r="AD61" s="102">
        <v>-86.085541000000035</v>
      </c>
      <c r="AE61" s="102">
        <v>-127.002224</v>
      </c>
      <c r="AF61" s="102">
        <v>-457.55147600000009</v>
      </c>
      <c r="AG61" s="102">
        <v>601.45578599999999</v>
      </c>
      <c r="AH61" s="102">
        <v>1209.563562</v>
      </c>
      <c r="AI61" s="102">
        <v>1909.9112769999999</v>
      </c>
      <c r="AJ61" s="102">
        <v>-6379.1087159999997</v>
      </c>
      <c r="AK61" s="102">
        <v>-2614.6165339999998</v>
      </c>
      <c r="AL61" s="102">
        <v>-2286.8578550000002</v>
      </c>
      <c r="AM61" s="102">
        <v>-905.49611999999991</v>
      </c>
    </row>
    <row r="62" spans="2:42" x14ac:dyDescent="0.3">
      <c r="B62" s="61" t="s">
        <v>1040</v>
      </c>
      <c r="C62" s="141" t="s">
        <v>1401</v>
      </c>
      <c r="D62" s="102">
        <f t="shared" si="6"/>
        <v>-1571.8335749999999</v>
      </c>
      <c r="E62" s="102">
        <f t="shared" si="6"/>
        <v>1100.002837</v>
      </c>
      <c r="F62" s="102">
        <f t="shared" si="6"/>
        <v>-592.98299999999995</v>
      </c>
      <c r="G62" s="155"/>
      <c r="H62" s="102">
        <f t="shared" si="3"/>
        <v>-1571.8335750000001</v>
      </c>
      <c r="I62" s="102">
        <f t="shared" si="1"/>
        <v>1100.002837</v>
      </c>
      <c r="J62" s="102">
        <f t="shared" si="7"/>
        <v>-592.98325699999998</v>
      </c>
      <c r="K62" s="683"/>
      <c r="M62" s="102"/>
      <c r="N62" s="102">
        <v>-1571.8335749999999</v>
      </c>
      <c r="O62" s="102">
        <v>1005.210052</v>
      </c>
      <c r="P62" s="102">
        <v>459.77261399999998</v>
      </c>
      <c r="Q62" s="102">
        <v>110.32000199999999</v>
      </c>
      <c r="R62" s="102">
        <v>1100.002837</v>
      </c>
      <c r="S62" s="102">
        <v>1740.5672890000001</v>
      </c>
      <c r="T62" s="102">
        <v>2086.9525100000001</v>
      </c>
      <c r="U62" s="102">
        <v>2199.399512</v>
      </c>
      <c r="V62" s="102">
        <v>-4870.9988979999998</v>
      </c>
      <c r="W62" s="102">
        <v>-1705.3256859999999</v>
      </c>
      <c r="X62" s="102">
        <v>-1622.4639999999999</v>
      </c>
      <c r="Y62" s="102">
        <v>-592.98299999999995</v>
      </c>
      <c r="Z62" s="102"/>
      <c r="AA62" s="102"/>
      <c r="AB62" s="102">
        <v>-1571.8335750000001</v>
      </c>
      <c r="AC62" s="102">
        <v>1005.210052</v>
      </c>
      <c r="AD62" s="102">
        <v>459.77261399999998</v>
      </c>
      <c r="AE62" s="102">
        <v>110.320002</v>
      </c>
      <c r="AF62" s="102">
        <v>1100.002837</v>
      </c>
      <c r="AG62" s="102">
        <v>1740.5672890000001</v>
      </c>
      <c r="AH62" s="102">
        <v>2086.9525100000001</v>
      </c>
      <c r="AI62" s="102">
        <v>2199.399512</v>
      </c>
      <c r="AJ62" s="102">
        <v>-4870.9988979999998</v>
      </c>
      <c r="AK62" s="102">
        <v>-1705.3256859999999</v>
      </c>
      <c r="AL62" s="102">
        <v>-1622.4639749999999</v>
      </c>
      <c r="AM62" s="102">
        <v>-592.98325699999998</v>
      </c>
    </row>
    <row r="63" spans="2:42" x14ac:dyDescent="0.3">
      <c r="B63" s="61" t="s">
        <v>1041</v>
      </c>
      <c r="C63" s="141" t="s">
        <v>1402</v>
      </c>
      <c r="D63" s="102">
        <f t="shared" si="6"/>
        <v>-1405.6383780000001</v>
      </c>
      <c r="E63" s="102">
        <f t="shared" si="6"/>
        <v>-1557.5543130000001</v>
      </c>
      <c r="F63" s="102">
        <f t="shared" si="6"/>
        <v>-312.51299999999998</v>
      </c>
      <c r="G63" s="155"/>
      <c r="H63" s="102">
        <f t="shared" si="3"/>
        <v>-1405.6383780000001</v>
      </c>
      <c r="I63" s="102">
        <f t="shared" si="1"/>
        <v>-1557.5543130000001</v>
      </c>
      <c r="J63" s="102">
        <f t="shared" si="7"/>
        <v>-312.51286299999998</v>
      </c>
      <c r="K63" s="683"/>
      <c r="M63" s="102"/>
      <c r="N63" s="102">
        <v>-1405.6383780000001</v>
      </c>
      <c r="O63" s="102">
        <v>-923.39402899999993</v>
      </c>
      <c r="P63" s="102">
        <v>-545.85815500000001</v>
      </c>
      <c r="Q63" s="102">
        <v>-237.322226</v>
      </c>
      <c r="R63" s="102">
        <v>-1557.5543130000001</v>
      </c>
      <c r="S63" s="102">
        <v>-1139.1115030000001</v>
      </c>
      <c r="T63" s="102">
        <v>-877.38894800000003</v>
      </c>
      <c r="U63" s="102">
        <v>-289.48823499999997</v>
      </c>
      <c r="V63" s="102">
        <v>-1508.1098179999999</v>
      </c>
      <c r="W63" s="102">
        <v>-909.29084799999998</v>
      </c>
      <c r="X63" s="102">
        <v>-664.39400000000001</v>
      </c>
      <c r="Y63" s="102">
        <v>-312.51299999999998</v>
      </c>
      <c r="Z63" s="102"/>
      <c r="AA63" s="102"/>
      <c r="AB63" s="102">
        <v>-1405.6383780000001</v>
      </c>
      <c r="AC63" s="102">
        <v>-923.39402900000005</v>
      </c>
      <c r="AD63" s="102">
        <v>-545.85815500000001</v>
      </c>
      <c r="AE63" s="102">
        <v>-237.322226</v>
      </c>
      <c r="AF63" s="102">
        <v>-1557.5543130000001</v>
      </c>
      <c r="AG63" s="102">
        <v>-1139.1115030000001</v>
      </c>
      <c r="AH63" s="102">
        <v>-877.38894800000003</v>
      </c>
      <c r="AI63" s="102">
        <v>-289.48823499999997</v>
      </c>
      <c r="AJ63" s="102">
        <v>-1508.1098179999999</v>
      </c>
      <c r="AK63" s="102">
        <v>-909.29084799999998</v>
      </c>
      <c r="AL63" s="102">
        <v>-664.39387999999997</v>
      </c>
      <c r="AM63" s="102">
        <v>-312.51286299999998</v>
      </c>
    </row>
    <row r="64" spans="2:42" x14ac:dyDescent="0.3">
      <c r="B64" s="61" t="s">
        <v>1054</v>
      </c>
      <c r="C64" s="141" t="s">
        <v>1403</v>
      </c>
      <c r="D64" s="102">
        <f t="shared" si="6"/>
        <v>-125.692232</v>
      </c>
      <c r="E64" s="102">
        <f t="shared" si="6"/>
        <v>-123.08574400000001</v>
      </c>
      <c r="F64" s="102">
        <f t="shared" si="6"/>
        <v>-75.201999999999998</v>
      </c>
      <c r="G64" s="155"/>
      <c r="H64" s="102">
        <f t="shared" si="3"/>
        <v>-125.692232</v>
      </c>
      <c r="I64" s="102">
        <f t="shared" si="1"/>
        <v>-123.08574400000001</v>
      </c>
      <c r="J64" s="102" t="str">
        <f t="shared" si="7"/>
        <v/>
      </c>
      <c r="K64" s="683"/>
      <c r="M64" s="102"/>
      <c r="N64" s="102">
        <v>-125.692232</v>
      </c>
      <c r="O64" s="102">
        <v>-89.144373000000002</v>
      </c>
      <c r="P64" s="102">
        <v>-57.147822999999995</v>
      </c>
      <c r="Q64" s="102">
        <v>-28.492469</v>
      </c>
      <c r="R64" s="102">
        <v>-123.08574400000001</v>
      </c>
      <c r="S64" s="102">
        <v>-86.089015000000003</v>
      </c>
      <c r="T64" s="102">
        <v>-55.174273999999997</v>
      </c>
      <c r="U64" s="102">
        <v>-27.633044999999999</v>
      </c>
      <c r="V64" s="102">
        <v>-308.27219500000001</v>
      </c>
      <c r="W64" s="102">
        <v>-215.394508</v>
      </c>
      <c r="X64" s="102">
        <v>-148.41900000000001</v>
      </c>
      <c r="Y64" s="102">
        <v>-75.201999999999998</v>
      </c>
      <c r="Z64" s="102"/>
      <c r="AA64" s="102"/>
      <c r="AB64" s="102">
        <v>-125.692232</v>
      </c>
      <c r="AC64" s="102">
        <v>-89.144373000000002</v>
      </c>
      <c r="AD64" s="102">
        <v>-57.147823000000002</v>
      </c>
      <c r="AE64" s="102">
        <v>-28.492469</v>
      </c>
      <c r="AF64" s="102">
        <v>-123.08574400000001</v>
      </c>
      <c r="AG64" s="102">
        <v>-86.089015000000003</v>
      </c>
      <c r="AH64" s="102">
        <v>-55.174273999999997</v>
      </c>
      <c r="AI64" s="102">
        <v>-27.633044999999999</v>
      </c>
      <c r="AJ64" s="102">
        <v>-308.27219500000001</v>
      </c>
      <c r="AK64" s="102">
        <v>-215.394508</v>
      </c>
      <c r="AL64" s="102">
        <v>-148.41904</v>
      </c>
      <c r="AM64" s="102">
        <v>0</v>
      </c>
    </row>
    <row r="65" spans="2:39" x14ac:dyDescent="0.3">
      <c r="B65" s="61" t="s">
        <v>1055</v>
      </c>
      <c r="C65" s="141" t="s">
        <v>1404</v>
      </c>
      <c r="D65" s="102" t="str">
        <f t="shared" si="6"/>
        <v/>
      </c>
      <c r="E65" s="102" t="str">
        <f t="shared" si="6"/>
        <v/>
      </c>
      <c r="F65" s="102" t="str">
        <f t="shared" si="6"/>
        <v/>
      </c>
      <c r="G65" s="155"/>
      <c r="H65" s="102" t="str">
        <f t="shared" si="3"/>
        <v/>
      </c>
      <c r="I65" s="102" t="str">
        <f t="shared" si="1"/>
        <v/>
      </c>
      <c r="J65" s="102" t="str">
        <f t="shared" si="7"/>
        <v/>
      </c>
      <c r="K65" s="683"/>
      <c r="M65" s="102"/>
      <c r="N65" s="102">
        <v>0</v>
      </c>
      <c r="O65" s="102">
        <v>0</v>
      </c>
      <c r="P65" s="102">
        <v>0</v>
      </c>
      <c r="Q65" s="102">
        <v>0</v>
      </c>
      <c r="R65" s="102">
        <v>0</v>
      </c>
      <c r="S65" s="102">
        <v>0</v>
      </c>
      <c r="T65" s="102">
        <v>0</v>
      </c>
      <c r="U65" s="102">
        <v>0</v>
      </c>
      <c r="V65" s="102">
        <v>0</v>
      </c>
      <c r="W65" s="102">
        <v>0</v>
      </c>
      <c r="X65" s="102">
        <v>0</v>
      </c>
      <c r="Y65" s="102">
        <v>0</v>
      </c>
      <c r="Z65" s="102"/>
      <c r="AA65" s="102"/>
      <c r="AB65" s="102">
        <v>0</v>
      </c>
      <c r="AC65" s="102">
        <v>0</v>
      </c>
      <c r="AD65" s="102">
        <v>0</v>
      </c>
      <c r="AE65" s="102">
        <v>0</v>
      </c>
      <c r="AF65" s="102">
        <v>0</v>
      </c>
      <c r="AG65" s="102">
        <v>0</v>
      </c>
      <c r="AH65" s="102">
        <v>0</v>
      </c>
      <c r="AI65" s="102">
        <v>0</v>
      </c>
      <c r="AJ65" s="102">
        <v>0</v>
      </c>
      <c r="AK65" s="102">
        <v>0</v>
      </c>
      <c r="AL65" s="102">
        <v>0</v>
      </c>
      <c r="AM65" s="102">
        <v>0</v>
      </c>
    </row>
    <row r="66" spans="2:39" x14ac:dyDescent="0.3">
      <c r="B66" s="61" t="s">
        <v>1056</v>
      </c>
      <c r="C66" s="141" t="s">
        <v>1405</v>
      </c>
      <c r="D66" s="102" t="str">
        <f t="shared" ref="D66:F85" si="8">IF(HLOOKUP(D$5,$M$5:$Y$319,ROW()-ROW($F$4),FALSE)=0,"",HLOOKUP(D$5,$M$5:$Y$319,ROW()-ROW($F$4),FALSE))</f>
        <v/>
      </c>
      <c r="E66" s="102" t="str">
        <f t="shared" si="8"/>
        <v/>
      </c>
      <c r="F66" s="102" t="str">
        <f t="shared" si="8"/>
        <v/>
      </c>
      <c r="G66" s="155"/>
      <c r="H66" s="102" t="str">
        <f t="shared" si="3"/>
        <v/>
      </c>
      <c r="I66" s="102" t="str">
        <f t="shared" si="1"/>
        <v/>
      </c>
      <c r="J66" s="102" t="str">
        <f t="shared" ref="J66:J85" si="9">IF(HLOOKUP(J$5,$AA$5:$AM$315,ROW()-ROW($J$4),FALSE)=0,"",HLOOKUP(J$5,$AA$5:$AM$315,ROW()-ROW($J$4),FALSE))</f>
        <v/>
      </c>
      <c r="K66" s="683"/>
      <c r="M66" s="102"/>
      <c r="N66" s="102">
        <v>0</v>
      </c>
      <c r="O66" s="102">
        <v>0</v>
      </c>
      <c r="P66" s="102">
        <v>0</v>
      </c>
      <c r="Q66" s="102">
        <v>0</v>
      </c>
      <c r="R66" s="102">
        <v>0</v>
      </c>
      <c r="S66" s="102">
        <v>0</v>
      </c>
      <c r="T66" s="102">
        <v>0</v>
      </c>
      <c r="U66" s="102">
        <v>0</v>
      </c>
      <c r="V66" s="102">
        <v>0</v>
      </c>
      <c r="W66" s="102">
        <v>0</v>
      </c>
      <c r="X66" s="102">
        <v>0</v>
      </c>
      <c r="Y66" s="102">
        <v>0</v>
      </c>
      <c r="Z66" s="102"/>
      <c r="AA66" s="102"/>
      <c r="AB66" s="102">
        <v>0</v>
      </c>
      <c r="AC66" s="102">
        <v>0</v>
      </c>
      <c r="AD66" s="102">
        <v>0</v>
      </c>
      <c r="AE66" s="102">
        <v>0</v>
      </c>
      <c r="AF66" s="102">
        <v>0</v>
      </c>
      <c r="AG66" s="102">
        <v>0</v>
      </c>
      <c r="AH66" s="102">
        <v>0</v>
      </c>
      <c r="AI66" s="102">
        <v>0</v>
      </c>
      <c r="AJ66" s="102">
        <v>0</v>
      </c>
      <c r="AK66" s="102">
        <v>0</v>
      </c>
      <c r="AL66" s="102">
        <v>0</v>
      </c>
      <c r="AM66" s="102">
        <v>0</v>
      </c>
    </row>
    <row r="67" spans="2:39" x14ac:dyDescent="0.3">
      <c r="B67" s="61" t="s">
        <v>1052</v>
      </c>
      <c r="C67" s="141" t="s">
        <v>1406</v>
      </c>
      <c r="D67" s="102" t="str">
        <f t="shared" si="8"/>
        <v/>
      </c>
      <c r="E67" s="102" t="str">
        <f t="shared" si="8"/>
        <v/>
      </c>
      <c r="F67" s="102" t="str">
        <f t="shared" si="8"/>
        <v/>
      </c>
      <c r="G67" s="155"/>
      <c r="H67" s="102" t="str">
        <f t="shared" si="3"/>
        <v/>
      </c>
      <c r="I67" s="102" t="str">
        <f t="shared" si="1"/>
        <v/>
      </c>
      <c r="J67" s="102" t="str">
        <f t="shared" si="9"/>
        <v/>
      </c>
      <c r="K67" s="683"/>
      <c r="M67" s="102"/>
      <c r="N67" s="102">
        <v>0</v>
      </c>
      <c r="O67" s="102">
        <v>0</v>
      </c>
      <c r="P67" s="102">
        <v>0</v>
      </c>
      <c r="Q67" s="102">
        <v>0</v>
      </c>
      <c r="R67" s="102">
        <v>0</v>
      </c>
      <c r="S67" s="102">
        <v>0</v>
      </c>
      <c r="T67" s="102">
        <v>0</v>
      </c>
      <c r="U67" s="102">
        <v>0</v>
      </c>
      <c r="V67" s="102">
        <v>0</v>
      </c>
      <c r="W67" s="102">
        <v>0</v>
      </c>
      <c r="X67" s="102">
        <v>0</v>
      </c>
      <c r="Y67" s="102">
        <v>0</v>
      </c>
      <c r="Z67" s="102"/>
      <c r="AA67" s="102"/>
      <c r="AB67" s="102">
        <v>0</v>
      </c>
      <c r="AC67" s="102">
        <v>0</v>
      </c>
      <c r="AD67" s="102">
        <v>0</v>
      </c>
      <c r="AE67" s="102">
        <v>0</v>
      </c>
      <c r="AF67" s="102">
        <v>0</v>
      </c>
      <c r="AG67" s="102">
        <v>0</v>
      </c>
      <c r="AH67" s="102">
        <v>0</v>
      </c>
      <c r="AI67" s="102">
        <v>0</v>
      </c>
      <c r="AJ67" s="102">
        <v>0</v>
      </c>
      <c r="AK67" s="102">
        <v>0</v>
      </c>
      <c r="AL67" s="102">
        <v>0</v>
      </c>
      <c r="AM67" s="102">
        <v>0</v>
      </c>
    </row>
    <row r="68" spans="2:39" x14ac:dyDescent="0.3">
      <c r="B68" s="61" t="s">
        <v>1033</v>
      </c>
      <c r="C68" s="141" t="s">
        <v>1407</v>
      </c>
      <c r="D68" s="102" t="str">
        <f t="shared" si="8"/>
        <v/>
      </c>
      <c r="E68" s="102" t="str">
        <f t="shared" si="8"/>
        <v/>
      </c>
      <c r="F68" s="102" t="str">
        <f t="shared" si="8"/>
        <v/>
      </c>
      <c r="G68" s="155"/>
      <c r="H68" s="102" t="str">
        <f t="shared" si="3"/>
        <v/>
      </c>
      <c r="I68" s="102" t="str">
        <f t="shared" si="1"/>
        <v/>
      </c>
      <c r="J68" s="102" t="str">
        <f t="shared" si="9"/>
        <v/>
      </c>
      <c r="K68" s="683"/>
      <c r="M68" s="102"/>
      <c r="N68" s="102">
        <v>0</v>
      </c>
      <c r="O68" s="102">
        <v>0</v>
      </c>
      <c r="P68" s="102">
        <v>0</v>
      </c>
      <c r="Q68" s="102">
        <v>0</v>
      </c>
      <c r="R68" s="102">
        <v>0</v>
      </c>
      <c r="S68" s="102">
        <v>0</v>
      </c>
      <c r="T68" s="102">
        <v>0</v>
      </c>
      <c r="U68" s="102">
        <v>0</v>
      </c>
      <c r="V68" s="102">
        <v>0</v>
      </c>
      <c r="W68" s="102">
        <v>0</v>
      </c>
      <c r="X68" s="102">
        <v>0</v>
      </c>
      <c r="Y68" s="102">
        <v>0</v>
      </c>
      <c r="Z68" s="102"/>
      <c r="AA68" s="102"/>
      <c r="AB68" s="102">
        <v>0</v>
      </c>
      <c r="AC68" s="102">
        <v>0</v>
      </c>
      <c r="AD68" s="102">
        <v>0</v>
      </c>
      <c r="AE68" s="102">
        <v>0</v>
      </c>
      <c r="AF68" s="102">
        <v>0</v>
      </c>
      <c r="AG68" s="102">
        <v>0</v>
      </c>
      <c r="AH68" s="102">
        <v>0</v>
      </c>
      <c r="AI68" s="102">
        <v>0</v>
      </c>
      <c r="AJ68" s="102">
        <v>0</v>
      </c>
      <c r="AK68" s="102">
        <v>0</v>
      </c>
      <c r="AL68" s="102">
        <v>0</v>
      </c>
      <c r="AM68" s="102">
        <v>0</v>
      </c>
    </row>
    <row r="69" spans="2:39" x14ac:dyDescent="0.3">
      <c r="B69" s="61" t="s">
        <v>1034</v>
      </c>
      <c r="C69" s="141" t="s">
        <v>1408</v>
      </c>
      <c r="D69" s="102" t="str">
        <f t="shared" si="8"/>
        <v/>
      </c>
      <c r="E69" s="102" t="str">
        <f t="shared" si="8"/>
        <v/>
      </c>
      <c r="F69" s="102" t="str">
        <f t="shared" si="8"/>
        <v/>
      </c>
      <c r="G69" s="155"/>
      <c r="H69" s="102" t="str">
        <f t="shared" si="3"/>
        <v/>
      </c>
      <c r="I69" s="102" t="str">
        <f t="shared" si="1"/>
        <v/>
      </c>
      <c r="J69" s="102" t="str">
        <f t="shared" si="9"/>
        <v/>
      </c>
      <c r="K69" s="683"/>
      <c r="M69" s="102"/>
      <c r="N69" s="102">
        <v>0</v>
      </c>
      <c r="O69" s="102">
        <v>0</v>
      </c>
      <c r="P69" s="102">
        <v>0</v>
      </c>
      <c r="Q69" s="102">
        <v>0</v>
      </c>
      <c r="R69" s="102">
        <v>0</v>
      </c>
      <c r="S69" s="102">
        <v>0</v>
      </c>
      <c r="T69" s="102">
        <v>0</v>
      </c>
      <c r="U69" s="102">
        <v>0</v>
      </c>
      <c r="V69" s="102">
        <v>0</v>
      </c>
      <c r="W69" s="102">
        <v>0</v>
      </c>
      <c r="X69" s="102">
        <v>0</v>
      </c>
      <c r="Y69" s="102">
        <v>0</v>
      </c>
      <c r="Z69" s="102"/>
      <c r="AA69" s="102"/>
      <c r="AB69" s="102">
        <v>0</v>
      </c>
      <c r="AC69" s="102">
        <v>0</v>
      </c>
      <c r="AD69" s="102">
        <v>0</v>
      </c>
      <c r="AE69" s="102">
        <v>0</v>
      </c>
      <c r="AF69" s="102">
        <v>0</v>
      </c>
      <c r="AG69" s="102">
        <v>0</v>
      </c>
      <c r="AH69" s="102">
        <v>0</v>
      </c>
      <c r="AI69" s="102">
        <v>0</v>
      </c>
      <c r="AJ69" s="102">
        <v>0</v>
      </c>
      <c r="AK69" s="102">
        <v>0</v>
      </c>
      <c r="AL69" s="102">
        <v>0</v>
      </c>
      <c r="AM69" s="102">
        <v>0</v>
      </c>
    </row>
    <row r="70" spans="2:39" x14ac:dyDescent="0.3">
      <c r="B70" s="61" t="s">
        <v>1035</v>
      </c>
      <c r="C70" s="141" t="s">
        <v>1409</v>
      </c>
      <c r="D70" s="102" t="str">
        <f t="shared" si="8"/>
        <v/>
      </c>
      <c r="E70" s="102" t="str">
        <f t="shared" si="8"/>
        <v/>
      </c>
      <c r="F70" s="102" t="str">
        <f t="shared" si="8"/>
        <v/>
      </c>
      <c r="G70" s="155"/>
      <c r="H70" s="102" t="str">
        <f t="shared" si="3"/>
        <v/>
      </c>
      <c r="I70" s="102" t="str">
        <f t="shared" si="3"/>
        <v/>
      </c>
      <c r="J70" s="102" t="str">
        <f t="shared" si="9"/>
        <v/>
      </c>
      <c r="K70" s="683"/>
      <c r="M70" s="102"/>
      <c r="N70" s="102">
        <v>0</v>
      </c>
      <c r="O70" s="102">
        <v>0</v>
      </c>
      <c r="P70" s="102">
        <v>0</v>
      </c>
      <c r="Q70" s="102">
        <v>0</v>
      </c>
      <c r="R70" s="102">
        <v>0</v>
      </c>
      <c r="S70" s="102">
        <v>0</v>
      </c>
      <c r="T70" s="102">
        <v>0</v>
      </c>
      <c r="U70" s="102">
        <v>0</v>
      </c>
      <c r="V70" s="102">
        <v>0</v>
      </c>
      <c r="W70" s="102">
        <v>0</v>
      </c>
      <c r="X70" s="102">
        <v>0</v>
      </c>
      <c r="Y70" s="102">
        <v>0</v>
      </c>
      <c r="Z70" s="102"/>
      <c r="AA70" s="102"/>
      <c r="AB70" s="102">
        <v>0</v>
      </c>
      <c r="AC70" s="102">
        <v>0</v>
      </c>
      <c r="AD70" s="102">
        <v>0</v>
      </c>
      <c r="AE70" s="102">
        <v>0</v>
      </c>
      <c r="AF70" s="102">
        <v>0</v>
      </c>
      <c r="AG70" s="102">
        <v>0</v>
      </c>
      <c r="AH70" s="102">
        <v>0</v>
      </c>
      <c r="AI70" s="102">
        <v>0</v>
      </c>
      <c r="AJ70" s="102">
        <v>0</v>
      </c>
      <c r="AK70" s="102">
        <v>0</v>
      </c>
      <c r="AL70" s="102">
        <v>0</v>
      </c>
      <c r="AM70" s="102">
        <v>0</v>
      </c>
    </row>
    <row r="71" spans="2:39" x14ac:dyDescent="0.3">
      <c r="B71" s="61" t="s">
        <v>1053</v>
      </c>
      <c r="C71" s="141" t="s">
        <v>1399</v>
      </c>
      <c r="D71" s="102" t="str">
        <f t="shared" si="8"/>
        <v/>
      </c>
      <c r="E71" s="102" t="str">
        <f t="shared" si="8"/>
        <v/>
      </c>
      <c r="F71" s="102" t="str">
        <f t="shared" si="8"/>
        <v/>
      </c>
      <c r="G71" s="155"/>
      <c r="H71" s="102" t="str">
        <f t="shared" ref="H71:I134" si="10">IF(HLOOKUP(H$5,$AA$5:$AM$315,ROW()-ROW($J$4),FALSE)=0,"",HLOOKUP(H$5,$AA$5:$AM$315,ROW()-ROW($J$4),FALSE))</f>
        <v/>
      </c>
      <c r="I71" s="102" t="str">
        <f t="shared" si="10"/>
        <v/>
      </c>
      <c r="J71" s="102" t="str">
        <f t="shared" si="9"/>
        <v/>
      </c>
      <c r="K71" s="683"/>
      <c r="M71" s="102"/>
      <c r="N71" s="102">
        <v>0</v>
      </c>
      <c r="O71" s="102">
        <v>0</v>
      </c>
      <c r="P71" s="102">
        <v>0</v>
      </c>
      <c r="Q71" s="102">
        <v>0</v>
      </c>
      <c r="R71" s="102">
        <v>0</v>
      </c>
      <c r="S71" s="102">
        <v>0</v>
      </c>
      <c r="T71" s="102">
        <v>0</v>
      </c>
      <c r="U71" s="102">
        <v>0</v>
      </c>
      <c r="V71" s="102">
        <v>0</v>
      </c>
      <c r="W71" s="102">
        <v>0</v>
      </c>
      <c r="X71" s="102">
        <v>0</v>
      </c>
      <c r="Y71" s="102">
        <v>0</v>
      </c>
      <c r="Z71" s="102"/>
      <c r="AA71" s="102"/>
      <c r="AB71" s="102">
        <v>0</v>
      </c>
      <c r="AC71" s="102">
        <v>0</v>
      </c>
      <c r="AD71" s="102">
        <v>0</v>
      </c>
      <c r="AE71" s="102">
        <v>0</v>
      </c>
      <c r="AF71" s="102">
        <v>0</v>
      </c>
      <c r="AG71" s="102">
        <v>0</v>
      </c>
      <c r="AH71" s="102">
        <v>0</v>
      </c>
      <c r="AI71" s="102">
        <v>0</v>
      </c>
      <c r="AJ71" s="102">
        <v>0</v>
      </c>
      <c r="AK71" s="102">
        <v>0</v>
      </c>
      <c r="AL71" s="102">
        <v>0</v>
      </c>
      <c r="AM71" s="102">
        <v>0</v>
      </c>
    </row>
    <row r="72" spans="2:39" x14ac:dyDescent="0.3">
      <c r="B72" s="61" t="s">
        <v>1046</v>
      </c>
      <c r="C72" s="141" t="s">
        <v>1400</v>
      </c>
      <c r="D72" s="102" t="str">
        <f t="shared" si="8"/>
        <v/>
      </c>
      <c r="E72" s="102" t="str">
        <f t="shared" si="8"/>
        <v/>
      </c>
      <c r="F72" s="102" t="str">
        <f t="shared" si="8"/>
        <v/>
      </c>
      <c r="G72" s="155"/>
      <c r="H72" s="102" t="str">
        <f t="shared" si="10"/>
        <v/>
      </c>
      <c r="I72" s="102" t="str">
        <f t="shared" si="10"/>
        <v/>
      </c>
      <c r="J72" s="102" t="str">
        <f t="shared" si="9"/>
        <v/>
      </c>
      <c r="K72" s="683"/>
      <c r="M72" s="102"/>
      <c r="N72" s="102">
        <v>0</v>
      </c>
      <c r="O72" s="102">
        <v>0</v>
      </c>
      <c r="P72" s="102">
        <v>0</v>
      </c>
      <c r="Q72" s="102">
        <v>0</v>
      </c>
      <c r="R72" s="102">
        <v>0</v>
      </c>
      <c r="S72" s="102">
        <v>0</v>
      </c>
      <c r="T72" s="102">
        <v>0</v>
      </c>
      <c r="U72" s="102">
        <v>0</v>
      </c>
      <c r="V72" s="102">
        <v>0</v>
      </c>
      <c r="W72" s="102">
        <v>0</v>
      </c>
      <c r="X72" s="102">
        <v>0</v>
      </c>
      <c r="Y72" s="102">
        <v>0</v>
      </c>
      <c r="Z72" s="102"/>
      <c r="AA72" s="102"/>
      <c r="AB72" s="102">
        <v>0</v>
      </c>
      <c r="AC72" s="102">
        <v>0</v>
      </c>
      <c r="AD72" s="102">
        <v>0</v>
      </c>
      <c r="AE72" s="102">
        <v>0</v>
      </c>
      <c r="AF72" s="102">
        <v>0</v>
      </c>
      <c r="AG72" s="102">
        <v>0</v>
      </c>
      <c r="AH72" s="102">
        <v>0</v>
      </c>
      <c r="AI72" s="102">
        <v>0</v>
      </c>
      <c r="AJ72" s="102">
        <v>0</v>
      </c>
      <c r="AK72" s="102">
        <v>0</v>
      </c>
      <c r="AL72" s="102">
        <v>0</v>
      </c>
      <c r="AM72" s="102">
        <v>0</v>
      </c>
    </row>
    <row r="73" spans="2:39" x14ac:dyDescent="0.3">
      <c r="B73" s="61" t="s">
        <v>1040</v>
      </c>
      <c r="C73" s="141" t="s">
        <v>1417</v>
      </c>
      <c r="D73" s="102" t="str">
        <f t="shared" si="8"/>
        <v/>
      </c>
      <c r="E73" s="102" t="str">
        <f t="shared" si="8"/>
        <v/>
      </c>
      <c r="F73" s="102" t="str">
        <f t="shared" si="8"/>
        <v/>
      </c>
      <c r="G73" s="155"/>
      <c r="H73" s="102" t="str">
        <f t="shared" si="10"/>
        <v/>
      </c>
      <c r="I73" s="102" t="str">
        <f t="shared" si="10"/>
        <v/>
      </c>
      <c r="J73" s="102" t="str">
        <f t="shared" si="9"/>
        <v/>
      </c>
      <c r="K73" s="683"/>
      <c r="M73" s="102"/>
      <c r="N73" s="102">
        <v>0</v>
      </c>
      <c r="O73" s="102">
        <v>0</v>
      </c>
      <c r="P73" s="102">
        <v>0</v>
      </c>
      <c r="Q73" s="102">
        <v>0</v>
      </c>
      <c r="R73" s="102">
        <v>0</v>
      </c>
      <c r="S73" s="102">
        <v>0</v>
      </c>
      <c r="T73" s="102">
        <v>0</v>
      </c>
      <c r="U73" s="102">
        <v>0</v>
      </c>
      <c r="V73" s="102">
        <v>0</v>
      </c>
      <c r="W73" s="102">
        <v>0</v>
      </c>
      <c r="X73" s="102">
        <v>0</v>
      </c>
      <c r="Y73" s="102">
        <v>0</v>
      </c>
      <c r="Z73" s="102"/>
      <c r="AA73" s="102"/>
      <c r="AB73" s="102">
        <v>0</v>
      </c>
      <c r="AC73" s="102">
        <v>0</v>
      </c>
      <c r="AD73" s="102">
        <v>0</v>
      </c>
      <c r="AE73" s="102">
        <v>0</v>
      </c>
      <c r="AF73" s="102">
        <v>0</v>
      </c>
      <c r="AG73" s="102">
        <v>0</v>
      </c>
      <c r="AH73" s="102">
        <v>0</v>
      </c>
      <c r="AI73" s="102">
        <v>0</v>
      </c>
      <c r="AJ73" s="102">
        <v>0</v>
      </c>
      <c r="AK73" s="102">
        <v>0</v>
      </c>
      <c r="AL73" s="102">
        <v>0</v>
      </c>
      <c r="AM73" s="102">
        <v>0</v>
      </c>
    </row>
    <row r="74" spans="2:39" x14ac:dyDescent="0.3">
      <c r="B74" s="61" t="s">
        <v>1041</v>
      </c>
      <c r="C74" s="141" t="s">
        <v>1402</v>
      </c>
      <c r="D74" s="102" t="str">
        <f t="shared" si="8"/>
        <v/>
      </c>
      <c r="E74" s="102" t="str">
        <f t="shared" si="8"/>
        <v/>
      </c>
      <c r="F74" s="102" t="str">
        <f t="shared" si="8"/>
        <v/>
      </c>
      <c r="G74" s="155"/>
      <c r="H74" s="102" t="str">
        <f t="shared" si="10"/>
        <v/>
      </c>
      <c r="I74" s="102" t="str">
        <f t="shared" si="10"/>
        <v/>
      </c>
      <c r="J74" s="102" t="str">
        <f t="shared" si="9"/>
        <v/>
      </c>
      <c r="K74" s="683"/>
      <c r="M74" s="102"/>
      <c r="N74" s="102">
        <v>0</v>
      </c>
      <c r="O74" s="102">
        <v>0</v>
      </c>
      <c r="P74" s="102">
        <v>0</v>
      </c>
      <c r="Q74" s="102">
        <v>0</v>
      </c>
      <c r="R74" s="102">
        <v>0</v>
      </c>
      <c r="S74" s="102">
        <v>0</v>
      </c>
      <c r="T74" s="102">
        <v>0</v>
      </c>
      <c r="U74" s="102">
        <v>0</v>
      </c>
      <c r="V74" s="102">
        <v>0</v>
      </c>
      <c r="W74" s="102">
        <v>0</v>
      </c>
      <c r="X74" s="102">
        <v>0</v>
      </c>
      <c r="Y74" s="102">
        <v>0</v>
      </c>
      <c r="Z74" s="102"/>
      <c r="AA74" s="102"/>
      <c r="AB74" s="102">
        <v>0</v>
      </c>
      <c r="AC74" s="102">
        <v>0</v>
      </c>
      <c r="AD74" s="102">
        <v>0</v>
      </c>
      <c r="AE74" s="102">
        <v>0</v>
      </c>
      <c r="AF74" s="102">
        <v>0</v>
      </c>
      <c r="AG74" s="102">
        <v>0</v>
      </c>
      <c r="AH74" s="102">
        <v>0</v>
      </c>
      <c r="AI74" s="102">
        <v>0</v>
      </c>
      <c r="AJ74" s="102">
        <v>0</v>
      </c>
      <c r="AK74" s="102">
        <v>0</v>
      </c>
      <c r="AL74" s="102">
        <v>0</v>
      </c>
      <c r="AM74" s="102">
        <v>0</v>
      </c>
    </row>
    <row r="75" spans="2:39" x14ac:dyDescent="0.3">
      <c r="B75" s="61" t="s">
        <v>1057</v>
      </c>
      <c r="C75" s="141" t="s">
        <v>1418</v>
      </c>
      <c r="D75" s="102" t="str">
        <f t="shared" si="8"/>
        <v/>
      </c>
      <c r="E75" s="102" t="str">
        <f t="shared" si="8"/>
        <v/>
      </c>
      <c r="F75" s="102" t="str">
        <f t="shared" si="8"/>
        <v/>
      </c>
      <c r="G75" s="155"/>
      <c r="H75" s="102" t="str">
        <f t="shared" si="10"/>
        <v/>
      </c>
      <c r="I75" s="102" t="str">
        <f t="shared" si="10"/>
        <v/>
      </c>
      <c r="J75" s="102" t="str">
        <f t="shared" si="9"/>
        <v/>
      </c>
      <c r="K75" s="683"/>
      <c r="M75" s="102"/>
      <c r="N75" s="102">
        <v>0</v>
      </c>
      <c r="O75" s="102">
        <v>0</v>
      </c>
      <c r="P75" s="102">
        <v>0</v>
      </c>
      <c r="Q75" s="102">
        <v>0</v>
      </c>
      <c r="R75" s="102">
        <v>0</v>
      </c>
      <c r="S75" s="102">
        <v>0</v>
      </c>
      <c r="T75" s="102">
        <v>0</v>
      </c>
      <c r="U75" s="102">
        <v>0</v>
      </c>
      <c r="V75" s="102">
        <v>0</v>
      </c>
      <c r="W75" s="102">
        <v>0</v>
      </c>
      <c r="X75" s="102">
        <v>0</v>
      </c>
      <c r="Y75" s="102">
        <v>0</v>
      </c>
      <c r="Z75" s="102"/>
      <c r="AA75" s="102"/>
      <c r="AB75" s="102">
        <v>0</v>
      </c>
      <c r="AC75" s="102">
        <v>0</v>
      </c>
      <c r="AD75" s="102">
        <v>0</v>
      </c>
      <c r="AE75" s="102">
        <v>0</v>
      </c>
      <c r="AF75" s="102">
        <v>0</v>
      </c>
      <c r="AG75" s="102">
        <v>0</v>
      </c>
      <c r="AH75" s="102">
        <v>0</v>
      </c>
      <c r="AI75" s="102">
        <v>0</v>
      </c>
      <c r="AJ75" s="102">
        <v>0</v>
      </c>
      <c r="AK75" s="102">
        <v>0</v>
      </c>
      <c r="AL75" s="102">
        <v>0</v>
      </c>
      <c r="AM75" s="102">
        <v>0</v>
      </c>
    </row>
    <row r="76" spans="2:39" x14ac:dyDescent="0.3">
      <c r="B76" s="61" t="s">
        <v>1058</v>
      </c>
      <c r="C76" s="141" t="s">
        <v>1419</v>
      </c>
      <c r="D76" s="102">
        <f t="shared" si="8"/>
        <v>29462.122778000001</v>
      </c>
      <c r="E76" s="102">
        <f t="shared" si="8"/>
        <v>17104.903186</v>
      </c>
      <c r="F76" s="102">
        <f t="shared" si="8"/>
        <v>6103.1610000000001</v>
      </c>
      <c r="G76" s="155"/>
      <c r="H76" s="102">
        <f t="shared" si="10"/>
        <v>29462.122777999997</v>
      </c>
      <c r="I76" s="102">
        <f t="shared" si="10"/>
        <v>17104.903186000003</v>
      </c>
      <c r="J76" s="102">
        <f t="shared" si="9"/>
        <v>6103.1613319999997</v>
      </c>
      <c r="K76" s="683"/>
      <c r="M76" s="102"/>
      <c r="N76" s="102">
        <v>29462.122778000001</v>
      </c>
      <c r="O76" s="102">
        <v>22614.918375999998</v>
      </c>
      <c r="P76" s="102">
        <v>15929.385290999999</v>
      </c>
      <c r="Q76" s="102">
        <v>9388.0608400000001</v>
      </c>
      <c r="R76" s="102">
        <v>17104.903186</v>
      </c>
      <c r="S76" s="102">
        <v>16279.152707000001</v>
      </c>
      <c r="T76" s="102">
        <v>12435.359263</v>
      </c>
      <c r="U76" s="102">
        <v>6878.0493720000004</v>
      </c>
      <c r="V76" s="102">
        <v>23420.482011999997</v>
      </c>
      <c r="W76" s="102">
        <v>16733.273483000001</v>
      </c>
      <c r="X76" s="102">
        <v>12350.674000000001</v>
      </c>
      <c r="Y76" s="102">
        <v>6103.1610000000001</v>
      </c>
      <c r="Z76" s="102"/>
      <c r="AA76" s="102"/>
      <c r="AB76" s="102">
        <v>29462.122777999997</v>
      </c>
      <c r="AC76" s="102">
        <v>22614.918376000001</v>
      </c>
      <c r="AD76" s="102">
        <v>15929.385291000001</v>
      </c>
      <c r="AE76" s="102">
        <v>9388.0608400000001</v>
      </c>
      <c r="AF76" s="102">
        <v>17104.903186000003</v>
      </c>
      <c r="AG76" s="102">
        <v>16279.152706999999</v>
      </c>
      <c r="AH76" s="102">
        <v>12435.359263</v>
      </c>
      <c r="AI76" s="102">
        <v>6878.0493720000004</v>
      </c>
      <c r="AJ76" s="102">
        <v>23420.482012</v>
      </c>
      <c r="AK76" s="102">
        <v>16733.273483000001</v>
      </c>
      <c r="AL76" s="102">
        <v>12350.674266</v>
      </c>
      <c r="AM76" s="102">
        <v>6103.1613319999997</v>
      </c>
    </row>
    <row r="77" spans="2:39" x14ac:dyDescent="0.3">
      <c r="B77" s="61" t="s">
        <v>1059</v>
      </c>
      <c r="C77" s="141" t="s">
        <v>1420</v>
      </c>
      <c r="D77" s="102">
        <f t="shared" si="8"/>
        <v>29462.122778000001</v>
      </c>
      <c r="E77" s="102">
        <f t="shared" si="8"/>
        <v>17104.903186</v>
      </c>
      <c r="F77" s="102">
        <f t="shared" si="8"/>
        <v>6103.1610000000001</v>
      </c>
      <c r="G77" s="155"/>
      <c r="H77" s="102">
        <f t="shared" si="10"/>
        <v>29462.122777999997</v>
      </c>
      <c r="I77" s="102">
        <f t="shared" si="10"/>
        <v>17104.903186000003</v>
      </c>
      <c r="J77" s="102">
        <f t="shared" si="9"/>
        <v>6103.1613319999997</v>
      </c>
      <c r="K77" s="683"/>
      <c r="M77" s="102"/>
      <c r="N77" s="102">
        <v>29462.122778000001</v>
      </c>
      <c r="O77" s="102">
        <v>22614.918375999998</v>
      </c>
      <c r="P77" s="102">
        <v>15929.385290999999</v>
      </c>
      <c r="Q77" s="102">
        <v>9388.0608400000001</v>
      </c>
      <c r="R77" s="102">
        <v>17104.903186</v>
      </c>
      <c r="S77" s="102">
        <v>16279.152707000001</v>
      </c>
      <c r="T77" s="102">
        <v>12435.359263</v>
      </c>
      <c r="U77" s="102">
        <v>6878.0493720000004</v>
      </c>
      <c r="V77" s="102">
        <v>23420.482011999997</v>
      </c>
      <c r="W77" s="102">
        <v>16733.273483000001</v>
      </c>
      <c r="X77" s="102">
        <v>12350.674000000001</v>
      </c>
      <c r="Y77" s="102">
        <v>6103.1610000000001</v>
      </c>
      <c r="Z77" s="102"/>
      <c r="AA77" s="102"/>
      <c r="AB77" s="102">
        <v>29462.122777999997</v>
      </c>
      <c r="AC77" s="102">
        <v>22614.918376000001</v>
      </c>
      <c r="AD77" s="102">
        <v>15929.385291000001</v>
      </c>
      <c r="AE77" s="102">
        <v>9388.0608400000001</v>
      </c>
      <c r="AF77" s="102">
        <v>17104.903186000003</v>
      </c>
      <c r="AG77" s="102">
        <v>16279.152706999999</v>
      </c>
      <c r="AH77" s="102">
        <v>12435.359263</v>
      </c>
      <c r="AI77" s="102">
        <v>6878.0493720000004</v>
      </c>
      <c r="AJ77" s="102">
        <v>23420.482012</v>
      </c>
      <c r="AK77" s="102">
        <v>16733.273483000001</v>
      </c>
      <c r="AL77" s="102">
        <v>12350.674266</v>
      </c>
      <c r="AM77" s="102">
        <v>6103.1613319999997</v>
      </c>
    </row>
    <row r="78" spans="2:39" x14ac:dyDescent="0.3">
      <c r="B78" s="61" t="s">
        <v>1060</v>
      </c>
      <c r="C78" s="141" t="s">
        <v>1421</v>
      </c>
      <c r="D78" s="102">
        <f t="shared" si="8"/>
        <v>23293.241457</v>
      </c>
      <c r="E78" s="102">
        <f t="shared" si="8"/>
        <v>23252.032168000002</v>
      </c>
      <c r="F78" s="102">
        <f t="shared" si="8"/>
        <v>3222.4189999999999</v>
      </c>
      <c r="G78" s="155"/>
      <c r="H78" s="102">
        <f t="shared" si="10"/>
        <v>23293.241457</v>
      </c>
      <c r="I78" s="102">
        <f t="shared" si="10"/>
        <v>23252.032168000002</v>
      </c>
      <c r="J78" s="102">
        <f t="shared" si="9"/>
        <v>3222.4186829999999</v>
      </c>
      <c r="K78" s="683"/>
      <c r="M78" s="102"/>
      <c r="N78" s="102">
        <v>23293.241457</v>
      </c>
      <c r="O78" s="102">
        <v>17026.364646000002</v>
      </c>
      <c r="P78" s="102">
        <v>11251.763784000001</v>
      </c>
      <c r="Q78" s="102">
        <v>5863.3950359999999</v>
      </c>
      <c r="R78" s="102">
        <v>23252.032168000002</v>
      </c>
      <c r="S78" s="102">
        <v>11402.130029999998</v>
      </c>
      <c r="T78" s="102">
        <v>7208.6968940000006</v>
      </c>
      <c r="U78" s="102">
        <v>3173.8197089999999</v>
      </c>
      <c r="V78" s="102">
        <v>12494.455363999999</v>
      </c>
      <c r="W78" s="102">
        <v>9502.5339690000001</v>
      </c>
      <c r="X78" s="102">
        <v>6408.5649999999996</v>
      </c>
      <c r="Y78" s="102">
        <v>3222.4189999999999</v>
      </c>
      <c r="Z78" s="102"/>
      <c r="AA78" s="102"/>
      <c r="AB78" s="102">
        <v>23293.241457</v>
      </c>
      <c r="AC78" s="102">
        <v>17026.364646000002</v>
      </c>
      <c r="AD78" s="102">
        <v>11251.763784000001</v>
      </c>
      <c r="AE78" s="102">
        <v>5863.3950359999999</v>
      </c>
      <c r="AF78" s="102">
        <v>23252.032168000002</v>
      </c>
      <c r="AG78" s="102">
        <v>11402.13003</v>
      </c>
      <c r="AH78" s="102">
        <v>7208.6968939999997</v>
      </c>
      <c r="AI78" s="102">
        <v>3173.8197089999999</v>
      </c>
      <c r="AJ78" s="102">
        <v>12494.455363999999</v>
      </c>
      <c r="AK78" s="102">
        <v>9502.5339690000001</v>
      </c>
      <c r="AL78" s="102">
        <v>6408.5646559999996</v>
      </c>
      <c r="AM78" s="102">
        <v>3222.4186829999999</v>
      </c>
    </row>
    <row r="79" spans="2:39" x14ac:dyDescent="0.3">
      <c r="B79" s="61" t="s">
        <v>1016</v>
      </c>
      <c r="C79" s="141" t="s">
        <v>1422</v>
      </c>
      <c r="D79" s="102" t="str">
        <f t="shared" si="8"/>
        <v/>
      </c>
      <c r="E79" s="102" t="str">
        <f t="shared" si="8"/>
        <v/>
      </c>
      <c r="F79" s="102" t="str">
        <f t="shared" si="8"/>
        <v/>
      </c>
      <c r="G79" s="155"/>
      <c r="H79" s="102" t="str">
        <f t="shared" si="10"/>
        <v/>
      </c>
      <c r="I79" s="102" t="str">
        <f t="shared" si="10"/>
        <v/>
      </c>
      <c r="J79" s="102" t="str">
        <f t="shared" si="9"/>
        <v/>
      </c>
      <c r="K79" s="683"/>
      <c r="M79" s="102"/>
      <c r="N79" s="102">
        <v>0</v>
      </c>
      <c r="O79" s="102">
        <v>0</v>
      </c>
      <c r="P79" s="102">
        <v>0</v>
      </c>
      <c r="Q79" s="102">
        <v>0</v>
      </c>
      <c r="R79" s="102">
        <v>0</v>
      </c>
      <c r="S79" s="102">
        <v>0</v>
      </c>
      <c r="T79" s="102">
        <v>0</v>
      </c>
      <c r="U79" s="102">
        <v>0</v>
      </c>
      <c r="V79" s="102">
        <v>0</v>
      </c>
      <c r="W79" s="102">
        <v>0</v>
      </c>
      <c r="X79" s="102">
        <v>0</v>
      </c>
      <c r="Y79" s="102">
        <v>0</v>
      </c>
      <c r="Z79" s="102"/>
      <c r="AA79" s="102"/>
      <c r="AB79" s="102">
        <v>0</v>
      </c>
      <c r="AC79" s="102">
        <v>0</v>
      </c>
      <c r="AD79" s="102">
        <v>0</v>
      </c>
      <c r="AE79" s="102">
        <v>0</v>
      </c>
      <c r="AF79" s="102">
        <v>0</v>
      </c>
      <c r="AG79" s="102">
        <v>0</v>
      </c>
      <c r="AH79" s="102">
        <v>0</v>
      </c>
      <c r="AI79" s="102">
        <v>0</v>
      </c>
      <c r="AJ79" s="102">
        <v>0</v>
      </c>
      <c r="AK79" s="102">
        <v>0</v>
      </c>
      <c r="AL79" s="102">
        <v>0</v>
      </c>
      <c r="AM79" s="102">
        <v>0</v>
      </c>
    </row>
    <row r="80" spans="2:39" x14ac:dyDescent="0.3">
      <c r="B80" s="61" t="s">
        <v>1061</v>
      </c>
      <c r="C80" s="141" t="s">
        <v>1423</v>
      </c>
      <c r="D80" s="102">
        <f t="shared" si="8"/>
        <v>57.827444</v>
      </c>
      <c r="E80" s="102">
        <f t="shared" si="8"/>
        <v>442.89322100000004</v>
      </c>
      <c r="F80" s="102">
        <f t="shared" si="8"/>
        <v>54.588999999999999</v>
      </c>
      <c r="G80" s="155"/>
      <c r="H80" s="102">
        <f t="shared" si="10"/>
        <v>57.827444</v>
      </c>
      <c r="I80" s="102">
        <f t="shared" si="10"/>
        <v>442.89322099999998</v>
      </c>
      <c r="J80" s="102">
        <f t="shared" si="9"/>
        <v>54.588833999999999</v>
      </c>
      <c r="K80" s="683"/>
      <c r="M80" s="102"/>
      <c r="N80" s="102">
        <v>57.827444</v>
      </c>
      <c r="O80" s="102">
        <v>2.7120030000000002</v>
      </c>
      <c r="P80" s="102">
        <v>-65.004020999999995</v>
      </c>
      <c r="Q80" s="102">
        <v>490.550408</v>
      </c>
      <c r="R80" s="102">
        <v>442.89322100000004</v>
      </c>
      <c r="S80" s="102">
        <v>291.46889199999998</v>
      </c>
      <c r="T80" s="102">
        <v>46.386457999999998</v>
      </c>
      <c r="U80" s="102">
        <v>205.84386499999999</v>
      </c>
      <c r="V80" s="102">
        <v>817.25543099999993</v>
      </c>
      <c r="W80" s="102">
        <v>644.06997699999999</v>
      </c>
      <c r="X80" s="102">
        <v>644.43899999999996</v>
      </c>
      <c r="Y80" s="102">
        <v>54.588999999999999</v>
      </c>
      <c r="Z80" s="102"/>
      <c r="AA80" s="102"/>
      <c r="AB80" s="102">
        <v>57.827444</v>
      </c>
      <c r="AC80" s="102">
        <v>2.7120030000000002</v>
      </c>
      <c r="AD80" s="102">
        <v>-65.004020999999995</v>
      </c>
      <c r="AE80" s="102">
        <v>490.550408</v>
      </c>
      <c r="AF80" s="102">
        <v>442.89322099999998</v>
      </c>
      <c r="AG80" s="102">
        <v>291.46889199999998</v>
      </c>
      <c r="AH80" s="102">
        <v>46.386457999999998</v>
      </c>
      <c r="AI80" s="102">
        <v>205.84386499999999</v>
      </c>
      <c r="AJ80" s="102">
        <v>817.25543100000004</v>
      </c>
      <c r="AK80" s="102">
        <v>644.06997699999999</v>
      </c>
      <c r="AL80" s="102">
        <v>644.43883900000003</v>
      </c>
      <c r="AM80" s="102">
        <v>54.588833999999999</v>
      </c>
    </row>
    <row r="81" spans="2:39" x14ac:dyDescent="0.3">
      <c r="B81" s="61" t="s">
        <v>1062</v>
      </c>
      <c r="C81" s="141" t="s">
        <v>1424</v>
      </c>
      <c r="D81" s="102">
        <f t="shared" si="8"/>
        <v>7647.3955500000002</v>
      </c>
      <c r="E81" s="102">
        <f t="shared" si="8"/>
        <v>4674.7929990000002</v>
      </c>
      <c r="F81" s="102">
        <f t="shared" si="8"/>
        <v>248.35900000000001</v>
      </c>
      <c r="G81" s="155"/>
      <c r="H81" s="102">
        <f t="shared" si="10"/>
        <v>7647.3955500000002</v>
      </c>
      <c r="I81" s="102">
        <f t="shared" si="10"/>
        <v>4674.7929990000002</v>
      </c>
      <c r="J81" s="102">
        <f t="shared" si="9"/>
        <v>248.35852200000002</v>
      </c>
      <c r="K81" s="683"/>
      <c r="M81" s="102"/>
      <c r="N81" s="102">
        <v>7647.3955500000002</v>
      </c>
      <c r="O81" s="102">
        <v>5933.3741829999999</v>
      </c>
      <c r="P81" s="102">
        <v>3842.0196260000002</v>
      </c>
      <c r="Q81" s="102">
        <v>1845.6578010000001</v>
      </c>
      <c r="R81" s="102">
        <v>4674.7929990000002</v>
      </c>
      <c r="S81" s="102">
        <v>2321.2425290000001</v>
      </c>
      <c r="T81" s="102">
        <v>1485.4478200000001</v>
      </c>
      <c r="U81" s="102">
        <v>754.50449300000002</v>
      </c>
      <c r="V81" s="102">
        <v>2201.599107</v>
      </c>
      <c r="W81" s="102">
        <v>1417.2766999999999</v>
      </c>
      <c r="X81" s="102">
        <v>546.77700000000004</v>
      </c>
      <c r="Y81" s="102">
        <v>248.35900000000001</v>
      </c>
      <c r="Z81" s="102"/>
      <c r="AA81" s="102"/>
      <c r="AB81" s="102">
        <v>7647.3955500000002</v>
      </c>
      <c r="AC81" s="102">
        <v>5933.3741829999999</v>
      </c>
      <c r="AD81" s="102">
        <v>3842.0196259999998</v>
      </c>
      <c r="AE81" s="102">
        <v>1845.6578010000001</v>
      </c>
      <c r="AF81" s="102">
        <v>4674.7929990000002</v>
      </c>
      <c r="AG81" s="102">
        <v>2321.2425290000001</v>
      </c>
      <c r="AH81" s="102">
        <v>1485.4478200000001</v>
      </c>
      <c r="AI81" s="102">
        <v>754.50449300000002</v>
      </c>
      <c r="AJ81" s="102">
        <v>2201.599107</v>
      </c>
      <c r="AK81" s="102">
        <v>1417.2766999999999</v>
      </c>
      <c r="AL81" s="102">
        <v>546.77728999999999</v>
      </c>
      <c r="AM81" s="102">
        <v>248.35852200000002</v>
      </c>
    </row>
    <row r="82" spans="2:39" x14ac:dyDescent="0.3">
      <c r="B82" s="61" t="s">
        <v>1054</v>
      </c>
      <c r="C82" s="141" t="s">
        <v>1425</v>
      </c>
      <c r="D82" s="102">
        <f t="shared" si="8"/>
        <v>-125.692232</v>
      </c>
      <c r="E82" s="102">
        <f t="shared" si="8"/>
        <v>-123.08574400000001</v>
      </c>
      <c r="F82" s="102">
        <f t="shared" si="8"/>
        <v>-75.201999999999998</v>
      </c>
      <c r="G82" s="155"/>
      <c r="H82" s="102">
        <f t="shared" si="10"/>
        <v>-125.692232</v>
      </c>
      <c r="I82" s="102">
        <f t="shared" si="10"/>
        <v>-123.08574400000001</v>
      </c>
      <c r="J82" s="102" t="str">
        <f t="shared" si="9"/>
        <v/>
      </c>
      <c r="K82" s="683"/>
      <c r="M82" s="102"/>
      <c r="N82" s="102">
        <v>-125.692232</v>
      </c>
      <c r="O82" s="102">
        <v>-89.144373000000002</v>
      </c>
      <c r="P82" s="102">
        <v>-57.147822999999995</v>
      </c>
      <c r="Q82" s="102">
        <v>-28.492469</v>
      </c>
      <c r="R82" s="102">
        <v>-123.08574400000001</v>
      </c>
      <c r="S82" s="102">
        <v>-86.089015000000003</v>
      </c>
      <c r="T82" s="102">
        <v>-55.174273999999997</v>
      </c>
      <c r="U82" s="102">
        <v>-27.633044999999999</v>
      </c>
      <c r="V82" s="102">
        <v>-308.27219500000001</v>
      </c>
      <c r="W82" s="102">
        <v>-215.394508</v>
      </c>
      <c r="X82" s="102">
        <v>-148.41900000000001</v>
      </c>
      <c r="Y82" s="102">
        <v>-75.201999999999998</v>
      </c>
      <c r="Z82" s="102"/>
      <c r="AA82" s="102"/>
      <c r="AB82" s="102">
        <v>-125.692232</v>
      </c>
      <c r="AC82" s="102">
        <v>-89.144373000000002</v>
      </c>
      <c r="AD82" s="102">
        <v>-57.147823000000002</v>
      </c>
      <c r="AE82" s="102">
        <v>-28.492469</v>
      </c>
      <c r="AF82" s="102">
        <v>-123.08574400000001</v>
      </c>
      <c r="AG82" s="102">
        <v>-86.089015000000003</v>
      </c>
      <c r="AH82" s="102">
        <v>-55.174273999999997</v>
      </c>
      <c r="AI82" s="102">
        <v>-27.633044999999999</v>
      </c>
      <c r="AJ82" s="102">
        <v>-308.27219499999995</v>
      </c>
      <c r="AK82" s="102">
        <v>-215.394508</v>
      </c>
      <c r="AL82" s="102">
        <v>-148.41904</v>
      </c>
      <c r="AM82" s="102">
        <v>0</v>
      </c>
    </row>
    <row r="83" spans="2:39" x14ac:dyDescent="0.3">
      <c r="B83" s="61" t="s">
        <v>1063</v>
      </c>
      <c r="C83" s="141" t="s">
        <v>1426</v>
      </c>
      <c r="D83" s="102">
        <f t="shared" si="8"/>
        <v>-122.53081399999999</v>
      </c>
      <c r="E83" s="102">
        <f t="shared" si="8"/>
        <v>-120.528779</v>
      </c>
      <c r="F83" s="102">
        <f t="shared" si="8"/>
        <v>-73.414000000000001</v>
      </c>
      <c r="G83" s="155"/>
      <c r="H83" s="102">
        <f t="shared" si="10"/>
        <v>-122.53081400000001</v>
      </c>
      <c r="I83" s="102">
        <f t="shared" si="10"/>
        <v>-120.528779</v>
      </c>
      <c r="J83" s="102" t="str">
        <f t="shared" si="9"/>
        <v/>
      </c>
      <c r="K83" s="683"/>
      <c r="M83" s="102"/>
      <c r="N83" s="102">
        <v>-122.53081399999999</v>
      </c>
      <c r="O83" s="102">
        <v>-86.888577999999995</v>
      </c>
      <c r="P83" s="102">
        <v>-55.779307000000003</v>
      </c>
      <c r="Q83" s="102">
        <v>-27.935625000000002</v>
      </c>
      <c r="R83" s="102">
        <v>-120.528779</v>
      </c>
      <c r="S83" s="102">
        <v>-84.233682000000002</v>
      </c>
      <c r="T83" s="102">
        <v>-53.982247999999998</v>
      </c>
      <c r="U83" s="102">
        <v>-27.013117999999999</v>
      </c>
      <c r="V83" s="102">
        <v>-301.83108299999998</v>
      </c>
      <c r="W83" s="102">
        <v>-210.06753899999998</v>
      </c>
      <c r="X83" s="102">
        <v>-144.852</v>
      </c>
      <c r="Y83" s="102">
        <v>-73.414000000000001</v>
      </c>
      <c r="Z83" s="102"/>
      <c r="AA83" s="102"/>
      <c r="AB83" s="102">
        <v>-122.53081400000001</v>
      </c>
      <c r="AC83" s="102">
        <v>-86.888577999999995</v>
      </c>
      <c r="AD83" s="102">
        <v>-55.779307000000003</v>
      </c>
      <c r="AE83" s="102">
        <v>-27.935625000000002</v>
      </c>
      <c r="AF83" s="102">
        <v>-120.528779</v>
      </c>
      <c r="AG83" s="102">
        <v>-84.233682000000002</v>
      </c>
      <c r="AH83" s="102">
        <v>-53.982247999999998</v>
      </c>
      <c r="AI83" s="102">
        <v>-27.013117999999999</v>
      </c>
      <c r="AJ83" s="102">
        <v>-301.83108299999998</v>
      </c>
      <c r="AK83" s="102">
        <v>-210.06753900000001</v>
      </c>
      <c r="AL83" s="102">
        <v>-144.85229699999999</v>
      </c>
      <c r="AM83" s="102">
        <v>0</v>
      </c>
    </row>
    <row r="84" spans="2:39" x14ac:dyDescent="0.3">
      <c r="B84" s="61" t="s">
        <v>1064</v>
      </c>
      <c r="C84" s="141" t="s">
        <v>1427</v>
      </c>
      <c r="D84" s="102">
        <f t="shared" si="8"/>
        <v>-3.1614180000000003</v>
      </c>
      <c r="E84" s="102">
        <f t="shared" si="8"/>
        <v>-2.5569649999999999</v>
      </c>
      <c r="F84" s="102">
        <f t="shared" si="8"/>
        <v>-1.7869999999999999</v>
      </c>
      <c r="G84" s="155"/>
      <c r="H84" s="102">
        <f t="shared" si="10"/>
        <v>-3.1614179999999998</v>
      </c>
      <c r="I84" s="102">
        <f t="shared" si="10"/>
        <v>-2.5569649999999999</v>
      </c>
      <c r="J84" s="102" t="str">
        <f t="shared" si="9"/>
        <v/>
      </c>
      <c r="K84" s="683"/>
      <c r="M84" s="102"/>
      <c r="N84" s="102">
        <v>-3.1614180000000003</v>
      </c>
      <c r="O84" s="102">
        <v>-2.255795</v>
      </c>
      <c r="P84" s="102">
        <v>-1.3685160000000001</v>
      </c>
      <c r="Q84" s="102">
        <v>-0.55684400000000001</v>
      </c>
      <c r="R84" s="102">
        <v>-2.5569649999999999</v>
      </c>
      <c r="S84" s="102">
        <v>-1.8553330000000001</v>
      </c>
      <c r="T84" s="102">
        <v>-1.192026</v>
      </c>
      <c r="U84" s="102">
        <v>-0.61992700000000001</v>
      </c>
      <c r="V84" s="102">
        <v>-6.4411120000000004</v>
      </c>
      <c r="W84" s="102">
        <v>-5.3269690000000001</v>
      </c>
      <c r="X84" s="102">
        <v>-3.5670000000000002</v>
      </c>
      <c r="Y84" s="102">
        <v>-1.7869999999999999</v>
      </c>
      <c r="Z84" s="102"/>
      <c r="AA84" s="102"/>
      <c r="AB84" s="102">
        <v>-3.1614179999999998</v>
      </c>
      <c r="AC84" s="102">
        <v>-2.255795</v>
      </c>
      <c r="AD84" s="102">
        <v>-1.3685160000000001</v>
      </c>
      <c r="AE84" s="102">
        <v>-0.55684400000000001</v>
      </c>
      <c r="AF84" s="102">
        <v>-2.5569649999999999</v>
      </c>
      <c r="AG84" s="102">
        <v>-1.8553329999999999</v>
      </c>
      <c r="AH84" s="102">
        <v>-1.192026</v>
      </c>
      <c r="AI84" s="102">
        <v>-0.61992700000000001</v>
      </c>
      <c r="AJ84" s="102">
        <v>-6.4411120000000004</v>
      </c>
      <c r="AK84" s="102">
        <v>-5.3269690000000001</v>
      </c>
      <c r="AL84" s="102">
        <v>-3.5667430000000002</v>
      </c>
      <c r="AM84" s="102">
        <v>0</v>
      </c>
    </row>
    <row r="85" spans="2:39" x14ac:dyDescent="0.3">
      <c r="B85" s="61" t="s">
        <v>1065</v>
      </c>
      <c r="C85" s="141" t="s">
        <v>1428</v>
      </c>
      <c r="D85" s="102">
        <f t="shared" si="8"/>
        <v>-1410.649441</v>
      </c>
      <c r="E85" s="102">
        <f t="shared" si="8"/>
        <v>-11141.729458</v>
      </c>
      <c r="F85" s="102">
        <f t="shared" si="8"/>
        <v>2652.9969999999998</v>
      </c>
      <c r="G85" s="155"/>
      <c r="H85" s="102">
        <f t="shared" si="10"/>
        <v>-1410.6494409999996</v>
      </c>
      <c r="I85" s="102">
        <f t="shared" si="10"/>
        <v>-11141.729458</v>
      </c>
      <c r="J85" s="102">
        <f t="shared" si="9"/>
        <v>2577.7952930000001</v>
      </c>
      <c r="K85" s="683"/>
      <c r="M85" s="102"/>
      <c r="N85" s="102">
        <v>-1410.649441</v>
      </c>
      <c r="O85" s="102">
        <v>-258.38808299999999</v>
      </c>
      <c r="P85" s="102">
        <v>957.75372500000003</v>
      </c>
      <c r="Q85" s="102">
        <v>1216.9500640000001</v>
      </c>
      <c r="R85" s="102">
        <v>-11141.729458</v>
      </c>
      <c r="S85" s="102">
        <v>2350.400271</v>
      </c>
      <c r="T85" s="102">
        <v>3750.0023650000003</v>
      </c>
      <c r="U85" s="102">
        <v>2771.5143499999999</v>
      </c>
      <c r="V85" s="102">
        <v>8215.4443049999991</v>
      </c>
      <c r="W85" s="102">
        <v>5384.7873449999997</v>
      </c>
      <c r="X85" s="102">
        <v>4899.3130000000001</v>
      </c>
      <c r="Y85" s="102">
        <v>2652.9969999999998</v>
      </c>
      <c r="Z85" s="102"/>
      <c r="AA85" s="102"/>
      <c r="AB85" s="102">
        <v>-1410.6494409999996</v>
      </c>
      <c r="AC85" s="102">
        <v>-258.38808300000005</v>
      </c>
      <c r="AD85" s="102">
        <v>957.75372500000003</v>
      </c>
      <c r="AE85" s="102">
        <v>1216.9500640000001</v>
      </c>
      <c r="AF85" s="102">
        <v>-11141.729458</v>
      </c>
      <c r="AG85" s="102">
        <v>2350.400271</v>
      </c>
      <c r="AH85" s="102">
        <v>3750.0023649999998</v>
      </c>
      <c r="AI85" s="102">
        <v>2771.5143499999999</v>
      </c>
      <c r="AJ85" s="102">
        <v>8215.4443050000009</v>
      </c>
      <c r="AK85" s="102">
        <v>5384.7873449999997</v>
      </c>
      <c r="AL85" s="102">
        <v>4899.3125209999998</v>
      </c>
      <c r="AM85" s="102">
        <v>2577.7952930000001</v>
      </c>
    </row>
    <row r="86" spans="2:39" x14ac:dyDescent="0.3">
      <c r="B86" s="61" t="s">
        <v>1066</v>
      </c>
      <c r="C86" s="141" t="s">
        <v>1429</v>
      </c>
      <c r="D86" s="102">
        <f t="shared" ref="D86:F105" si="11">IF(HLOOKUP(D$5,$M$5:$Y$319,ROW()-ROW($F$4),FALSE)=0,"",HLOOKUP(D$5,$M$5:$Y$319,ROW()-ROW($F$4),FALSE))</f>
        <v>4216.8416739999993</v>
      </c>
      <c r="E86" s="102">
        <f t="shared" si="11"/>
        <v>1815.3626810000001</v>
      </c>
      <c r="F86" s="102">
        <f t="shared" si="11"/>
        <v>1156.357</v>
      </c>
      <c r="G86" s="155"/>
      <c r="H86" s="102">
        <f t="shared" si="10"/>
        <v>4216.8416740000002</v>
      </c>
      <c r="I86" s="102">
        <f t="shared" si="10"/>
        <v>1815.3626810000001</v>
      </c>
      <c r="J86" s="102" t="str">
        <f t="shared" ref="J86:J105" si="12">IF(HLOOKUP(J$5,$AA$5:$AM$315,ROW()-ROW($J$4),FALSE)=0,"",HLOOKUP(J$5,$AA$5:$AM$315,ROW()-ROW($J$4),FALSE))</f>
        <v/>
      </c>
      <c r="K86" s="683"/>
      <c r="M86" s="102"/>
      <c r="N86" s="102">
        <v>4216.8416739999993</v>
      </c>
      <c r="O86" s="102">
        <v>1879.470716</v>
      </c>
      <c r="P86" s="102">
        <v>1662.637929</v>
      </c>
      <c r="Q86" s="102">
        <v>1479.3193060000001</v>
      </c>
      <c r="R86" s="102">
        <v>1815.3626810000001</v>
      </c>
      <c r="S86" s="102">
        <v>1159.4497609999999</v>
      </c>
      <c r="T86" s="102">
        <v>692.08388100000002</v>
      </c>
      <c r="U86" s="102">
        <v>414.014522</v>
      </c>
      <c r="V86" s="102">
        <v>3920.9512420000001</v>
      </c>
      <c r="W86" s="102">
        <v>2993.5625199999999</v>
      </c>
      <c r="X86" s="102">
        <v>1821.0309999999999</v>
      </c>
      <c r="Y86" s="102">
        <v>1156.357</v>
      </c>
      <c r="Z86" s="102"/>
      <c r="AA86" s="102"/>
      <c r="AB86" s="102">
        <v>4216.8416740000002</v>
      </c>
      <c r="AC86" s="102">
        <v>1879.470716</v>
      </c>
      <c r="AD86" s="102">
        <v>1662.637929</v>
      </c>
      <c r="AE86" s="102">
        <v>1479.3193060000001</v>
      </c>
      <c r="AF86" s="102">
        <v>1815.3626810000001</v>
      </c>
      <c r="AG86" s="102">
        <v>1159.4497610000001</v>
      </c>
      <c r="AH86" s="102">
        <v>692.08388100000002</v>
      </c>
      <c r="AI86" s="102">
        <v>414.014522</v>
      </c>
      <c r="AJ86" s="102">
        <v>3920.9512420000001</v>
      </c>
      <c r="AK86" s="102">
        <v>2993.5625199999999</v>
      </c>
      <c r="AL86" s="102">
        <v>1821.0314980000001</v>
      </c>
      <c r="AM86" s="102">
        <v>0</v>
      </c>
    </row>
    <row r="87" spans="2:39" x14ac:dyDescent="0.3">
      <c r="B87" s="61" t="s">
        <v>1067</v>
      </c>
      <c r="C87" s="141" t="s">
        <v>1430</v>
      </c>
      <c r="D87" s="102">
        <f t="shared" si="11"/>
        <v>-5627.4911149999998</v>
      </c>
      <c r="E87" s="102">
        <f t="shared" si="11"/>
        <v>-12957.092139</v>
      </c>
      <c r="F87" s="102">
        <f t="shared" si="11"/>
        <v>1496.64</v>
      </c>
      <c r="G87" s="155"/>
      <c r="H87" s="102">
        <f t="shared" si="10"/>
        <v>-5627.4911149999998</v>
      </c>
      <c r="I87" s="102">
        <f t="shared" si="10"/>
        <v>-12957.092139</v>
      </c>
      <c r="J87" s="102">
        <f t="shared" si="12"/>
        <v>2577.7952930000001</v>
      </c>
      <c r="K87" s="683"/>
      <c r="M87" s="102"/>
      <c r="N87" s="102">
        <v>-5627.4911149999998</v>
      </c>
      <c r="O87" s="102">
        <v>-2137.8587990000001</v>
      </c>
      <c r="P87" s="102">
        <v>-704.88420400000007</v>
      </c>
      <c r="Q87" s="102">
        <v>-262.36924200000004</v>
      </c>
      <c r="R87" s="102">
        <v>-12957.092139</v>
      </c>
      <c r="S87" s="102">
        <v>1190.9505100000001</v>
      </c>
      <c r="T87" s="102">
        <v>3057.9184840000003</v>
      </c>
      <c r="U87" s="102">
        <v>2357.4998280000004</v>
      </c>
      <c r="V87" s="102">
        <v>4294.4930629999999</v>
      </c>
      <c r="W87" s="102">
        <v>2391.2248250000002</v>
      </c>
      <c r="X87" s="102">
        <v>3078.2809999999999</v>
      </c>
      <c r="Y87" s="102">
        <v>1496.64</v>
      </c>
      <c r="Z87" s="102"/>
      <c r="AA87" s="102"/>
      <c r="AB87" s="102">
        <v>-5627.4911149999998</v>
      </c>
      <c r="AC87" s="102">
        <v>-2137.8587990000001</v>
      </c>
      <c r="AD87" s="102">
        <v>-704.88420399999995</v>
      </c>
      <c r="AE87" s="102">
        <v>-262.36924199999999</v>
      </c>
      <c r="AF87" s="102">
        <v>-12957.092139</v>
      </c>
      <c r="AG87" s="102">
        <v>1190.9505099999999</v>
      </c>
      <c r="AH87" s="102">
        <v>3057.9184839999998</v>
      </c>
      <c r="AI87" s="102">
        <v>2357.499828</v>
      </c>
      <c r="AJ87" s="102">
        <v>4294.4930629999999</v>
      </c>
      <c r="AK87" s="102">
        <v>2391.2248249999998</v>
      </c>
      <c r="AL87" s="102">
        <v>3078.281023</v>
      </c>
      <c r="AM87" s="102">
        <v>2577.7952930000001</v>
      </c>
    </row>
    <row r="88" spans="2:39" x14ac:dyDescent="0.3">
      <c r="B88" s="61" t="s">
        <v>1068</v>
      </c>
      <c r="C88" s="141" t="s">
        <v>1431</v>
      </c>
      <c r="D88" s="102" t="str">
        <f t="shared" si="11"/>
        <v/>
      </c>
      <c r="E88" s="102" t="str">
        <f t="shared" si="11"/>
        <v/>
      </c>
      <c r="F88" s="102" t="str">
        <f t="shared" si="11"/>
        <v/>
      </c>
      <c r="G88" s="155"/>
      <c r="H88" s="102" t="str">
        <f t="shared" si="10"/>
        <v/>
      </c>
      <c r="I88" s="102" t="str">
        <f t="shared" si="10"/>
        <v/>
      </c>
      <c r="J88" s="102" t="str">
        <f t="shared" si="12"/>
        <v/>
      </c>
      <c r="K88" s="683"/>
      <c r="M88" s="102"/>
      <c r="N88" s="102">
        <v>0</v>
      </c>
      <c r="O88" s="102">
        <v>0</v>
      </c>
      <c r="P88" s="102">
        <v>0</v>
      </c>
      <c r="Q88" s="102">
        <v>0</v>
      </c>
      <c r="R88" s="102">
        <v>0</v>
      </c>
      <c r="S88" s="102">
        <v>0</v>
      </c>
      <c r="T88" s="102">
        <v>0</v>
      </c>
      <c r="U88" s="102">
        <v>0</v>
      </c>
      <c r="V88" s="102">
        <v>0</v>
      </c>
      <c r="W88" s="102">
        <v>0</v>
      </c>
      <c r="X88" s="102">
        <v>0</v>
      </c>
      <c r="Y88" s="102">
        <v>0</v>
      </c>
      <c r="Z88" s="102"/>
      <c r="AA88" s="102"/>
      <c r="AB88" s="102">
        <v>0</v>
      </c>
      <c r="AC88" s="102">
        <v>0</v>
      </c>
      <c r="AD88" s="102">
        <v>0</v>
      </c>
      <c r="AE88" s="102">
        <v>0</v>
      </c>
      <c r="AF88" s="102">
        <v>0</v>
      </c>
      <c r="AG88" s="102">
        <v>0</v>
      </c>
      <c r="AH88" s="102">
        <v>0</v>
      </c>
      <c r="AI88" s="102">
        <v>0</v>
      </c>
      <c r="AJ88" s="102">
        <v>0</v>
      </c>
      <c r="AK88" s="102">
        <v>0</v>
      </c>
      <c r="AL88" s="102">
        <v>0</v>
      </c>
      <c r="AM88" s="102">
        <v>0</v>
      </c>
    </row>
    <row r="89" spans="2:39" x14ac:dyDescent="0.3">
      <c r="B89" s="61" t="s">
        <v>1069</v>
      </c>
      <c r="C89" s="141" t="s">
        <v>1432</v>
      </c>
      <c r="D89" s="102">
        <f t="shared" si="11"/>
        <v>64838.27074</v>
      </c>
      <c r="E89" s="102">
        <f t="shared" si="11"/>
        <v>67659.293428000004</v>
      </c>
      <c r="F89" s="102">
        <f t="shared" si="11"/>
        <v>17773.993999999999</v>
      </c>
      <c r="G89" s="155"/>
      <c r="H89" s="102">
        <f t="shared" si="10"/>
        <v>99823.925409999996</v>
      </c>
      <c r="I89" s="102">
        <f t="shared" si="10"/>
        <v>102099.077127</v>
      </c>
      <c r="J89" s="102">
        <f t="shared" si="12"/>
        <v>36978.235153999995</v>
      </c>
      <c r="K89" s="683"/>
      <c r="M89" s="102"/>
      <c r="N89" s="102">
        <v>64838.27074</v>
      </c>
      <c r="O89" s="102">
        <v>46540.805608999995</v>
      </c>
      <c r="P89" s="102">
        <v>30672.060285</v>
      </c>
      <c r="Q89" s="102">
        <v>15525.753981</v>
      </c>
      <c r="R89" s="102">
        <v>67659.293428000004</v>
      </c>
      <c r="S89" s="102">
        <v>46948.773173000001</v>
      </c>
      <c r="T89" s="102">
        <v>30639.677026000001</v>
      </c>
      <c r="U89" s="102">
        <v>15494.782846999999</v>
      </c>
      <c r="V89" s="102">
        <v>67258.069191999995</v>
      </c>
      <c r="W89" s="102">
        <v>48311.645570000001</v>
      </c>
      <c r="X89" s="102">
        <v>32817.714</v>
      </c>
      <c r="Y89" s="102">
        <v>17773.993999999999</v>
      </c>
      <c r="Z89" s="102"/>
      <c r="AA89" s="102"/>
      <c r="AB89" s="102">
        <v>99823.925409999996</v>
      </c>
      <c r="AC89" s="102">
        <v>69932.807793</v>
      </c>
      <c r="AD89" s="102">
        <v>46126.665800000002</v>
      </c>
      <c r="AE89" s="102">
        <v>22960.452886999999</v>
      </c>
      <c r="AF89" s="102">
        <v>102099.077127</v>
      </c>
      <c r="AG89" s="102">
        <v>69602.798148000002</v>
      </c>
      <c r="AH89" s="102">
        <v>45477.691550000003</v>
      </c>
      <c r="AI89" s="102">
        <v>37192.237447</v>
      </c>
      <c r="AJ89" s="102">
        <v>127433.08680799999</v>
      </c>
      <c r="AK89" s="102">
        <v>95750.737582000002</v>
      </c>
      <c r="AL89" s="102">
        <v>65208.543158</v>
      </c>
      <c r="AM89" s="102">
        <v>36978.235153999995</v>
      </c>
    </row>
    <row r="90" spans="2:39" s="112" customFormat="1" x14ac:dyDescent="0.3">
      <c r="B90" s="78" t="s">
        <v>695</v>
      </c>
      <c r="C90" s="307" t="s">
        <v>1678</v>
      </c>
      <c r="D90" s="100">
        <f t="shared" si="11"/>
        <v>73866.156524000224</v>
      </c>
      <c r="E90" s="100">
        <f t="shared" si="11"/>
        <v>-4338.8825340000913</v>
      </c>
      <c r="F90" s="100">
        <f t="shared" si="11"/>
        <v>93769.318999999901</v>
      </c>
      <c r="G90" s="154"/>
      <c r="H90" s="100">
        <f t="shared" si="10"/>
        <v>117507.18571899878</v>
      </c>
      <c r="I90" s="100">
        <f t="shared" si="10"/>
        <v>37292.491014999803</v>
      </c>
      <c r="J90" s="100">
        <f t="shared" si="12"/>
        <v>115649.15394300006</v>
      </c>
      <c r="K90" s="682"/>
      <c r="M90" s="100"/>
      <c r="N90" s="100">
        <v>73866.156524000224</v>
      </c>
      <c r="O90" s="100">
        <v>44958.711118999869</v>
      </c>
      <c r="P90" s="100">
        <v>20415.610315999947</v>
      </c>
      <c r="Q90" s="100">
        <v>352.60888100008015</v>
      </c>
      <c r="R90" s="100">
        <v>-4338.8825340000913</v>
      </c>
      <c r="S90" s="100">
        <v>-37632.945853000041</v>
      </c>
      <c r="T90" s="100">
        <v>-9665.4387600000482</v>
      </c>
      <c r="U90" s="100">
        <v>21156.045632999856</v>
      </c>
      <c r="V90" s="100">
        <v>-22624.423384000082</v>
      </c>
      <c r="W90" s="100">
        <v>96774.421070000157</v>
      </c>
      <c r="X90" s="100">
        <v>97518.955999999773</v>
      </c>
      <c r="Y90" s="100">
        <v>93769.318999999901</v>
      </c>
      <c r="Z90" s="100"/>
      <c r="AA90" s="100"/>
      <c r="AB90" s="100">
        <v>117507.18571899878</v>
      </c>
      <c r="AC90" s="100">
        <v>71688.265644000378</v>
      </c>
      <c r="AD90" s="100">
        <v>36285.591546999291</v>
      </c>
      <c r="AE90" s="100">
        <v>7902.9618250000003</v>
      </c>
      <c r="AF90" s="100">
        <v>37292.491014999803</v>
      </c>
      <c r="AG90" s="100">
        <v>-6994.2709839999998</v>
      </c>
      <c r="AH90" s="100">
        <v>12194.237537999999</v>
      </c>
      <c r="AI90" s="100">
        <v>47161.848258999999</v>
      </c>
      <c r="AJ90" s="100">
        <v>39899.949708998669</v>
      </c>
      <c r="AK90" s="100">
        <v>138340.635006</v>
      </c>
      <c r="AL90" s="100">
        <v>141453.70005400013</v>
      </c>
      <c r="AM90" s="100">
        <v>115649.15394300006</v>
      </c>
    </row>
    <row r="91" spans="2:39" x14ac:dyDescent="0.3">
      <c r="B91" s="61" t="s">
        <v>1070</v>
      </c>
      <c r="C91" s="141" t="s">
        <v>1071</v>
      </c>
      <c r="D91" s="102">
        <f t="shared" si="11"/>
        <v>3947320.654143</v>
      </c>
      <c r="E91" s="102">
        <f t="shared" si="11"/>
        <v>3670587.098888</v>
      </c>
      <c r="F91" s="102">
        <f t="shared" si="11"/>
        <v>1308445.402</v>
      </c>
      <c r="G91" s="155"/>
      <c r="H91" s="102">
        <f t="shared" si="10"/>
        <v>4084352.485562</v>
      </c>
      <c r="I91" s="102">
        <f t="shared" si="10"/>
        <v>3812770.4209130001</v>
      </c>
      <c r="J91" s="102">
        <f t="shared" si="12"/>
        <v>1344092.792259</v>
      </c>
      <c r="K91" s="683"/>
      <c r="M91" s="102"/>
      <c r="N91" s="102">
        <v>3947320.654143</v>
      </c>
      <c r="O91" s="102">
        <v>3034462.5617169999</v>
      </c>
      <c r="P91" s="102">
        <v>2098160.3944489998</v>
      </c>
      <c r="Q91" s="102">
        <v>791467.58109500003</v>
      </c>
      <c r="R91" s="102">
        <v>3670587.098888</v>
      </c>
      <c r="S91" s="102">
        <v>2434148.1292010001</v>
      </c>
      <c r="T91" s="102">
        <v>2063553.252141</v>
      </c>
      <c r="U91" s="102">
        <v>1255814.0679909999</v>
      </c>
      <c r="V91" s="102">
        <v>3956040.054583</v>
      </c>
      <c r="W91" s="102">
        <v>2798235.7364150002</v>
      </c>
      <c r="X91" s="102">
        <v>2244881.5279999999</v>
      </c>
      <c r="Y91" s="102">
        <v>1308445.402</v>
      </c>
      <c r="Z91" s="102"/>
      <c r="AA91" s="102"/>
      <c r="AB91" s="102">
        <v>4084352.485562</v>
      </c>
      <c r="AC91" s="102">
        <v>3136214.5218969998</v>
      </c>
      <c r="AD91" s="102">
        <v>2163404.2360909996</v>
      </c>
      <c r="AE91" s="102">
        <v>812599.367784</v>
      </c>
      <c r="AF91" s="102">
        <v>3812770.4209130001</v>
      </c>
      <c r="AG91" s="102">
        <v>2532634.8634509998</v>
      </c>
      <c r="AH91" s="102">
        <v>2133872.16781</v>
      </c>
      <c r="AI91" s="102">
        <v>1291814.6497180001</v>
      </c>
      <c r="AJ91" s="102">
        <v>4134440.8367289994</v>
      </c>
      <c r="AK91" s="102">
        <v>2880250.454719</v>
      </c>
      <c r="AL91" s="102">
        <v>2307568.5454680002</v>
      </c>
      <c r="AM91" s="102">
        <v>1344092.792259</v>
      </c>
    </row>
    <row r="92" spans="2:39" x14ac:dyDescent="0.3">
      <c r="B92" s="61" t="s">
        <v>1072</v>
      </c>
      <c r="C92" s="141" t="s">
        <v>1433</v>
      </c>
      <c r="D92" s="102">
        <f t="shared" si="11"/>
        <v>667040.09719400003</v>
      </c>
      <c r="E92" s="102">
        <f t="shared" si="11"/>
        <v>321206.47660200001</v>
      </c>
      <c r="F92" s="102">
        <f t="shared" si="11"/>
        <v>35264.909</v>
      </c>
      <c r="G92" s="155"/>
      <c r="H92" s="102">
        <f t="shared" si="10"/>
        <v>667040.09719400015</v>
      </c>
      <c r="I92" s="102">
        <f t="shared" si="10"/>
        <v>321206.47660200001</v>
      </c>
      <c r="J92" s="102">
        <f t="shared" si="12"/>
        <v>35264.908623000003</v>
      </c>
      <c r="K92" s="683"/>
      <c r="M92" s="102"/>
      <c r="N92" s="102">
        <v>667040.09719400003</v>
      </c>
      <c r="O92" s="102">
        <v>480853.74667799997</v>
      </c>
      <c r="P92" s="102">
        <v>461443.91907499998</v>
      </c>
      <c r="Q92" s="102">
        <v>276760.80917900003</v>
      </c>
      <c r="R92" s="102">
        <v>321206.47660200001</v>
      </c>
      <c r="S92" s="102">
        <v>308659.79972800001</v>
      </c>
      <c r="T92" s="102">
        <v>93638.827749999997</v>
      </c>
      <c r="U92" s="102">
        <v>12973.089456</v>
      </c>
      <c r="V92" s="102">
        <v>613562.70329700003</v>
      </c>
      <c r="W92" s="102">
        <v>350130.16528100002</v>
      </c>
      <c r="X92" s="102">
        <v>52612.641000000003</v>
      </c>
      <c r="Y92" s="102">
        <v>35264.909</v>
      </c>
      <c r="Z92" s="102"/>
      <c r="AA92" s="102"/>
      <c r="AB92" s="102">
        <v>667040.09719400015</v>
      </c>
      <c r="AC92" s="102">
        <v>480853.74667799997</v>
      </c>
      <c r="AD92" s="102">
        <v>461443.91907500004</v>
      </c>
      <c r="AE92" s="102">
        <v>276760.80917899997</v>
      </c>
      <c r="AF92" s="102">
        <v>321206.47660200001</v>
      </c>
      <c r="AG92" s="102">
        <v>308659.79972800001</v>
      </c>
      <c r="AH92" s="102">
        <v>93638.827749999997</v>
      </c>
      <c r="AI92" s="102">
        <v>12973.089456</v>
      </c>
      <c r="AJ92" s="102">
        <v>613562.70329700003</v>
      </c>
      <c r="AK92" s="102">
        <v>350130.16528100002</v>
      </c>
      <c r="AL92" s="102">
        <v>52612.641097</v>
      </c>
      <c r="AM92" s="102">
        <v>35264.908623000003</v>
      </c>
    </row>
    <row r="93" spans="2:39" x14ac:dyDescent="0.3">
      <c r="B93" s="61" t="s">
        <v>1073</v>
      </c>
      <c r="C93" s="141" t="s">
        <v>1434</v>
      </c>
      <c r="D93" s="102">
        <f t="shared" si="11"/>
        <v>663731.84779799997</v>
      </c>
      <c r="E93" s="102">
        <f t="shared" si="11"/>
        <v>319182.61055099999</v>
      </c>
      <c r="F93" s="102">
        <f t="shared" si="11"/>
        <v>34935.245999999999</v>
      </c>
      <c r="G93" s="155"/>
      <c r="H93" s="102">
        <f t="shared" si="10"/>
        <v>663731.84779800009</v>
      </c>
      <c r="I93" s="102">
        <f t="shared" si="10"/>
        <v>319182.61055099999</v>
      </c>
      <c r="J93" s="102">
        <f t="shared" si="12"/>
        <v>34935.246399999996</v>
      </c>
      <c r="K93" s="683"/>
      <c r="M93" s="102"/>
      <c r="N93" s="102">
        <v>663731.84779799997</v>
      </c>
      <c r="O93" s="102">
        <v>478403.88872600003</v>
      </c>
      <c r="P93" s="102">
        <v>459787.03862499999</v>
      </c>
      <c r="Q93" s="102">
        <v>275924.10501999996</v>
      </c>
      <c r="R93" s="102">
        <v>319182.61055099999</v>
      </c>
      <c r="S93" s="102">
        <v>307347.51905499998</v>
      </c>
      <c r="T93" s="102">
        <v>92768.933186000009</v>
      </c>
      <c r="U93" s="102">
        <v>12554.57106</v>
      </c>
      <c r="V93" s="102">
        <v>612083.23974500003</v>
      </c>
      <c r="W93" s="102">
        <v>349072.308372</v>
      </c>
      <c r="X93" s="102">
        <v>51931.512999999999</v>
      </c>
      <c r="Y93" s="102">
        <v>34935.245999999999</v>
      </c>
      <c r="Z93" s="102"/>
      <c r="AA93" s="102"/>
      <c r="AB93" s="102">
        <v>663731.84779800009</v>
      </c>
      <c r="AC93" s="102">
        <v>478403.88872599998</v>
      </c>
      <c r="AD93" s="102">
        <v>459787.03862500004</v>
      </c>
      <c r="AE93" s="102">
        <v>275924.10502000002</v>
      </c>
      <c r="AF93" s="102">
        <v>319182.61055099999</v>
      </c>
      <c r="AG93" s="102">
        <v>307347.51905499998</v>
      </c>
      <c r="AH93" s="102">
        <v>92768.933185999995</v>
      </c>
      <c r="AI93" s="102">
        <v>12554.57106</v>
      </c>
      <c r="AJ93" s="102">
        <v>612083.23974500003</v>
      </c>
      <c r="AK93" s="102">
        <v>349072.308372</v>
      </c>
      <c r="AL93" s="102">
        <v>51931.512935999999</v>
      </c>
      <c r="AM93" s="102">
        <v>34935.246399999996</v>
      </c>
    </row>
    <row r="94" spans="2:39" x14ac:dyDescent="0.3">
      <c r="B94" s="61" t="s">
        <v>1074</v>
      </c>
      <c r="C94" s="141" t="s">
        <v>1524</v>
      </c>
      <c r="D94" s="102">
        <f t="shared" si="11"/>
        <v>609294.89861300006</v>
      </c>
      <c r="E94" s="102">
        <f t="shared" si="11"/>
        <v>315247.99412300001</v>
      </c>
      <c r="F94" s="102">
        <f t="shared" si="11"/>
        <v>15770.494000000001</v>
      </c>
      <c r="G94" s="155"/>
      <c r="H94" s="102">
        <f t="shared" si="10"/>
        <v>609294.89861300006</v>
      </c>
      <c r="I94" s="102">
        <f t="shared" si="10"/>
        <v>315247.99412300001</v>
      </c>
      <c r="J94" s="102">
        <f t="shared" si="12"/>
        <v>15770.493934000002</v>
      </c>
      <c r="K94" s="683"/>
      <c r="M94" s="102"/>
      <c r="N94" s="102">
        <v>609294.89861300006</v>
      </c>
      <c r="O94" s="102">
        <v>459278.04644499999</v>
      </c>
      <c r="P94" s="102">
        <v>446894.69247100002</v>
      </c>
      <c r="Q94" s="102">
        <v>275924.10501999996</v>
      </c>
      <c r="R94" s="102">
        <v>315247.99412300001</v>
      </c>
      <c r="S94" s="102">
        <v>303921.857143</v>
      </c>
      <c r="T94" s="102">
        <v>90440.113290000008</v>
      </c>
      <c r="U94" s="102">
        <v>11039.581876</v>
      </c>
      <c r="V94" s="102">
        <v>572780.506834</v>
      </c>
      <c r="W94" s="102">
        <v>315392.50907299999</v>
      </c>
      <c r="X94" s="102">
        <v>24430.019</v>
      </c>
      <c r="Y94" s="102">
        <v>15770.494000000001</v>
      </c>
      <c r="Z94" s="102"/>
      <c r="AA94" s="102"/>
      <c r="AB94" s="102">
        <v>609294.89861300006</v>
      </c>
      <c r="AC94" s="102">
        <v>459278.04644499999</v>
      </c>
      <c r="AD94" s="102">
        <v>446894.69247100002</v>
      </c>
      <c r="AE94" s="102">
        <v>275924.10502000002</v>
      </c>
      <c r="AF94" s="102">
        <v>315247.99412300001</v>
      </c>
      <c r="AG94" s="102">
        <v>303921.857143</v>
      </c>
      <c r="AH94" s="102">
        <v>90440.113289999994</v>
      </c>
      <c r="AI94" s="102">
        <v>11039.581876</v>
      </c>
      <c r="AJ94" s="102">
        <v>572780.506834</v>
      </c>
      <c r="AK94" s="102">
        <v>315392.50907299999</v>
      </c>
      <c r="AL94" s="102">
        <v>24430.019090999998</v>
      </c>
      <c r="AM94" s="102">
        <v>15770.493934000002</v>
      </c>
    </row>
    <row r="95" spans="2:39" x14ac:dyDescent="0.3">
      <c r="B95" s="61" t="s">
        <v>1075</v>
      </c>
      <c r="C95" s="141" t="s">
        <v>1525</v>
      </c>
      <c r="D95" s="102" t="str">
        <f t="shared" si="11"/>
        <v/>
      </c>
      <c r="E95" s="102" t="str">
        <f t="shared" si="11"/>
        <v/>
      </c>
      <c r="F95" s="102" t="str">
        <f t="shared" si="11"/>
        <v/>
      </c>
      <c r="G95" s="155"/>
      <c r="H95" s="102" t="str">
        <f t="shared" si="10"/>
        <v/>
      </c>
      <c r="I95" s="102" t="str">
        <f t="shared" si="10"/>
        <v/>
      </c>
      <c r="J95" s="102" t="str">
        <f t="shared" si="12"/>
        <v/>
      </c>
      <c r="K95" s="683"/>
      <c r="M95" s="102"/>
      <c r="N95" s="102">
        <v>0</v>
      </c>
      <c r="O95" s="102">
        <v>0</v>
      </c>
      <c r="P95" s="102">
        <v>0</v>
      </c>
      <c r="Q95" s="102">
        <v>0</v>
      </c>
      <c r="R95" s="102">
        <v>0</v>
      </c>
      <c r="S95" s="102">
        <v>0</v>
      </c>
      <c r="T95" s="102">
        <v>0</v>
      </c>
      <c r="U95" s="102">
        <v>0</v>
      </c>
      <c r="V95" s="102">
        <v>0</v>
      </c>
      <c r="W95" s="102">
        <v>0</v>
      </c>
      <c r="X95" s="102">
        <v>0</v>
      </c>
      <c r="Y95" s="102">
        <v>0</v>
      </c>
      <c r="Z95" s="102"/>
      <c r="AA95" s="102"/>
      <c r="AB95" s="102">
        <v>0</v>
      </c>
      <c r="AC95" s="102">
        <v>0</v>
      </c>
      <c r="AD95" s="102">
        <v>0</v>
      </c>
      <c r="AE95" s="102">
        <v>0</v>
      </c>
      <c r="AF95" s="102">
        <v>0</v>
      </c>
      <c r="AG95" s="102">
        <v>0</v>
      </c>
      <c r="AH95" s="102">
        <v>0</v>
      </c>
      <c r="AI95" s="102">
        <v>0</v>
      </c>
      <c r="AJ95" s="102">
        <v>0</v>
      </c>
      <c r="AK95" s="102">
        <v>0</v>
      </c>
      <c r="AL95" s="102">
        <v>0</v>
      </c>
      <c r="AM95" s="102">
        <v>0</v>
      </c>
    </row>
    <row r="96" spans="2:39" x14ac:dyDescent="0.3">
      <c r="B96" s="61" t="s">
        <v>1076</v>
      </c>
      <c r="C96" s="141" t="s">
        <v>1526</v>
      </c>
      <c r="D96" s="102">
        <f t="shared" si="11"/>
        <v>8.8430000000000002E-3</v>
      </c>
      <c r="E96" s="102" t="str">
        <f t="shared" si="11"/>
        <v/>
      </c>
      <c r="F96" s="102">
        <f t="shared" si="11"/>
        <v>18328.735000000001</v>
      </c>
      <c r="G96" s="155"/>
      <c r="H96" s="102">
        <f t="shared" si="10"/>
        <v>8.8430000000000002E-3</v>
      </c>
      <c r="I96" s="102" t="str">
        <f t="shared" si="10"/>
        <v/>
      </c>
      <c r="J96" s="102">
        <f t="shared" si="12"/>
        <v>18328.735126</v>
      </c>
      <c r="K96" s="683"/>
      <c r="M96" s="102"/>
      <c r="N96" s="102">
        <v>8.8430000000000002E-3</v>
      </c>
      <c r="O96" s="102">
        <v>8.8430000000000002E-3</v>
      </c>
      <c r="P96" s="102">
        <v>0</v>
      </c>
      <c r="Q96" s="102">
        <v>0</v>
      </c>
      <c r="R96" s="102">
        <v>0</v>
      </c>
      <c r="S96" s="102">
        <v>0</v>
      </c>
      <c r="T96" s="102">
        <v>0</v>
      </c>
      <c r="U96" s="102">
        <v>0</v>
      </c>
      <c r="V96" s="102">
        <v>36588.673404000001</v>
      </c>
      <c r="W96" s="102">
        <v>31349.642656</v>
      </c>
      <c r="X96" s="102">
        <v>25575.952000000001</v>
      </c>
      <c r="Y96" s="102">
        <v>18328.735000000001</v>
      </c>
      <c r="Z96" s="102"/>
      <c r="AA96" s="102"/>
      <c r="AB96" s="102">
        <v>8.8430000000000002E-3</v>
      </c>
      <c r="AC96" s="102">
        <v>8.8430000000000002E-3</v>
      </c>
      <c r="AD96" s="102">
        <v>0</v>
      </c>
      <c r="AE96" s="102">
        <v>0</v>
      </c>
      <c r="AF96" s="102">
        <v>0</v>
      </c>
      <c r="AG96" s="102">
        <v>0</v>
      </c>
      <c r="AH96" s="102">
        <v>0</v>
      </c>
      <c r="AI96" s="102">
        <v>0</v>
      </c>
      <c r="AJ96" s="102">
        <v>36588.673404000001</v>
      </c>
      <c r="AK96" s="102">
        <v>31349.642656</v>
      </c>
      <c r="AL96" s="102">
        <v>25575.95177</v>
      </c>
      <c r="AM96" s="102">
        <v>18328.735126</v>
      </c>
    </row>
    <row r="97" spans="2:39" x14ac:dyDescent="0.3">
      <c r="B97" s="61" t="s">
        <v>1077</v>
      </c>
      <c r="C97" s="141" t="s">
        <v>1527</v>
      </c>
      <c r="D97" s="102">
        <f t="shared" si="11"/>
        <v>54436.940342000002</v>
      </c>
      <c r="E97" s="102">
        <f t="shared" si="11"/>
        <v>3934.6164279999998</v>
      </c>
      <c r="F97" s="102">
        <f t="shared" si="11"/>
        <v>836.01700000000005</v>
      </c>
      <c r="G97" s="155"/>
      <c r="H97" s="102">
        <f t="shared" si="10"/>
        <v>54436.940342000002</v>
      </c>
      <c r="I97" s="102">
        <f t="shared" si="10"/>
        <v>3934.6164279999998</v>
      </c>
      <c r="J97" s="102">
        <f t="shared" si="12"/>
        <v>836.0173400000001</v>
      </c>
      <c r="K97" s="683"/>
      <c r="M97" s="102"/>
      <c r="N97" s="102">
        <v>54436.940342000002</v>
      </c>
      <c r="O97" s="102">
        <v>19125.833438000001</v>
      </c>
      <c r="P97" s="102">
        <v>12892.346153999999</v>
      </c>
      <c r="Q97" s="102">
        <v>0</v>
      </c>
      <c r="R97" s="102">
        <v>3934.6164279999998</v>
      </c>
      <c r="S97" s="102">
        <v>3425.661912</v>
      </c>
      <c r="T97" s="102">
        <v>2328.819896</v>
      </c>
      <c r="U97" s="102">
        <v>1514.9891839999998</v>
      </c>
      <c r="V97" s="102">
        <v>2714.0595070000004</v>
      </c>
      <c r="W97" s="102">
        <v>2330.1566430000003</v>
      </c>
      <c r="X97" s="102">
        <v>1925.5419999999999</v>
      </c>
      <c r="Y97" s="102">
        <v>836.01700000000005</v>
      </c>
      <c r="Z97" s="102"/>
      <c r="AA97" s="102"/>
      <c r="AB97" s="102">
        <v>54436.940342000002</v>
      </c>
      <c r="AC97" s="102">
        <v>19125.833438000001</v>
      </c>
      <c r="AD97" s="102">
        <v>12892.346154000001</v>
      </c>
      <c r="AE97" s="102">
        <v>0</v>
      </c>
      <c r="AF97" s="102">
        <v>3934.6164279999998</v>
      </c>
      <c r="AG97" s="102">
        <v>3425.661912</v>
      </c>
      <c r="AH97" s="102">
        <v>2328.819896</v>
      </c>
      <c r="AI97" s="102">
        <v>1514.989184</v>
      </c>
      <c r="AJ97" s="102">
        <v>2714.0595069999999</v>
      </c>
      <c r="AK97" s="102">
        <v>2330.1566429999998</v>
      </c>
      <c r="AL97" s="102">
        <v>1925.5420750000001</v>
      </c>
      <c r="AM97" s="102">
        <v>836.0173400000001</v>
      </c>
    </row>
    <row r="98" spans="2:39" x14ac:dyDescent="0.3">
      <c r="B98" s="61" t="s">
        <v>1078</v>
      </c>
      <c r="C98" s="141" t="s">
        <v>1435</v>
      </c>
      <c r="D98" s="102">
        <f t="shared" si="11"/>
        <v>3308.2493960000002</v>
      </c>
      <c r="E98" s="102">
        <f t="shared" si="11"/>
        <v>2023.866051</v>
      </c>
      <c r="F98" s="102">
        <f t="shared" si="11"/>
        <v>329.66199999999998</v>
      </c>
      <c r="G98" s="155"/>
      <c r="H98" s="102">
        <f t="shared" si="10"/>
        <v>3308.2493959999997</v>
      </c>
      <c r="I98" s="102">
        <f t="shared" si="10"/>
        <v>2023.866051</v>
      </c>
      <c r="J98" s="102">
        <f t="shared" si="12"/>
        <v>329.66222299999998</v>
      </c>
      <c r="K98" s="683"/>
      <c r="M98" s="102"/>
      <c r="N98" s="102">
        <v>3308.2493960000002</v>
      </c>
      <c r="O98" s="102">
        <v>2449.8579519999998</v>
      </c>
      <c r="P98" s="102">
        <v>1656.8804499999999</v>
      </c>
      <c r="Q98" s="102">
        <v>836.704159</v>
      </c>
      <c r="R98" s="102">
        <v>2023.866051</v>
      </c>
      <c r="S98" s="102">
        <v>1312.280673</v>
      </c>
      <c r="T98" s="102">
        <v>869.89456400000006</v>
      </c>
      <c r="U98" s="102">
        <v>418.518396</v>
      </c>
      <c r="V98" s="102">
        <v>1479.4635519999999</v>
      </c>
      <c r="W98" s="102">
        <v>1057.8569090000001</v>
      </c>
      <c r="X98" s="102">
        <v>681.12800000000004</v>
      </c>
      <c r="Y98" s="102">
        <v>329.66199999999998</v>
      </c>
      <c r="Z98" s="102"/>
      <c r="AA98" s="102"/>
      <c r="AB98" s="102">
        <v>3308.2493959999997</v>
      </c>
      <c r="AC98" s="102">
        <v>2449.8579519999998</v>
      </c>
      <c r="AD98" s="102">
        <v>1656.8804499999999</v>
      </c>
      <c r="AE98" s="102">
        <v>836.704159</v>
      </c>
      <c r="AF98" s="102">
        <v>2023.866051</v>
      </c>
      <c r="AG98" s="102">
        <v>1312.280673</v>
      </c>
      <c r="AH98" s="102">
        <v>869.89456399999995</v>
      </c>
      <c r="AI98" s="102">
        <v>418.518396</v>
      </c>
      <c r="AJ98" s="102">
        <v>1479.4635519999999</v>
      </c>
      <c r="AK98" s="102">
        <v>1057.8569090000001</v>
      </c>
      <c r="AL98" s="102">
        <v>681.12816099999998</v>
      </c>
      <c r="AM98" s="102">
        <v>329.66222299999998</v>
      </c>
    </row>
    <row r="99" spans="2:39" x14ac:dyDescent="0.3">
      <c r="B99" s="61" t="s">
        <v>1074</v>
      </c>
      <c r="C99" s="141" t="s">
        <v>1524</v>
      </c>
      <c r="D99" s="102">
        <f t="shared" si="11"/>
        <v>3303.4966949999998</v>
      </c>
      <c r="E99" s="102">
        <f t="shared" si="11"/>
        <v>2020.55485</v>
      </c>
      <c r="F99" s="102">
        <f t="shared" si="11"/>
        <v>329.66199999999998</v>
      </c>
      <c r="G99" s="155"/>
      <c r="H99" s="102">
        <f t="shared" si="10"/>
        <v>3303.4966949999998</v>
      </c>
      <c r="I99" s="102">
        <f t="shared" si="10"/>
        <v>2020.55485</v>
      </c>
      <c r="J99" s="102">
        <f t="shared" si="12"/>
        <v>329.66222299999998</v>
      </c>
      <c r="K99" s="683"/>
      <c r="M99" s="102"/>
      <c r="N99" s="102">
        <v>3303.4966949999998</v>
      </c>
      <c r="O99" s="102">
        <v>2445.7144579999999</v>
      </c>
      <c r="P99" s="102">
        <v>1654.1360139999999</v>
      </c>
      <c r="Q99" s="102">
        <v>834.144586</v>
      </c>
      <c r="R99" s="102">
        <v>2020.55485</v>
      </c>
      <c r="S99" s="102">
        <v>1309.5661729999999</v>
      </c>
      <c r="T99" s="102">
        <v>867.46022400000004</v>
      </c>
      <c r="U99" s="102">
        <v>416.53376000000003</v>
      </c>
      <c r="V99" s="102">
        <v>1478.850723</v>
      </c>
      <c r="W99" s="102">
        <v>1057.7671319999999</v>
      </c>
      <c r="X99" s="102">
        <v>681.12</v>
      </c>
      <c r="Y99" s="102">
        <v>329.66199999999998</v>
      </c>
      <c r="Z99" s="102"/>
      <c r="AA99" s="102"/>
      <c r="AB99" s="102">
        <v>3303.4966949999998</v>
      </c>
      <c r="AC99" s="102">
        <v>2445.7144579999999</v>
      </c>
      <c r="AD99" s="102">
        <v>1654.1360139999999</v>
      </c>
      <c r="AE99" s="102">
        <v>834.144586</v>
      </c>
      <c r="AF99" s="102">
        <v>2020.55485</v>
      </c>
      <c r="AG99" s="102">
        <v>1309.5661729999999</v>
      </c>
      <c r="AH99" s="102">
        <v>867.46022400000004</v>
      </c>
      <c r="AI99" s="102">
        <v>416.53375999999997</v>
      </c>
      <c r="AJ99" s="102">
        <v>1478.850723</v>
      </c>
      <c r="AK99" s="102">
        <v>1057.7671319999999</v>
      </c>
      <c r="AL99" s="102">
        <v>681.11963900000001</v>
      </c>
      <c r="AM99" s="102">
        <v>329.66222299999998</v>
      </c>
    </row>
    <row r="100" spans="2:39" x14ac:dyDescent="0.3">
      <c r="B100" s="61" t="s">
        <v>1075</v>
      </c>
      <c r="C100" s="141" t="s">
        <v>1525</v>
      </c>
      <c r="D100" s="102" t="str">
        <f t="shared" si="11"/>
        <v/>
      </c>
      <c r="E100" s="102" t="str">
        <f t="shared" si="11"/>
        <v/>
      </c>
      <c r="F100" s="102" t="str">
        <f t="shared" si="11"/>
        <v/>
      </c>
      <c r="G100" s="155"/>
      <c r="H100" s="102" t="str">
        <f t="shared" si="10"/>
        <v/>
      </c>
      <c r="I100" s="102" t="str">
        <f t="shared" si="10"/>
        <v/>
      </c>
      <c r="J100" s="102" t="str">
        <f t="shared" si="12"/>
        <v/>
      </c>
      <c r="K100" s="683"/>
      <c r="M100" s="102"/>
      <c r="N100" s="102">
        <v>0</v>
      </c>
      <c r="O100" s="102">
        <v>0</v>
      </c>
      <c r="P100" s="102">
        <v>0</v>
      </c>
      <c r="Q100" s="102">
        <v>0</v>
      </c>
      <c r="R100" s="102">
        <v>0</v>
      </c>
      <c r="S100" s="102">
        <v>0</v>
      </c>
      <c r="T100" s="102">
        <v>0</v>
      </c>
      <c r="U100" s="102">
        <v>0</v>
      </c>
      <c r="V100" s="102">
        <v>0</v>
      </c>
      <c r="W100" s="102">
        <v>0</v>
      </c>
      <c r="X100" s="102">
        <v>0</v>
      </c>
      <c r="Y100" s="102">
        <v>0</v>
      </c>
      <c r="Z100" s="102"/>
      <c r="AA100" s="102"/>
      <c r="AB100" s="102">
        <v>0</v>
      </c>
      <c r="AC100" s="102">
        <v>0</v>
      </c>
      <c r="AD100" s="102">
        <v>0</v>
      </c>
      <c r="AE100" s="102">
        <v>0</v>
      </c>
      <c r="AF100" s="102">
        <v>0</v>
      </c>
      <c r="AG100" s="102">
        <v>0</v>
      </c>
      <c r="AH100" s="102">
        <v>0</v>
      </c>
      <c r="AI100" s="102">
        <v>0</v>
      </c>
      <c r="AJ100" s="102">
        <v>0</v>
      </c>
      <c r="AK100" s="102">
        <v>0</v>
      </c>
      <c r="AL100" s="102">
        <v>0</v>
      </c>
      <c r="AM100" s="102">
        <v>0</v>
      </c>
    </row>
    <row r="101" spans="2:39" x14ac:dyDescent="0.3">
      <c r="B101" s="61" t="s">
        <v>1076</v>
      </c>
      <c r="C101" s="141" t="s">
        <v>1526</v>
      </c>
      <c r="D101" s="102" t="str">
        <f t="shared" si="11"/>
        <v/>
      </c>
      <c r="E101" s="102" t="str">
        <f t="shared" si="11"/>
        <v/>
      </c>
      <c r="F101" s="102" t="str">
        <f t="shared" si="11"/>
        <v/>
      </c>
      <c r="G101" s="155"/>
      <c r="H101" s="102" t="str">
        <f t="shared" si="10"/>
        <v/>
      </c>
      <c r="I101" s="102" t="str">
        <f t="shared" si="10"/>
        <v/>
      </c>
      <c r="J101" s="102" t="str">
        <f t="shared" si="12"/>
        <v/>
      </c>
      <c r="K101" s="683"/>
      <c r="M101" s="102"/>
      <c r="N101" s="102">
        <v>0</v>
      </c>
      <c r="O101" s="102">
        <v>0</v>
      </c>
      <c r="P101" s="102">
        <v>0</v>
      </c>
      <c r="Q101" s="102">
        <v>0</v>
      </c>
      <c r="R101" s="102">
        <v>0</v>
      </c>
      <c r="S101" s="102">
        <v>0</v>
      </c>
      <c r="T101" s="102">
        <v>0</v>
      </c>
      <c r="U101" s="102">
        <v>0</v>
      </c>
      <c r="V101" s="102">
        <v>0</v>
      </c>
      <c r="W101" s="102">
        <v>0</v>
      </c>
      <c r="X101" s="102">
        <v>0</v>
      </c>
      <c r="Y101" s="102">
        <v>0</v>
      </c>
      <c r="Z101" s="102"/>
      <c r="AA101" s="102"/>
      <c r="AB101" s="102">
        <v>0</v>
      </c>
      <c r="AC101" s="102">
        <v>0</v>
      </c>
      <c r="AD101" s="102">
        <v>0</v>
      </c>
      <c r="AE101" s="102">
        <v>0</v>
      </c>
      <c r="AF101" s="102">
        <v>0</v>
      </c>
      <c r="AG101" s="102">
        <v>0</v>
      </c>
      <c r="AH101" s="102">
        <v>0</v>
      </c>
      <c r="AI101" s="102">
        <v>0</v>
      </c>
      <c r="AJ101" s="102">
        <v>0</v>
      </c>
      <c r="AK101" s="102">
        <v>0</v>
      </c>
      <c r="AL101" s="102">
        <v>0</v>
      </c>
      <c r="AM101" s="102">
        <v>0</v>
      </c>
    </row>
    <row r="102" spans="2:39" x14ac:dyDescent="0.3">
      <c r="B102" s="61" t="s">
        <v>1079</v>
      </c>
      <c r="C102" s="141" t="s">
        <v>1528</v>
      </c>
      <c r="D102" s="102">
        <f t="shared" si="11"/>
        <v>4.7527010000000001</v>
      </c>
      <c r="E102" s="102">
        <f t="shared" si="11"/>
        <v>3.3112010000000001</v>
      </c>
      <c r="F102" s="102" t="str">
        <f t="shared" si="11"/>
        <v/>
      </c>
      <c r="G102" s="155"/>
      <c r="H102" s="102">
        <f t="shared" si="10"/>
        <v>4.7527010000000001</v>
      </c>
      <c r="I102" s="102">
        <f t="shared" si="10"/>
        <v>3.3112010000000001</v>
      </c>
      <c r="J102" s="102" t="str">
        <f t="shared" si="12"/>
        <v/>
      </c>
      <c r="K102" s="683"/>
      <c r="M102" s="102"/>
      <c r="N102" s="102">
        <v>4.7527010000000001</v>
      </c>
      <c r="O102" s="102">
        <v>4.1434939999999996</v>
      </c>
      <c r="P102" s="102">
        <v>2.7444360000000003</v>
      </c>
      <c r="Q102" s="102">
        <v>2.5595729999999999</v>
      </c>
      <c r="R102" s="102">
        <v>3.3112010000000001</v>
      </c>
      <c r="S102" s="102">
        <v>2.7145000000000001</v>
      </c>
      <c r="T102" s="102">
        <v>2.4343400000000002</v>
      </c>
      <c r="U102" s="102">
        <v>1.9846360000000001</v>
      </c>
      <c r="V102" s="102">
        <v>0.61282899999999996</v>
      </c>
      <c r="W102" s="102">
        <v>8.9776999999999996E-2</v>
      </c>
      <c r="X102" s="102">
        <v>8.9999999999999993E-3</v>
      </c>
      <c r="Y102" s="102">
        <v>0</v>
      </c>
      <c r="Z102" s="102"/>
      <c r="AA102" s="102"/>
      <c r="AB102" s="102">
        <v>4.7527010000000001</v>
      </c>
      <c r="AC102" s="102">
        <v>4.1434939999999996</v>
      </c>
      <c r="AD102" s="102">
        <v>2.7444359999999999</v>
      </c>
      <c r="AE102" s="102">
        <v>2.5595729999999999</v>
      </c>
      <c r="AF102" s="102">
        <v>3.3112010000000001</v>
      </c>
      <c r="AG102" s="102">
        <v>2.7145000000000001</v>
      </c>
      <c r="AH102" s="102">
        <v>2.4343400000000002</v>
      </c>
      <c r="AI102" s="102">
        <v>1.9846360000000001</v>
      </c>
      <c r="AJ102" s="102">
        <v>0.61282899999999996</v>
      </c>
      <c r="AK102" s="102">
        <v>8.9776999999999996E-2</v>
      </c>
      <c r="AL102" s="102">
        <v>8.5220000000000001E-3</v>
      </c>
      <c r="AM102" s="102">
        <v>0</v>
      </c>
    </row>
    <row r="103" spans="2:39" x14ac:dyDescent="0.3">
      <c r="B103" s="61" t="s">
        <v>1080</v>
      </c>
      <c r="C103" s="141" t="s">
        <v>1529</v>
      </c>
      <c r="D103" s="102" t="str">
        <f t="shared" si="11"/>
        <v/>
      </c>
      <c r="E103" s="102" t="str">
        <f t="shared" si="11"/>
        <v/>
      </c>
      <c r="F103" s="102" t="str">
        <f t="shared" si="11"/>
        <v/>
      </c>
      <c r="G103" s="155"/>
      <c r="H103" s="102" t="str">
        <f t="shared" si="10"/>
        <v/>
      </c>
      <c r="I103" s="102" t="str">
        <f t="shared" si="10"/>
        <v/>
      </c>
      <c r="J103" s="102" t="str">
        <f t="shared" si="12"/>
        <v/>
      </c>
      <c r="K103" s="683"/>
      <c r="M103" s="102"/>
      <c r="N103" s="102">
        <v>0</v>
      </c>
      <c r="O103" s="102">
        <v>0</v>
      </c>
      <c r="P103" s="102">
        <v>0</v>
      </c>
      <c r="Q103" s="102">
        <v>0</v>
      </c>
      <c r="R103" s="102">
        <v>0</v>
      </c>
      <c r="S103" s="102">
        <v>0</v>
      </c>
      <c r="T103" s="102">
        <v>0</v>
      </c>
      <c r="U103" s="102">
        <v>0</v>
      </c>
      <c r="V103" s="102">
        <v>0</v>
      </c>
      <c r="W103" s="102">
        <v>0</v>
      </c>
      <c r="X103" s="102">
        <v>0</v>
      </c>
      <c r="Y103" s="102">
        <v>0</v>
      </c>
      <c r="Z103" s="102"/>
      <c r="AA103" s="102"/>
      <c r="AB103" s="102">
        <v>0</v>
      </c>
      <c r="AC103" s="102">
        <v>0</v>
      </c>
      <c r="AD103" s="102">
        <v>0</v>
      </c>
      <c r="AE103" s="102">
        <v>0</v>
      </c>
      <c r="AF103" s="102">
        <v>0</v>
      </c>
      <c r="AG103" s="102">
        <v>0</v>
      </c>
      <c r="AH103" s="102">
        <v>0</v>
      </c>
      <c r="AI103" s="102">
        <v>0</v>
      </c>
      <c r="AJ103" s="102">
        <v>0</v>
      </c>
      <c r="AK103" s="102">
        <v>0</v>
      </c>
      <c r="AL103" s="102">
        <v>0</v>
      </c>
      <c r="AM103" s="102">
        <v>0</v>
      </c>
    </row>
    <row r="104" spans="2:39" x14ac:dyDescent="0.3">
      <c r="B104" s="61" t="s">
        <v>1081</v>
      </c>
      <c r="C104" s="141" t="s">
        <v>612</v>
      </c>
      <c r="D104" s="102">
        <f t="shared" si="11"/>
        <v>490983.59799400001</v>
      </c>
      <c r="E104" s="102">
        <f t="shared" si="11"/>
        <v>506299.39964999998</v>
      </c>
      <c r="F104" s="102">
        <f t="shared" si="11"/>
        <v>166556.29</v>
      </c>
      <c r="G104" s="155"/>
      <c r="H104" s="102">
        <f t="shared" si="10"/>
        <v>493838.09280100005</v>
      </c>
      <c r="I104" s="102">
        <f t="shared" si="10"/>
        <v>509574.12648700003</v>
      </c>
      <c r="J104" s="102">
        <f t="shared" si="12"/>
        <v>167376.457964</v>
      </c>
      <c r="K104" s="683"/>
      <c r="M104" s="102"/>
      <c r="N104" s="102">
        <v>490983.59799400001</v>
      </c>
      <c r="O104" s="102">
        <v>365850.33566500002</v>
      </c>
      <c r="P104" s="102">
        <v>243200.65135</v>
      </c>
      <c r="Q104" s="102">
        <v>121639.08893899999</v>
      </c>
      <c r="R104" s="102">
        <v>506299.39964999998</v>
      </c>
      <c r="S104" s="102">
        <v>380481.78435600002</v>
      </c>
      <c r="T104" s="102">
        <v>254665.07332300002</v>
      </c>
      <c r="U104" s="102">
        <v>127666.026138</v>
      </c>
      <c r="V104" s="102">
        <v>551787.51148800005</v>
      </c>
      <c r="W104" s="102">
        <v>415406.33542600001</v>
      </c>
      <c r="X104" s="102">
        <v>273102.723</v>
      </c>
      <c r="Y104" s="102">
        <v>166556.29</v>
      </c>
      <c r="Z104" s="102"/>
      <c r="AA104" s="102"/>
      <c r="AB104" s="102">
        <v>493838.09280100005</v>
      </c>
      <c r="AC104" s="102">
        <v>368082.58344999992</v>
      </c>
      <c r="AD104" s="102">
        <v>244790.63505499999</v>
      </c>
      <c r="AE104" s="102">
        <v>122477.991316</v>
      </c>
      <c r="AF104" s="102">
        <v>509574.12648700003</v>
      </c>
      <c r="AG104" s="102">
        <v>382809.90581999999</v>
      </c>
      <c r="AH104" s="102">
        <v>256162.90838099999</v>
      </c>
      <c r="AI104" s="102">
        <v>128447.395764</v>
      </c>
      <c r="AJ104" s="102">
        <v>557842.356394</v>
      </c>
      <c r="AK104" s="102">
        <v>416343.22627899999</v>
      </c>
      <c r="AL104" s="102">
        <v>275022.21240299998</v>
      </c>
      <c r="AM104" s="102">
        <v>167376.457964</v>
      </c>
    </row>
    <row r="105" spans="2:39" x14ac:dyDescent="0.3">
      <c r="B105" s="61" t="s">
        <v>696</v>
      </c>
      <c r="C105" s="141" t="s">
        <v>613</v>
      </c>
      <c r="D105" s="102">
        <f t="shared" si="11"/>
        <v>14279.121179</v>
      </c>
      <c r="E105" s="102">
        <f t="shared" si="11"/>
        <v>14633.010403</v>
      </c>
      <c r="F105" s="102">
        <f t="shared" si="11"/>
        <v>3638.607</v>
      </c>
      <c r="G105" s="155"/>
      <c r="H105" s="102">
        <f t="shared" si="10"/>
        <v>16260.006825</v>
      </c>
      <c r="I105" s="102">
        <f t="shared" si="10"/>
        <v>16737.222183999998</v>
      </c>
      <c r="J105" s="102">
        <f t="shared" si="12"/>
        <v>4230.5845520000003</v>
      </c>
      <c r="K105" s="683"/>
      <c r="M105" s="102"/>
      <c r="N105" s="102">
        <v>14279.121179</v>
      </c>
      <c r="O105" s="102">
        <v>10311.165123999999</v>
      </c>
      <c r="P105" s="102">
        <v>6687.6105750000006</v>
      </c>
      <c r="Q105" s="102">
        <v>3136.7391809999999</v>
      </c>
      <c r="R105" s="102">
        <v>14633.010403</v>
      </c>
      <c r="S105" s="102">
        <v>11181.435994000001</v>
      </c>
      <c r="T105" s="102">
        <v>7540.1007209999998</v>
      </c>
      <c r="U105" s="102">
        <v>3914.9192880000001</v>
      </c>
      <c r="V105" s="102">
        <v>15779.643153999999</v>
      </c>
      <c r="W105" s="102">
        <v>11663.99207</v>
      </c>
      <c r="X105" s="102">
        <v>7642.0789999999997</v>
      </c>
      <c r="Y105" s="102">
        <v>3638.607</v>
      </c>
      <c r="Z105" s="102"/>
      <c r="AA105" s="102"/>
      <c r="AB105" s="102">
        <v>16260.006825</v>
      </c>
      <c r="AC105" s="102">
        <v>11862.992627</v>
      </c>
      <c r="AD105" s="102">
        <v>7799.0943070000003</v>
      </c>
      <c r="AE105" s="102">
        <v>3723.6017069999998</v>
      </c>
      <c r="AF105" s="102">
        <v>16737.222183999998</v>
      </c>
      <c r="AG105" s="102">
        <v>12639.411534999999</v>
      </c>
      <c r="AH105" s="102">
        <v>8464.1286540000001</v>
      </c>
      <c r="AI105" s="102">
        <v>4413.4699780000001</v>
      </c>
      <c r="AJ105" s="102">
        <v>17559.320399</v>
      </c>
      <c r="AK105" s="102">
        <v>11746.679425</v>
      </c>
      <c r="AL105" s="102">
        <v>9015.2012500000001</v>
      </c>
      <c r="AM105" s="102">
        <v>4230.5845520000003</v>
      </c>
    </row>
    <row r="106" spans="2:39" x14ac:dyDescent="0.3">
      <c r="B106" s="61" t="s">
        <v>1082</v>
      </c>
      <c r="C106" s="141" t="s">
        <v>1436</v>
      </c>
      <c r="D106" s="102">
        <f t="shared" ref="D106:F125" si="13">IF(HLOOKUP(D$5,$M$5:$Y$319,ROW()-ROW($F$4),FALSE)=0,"",HLOOKUP(D$5,$M$5:$Y$319,ROW()-ROW($F$4),FALSE))</f>
        <v>8276.3058619999993</v>
      </c>
      <c r="E106" s="102">
        <f t="shared" si="13"/>
        <v>6768.3459830000002</v>
      </c>
      <c r="F106" s="102">
        <f t="shared" si="13"/>
        <v>35438.595000000001</v>
      </c>
      <c r="G106" s="155"/>
      <c r="H106" s="102">
        <f t="shared" si="10"/>
        <v>8276.3058619999993</v>
      </c>
      <c r="I106" s="102">
        <f t="shared" si="10"/>
        <v>6768.3459830000002</v>
      </c>
      <c r="J106" s="102">
        <f t="shared" ref="J106:J125" si="14">IF(HLOOKUP(J$5,$AA$5:$AM$315,ROW()-ROW($J$4),FALSE)=0,"",HLOOKUP(J$5,$AA$5:$AM$315,ROW()-ROW($J$4),FALSE))</f>
        <v>35438.595298</v>
      </c>
      <c r="K106" s="683"/>
      <c r="M106" s="102"/>
      <c r="N106" s="102">
        <v>8276.3058619999993</v>
      </c>
      <c r="O106" s="102">
        <v>5926.9678720000002</v>
      </c>
      <c r="P106" s="102">
        <v>3505.7287670000001</v>
      </c>
      <c r="Q106" s="102">
        <v>1439.743823</v>
      </c>
      <c r="R106" s="102">
        <v>6768.3459830000002</v>
      </c>
      <c r="S106" s="102">
        <v>5275.5989009999994</v>
      </c>
      <c r="T106" s="102">
        <v>4292.1123619999998</v>
      </c>
      <c r="U106" s="102">
        <v>2253.1104460000001</v>
      </c>
      <c r="V106" s="102">
        <v>14769.710964</v>
      </c>
      <c r="W106" s="102">
        <v>12291.442153</v>
      </c>
      <c r="X106" s="102">
        <v>7751.0770000000002</v>
      </c>
      <c r="Y106" s="102">
        <v>35438.595000000001</v>
      </c>
      <c r="Z106" s="102"/>
      <c r="AA106" s="102"/>
      <c r="AB106" s="102">
        <v>8276.3058619999993</v>
      </c>
      <c r="AC106" s="102">
        <v>5926.9678720000002</v>
      </c>
      <c r="AD106" s="102">
        <v>3505.7287670000001</v>
      </c>
      <c r="AE106" s="102">
        <v>1439.743823</v>
      </c>
      <c r="AF106" s="102">
        <v>6768.3459830000002</v>
      </c>
      <c r="AG106" s="102">
        <v>5275.5989010000003</v>
      </c>
      <c r="AH106" s="102">
        <v>4292.1123619999998</v>
      </c>
      <c r="AI106" s="102">
        <v>2253.1104460000001</v>
      </c>
      <c r="AJ106" s="102">
        <v>14769.710964</v>
      </c>
      <c r="AK106" s="102">
        <v>12291.442153</v>
      </c>
      <c r="AL106" s="102">
        <v>7751.0767720000003</v>
      </c>
      <c r="AM106" s="102">
        <v>35438.595298</v>
      </c>
    </row>
    <row r="107" spans="2:39" x14ac:dyDescent="0.3">
      <c r="B107" s="61" t="s">
        <v>1083</v>
      </c>
      <c r="C107" s="141" t="s">
        <v>1437</v>
      </c>
      <c r="D107" s="102">
        <f t="shared" si="13"/>
        <v>365522.33619599999</v>
      </c>
      <c r="E107" s="102">
        <f t="shared" si="13"/>
        <v>358615.85563599999</v>
      </c>
      <c r="F107" s="102">
        <f t="shared" si="13"/>
        <v>87880.22</v>
      </c>
      <c r="G107" s="155"/>
      <c r="H107" s="102">
        <f t="shared" si="10"/>
        <v>365522.33619599999</v>
      </c>
      <c r="I107" s="102">
        <f t="shared" si="10"/>
        <v>358615.85563599999</v>
      </c>
      <c r="J107" s="102">
        <f t="shared" si="14"/>
        <v>87880.220311000012</v>
      </c>
      <c r="K107" s="683"/>
      <c r="M107" s="102"/>
      <c r="N107" s="102">
        <v>365522.33619599999</v>
      </c>
      <c r="O107" s="102">
        <v>270722.130213</v>
      </c>
      <c r="P107" s="102">
        <v>179626.546516</v>
      </c>
      <c r="Q107" s="102">
        <v>89890.688162999999</v>
      </c>
      <c r="R107" s="102">
        <v>358615.85563599999</v>
      </c>
      <c r="S107" s="102">
        <v>267499.30361900001</v>
      </c>
      <c r="T107" s="102">
        <v>177365.65399300001</v>
      </c>
      <c r="U107" s="102">
        <v>88010.029309000005</v>
      </c>
      <c r="V107" s="102">
        <v>370627.64192699996</v>
      </c>
      <c r="W107" s="102">
        <v>276711.65250800003</v>
      </c>
      <c r="X107" s="102">
        <v>180373.003</v>
      </c>
      <c r="Y107" s="102">
        <v>87880.22</v>
      </c>
      <c r="Z107" s="102"/>
      <c r="AA107" s="102"/>
      <c r="AB107" s="102">
        <v>365522.33619599999</v>
      </c>
      <c r="AC107" s="102">
        <v>270722.130213</v>
      </c>
      <c r="AD107" s="102">
        <v>179626.546516</v>
      </c>
      <c r="AE107" s="102">
        <v>89890.688162999999</v>
      </c>
      <c r="AF107" s="102">
        <v>358615.85563599999</v>
      </c>
      <c r="AG107" s="102">
        <v>267499.30361900001</v>
      </c>
      <c r="AH107" s="102">
        <v>177365.65399300001</v>
      </c>
      <c r="AI107" s="102">
        <v>88010.029309000005</v>
      </c>
      <c r="AJ107" s="102">
        <v>370627.64192700002</v>
      </c>
      <c r="AK107" s="102">
        <v>276711.65250800003</v>
      </c>
      <c r="AL107" s="102">
        <v>180373.00270700001</v>
      </c>
      <c r="AM107" s="102">
        <v>87880.220311000012</v>
      </c>
    </row>
    <row r="108" spans="2:39" x14ac:dyDescent="0.3">
      <c r="B108" s="61" t="s">
        <v>1084</v>
      </c>
      <c r="C108" s="141" t="s">
        <v>1438</v>
      </c>
      <c r="D108" s="102">
        <f t="shared" si="13"/>
        <v>769.84887500000002</v>
      </c>
      <c r="E108" s="102">
        <f t="shared" si="13"/>
        <v>835.041607</v>
      </c>
      <c r="F108" s="102">
        <f t="shared" si="13"/>
        <v>917.80100000000004</v>
      </c>
      <c r="G108" s="155"/>
      <c r="H108" s="102">
        <f t="shared" si="10"/>
        <v>769.84887500000002</v>
      </c>
      <c r="I108" s="102">
        <f t="shared" si="10"/>
        <v>835.041607</v>
      </c>
      <c r="J108" s="102">
        <f t="shared" si="14"/>
        <v>917.80093800000009</v>
      </c>
      <c r="K108" s="683"/>
      <c r="M108" s="102"/>
      <c r="N108" s="102">
        <v>769.84887500000002</v>
      </c>
      <c r="O108" s="102">
        <v>599.56210799999997</v>
      </c>
      <c r="P108" s="102">
        <v>395.47659899999996</v>
      </c>
      <c r="Q108" s="102">
        <v>185.67507900000001</v>
      </c>
      <c r="R108" s="102">
        <v>835.041607</v>
      </c>
      <c r="S108" s="102">
        <v>674.95581499999992</v>
      </c>
      <c r="T108" s="102">
        <v>547.19970799999999</v>
      </c>
      <c r="U108" s="102">
        <v>297.91995299999996</v>
      </c>
      <c r="V108" s="102">
        <v>3454.9252579999998</v>
      </c>
      <c r="W108" s="102">
        <v>2680.1747700000001</v>
      </c>
      <c r="X108" s="102">
        <v>1810.537</v>
      </c>
      <c r="Y108" s="102">
        <v>917.80100000000004</v>
      </c>
      <c r="Z108" s="102"/>
      <c r="AA108" s="102"/>
      <c r="AB108" s="102">
        <v>769.84887500000002</v>
      </c>
      <c r="AC108" s="102">
        <v>599.56210799999997</v>
      </c>
      <c r="AD108" s="102">
        <v>395.47659900000002</v>
      </c>
      <c r="AE108" s="102">
        <v>185.67507900000001</v>
      </c>
      <c r="AF108" s="102">
        <v>835.041607</v>
      </c>
      <c r="AG108" s="102">
        <v>674.95581500000003</v>
      </c>
      <c r="AH108" s="102">
        <v>547.19970799999999</v>
      </c>
      <c r="AI108" s="102">
        <v>297.91995300000002</v>
      </c>
      <c r="AJ108" s="102">
        <v>3454.9252580000002</v>
      </c>
      <c r="AK108" s="102">
        <v>2680.1747700000001</v>
      </c>
      <c r="AL108" s="102">
        <v>1810.537411</v>
      </c>
      <c r="AM108" s="102">
        <v>917.80093800000009</v>
      </c>
    </row>
    <row r="109" spans="2:39" x14ac:dyDescent="0.3">
      <c r="B109" s="61" t="s">
        <v>697</v>
      </c>
      <c r="C109" s="141" t="s">
        <v>614</v>
      </c>
      <c r="D109" s="102">
        <f t="shared" si="13"/>
        <v>101196.06165</v>
      </c>
      <c r="E109" s="102">
        <f t="shared" si="13"/>
        <v>123804.68734800001</v>
      </c>
      <c r="F109" s="102">
        <f t="shared" si="13"/>
        <v>38338.105000000003</v>
      </c>
      <c r="G109" s="155"/>
      <c r="H109" s="102">
        <f t="shared" si="10"/>
        <v>101196.06165</v>
      </c>
      <c r="I109" s="102">
        <f t="shared" si="10"/>
        <v>123804.68734800001</v>
      </c>
      <c r="J109" s="102">
        <f t="shared" si="14"/>
        <v>38338.104935000003</v>
      </c>
      <c r="K109" s="683"/>
      <c r="M109" s="102"/>
      <c r="N109" s="102">
        <v>101196.06165</v>
      </c>
      <c r="O109" s="102">
        <v>77589.725044999999</v>
      </c>
      <c r="P109" s="102">
        <v>52540.590963000002</v>
      </c>
      <c r="Q109" s="102">
        <v>26777.730995000002</v>
      </c>
      <c r="R109" s="102">
        <v>123804.68734800001</v>
      </c>
      <c r="S109" s="102">
        <v>95007.858114999995</v>
      </c>
      <c r="T109" s="102">
        <v>64353.223895000003</v>
      </c>
      <c r="U109" s="102">
        <v>32895.377788999998</v>
      </c>
      <c r="V109" s="102">
        <v>146041.02382499998</v>
      </c>
      <c r="W109" s="102">
        <v>111225.31629199999</v>
      </c>
      <c r="X109" s="102">
        <v>74930.157999999996</v>
      </c>
      <c r="Y109" s="102">
        <v>38338.105000000003</v>
      </c>
      <c r="Z109" s="102"/>
      <c r="AA109" s="102"/>
      <c r="AB109" s="102">
        <v>101196.06165</v>
      </c>
      <c r="AC109" s="102">
        <v>77589.725044999999</v>
      </c>
      <c r="AD109" s="102">
        <v>52540.590963000002</v>
      </c>
      <c r="AE109" s="102">
        <v>26777.730995000002</v>
      </c>
      <c r="AF109" s="102">
        <v>123804.68734800001</v>
      </c>
      <c r="AG109" s="102">
        <v>95007.858114999995</v>
      </c>
      <c r="AH109" s="102">
        <v>64353.223895000003</v>
      </c>
      <c r="AI109" s="102">
        <v>32895.377788999998</v>
      </c>
      <c r="AJ109" s="102">
        <v>146041.02382500001</v>
      </c>
      <c r="AK109" s="102">
        <v>111225.316292</v>
      </c>
      <c r="AL109" s="102">
        <v>74930.158087000003</v>
      </c>
      <c r="AM109" s="102">
        <v>38338.104935000003</v>
      </c>
    </row>
    <row r="110" spans="2:39" x14ac:dyDescent="0.3">
      <c r="B110" s="61" t="s">
        <v>1085</v>
      </c>
      <c r="C110" s="141" t="s">
        <v>1311</v>
      </c>
      <c r="D110" s="102">
        <f t="shared" si="13"/>
        <v>939.92423199999996</v>
      </c>
      <c r="E110" s="102">
        <f t="shared" si="13"/>
        <v>1642.4586729999999</v>
      </c>
      <c r="F110" s="102">
        <f t="shared" si="13"/>
        <v>342.96199999999999</v>
      </c>
      <c r="G110" s="155"/>
      <c r="H110" s="102">
        <f t="shared" si="10"/>
        <v>1813.5333929999999</v>
      </c>
      <c r="I110" s="102">
        <f t="shared" si="10"/>
        <v>2812.9737289999998</v>
      </c>
      <c r="J110" s="102">
        <f t="shared" si="14"/>
        <v>571.15192999999999</v>
      </c>
      <c r="K110" s="683"/>
      <c r="M110" s="102"/>
      <c r="N110" s="102">
        <v>939.92423199999996</v>
      </c>
      <c r="O110" s="102">
        <v>700.785303</v>
      </c>
      <c r="P110" s="102">
        <v>444.69792999999999</v>
      </c>
      <c r="Q110" s="102">
        <v>208.511698</v>
      </c>
      <c r="R110" s="102">
        <v>1642.4586729999999</v>
      </c>
      <c r="S110" s="102">
        <v>842.63191200000006</v>
      </c>
      <c r="T110" s="102">
        <v>566.782644</v>
      </c>
      <c r="U110" s="102">
        <v>294.669353</v>
      </c>
      <c r="V110" s="102">
        <v>1114.56636</v>
      </c>
      <c r="W110" s="102">
        <v>833.75763300000006</v>
      </c>
      <c r="X110" s="102">
        <v>595.86900000000003</v>
      </c>
      <c r="Y110" s="102">
        <v>342.96199999999999</v>
      </c>
      <c r="Z110" s="102"/>
      <c r="AA110" s="102"/>
      <c r="AB110" s="102">
        <v>1813.5333929999999</v>
      </c>
      <c r="AC110" s="102">
        <v>1381.2055849999999</v>
      </c>
      <c r="AD110" s="102">
        <v>923.197903</v>
      </c>
      <c r="AE110" s="102">
        <v>460.55154900000002</v>
      </c>
      <c r="AF110" s="102">
        <v>2812.9737289999998</v>
      </c>
      <c r="AG110" s="102">
        <v>1712.7778350000001</v>
      </c>
      <c r="AH110" s="102">
        <v>1140.5897689999999</v>
      </c>
      <c r="AI110" s="102">
        <v>577.48828900000001</v>
      </c>
      <c r="AJ110" s="102">
        <v>5389.7340210000002</v>
      </c>
      <c r="AK110" s="102">
        <v>1687.961131</v>
      </c>
      <c r="AL110" s="102">
        <v>1142.2361759999999</v>
      </c>
      <c r="AM110" s="102">
        <v>571.15192999999999</v>
      </c>
    </row>
    <row r="111" spans="2:39" x14ac:dyDescent="0.3">
      <c r="B111" s="61" t="s">
        <v>1086</v>
      </c>
      <c r="C111" s="141" t="s">
        <v>615</v>
      </c>
      <c r="D111" s="102">
        <f t="shared" si="13"/>
        <v>59159.032450999999</v>
      </c>
      <c r="E111" s="102">
        <f t="shared" si="13"/>
        <v>53685.071884999998</v>
      </c>
      <c r="F111" s="102">
        <f t="shared" si="13"/>
        <v>13741.75</v>
      </c>
      <c r="G111" s="155"/>
      <c r="H111" s="102">
        <f t="shared" si="10"/>
        <v>59064.894451</v>
      </c>
      <c r="I111" s="102">
        <f t="shared" si="10"/>
        <v>53611.161885000001</v>
      </c>
      <c r="J111" s="102">
        <f t="shared" si="14"/>
        <v>13741.749631999999</v>
      </c>
      <c r="K111" s="683"/>
      <c r="M111" s="102"/>
      <c r="N111" s="102">
        <v>59159.032450999999</v>
      </c>
      <c r="O111" s="102">
        <v>34692.643213000003</v>
      </c>
      <c r="P111" s="102">
        <v>23783.431204999997</v>
      </c>
      <c r="Q111" s="102">
        <v>11214.762780999999</v>
      </c>
      <c r="R111" s="102">
        <v>53685.071884999998</v>
      </c>
      <c r="S111" s="102">
        <v>35001.850255999998</v>
      </c>
      <c r="T111" s="102">
        <v>23819.357307999999</v>
      </c>
      <c r="U111" s="102">
        <v>10659.362451999999</v>
      </c>
      <c r="V111" s="102">
        <v>57133.651726000004</v>
      </c>
      <c r="W111" s="102">
        <v>37882.847847000005</v>
      </c>
      <c r="X111" s="102">
        <v>29164.305</v>
      </c>
      <c r="Y111" s="102">
        <v>13741.75</v>
      </c>
      <c r="Z111" s="102"/>
      <c r="AA111" s="102"/>
      <c r="AB111" s="102">
        <v>59064.894451</v>
      </c>
      <c r="AC111" s="102">
        <v>34598.505212999997</v>
      </c>
      <c r="AD111" s="102">
        <v>23689.293205000002</v>
      </c>
      <c r="AE111" s="102">
        <v>11120.624781</v>
      </c>
      <c r="AF111" s="102">
        <v>53611.161885000001</v>
      </c>
      <c r="AG111" s="102">
        <v>34927.940256000002</v>
      </c>
      <c r="AH111" s="102">
        <v>23745.447307999999</v>
      </c>
      <c r="AI111" s="102">
        <v>10585.452452</v>
      </c>
      <c r="AJ111" s="102">
        <v>57133.651725999996</v>
      </c>
      <c r="AK111" s="102">
        <v>37882.847846999997</v>
      </c>
      <c r="AL111" s="102">
        <v>29164.305480999999</v>
      </c>
      <c r="AM111" s="102">
        <v>13741.749631999999</v>
      </c>
    </row>
    <row r="112" spans="2:39" x14ac:dyDescent="0.3">
      <c r="B112" s="61" t="s">
        <v>1087</v>
      </c>
      <c r="C112" s="141" t="s">
        <v>1439</v>
      </c>
      <c r="D112" s="102">
        <f t="shared" si="13"/>
        <v>59064.894451</v>
      </c>
      <c r="E112" s="102">
        <f t="shared" si="13"/>
        <v>53611.161885000001</v>
      </c>
      <c r="F112" s="102">
        <f t="shared" si="13"/>
        <v>13741.75</v>
      </c>
      <c r="G112" s="155"/>
      <c r="H112" s="102">
        <f t="shared" si="10"/>
        <v>59064.894451</v>
      </c>
      <c r="I112" s="102">
        <f t="shared" si="10"/>
        <v>53611.161885000001</v>
      </c>
      <c r="J112" s="102" t="str">
        <f t="shared" si="14"/>
        <v/>
      </c>
      <c r="K112" s="683"/>
      <c r="M112" s="102"/>
      <c r="N112" s="102">
        <v>59064.894451</v>
      </c>
      <c r="O112" s="102">
        <v>34598.505212999997</v>
      </c>
      <c r="P112" s="102">
        <v>23689.293204999998</v>
      </c>
      <c r="Q112" s="102">
        <v>11120.624780999999</v>
      </c>
      <c r="R112" s="102">
        <v>53611.161885000001</v>
      </c>
      <c r="S112" s="102">
        <v>34927.940255999994</v>
      </c>
      <c r="T112" s="102">
        <v>23745.447307999999</v>
      </c>
      <c r="U112" s="102">
        <v>10585.452452</v>
      </c>
      <c r="V112" s="102">
        <v>57133.641976000006</v>
      </c>
      <c r="W112" s="102">
        <v>37882.838097</v>
      </c>
      <c r="X112" s="102">
        <v>29164.295999999998</v>
      </c>
      <c r="Y112" s="102">
        <v>13741.75</v>
      </c>
      <c r="Z112" s="102"/>
      <c r="AA112" s="102"/>
      <c r="AB112" s="102">
        <v>59064.894451</v>
      </c>
      <c r="AC112" s="102">
        <v>34598.505212999997</v>
      </c>
      <c r="AD112" s="102">
        <v>23689.293205000002</v>
      </c>
      <c r="AE112" s="102">
        <v>11120.624781</v>
      </c>
      <c r="AF112" s="102">
        <v>53611.161885000001</v>
      </c>
      <c r="AG112" s="102">
        <v>34927.940256000002</v>
      </c>
      <c r="AH112" s="102">
        <v>23745.447307999999</v>
      </c>
      <c r="AI112" s="102">
        <v>10585.452452</v>
      </c>
      <c r="AJ112" s="102">
        <v>57133.641975999999</v>
      </c>
      <c r="AK112" s="102">
        <v>37882.838097</v>
      </c>
      <c r="AL112" s="102">
        <v>29164.295730999998</v>
      </c>
      <c r="AM112" s="102">
        <v>0</v>
      </c>
    </row>
    <row r="113" spans="2:39" x14ac:dyDescent="0.3">
      <c r="B113" s="61" t="s">
        <v>1088</v>
      </c>
      <c r="C113" s="141" t="s">
        <v>1440</v>
      </c>
      <c r="D113" s="102" t="str">
        <f t="shared" si="13"/>
        <v/>
      </c>
      <c r="E113" s="102" t="str">
        <f t="shared" si="13"/>
        <v/>
      </c>
      <c r="F113" s="102" t="str">
        <f t="shared" si="13"/>
        <v/>
      </c>
      <c r="G113" s="155"/>
      <c r="H113" s="102" t="str">
        <f t="shared" si="10"/>
        <v/>
      </c>
      <c r="I113" s="102" t="str">
        <f t="shared" si="10"/>
        <v/>
      </c>
      <c r="J113" s="102">
        <f t="shared" si="14"/>
        <v>13741.749631999999</v>
      </c>
      <c r="K113" s="683"/>
      <c r="M113" s="102"/>
      <c r="N113" s="102">
        <v>0</v>
      </c>
      <c r="O113" s="102">
        <v>0</v>
      </c>
      <c r="P113" s="102">
        <v>0</v>
      </c>
      <c r="Q113" s="102">
        <v>0</v>
      </c>
      <c r="R113" s="102">
        <v>0</v>
      </c>
      <c r="S113" s="102">
        <v>0</v>
      </c>
      <c r="T113" s="102">
        <v>0</v>
      </c>
      <c r="U113" s="102">
        <v>0</v>
      </c>
      <c r="V113" s="102">
        <v>9.75E-3</v>
      </c>
      <c r="W113" s="102">
        <v>9.75E-3</v>
      </c>
      <c r="X113" s="102">
        <v>0.01</v>
      </c>
      <c r="Y113" s="102">
        <v>0</v>
      </c>
      <c r="Z113" s="102"/>
      <c r="AA113" s="102"/>
      <c r="AB113" s="102">
        <v>0</v>
      </c>
      <c r="AC113" s="102">
        <v>0</v>
      </c>
      <c r="AD113" s="102">
        <v>0</v>
      </c>
      <c r="AE113" s="102">
        <v>0</v>
      </c>
      <c r="AF113" s="102">
        <v>0</v>
      </c>
      <c r="AG113" s="102">
        <v>0</v>
      </c>
      <c r="AH113" s="102">
        <v>0</v>
      </c>
      <c r="AI113" s="102">
        <v>0</v>
      </c>
      <c r="AJ113" s="102">
        <v>9.75E-3</v>
      </c>
      <c r="AK113" s="102">
        <v>9.75E-3</v>
      </c>
      <c r="AL113" s="102">
        <v>9.75E-3</v>
      </c>
      <c r="AM113" s="102">
        <v>13741.749631999999</v>
      </c>
    </row>
    <row r="114" spans="2:39" x14ac:dyDescent="0.3">
      <c r="B114" s="61" t="s">
        <v>698</v>
      </c>
      <c r="C114" s="141" t="s">
        <v>1312</v>
      </c>
      <c r="D114" s="102">
        <f t="shared" si="13"/>
        <v>94.138000000000005</v>
      </c>
      <c r="E114" s="102">
        <f t="shared" si="13"/>
        <v>73.91</v>
      </c>
      <c r="F114" s="102" t="str">
        <f t="shared" si="13"/>
        <v/>
      </c>
      <c r="G114" s="155"/>
      <c r="H114" s="102" t="str">
        <f t="shared" si="10"/>
        <v/>
      </c>
      <c r="I114" s="102" t="str">
        <f t="shared" si="10"/>
        <v/>
      </c>
      <c r="J114" s="102" t="str">
        <f t="shared" si="14"/>
        <v/>
      </c>
      <c r="K114" s="683"/>
      <c r="M114" s="102"/>
      <c r="N114" s="102">
        <v>94.138000000000005</v>
      </c>
      <c r="O114" s="102">
        <v>94.138000000000005</v>
      </c>
      <c r="P114" s="102">
        <v>94.138000000000005</v>
      </c>
      <c r="Q114" s="102">
        <v>94.138000000000005</v>
      </c>
      <c r="R114" s="102">
        <v>73.91</v>
      </c>
      <c r="S114" s="102">
        <v>73.91</v>
      </c>
      <c r="T114" s="102">
        <v>73.91</v>
      </c>
      <c r="U114" s="102">
        <v>73.91</v>
      </c>
      <c r="V114" s="102">
        <v>0</v>
      </c>
      <c r="W114" s="102">
        <v>0</v>
      </c>
      <c r="X114" s="102">
        <v>0</v>
      </c>
      <c r="Y114" s="102">
        <v>0</v>
      </c>
      <c r="Z114" s="102"/>
      <c r="AA114" s="102"/>
      <c r="AB114" s="102">
        <v>0</v>
      </c>
      <c r="AC114" s="102">
        <v>0</v>
      </c>
      <c r="AD114" s="102">
        <v>0</v>
      </c>
      <c r="AE114" s="102"/>
      <c r="AF114" s="102">
        <v>0</v>
      </c>
      <c r="AG114" s="102"/>
      <c r="AH114" s="102"/>
      <c r="AI114" s="102"/>
      <c r="AJ114" s="102">
        <v>0</v>
      </c>
      <c r="AK114" s="102">
        <v>0</v>
      </c>
      <c r="AL114" s="102">
        <v>0</v>
      </c>
      <c r="AM114" s="102">
        <v>0</v>
      </c>
    </row>
    <row r="115" spans="2:39" x14ac:dyDescent="0.3">
      <c r="B115" s="61" t="s">
        <v>699</v>
      </c>
      <c r="C115" s="141" t="s">
        <v>616</v>
      </c>
      <c r="D115" s="102" t="str">
        <f t="shared" si="13"/>
        <v/>
      </c>
      <c r="E115" s="102" t="str">
        <f t="shared" si="13"/>
        <v/>
      </c>
      <c r="F115" s="102" t="str">
        <f t="shared" si="13"/>
        <v/>
      </c>
      <c r="G115" s="155"/>
      <c r="H115" s="102" t="str">
        <f t="shared" si="10"/>
        <v/>
      </c>
      <c r="I115" s="102" t="str">
        <f t="shared" si="10"/>
        <v/>
      </c>
      <c r="J115" s="102" t="str">
        <f t="shared" si="14"/>
        <v/>
      </c>
      <c r="K115" s="683"/>
      <c r="M115" s="102"/>
      <c r="N115" s="102">
        <v>0</v>
      </c>
      <c r="O115" s="102">
        <v>0</v>
      </c>
      <c r="P115" s="102">
        <v>0</v>
      </c>
      <c r="Q115" s="102">
        <v>0</v>
      </c>
      <c r="R115" s="102">
        <v>0</v>
      </c>
      <c r="S115" s="102">
        <v>0</v>
      </c>
      <c r="T115" s="102">
        <v>0</v>
      </c>
      <c r="U115" s="102">
        <v>0</v>
      </c>
      <c r="V115" s="102">
        <v>0</v>
      </c>
      <c r="W115" s="102">
        <v>0</v>
      </c>
      <c r="X115" s="102">
        <v>0</v>
      </c>
      <c r="Y115" s="102">
        <v>0</v>
      </c>
      <c r="Z115" s="102"/>
      <c r="AA115" s="102"/>
      <c r="AB115" s="102">
        <v>0</v>
      </c>
      <c r="AC115" s="102">
        <v>0</v>
      </c>
      <c r="AD115" s="102">
        <v>0</v>
      </c>
      <c r="AE115" s="102">
        <v>0</v>
      </c>
      <c r="AF115" s="102">
        <v>0</v>
      </c>
      <c r="AG115" s="102">
        <v>0</v>
      </c>
      <c r="AH115" s="102">
        <v>0</v>
      </c>
      <c r="AI115" s="102">
        <v>0</v>
      </c>
      <c r="AJ115" s="102">
        <v>0</v>
      </c>
      <c r="AK115" s="102">
        <v>0</v>
      </c>
      <c r="AL115" s="102">
        <v>0</v>
      </c>
      <c r="AM115" s="102">
        <v>0</v>
      </c>
    </row>
    <row r="116" spans="2:39" x14ac:dyDescent="0.3">
      <c r="B116" s="61" t="s">
        <v>1089</v>
      </c>
      <c r="C116" s="141" t="s">
        <v>617</v>
      </c>
      <c r="D116" s="102">
        <f t="shared" si="13"/>
        <v>518.77090399999997</v>
      </c>
      <c r="E116" s="102">
        <f t="shared" si="13"/>
        <v>370.57905099999999</v>
      </c>
      <c r="F116" s="102">
        <f t="shared" si="13"/>
        <v>83.182000000000002</v>
      </c>
      <c r="G116" s="155"/>
      <c r="H116" s="102">
        <f t="shared" si="10"/>
        <v>518.77090399999997</v>
      </c>
      <c r="I116" s="102">
        <f t="shared" si="10"/>
        <v>370.57905099999999</v>
      </c>
      <c r="J116" s="102">
        <f t="shared" si="14"/>
        <v>1651.7893829999998</v>
      </c>
      <c r="K116" s="683"/>
      <c r="M116" s="102"/>
      <c r="N116" s="102">
        <v>518.77090399999997</v>
      </c>
      <c r="O116" s="102">
        <v>395.04493600000001</v>
      </c>
      <c r="P116" s="102">
        <v>276.70941100000005</v>
      </c>
      <c r="Q116" s="102">
        <v>131.465688</v>
      </c>
      <c r="R116" s="102">
        <v>370.57905099999999</v>
      </c>
      <c r="S116" s="102">
        <v>249.29352600000001</v>
      </c>
      <c r="T116" s="102">
        <v>127.70800199999999</v>
      </c>
      <c r="U116" s="102">
        <v>137.82878700000001</v>
      </c>
      <c r="V116" s="102">
        <v>529.82286499999998</v>
      </c>
      <c r="W116" s="102">
        <v>405.891885</v>
      </c>
      <c r="X116" s="102">
        <v>287.55599999999998</v>
      </c>
      <c r="Y116" s="102">
        <v>83.182000000000002</v>
      </c>
      <c r="Z116" s="102"/>
      <c r="AA116" s="102"/>
      <c r="AB116" s="102">
        <v>518.77090399999997</v>
      </c>
      <c r="AC116" s="102">
        <v>395.04493600000001</v>
      </c>
      <c r="AD116" s="102">
        <v>276.70941099999999</v>
      </c>
      <c r="AE116" s="102">
        <v>131.465688</v>
      </c>
      <c r="AF116" s="102">
        <v>370.57905099999999</v>
      </c>
      <c r="AG116" s="102">
        <v>249.29352600000001</v>
      </c>
      <c r="AH116" s="102">
        <v>127.70800199999999</v>
      </c>
      <c r="AI116" s="102">
        <v>137.82878700000001</v>
      </c>
      <c r="AJ116" s="102">
        <v>5286.4063219999998</v>
      </c>
      <c r="AK116" s="102">
        <v>1403.8937309999999</v>
      </c>
      <c r="AL116" s="102">
        <v>3417.4678250000002</v>
      </c>
      <c r="AM116" s="102">
        <v>1651.7893829999998</v>
      </c>
    </row>
    <row r="117" spans="2:39" x14ac:dyDescent="0.3">
      <c r="B117" s="61" t="s">
        <v>1090</v>
      </c>
      <c r="C117" s="141" t="s">
        <v>618</v>
      </c>
      <c r="D117" s="102">
        <f t="shared" si="13"/>
        <v>9031.0706140000002</v>
      </c>
      <c r="E117" s="102">
        <f t="shared" si="13"/>
        <v>12600.127718</v>
      </c>
      <c r="F117" s="102">
        <f t="shared" si="13"/>
        <v>10005.146000000001</v>
      </c>
      <c r="G117" s="155"/>
      <c r="H117" s="102">
        <f t="shared" si="10"/>
        <v>79453.336643000002</v>
      </c>
      <c r="I117" s="102">
        <f t="shared" si="10"/>
        <v>85362.829396999994</v>
      </c>
      <c r="J117" s="102">
        <f t="shared" si="14"/>
        <v>31276.775357000002</v>
      </c>
      <c r="K117" s="683"/>
      <c r="M117" s="102"/>
      <c r="N117" s="102">
        <v>9031.0706140000002</v>
      </c>
      <c r="O117" s="102">
        <v>6665.1513540000005</v>
      </c>
      <c r="P117" s="102">
        <v>3989.989192</v>
      </c>
      <c r="Q117" s="102">
        <v>1175.2425970000002</v>
      </c>
      <c r="R117" s="102">
        <v>12600.127718</v>
      </c>
      <c r="S117" s="102">
        <v>8530.3060000000005</v>
      </c>
      <c r="T117" s="102">
        <v>5261.7379540000002</v>
      </c>
      <c r="U117" s="102">
        <v>1931.9654459999999</v>
      </c>
      <c r="V117" s="102">
        <v>24235.034747000002</v>
      </c>
      <c r="W117" s="102">
        <v>18913.778089000003</v>
      </c>
      <c r="X117" s="102">
        <v>15464.982</v>
      </c>
      <c r="Y117" s="102">
        <v>10005.146000000001</v>
      </c>
      <c r="Z117" s="102"/>
      <c r="AA117" s="102"/>
      <c r="AB117" s="102">
        <v>79453.336643000002</v>
      </c>
      <c r="AC117" s="102">
        <v>58998.540480000003</v>
      </c>
      <c r="AD117" s="102">
        <v>37596.262865999997</v>
      </c>
      <c r="AE117" s="102">
        <v>17643.775577</v>
      </c>
      <c r="AF117" s="102">
        <v>85362.829396999994</v>
      </c>
      <c r="AG117" s="102">
        <v>68892.144702999998</v>
      </c>
      <c r="AH117" s="102">
        <v>48701.085608000001</v>
      </c>
      <c r="AI117" s="102">
        <v>26596.916985</v>
      </c>
      <c r="AJ117" s="102">
        <v>89561.565591999999</v>
      </c>
      <c r="AK117" s="102">
        <v>72822.801015000005</v>
      </c>
      <c r="AL117" s="102">
        <v>52189.647386999997</v>
      </c>
      <c r="AM117" s="102">
        <v>31276.775357000002</v>
      </c>
    </row>
    <row r="118" spans="2:39" x14ac:dyDescent="0.3">
      <c r="B118" s="61" t="s">
        <v>1091</v>
      </c>
      <c r="C118" s="141" t="s">
        <v>1444</v>
      </c>
      <c r="D118" s="102">
        <f t="shared" si="13"/>
        <v>580500.874603</v>
      </c>
      <c r="E118" s="102">
        <f t="shared" si="13"/>
        <v>537964.01148099999</v>
      </c>
      <c r="F118" s="102">
        <f t="shared" si="13"/>
        <v>90486.509000000005</v>
      </c>
      <c r="G118" s="155"/>
      <c r="H118" s="102">
        <f t="shared" si="10"/>
        <v>580522.93008999992</v>
      </c>
      <c r="I118" s="102">
        <f t="shared" si="10"/>
        <v>538519.39249</v>
      </c>
      <c r="J118" s="102">
        <f t="shared" si="14"/>
        <v>90486.508858000001</v>
      </c>
      <c r="K118" s="683"/>
      <c r="M118" s="102"/>
      <c r="N118" s="102">
        <v>580500.874603</v>
      </c>
      <c r="O118" s="102">
        <v>307147.55393599998</v>
      </c>
      <c r="P118" s="102">
        <v>151254.70859699999</v>
      </c>
      <c r="Q118" s="102">
        <v>61339.035566999999</v>
      </c>
      <c r="R118" s="102">
        <v>537964.01148099999</v>
      </c>
      <c r="S118" s="102">
        <v>341855.36640399997</v>
      </c>
      <c r="T118" s="102">
        <v>176824.78359499999</v>
      </c>
      <c r="U118" s="102">
        <v>69019.096323000005</v>
      </c>
      <c r="V118" s="102">
        <v>403876.81443199998</v>
      </c>
      <c r="W118" s="102">
        <v>268109.68856799998</v>
      </c>
      <c r="X118" s="102">
        <v>172601.826</v>
      </c>
      <c r="Y118" s="102">
        <v>90486.509000000005</v>
      </c>
      <c r="Z118" s="102"/>
      <c r="AA118" s="102"/>
      <c r="AB118" s="102">
        <v>580522.93008999992</v>
      </c>
      <c r="AC118" s="102">
        <v>307155.54607400001</v>
      </c>
      <c r="AD118" s="102">
        <v>151256.50354599999</v>
      </c>
      <c r="AE118" s="102">
        <v>61340.830516000002</v>
      </c>
      <c r="AF118" s="102">
        <v>538519.39249</v>
      </c>
      <c r="AG118" s="102">
        <v>342170.89866000001</v>
      </c>
      <c r="AH118" s="102">
        <v>176933.383566</v>
      </c>
      <c r="AI118" s="102">
        <v>69038.853719999999</v>
      </c>
      <c r="AJ118" s="102">
        <v>399765.757255</v>
      </c>
      <c r="AK118" s="102">
        <v>262672.59573399997</v>
      </c>
      <c r="AL118" s="102">
        <v>167405.63907500001</v>
      </c>
      <c r="AM118" s="102">
        <v>90486.508858000001</v>
      </c>
    </row>
    <row r="119" spans="2:39" x14ac:dyDescent="0.3">
      <c r="B119" s="61" t="s">
        <v>1092</v>
      </c>
      <c r="C119" s="141" t="s">
        <v>1445</v>
      </c>
      <c r="D119" s="102">
        <f t="shared" si="13"/>
        <v>563377.66933000006</v>
      </c>
      <c r="E119" s="102">
        <f t="shared" si="13"/>
        <v>496423.73952900001</v>
      </c>
      <c r="F119" s="102">
        <f t="shared" si="13"/>
        <v>90486.509000000005</v>
      </c>
      <c r="G119" s="155"/>
      <c r="H119" s="102">
        <f t="shared" si="10"/>
        <v>563399.72481699998</v>
      </c>
      <c r="I119" s="102">
        <f t="shared" si="10"/>
        <v>496979.12053800002</v>
      </c>
      <c r="J119" s="102">
        <f t="shared" si="14"/>
        <v>90486.508854999993</v>
      </c>
      <c r="K119" s="683"/>
      <c r="M119" s="102"/>
      <c r="N119" s="102">
        <v>563377.66933000006</v>
      </c>
      <c r="O119" s="102">
        <v>300135.78262999997</v>
      </c>
      <c r="P119" s="102">
        <v>144781.401568</v>
      </c>
      <c r="Q119" s="102">
        <v>58605.123029000002</v>
      </c>
      <c r="R119" s="102">
        <v>496423.73952900001</v>
      </c>
      <c r="S119" s="102">
        <v>300874.34369499999</v>
      </c>
      <c r="T119" s="102">
        <v>165496.905879</v>
      </c>
      <c r="U119" s="102">
        <v>60561.885101000007</v>
      </c>
      <c r="V119" s="102">
        <v>402113.340577</v>
      </c>
      <c r="W119" s="102">
        <v>266590.13162</v>
      </c>
      <c r="X119" s="102">
        <v>171094.30300000001</v>
      </c>
      <c r="Y119" s="102">
        <v>90486.509000000005</v>
      </c>
      <c r="Z119" s="102"/>
      <c r="AA119" s="102"/>
      <c r="AB119" s="102">
        <v>563399.72481699998</v>
      </c>
      <c r="AC119" s="102">
        <v>300143.774768</v>
      </c>
      <c r="AD119" s="102">
        <v>144783.196517</v>
      </c>
      <c r="AE119" s="102">
        <v>58606.917977999998</v>
      </c>
      <c r="AF119" s="102">
        <v>496979.12053800002</v>
      </c>
      <c r="AG119" s="102">
        <v>301189.87595100002</v>
      </c>
      <c r="AH119" s="102">
        <v>165605.50584999999</v>
      </c>
      <c r="AI119" s="102">
        <v>60581.642498000001</v>
      </c>
      <c r="AJ119" s="102">
        <v>398002.28340000001</v>
      </c>
      <c r="AK119" s="102">
        <v>261153.03878599999</v>
      </c>
      <c r="AL119" s="102">
        <v>165898.11567</v>
      </c>
      <c r="AM119" s="102">
        <v>90486.508854999993</v>
      </c>
    </row>
    <row r="120" spans="2:39" x14ac:dyDescent="0.3">
      <c r="B120" s="61" t="s">
        <v>1093</v>
      </c>
      <c r="C120" s="141" t="s">
        <v>1452</v>
      </c>
      <c r="D120" s="102">
        <f t="shared" si="13"/>
        <v>17123.205273</v>
      </c>
      <c r="E120" s="102">
        <f t="shared" si="13"/>
        <v>41540.271952000003</v>
      </c>
      <c r="F120" s="102" t="str">
        <f t="shared" si="13"/>
        <v/>
      </c>
      <c r="G120" s="155"/>
      <c r="H120" s="102">
        <f t="shared" si="10"/>
        <v>17123.205273</v>
      </c>
      <c r="I120" s="102">
        <f t="shared" si="10"/>
        <v>41540.271952000003</v>
      </c>
      <c r="J120" s="102">
        <f t="shared" si="14"/>
        <v>2.9999999999999997E-6</v>
      </c>
      <c r="K120" s="683"/>
      <c r="M120" s="102"/>
      <c r="N120" s="102">
        <v>17123.205273</v>
      </c>
      <c r="O120" s="102">
        <v>7011.7713059999996</v>
      </c>
      <c r="P120" s="102">
        <v>6473.3070290000005</v>
      </c>
      <c r="Q120" s="102">
        <v>2733.912538</v>
      </c>
      <c r="R120" s="102">
        <v>41540.271952000003</v>
      </c>
      <c r="S120" s="102">
        <v>40981.022708999997</v>
      </c>
      <c r="T120" s="102">
        <v>11327.877716000001</v>
      </c>
      <c r="U120" s="102">
        <v>8457.2112219999999</v>
      </c>
      <c r="V120" s="102">
        <v>1763.473855</v>
      </c>
      <c r="W120" s="102">
        <v>1519.5569480000001</v>
      </c>
      <c r="X120" s="102">
        <v>1507.5229999999999</v>
      </c>
      <c r="Y120" s="102">
        <v>0</v>
      </c>
      <c r="Z120" s="102"/>
      <c r="AA120" s="102"/>
      <c r="AB120" s="102">
        <v>17123.205273</v>
      </c>
      <c r="AC120" s="102">
        <v>7011.7713059999996</v>
      </c>
      <c r="AD120" s="102">
        <v>6473.3070289999996</v>
      </c>
      <c r="AE120" s="102">
        <v>2733.912538</v>
      </c>
      <c r="AF120" s="102">
        <v>41540.271952000003</v>
      </c>
      <c r="AG120" s="102">
        <v>40981.022708999997</v>
      </c>
      <c r="AH120" s="102">
        <v>11327.877716000001</v>
      </c>
      <c r="AI120" s="102">
        <v>8457.2112219999999</v>
      </c>
      <c r="AJ120" s="102">
        <v>1763.473855</v>
      </c>
      <c r="AK120" s="102">
        <v>1519.5569479999999</v>
      </c>
      <c r="AL120" s="102">
        <v>1507.5234049999999</v>
      </c>
      <c r="AM120" s="102">
        <v>2.9999999999999997E-6</v>
      </c>
    </row>
    <row r="121" spans="2:39" x14ac:dyDescent="0.3">
      <c r="B121" s="61" t="s">
        <v>1094</v>
      </c>
      <c r="C121" s="141" t="s">
        <v>619</v>
      </c>
      <c r="D121" s="102" t="str">
        <f t="shared" si="13"/>
        <v/>
      </c>
      <c r="E121" s="102" t="str">
        <f t="shared" si="13"/>
        <v/>
      </c>
      <c r="F121" s="102" t="str">
        <f t="shared" si="13"/>
        <v/>
      </c>
      <c r="G121" s="155"/>
      <c r="H121" s="102" t="str">
        <f t="shared" si="10"/>
        <v/>
      </c>
      <c r="I121" s="102" t="str">
        <f t="shared" si="10"/>
        <v/>
      </c>
      <c r="J121" s="102" t="str">
        <f t="shared" si="14"/>
        <v/>
      </c>
      <c r="K121" s="683"/>
      <c r="M121" s="102"/>
      <c r="N121" s="102">
        <v>0</v>
      </c>
      <c r="O121" s="102">
        <v>0</v>
      </c>
      <c r="P121" s="102">
        <v>0</v>
      </c>
      <c r="Q121" s="102">
        <v>0</v>
      </c>
      <c r="R121" s="102">
        <v>0</v>
      </c>
      <c r="S121" s="102">
        <v>0</v>
      </c>
      <c r="T121" s="102">
        <v>0</v>
      </c>
      <c r="U121" s="102">
        <v>0</v>
      </c>
      <c r="V121" s="102">
        <v>0</v>
      </c>
      <c r="W121" s="102">
        <v>0</v>
      </c>
      <c r="X121" s="102">
        <v>0</v>
      </c>
      <c r="Y121" s="102">
        <v>0</v>
      </c>
      <c r="Z121" s="102"/>
      <c r="AA121" s="102"/>
      <c r="AB121" s="102">
        <v>0</v>
      </c>
      <c r="AC121" s="102">
        <v>0</v>
      </c>
      <c r="AD121" s="102">
        <v>0</v>
      </c>
      <c r="AE121" s="102">
        <v>0</v>
      </c>
      <c r="AF121" s="102">
        <v>0</v>
      </c>
      <c r="AG121" s="102">
        <v>0</v>
      </c>
      <c r="AH121" s="102">
        <v>0</v>
      </c>
      <c r="AI121" s="102">
        <v>0</v>
      </c>
      <c r="AJ121" s="102">
        <v>0</v>
      </c>
      <c r="AK121" s="102">
        <v>0</v>
      </c>
      <c r="AL121" s="102">
        <v>0</v>
      </c>
      <c r="AM121" s="102">
        <v>0</v>
      </c>
    </row>
    <row r="122" spans="2:39" x14ac:dyDescent="0.3">
      <c r="B122" s="61" t="s">
        <v>1095</v>
      </c>
      <c r="C122" s="141" t="s">
        <v>1096</v>
      </c>
      <c r="D122" s="102" t="str">
        <f t="shared" si="13"/>
        <v/>
      </c>
      <c r="E122" s="102" t="str">
        <f t="shared" si="13"/>
        <v/>
      </c>
      <c r="F122" s="102" t="str">
        <f t="shared" si="13"/>
        <v/>
      </c>
      <c r="G122" s="155"/>
      <c r="H122" s="102" t="str">
        <f t="shared" si="10"/>
        <v/>
      </c>
      <c r="I122" s="102" t="str">
        <f t="shared" si="10"/>
        <v/>
      </c>
      <c r="J122" s="102" t="str">
        <f t="shared" si="14"/>
        <v/>
      </c>
      <c r="K122" s="683"/>
      <c r="M122" s="102"/>
      <c r="N122" s="102">
        <v>0</v>
      </c>
      <c r="O122" s="102">
        <v>0</v>
      </c>
      <c r="P122" s="102">
        <v>0</v>
      </c>
      <c r="Q122" s="102">
        <v>0</v>
      </c>
      <c r="R122" s="102">
        <v>0</v>
      </c>
      <c r="S122" s="102">
        <v>0</v>
      </c>
      <c r="T122" s="102">
        <v>0</v>
      </c>
      <c r="U122" s="102">
        <v>0</v>
      </c>
      <c r="V122" s="102">
        <v>0</v>
      </c>
      <c r="W122" s="102">
        <v>0</v>
      </c>
      <c r="X122" s="102">
        <v>0</v>
      </c>
      <c r="Y122" s="102">
        <v>0</v>
      </c>
      <c r="Z122" s="102"/>
      <c r="AA122" s="102"/>
      <c r="AB122" s="102">
        <v>0</v>
      </c>
      <c r="AC122" s="102">
        <v>0</v>
      </c>
      <c r="AD122" s="102">
        <v>0</v>
      </c>
      <c r="AE122" s="102">
        <v>0</v>
      </c>
      <c r="AF122" s="102">
        <v>0</v>
      </c>
      <c r="AG122" s="102">
        <v>0</v>
      </c>
      <c r="AH122" s="102">
        <v>0</v>
      </c>
      <c r="AI122" s="102">
        <v>0</v>
      </c>
      <c r="AJ122" s="102">
        <v>0</v>
      </c>
      <c r="AK122" s="102">
        <v>0</v>
      </c>
      <c r="AL122" s="102">
        <v>0</v>
      </c>
      <c r="AM122" s="102">
        <v>0</v>
      </c>
    </row>
    <row r="123" spans="2:39" x14ac:dyDescent="0.3">
      <c r="B123" s="61" t="s">
        <v>1097</v>
      </c>
      <c r="C123" s="141" t="s">
        <v>1098</v>
      </c>
      <c r="D123" s="102" t="str">
        <f t="shared" si="13"/>
        <v/>
      </c>
      <c r="E123" s="102" t="str">
        <f t="shared" si="13"/>
        <v/>
      </c>
      <c r="F123" s="102" t="str">
        <f t="shared" si="13"/>
        <v/>
      </c>
      <c r="G123" s="155"/>
      <c r="H123" s="102" t="str">
        <f t="shared" si="10"/>
        <v/>
      </c>
      <c r="I123" s="102" t="str">
        <f t="shared" si="10"/>
        <v/>
      </c>
      <c r="J123" s="102" t="str">
        <f t="shared" si="14"/>
        <v/>
      </c>
      <c r="K123" s="683"/>
      <c r="M123" s="102"/>
      <c r="N123" s="102">
        <v>0</v>
      </c>
      <c r="O123" s="102">
        <v>0</v>
      </c>
      <c r="P123" s="102">
        <v>0</v>
      </c>
      <c r="Q123" s="102">
        <v>0</v>
      </c>
      <c r="R123" s="102">
        <v>0</v>
      </c>
      <c r="S123" s="102">
        <v>0</v>
      </c>
      <c r="T123" s="102">
        <v>0</v>
      </c>
      <c r="U123" s="102">
        <v>0</v>
      </c>
      <c r="V123" s="102">
        <v>0</v>
      </c>
      <c r="W123" s="102">
        <v>0</v>
      </c>
      <c r="X123" s="102">
        <v>0</v>
      </c>
      <c r="Y123" s="102">
        <v>0</v>
      </c>
      <c r="Z123" s="102"/>
      <c r="AA123" s="102"/>
      <c r="AB123" s="102">
        <v>0</v>
      </c>
      <c r="AC123" s="102">
        <v>0</v>
      </c>
      <c r="AD123" s="102">
        <v>0</v>
      </c>
      <c r="AE123" s="102">
        <v>0</v>
      </c>
      <c r="AF123" s="102">
        <v>0</v>
      </c>
      <c r="AG123" s="102">
        <v>0</v>
      </c>
      <c r="AH123" s="102">
        <v>0</v>
      </c>
      <c r="AI123" s="102">
        <v>0</v>
      </c>
      <c r="AJ123" s="102">
        <v>0</v>
      </c>
      <c r="AK123" s="102">
        <v>0</v>
      </c>
      <c r="AL123" s="102">
        <v>0</v>
      </c>
      <c r="AM123" s="102">
        <v>0</v>
      </c>
    </row>
    <row r="124" spans="2:39" x14ac:dyDescent="0.3">
      <c r="B124" s="61" t="s">
        <v>700</v>
      </c>
      <c r="C124" s="141" t="s">
        <v>621</v>
      </c>
      <c r="D124" s="102" t="str">
        <f t="shared" si="13"/>
        <v/>
      </c>
      <c r="E124" s="102" t="str">
        <f t="shared" si="13"/>
        <v/>
      </c>
      <c r="F124" s="102" t="str">
        <f t="shared" si="13"/>
        <v/>
      </c>
      <c r="G124" s="155"/>
      <c r="H124" s="102" t="str">
        <f t="shared" si="10"/>
        <v/>
      </c>
      <c r="I124" s="102" t="str">
        <f t="shared" si="10"/>
        <v/>
      </c>
      <c r="J124" s="102" t="str">
        <f t="shared" si="14"/>
        <v/>
      </c>
      <c r="K124" s="683"/>
      <c r="M124" s="102"/>
      <c r="N124" s="102">
        <v>0</v>
      </c>
      <c r="O124" s="102">
        <v>0</v>
      </c>
      <c r="P124" s="102">
        <v>0</v>
      </c>
      <c r="Q124" s="102">
        <v>0</v>
      </c>
      <c r="R124" s="102">
        <v>0</v>
      </c>
      <c r="S124" s="102">
        <v>0</v>
      </c>
      <c r="T124" s="102">
        <v>0</v>
      </c>
      <c r="U124" s="102">
        <v>0</v>
      </c>
      <c r="V124" s="102">
        <v>0</v>
      </c>
      <c r="W124" s="102">
        <v>0</v>
      </c>
      <c r="X124" s="102">
        <v>0</v>
      </c>
      <c r="Y124" s="102">
        <v>0</v>
      </c>
      <c r="Z124" s="102"/>
      <c r="AA124" s="102"/>
      <c r="AB124" s="102">
        <v>0</v>
      </c>
      <c r="AC124" s="102">
        <v>0</v>
      </c>
      <c r="AD124" s="102">
        <v>0</v>
      </c>
      <c r="AE124" s="102">
        <v>0</v>
      </c>
      <c r="AF124" s="102">
        <v>0</v>
      </c>
      <c r="AG124" s="102">
        <v>0</v>
      </c>
      <c r="AH124" s="102">
        <v>0</v>
      </c>
      <c r="AI124" s="102">
        <v>0</v>
      </c>
      <c r="AJ124" s="102">
        <v>0</v>
      </c>
      <c r="AK124" s="102">
        <v>0</v>
      </c>
      <c r="AL124" s="102">
        <v>0</v>
      </c>
      <c r="AM124" s="102">
        <v>0</v>
      </c>
    </row>
    <row r="125" spans="2:39" x14ac:dyDescent="0.3">
      <c r="B125" s="61" t="s">
        <v>1099</v>
      </c>
      <c r="C125" s="141" t="s">
        <v>1479</v>
      </c>
      <c r="D125" s="102" t="str">
        <f t="shared" si="13"/>
        <v/>
      </c>
      <c r="E125" s="102" t="str">
        <f t="shared" si="13"/>
        <v/>
      </c>
      <c r="F125" s="102" t="str">
        <f t="shared" si="13"/>
        <v/>
      </c>
      <c r="G125" s="155"/>
      <c r="H125" s="102" t="str">
        <f t="shared" si="10"/>
        <v/>
      </c>
      <c r="I125" s="102" t="str">
        <f t="shared" si="10"/>
        <v/>
      </c>
      <c r="J125" s="102" t="str">
        <f t="shared" si="14"/>
        <v/>
      </c>
      <c r="K125" s="683"/>
      <c r="M125" s="102"/>
      <c r="N125" s="102">
        <v>0</v>
      </c>
      <c r="O125" s="102">
        <v>0</v>
      </c>
      <c r="P125" s="102">
        <v>0</v>
      </c>
      <c r="Q125" s="102">
        <v>0</v>
      </c>
      <c r="R125" s="102">
        <v>0</v>
      </c>
      <c r="S125" s="102">
        <v>0</v>
      </c>
      <c r="T125" s="102">
        <v>0</v>
      </c>
      <c r="U125" s="102">
        <v>0</v>
      </c>
      <c r="V125" s="102">
        <v>0</v>
      </c>
      <c r="W125" s="102">
        <v>0</v>
      </c>
      <c r="X125" s="102">
        <v>0</v>
      </c>
      <c r="Y125" s="102">
        <v>0</v>
      </c>
      <c r="Z125" s="102"/>
      <c r="AA125" s="102"/>
      <c r="AB125" s="102">
        <v>0</v>
      </c>
      <c r="AC125" s="102">
        <v>0</v>
      </c>
      <c r="AD125" s="102">
        <v>0</v>
      </c>
      <c r="AE125" s="102">
        <v>0</v>
      </c>
      <c r="AF125" s="102">
        <v>0</v>
      </c>
      <c r="AG125" s="102">
        <v>0</v>
      </c>
      <c r="AH125" s="102">
        <v>0</v>
      </c>
      <c r="AI125" s="102">
        <v>0</v>
      </c>
      <c r="AJ125" s="102">
        <v>0</v>
      </c>
      <c r="AK125" s="102">
        <v>0</v>
      </c>
      <c r="AL125" s="102">
        <v>0</v>
      </c>
      <c r="AM125" s="102">
        <v>0</v>
      </c>
    </row>
    <row r="126" spans="2:39" x14ac:dyDescent="0.3">
      <c r="B126" s="61" t="s">
        <v>1100</v>
      </c>
      <c r="C126" s="141" t="s">
        <v>1480</v>
      </c>
      <c r="D126" s="102">
        <f t="shared" ref="D126:F145" si="15">IF(HLOOKUP(D$5,$M$5:$Y$319,ROW()-ROW($F$4),FALSE)=0,"",HLOOKUP(D$5,$M$5:$Y$319,ROW()-ROW($F$4),FALSE))</f>
        <v>1752001.819348</v>
      </c>
      <c r="E126" s="102">
        <f t="shared" si="15"/>
        <v>1632678.497457</v>
      </c>
      <c r="F126" s="102">
        <f t="shared" si="15"/>
        <v>842510.11899999995</v>
      </c>
      <c r="G126" s="155"/>
      <c r="H126" s="102">
        <f t="shared" si="10"/>
        <v>1770611.7733</v>
      </c>
      <c r="I126" s="102">
        <f t="shared" si="10"/>
        <v>1645165.9401440001</v>
      </c>
      <c r="J126" s="102">
        <f t="shared" ref="J126:J145" si="16">IF(HLOOKUP(J$5,$AA$5:$AM$315,ROW()-ROW($J$4),FALSE)=0,"",HLOOKUP(J$5,$AA$5:$AM$315,ROW()-ROW($J$4),FALSE))</f>
        <v>840681.50188799994</v>
      </c>
      <c r="K126" s="683"/>
      <c r="M126" s="102"/>
      <c r="N126" s="102">
        <v>1752001.819348</v>
      </c>
      <c r="O126" s="102">
        <v>1489336.638062</v>
      </c>
      <c r="P126" s="102">
        <v>835716.07755999989</v>
      </c>
      <c r="Q126" s="102">
        <v>231260.54757600001</v>
      </c>
      <c r="R126" s="102">
        <v>1632678.497457</v>
      </c>
      <c r="S126" s="102">
        <v>998770.98473099992</v>
      </c>
      <c r="T126" s="102">
        <v>1208993.558369</v>
      </c>
      <c r="U126" s="102">
        <v>879398.108274</v>
      </c>
      <c r="V126" s="102">
        <v>1772777.0383039999</v>
      </c>
      <c r="W126" s="102">
        <v>1244091.306482</v>
      </c>
      <c r="X126" s="102">
        <v>1381089.665</v>
      </c>
      <c r="Y126" s="102">
        <v>842510.11899999995</v>
      </c>
      <c r="Z126" s="102"/>
      <c r="AA126" s="102"/>
      <c r="AB126" s="102">
        <v>1770611.7733</v>
      </c>
      <c r="AC126" s="102">
        <v>1500072.933002</v>
      </c>
      <c r="AD126" s="102">
        <v>837989.11663399998</v>
      </c>
      <c r="AE126" s="102">
        <v>233533.58665000001</v>
      </c>
      <c r="AF126" s="102">
        <v>1645165.9401440001</v>
      </c>
      <c r="AG126" s="102">
        <v>1008422.180018</v>
      </c>
      <c r="AH126" s="102">
        <v>1218711.8676450001</v>
      </c>
      <c r="AI126" s="102">
        <v>879541.59682099998</v>
      </c>
      <c r="AJ126" s="102">
        <v>1780445.347233</v>
      </c>
      <c r="AK126" s="102">
        <v>1245435.6602030001</v>
      </c>
      <c r="AL126" s="102">
        <v>1382313.457652</v>
      </c>
      <c r="AM126" s="102">
        <v>840681.50188799994</v>
      </c>
    </row>
    <row r="127" spans="2:39" x14ac:dyDescent="0.3">
      <c r="B127" s="61" t="s">
        <v>1101</v>
      </c>
      <c r="C127" s="141" t="s">
        <v>1453</v>
      </c>
      <c r="D127" s="102">
        <f t="shared" si="15"/>
        <v>1752001.819348</v>
      </c>
      <c r="E127" s="102">
        <f t="shared" si="15"/>
        <v>1632678.497457</v>
      </c>
      <c r="F127" s="102">
        <f t="shared" si="15"/>
        <v>842510.11899999995</v>
      </c>
      <c r="G127" s="155"/>
      <c r="H127" s="102">
        <f t="shared" si="10"/>
        <v>1770611.7733</v>
      </c>
      <c r="I127" s="102">
        <f t="shared" si="10"/>
        <v>1645165.9401440001</v>
      </c>
      <c r="J127" s="102">
        <f t="shared" si="16"/>
        <v>840681.50188799994</v>
      </c>
      <c r="K127" s="683"/>
      <c r="M127" s="102"/>
      <c r="N127" s="102">
        <v>1752001.819348</v>
      </c>
      <c r="O127" s="102">
        <v>1489336.638062</v>
      </c>
      <c r="P127" s="102">
        <v>835716.07755999989</v>
      </c>
      <c r="Q127" s="102">
        <v>231260.54757600001</v>
      </c>
      <c r="R127" s="102">
        <v>1632678.497457</v>
      </c>
      <c r="S127" s="102">
        <v>998770.98473099992</v>
      </c>
      <c r="T127" s="102">
        <v>1208993.558369</v>
      </c>
      <c r="U127" s="102">
        <v>879398.108274</v>
      </c>
      <c r="V127" s="102">
        <v>1772777.0383039999</v>
      </c>
      <c r="W127" s="102">
        <v>1244091.306482</v>
      </c>
      <c r="X127" s="102">
        <v>1381089.665</v>
      </c>
      <c r="Y127" s="102">
        <v>842510.11899999995</v>
      </c>
      <c r="Z127" s="102"/>
      <c r="AA127" s="102"/>
      <c r="AB127" s="102">
        <v>1770611.7733</v>
      </c>
      <c r="AC127" s="102">
        <v>1500072.933002</v>
      </c>
      <c r="AD127" s="102">
        <v>837989.11663399998</v>
      </c>
      <c r="AE127" s="102">
        <v>233533.58665000001</v>
      </c>
      <c r="AF127" s="102">
        <v>1645165.9401440001</v>
      </c>
      <c r="AG127" s="102">
        <v>1008422.180018</v>
      </c>
      <c r="AH127" s="102">
        <v>1218711.8676450001</v>
      </c>
      <c r="AI127" s="102">
        <v>879541.59682099998</v>
      </c>
      <c r="AJ127" s="102">
        <v>1780445.347233</v>
      </c>
      <c r="AK127" s="102">
        <v>1245435.6602030001</v>
      </c>
      <c r="AL127" s="102">
        <v>1382313.457652</v>
      </c>
      <c r="AM127" s="102">
        <v>840681.50188799994</v>
      </c>
    </row>
    <row r="128" spans="2:39" x14ac:dyDescent="0.3">
      <c r="B128" s="61" t="s">
        <v>1102</v>
      </c>
      <c r="C128" s="141" t="s">
        <v>1530</v>
      </c>
      <c r="D128" s="102">
        <f t="shared" si="15"/>
        <v>1752001.819348</v>
      </c>
      <c r="E128" s="102">
        <f t="shared" si="15"/>
        <v>1632678.497457</v>
      </c>
      <c r="F128" s="102">
        <f t="shared" si="15"/>
        <v>842510.11899999995</v>
      </c>
      <c r="G128" s="155"/>
      <c r="H128" s="102" t="str">
        <f t="shared" si="10"/>
        <v/>
      </c>
      <c r="I128" s="102" t="str">
        <f t="shared" si="10"/>
        <v/>
      </c>
      <c r="J128" s="102" t="str">
        <f t="shared" si="16"/>
        <v/>
      </c>
      <c r="K128" s="683"/>
      <c r="M128" s="102"/>
      <c r="N128" s="102">
        <v>1752001.819348</v>
      </c>
      <c r="O128" s="102">
        <v>1489336.638062</v>
      </c>
      <c r="P128" s="102">
        <v>835716.07755999989</v>
      </c>
      <c r="Q128" s="102">
        <v>231260.54757600001</v>
      </c>
      <c r="R128" s="102">
        <v>1632678.497457</v>
      </c>
      <c r="S128" s="102">
        <v>998770.98473099992</v>
      </c>
      <c r="T128" s="102">
        <v>1208993.558369</v>
      </c>
      <c r="U128" s="102">
        <v>879398.108274</v>
      </c>
      <c r="V128" s="102">
        <v>1772777.0383039999</v>
      </c>
      <c r="W128" s="102">
        <v>1244091.306482</v>
      </c>
      <c r="X128" s="102">
        <v>1381089.665</v>
      </c>
      <c r="Y128" s="102">
        <v>842510.11899999995</v>
      </c>
      <c r="Z128" s="102"/>
      <c r="AA128" s="102"/>
      <c r="AB128" s="102">
        <v>0</v>
      </c>
      <c r="AC128" s="102">
        <v>0</v>
      </c>
      <c r="AD128" s="102">
        <v>0</v>
      </c>
      <c r="AE128" s="102"/>
      <c r="AF128" s="102">
        <v>0</v>
      </c>
      <c r="AG128" s="102"/>
      <c r="AH128" s="102"/>
      <c r="AI128" s="102"/>
      <c r="AJ128" s="102">
        <v>0</v>
      </c>
      <c r="AK128" s="102">
        <v>0</v>
      </c>
      <c r="AL128" s="102">
        <v>0</v>
      </c>
      <c r="AM128" s="102">
        <v>0</v>
      </c>
    </row>
    <row r="129" spans="2:39" x14ac:dyDescent="0.3">
      <c r="B129" s="61" t="s">
        <v>1103</v>
      </c>
      <c r="C129" s="141" t="s">
        <v>1531</v>
      </c>
      <c r="D129" s="102" t="str">
        <f t="shared" si="15"/>
        <v/>
      </c>
      <c r="E129" s="102" t="str">
        <f t="shared" si="15"/>
        <v/>
      </c>
      <c r="F129" s="102" t="str">
        <f t="shared" si="15"/>
        <v/>
      </c>
      <c r="G129" s="155"/>
      <c r="H129" s="102" t="str">
        <f t="shared" si="10"/>
        <v/>
      </c>
      <c r="I129" s="102" t="str">
        <f t="shared" si="10"/>
        <v/>
      </c>
      <c r="J129" s="102" t="str">
        <f t="shared" si="16"/>
        <v/>
      </c>
      <c r="K129" s="683"/>
      <c r="M129" s="102"/>
      <c r="N129" s="102">
        <v>0</v>
      </c>
      <c r="O129" s="102">
        <v>0</v>
      </c>
      <c r="P129" s="102">
        <v>0</v>
      </c>
      <c r="Q129" s="102">
        <v>0</v>
      </c>
      <c r="R129" s="102">
        <v>0</v>
      </c>
      <c r="S129" s="102">
        <v>0</v>
      </c>
      <c r="T129" s="102">
        <v>0</v>
      </c>
      <c r="U129" s="102">
        <v>0</v>
      </c>
      <c r="V129" s="102">
        <v>0</v>
      </c>
      <c r="W129" s="102">
        <v>0</v>
      </c>
      <c r="X129" s="102">
        <v>0</v>
      </c>
      <c r="Y129" s="102">
        <v>0</v>
      </c>
      <c r="Z129" s="102"/>
      <c r="AA129" s="102"/>
      <c r="AB129" s="102">
        <v>0</v>
      </c>
      <c r="AC129" s="102">
        <v>0</v>
      </c>
      <c r="AD129" s="102">
        <v>0</v>
      </c>
      <c r="AE129" s="102"/>
      <c r="AF129" s="102">
        <v>0</v>
      </c>
      <c r="AG129" s="102"/>
      <c r="AH129" s="102"/>
      <c r="AI129" s="102"/>
      <c r="AJ129" s="102">
        <v>0</v>
      </c>
      <c r="AK129" s="102">
        <v>0</v>
      </c>
      <c r="AL129" s="102">
        <v>0</v>
      </c>
      <c r="AM129" s="102">
        <v>0</v>
      </c>
    </row>
    <row r="130" spans="2:39" x14ac:dyDescent="0.3">
      <c r="B130" s="61" t="s">
        <v>1104</v>
      </c>
      <c r="C130" s="141" t="s">
        <v>1532</v>
      </c>
      <c r="D130" s="102" t="str">
        <f t="shared" si="15"/>
        <v/>
      </c>
      <c r="E130" s="102" t="str">
        <f t="shared" si="15"/>
        <v/>
      </c>
      <c r="F130" s="102" t="str">
        <f t="shared" si="15"/>
        <v/>
      </c>
      <c r="G130" s="155"/>
      <c r="H130" s="102" t="str">
        <f t="shared" si="10"/>
        <v/>
      </c>
      <c r="I130" s="102" t="str">
        <f t="shared" si="10"/>
        <v/>
      </c>
      <c r="J130" s="102" t="str">
        <f t="shared" si="16"/>
        <v/>
      </c>
      <c r="K130" s="683"/>
      <c r="M130" s="102"/>
      <c r="N130" s="102">
        <v>0</v>
      </c>
      <c r="O130" s="102">
        <v>0</v>
      </c>
      <c r="P130" s="102">
        <v>0</v>
      </c>
      <c r="Q130" s="102">
        <v>0</v>
      </c>
      <c r="R130" s="102">
        <v>0</v>
      </c>
      <c r="S130" s="102">
        <v>0</v>
      </c>
      <c r="T130" s="102">
        <v>0</v>
      </c>
      <c r="U130" s="102">
        <v>0</v>
      </c>
      <c r="V130" s="102">
        <v>0</v>
      </c>
      <c r="W130" s="102">
        <v>0</v>
      </c>
      <c r="X130" s="102">
        <v>0</v>
      </c>
      <c r="Y130" s="102">
        <v>0</v>
      </c>
      <c r="Z130" s="102"/>
      <c r="AA130" s="102"/>
      <c r="AB130" s="102">
        <v>0</v>
      </c>
      <c r="AC130" s="102">
        <v>0</v>
      </c>
      <c r="AD130" s="102">
        <v>0</v>
      </c>
      <c r="AE130" s="102"/>
      <c r="AF130" s="102">
        <v>0</v>
      </c>
      <c r="AG130" s="102"/>
      <c r="AH130" s="102"/>
      <c r="AI130" s="102"/>
      <c r="AJ130" s="102">
        <v>0</v>
      </c>
      <c r="AK130" s="102">
        <v>0</v>
      </c>
      <c r="AL130" s="102">
        <v>0</v>
      </c>
      <c r="AM130" s="102">
        <v>0</v>
      </c>
    </row>
    <row r="131" spans="2:39" x14ac:dyDescent="0.3">
      <c r="B131" s="61" t="s">
        <v>1105</v>
      </c>
      <c r="C131" s="141" t="s">
        <v>1454</v>
      </c>
      <c r="D131" s="102" t="str">
        <f t="shared" si="15"/>
        <v/>
      </c>
      <c r="E131" s="102" t="str">
        <f t="shared" si="15"/>
        <v/>
      </c>
      <c r="F131" s="102" t="str">
        <f t="shared" si="15"/>
        <v/>
      </c>
      <c r="G131" s="155"/>
      <c r="H131" s="102" t="str">
        <f t="shared" si="10"/>
        <v/>
      </c>
      <c r="I131" s="102" t="str">
        <f t="shared" si="10"/>
        <v/>
      </c>
      <c r="J131" s="102" t="str">
        <f t="shared" si="16"/>
        <v/>
      </c>
      <c r="K131" s="683"/>
      <c r="M131" s="102"/>
      <c r="N131" s="102">
        <v>0</v>
      </c>
      <c r="O131" s="102">
        <v>0</v>
      </c>
      <c r="P131" s="102">
        <v>0</v>
      </c>
      <c r="Q131" s="102">
        <v>0</v>
      </c>
      <c r="R131" s="102">
        <v>0</v>
      </c>
      <c r="S131" s="102">
        <v>0</v>
      </c>
      <c r="T131" s="102">
        <v>0</v>
      </c>
      <c r="U131" s="102">
        <v>0</v>
      </c>
      <c r="V131" s="102">
        <v>0</v>
      </c>
      <c r="W131" s="102">
        <v>0</v>
      </c>
      <c r="X131" s="102">
        <v>0</v>
      </c>
      <c r="Y131" s="102">
        <v>0</v>
      </c>
      <c r="Z131" s="102"/>
      <c r="AA131" s="102"/>
      <c r="AB131" s="102">
        <v>0</v>
      </c>
      <c r="AC131" s="102">
        <v>0</v>
      </c>
      <c r="AD131" s="102">
        <v>0</v>
      </c>
      <c r="AE131" s="102">
        <v>0</v>
      </c>
      <c r="AF131" s="102">
        <v>0</v>
      </c>
      <c r="AG131" s="102">
        <v>0</v>
      </c>
      <c r="AH131" s="102">
        <v>0</v>
      </c>
      <c r="AI131" s="102">
        <v>0</v>
      </c>
      <c r="AJ131" s="102">
        <v>0</v>
      </c>
      <c r="AK131" s="102">
        <v>0</v>
      </c>
      <c r="AL131" s="102">
        <v>0</v>
      </c>
      <c r="AM131" s="102">
        <v>0</v>
      </c>
    </row>
    <row r="132" spans="2:39" x14ac:dyDescent="0.3">
      <c r="B132" s="61" t="s">
        <v>1106</v>
      </c>
      <c r="C132" s="141" t="s">
        <v>623</v>
      </c>
      <c r="D132" s="102" t="str">
        <f t="shared" si="15"/>
        <v/>
      </c>
      <c r="E132" s="102" t="str">
        <f t="shared" si="15"/>
        <v/>
      </c>
      <c r="F132" s="102" t="str">
        <f t="shared" si="15"/>
        <v/>
      </c>
      <c r="G132" s="155"/>
      <c r="H132" s="102" t="str">
        <f t="shared" si="10"/>
        <v/>
      </c>
      <c r="I132" s="102" t="str">
        <f t="shared" si="10"/>
        <v/>
      </c>
      <c r="J132" s="102" t="str">
        <f t="shared" si="16"/>
        <v/>
      </c>
      <c r="K132" s="683"/>
      <c r="M132" s="102"/>
      <c r="N132" s="102">
        <v>0</v>
      </c>
      <c r="O132" s="102">
        <v>0</v>
      </c>
      <c r="P132" s="102">
        <v>0</v>
      </c>
      <c r="Q132" s="102">
        <v>0</v>
      </c>
      <c r="R132" s="102">
        <v>0</v>
      </c>
      <c r="S132" s="102">
        <v>0</v>
      </c>
      <c r="T132" s="102">
        <v>0</v>
      </c>
      <c r="U132" s="102">
        <v>0</v>
      </c>
      <c r="V132" s="102">
        <v>0</v>
      </c>
      <c r="W132" s="102">
        <v>0</v>
      </c>
      <c r="X132" s="102">
        <v>0</v>
      </c>
      <c r="Y132" s="102">
        <v>0</v>
      </c>
      <c r="Z132" s="102"/>
      <c r="AA132" s="102"/>
      <c r="AB132" s="102">
        <v>0</v>
      </c>
      <c r="AC132" s="102">
        <v>0</v>
      </c>
      <c r="AD132" s="102">
        <v>0</v>
      </c>
      <c r="AE132" s="102"/>
      <c r="AF132" s="102">
        <v>0</v>
      </c>
      <c r="AG132" s="102"/>
      <c r="AH132" s="102"/>
      <c r="AI132" s="102"/>
      <c r="AJ132" s="102">
        <v>0</v>
      </c>
      <c r="AK132" s="102">
        <v>0</v>
      </c>
      <c r="AL132" s="102">
        <v>0</v>
      </c>
      <c r="AM132" s="102">
        <v>0</v>
      </c>
    </row>
    <row r="133" spans="2:39" x14ac:dyDescent="0.3">
      <c r="B133" s="61" t="s">
        <v>1107</v>
      </c>
      <c r="C133" s="141" t="s">
        <v>624</v>
      </c>
      <c r="D133" s="102" t="str">
        <f t="shared" si="15"/>
        <v/>
      </c>
      <c r="E133" s="102" t="str">
        <f t="shared" si="15"/>
        <v/>
      </c>
      <c r="F133" s="102" t="str">
        <f t="shared" si="15"/>
        <v/>
      </c>
      <c r="G133" s="155"/>
      <c r="H133" s="102" t="str">
        <f t="shared" si="10"/>
        <v/>
      </c>
      <c r="I133" s="102" t="str">
        <f t="shared" si="10"/>
        <v/>
      </c>
      <c r="J133" s="102" t="str">
        <f t="shared" si="16"/>
        <v/>
      </c>
      <c r="K133" s="683"/>
      <c r="M133" s="102"/>
      <c r="N133" s="102">
        <v>0</v>
      </c>
      <c r="O133" s="102">
        <v>0</v>
      </c>
      <c r="P133" s="102">
        <v>0</v>
      </c>
      <c r="Q133" s="102">
        <v>0</v>
      </c>
      <c r="R133" s="102">
        <v>0</v>
      </c>
      <c r="S133" s="102">
        <v>0</v>
      </c>
      <c r="T133" s="102">
        <v>0</v>
      </c>
      <c r="U133" s="102">
        <v>0</v>
      </c>
      <c r="V133" s="102">
        <v>0</v>
      </c>
      <c r="W133" s="102">
        <v>0</v>
      </c>
      <c r="X133" s="102">
        <v>0</v>
      </c>
      <c r="Y133" s="102">
        <v>0</v>
      </c>
      <c r="Z133" s="102"/>
      <c r="AA133" s="102"/>
      <c r="AB133" s="102">
        <v>0</v>
      </c>
      <c r="AC133" s="102">
        <v>0</v>
      </c>
      <c r="AD133" s="102">
        <v>0</v>
      </c>
      <c r="AE133" s="102"/>
      <c r="AF133" s="102">
        <v>0</v>
      </c>
      <c r="AG133" s="102"/>
      <c r="AH133" s="102"/>
      <c r="AI133" s="102"/>
      <c r="AJ133" s="102">
        <v>0</v>
      </c>
      <c r="AK133" s="102">
        <v>0</v>
      </c>
      <c r="AL133" s="102">
        <v>0</v>
      </c>
      <c r="AM133" s="102">
        <v>0</v>
      </c>
    </row>
    <row r="134" spans="2:39" x14ac:dyDescent="0.3">
      <c r="B134" s="61" t="s">
        <v>1104</v>
      </c>
      <c r="C134" s="141" t="s">
        <v>622</v>
      </c>
      <c r="D134" s="102" t="str">
        <f t="shared" si="15"/>
        <v/>
      </c>
      <c r="E134" s="102" t="str">
        <f t="shared" si="15"/>
        <v/>
      </c>
      <c r="F134" s="102" t="str">
        <f t="shared" si="15"/>
        <v/>
      </c>
      <c r="G134" s="155"/>
      <c r="H134" s="102" t="str">
        <f t="shared" si="10"/>
        <v/>
      </c>
      <c r="I134" s="102" t="str">
        <f t="shared" si="10"/>
        <v/>
      </c>
      <c r="J134" s="102" t="str">
        <f t="shared" si="16"/>
        <v/>
      </c>
      <c r="K134" s="683"/>
      <c r="M134" s="102"/>
      <c r="N134" s="102">
        <v>0</v>
      </c>
      <c r="O134" s="102">
        <v>0</v>
      </c>
      <c r="P134" s="102">
        <v>0</v>
      </c>
      <c r="Q134" s="102">
        <v>0</v>
      </c>
      <c r="R134" s="102">
        <v>0</v>
      </c>
      <c r="S134" s="102">
        <v>0</v>
      </c>
      <c r="T134" s="102">
        <v>0</v>
      </c>
      <c r="U134" s="102">
        <v>0</v>
      </c>
      <c r="V134" s="102">
        <v>0</v>
      </c>
      <c r="W134" s="102">
        <v>0</v>
      </c>
      <c r="X134" s="102">
        <v>0</v>
      </c>
      <c r="Y134" s="102">
        <v>0</v>
      </c>
      <c r="Z134" s="102"/>
      <c r="AA134" s="102"/>
      <c r="AB134" s="102">
        <v>0</v>
      </c>
      <c r="AC134" s="102">
        <v>0</v>
      </c>
      <c r="AD134" s="102">
        <v>0</v>
      </c>
      <c r="AE134" s="102"/>
      <c r="AF134" s="102">
        <v>0</v>
      </c>
      <c r="AG134" s="102"/>
      <c r="AH134" s="102"/>
      <c r="AI134" s="102"/>
      <c r="AJ134" s="102">
        <v>0</v>
      </c>
      <c r="AK134" s="102">
        <v>0</v>
      </c>
      <c r="AL134" s="102">
        <v>0</v>
      </c>
      <c r="AM134" s="102">
        <v>0</v>
      </c>
    </row>
    <row r="135" spans="2:39" x14ac:dyDescent="0.3">
      <c r="B135" s="61" t="s">
        <v>1108</v>
      </c>
      <c r="C135" s="141" t="s">
        <v>1481</v>
      </c>
      <c r="D135" s="102" t="str">
        <f t="shared" si="15"/>
        <v/>
      </c>
      <c r="E135" s="102" t="str">
        <f t="shared" si="15"/>
        <v/>
      </c>
      <c r="F135" s="102" t="str">
        <f t="shared" si="15"/>
        <v/>
      </c>
      <c r="G135" s="155"/>
      <c r="H135" s="102" t="str">
        <f t="shared" ref="H135:I198" si="17">IF(HLOOKUP(H$5,$AA$5:$AM$315,ROW()-ROW($J$4),FALSE)=0,"",HLOOKUP(H$5,$AA$5:$AM$315,ROW()-ROW($J$4),FALSE))</f>
        <v/>
      </c>
      <c r="I135" s="102" t="str">
        <f t="shared" si="17"/>
        <v/>
      </c>
      <c r="J135" s="102" t="str">
        <f t="shared" si="16"/>
        <v/>
      </c>
      <c r="K135" s="683"/>
      <c r="M135" s="102"/>
      <c r="N135" s="102">
        <v>0</v>
      </c>
      <c r="O135" s="102">
        <v>0</v>
      </c>
      <c r="P135" s="102">
        <v>0</v>
      </c>
      <c r="Q135" s="102">
        <v>0</v>
      </c>
      <c r="R135" s="102">
        <v>0</v>
      </c>
      <c r="S135" s="102">
        <v>0</v>
      </c>
      <c r="T135" s="102">
        <v>0</v>
      </c>
      <c r="U135" s="102">
        <v>0</v>
      </c>
      <c r="V135" s="102">
        <v>0</v>
      </c>
      <c r="W135" s="102">
        <v>0</v>
      </c>
      <c r="X135" s="102">
        <v>0</v>
      </c>
      <c r="Y135" s="102">
        <v>0</v>
      </c>
      <c r="Z135" s="102"/>
      <c r="AA135" s="102"/>
      <c r="AB135" s="102">
        <v>0</v>
      </c>
      <c r="AC135" s="102">
        <v>0</v>
      </c>
      <c r="AD135" s="102">
        <v>0</v>
      </c>
      <c r="AE135" s="102">
        <v>0</v>
      </c>
      <c r="AF135" s="102">
        <v>0</v>
      </c>
      <c r="AG135" s="102">
        <v>0</v>
      </c>
      <c r="AH135" s="102">
        <v>0</v>
      </c>
      <c r="AI135" s="102">
        <v>0</v>
      </c>
      <c r="AJ135" s="102">
        <v>0</v>
      </c>
      <c r="AK135" s="102">
        <v>0</v>
      </c>
      <c r="AL135" s="102">
        <v>0</v>
      </c>
      <c r="AM135" s="102">
        <v>0</v>
      </c>
    </row>
    <row r="136" spans="2:39" x14ac:dyDescent="0.3">
      <c r="B136" s="61" t="s">
        <v>1109</v>
      </c>
      <c r="C136" s="141" t="s">
        <v>1482</v>
      </c>
      <c r="D136" s="102">
        <f t="shared" si="15"/>
        <v>2897.828559</v>
      </c>
      <c r="E136" s="102">
        <f t="shared" si="15"/>
        <v>2089.6981890000002</v>
      </c>
      <c r="F136" s="102">
        <f t="shared" si="15"/>
        <v>3405.3130000000001</v>
      </c>
      <c r="G136" s="155"/>
      <c r="H136" s="102">
        <f t="shared" si="17"/>
        <v>2900.235917</v>
      </c>
      <c r="I136" s="102">
        <f t="shared" si="17"/>
        <v>2106.7509250000003</v>
      </c>
      <c r="J136" s="102">
        <f t="shared" si="16"/>
        <v>3407.1729840000003</v>
      </c>
      <c r="K136" s="683"/>
      <c r="M136" s="102"/>
      <c r="N136" s="102">
        <v>2897.828559</v>
      </c>
      <c r="O136" s="102">
        <v>2867.0755240000003</v>
      </c>
      <c r="P136" s="102">
        <v>1520.198357</v>
      </c>
      <c r="Q136" s="102">
        <v>1012.070861</v>
      </c>
      <c r="R136" s="102">
        <v>2089.6981890000002</v>
      </c>
      <c r="S136" s="102">
        <v>3252.9653990000002</v>
      </c>
      <c r="T136" s="102">
        <v>722.82834300000002</v>
      </c>
      <c r="U136" s="102">
        <v>414.84504100000004</v>
      </c>
      <c r="V136" s="102">
        <v>5581.7223130000002</v>
      </c>
      <c r="W136" s="102">
        <v>5035.3322240000007</v>
      </c>
      <c r="X136" s="102">
        <v>4437.0889999999999</v>
      </c>
      <c r="Y136" s="102">
        <v>3405.3130000000001</v>
      </c>
      <c r="Z136" s="102"/>
      <c r="AA136" s="102"/>
      <c r="AB136" s="102">
        <v>2900.235917</v>
      </c>
      <c r="AC136" s="102">
        <v>2869.4828820000002</v>
      </c>
      <c r="AD136" s="102">
        <v>1520.198357</v>
      </c>
      <c r="AE136" s="102">
        <v>1012.070861</v>
      </c>
      <c r="AF136" s="102">
        <v>2106.7509250000003</v>
      </c>
      <c r="AG136" s="102">
        <v>3264.5429049999998</v>
      </c>
      <c r="AH136" s="102">
        <v>734.04532099999994</v>
      </c>
      <c r="AI136" s="102">
        <v>423.47171700000001</v>
      </c>
      <c r="AJ136" s="102">
        <v>5591.4231140000002</v>
      </c>
      <c r="AK136" s="102">
        <v>5045.0330249999997</v>
      </c>
      <c r="AL136" s="102">
        <v>4443.9976800000004</v>
      </c>
      <c r="AM136" s="102">
        <v>3407.1729840000003</v>
      </c>
    </row>
    <row r="137" spans="2:39" x14ac:dyDescent="0.3">
      <c r="B137" s="61" t="s">
        <v>1110</v>
      </c>
      <c r="C137" s="141" t="s">
        <v>1483</v>
      </c>
      <c r="D137" s="102">
        <f t="shared" si="15"/>
        <v>2704.3396949999997</v>
      </c>
      <c r="E137" s="102">
        <f t="shared" si="15"/>
        <v>2086.3184860000001</v>
      </c>
      <c r="F137" s="102">
        <f t="shared" si="15"/>
        <v>2063.0149999999999</v>
      </c>
      <c r="G137" s="155"/>
      <c r="H137" s="102">
        <f t="shared" si="17"/>
        <v>2706.7470530000001</v>
      </c>
      <c r="I137" s="102">
        <f t="shared" si="17"/>
        <v>2103.3712220000002</v>
      </c>
      <c r="J137" s="102">
        <f t="shared" si="16"/>
        <v>2064.8752129999998</v>
      </c>
      <c r="K137" s="683"/>
      <c r="M137" s="102"/>
      <c r="N137" s="102">
        <v>2704.3396949999997</v>
      </c>
      <c r="O137" s="102">
        <v>2673.0748909999998</v>
      </c>
      <c r="P137" s="102">
        <v>1335.2145780000001</v>
      </c>
      <c r="Q137" s="102">
        <v>874.55370700000003</v>
      </c>
      <c r="R137" s="102">
        <v>2086.3184860000001</v>
      </c>
      <c r="S137" s="102">
        <v>3072.6993149999998</v>
      </c>
      <c r="T137" s="102">
        <v>707.6250500000001</v>
      </c>
      <c r="U137" s="102">
        <v>392.65017</v>
      </c>
      <c r="V137" s="102">
        <v>5476.0231640000002</v>
      </c>
      <c r="W137" s="102">
        <v>3479.595045</v>
      </c>
      <c r="X137" s="102">
        <v>3033.2249999999999</v>
      </c>
      <c r="Y137" s="102">
        <v>2063.0149999999999</v>
      </c>
      <c r="Z137" s="102"/>
      <c r="AA137" s="102"/>
      <c r="AB137" s="102">
        <v>2706.7470530000001</v>
      </c>
      <c r="AC137" s="102">
        <v>2675.4822490000001</v>
      </c>
      <c r="AD137" s="102">
        <v>1335.2145780000001</v>
      </c>
      <c r="AE137" s="102">
        <v>874.55370700000003</v>
      </c>
      <c r="AF137" s="102">
        <v>2103.3712220000002</v>
      </c>
      <c r="AG137" s="102">
        <v>3084.2768209999999</v>
      </c>
      <c r="AH137" s="102">
        <v>718.84202800000003</v>
      </c>
      <c r="AI137" s="102">
        <v>401.27684599999998</v>
      </c>
      <c r="AJ137" s="102">
        <v>5485.7239650000001</v>
      </c>
      <c r="AK137" s="102">
        <v>3489.295846</v>
      </c>
      <c r="AL137" s="102">
        <v>3040.1336289999999</v>
      </c>
      <c r="AM137" s="102">
        <v>2064.8752129999998</v>
      </c>
    </row>
    <row r="138" spans="2:39" x14ac:dyDescent="0.3">
      <c r="B138" s="61" t="s">
        <v>1111</v>
      </c>
      <c r="C138" s="141" t="s">
        <v>625</v>
      </c>
      <c r="D138" s="102">
        <f t="shared" si="15"/>
        <v>193.48886400000001</v>
      </c>
      <c r="E138" s="102">
        <f t="shared" si="15"/>
        <v>3.3797030000000001</v>
      </c>
      <c r="F138" s="102">
        <f t="shared" si="15"/>
        <v>1342.298</v>
      </c>
      <c r="G138" s="155"/>
      <c r="H138" s="102">
        <f t="shared" si="17"/>
        <v>193.48886400000001</v>
      </c>
      <c r="I138" s="102">
        <f t="shared" si="17"/>
        <v>3.3797030000000001</v>
      </c>
      <c r="J138" s="102">
        <f t="shared" si="16"/>
        <v>1342.297771</v>
      </c>
      <c r="K138" s="683"/>
      <c r="M138" s="102"/>
      <c r="N138" s="102">
        <v>193.48886400000001</v>
      </c>
      <c r="O138" s="102">
        <v>194.00063299999999</v>
      </c>
      <c r="P138" s="102">
        <v>184.983779</v>
      </c>
      <c r="Q138" s="102">
        <v>137.517154</v>
      </c>
      <c r="R138" s="102">
        <v>3.3797030000000001</v>
      </c>
      <c r="S138" s="102">
        <v>180.26608400000001</v>
      </c>
      <c r="T138" s="102">
        <v>15.203293</v>
      </c>
      <c r="U138" s="102">
        <v>22.194870999999999</v>
      </c>
      <c r="V138" s="102">
        <v>105.69914900000001</v>
      </c>
      <c r="W138" s="102">
        <v>1555.737179</v>
      </c>
      <c r="X138" s="102">
        <v>1403.864</v>
      </c>
      <c r="Y138" s="102">
        <v>1342.298</v>
      </c>
      <c r="Z138" s="102"/>
      <c r="AA138" s="102"/>
      <c r="AB138" s="102">
        <v>193.48886400000001</v>
      </c>
      <c r="AC138" s="102">
        <v>194.00063299999999</v>
      </c>
      <c r="AD138" s="102">
        <v>184.983779</v>
      </c>
      <c r="AE138" s="102">
        <v>137.517154</v>
      </c>
      <c r="AF138" s="102">
        <v>3.3797030000000001</v>
      </c>
      <c r="AG138" s="102">
        <v>180.26608400000001</v>
      </c>
      <c r="AH138" s="102">
        <v>15.203293</v>
      </c>
      <c r="AI138" s="102">
        <v>22.194870999999999</v>
      </c>
      <c r="AJ138" s="102">
        <v>105.69914900000001</v>
      </c>
      <c r="AK138" s="102">
        <v>1555.737179</v>
      </c>
      <c r="AL138" s="102">
        <v>1403.864051</v>
      </c>
      <c r="AM138" s="102">
        <v>1342.297771</v>
      </c>
    </row>
    <row r="139" spans="2:39" x14ac:dyDescent="0.3">
      <c r="B139" s="61" t="s">
        <v>1112</v>
      </c>
      <c r="C139" s="141" t="s">
        <v>1533</v>
      </c>
      <c r="D139" s="102" t="str">
        <f t="shared" si="15"/>
        <v/>
      </c>
      <c r="E139" s="102" t="str">
        <f t="shared" si="15"/>
        <v/>
      </c>
      <c r="F139" s="102">
        <f t="shared" si="15"/>
        <v>1317.9849999999999</v>
      </c>
      <c r="G139" s="155"/>
      <c r="H139" s="102" t="str">
        <f t="shared" si="17"/>
        <v/>
      </c>
      <c r="I139" s="102" t="str">
        <f t="shared" si="17"/>
        <v/>
      </c>
      <c r="J139" s="102">
        <f t="shared" si="16"/>
        <v>1317.984549</v>
      </c>
      <c r="K139" s="683"/>
      <c r="M139" s="102"/>
      <c r="N139" s="102">
        <v>0</v>
      </c>
      <c r="O139" s="102">
        <v>0</v>
      </c>
      <c r="P139" s="102">
        <v>0</v>
      </c>
      <c r="Q139" s="102">
        <v>0</v>
      </c>
      <c r="R139" s="102">
        <v>0</v>
      </c>
      <c r="S139" s="102">
        <v>0</v>
      </c>
      <c r="T139" s="102">
        <v>0</v>
      </c>
      <c r="U139" s="102">
        <v>0</v>
      </c>
      <c r="V139" s="102">
        <v>0</v>
      </c>
      <c r="W139" s="102">
        <v>1474.996083</v>
      </c>
      <c r="X139" s="102">
        <v>1372.7059999999999</v>
      </c>
      <c r="Y139" s="102">
        <v>1317.9849999999999</v>
      </c>
      <c r="Z139" s="102"/>
      <c r="AA139" s="102"/>
      <c r="AB139" s="102">
        <v>0</v>
      </c>
      <c r="AC139" s="102">
        <v>0</v>
      </c>
      <c r="AD139" s="102">
        <v>0</v>
      </c>
      <c r="AE139" s="102">
        <v>0</v>
      </c>
      <c r="AF139" s="102">
        <v>0</v>
      </c>
      <c r="AG139" s="102">
        <v>0</v>
      </c>
      <c r="AH139" s="102">
        <v>0</v>
      </c>
      <c r="AI139" s="102">
        <v>0</v>
      </c>
      <c r="AJ139" s="102">
        <v>0</v>
      </c>
      <c r="AK139" s="102">
        <v>1474.996083</v>
      </c>
      <c r="AL139" s="102">
        <v>1372.705974</v>
      </c>
      <c r="AM139" s="102">
        <v>1317.984549</v>
      </c>
    </row>
    <row r="140" spans="2:39" x14ac:dyDescent="0.3">
      <c r="B140" s="61" t="s">
        <v>1113</v>
      </c>
      <c r="C140" s="141" t="s">
        <v>1534</v>
      </c>
      <c r="D140" s="102">
        <f t="shared" si="15"/>
        <v>193.48886400000001</v>
      </c>
      <c r="E140" s="102">
        <f t="shared" si="15"/>
        <v>3.3797030000000001</v>
      </c>
      <c r="F140" s="102">
        <f t="shared" si="15"/>
        <v>24.312999999999999</v>
      </c>
      <c r="G140" s="155"/>
      <c r="H140" s="102">
        <f t="shared" si="17"/>
        <v>193.48886400000001</v>
      </c>
      <c r="I140" s="102">
        <f t="shared" si="17"/>
        <v>3.3797030000000001</v>
      </c>
      <c r="J140" s="102">
        <f t="shared" si="16"/>
        <v>24.313222</v>
      </c>
      <c r="K140" s="683"/>
      <c r="M140" s="102"/>
      <c r="N140" s="102">
        <v>193.48886400000001</v>
      </c>
      <c r="O140" s="102">
        <v>194.00063299999999</v>
      </c>
      <c r="P140" s="102">
        <v>184.983779</v>
      </c>
      <c r="Q140" s="102">
        <v>137.517154</v>
      </c>
      <c r="R140" s="102">
        <v>3.3797030000000001</v>
      </c>
      <c r="S140" s="102">
        <v>180.26608400000001</v>
      </c>
      <c r="T140" s="102">
        <v>15.203293</v>
      </c>
      <c r="U140" s="102">
        <v>22.194870999999999</v>
      </c>
      <c r="V140" s="102">
        <v>105.69914900000001</v>
      </c>
      <c r="W140" s="102">
        <v>80.741095999999999</v>
      </c>
      <c r="X140" s="102">
        <v>31.158000000000001</v>
      </c>
      <c r="Y140" s="102">
        <v>24.312999999999999</v>
      </c>
      <c r="Z140" s="102"/>
      <c r="AA140" s="102"/>
      <c r="AB140" s="102">
        <v>193.48886400000001</v>
      </c>
      <c r="AC140" s="102">
        <v>194.00063299999999</v>
      </c>
      <c r="AD140" s="102">
        <v>184.983779</v>
      </c>
      <c r="AE140" s="102">
        <v>137.517154</v>
      </c>
      <c r="AF140" s="102">
        <v>3.3797030000000001</v>
      </c>
      <c r="AG140" s="102">
        <v>180.26608400000001</v>
      </c>
      <c r="AH140" s="102">
        <v>15.203293</v>
      </c>
      <c r="AI140" s="102">
        <v>22.194870999999999</v>
      </c>
      <c r="AJ140" s="102">
        <v>105.69914900000001</v>
      </c>
      <c r="AK140" s="102">
        <v>80.741095999999999</v>
      </c>
      <c r="AL140" s="102">
        <v>31.158076999999999</v>
      </c>
      <c r="AM140" s="102">
        <v>24.313222</v>
      </c>
    </row>
    <row r="141" spans="2:39" x14ac:dyDescent="0.3">
      <c r="B141" s="61" t="s">
        <v>1114</v>
      </c>
      <c r="C141" s="141" t="s">
        <v>626</v>
      </c>
      <c r="D141" s="102" t="str">
        <f t="shared" si="15"/>
        <v/>
      </c>
      <c r="E141" s="102" t="str">
        <f t="shared" si="15"/>
        <v/>
      </c>
      <c r="F141" s="102" t="str">
        <f t="shared" si="15"/>
        <v/>
      </c>
      <c r="G141" s="155"/>
      <c r="H141" s="102" t="str">
        <f t="shared" si="17"/>
        <v/>
      </c>
      <c r="I141" s="102" t="str">
        <f t="shared" si="17"/>
        <v/>
      </c>
      <c r="J141" s="102" t="str">
        <f t="shared" si="16"/>
        <v/>
      </c>
      <c r="K141" s="683"/>
      <c r="M141" s="102"/>
      <c r="N141" s="102">
        <v>0</v>
      </c>
      <c r="O141" s="102">
        <v>0</v>
      </c>
      <c r="P141" s="102">
        <v>0</v>
      </c>
      <c r="Q141" s="102">
        <v>0</v>
      </c>
      <c r="R141" s="102">
        <v>0</v>
      </c>
      <c r="S141" s="102">
        <v>0</v>
      </c>
      <c r="T141" s="102">
        <v>0</v>
      </c>
      <c r="U141" s="102">
        <v>0</v>
      </c>
      <c r="V141" s="102">
        <v>0</v>
      </c>
      <c r="W141" s="102">
        <v>0</v>
      </c>
      <c r="X141" s="102">
        <v>0</v>
      </c>
      <c r="Y141" s="102">
        <v>0</v>
      </c>
      <c r="Z141" s="102"/>
      <c r="AA141" s="102"/>
      <c r="AB141" s="102">
        <v>0</v>
      </c>
      <c r="AC141" s="102">
        <v>0</v>
      </c>
      <c r="AD141" s="102">
        <v>0</v>
      </c>
      <c r="AE141" s="102">
        <v>0</v>
      </c>
      <c r="AF141" s="102">
        <v>0</v>
      </c>
      <c r="AG141" s="102">
        <v>0</v>
      </c>
      <c r="AH141" s="102">
        <v>0</v>
      </c>
      <c r="AI141" s="102">
        <v>0</v>
      </c>
      <c r="AJ141" s="102">
        <v>0</v>
      </c>
      <c r="AK141" s="102">
        <v>0</v>
      </c>
      <c r="AL141" s="102">
        <v>0</v>
      </c>
      <c r="AM141" s="102">
        <v>0</v>
      </c>
    </row>
    <row r="142" spans="2:39" x14ac:dyDescent="0.3">
      <c r="B142" s="61" t="s">
        <v>701</v>
      </c>
      <c r="C142" s="141" t="s">
        <v>375</v>
      </c>
      <c r="D142" s="102" t="str">
        <f t="shared" si="15"/>
        <v/>
      </c>
      <c r="E142" s="102" t="str">
        <f t="shared" si="15"/>
        <v/>
      </c>
      <c r="F142" s="102" t="str">
        <f t="shared" si="15"/>
        <v/>
      </c>
      <c r="G142" s="155"/>
      <c r="H142" s="102" t="str">
        <f t="shared" si="17"/>
        <v/>
      </c>
      <c r="I142" s="102" t="str">
        <f t="shared" si="17"/>
        <v/>
      </c>
      <c r="J142" s="102" t="str">
        <f t="shared" si="16"/>
        <v/>
      </c>
      <c r="K142" s="683"/>
      <c r="M142" s="102"/>
      <c r="N142" s="102">
        <v>0</v>
      </c>
      <c r="O142" s="102">
        <v>0</v>
      </c>
      <c r="P142" s="102">
        <v>0</v>
      </c>
      <c r="Q142" s="102">
        <v>0</v>
      </c>
      <c r="R142" s="102">
        <v>0</v>
      </c>
      <c r="S142" s="102">
        <v>0</v>
      </c>
      <c r="T142" s="102">
        <v>0</v>
      </c>
      <c r="U142" s="102">
        <v>0</v>
      </c>
      <c r="V142" s="102">
        <v>0</v>
      </c>
      <c r="W142" s="102">
        <v>0</v>
      </c>
      <c r="X142" s="102">
        <v>0</v>
      </c>
      <c r="Y142" s="102">
        <v>0</v>
      </c>
      <c r="Z142" s="102"/>
      <c r="AA142" s="102"/>
      <c r="AB142" s="102">
        <v>0</v>
      </c>
      <c r="AC142" s="102">
        <v>0</v>
      </c>
      <c r="AD142" s="102">
        <v>0</v>
      </c>
      <c r="AE142" s="102">
        <v>0</v>
      </c>
      <c r="AF142" s="102">
        <v>0</v>
      </c>
      <c r="AG142" s="102">
        <v>0</v>
      </c>
      <c r="AH142" s="102">
        <v>0</v>
      </c>
      <c r="AI142" s="102">
        <v>0</v>
      </c>
      <c r="AJ142" s="102">
        <v>0</v>
      </c>
      <c r="AK142" s="102">
        <v>0</v>
      </c>
      <c r="AL142" s="102">
        <v>0</v>
      </c>
      <c r="AM142" s="102">
        <v>0</v>
      </c>
    </row>
    <row r="143" spans="2:39" x14ac:dyDescent="0.3">
      <c r="B143" s="61" t="s">
        <v>1115</v>
      </c>
      <c r="C143" s="141" t="s">
        <v>1484</v>
      </c>
      <c r="D143" s="102" t="str">
        <f t="shared" si="15"/>
        <v/>
      </c>
      <c r="E143" s="102" t="str">
        <f t="shared" si="15"/>
        <v/>
      </c>
      <c r="F143" s="102" t="str">
        <f t="shared" si="15"/>
        <v/>
      </c>
      <c r="G143" s="155"/>
      <c r="H143" s="102" t="str">
        <f t="shared" si="17"/>
        <v/>
      </c>
      <c r="I143" s="102" t="str">
        <f t="shared" si="17"/>
        <v/>
      </c>
      <c r="J143" s="102" t="str">
        <f t="shared" si="16"/>
        <v/>
      </c>
      <c r="K143" s="683"/>
      <c r="M143" s="102"/>
      <c r="N143" s="102">
        <v>0</v>
      </c>
      <c r="O143" s="102">
        <v>0</v>
      </c>
      <c r="P143" s="102">
        <v>0</v>
      </c>
      <c r="Q143" s="102">
        <v>0</v>
      </c>
      <c r="R143" s="102">
        <v>0</v>
      </c>
      <c r="S143" s="102">
        <v>0</v>
      </c>
      <c r="T143" s="102">
        <v>0</v>
      </c>
      <c r="U143" s="102">
        <v>0</v>
      </c>
      <c r="V143" s="102">
        <v>0</v>
      </c>
      <c r="W143" s="102">
        <v>0</v>
      </c>
      <c r="X143" s="102">
        <v>0</v>
      </c>
      <c r="Y143" s="102">
        <v>0</v>
      </c>
      <c r="Z143" s="102"/>
      <c r="AA143" s="102"/>
      <c r="AB143" s="102">
        <v>0</v>
      </c>
      <c r="AC143" s="102">
        <v>0</v>
      </c>
      <c r="AD143" s="102">
        <v>0</v>
      </c>
      <c r="AE143" s="102">
        <v>0</v>
      </c>
      <c r="AF143" s="102">
        <v>0</v>
      </c>
      <c r="AG143" s="102">
        <v>0</v>
      </c>
      <c r="AH143" s="102">
        <v>0</v>
      </c>
      <c r="AI143" s="102">
        <v>0</v>
      </c>
      <c r="AJ143" s="102">
        <v>0</v>
      </c>
      <c r="AK143" s="102">
        <v>0</v>
      </c>
      <c r="AL143" s="102">
        <v>0</v>
      </c>
      <c r="AM143" s="102">
        <v>0</v>
      </c>
    </row>
    <row r="144" spans="2:39" x14ac:dyDescent="0.3">
      <c r="B144" s="61" t="s">
        <v>1116</v>
      </c>
      <c r="C144" s="141" t="s">
        <v>1485</v>
      </c>
      <c r="D144" s="102" t="str">
        <f t="shared" si="15"/>
        <v/>
      </c>
      <c r="E144" s="102" t="str">
        <f t="shared" si="15"/>
        <v/>
      </c>
      <c r="F144" s="102" t="str">
        <f t="shared" si="15"/>
        <v/>
      </c>
      <c r="G144" s="155"/>
      <c r="H144" s="102" t="str">
        <f t="shared" si="17"/>
        <v/>
      </c>
      <c r="I144" s="102" t="str">
        <f t="shared" si="17"/>
        <v/>
      </c>
      <c r="J144" s="102" t="str">
        <f t="shared" si="16"/>
        <v/>
      </c>
      <c r="K144" s="683"/>
      <c r="M144" s="102"/>
      <c r="N144" s="102">
        <v>0</v>
      </c>
      <c r="O144" s="102">
        <v>0</v>
      </c>
      <c r="P144" s="102">
        <v>0</v>
      </c>
      <c r="Q144" s="102">
        <v>0</v>
      </c>
      <c r="R144" s="102">
        <v>0</v>
      </c>
      <c r="S144" s="102">
        <v>0</v>
      </c>
      <c r="T144" s="102">
        <v>0</v>
      </c>
      <c r="U144" s="102">
        <v>0</v>
      </c>
      <c r="V144" s="102">
        <v>0</v>
      </c>
      <c r="W144" s="102">
        <v>0</v>
      </c>
      <c r="X144" s="102">
        <v>0</v>
      </c>
      <c r="Y144" s="102">
        <v>0</v>
      </c>
      <c r="Z144" s="102"/>
      <c r="AA144" s="102"/>
      <c r="AB144" s="102">
        <v>0</v>
      </c>
      <c r="AC144" s="102">
        <v>0</v>
      </c>
      <c r="AD144" s="102">
        <v>0</v>
      </c>
      <c r="AE144" s="102">
        <v>0</v>
      </c>
      <c r="AF144" s="102">
        <v>0</v>
      </c>
      <c r="AG144" s="102">
        <v>0</v>
      </c>
      <c r="AH144" s="102">
        <v>0</v>
      </c>
      <c r="AI144" s="102">
        <v>0</v>
      </c>
      <c r="AJ144" s="102">
        <v>0</v>
      </c>
      <c r="AK144" s="102">
        <v>0</v>
      </c>
      <c r="AL144" s="102">
        <v>0</v>
      </c>
      <c r="AM144" s="102">
        <v>0</v>
      </c>
    </row>
    <row r="145" spans="2:39" x14ac:dyDescent="0.3">
      <c r="B145" s="61" t="s">
        <v>1117</v>
      </c>
      <c r="C145" s="141" t="s">
        <v>1451</v>
      </c>
      <c r="D145" s="102" t="str">
        <f t="shared" si="15"/>
        <v/>
      </c>
      <c r="E145" s="102" t="str">
        <f t="shared" si="15"/>
        <v/>
      </c>
      <c r="F145" s="102" t="str">
        <f t="shared" si="15"/>
        <v/>
      </c>
      <c r="G145" s="155"/>
      <c r="H145" s="102" t="str">
        <f t="shared" si="17"/>
        <v/>
      </c>
      <c r="I145" s="102" t="str">
        <f t="shared" si="17"/>
        <v/>
      </c>
      <c r="J145" s="102" t="str">
        <f t="shared" si="16"/>
        <v/>
      </c>
      <c r="K145" s="683"/>
      <c r="M145" s="102"/>
      <c r="N145" s="102">
        <v>0</v>
      </c>
      <c r="O145" s="102">
        <v>0</v>
      </c>
      <c r="P145" s="102">
        <v>0</v>
      </c>
      <c r="Q145" s="102">
        <v>0</v>
      </c>
      <c r="R145" s="102">
        <v>0</v>
      </c>
      <c r="S145" s="102">
        <v>0</v>
      </c>
      <c r="T145" s="102">
        <v>0</v>
      </c>
      <c r="U145" s="102">
        <v>0</v>
      </c>
      <c r="V145" s="102">
        <v>0</v>
      </c>
      <c r="W145" s="102">
        <v>0</v>
      </c>
      <c r="X145" s="102">
        <v>0</v>
      </c>
      <c r="Y145" s="102">
        <v>0</v>
      </c>
      <c r="Z145" s="102"/>
      <c r="AA145" s="102"/>
      <c r="AB145" s="102">
        <v>0</v>
      </c>
      <c r="AC145" s="102">
        <v>0</v>
      </c>
      <c r="AD145" s="102">
        <v>0</v>
      </c>
      <c r="AE145" s="102">
        <v>0</v>
      </c>
      <c r="AF145" s="102">
        <v>0</v>
      </c>
      <c r="AG145" s="102">
        <v>0</v>
      </c>
      <c r="AH145" s="102">
        <v>0</v>
      </c>
      <c r="AI145" s="102">
        <v>0</v>
      </c>
      <c r="AJ145" s="102">
        <v>0</v>
      </c>
      <c r="AK145" s="102">
        <v>0</v>
      </c>
      <c r="AL145" s="102">
        <v>0</v>
      </c>
      <c r="AM145" s="102">
        <v>0</v>
      </c>
    </row>
    <row r="146" spans="2:39" x14ac:dyDescent="0.3">
      <c r="B146" s="61" t="s">
        <v>1118</v>
      </c>
      <c r="C146" s="141" t="s">
        <v>1450</v>
      </c>
      <c r="D146" s="102" t="str">
        <f t="shared" ref="D146:F165" si="18">IF(HLOOKUP(D$5,$M$5:$Y$319,ROW()-ROW($F$4),FALSE)=0,"",HLOOKUP(D$5,$M$5:$Y$319,ROW()-ROW($F$4),FALSE))</f>
        <v/>
      </c>
      <c r="E146" s="102" t="str">
        <f t="shared" si="18"/>
        <v/>
      </c>
      <c r="F146" s="102" t="str">
        <f t="shared" si="18"/>
        <v/>
      </c>
      <c r="G146" s="155"/>
      <c r="H146" s="102" t="str">
        <f t="shared" si="17"/>
        <v/>
      </c>
      <c r="I146" s="102" t="str">
        <f t="shared" si="17"/>
        <v/>
      </c>
      <c r="J146" s="102" t="str">
        <f t="shared" ref="J146:J165" si="19">IF(HLOOKUP(J$5,$AA$5:$AM$315,ROW()-ROW($J$4),FALSE)=0,"",HLOOKUP(J$5,$AA$5:$AM$315,ROW()-ROW($J$4),FALSE))</f>
        <v/>
      </c>
      <c r="K146" s="683"/>
      <c r="M146" s="102"/>
      <c r="N146" s="102">
        <v>0</v>
      </c>
      <c r="O146" s="102">
        <v>0</v>
      </c>
      <c r="P146" s="102">
        <v>0</v>
      </c>
      <c r="Q146" s="102">
        <v>0</v>
      </c>
      <c r="R146" s="102">
        <v>0</v>
      </c>
      <c r="S146" s="102">
        <v>0</v>
      </c>
      <c r="T146" s="102">
        <v>0</v>
      </c>
      <c r="U146" s="102">
        <v>0</v>
      </c>
      <c r="V146" s="102">
        <v>0</v>
      </c>
      <c r="W146" s="102">
        <v>0</v>
      </c>
      <c r="X146" s="102">
        <v>0</v>
      </c>
      <c r="Y146" s="102">
        <v>0</v>
      </c>
      <c r="Z146" s="102"/>
      <c r="AA146" s="102"/>
      <c r="AB146" s="102">
        <v>0</v>
      </c>
      <c r="AC146" s="102">
        <v>0</v>
      </c>
      <c r="AD146" s="102">
        <v>0</v>
      </c>
      <c r="AE146" s="102">
        <v>0</v>
      </c>
      <c r="AF146" s="102">
        <v>0</v>
      </c>
      <c r="AG146" s="102">
        <v>0</v>
      </c>
      <c r="AH146" s="102">
        <v>0</v>
      </c>
      <c r="AI146" s="102">
        <v>0</v>
      </c>
      <c r="AJ146" s="102">
        <v>0</v>
      </c>
      <c r="AK146" s="102">
        <v>0</v>
      </c>
      <c r="AL146" s="102">
        <v>0</v>
      </c>
      <c r="AM146" s="102">
        <v>0</v>
      </c>
    </row>
    <row r="147" spans="2:39" x14ac:dyDescent="0.3">
      <c r="B147" s="61" t="s">
        <v>522</v>
      </c>
      <c r="C147" s="141" t="s">
        <v>1443</v>
      </c>
      <c r="D147" s="102" t="str">
        <f t="shared" si="18"/>
        <v/>
      </c>
      <c r="E147" s="102" t="str">
        <f t="shared" si="18"/>
        <v/>
      </c>
      <c r="F147" s="102" t="str">
        <f t="shared" si="18"/>
        <v/>
      </c>
      <c r="G147" s="155"/>
      <c r="H147" s="102" t="str">
        <f t="shared" si="17"/>
        <v/>
      </c>
      <c r="I147" s="102" t="str">
        <f t="shared" si="17"/>
        <v/>
      </c>
      <c r="J147" s="102" t="str">
        <f t="shared" si="19"/>
        <v/>
      </c>
      <c r="K147" s="683"/>
      <c r="M147" s="102"/>
      <c r="N147" s="102">
        <v>0</v>
      </c>
      <c r="O147" s="102">
        <v>0</v>
      </c>
      <c r="P147" s="102">
        <v>0</v>
      </c>
      <c r="Q147" s="102">
        <v>0</v>
      </c>
      <c r="R147" s="102">
        <v>0</v>
      </c>
      <c r="S147" s="102">
        <v>0</v>
      </c>
      <c r="T147" s="102">
        <v>0</v>
      </c>
      <c r="U147" s="102">
        <v>0</v>
      </c>
      <c r="V147" s="102">
        <v>0</v>
      </c>
      <c r="W147" s="102">
        <v>0</v>
      </c>
      <c r="X147" s="102">
        <v>0</v>
      </c>
      <c r="Y147" s="102">
        <v>0</v>
      </c>
      <c r="Z147" s="102"/>
      <c r="AA147" s="102"/>
      <c r="AB147" s="102">
        <v>0</v>
      </c>
      <c r="AC147" s="102">
        <v>0</v>
      </c>
      <c r="AD147" s="102">
        <v>0</v>
      </c>
      <c r="AE147" s="102">
        <v>0</v>
      </c>
      <c r="AF147" s="102">
        <v>0</v>
      </c>
      <c r="AG147" s="102">
        <v>0</v>
      </c>
      <c r="AH147" s="102">
        <v>0</v>
      </c>
      <c r="AI147" s="102">
        <v>0</v>
      </c>
      <c r="AJ147" s="102">
        <v>0</v>
      </c>
      <c r="AK147" s="102">
        <v>0</v>
      </c>
      <c r="AL147" s="102">
        <v>0</v>
      </c>
      <c r="AM147" s="102">
        <v>0</v>
      </c>
    </row>
    <row r="148" spans="2:39" x14ac:dyDescent="0.3">
      <c r="B148" s="61" t="s">
        <v>1119</v>
      </c>
      <c r="C148" s="141" t="s">
        <v>1487</v>
      </c>
      <c r="D148" s="102" t="str">
        <f t="shared" si="18"/>
        <v/>
      </c>
      <c r="E148" s="102" t="str">
        <f t="shared" si="18"/>
        <v/>
      </c>
      <c r="F148" s="102" t="str">
        <f t="shared" si="18"/>
        <v/>
      </c>
      <c r="G148" s="155"/>
      <c r="H148" s="102">
        <f t="shared" si="17"/>
        <v>854.3596</v>
      </c>
      <c r="I148" s="102">
        <f t="shared" si="17"/>
        <v>2061.6345369999999</v>
      </c>
      <c r="J148" s="102">
        <f t="shared" si="19"/>
        <v>2720.0101559999998</v>
      </c>
      <c r="K148" s="683"/>
      <c r="M148" s="102"/>
      <c r="N148" s="102">
        <v>0</v>
      </c>
      <c r="O148" s="102">
        <v>0</v>
      </c>
      <c r="P148" s="102">
        <v>0</v>
      </c>
      <c r="Q148" s="102">
        <v>0</v>
      </c>
      <c r="R148" s="102">
        <v>0</v>
      </c>
      <c r="S148" s="102">
        <v>0</v>
      </c>
      <c r="T148" s="102">
        <v>0</v>
      </c>
      <c r="U148" s="102">
        <v>0</v>
      </c>
      <c r="V148" s="102">
        <v>0</v>
      </c>
      <c r="W148" s="102">
        <v>0</v>
      </c>
      <c r="X148" s="102">
        <v>0</v>
      </c>
      <c r="Y148" s="102">
        <v>0</v>
      </c>
      <c r="Z148" s="102"/>
      <c r="AA148" s="102"/>
      <c r="AB148" s="102">
        <v>854.3596</v>
      </c>
      <c r="AC148" s="102">
        <v>255.945132</v>
      </c>
      <c r="AD148" s="102">
        <v>255.945132</v>
      </c>
      <c r="AE148" s="102">
        <v>0</v>
      </c>
      <c r="AF148" s="102">
        <v>2061.6345369999999</v>
      </c>
      <c r="AG148" s="102">
        <v>1777.7277329999999</v>
      </c>
      <c r="AH148" s="102">
        <v>930.86158699999999</v>
      </c>
      <c r="AI148" s="102">
        <v>614.87509</v>
      </c>
      <c r="AJ148" s="102">
        <v>6798.7723640000004</v>
      </c>
      <c r="AK148" s="102">
        <v>6374.2180520000002</v>
      </c>
      <c r="AL148" s="102">
        <v>4402.1308859999999</v>
      </c>
      <c r="AM148" s="102">
        <v>2720.0101559999998</v>
      </c>
    </row>
    <row r="149" spans="2:39" x14ac:dyDescent="0.3">
      <c r="B149" s="61" t="s">
        <v>1120</v>
      </c>
      <c r="C149" s="141" t="s">
        <v>1488</v>
      </c>
      <c r="D149" s="102">
        <f t="shared" si="18"/>
        <v>108806.930675</v>
      </c>
      <c r="E149" s="102">
        <f t="shared" si="18"/>
        <v>34395.898639999999</v>
      </c>
      <c r="F149" s="102">
        <f t="shared" si="18"/>
        <v>26116.614000000001</v>
      </c>
      <c r="G149" s="155"/>
      <c r="H149" s="102">
        <f t="shared" si="17"/>
        <v>110372.84320600001</v>
      </c>
      <c r="I149" s="102">
        <f t="shared" si="17"/>
        <v>34400.148639999999</v>
      </c>
      <c r="J149" s="102">
        <f t="shared" si="19"/>
        <v>31087.971579999998</v>
      </c>
      <c r="K149" s="683"/>
      <c r="M149" s="102"/>
      <c r="N149" s="102">
        <v>108806.930675</v>
      </c>
      <c r="O149" s="102">
        <v>108019.927037</v>
      </c>
      <c r="P149" s="102">
        <v>78402.933816999997</v>
      </c>
      <c r="Q149" s="102">
        <v>28790.124922999999</v>
      </c>
      <c r="R149" s="102">
        <v>34395.898639999999</v>
      </c>
      <c r="S149" s="102">
        <v>25470.448321</v>
      </c>
      <c r="T149" s="102">
        <v>8532.086088</v>
      </c>
      <c r="U149" s="102">
        <v>4400.2457690000001</v>
      </c>
      <c r="V149" s="102">
        <v>85034.514959000007</v>
      </c>
      <c r="W149" s="102">
        <v>65537.455436000004</v>
      </c>
      <c r="X149" s="102">
        <v>43640.349000000002</v>
      </c>
      <c r="Y149" s="102">
        <v>26116.614000000001</v>
      </c>
      <c r="Z149" s="102"/>
      <c r="AA149" s="102"/>
      <c r="AB149" s="102">
        <v>110372.84320600001</v>
      </c>
      <c r="AC149" s="102">
        <v>109585.839568</v>
      </c>
      <c r="AD149" s="102">
        <v>79968.846348000006</v>
      </c>
      <c r="AE149" s="102">
        <v>30356.037454000001</v>
      </c>
      <c r="AF149" s="102">
        <v>34400.148639999999</v>
      </c>
      <c r="AG149" s="102">
        <v>25470.448321</v>
      </c>
      <c r="AH149" s="102">
        <v>8536.336088</v>
      </c>
      <c r="AI149" s="102">
        <v>4404.4957690000001</v>
      </c>
      <c r="AJ149" s="102">
        <v>93110.552215999996</v>
      </c>
      <c r="AK149" s="102">
        <v>73613.492692999993</v>
      </c>
      <c r="AL149" s="102">
        <v>48611.706684999997</v>
      </c>
      <c r="AM149" s="102">
        <v>31087.971579999998</v>
      </c>
    </row>
    <row r="150" spans="2:39" x14ac:dyDescent="0.3">
      <c r="B150" s="61" t="s">
        <v>1121</v>
      </c>
      <c r="C150" s="141" t="s">
        <v>627</v>
      </c>
      <c r="D150" s="102" t="str">
        <f t="shared" si="18"/>
        <v/>
      </c>
      <c r="E150" s="102" t="str">
        <f t="shared" si="18"/>
        <v/>
      </c>
      <c r="F150" s="102" t="str">
        <f t="shared" si="18"/>
        <v/>
      </c>
      <c r="G150" s="155"/>
      <c r="H150" s="102" t="str">
        <f t="shared" si="17"/>
        <v/>
      </c>
      <c r="I150" s="102" t="str">
        <f t="shared" si="17"/>
        <v/>
      </c>
      <c r="J150" s="102" t="str">
        <f t="shared" si="19"/>
        <v/>
      </c>
      <c r="K150" s="683"/>
      <c r="M150" s="102"/>
      <c r="N150" s="102">
        <v>0</v>
      </c>
      <c r="O150" s="102">
        <v>0</v>
      </c>
      <c r="P150" s="102">
        <v>0</v>
      </c>
      <c r="Q150" s="102">
        <v>0</v>
      </c>
      <c r="R150" s="102">
        <v>0</v>
      </c>
      <c r="S150" s="102">
        <v>0</v>
      </c>
      <c r="T150" s="102">
        <v>0</v>
      </c>
      <c r="U150" s="102">
        <v>0</v>
      </c>
      <c r="V150" s="102">
        <v>0</v>
      </c>
      <c r="W150" s="102">
        <v>0</v>
      </c>
      <c r="X150" s="102">
        <v>0</v>
      </c>
      <c r="Y150" s="102">
        <v>0</v>
      </c>
      <c r="Z150" s="102"/>
      <c r="AA150" s="102"/>
      <c r="AB150" s="102">
        <v>0</v>
      </c>
      <c r="AC150" s="102">
        <v>0</v>
      </c>
      <c r="AD150" s="102">
        <v>0</v>
      </c>
      <c r="AE150" s="102"/>
      <c r="AF150" s="102">
        <v>0</v>
      </c>
      <c r="AG150" s="102"/>
      <c r="AH150" s="102"/>
      <c r="AI150" s="102"/>
      <c r="AJ150" s="102">
        <v>0</v>
      </c>
      <c r="AK150" s="102">
        <v>0</v>
      </c>
      <c r="AL150" s="102">
        <v>0</v>
      </c>
      <c r="AM150" s="102">
        <v>0</v>
      </c>
    </row>
    <row r="151" spans="2:39" x14ac:dyDescent="0.3">
      <c r="B151" s="61" t="s">
        <v>1122</v>
      </c>
      <c r="C151" s="141" t="s">
        <v>628</v>
      </c>
      <c r="D151" s="102" t="str">
        <f t="shared" si="18"/>
        <v/>
      </c>
      <c r="E151" s="102" t="str">
        <f t="shared" si="18"/>
        <v/>
      </c>
      <c r="F151" s="102" t="str">
        <f t="shared" si="18"/>
        <v/>
      </c>
      <c r="G151" s="155"/>
      <c r="H151" s="102" t="str">
        <f t="shared" si="17"/>
        <v/>
      </c>
      <c r="I151" s="102" t="str">
        <f t="shared" si="17"/>
        <v/>
      </c>
      <c r="J151" s="102" t="str">
        <f t="shared" si="19"/>
        <v/>
      </c>
      <c r="K151" s="683"/>
      <c r="M151" s="102"/>
      <c r="N151" s="102">
        <v>0</v>
      </c>
      <c r="O151" s="102">
        <v>0</v>
      </c>
      <c r="P151" s="102">
        <v>0</v>
      </c>
      <c r="Q151" s="102">
        <v>0</v>
      </c>
      <c r="R151" s="102">
        <v>0</v>
      </c>
      <c r="S151" s="102">
        <v>0</v>
      </c>
      <c r="T151" s="102">
        <v>0</v>
      </c>
      <c r="U151" s="102">
        <v>0</v>
      </c>
      <c r="V151" s="102">
        <v>0</v>
      </c>
      <c r="W151" s="102">
        <v>0</v>
      </c>
      <c r="X151" s="102">
        <v>0</v>
      </c>
      <c r="Y151" s="102">
        <v>0</v>
      </c>
      <c r="Z151" s="102"/>
      <c r="AA151" s="102"/>
      <c r="AB151" s="102">
        <v>0</v>
      </c>
      <c r="AC151" s="102">
        <v>0</v>
      </c>
      <c r="AD151" s="102">
        <v>0</v>
      </c>
      <c r="AE151" s="102"/>
      <c r="AF151" s="102">
        <v>0</v>
      </c>
      <c r="AG151" s="102"/>
      <c r="AH151" s="102"/>
      <c r="AI151" s="102"/>
      <c r="AJ151" s="102">
        <v>0</v>
      </c>
      <c r="AK151" s="102">
        <v>0</v>
      </c>
      <c r="AL151" s="102">
        <v>0</v>
      </c>
      <c r="AM151" s="102">
        <v>0</v>
      </c>
    </row>
    <row r="152" spans="2:39" x14ac:dyDescent="0.3">
      <c r="B152" s="61" t="s">
        <v>702</v>
      </c>
      <c r="C152" s="141" t="s">
        <v>1486</v>
      </c>
      <c r="D152" s="102" t="str">
        <f t="shared" si="18"/>
        <v/>
      </c>
      <c r="E152" s="102">
        <f t="shared" si="18"/>
        <v>51.401952999999999</v>
      </c>
      <c r="F152" s="102">
        <f t="shared" si="18"/>
        <v>3.9430000000000001</v>
      </c>
      <c r="G152" s="155"/>
      <c r="H152" s="102" t="str">
        <f t="shared" si="17"/>
        <v/>
      </c>
      <c r="I152" s="102" t="str">
        <f t="shared" si="17"/>
        <v/>
      </c>
      <c r="J152" s="102" t="str">
        <f t="shared" si="19"/>
        <v/>
      </c>
      <c r="K152" s="683"/>
      <c r="M152" s="102"/>
      <c r="N152" s="102">
        <v>0</v>
      </c>
      <c r="O152" s="102">
        <v>0</v>
      </c>
      <c r="P152" s="102">
        <v>0</v>
      </c>
      <c r="Q152" s="102">
        <v>0</v>
      </c>
      <c r="R152" s="102">
        <v>51.401952999999999</v>
      </c>
      <c r="S152" s="102">
        <v>51.401952999999999</v>
      </c>
      <c r="T152" s="102">
        <v>51.401952999999999</v>
      </c>
      <c r="U152" s="102">
        <v>47.420720000000003</v>
      </c>
      <c r="V152" s="102">
        <v>71.368314999999996</v>
      </c>
      <c r="W152" s="102">
        <v>71.368314999999996</v>
      </c>
      <c r="X152" s="102">
        <v>26.140999999999998</v>
      </c>
      <c r="Y152" s="102">
        <v>3.9430000000000001</v>
      </c>
      <c r="Z152" s="102"/>
      <c r="AA152" s="102"/>
      <c r="AB152" s="102">
        <v>0</v>
      </c>
      <c r="AC152" s="102">
        <v>0</v>
      </c>
      <c r="AD152" s="102">
        <v>0</v>
      </c>
      <c r="AE152" s="102"/>
      <c r="AF152" s="102">
        <v>0</v>
      </c>
      <c r="AG152" s="102"/>
      <c r="AH152" s="102"/>
      <c r="AI152" s="102"/>
      <c r="AJ152" s="102">
        <v>0</v>
      </c>
      <c r="AK152" s="102">
        <v>0</v>
      </c>
      <c r="AL152" s="102">
        <v>0</v>
      </c>
      <c r="AM152" s="102">
        <v>0</v>
      </c>
    </row>
    <row r="153" spans="2:39" x14ac:dyDescent="0.3">
      <c r="B153" s="61" t="s">
        <v>703</v>
      </c>
      <c r="C153" s="141" t="s">
        <v>630</v>
      </c>
      <c r="D153" s="102">
        <f t="shared" si="18"/>
        <v>108806.930675</v>
      </c>
      <c r="E153" s="102">
        <f t="shared" si="18"/>
        <v>34342.507686999998</v>
      </c>
      <c r="F153" s="102">
        <f t="shared" si="18"/>
        <v>26099.023000000001</v>
      </c>
      <c r="G153" s="155"/>
      <c r="H153" s="102" t="str">
        <f t="shared" si="17"/>
        <v/>
      </c>
      <c r="I153" s="102" t="str">
        <f t="shared" si="17"/>
        <v/>
      </c>
      <c r="J153" s="102" t="str">
        <f t="shared" si="19"/>
        <v/>
      </c>
      <c r="K153" s="683"/>
      <c r="M153" s="102"/>
      <c r="N153" s="102">
        <v>108806.930675</v>
      </c>
      <c r="O153" s="102">
        <v>108019.927037</v>
      </c>
      <c r="P153" s="102">
        <v>78402.933816999997</v>
      </c>
      <c r="Q153" s="102">
        <v>28790.124922999999</v>
      </c>
      <c r="R153" s="102">
        <v>34342.507686999998</v>
      </c>
      <c r="S153" s="102">
        <v>25417.057368000002</v>
      </c>
      <c r="T153" s="102">
        <v>8478.6951349999999</v>
      </c>
      <c r="U153" s="102">
        <v>4350.8360489999995</v>
      </c>
      <c r="V153" s="102">
        <v>84928.680689000001</v>
      </c>
      <c r="W153" s="102">
        <v>65437.369620999998</v>
      </c>
      <c r="X153" s="102">
        <v>43596.483999999997</v>
      </c>
      <c r="Y153" s="102">
        <v>26099.023000000001</v>
      </c>
      <c r="Z153" s="102"/>
      <c r="AA153" s="102"/>
      <c r="AB153" s="102">
        <v>0</v>
      </c>
      <c r="AC153" s="102">
        <v>0</v>
      </c>
      <c r="AD153" s="102">
        <v>0</v>
      </c>
      <c r="AE153" s="102"/>
      <c r="AF153" s="102">
        <v>0</v>
      </c>
      <c r="AG153" s="102"/>
      <c r="AH153" s="102"/>
      <c r="AI153" s="102"/>
      <c r="AJ153" s="102">
        <v>0</v>
      </c>
      <c r="AK153" s="102">
        <v>0</v>
      </c>
      <c r="AL153" s="102">
        <v>0</v>
      </c>
      <c r="AM153" s="102">
        <v>0</v>
      </c>
    </row>
    <row r="154" spans="2:39" x14ac:dyDescent="0.3">
      <c r="B154" s="61" t="s">
        <v>704</v>
      </c>
      <c r="C154" s="141" t="s">
        <v>631</v>
      </c>
      <c r="D154" s="102" t="str">
        <f t="shared" si="18"/>
        <v/>
      </c>
      <c r="E154" s="102" t="str">
        <f t="shared" si="18"/>
        <v/>
      </c>
      <c r="F154" s="102" t="str">
        <f t="shared" si="18"/>
        <v/>
      </c>
      <c r="G154" s="155"/>
      <c r="H154" s="102" t="str">
        <f t="shared" si="17"/>
        <v/>
      </c>
      <c r="I154" s="102" t="str">
        <f t="shared" si="17"/>
        <v/>
      </c>
      <c r="J154" s="102" t="str">
        <f t="shared" si="19"/>
        <v/>
      </c>
      <c r="K154" s="683"/>
      <c r="M154" s="102"/>
      <c r="N154" s="102">
        <v>0</v>
      </c>
      <c r="O154" s="102">
        <v>0</v>
      </c>
      <c r="P154" s="102">
        <v>0</v>
      </c>
      <c r="Q154" s="102">
        <v>0</v>
      </c>
      <c r="R154" s="102">
        <v>0</v>
      </c>
      <c r="S154" s="102">
        <v>0</v>
      </c>
      <c r="T154" s="102">
        <v>0</v>
      </c>
      <c r="U154" s="102">
        <v>0</v>
      </c>
      <c r="V154" s="102">
        <v>0</v>
      </c>
      <c r="W154" s="102">
        <v>0</v>
      </c>
      <c r="X154" s="102">
        <v>0</v>
      </c>
      <c r="Y154" s="102">
        <v>0</v>
      </c>
      <c r="Z154" s="102"/>
      <c r="AA154" s="102"/>
      <c r="AB154" s="102">
        <v>0</v>
      </c>
      <c r="AC154" s="102">
        <v>0</v>
      </c>
      <c r="AD154" s="102">
        <v>0</v>
      </c>
      <c r="AE154" s="102"/>
      <c r="AF154" s="102">
        <v>0</v>
      </c>
      <c r="AG154" s="102"/>
      <c r="AH154" s="102"/>
      <c r="AI154" s="102"/>
      <c r="AJ154" s="102">
        <v>0</v>
      </c>
      <c r="AK154" s="102">
        <v>0</v>
      </c>
      <c r="AL154" s="102">
        <v>0</v>
      </c>
      <c r="AM154" s="102">
        <v>0</v>
      </c>
    </row>
    <row r="155" spans="2:39" x14ac:dyDescent="0.3">
      <c r="B155" s="61" t="s">
        <v>705</v>
      </c>
      <c r="C155" s="141" t="s">
        <v>632</v>
      </c>
      <c r="D155" s="102" t="str">
        <f t="shared" si="18"/>
        <v/>
      </c>
      <c r="E155" s="102" t="str">
        <f t="shared" si="18"/>
        <v/>
      </c>
      <c r="F155" s="102" t="str">
        <f t="shared" si="18"/>
        <v/>
      </c>
      <c r="G155" s="155"/>
      <c r="H155" s="102" t="str">
        <f t="shared" si="17"/>
        <v/>
      </c>
      <c r="I155" s="102" t="str">
        <f t="shared" si="17"/>
        <v/>
      </c>
      <c r="J155" s="102" t="str">
        <f t="shared" si="19"/>
        <v/>
      </c>
      <c r="K155" s="683"/>
      <c r="M155" s="102"/>
      <c r="N155" s="102">
        <v>0</v>
      </c>
      <c r="O155" s="102">
        <v>0</v>
      </c>
      <c r="P155" s="102">
        <v>0</v>
      </c>
      <c r="Q155" s="102">
        <v>0</v>
      </c>
      <c r="R155" s="102">
        <v>0</v>
      </c>
      <c r="S155" s="102">
        <v>0</v>
      </c>
      <c r="T155" s="102">
        <v>0</v>
      </c>
      <c r="U155" s="102">
        <v>0</v>
      </c>
      <c r="V155" s="102">
        <v>0</v>
      </c>
      <c r="W155" s="102">
        <v>0</v>
      </c>
      <c r="X155" s="102">
        <v>0</v>
      </c>
      <c r="Y155" s="102">
        <v>0</v>
      </c>
      <c r="Z155" s="102"/>
      <c r="AA155" s="102"/>
      <c r="AB155" s="102">
        <v>0</v>
      </c>
      <c r="AC155" s="102">
        <v>0</v>
      </c>
      <c r="AD155" s="102">
        <v>0</v>
      </c>
      <c r="AE155" s="102"/>
      <c r="AF155" s="102">
        <v>0</v>
      </c>
      <c r="AG155" s="102"/>
      <c r="AH155" s="102"/>
      <c r="AI155" s="102"/>
      <c r="AJ155" s="102">
        <v>0</v>
      </c>
      <c r="AK155" s="102">
        <v>0</v>
      </c>
      <c r="AL155" s="102">
        <v>0</v>
      </c>
      <c r="AM155" s="102">
        <v>0</v>
      </c>
    </row>
    <row r="156" spans="2:39" x14ac:dyDescent="0.3">
      <c r="B156" s="61" t="s">
        <v>706</v>
      </c>
      <c r="C156" s="141" t="s">
        <v>633</v>
      </c>
      <c r="D156" s="102" t="str">
        <f t="shared" si="18"/>
        <v/>
      </c>
      <c r="E156" s="102">
        <f t="shared" si="18"/>
        <v>1.9890000000000001</v>
      </c>
      <c r="F156" s="102">
        <f t="shared" si="18"/>
        <v>13.648</v>
      </c>
      <c r="G156" s="155"/>
      <c r="H156" s="102" t="str">
        <f t="shared" si="17"/>
        <v/>
      </c>
      <c r="I156" s="102" t="str">
        <f t="shared" si="17"/>
        <v/>
      </c>
      <c r="J156" s="102" t="str">
        <f t="shared" si="19"/>
        <v/>
      </c>
      <c r="K156" s="683"/>
      <c r="M156" s="102"/>
      <c r="N156" s="102">
        <v>0</v>
      </c>
      <c r="O156" s="102">
        <v>0</v>
      </c>
      <c r="P156" s="102">
        <v>0</v>
      </c>
      <c r="Q156" s="102">
        <v>0</v>
      </c>
      <c r="R156" s="102">
        <v>1.9890000000000001</v>
      </c>
      <c r="S156" s="102">
        <v>1.9890000000000001</v>
      </c>
      <c r="T156" s="102">
        <v>1.9890000000000001</v>
      </c>
      <c r="U156" s="102">
        <v>1.9890000000000001</v>
      </c>
      <c r="V156" s="102">
        <v>34.465955000000001</v>
      </c>
      <c r="W156" s="102">
        <v>28.717500000000001</v>
      </c>
      <c r="X156" s="102">
        <v>17.724</v>
      </c>
      <c r="Y156" s="102">
        <v>13.648</v>
      </c>
      <c r="Z156" s="102"/>
      <c r="AA156" s="102"/>
      <c r="AB156" s="102">
        <v>0</v>
      </c>
      <c r="AC156" s="102">
        <v>0</v>
      </c>
      <c r="AD156" s="102">
        <v>0</v>
      </c>
      <c r="AE156" s="102"/>
      <c r="AF156" s="102">
        <v>0</v>
      </c>
      <c r="AG156" s="102"/>
      <c r="AH156" s="102"/>
      <c r="AI156" s="102"/>
      <c r="AJ156" s="102">
        <v>0</v>
      </c>
      <c r="AK156" s="102">
        <v>0</v>
      </c>
      <c r="AL156" s="102">
        <v>0</v>
      </c>
      <c r="AM156" s="102">
        <v>0</v>
      </c>
    </row>
    <row r="157" spans="2:39" x14ac:dyDescent="0.3">
      <c r="B157" s="61" t="s">
        <v>1123</v>
      </c>
      <c r="C157" s="141" t="s">
        <v>1489</v>
      </c>
      <c r="D157" s="102">
        <f t="shared" si="18"/>
        <v>63777.906869000006</v>
      </c>
      <c r="E157" s="102">
        <f t="shared" si="18"/>
        <v>2545.3279980000002</v>
      </c>
      <c r="F157" s="102">
        <f t="shared" si="18"/>
        <v>8463.3819999999996</v>
      </c>
      <c r="G157" s="155"/>
      <c r="H157" s="102">
        <f t="shared" si="17"/>
        <v>92326.380617000003</v>
      </c>
      <c r="I157" s="102">
        <f t="shared" si="17"/>
        <v>12087.183749</v>
      </c>
      <c r="J157" s="102">
        <f t="shared" si="19"/>
        <v>8576.3239020000001</v>
      </c>
      <c r="K157" s="683"/>
      <c r="M157" s="102"/>
      <c r="N157" s="102">
        <v>63777.906869000006</v>
      </c>
      <c r="O157" s="102">
        <v>88230.119005</v>
      </c>
      <c r="P157" s="102">
        <v>201503.70384200002</v>
      </c>
      <c r="Q157" s="102">
        <v>6437.8622460000006</v>
      </c>
      <c r="R157" s="102">
        <v>2545.3279980000002</v>
      </c>
      <c r="S157" s="102">
        <v>52454.188738999997</v>
      </c>
      <c r="T157" s="102">
        <v>1450.0059220000001</v>
      </c>
      <c r="U157" s="102">
        <v>846.30776100000003</v>
      </c>
      <c r="V157" s="102">
        <v>70989.141174999997</v>
      </c>
      <c r="W157" s="102">
        <v>5556.9572980000003</v>
      </c>
      <c r="X157" s="102">
        <v>13500.717000000001</v>
      </c>
      <c r="Y157" s="102">
        <v>8463.3819999999996</v>
      </c>
      <c r="Z157" s="102"/>
      <c r="AA157" s="102"/>
      <c r="AB157" s="102">
        <v>92326.380617000003</v>
      </c>
      <c r="AC157" s="102">
        <v>114197.406804</v>
      </c>
      <c r="AD157" s="102">
        <v>227470.991641</v>
      </c>
      <c r="AE157" s="102">
        <v>6437.8622459999997</v>
      </c>
      <c r="AF157" s="102">
        <v>12087.183749</v>
      </c>
      <c r="AG157" s="102">
        <v>62000.29449</v>
      </c>
      <c r="AH157" s="102">
        <v>1563.865517</v>
      </c>
      <c r="AI157" s="102">
        <v>960.16735600000004</v>
      </c>
      <c r="AJ157" s="102">
        <v>80634.213008999999</v>
      </c>
      <c r="AK157" s="102">
        <v>6912.2584310000002</v>
      </c>
      <c r="AL157" s="102">
        <v>14756.423706</v>
      </c>
      <c r="AM157" s="102">
        <v>8576.3239020000001</v>
      </c>
    </row>
    <row r="158" spans="2:39" x14ac:dyDescent="0.3">
      <c r="B158" s="61" t="s">
        <v>1124</v>
      </c>
      <c r="C158" s="141" t="s">
        <v>634</v>
      </c>
      <c r="D158" s="102" t="str">
        <f t="shared" si="18"/>
        <v/>
      </c>
      <c r="E158" s="102" t="str">
        <f t="shared" si="18"/>
        <v/>
      </c>
      <c r="F158" s="102" t="str">
        <f t="shared" si="18"/>
        <v/>
      </c>
      <c r="G158" s="155"/>
      <c r="H158" s="102" t="str">
        <f t="shared" si="17"/>
        <v/>
      </c>
      <c r="I158" s="102" t="str">
        <f t="shared" si="17"/>
        <v/>
      </c>
      <c r="J158" s="102" t="str">
        <f t="shared" si="19"/>
        <v/>
      </c>
      <c r="K158" s="683"/>
      <c r="M158" s="102"/>
      <c r="N158" s="102">
        <v>0</v>
      </c>
      <c r="O158" s="102">
        <v>0</v>
      </c>
      <c r="P158" s="102">
        <v>0</v>
      </c>
      <c r="Q158" s="102">
        <v>0</v>
      </c>
      <c r="R158" s="102">
        <v>0</v>
      </c>
      <c r="S158" s="102">
        <v>0</v>
      </c>
      <c r="T158" s="102">
        <v>0</v>
      </c>
      <c r="U158" s="102">
        <v>0</v>
      </c>
      <c r="V158" s="102">
        <v>0</v>
      </c>
      <c r="W158" s="102">
        <v>0</v>
      </c>
      <c r="X158" s="102">
        <v>0</v>
      </c>
      <c r="Y158" s="102">
        <v>0</v>
      </c>
      <c r="Z158" s="102"/>
      <c r="AA158" s="102"/>
      <c r="AB158" s="102">
        <v>0</v>
      </c>
      <c r="AC158" s="102">
        <v>0</v>
      </c>
      <c r="AD158" s="102">
        <v>0</v>
      </c>
      <c r="AE158" s="102"/>
      <c r="AF158" s="102">
        <v>0</v>
      </c>
      <c r="AG158" s="102"/>
      <c r="AH158" s="102"/>
      <c r="AI158" s="102"/>
      <c r="AJ158" s="102">
        <v>0</v>
      </c>
      <c r="AK158" s="102">
        <v>0</v>
      </c>
      <c r="AL158" s="102">
        <v>0</v>
      </c>
      <c r="AM158" s="102">
        <v>0</v>
      </c>
    </row>
    <row r="159" spans="2:39" x14ac:dyDescent="0.3">
      <c r="B159" s="61" t="s">
        <v>1125</v>
      </c>
      <c r="C159" s="141" t="s">
        <v>635</v>
      </c>
      <c r="D159" s="102" t="str">
        <f t="shared" si="18"/>
        <v/>
      </c>
      <c r="E159" s="102" t="str">
        <f t="shared" si="18"/>
        <v/>
      </c>
      <c r="F159" s="102" t="str">
        <f t="shared" si="18"/>
        <v/>
      </c>
      <c r="G159" s="155"/>
      <c r="H159" s="102" t="str">
        <f t="shared" si="17"/>
        <v/>
      </c>
      <c r="I159" s="102" t="str">
        <f t="shared" si="17"/>
        <v/>
      </c>
      <c r="J159" s="102" t="str">
        <f t="shared" si="19"/>
        <v/>
      </c>
      <c r="K159" s="683"/>
      <c r="M159" s="102"/>
      <c r="N159" s="102">
        <v>0</v>
      </c>
      <c r="O159" s="102">
        <v>0</v>
      </c>
      <c r="P159" s="102">
        <v>0</v>
      </c>
      <c r="Q159" s="102">
        <v>0</v>
      </c>
      <c r="R159" s="102">
        <v>0</v>
      </c>
      <c r="S159" s="102">
        <v>0</v>
      </c>
      <c r="T159" s="102">
        <v>0</v>
      </c>
      <c r="U159" s="102">
        <v>0</v>
      </c>
      <c r="V159" s="102">
        <v>0</v>
      </c>
      <c r="W159" s="102">
        <v>0</v>
      </c>
      <c r="X159" s="102">
        <v>0</v>
      </c>
      <c r="Y159" s="102">
        <v>0</v>
      </c>
      <c r="Z159" s="102"/>
      <c r="AA159" s="102"/>
      <c r="AB159" s="102">
        <v>0</v>
      </c>
      <c r="AC159" s="102">
        <v>0</v>
      </c>
      <c r="AD159" s="102">
        <v>0</v>
      </c>
      <c r="AE159" s="102"/>
      <c r="AF159" s="102">
        <v>0</v>
      </c>
      <c r="AG159" s="102"/>
      <c r="AH159" s="102"/>
      <c r="AI159" s="102"/>
      <c r="AJ159" s="102">
        <v>0</v>
      </c>
      <c r="AK159" s="102">
        <v>0</v>
      </c>
      <c r="AL159" s="102">
        <v>0</v>
      </c>
      <c r="AM159" s="102">
        <v>0</v>
      </c>
    </row>
    <row r="160" spans="2:39" x14ac:dyDescent="0.3">
      <c r="B160" s="61" t="s">
        <v>702</v>
      </c>
      <c r="C160" s="141" t="s">
        <v>629</v>
      </c>
      <c r="D160" s="102">
        <f t="shared" si="18"/>
        <v>8.9866849999999996</v>
      </c>
      <c r="E160" s="102">
        <f t="shared" si="18"/>
        <v>12.173316999999999</v>
      </c>
      <c r="F160" s="102">
        <f t="shared" si="18"/>
        <v>2759.3609999999999</v>
      </c>
      <c r="G160" s="155"/>
      <c r="H160" s="102" t="str">
        <f t="shared" si="17"/>
        <v/>
      </c>
      <c r="I160" s="102" t="str">
        <f t="shared" si="17"/>
        <v/>
      </c>
      <c r="J160" s="102" t="str">
        <f t="shared" si="19"/>
        <v/>
      </c>
      <c r="K160" s="683"/>
      <c r="M160" s="102"/>
      <c r="N160" s="102">
        <v>8.9866849999999996</v>
      </c>
      <c r="O160" s="102">
        <v>9.7962299999999995</v>
      </c>
      <c r="P160" s="102">
        <v>61.310114999999996</v>
      </c>
      <c r="Q160" s="102">
        <v>342.16589600000003</v>
      </c>
      <c r="R160" s="102">
        <v>12.173316999999999</v>
      </c>
      <c r="S160" s="102">
        <v>10.105752000000001</v>
      </c>
      <c r="T160" s="102">
        <v>5.2355789999999995</v>
      </c>
      <c r="U160" s="102">
        <v>2.0281120000000001</v>
      </c>
      <c r="V160" s="102">
        <v>1810.1069110000001</v>
      </c>
      <c r="W160" s="102">
        <v>0</v>
      </c>
      <c r="X160" s="102">
        <v>0.10299999999999999</v>
      </c>
      <c r="Y160" s="102">
        <v>2759.3609999999999</v>
      </c>
      <c r="Z160" s="102"/>
      <c r="AA160" s="102"/>
      <c r="AB160" s="102">
        <v>0</v>
      </c>
      <c r="AC160" s="102">
        <v>0</v>
      </c>
      <c r="AD160" s="102">
        <v>0</v>
      </c>
      <c r="AE160" s="102"/>
      <c r="AF160" s="102">
        <v>0</v>
      </c>
      <c r="AG160" s="102"/>
      <c r="AH160" s="102"/>
      <c r="AI160" s="102"/>
      <c r="AJ160" s="102">
        <v>0</v>
      </c>
      <c r="AK160" s="102">
        <v>0</v>
      </c>
      <c r="AL160" s="102">
        <v>0</v>
      </c>
      <c r="AM160" s="102">
        <v>0</v>
      </c>
    </row>
    <row r="161" spans="2:39" x14ac:dyDescent="0.3">
      <c r="B161" s="61" t="s">
        <v>703</v>
      </c>
      <c r="C161" s="141" t="s">
        <v>630</v>
      </c>
      <c r="D161" s="102">
        <f t="shared" si="18"/>
        <v>63768.920184000002</v>
      </c>
      <c r="E161" s="102">
        <f t="shared" si="18"/>
        <v>2528.904681</v>
      </c>
      <c r="F161" s="102">
        <f t="shared" si="18"/>
        <v>4893.366</v>
      </c>
      <c r="G161" s="155"/>
      <c r="H161" s="102" t="str">
        <f t="shared" si="17"/>
        <v/>
      </c>
      <c r="I161" s="102" t="str">
        <f t="shared" si="17"/>
        <v/>
      </c>
      <c r="J161" s="102" t="str">
        <f t="shared" si="19"/>
        <v/>
      </c>
      <c r="K161" s="683"/>
      <c r="M161" s="102"/>
      <c r="N161" s="102">
        <v>63768.920184000002</v>
      </c>
      <c r="O161" s="102">
        <v>88220.322775000008</v>
      </c>
      <c r="P161" s="102">
        <v>201442.39372699999</v>
      </c>
      <c r="Q161" s="102">
        <v>6095.6963499999993</v>
      </c>
      <c r="R161" s="102">
        <v>2528.904681</v>
      </c>
      <c r="S161" s="102">
        <v>52439.832987000002</v>
      </c>
      <c r="T161" s="102">
        <v>1440.5203430000001</v>
      </c>
      <c r="U161" s="102">
        <v>840.02964899999995</v>
      </c>
      <c r="V161" s="102">
        <v>66793.338243000006</v>
      </c>
      <c r="W161" s="102">
        <v>3732.9914880000001</v>
      </c>
      <c r="X161" s="102">
        <v>12138.932000000001</v>
      </c>
      <c r="Y161" s="102">
        <v>4893.366</v>
      </c>
      <c r="Z161" s="102"/>
      <c r="AA161" s="102"/>
      <c r="AB161" s="102">
        <v>0</v>
      </c>
      <c r="AC161" s="102">
        <v>0</v>
      </c>
      <c r="AD161" s="102">
        <v>0</v>
      </c>
      <c r="AE161" s="102"/>
      <c r="AF161" s="102">
        <v>0</v>
      </c>
      <c r="AG161" s="102"/>
      <c r="AH161" s="102"/>
      <c r="AI161" s="102"/>
      <c r="AJ161" s="102">
        <v>0</v>
      </c>
      <c r="AK161" s="102">
        <v>0</v>
      </c>
      <c r="AL161" s="102">
        <v>0</v>
      </c>
      <c r="AM161" s="102">
        <v>0</v>
      </c>
    </row>
    <row r="162" spans="2:39" x14ac:dyDescent="0.3">
      <c r="B162" s="61" t="s">
        <v>704</v>
      </c>
      <c r="C162" s="141" t="s">
        <v>631</v>
      </c>
      <c r="D162" s="102" t="str">
        <f t="shared" si="18"/>
        <v/>
      </c>
      <c r="E162" s="102" t="str">
        <f t="shared" si="18"/>
        <v/>
      </c>
      <c r="F162" s="102" t="str">
        <f t="shared" si="18"/>
        <v/>
      </c>
      <c r="G162" s="155"/>
      <c r="H162" s="102" t="str">
        <f t="shared" si="17"/>
        <v/>
      </c>
      <c r="I162" s="102" t="str">
        <f t="shared" si="17"/>
        <v/>
      </c>
      <c r="J162" s="102" t="str">
        <f t="shared" si="19"/>
        <v/>
      </c>
      <c r="K162" s="683"/>
      <c r="M162" s="102"/>
      <c r="N162" s="102">
        <v>0</v>
      </c>
      <c r="O162" s="102">
        <v>0</v>
      </c>
      <c r="P162" s="102">
        <v>0</v>
      </c>
      <c r="Q162" s="102">
        <v>0</v>
      </c>
      <c r="R162" s="102">
        <v>0</v>
      </c>
      <c r="S162" s="102">
        <v>0</v>
      </c>
      <c r="T162" s="102">
        <v>0</v>
      </c>
      <c r="U162" s="102">
        <v>0</v>
      </c>
      <c r="V162" s="102">
        <v>0</v>
      </c>
      <c r="W162" s="102">
        <v>0</v>
      </c>
      <c r="X162" s="102">
        <v>0</v>
      </c>
      <c r="Y162" s="102">
        <v>0</v>
      </c>
      <c r="Z162" s="102"/>
      <c r="AA162" s="102"/>
      <c r="AB162" s="102">
        <v>0</v>
      </c>
      <c r="AC162" s="102">
        <v>0</v>
      </c>
      <c r="AD162" s="102">
        <v>0</v>
      </c>
      <c r="AE162" s="102"/>
      <c r="AF162" s="102">
        <v>0</v>
      </c>
      <c r="AG162" s="102"/>
      <c r="AH162" s="102"/>
      <c r="AI162" s="102"/>
      <c r="AJ162" s="102">
        <v>0</v>
      </c>
      <c r="AK162" s="102">
        <v>0</v>
      </c>
      <c r="AL162" s="102">
        <v>0</v>
      </c>
      <c r="AM162" s="102">
        <v>0</v>
      </c>
    </row>
    <row r="163" spans="2:39" x14ac:dyDescent="0.3">
      <c r="B163" s="61" t="s">
        <v>705</v>
      </c>
      <c r="C163" s="141" t="s">
        <v>632</v>
      </c>
      <c r="D163" s="102" t="str">
        <f t="shared" si="18"/>
        <v/>
      </c>
      <c r="E163" s="102" t="str">
        <f t="shared" si="18"/>
        <v/>
      </c>
      <c r="F163" s="102" t="str">
        <f t="shared" si="18"/>
        <v/>
      </c>
      <c r="G163" s="155"/>
      <c r="H163" s="102" t="str">
        <f t="shared" si="17"/>
        <v/>
      </c>
      <c r="I163" s="102" t="str">
        <f t="shared" si="17"/>
        <v/>
      </c>
      <c r="J163" s="102" t="str">
        <f t="shared" si="19"/>
        <v/>
      </c>
      <c r="K163" s="683"/>
      <c r="M163" s="102"/>
      <c r="N163" s="102">
        <v>0</v>
      </c>
      <c r="O163" s="102">
        <v>0</v>
      </c>
      <c r="P163" s="102">
        <v>0</v>
      </c>
      <c r="Q163" s="102">
        <v>0</v>
      </c>
      <c r="R163" s="102">
        <v>0</v>
      </c>
      <c r="S163" s="102">
        <v>0</v>
      </c>
      <c r="T163" s="102">
        <v>0</v>
      </c>
      <c r="U163" s="102">
        <v>0</v>
      </c>
      <c r="V163" s="102">
        <v>0</v>
      </c>
      <c r="W163" s="102">
        <v>0</v>
      </c>
      <c r="X163" s="102">
        <v>0</v>
      </c>
      <c r="Y163" s="102">
        <v>0</v>
      </c>
      <c r="Z163" s="102"/>
      <c r="AA163" s="102"/>
      <c r="AB163" s="102">
        <v>0</v>
      </c>
      <c r="AC163" s="102">
        <v>0</v>
      </c>
      <c r="AD163" s="102">
        <v>0</v>
      </c>
      <c r="AE163" s="102"/>
      <c r="AF163" s="102">
        <v>0</v>
      </c>
      <c r="AG163" s="102"/>
      <c r="AH163" s="102"/>
      <c r="AI163" s="102"/>
      <c r="AJ163" s="102">
        <v>0</v>
      </c>
      <c r="AK163" s="102">
        <v>0</v>
      </c>
      <c r="AL163" s="102">
        <v>0</v>
      </c>
      <c r="AM163" s="102">
        <v>0</v>
      </c>
    </row>
    <row r="164" spans="2:39" x14ac:dyDescent="0.3">
      <c r="B164" s="61" t="s">
        <v>706</v>
      </c>
      <c r="C164" s="141" t="s">
        <v>633</v>
      </c>
      <c r="D164" s="102" t="str">
        <f t="shared" si="18"/>
        <v/>
      </c>
      <c r="E164" s="102">
        <f t="shared" si="18"/>
        <v>4.25</v>
      </c>
      <c r="F164" s="102">
        <f t="shared" si="18"/>
        <v>810.65599999999995</v>
      </c>
      <c r="G164" s="155"/>
      <c r="H164" s="102" t="str">
        <f t="shared" si="17"/>
        <v/>
      </c>
      <c r="I164" s="102" t="str">
        <f t="shared" si="17"/>
        <v/>
      </c>
      <c r="J164" s="102" t="str">
        <f t="shared" si="19"/>
        <v/>
      </c>
      <c r="K164" s="683"/>
      <c r="M164" s="102"/>
      <c r="N164" s="102">
        <v>0</v>
      </c>
      <c r="O164" s="102">
        <v>0</v>
      </c>
      <c r="P164" s="102">
        <v>0</v>
      </c>
      <c r="Q164" s="102">
        <v>0</v>
      </c>
      <c r="R164" s="102">
        <v>4.25</v>
      </c>
      <c r="S164" s="102">
        <v>4.25</v>
      </c>
      <c r="T164" s="102">
        <v>4.25</v>
      </c>
      <c r="U164" s="102">
        <v>4.25</v>
      </c>
      <c r="V164" s="102">
        <v>2385.6960210000002</v>
      </c>
      <c r="W164" s="102">
        <v>1823.9658100000001</v>
      </c>
      <c r="X164" s="102">
        <v>1361.683</v>
      </c>
      <c r="Y164" s="102">
        <v>810.65599999999995</v>
      </c>
      <c r="Z164" s="102"/>
      <c r="AA164" s="102"/>
      <c r="AB164" s="102">
        <v>0</v>
      </c>
      <c r="AC164" s="102">
        <v>0</v>
      </c>
      <c r="AD164" s="102">
        <v>0</v>
      </c>
      <c r="AE164" s="102"/>
      <c r="AF164" s="102">
        <v>0</v>
      </c>
      <c r="AG164" s="102"/>
      <c r="AH164" s="102"/>
      <c r="AI164" s="102"/>
      <c r="AJ164" s="102">
        <v>0</v>
      </c>
      <c r="AK164" s="102">
        <v>0</v>
      </c>
      <c r="AL164" s="102">
        <v>0</v>
      </c>
      <c r="AM164" s="102">
        <v>0</v>
      </c>
    </row>
    <row r="165" spans="2:39" x14ac:dyDescent="0.3">
      <c r="B165" s="61" t="s">
        <v>1126</v>
      </c>
      <c r="C165" s="141" t="s">
        <v>1490</v>
      </c>
      <c r="D165" s="102">
        <f t="shared" si="18"/>
        <v>45137.003485000001</v>
      </c>
      <c r="E165" s="102">
        <f t="shared" si="18"/>
        <v>170213.520773</v>
      </c>
      <c r="F165" s="102">
        <f t="shared" si="18"/>
        <v>36988.487000000001</v>
      </c>
      <c r="G165" s="155"/>
      <c r="H165" s="102">
        <f t="shared" si="17"/>
        <v>45149.675948999997</v>
      </c>
      <c r="I165" s="102">
        <f t="shared" si="17"/>
        <v>170230.44289800001</v>
      </c>
      <c r="J165" s="102">
        <f t="shared" si="19"/>
        <v>37005.491310000005</v>
      </c>
      <c r="K165" s="683"/>
      <c r="M165" s="102"/>
      <c r="N165" s="102">
        <v>45137.003485000001</v>
      </c>
      <c r="O165" s="102">
        <v>21361.464305000001</v>
      </c>
      <c r="P165" s="102">
        <v>13053.906969</v>
      </c>
      <c r="Q165" s="102">
        <v>6280.4294620000001</v>
      </c>
      <c r="R165" s="102">
        <v>170213.520773</v>
      </c>
      <c r="S165" s="102">
        <v>118174.116062</v>
      </c>
      <c r="T165" s="102">
        <v>79718.392315000005</v>
      </c>
      <c r="U165" s="102">
        <v>29609.202402999999</v>
      </c>
      <c r="V165" s="102">
        <v>186783.54255300001</v>
      </c>
      <c r="W165" s="102">
        <v>137521.319453</v>
      </c>
      <c r="X165" s="102">
        <v>96037.32</v>
      </c>
      <c r="Y165" s="102">
        <v>36988.487000000001</v>
      </c>
      <c r="Z165" s="102"/>
      <c r="AA165" s="102"/>
      <c r="AB165" s="102">
        <v>45149.675948999997</v>
      </c>
      <c r="AC165" s="102">
        <v>21374.136769000001</v>
      </c>
      <c r="AD165" s="102">
        <v>13053.906969</v>
      </c>
      <c r="AE165" s="102">
        <v>6280.4294620000001</v>
      </c>
      <c r="AF165" s="102">
        <v>170230.44289800001</v>
      </c>
      <c r="AG165" s="102">
        <v>118191.038187</v>
      </c>
      <c r="AH165" s="102">
        <v>79735.314440000002</v>
      </c>
      <c r="AI165" s="102">
        <v>29626.124528</v>
      </c>
      <c r="AJ165" s="102">
        <v>186860.88442300001</v>
      </c>
      <c r="AK165" s="102">
        <v>137811.09201399999</v>
      </c>
      <c r="AL165" s="102">
        <v>105007.239648</v>
      </c>
      <c r="AM165" s="102">
        <v>37005.491310000005</v>
      </c>
    </row>
    <row r="166" spans="2:39" x14ac:dyDescent="0.3">
      <c r="B166" s="61" t="s">
        <v>1127</v>
      </c>
      <c r="C166" s="141" t="s">
        <v>1491</v>
      </c>
      <c r="D166" s="102">
        <f t="shared" ref="D166:F185" si="20">IF(HLOOKUP(D$5,$M$5:$Y$319,ROW()-ROW($F$4),FALSE)=0,"",HLOOKUP(D$5,$M$5:$Y$319,ROW()-ROW($F$4),FALSE))</f>
        <v>2060.6217750000001</v>
      </c>
      <c r="E166" s="102">
        <f t="shared" si="20"/>
        <v>236253.60334200002</v>
      </c>
      <c r="F166" s="102">
        <f t="shared" si="20"/>
        <v>69461.274999999994</v>
      </c>
      <c r="G166" s="155"/>
      <c r="H166" s="102">
        <f t="shared" si="17"/>
        <v>16293.995218</v>
      </c>
      <c r="I166" s="102">
        <f t="shared" si="17"/>
        <v>277788.868006</v>
      </c>
      <c r="J166" s="102">
        <f t="shared" ref="J166:J185" si="21">IF(HLOOKUP(J$5,$AA$5:$AM$315,ROW()-ROW($J$4),FALSE)=0,"",HLOOKUP(J$5,$AA$5:$AM$315,ROW()-ROW($J$4),FALSE))</f>
        <v>75453.703521000003</v>
      </c>
      <c r="K166" s="683"/>
      <c r="M166" s="102"/>
      <c r="N166" s="102">
        <v>2060.6217750000001</v>
      </c>
      <c r="O166" s="102">
        <v>1378.78388</v>
      </c>
      <c r="P166" s="102">
        <v>949.96265700000004</v>
      </c>
      <c r="Q166" s="102">
        <v>1942.8388480000001</v>
      </c>
      <c r="R166" s="102">
        <v>236253.60334200002</v>
      </c>
      <c r="S166" s="102">
        <v>40892.112170999993</v>
      </c>
      <c r="T166" s="102">
        <v>130427.753604</v>
      </c>
      <c r="U166" s="102">
        <v>75200.421099999992</v>
      </c>
      <c r="V166" s="102">
        <v>31094.757756999999</v>
      </c>
      <c r="W166" s="102">
        <v>134767.57267300002</v>
      </c>
      <c r="X166" s="102">
        <v>83915.342999999993</v>
      </c>
      <c r="Y166" s="102">
        <v>69461.274999999994</v>
      </c>
      <c r="Z166" s="102"/>
      <c r="AA166" s="102"/>
      <c r="AB166" s="102">
        <v>16293.995218</v>
      </c>
      <c r="AC166" s="102">
        <v>10110.732787000001</v>
      </c>
      <c r="AD166" s="102">
        <v>1027.7054350000001</v>
      </c>
      <c r="AE166" s="102">
        <v>2020.5816259999999</v>
      </c>
      <c r="AF166" s="102">
        <v>277788.868006</v>
      </c>
      <c r="AG166" s="102">
        <v>55443.735595999999</v>
      </c>
      <c r="AH166" s="102">
        <v>144979.377029</v>
      </c>
      <c r="AI166" s="102">
        <v>84906.812231999997</v>
      </c>
      <c r="AJ166" s="102">
        <v>53055.497660000001</v>
      </c>
      <c r="AK166" s="102">
        <v>150007.03670200001</v>
      </c>
      <c r="AL166" s="102">
        <v>90275.617809999996</v>
      </c>
      <c r="AM166" s="102">
        <v>75453.703521000003</v>
      </c>
    </row>
    <row r="167" spans="2:39" x14ac:dyDescent="0.3">
      <c r="B167" s="61" t="s">
        <v>1128</v>
      </c>
      <c r="C167" s="141" t="s">
        <v>1492</v>
      </c>
      <c r="D167" s="102" t="str">
        <f t="shared" si="20"/>
        <v/>
      </c>
      <c r="E167" s="102">
        <f t="shared" si="20"/>
        <v>24.795971000000002</v>
      </c>
      <c r="F167" s="102" t="str">
        <f t="shared" si="20"/>
        <v/>
      </c>
      <c r="G167" s="155"/>
      <c r="H167" s="102" t="str">
        <f t="shared" si="17"/>
        <v/>
      </c>
      <c r="I167" s="102">
        <f t="shared" si="17"/>
        <v>24.795971000000002</v>
      </c>
      <c r="J167" s="102" t="str">
        <f t="shared" si="21"/>
        <v/>
      </c>
      <c r="K167" s="683"/>
      <c r="M167" s="102"/>
      <c r="N167" s="102">
        <v>0</v>
      </c>
      <c r="O167" s="102">
        <v>0</v>
      </c>
      <c r="P167" s="102">
        <v>0</v>
      </c>
      <c r="Q167" s="102">
        <v>0</v>
      </c>
      <c r="R167" s="102">
        <v>24.795971000000002</v>
      </c>
      <c r="S167" s="102">
        <v>24.795971000000002</v>
      </c>
      <c r="T167" s="102">
        <v>24.795971000000002</v>
      </c>
      <c r="U167" s="102">
        <v>24.795971000000002</v>
      </c>
      <c r="V167" s="102">
        <v>0</v>
      </c>
      <c r="W167" s="102">
        <v>0</v>
      </c>
      <c r="X167" s="102">
        <v>0</v>
      </c>
      <c r="Y167" s="102">
        <v>0</v>
      </c>
      <c r="Z167" s="102"/>
      <c r="AA167" s="102"/>
      <c r="AB167" s="102">
        <v>0</v>
      </c>
      <c r="AC167" s="102">
        <v>0</v>
      </c>
      <c r="AD167" s="102">
        <v>0</v>
      </c>
      <c r="AE167" s="102">
        <v>0</v>
      </c>
      <c r="AF167" s="102">
        <v>24.795971000000002</v>
      </c>
      <c r="AG167" s="102">
        <v>24.795971000000002</v>
      </c>
      <c r="AH167" s="102">
        <v>24.795971000000002</v>
      </c>
      <c r="AI167" s="102">
        <v>24.795971000000002</v>
      </c>
      <c r="AJ167" s="102">
        <v>0</v>
      </c>
      <c r="AK167" s="102">
        <v>0</v>
      </c>
      <c r="AL167" s="102">
        <v>0</v>
      </c>
      <c r="AM167" s="102">
        <v>0</v>
      </c>
    </row>
    <row r="168" spans="2:39" x14ac:dyDescent="0.3">
      <c r="B168" s="61" t="s">
        <v>1129</v>
      </c>
      <c r="C168" s="141" t="s">
        <v>636</v>
      </c>
      <c r="D168" s="102" t="str">
        <f t="shared" si="20"/>
        <v/>
      </c>
      <c r="E168" s="102" t="str">
        <f t="shared" si="20"/>
        <v/>
      </c>
      <c r="F168" s="102" t="str">
        <f t="shared" si="20"/>
        <v/>
      </c>
      <c r="G168" s="155"/>
      <c r="H168" s="102" t="str">
        <f t="shared" si="17"/>
        <v/>
      </c>
      <c r="I168" s="102" t="str">
        <f t="shared" si="17"/>
        <v/>
      </c>
      <c r="J168" s="102" t="str">
        <f t="shared" si="21"/>
        <v/>
      </c>
      <c r="K168" s="683"/>
      <c r="M168" s="102"/>
      <c r="N168" s="102">
        <v>0</v>
      </c>
      <c r="O168" s="102">
        <v>0</v>
      </c>
      <c r="P168" s="102">
        <v>0</v>
      </c>
      <c r="Q168" s="102">
        <v>0</v>
      </c>
      <c r="R168" s="102">
        <v>0</v>
      </c>
      <c r="S168" s="102">
        <v>0</v>
      </c>
      <c r="T168" s="102">
        <v>0</v>
      </c>
      <c r="U168" s="102">
        <v>0</v>
      </c>
      <c r="V168" s="102">
        <v>0</v>
      </c>
      <c r="W168" s="102">
        <v>0</v>
      </c>
      <c r="X168" s="102">
        <v>0</v>
      </c>
      <c r="Y168" s="102">
        <v>0</v>
      </c>
      <c r="Z168" s="102"/>
      <c r="AA168" s="102"/>
      <c r="AB168" s="102">
        <v>0</v>
      </c>
      <c r="AC168" s="102">
        <v>0</v>
      </c>
      <c r="AD168" s="102">
        <v>0</v>
      </c>
      <c r="AE168" s="102">
        <v>0</v>
      </c>
      <c r="AF168" s="102">
        <v>0</v>
      </c>
      <c r="AG168" s="102">
        <v>0</v>
      </c>
      <c r="AH168" s="102">
        <v>0</v>
      </c>
      <c r="AI168" s="102">
        <v>0</v>
      </c>
      <c r="AJ168" s="102">
        <v>0</v>
      </c>
      <c r="AK168" s="102">
        <v>0</v>
      </c>
      <c r="AL168" s="102">
        <v>0</v>
      </c>
      <c r="AM168" s="102">
        <v>0</v>
      </c>
    </row>
    <row r="169" spans="2:39" x14ac:dyDescent="0.3">
      <c r="B169" s="61" t="s">
        <v>1130</v>
      </c>
      <c r="C169" s="141" t="s">
        <v>1493</v>
      </c>
      <c r="D169" s="102" t="str">
        <f t="shared" si="20"/>
        <v/>
      </c>
      <c r="E169" s="102" t="str">
        <f t="shared" si="20"/>
        <v/>
      </c>
      <c r="F169" s="102" t="str">
        <f t="shared" si="20"/>
        <v/>
      </c>
      <c r="G169" s="155"/>
      <c r="H169" s="102" t="str">
        <f t="shared" si="17"/>
        <v/>
      </c>
      <c r="I169" s="102" t="str">
        <f t="shared" si="17"/>
        <v/>
      </c>
      <c r="J169" s="102" t="str">
        <f t="shared" si="21"/>
        <v/>
      </c>
      <c r="K169" s="683"/>
      <c r="M169" s="102"/>
      <c r="N169" s="102">
        <v>0</v>
      </c>
      <c r="O169" s="102">
        <v>0</v>
      </c>
      <c r="P169" s="102">
        <v>0</v>
      </c>
      <c r="Q169" s="102">
        <v>0</v>
      </c>
      <c r="R169" s="102">
        <v>0</v>
      </c>
      <c r="S169" s="102">
        <v>0</v>
      </c>
      <c r="T169" s="102">
        <v>0</v>
      </c>
      <c r="U169" s="102">
        <v>0</v>
      </c>
      <c r="V169" s="102">
        <v>0</v>
      </c>
      <c r="W169" s="102">
        <v>0</v>
      </c>
      <c r="X169" s="102">
        <v>0</v>
      </c>
      <c r="Y169" s="102">
        <v>0</v>
      </c>
      <c r="Z169" s="102"/>
      <c r="AA169" s="102"/>
      <c r="AB169" s="102">
        <v>0</v>
      </c>
      <c r="AC169" s="102">
        <v>0</v>
      </c>
      <c r="AD169" s="102">
        <v>0</v>
      </c>
      <c r="AE169" s="102">
        <v>0</v>
      </c>
      <c r="AF169" s="102">
        <v>0</v>
      </c>
      <c r="AG169" s="102">
        <v>0</v>
      </c>
      <c r="AH169" s="102">
        <v>0</v>
      </c>
      <c r="AI169" s="102">
        <v>0</v>
      </c>
      <c r="AJ169" s="102">
        <v>0</v>
      </c>
      <c r="AK169" s="102">
        <v>0</v>
      </c>
      <c r="AL169" s="102">
        <v>0</v>
      </c>
      <c r="AM169" s="102">
        <v>0</v>
      </c>
    </row>
    <row r="170" spans="2:39" x14ac:dyDescent="0.3">
      <c r="B170" s="61" t="s">
        <v>1131</v>
      </c>
      <c r="C170" s="141" t="s">
        <v>1494</v>
      </c>
      <c r="D170" s="102">
        <f t="shared" si="20"/>
        <v>15350.037960000001</v>
      </c>
      <c r="E170" s="102">
        <f t="shared" si="20"/>
        <v>14602.637622</v>
      </c>
      <c r="F170" s="102">
        <f t="shared" si="20"/>
        <v>4004.0859999999998</v>
      </c>
      <c r="G170" s="155"/>
      <c r="H170" s="102">
        <f t="shared" si="17"/>
        <v>15350.03796</v>
      </c>
      <c r="I170" s="102">
        <f t="shared" si="17"/>
        <v>14602.637622</v>
      </c>
      <c r="J170" s="102">
        <f t="shared" si="21"/>
        <v>4004.0857590000001</v>
      </c>
      <c r="K170" s="683"/>
      <c r="M170" s="102"/>
      <c r="N170" s="102">
        <v>15350.037960000001</v>
      </c>
      <c r="O170" s="102">
        <v>11516.717970000002</v>
      </c>
      <c r="P170" s="102">
        <v>8111.5276950000007</v>
      </c>
      <c r="Q170" s="102">
        <v>4993.7686990000002</v>
      </c>
      <c r="R170" s="102">
        <v>14602.637622</v>
      </c>
      <c r="S170" s="102">
        <v>11131.421326</v>
      </c>
      <c r="T170" s="102">
        <v>7836.8241699999999</v>
      </c>
      <c r="U170" s="102">
        <v>4880.6541989999996</v>
      </c>
      <c r="V170" s="102">
        <v>12066.842097999999</v>
      </c>
      <c r="W170" s="102">
        <v>9036.7152509999996</v>
      </c>
      <c r="X170" s="102">
        <v>6509.8419999999996</v>
      </c>
      <c r="Y170" s="102">
        <v>4004.0859999999998</v>
      </c>
      <c r="Z170" s="102"/>
      <c r="AA170" s="102"/>
      <c r="AB170" s="102">
        <v>15350.03796</v>
      </c>
      <c r="AC170" s="102">
        <v>11516.71797</v>
      </c>
      <c r="AD170" s="102">
        <v>8111.5276949999998</v>
      </c>
      <c r="AE170" s="102">
        <v>4993.7686990000002</v>
      </c>
      <c r="AF170" s="102">
        <v>14602.637622</v>
      </c>
      <c r="AG170" s="102">
        <v>11131.421326</v>
      </c>
      <c r="AH170" s="102">
        <v>7836.8241699999999</v>
      </c>
      <c r="AI170" s="102">
        <v>4880.6541989999996</v>
      </c>
      <c r="AJ170" s="102">
        <v>12066.842097999999</v>
      </c>
      <c r="AK170" s="102">
        <v>9036.7152509999996</v>
      </c>
      <c r="AL170" s="102">
        <v>6509.8416399999996</v>
      </c>
      <c r="AM170" s="102">
        <v>4004.0857590000001</v>
      </c>
    </row>
    <row r="171" spans="2:39" x14ac:dyDescent="0.3">
      <c r="B171" s="61" t="s">
        <v>1132</v>
      </c>
      <c r="C171" s="141" t="s">
        <v>1495</v>
      </c>
      <c r="D171" s="102" t="str">
        <f t="shared" si="20"/>
        <v/>
      </c>
      <c r="E171" s="102" t="str">
        <f t="shared" si="20"/>
        <v/>
      </c>
      <c r="F171" s="102" t="str">
        <f t="shared" si="20"/>
        <v/>
      </c>
      <c r="G171" s="155"/>
      <c r="H171" s="102" t="str">
        <f t="shared" si="17"/>
        <v/>
      </c>
      <c r="I171" s="102" t="str">
        <f t="shared" si="17"/>
        <v/>
      </c>
      <c r="J171" s="102" t="str">
        <f t="shared" si="21"/>
        <v/>
      </c>
      <c r="K171" s="683"/>
      <c r="M171" s="102"/>
      <c r="N171" s="102">
        <v>0</v>
      </c>
      <c r="O171" s="102">
        <v>0</v>
      </c>
      <c r="P171" s="102">
        <v>0</v>
      </c>
      <c r="Q171" s="102">
        <v>0</v>
      </c>
      <c r="R171" s="102">
        <v>0</v>
      </c>
      <c r="S171" s="102">
        <v>0</v>
      </c>
      <c r="T171" s="102">
        <v>0</v>
      </c>
      <c r="U171" s="102">
        <v>0</v>
      </c>
      <c r="V171" s="102">
        <v>0</v>
      </c>
      <c r="W171" s="102">
        <v>0</v>
      </c>
      <c r="X171" s="102">
        <v>0</v>
      </c>
      <c r="Y171" s="102">
        <v>0</v>
      </c>
      <c r="Z171" s="102"/>
      <c r="AA171" s="102"/>
      <c r="AB171" s="102">
        <v>0</v>
      </c>
      <c r="AC171" s="102">
        <v>0</v>
      </c>
      <c r="AD171" s="102">
        <v>0</v>
      </c>
      <c r="AE171" s="102">
        <v>0</v>
      </c>
      <c r="AF171" s="102">
        <v>0</v>
      </c>
      <c r="AG171" s="102">
        <v>0</v>
      </c>
      <c r="AH171" s="102">
        <v>0</v>
      </c>
      <c r="AI171" s="102">
        <v>0</v>
      </c>
      <c r="AJ171" s="102">
        <v>0</v>
      </c>
      <c r="AK171" s="102">
        <v>0</v>
      </c>
      <c r="AL171" s="102">
        <v>0</v>
      </c>
      <c r="AM171" s="102">
        <v>0</v>
      </c>
    </row>
    <row r="172" spans="2:39" x14ac:dyDescent="0.3">
      <c r="B172" s="61" t="s">
        <v>1133</v>
      </c>
      <c r="C172" s="141" t="s">
        <v>1441</v>
      </c>
      <c r="D172" s="102" t="str">
        <f t="shared" si="20"/>
        <v/>
      </c>
      <c r="E172" s="102" t="str">
        <f t="shared" si="20"/>
        <v/>
      </c>
      <c r="F172" s="102" t="str">
        <f t="shared" si="20"/>
        <v/>
      </c>
      <c r="G172" s="155"/>
      <c r="H172" s="102" t="str">
        <f t="shared" si="17"/>
        <v/>
      </c>
      <c r="I172" s="102" t="str">
        <f t="shared" si="17"/>
        <v/>
      </c>
      <c r="J172" s="102" t="str">
        <f t="shared" si="21"/>
        <v/>
      </c>
      <c r="K172" s="683"/>
      <c r="M172" s="102"/>
      <c r="N172" s="102">
        <v>0</v>
      </c>
      <c r="O172" s="102">
        <v>0</v>
      </c>
      <c r="P172" s="102">
        <v>0</v>
      </c>
      <c r="Q172" s="102">
        <v>0</v>
      </c>
      <c r="R172" s="102">
        <v>0</v>
      </c>
      <c r="S172" s="102">
        <v>0</v>
      </c>
      <c r="T172" s="102">
        <v>0</v>
      </c>
      <c r="U172" s="102">
        <v>0</v>
      </c>
      <c r="V172" s="102">
        <v>0</v>
      </c>
      <c r="W172" s="102">
        <v>0</v>
      </c>
      <c r="X172" s="102">
        <v>0</v>
      </c>
      <c r="Y172" s="102">
        <v>0</v>
      </c>
      <c r="Z172" s="102"/>
      <c r="AA172" s="102"/>
      <c r="AB172" s="102">
        <v>0</v>
      </c>
      <c r="AC172" s="102">
        <v>0</v>
      </c>
      <c r="AD172" s="102">
        <v>0</v>
      </c>
      <c r="AE172" s="102"/>
      <c r="AF172" s="102">
        <v>0</v>
      </c>
      <c r="AG172" s="102"/>
      <c r="AH172" s="102"/>
      <c r="AI172" s="102"/>
      <c r="AJ172" s="102">
        <v>0</v>
      </c>
      <c r="AK172" s="102">
        <v>0</v>
      </c>
      <c r="AL172" s="102">
        <v>0</v>
      </c>
      <c r="AM172" s="102">
        <v>0</v>
      </c>
    </row>
    <row r="173" spans="2:39" x14ac:dyDescent="0.3">
      <c r="B173" s="61" t="s">
        <v>1134</v>
      </c>
      <c r="C173" s="141" t="s">
        <v>1442</v>
      </c>
      <c r="D173" s="102" t="str">
        <f t="shared" si="20"/>
        <v/>
      </c>
      <c r="E173" s="102" t="str">
        <f t="shared" si="20"/>
        <v/>
      </c>
      <c r="F173" s="102" t="str">
        <f t="shared" si="20"/>
        <v/>
      </c>
      <c r="G173" s="155"/>
      <c r="H173" s="102" t="str">
        <f t="shared" si="17"/>
        <v/>
      </c>
      <c r="I173" s="102" t="str">
        <f t="shared" si="17"/>
        <v/>
      </c>
      <c r="J173" s="102" t="str">
        <f t="shared" si="21"/>
        <v/>
      </c>
      <c r="K173" s="683"/>
      <c r="M173" s="102"/>
      <c r="N173" s="102">
        <v>0</v>
      </c>
      <c r="O173" s="102">
        <v>0</v>
      </c>
      <c r="P173" s="102">
        <v>0</v>
      </c>
      <c r="Q173" s="102">
        <v>0</v>
      </c>
      <c r="R173" s="102">
        <v>0</v>
      </c>
      <c r="S173" s="102">
        <v>0</v>
      </c>
      <c r="T173" s="102">
        <v>0</v>
      </c>
      <c r="U173" s="102">
        <v>0</v>
      </c>
      <c r="V173" s="102">
        <v>0</v>
      </c>
      <c r="W173" s="102">
        <v>0</v>
      </c>
      <c r="X173" s="102">
        <v>0</v>
      </c>
      <c r="Y173" s="102">
        <v>0</v>
      </c>
      <c r="Z173" s="102"/>
      <c r="AA173" s="102"/>
      <c r="AB173" s="102">
        <v>0</v>
      </c>
      <c r="AC173" s="102">
        <v>0</v>
      </c>
      <c r="AD173" s="102">
        <v>0</v>
      </c>
      <c r="AE173" s="102"/>
      <c r="AF173" s="102">
        <v>0</v>
      </c>
      <c r="AG173" s="102"/>
      <c r="AH173" s="102"/>
      <c r="AI173" s="102"/>
      <c r="AJ173" s="102">
        <v>0</v>
      </c>
      <c r="AK173" s="102">
        <v>0</v>
      </c>
      <c r="AL173" s="102">
        <v>0</v>
      </c>
      <c r="AM173" s="102">
        <v>0</v>
      </c>
    </row>
    <row r="174" spans="2:39" x14ac:dyDescent="0.3">
      <c r="B174" s="61" t="s">
        <v>522</v>
      </c>
      <c r="C174" s="141" t="s">
        <v>1443</v>
      </c>
      <c r="D174" s="102" t="str">
        <f t="shared" si="20"/>
        <v/>
      </c>
      <c r="E174" s="102" t="str">
        <f t="shared" si="20"/>
        <v/>
      </c>
      <c r="F174" s="102" t="str">
        <f t="shared" si="20"/>
        <v/>
      </c>
      <c r="G174" s="155"/>
      <c r="H174" s="102" t="str">
        <f t="shared" si="17"/>
        <v/>
      </c>
      <c r="I174" s="102" t="str">
        <f t="shared" si="17"/>
        <v/>
      </c>
      <c r="J174" s="102" t="str">
        <f t="shared" si="21"/>
        <v/>
      </c>
      <c r="K174" s="683"/>
      <c r="M174" s="102"/>
      <c r="N174" s="102">
        <v>0</v>
      </c>
      <c r="O174" s="102">
        <v>0</v>
      </c>
      <c r="P174" s="102">
        <v>0</v>
      </c>
      <c r="Q174" s="102">
        <v>0</v>
      </c>
      <c r="R174" s="102">
        <v>0</v>
      </c>
      <c r="S174" s="102">
        <v>0</v>
      </c>
      <c r="T174" s="102">
        <v>0</v>
      </c>
      <c r="U174" s="102">
        <v>0</v>
      </c>
      <c r="V174" s="102">
        <v>0</v>
      </c>
      <c r="W174" s="102">
        <v>0</v>
      </c>
      <c r="X174" s="102">
        <v>0</v>
      </c>
      <c r="Y174" s="102">
        <v>0</v>
      </c>
      <c r="Z174" s="102"/>
      <c r="AA174" s="102"/>
      <c r="AB174" s="102">
        <v>0</v>
      </c>
      <c r="AC174" s="102">
        <v>0</v>
      </c>
      <c r="AD174" s="102">
        <v>0</v>
      </c>
      <c r="AE174" s="102"/>
      <c r="AF174" s="102">
        <v>0</v>
      </c>
      <c r="AG174" s="102"/>
      <c r="AH174" s="102"/>
      <c r="AI174" s="102"/>
      <c r="AJ174" s="102">
        <v>0</v>
      </c>
      <c r="AK174" s="102">
        <v>0</v>
      </c>
      <c r="AL174" s="102">
        <v>0</v>
      </c>
      <c r="AM174" s="102">
        <v>0</v>
      </c>
    </row>
    <row r="175" spans="2:39" x14ac:dyDescent="0.3">
      <c r="B175" s="61" t="s">
        <v>1135</v>
      </c>
      <c r="C175" s="141" t="s">
        <v>1496</v>
      </c>
      <c r="D175" s="102" t="str">
        <f t="shared" si="20"/>
        <v/>
      </c>
      <c r="E175" s="102" t="str">
        <f t="shared" si="20"/>
        <v/>
      </c>
      <c r="F175" s="102" t="str">
        <f t="shared" si="20"/>
        <v/>
      </c>
      <c r="G175" s="155"/>
      <c r="H175" s="102" t="str">
        <f t="shared" si="17"/>
        <v/>
      </c>
      <c r="I175" s="102" t="str">
        <f t="shared" si="17"/>
        <v/>
      </c>
      <c r="J175" s="102" t="str">
        <f t="shared" si="21"/>
        <v/>
      </c>
      <c r="K175" s="683"/>
      <c r="M175" s="102"/>
      <c r="N175" s="102">
        <v>0</v>
      </c>
      <c r="O175" s="102">
        <v>0</v>
      </c>
      <c r="P175" s="102">
        <v>0</v>
      </c>
      <c r="Q175" s="102">
        <v>0</v>
      </c>
      <c r="R175" s="102">
        <v>0</v>
      </c>
      <c r="S175" s="102">
        <v>0</v>
      </c>
      <c r="T175" s="102">
        <v>0</v>
      </c>
      <c r="U175" s="102">
        <v>0</v>
      </c>
      <c r="V175" s="102">
        <v>0</v>
      </c>
      <c r="W175" s="102">
        <v>0</v>
      </c>
      <c r="X175" s="102">
        <v>0</v>
      </c>
      <c r="Y175" s="102">
        <v>0</v>
      </c>
      <c r="Z175" s="102"/>
      <c r="AA175" s="102"/>
      <c r="AB175" s="102">
        <v>0</v>
      </c>
      <c r="AC175" s="102">
        <v>0</v>
      </c>
      <c r="AD175" s="102">
        <v>0</v>
      </c>
      <c r="AE175" s="102">
        <v>0</v>
      </c>
      <c r="AF175" s="102">
        <v>0</v>
      </c>
      <c r="AG175" s="102">
        <v>0</v>
      </c>
      <c r="AH175" s="102">
        <v>0</v>
      </c>
      <c r="AI175" s="102">
        <v>0</v>
      </c>
      <c r="AJ175" s="102">
        <v>0</v>
      </c>
      <c r="AK175" s="102">
        <v>0</v>
      </c>
      <c r="AL175" s="102">
        <v>0</v>
      </c>
      <c r="AM175" s="102">
        <v>0</v>
      </c>
    </row>
    <row r="176" spans="2:39" x14ac:dyDescent="0.3">
      <c r="B176" s="61" t="s">
        <v>1136</v>
      </c>
      <c r="C176" s="141" t="s">
        <v>1497</v>
      </c>
      <c r="D176" s="102">
        <f t="shared" si="20"/>
        <v>150055.06171200002</v>
      </c>
      <c r="E176" s="102">
        <f t="shared" si="20"/>
        <v>145657.452509</v>
      </c>
      <c r="F176" s="102">
        <f t="shared" si="20"/>
        <v>1358.3409999999999</v>
      </c>
      <c r="G176" s="155"/>
      <c r="H176" s="102">
        <f t="shared" si="17"/>
        <v>150055.061712</v>
      </c>
      <c r="I176" s="102">
        <f t="shared" si="17"/>
        <v>145657.452509</v>
      </c>
      <c r="J176" s="102">
        <f t="shared" si="21"/>
        <v>1358.3413419999999</v>
      </c>
      <c r="K176" s="683"/>
      <c r="M176" s="102"/>
      <c r="N176" s="102">
        <v>150055.06171200002</v>
      </c>
      <c r="O176" s="102">
        <v>116147.36015199999</v>
      </c>
      <c r="P176" s="102">
        <v>74952.674721999996</v>
      </c>
      <c r="Q176" s="102">
        <v>38489.533729000002</v>
      </c>
      <c r="R176" s="102">
        <v>145657.452509</v>
      </c>
      <c r="S176" s="102">
        <v>109198.696211</v>
      </c>
      <c r="T176" s="102">
        <v>71509.519427000007</v>
      </c>
      <c r="U176" s="102">
        <v>38652.118870999999</v>
      </c>
      <c r="V176" s="102">
        <v>140586.95686899999</v>
      </c>
      <c r="W176" s="102">
        <v>105840.37050200001</v>
      </c>
      <c r="X176" s="102">
        <v>72517.168999999994</v>
      </c>
      <c r="Y176" s="102">
        <v>1358.3409999999999</v>
      </c>
      <c r="Z176" s="102"/>
      <c r="AA176" s="102"/>
      <c r="AB176" s="102">
        <v>150055.061712</v>
      </c>
      <c r="AC176" s="102">
        <v>116147.36015199999</v>
      </c>
      <c r="AD176" s="102">
        <v>74952.674721999996</v>
      </c>
      <c r="AE176" s="102">
        <v>38489.533729000002</v>
      </c>
      <c r="AF176" s="102">
        <v>145657.452509</v>
      </c>
      <c r="AG176" s="102">
        <v>109198.696211</v>
      </c>
      <c r="AH176" s="102">
        <v>71509.519427000007</v>
      </c>
      <c r="AI176" s="102">
        <v>38652.118870999999</v>
      </c>
      <c r="AJ176" s="102">
        <v>192724.864026</v>
      </c>
      <c r="AK176" s="102">
        <v>104759.41846099999</v>
      </c>
      <c r="AL176" s="102">
        <v>71436.216493</v>
      </c>
      <c r="AM176" s="102">
        <v>1358.3413419999999</v>
      </c>
    </row>
    <row r="177" spans="2:39" x14ac:dyDescent="0.3">
      <c r="B177" s="61" t="s">
        <v>1137</v>
      </c>
      <c r="C177" s="141" t="s">
        <v>637</v>
      </c>
      <c r="D177" s="102">
        <f t="shared" si="20"/>
        <v>3873454.4976189998</v>
      </c>
      <c r="E177" s="102">
        <f t="shared" si="20"/>
        <v>3674925.9814220001</v>
      </c>
      <c r="F177" s="102">
        <f t="shared" si="20"/>
        <v>1214676.0830000001</v>
      </c>
      <c r="G177" s="155"/>
      <c r="H177" s="102">
        <f t="shared" si="17"/>
        <v>3966845.2998430012</v>
      </c>
      <c r="I177" s="102">
        <f t="shared" si="17"/>
        <v>3775477.9298980003</v>
      </c>
      <c r="J177" s="102">
        <f t="shared" si="21"/>
        <v>1228443.6383160001</v>
      </c>
      <c r="K177" s="683"/>
      <c r="M177" s="102"/>
      <c r="N177" s="102">
        <v>3873454.4976189998</v>
      </c>
      <c r="O177" s="102">
        <v>2989503.850598</v>
      </c>
      <c r="P177" s="102">
        <v>2077744.7841329998</v>
      </c>
      <c r="Q177" s="102">
        <v>791114.97221399995</v>
      </c>
      <c r="R177" s="102">
        <v>3674925.9814220001</v>
      </c>
      <c r="S177" s="102">
        <v>2471781.0750540001</v>
      </c>
      <c r="T177" s="102">
        <v>2073218.6909010001</v>
      </c>
      <c r="U177" s="102">
        <v>1234658.022358</v>
      </c>
      <c r="V177" s="102">
        <v>3978664.4779670001</v>
      </c>
      <c r="W177" s="102">
        <v>2701461.315345</v>
      </c>
      <c r="X177" s="102">
        <v>2147362.5720000002</v>
      </c>
      <c r="Y177" s="102">
        <v>1214676.0830000001</v>
      </c>
      <c r="Z177" s="102"/>
      <c r="AA177" s="102"/>
      <c r="AB177" s="102">
        <v>3966845.2998430012</v>
      </c>
      <c r="AC177" s="102">
        <v>3064526.2562529994</v>
      </c>
      <c r="AD177" s="102">
        <v>2127118.6445440003</v>
      </c>
      <c r="AE177" s="102">
        <v>804696.405959</v>
      </c>
      <c r="AF177" s="102">
        <v>3775477.9298980003</v>
      </c>
      <c r="AG177" s="102">
        <v>2539629.1344349999</v>
      </c>
      <c r="AH177" s="102">
        <v>2121677.9302719999</v>
      </c>
      <c r="AI177" s="102">
        <v>1244652.801459</v>
      </c>
      <c r="AJ177" s="102">
        <v>4094540.8870200007</v>
      </c>
      <c r="AK177" s="102">
        <v>2741909.8197130002</v>
      </c>
      <c r="AL177" s="102">
        <v>2166114.8454140001</v>
      </c>
      <c r="AM177" s="102">
        <v>1228443.6383160001</v>
      </c>
    </row>
    <row r="178" spans="2:39" x14ac:dyDescent="0.3">
      <c r="B178" s="61" t="s">
        <v>1138</v>
      </c>
      <c r="C178" s="141" t="s">
        <v>1446</v>
      </c>
      <c r="D178" s="102">
        <f t="shared" si="20"/>
        <v>2938795.2368699997</v>
      </c>
      <c r="E178" s="102">
        <f t="shared" si="20"/>
        <v>2394305.7423509997</v>
      </c>
      <c r="F178" s="102">
        <f t="shared" si="20"/>
        <v>852756.87600000005</v>
      </c>
      <c r="G178" s="155"/>
      <c r="H178" s="102">
        <f t="shared" si="17"/>
        <v>2938795.2368700001</v>
      </c>
      <c r="I178" s="102">
        <f t="shared" si="17"/>
        <v>2394305.7423510002</v>
      </c>
      <c r="J178" s="102">
        <f t="shared" si="21"/>
        <v>852756.87576100009</v>
      </c>
      <c r="K178" s="683"/>
      <c r="M178" s="102"/>
      <c r="N178" s="102">
        <v>2938795.2368699997</v>
      </c>
      <c r="O178" s="102">
        <v>2112639.7314030002</v>
      </c>
      <c r="P178" s="102">
        <v>1055700.7261950001</v>
      </c>
      <c r="Q178" s="102">
        <v>292654.207727</v>
      </c>
      <c r="R178" s="102">
        <v>2394305.7423509997</v>
      </c>
      <c r="S178" s="102">
        <v>1757509.946553</v>
      </c>
      <c r="T178" s="102">
        <v>1486351.7620150002</v>
      </c>
      <c r="U178" s="102">
        <v>902107.62279499997</v>
      </c>
      <c r="V178" s="102">
        <v>2955177.4956049998</v>
      </c>
      <c r="W178" s="102">
        <v>1801958.3469100001</v>
      </c>
      <c r="X178" s="102">
        <v>1521187.845</v>
      </c>
      <c r="Y178" s="102">
        <v>852756.87600000005</v>
      </c>
      <c r="Z178" s="102"/>
      <c r="AA178" s="102"/>
      <c r="AB178" s="102">
        <v>2938795.2368700001</v>
      </c>
      <c r="AC178" s="102">
        <v>2112639.7314029997</v>
      </c>
      <c r="AD178" s="102">
        <v>1055700.7261950001</v>
      </c>
      <c r="AE178" s="102">
        <v>292654.207727</v>
      </c>
      <c r="AF178" s="102">
        <v>2394305.7423510002</v>
      </c>
      <c r="AG178" s="102">
        <v>1757509.946553</v>
      </c>
      <c r="AH178" s="102">
        <v>1486351.762015</v>
      </c>
      <c r="AI178" s="102">
        <v>902107.62279499997</v>
      </c>
      <c r="AJ178" s="102">
        <v>2955177.4956050003</v>
      </c>
      <c r="AK178" s="102">
        <v>1801958.3469100001</v>
      </c>
      <c r="AL178" s="102">
        <v>1521187.8447489999</v>
      </c>
      <c r="AM178" s="102">
        <v>852756.87576100009</v>
      </c>
    </row>
    <row r="179" spans="2:39" x14ac:dyDescent="0.3">
      <c r="B179" s="61" t="s">
        <v>1139</v>
      </c>
      <c r="C179" s="141" t="s">
        <v>1447</v>
      </c>
      <c r="D179" s="102">
        <f t="shared" si="20"/>
        <v>2936510.7969879997</v>
      </c>
      <c r="E179" s="102">
        <f t="shared" si="20"/>
        <v>2393087.7579239998</v>
      </c>
      <c r="F179" s="102">
        <f t="shared" si="20"/>
        <v>852535.299</v>
      </c>
      <c r="G179" s="155"/>
      <c r="H179" s="102">
        <f t="shared" si="17"/>
        <v>2936510.7969880002</v>
      </c>
      <c r="I179" s="102">
        <f t="shared" si="17"/>
        <v>2393087.7579240003</v>
      </c>
      <c r="J179" s="102">
        <f t="shared" si="21"/>
        <v>852535.2993500001</v>
      </c>
      <c r="K179" s="683"/>
      <c r="M179" s="102"/>
      <c r="N179" s="102">
        <v>2936510.7969879997</v>
      </c>
      <c r="O179" s="102">
        <v>2110926.2786010001</v>
      </c>
      <c r="P179" s="102">
        <v>1054527.226523</v>
      </c>
      <c r="Q179" s="102">
        <v>292067.265999</v>
      </c>
      <c r="R179" s="102">
        <v>2393087.7579239998</v>
      </c>
      <c r="S179" s="102">
        <v>1756707.621641</v>
      </c>
      <c r="T179" s="102">
        <v>1485807.0289379999</v>
      </c>
      <c r="U179" s="102">
        <v>901838.41272000002</v>
      </c>
      <c r="V179" s="102">
        <v>2954241.0166950002</v>
      </c>
      <c r="W179" s="102">
        <v>1801269.4265300001</v>
      </c>
      <c r="X179" s="102">
        <v>1520739.9909999999</v>
      </c>
      <c r="Y179" s="102">
        <v>852535.299</v>
      </c>
      <c r="Z179" s="102"/>
      <c r="AA179" s="102"/>
      <c r="AB179" s="102">
        <v>2936510.7969880002</v>
      </c>
      <c r="AC179" s="102">
        <v>2110926.2786009996</v>
      </c>
      <c r="AD179" s="102">
        <v>1054527.226523</v>
      </c>
      <c r="AE179" s="102">
        <v>292067.265999</v>
      </c>
      <c r="AF179" s="102">
        <v>2393087.7579240003</v>
      </c>
      <c r="AG179" s="102">
        <v>1756707.621641</v>
      </c>
      <c r="AH179" s="102">
        <v>1485807.0289380001</v>
      </c>
      <c r="AI179" s="102">
        <v>901838.41272000002</v>
      </c>
      <c r="AJ179" s="102">
        <v>2954241.0166950002</v>
      </c>
      <c r="AK179" s="102">
        <v>1801269.4265300001</v>
      </c>
      <c r="AL179" s="102">
        <v>1520739.9908769999</v>
      </c>
      <c r="AM179" s="102">
        <v>852535.2993500001</v>
      </c>
    </row>
    <row r="180" spans="2:39" x14ac:dyDescent="0.3">
      <c r="B180" s="61" t="s">
        <v>1140</v>
      </c>
      <c r="C180" s="141" t="s">
        <v>1535</v>
      </c>
      <c r="D180" s="102">
        <f t="shared" si="20"/>
        <v>2942891.8662529998</v>
      </c>
      <c r="E180" s="102">
        <f t="shared" si="20"/>
        <v>2394008.8707050001</v>
      </c>
      <c r="F180" s="102">
        <f t="shared" si="20"/>
        <v>781970.1</v>
      </c>
      <c r="G180" s="155"/>
      <c r="H180" s="102">
        <f t="shared" si="17"/>
        <v>2942891.8662530002</v>
      </c>
      <c r="I180" s="102">
        <f t="shared" si="17"/>
        <v>2394008.8707050001</v>
      </c>
      <c r="J180" s="102">
        <f t="shared" si="21"/>
        <v>781970.10030799999</v>
      </c>
      <c r="K180" s="683"/>
      <c r="M180" s="102"/>
      <c r="N180" s="102">
        <v>2942891.8662529998</v>
      </c>
      <c r="O180" s="102">
        <v>2111233.6397739998</v>
      </c>
      <c r="P180" s="102">
        <v>1056745.176679</v>
      </c>
      <c r="Q180" s="102">
        <v>294273.37655500002</v>
      </c>
      <c r="R180" s="102">
        <v>2394008.8707050001</v>
      </c>
      <c r="S180" s="102">
        <v>1755713.5861810001</v>
      </c>
      <c r="T180" s="102">
        <v>1484769.556902</v>
      </c>
      <c r="U180" s="102">
        <v>901989.89889700001</v>
      </c>
      <c r="V180" s="102">
        <v>2883948.4722620002</v>
      </c>
      <c r="W180" s="102">
        <v>1728361.0534719999</v>
      </c>
      <c r="X180" s="102">
        <v>1448366.726</v>
      </c>
      <c r="Y180" s="102">
        <v>781970.1</v>
      </c>
      <c r="Z180" s="102"/>
      <c r="AA180" s="102"/>
      <c r="AB180" s="102">
        <v>2942891.8662530002</v>
      </c>
      <c r="AC180" s="102">
        <v>2111233.6397739998</v>
      </c>
      <c r="AD180" s="102">
        <v>1056745.176679</v>
      </c>
      <c r="AE180" s="102">
        <v>294273.37655500002</v>
      </c>
      <c r="AF180" s="102">
        <v>2394008.8707050001</v>
      </c>
      <c r="AG180" s="102">
        <v>1755713.5861810001</v>
      </c>
      <c r="AH180" s="102">
        <v>1484769.556902</v>
      </c>
      <c r="AI180" s="102">
        <v>901989.89889700001</v>
      </c>
      <c r="AJ180" s="102">
        <v>2883948.4722620002</v>
      </c>
      <c r="AK180" s="102">
        <v>1728361.0534719999</v>
      </c>
      <c r="AL180" s="102">
        <v>1448366.725842</v>
      </c>
      <c r="AM180" s="102">
        <v>781970.10030799999</v>
      </c>
    </row>
    <row r="181" spans="2:39" x14ac:dyDescent="0.3">
      <c r="B181" s="61" t="s">
        <v>1141</v>
      </c>
      <c r="C181" s="141" t="s">
        <v>1536</v>
      </c>
      <c r="D181" s="102" t="str">
        <f t="shared" si="20"/>
        <v/>
      </c>
      <c r="E181" s="102" t="str">
        <f t="shared" si="20"/>
        <v/>
      </c>
      <c r="F181" s="102" t="str">
        <f t="shared" si="20"/>
        <v/>
      </c>
      <c r="G181" s="155"/>
      <c r="H181" s="102" t="str">
        <f t="shared" si="17"/>
        <v/>
      </c>
      <c r="I181" s="102" t="str">
        <f t="shared" si="17"/>
        <v/>
      </c>
      <c r="J181" s="102" t="str">
        <f t="shared" si="21"/>
        <v/>
      </c>
      <c r="K181" s="683"/>
      <c r="M181" s="102"/>
      <c r="N181" s="102">
        <v>0</v>
      </c>
      <c r="O181" s="102">
        <v>0</v>
      </c>
      <c r="P181" s="102">
        <v>0</v>
      </c>
      <c r="Q181" s="102">
        <v>0</v>
      </c>
      <c r="R181" s="102">
        <v>0</v>
      </c>
      <c r="S181" s="102">
        <v>0</v>
      </c>
      <c r="T181" s="102">
        <v>0</v>
      </c>
      <c r="U181" s="102">
        <v>0</v>
      </c>
      <c r="V181" s="102">
        <v>0</v>
      </c>
      <c r="W181" s="102">
        <v>0</v>
      </c>
      <c r="X181" s="102">
        <v>0</v>
      </c>
      <c r="Y181" s="102">
        <v>0</v>
      </c>
      <c r="Z181" s="102"/>
      <c r="AA181" s="102"/>
      <c r="AB181" s="102">
        <v>0</v>
      </c>
      <c r="AC181" s="102">
        <v>0</v>
      </c>
      <c r="AD181" s="102">
        <v>0</v>
      </c>
      <c r="AE181" s="102">
        <v>0</v>
      </c>
      <c r="AF181" s="102">
        <v>0</v>
      </c>
      <c r="AG181" s="102">
        <v>0</v>
      </c>
      <c r="AH181" s="102">
        <v>0</v>
      </c>
      <c r="AI181" s="102">
        <v>0</v>
      </c>
      <c r="AJ181" s="102">
        <v>0</v>
      </c>
      <c r="AK181" s="102">
        <v>0</v>
      </c>
      <c r="AL181" s="102">
        <v>0</v>
      </c>
      <c r="AM181" s="102">
        <v>0</v>
      </c>
    </row>
    <row r="182" spans="2:39" x14ac:dyDescent="0.3">
      <c r="B182" s="61" t="s">
        <v>1142</v>
      </c>
      <c r="C182" s="141" t="s">
        <v>1537</v>
      </c>
      <c r="D182" s="102" t="str">
        <f t="shared" si="20"/>
        <v/>
      </c>
      <c r="E182" s="102">
        <f t="shared" si="20"/>
        <v>791.86228599999993</v>
      </c>
      <c r="F182" s="102">
        <f t="shared" si="20"/>
        <v>70284.179999999993</v>
      </c>
      <c r="G182" s="155"/>
      <c r="H182" s="102" t="str">
        <f t="shared" si="17"/>
        <v/>
      </c>
      <c r="I182" s="102">
        <f t="shared" si="17"/>
        <v>791.86228600000004</v>
      </c>
      <c r="J182" s="102">
        <f t="shared" si="21"/>
        <v>70284.180494</v>
      </c>
      <c r="K182" s="683"/>
      <c r="M182" s="102"/>
      <c r="N182" s="102">
        <v>0</v>
      </c>
      <c r="O182" s="102">
        <v>0</v>
      </c>
      <c r="P182" s="102">
        <v>0</v>
      </c>
      <c r="Q182" s="102">
        <v>0</v>
      </c>
      <c r="R182" s="102">
        <v>791.86228599999993</v>
      </c>
      <c r="S182" s="102">
        <v>791.86228599999993</v>
      </c>
      <c r="T182" s="102">
        <v>791.86228599999993</v>
      </c>
      <c r="U182" s="102">
        <v>791.86228599999993</v>
      </c>
      <c r="V182" s="102">
        <v>72891.512021000002</v>
      </c>
      <c r="W182" s="102">
        <v>71691.846924999991</v>
      </c>
      <c r="X182" s="102">
        <v>71176.160000000003</v>
      </c>
      <c r="Y182" s="102">
        <v>70284.179999999993</v>
      </c>
      <c r="Z182" s="102"/>
      <c r="AA182" s="102"/>
      <c r="AB182" s="102">
        <v>0</v>
      </c>
      <c r="AC182" s="102">
        <v>0</v>
      </c>
      <c r="AD182" s="102">
        <v>0</v>
      </c>
      <c r="AE182" s="102">
        <v>0</v>
      </c>
      <c r="AF182" s="102">
        <v>791.86228600000004</v>
      </c>
      <c r="AG182" s="102">
        <v>791.86228600000004</v>
      </c>
      <c r="AH182" s="102">
        <v>791.86228600000004</v>
      </c>
      <c r="AI182" s="102">
        <v>791.86228600000004</v>
      </c>
      <c r="AJ182" s="102">
        <v>72891.512021000002</v>
      </c>
      <c r="AK182" s="102">
        <v>71691.846925000005</v>
      </c>
      <c r="AL182" s="102">
        <v>71176.159637999997</v>
      </c>
      <c r="AM182" s="102">
        <v>70284.180494</v>
      </c>
    </row>
    <row r="183" spans="2:39" x14ac:dyDescent="0.3">
      <c r="B183" s="61" t="s">
        <v>1143</v>
      </c>
      <c r="C183" s="141" t="s">
        <v>1538</v>
      </c>
      <c r="D183" s="102">
        <f t="shared" si="20"/>
        <v>-6381.0692650000001</v>
      </c>
      <c r="E183" s="102">
        <f t="shared" si="20"/>
        <v>-1712.9750670000001</v>
      </c>
      <c r="F183" s="102">
        <f t="shared" si="20"/>
        <v>281.01900000000001</v>
      </c>
      <c r="G183" s="155"/>
      <c r="H183" s="102">
        <f t="shared" si="17"/>
        <v>-6381.0692650000001</v>
      </c>
      <c r="I183" s="102">
        <f t="shared" si="17"/>
        <v>-1712.9750670000001</v>
      </c>
      <c r="J183" s="102">
        <f t="shared" si="21"/>
        <v>281.01854800000001</v>
      </c>
      <c r="K183" s="683"/>
      <c r="M183" s="102"/>
      <c r="N183" s="102">
        <v>-6381.0692650000001</v>
      </c>
      <c r="O183" s="102">
        <v>-307.36117300000001</v>
      </c>
      <c r="P183" s="102">
        <v>-2217.9501559999999</v>
      </c>
      <c r="Q183" s="102">
        <v>-2206.1105560000001</v>
      </c>
      <c r="R183" s="102">
        <v>-1712.9750670000001</v>
      </c>
      <c r="S183" s="102">
        <v>202.17317399999999</v>
      </c>
      <c r="T183" s="102">
        <v>245.60974999999999</v>
      </c>
      <c r="U183" s="102">
        <v>-943.34846300000004</v>
      </c>
      <c r="V183" s="102">
        <v>-2598.967588</v>
      </c>
      <c r="W183" s="102">
        <v>1216.5261329999998</v>
      </c>
      <c r="X183" s="102">
        <v>1197.105</v>
      </c>
      <c r="Y183" s="102">
        <v>281.01900000000001</v>
      </c>
      <c r="Z183" s="102"/>
      <c r="AA183" s="102"/>
      <c r="AB183" s="102">
        <v>-6381.0692650000001</v>
      </c>
      <c r="AC183" s="102">
        <v>-307.36117300000001</v>
      </c>
      <c r="AD183" s="102">
        <v>-2217.9501559999999</v>
      </c>
      <c r="AE183" s="102">
        <v>-2206.1105560000001</v>
      </c>
      <c r="AF183" s="102">
        <v>-1712.9750670000001</v>
      </c>
      <c r="AG183" s="102">
        <v>202.17317399999999</v>
      </c>
      <c r="AH183" s="102">
        <v>245.60974999999999</v>
      </c>
      <c r="AI183" s="102">
        <v>-943.34846300000004</v>
      </c>
      <c r="AJ183" s="102">
        <v>-2598.967588</v>
      </c>
      <c r="AK183" s="102">
        <v>1216.5261330000001</v>
      </c>
      <c r="AL183" s="102">
        <v>1197.105397</v>
      </c>
      <c r="AM183" s="102">
        <v>281.01854800000001</v>
      </c>
    </row>
    <row r="184" spans="2:39" x14ac:dyDescent="0.3">
      <c r="B184" s="61" t="s">
        <v>1144</v>
      </c>
      <c r="C184" s="141" t="s">
        <v>1448</v>
      </c>
      <c r="D184" s="102">
        <f t="shared" si="20"/>
        <v>2284.4398820000001</v>
      </c>
      <c r="E184" s="102">
        <f t="shared" si="20"/>
        <v>1217.9844269999999</v>
      </c>
      <c r="F184" s="102">
        <f t="shared" si="20"/>
        <v>221.57599999999999</v>
      </c>
      <c r="G184" s="155"/>
      <c r="H184" s="102">
        <f t="shared" si="17"/>
        <v>2284.4398820000001</v>
      </c>
      <c r="I184" s="102">
        <f t="shared" si="17"/>
        <v>1217.9844270000001</v>
      </c>
      <c r="J184" s="102">
        <f t="shared" si="21"/>
        <v>221.57641099999998</v>
      </c>
      <c r="K184" s="683"/>
      <c r="M184" s="102"/>
      <c r="N184" s="102">
        <v>2284.4398820000001</v>
      </c>
      <c r="O184" s="102">
        <v>1713.452802</v>
      </c>
      <c r="P184" s="102">
        <v>1173.4996719999999</v>
      </c>
      <c r="Q184" s="102">
        <v>586.94172800000001</v>
      </c>
      <c r="R184" s="102">
        <v>1217.9844269999999</v>
      </c>
      <c r="S184" s="102">
        <v>802.32491200000004</v>
      </c>
      <c r="T184" s="102">
        <v>544.73307700000009</v>
      </c>
      <c r="U184" s="102">
        <v>269.21007500000002</v>
      </c>
      <c r="V184" s="102">
        <v>936.47891000000004</v>
      </c>
      <c r="W184" s="102">
        <v>688.92038000000002</v>
      </c>
      <c r="X184" s="102">
        <v>447.85399999999998</v>
      </c>
      <c r="Y184" s="102">
        <v>221.57599999999999</v>
      </c>
      <c r="Z184" s="102"/>
      <c r="AA184" s="102"/>
      <c r="AB184" s="102">
        <v>2284.4398820000001</v>
      </c>
      <c r="AC184" s="102">
        <v>1713.452802</v>
      </c>
      <c r="AD184" s="102">
        <v>1173.4996720000001</v>
      </c>
      <c r="AE184" s="102">
        <v>586.94172800000001</v>
      </c>
      <c r="AF184" s="102">
        <v>1217.9844270000001</v>
      </c>
      <c r="AG184" s="102">
        <v>802.32491200000004</v>
      </c>
      <c r="AH184" s="102">
        <v>544.73307699999998</v>
      </c>
      <c r="AI184" s="102">
        <v>269.21007500000002</v>
      </c>
      <c r="AJ184" s="102">
        <v>936.47890999999993</v>
      </c>
      <c r="AK184" s="102">
        <v>688.92038000000002</v>
      </c>
      <c r="AL184" s="102">
        <v>447.85387200000002</v>
      </c>
      <c r="AM184" s="102">
        <v>221.57641099999998</v>
      </c>
    </row>
    <row r="185" spans="2:39" x14ac:dyDescent="0.3">
      <c r="B185" s="61" t="s">
        <v>1140</v>
      </c>
      <c r="C185" s="141" t="s">
        <v>1539</v>
      </c>
      <c r="D185" s="102">
        <f t="shared" si="20"/>
        <v>2280.8794370000001</v>
      </c>
      <c r="E185" s="102">
        <f t="shared" si="20"/>
        <v>1212.9666010000001</v>
      </c>
      <c r="F185" s="102">
        <f t="shared" si="20"/>
        <v>221.57599999999999</v>
      </c>
      <c r="G185" s="155"/>
      <c r="H185" s="102">
        <f t="shared" si="17"/>
        <v>2280.8794370000001</v>
      </c>
      <c r="I185" s="102">
        <f t="shared" si="17"/>
        <v>1212.9666010000001</v>
      </c>
      <c r="J185" s="102">
        <f t="shared" si="21"/>
        <v>221.57641099999998</v>
      </c>
      <c r="K185" s="683"/>
      <c r="M185" s="102"/>
      <c r="N185" s="102">
        <v>2280.8794370000001</v>
      </c>
      <c r="O185" s="102">
        <v>1710.9952020000001</v>
      </c>
      <c r="P185" s="102">
        <v>1171.9492760000001</v>
      </c>
      <c r="Q185" s="102">
        <v>586.48714700000005</v>
      </c>
      <c r="R185" s="102">
        <v>1212.9666010000001</v>
      </c>
      <c r="S185" s="102">
        <v>800.11406299999999</v>
      </c>
      <c r="T185" s="102">
        <v>543.10187399999995</v>
      </c>
      <c r="U185" s="102">
        <v>268.38040599999999</v>
      </c>
      <c r="V185" s="102">
        <v>925.20453500000008</v>
      </c>
      <c r="W185" s="102">
        <v>678.53306200000009</v>
      </c>
      <c r="X185" s="102">
        <v>438.53399999999999</v>
      </c>
      <c r="Y185" s="102">
        <v>221.57599999999999</v>
      </c>
      <c r="Z185" s="102"/>
      <c r="AA185" s="102"/>
      <c r="AB185" s="102">
        <v>2280.8794370000001</v>
      </c>
      <c r="AC185" s="102">
        <v>1710.9952020000001</v>
      </c>
      <c r="AD185" s="102">
        <v>1171.9492760000001</v>
      </c>
      <c r="AE185" s="102">
        <v>586.48714700000005</v>
      </c>
      <c r="AF185" s="102">
        <v>1212.9666010000001</v>
      </c>
      <c r="AG185" s="102">
        <v>800.11406299999999</v>
      </c>
      <c r="AH185" s="102">
        <v>543.10187399999995</v>
      </c>
      <c r="AI185" s="102">
        <v>268.38040599999999</v>
      </c>
      <c r="AJ185" s="102">
        <v>925.20453499999996</v>
      </c>
      <c r="AK185" s="102">
        <v>678.53306199999997</v>
      </c>
      <c r="AL185" s="102">
        <v>438.533682</v>
      </c>
      <c r="AM185" s="102">
        <v>221.57641099999998</v>
      </c>
    </row>
    <row r="186" spans="2:39" x14ac:dyDescent="0.3">
      <c r="B186" s="61" t="s">
        <v>1141</v>
      </c>
      <c r="C186" s="141" t="s">
        <v>1540</v>
      </c>
      <c r="D186" s="102" t="str">
        <f t="shared" ref="D186:F205" si="22">IF(HLOOKUP(D$5,$M$5:$Y$319,ROW()-ROW($F$4),FALSE)=0,"",HLOOKUP(D$5,$M$5:$Y$319,ROW()-ROW($F$4),FALSE))</f>
        <v/>
      </c>
      <c r="E186" s="102" t="str">
        <f t="shared" si="22"/>
        <v/>
      </c>
      <c r="F186" s="102" t="str">
        <f t="shared" si="22"/>
        <v/>
      </c>
      <c r="G186" s="155"/>
      <c r="H186" s="102" t="str">
        <f t="shared" si="17"/>
        <v/>
      </c>
      <c r="I186" s="102" t="str">
        <f t="shared" si="17"/>
        <v/>
      </c>
      <c r="J186" s="102" t="str">
        <f t="shared" ref="J186:J205" si="23">IF(HLOOKUP(J$5,$AA$5:$AM$315,ROW()-ROW($J$4),FALSE)=0,"",HLOOKUP(J$5,$AA$5:$AM$315,ROW()-ROW($J$4),FALSE))</f>
        <v/>
      </c>
      <c r="K186" s="683"/>
      <c r="M186" s="102"/>
      <c r="N186" s="102">
        <v>0</v>
      </c>
      <c r="O186" s="102">
        <v>0</v>
      </c>
      <c r="P186" s="102">
        <v>0</v>
      </c>
      <c r="Q186" s="102">
        <v>0</v>
      </c>
      <c r="R186" s="102">
        <v>0</v>
      </c>
      <c r="S186" s="102">
        <v>0</v>
      </c>
      <c r="T186" s="102">
        <v>0</v>
      </c>
      <c r="U186" s="102">
        <v>0</v>
      </c>
      <c r="V186" s="102">
        <v>0</v>
      </c>
      <c r="W186" s="102">
        <v>0</v>
      </c>
      <c r="X186" s="102">
        <v>0</v>
      </c>
      <c r="Y186" s="102">
        <v>0</v>
      </c>
      <c r="Z186" s="102"/>
      <c r="AA186" s="102"/>
      <c r="AB186" s="102">
        <v>0</v>
      </c>
      <c r="AC186" s="102">
        <v>0</v>
      </c>
      <c r="AD186" s="102">
        <v>0</v>
      </c>
      <c r="AE186" s="102">
        <v>0</v>
      </c>
      <c r="AF186" s="102">
        <v>0</v>
      </c>
      <c r="AG186" s="102">
        <v>0</v>
      </c>
      <c r="AH186" s="102">
        <v>0</v>
      </c>
      <c r="AI186" s="102">
        <v>0</v>
      </c>
      <c r="AJ186" s="102">
        <v>0</v>
      </c>
      <c r="AK186" s="102">
        <v>0</v>
      </c>
      <c r="AL186" s="102">
        <v>0</v>
      </c>
      <c r="AM186" s="102">
        <v>0</v>
      </c>
    </row>
    <row r="187" spans="2:39" x14ac:dyDescent="0.3">
      <c r="B187" s="61" t="s">
        <v>1142</v>
      </c>
      <c r="C187" s="141" t="s">
        <v>1537</v>
      </c>
      <c r="D187" s="102" t="str">
        <f t="shared" si="22"/>
        <v/>
      </c>
      <c r="E187" s="102" t="str">
        <f t="shared" si="22"/>
        <v/>
      </c>
      <c r="F187" s="102" t="str">
        <f t="shared" si="22"/>
        <v/>
      </c>
      <c r="G187" s="155"/>
      <c r="H187" s="102" t="str">
        <f t="shared" si="17"/>
        <v/>
      </c>
      <c r="I187" s="102" t="str">
        <f t="shared" si="17"/>
        <v/>
      </c>
      <c r="J187" s="102" t="str">
        <f t="shared" si="23"/>
        <v/>
      </c>
      <c r="K187" s="683"/>
      <c r="M187" s="102"/>
      <c r="N187" s="102">
        <v>0</v>
      </c>
      <c r="O187" s="102">
        <v>0</v>
      </c>
      <c r="P187" s="102">
        <v>0</v>
      </c>
      <c r="Q187" s="102">
        <v>0</v>
      </c>
      <c r="R187" s="102">
        <v>0</v>
      </c>
      <c r="S187" s="102">
        <v>0</v>
      </c>
      <c r="T187" s="102">
        <v>0</v>
      </c>
      <c r="U187" s="102">
        <v>0</v>
      </c>
      <c r="V187" s="102">
        <v>0</v>
      </c>
      <c r="W187" s="102">
        <v>0</v>
      </c>
      <c r="X187" s="102">
        <v>0</v>
      </c>
      <c r="Y187" s="102">
        <v>0</v>
      </c>
      <c r="Z187" s="102"/>
      <c r="AA187" s="102"/>
      <c r="AB187" s="102">
        <v>0</v>
      </c>
      <c r="AC187" s="102">
        <v>0</v>
      </c>
      <c r="AD187" s="102">
        <v>0</v>
      </c>
      <c r="AE187" s="102">
        <v>0</v>
      </c>
      <c r="AF187" s="102">
        <v>0</v>
      </c>
      <c r="AG187" s="102">
        <v>0</v>
      </c>
      <c r="AH187" s="102">
        <v>0</v>
      </c>
      <c r="AI187" s="102">
        <v>0</v>
      </c>
      <c r="AJ187" s="102">
        <v>0</v>
      </c>
      <c r="AK187" s="102">
        <v>0</v>
      </c>
      <c r="AL187" s="102">
        <v>0</v>
      </c>
      <c r="AM187" s="102">
        <v>0</v>
      </c>
    </row>
    <row r="188" spans="2:39" x14ac:dyDescent="0.3">
      <c r="B188" s="61" t="s">
        <v>1145</v>
      </c>
      <c r="C188" s="141" t="s">
        <v>1541</v>
      </c>
      <c r="D188" s="102">
        <f t="shared" si="22"/>
        <v>3.5604450000000001</v>
      </c>
      <c r="E188" s="102">
        <f t="shared" si="22"/>
        <v>5.0178260000000003</v>
      </c>
      <c r="F188" s="102" t="str">
        <f t="shared" si="22"/>
        <v/>
      </c>
      <c r="G188" s="155"/>
      <c r="H188" s="102">
        <f t="shared" si="17"/>
        <v>3.5604450000000001</v>
      </c>
      <c r="I188" s="102">
        <f t="shared" si="17"/>
        <v>5.0178260000000003</v>
      </c>
      <c r="J188" s="102" t="str">
        <f t="shared" si="23"/>
        <v/>
      </c>
      <c r="K188" s="683"/>
      <c r="M188" s="102"/>
      <c r="N188" s="102">
        <v>3.5604450000000001</v>
      </c>
      <c r="O188" s="102">
        <v>2.4575999999999998</v>
      </c>
      <c r="P188" s="102">
        <v>1.5503959999999999</v>
      </c>
      <c r="Q188" s="102">
        <v>0.45458100000000001</v>
      </c>
      <c r="R188" s="102">
        <v>5.0178260000000003</v>
      </c>
      <c r="S188" s="102">
        <v>2.2108490000000001</v>
      </c>
      <c r="T188" s="102">
        <v>1.631203</v>
      </c>
      <c r="U188" s="102">
        <v>0.82966899999999999</v>
      </c>
      <c r="V188" s="102">
        <v>11.274374999999999</v>
      </c>
      <c r="W188" s="102">
        <v>10.387317999999999</v>
      </c>
      <c r="X188" s="102">
        <v>9.32</v>
      </c>
      <c r="Y188" s="102">
        <v>0</v>
      </c>
      <c r="Z188" s="102"/>
      <c r="AA188" s="102"/>
      <c r="AB188" s="102">
        <v>3.5604450000000001</v>
      </c>
      <c r="AC188" s="102">
        <v>2.4575999999999998</v>
      </c>
      <c r="AD188" s="102">
        <v>1.5503960000000001</v>
      </c>
      <c r="AE188" s="102">
        <v>0.45458100000000001</v>
      </c>
      <c r="AF188" s="102">
        <v>5.0178260000000003</v>
      </c>
      <c r="AG188" s="102">
        <v>2.2108490000000001</v>
      </c>
      <c r="AH188" s="102">
        <v>1.631203</v>
      </c>
      <c r="AI188" s="102">
        <v>0.82966899999999999</v>
      </c>
      <c r="AJ188" s="102">
        <v>11.274374999999999</v>
      </c>
      <c r="AK188" s="102">
        <v>10.387318</v>
      </c>
      <c r="AL188" s="102">
        <v>9.3201900000000002</v>
      </c>
      <c r="AM188" s="102">
        <v>0</v>
      </c>
    </row>
    <row r="189" spans="2:39" x14ac:dyDescent="0.3">
      <c r="B189" s="61" t="s">
        <v>1146</v>
      </c>
      <c r="C189" s="141" t="s">
        <v>1542</v>
      </c>
      <c r="D189" s="102" t="str">
        <f t="shared" si="22"/>
        <v/>
      </c>
      <c r="E189" s="102" t="str">
        <f t="shared" si="22"/>
        <v/>
      </c>
      <c r="F189" s="102" t="str">
        <f t="shared" si="22"/>
        <v/>
      </c>
      <c r="G189" s="155"/>
      <c r="H189" s="102" t="str">
        <f t="shared" si="17"/>
        <v/>
      </c>
      <c r="I189" s="102" t="str">
        <f t="shared" si="17"/>
        <v/>
      </c>
      <c r="J189" s="102" t="str">
        <f t="shared" si="23"/>
        <v/>
      </c>
      <c r="K189" s="683"/>
      <c r="M189" s="102"/>
      <c r="N189" s="102">
        <v>0</v>
      </c>
      <c r="O189" s="102">
        <v>0</v>
      </c>
      <c r="P189" s="102">
        <v>0</v>
      </c>
      <c r="Q189" s="102">
        <v>0</v>
      </c>
      <c r="R189" s="102">
        <v>0</v>
      </c>
      <c r="S189" s="102">
        <v>0</v>
      </c>
      <c r="T189" s="102">
        <v>0</v>
      </c>
      <c r="U189" s="102">
        <v>0</v>
      </c>
      <c r="V189" s="102">
        <v>0</v>
      </c>
      <c r="W189" s="102">
        <v>0</v>
      </c>
      <c r="X189" s="102">
        <v>0</v>
      </c>
      <c r="Y189" s="102">
        <v>0</v>
      </c>
      <c r="Z189" s="102"/>
      <c r="AA189" s="102"/>
      <c r="AB189" s="102">
        <v>0</v>
      </c>
      <c r="AC189" s="102">
        <v>0</v>
      </c>
      <c r="AD189" s="102">
        <v>0</v>
      </c>
      <c r="AE189" s="102">
        <v>0</v>
      </c>
      <c r="AF189" s="102">
        <v>0</v>
      </c>
      <c r="AG189" s="102">
        <v>0</v>
      </c>
      <c r="AH189" s="102">
        <v>0</v>
      </c>
      <c r="AI189" s="102">
        <v>0</v>
      </c>
      <c r="AJ189" s="102">
        <v>0</v>
      </c>
      <c r="AK189" s="102">
        <v>0</v>
      </c>
      <c r="AL189" s="102">
        <v>0</v>
      </c>
      <c r="AM189" s="102">
        <v>0</v>
      </c>
    </row>
    <row r="190" spans="2:39" x14ac:dyDescent="0.3">
      <c r="B190" s="61" t="s">
        <v>1147</v>
      </c>
      <c r="C190" s="141" t="s">
        <v>1498</v>
      </c>
      <c r="D190" s="102">
        <f t="shared" si="22"/>
        <v>14652.440195000001</v>
      </c>
      <c r="E190" s="102">
        <f t="shared" si="22"/>
        <v>12773.507096000001</v>
      </c>
      <c r="F190" s="102">
        <f t="shared" si="22"/>
        <v>54621.974000000002</v>
      </c>
      <c r="G190" s="155"/>
      <c r="H190" s="102">
        <f t="shared" si="17"/>
        <v>14954.774652000002</v>
      </c>
      <c r="I190" s="102">
        <f t="shared" si="17"/>
        <v>13301.690764000001</v>
      </c>
      <c r="J190" s="102">
        <f t="shared" si="23"/>
        <v>54733.747629000005</v>
      </c>
      <c r="K190" s="683"/>
      <c r="M190" s="102"/>
      <c r="N190" s="102">
        <v>14652.440195000001</v>
      </c>
      <c r="O190" s="102">
        <v>9427.764819</v>
      </c>
      <c r="P190" s="102">
        <v>6299.6051600000001</v>
      </c>
      <c r="Q190" s="102">
        <v>3158.7287769999998</v>
      </c>
      <c r="R190" s="102">
        <v>12773.507096000001</v>
      </c>
      <c r="S190" s="102">
        <v>9535.4731209999991</v>
      </c>
      <c r="T190" s="102">
        <v>6435.8457630000003</v>
      </c>
      <c r="U190" s="102">
        <v>3331.958392</v>
      </c>
      <c r="V190" s="102">
        <v>20543.697689000001</v>
      </c>
      <c r="W190" s="102">
        <v>15994.092935000001</v>
      </c>
      <c r="X190" s="102">
        <v>10777.589</v>
      </c>
      <c r="Y190" s="102">
        <v>54621.974000000002</v>
      </c>
      <c r="Z190" s="102"/>
      <c r="AA190" s="102"/>
      <c r="AB190" s="102">
        <v>14954.774652000002</v>
      </c>
      <c r="AC190" s="102">
        <v>9668.0298160000002</v>
      </c>
      <c r="AD190" s="102">
        <v>6471.8236050000005</v>
      </c>
      <c r="AE190" s="102">
        <v>3242.6381379999998</v>
      </c>
      <c r="AF190" s="102">
        <v>13301.690764000001</v>
      </c>
      <c r="AG190" s="102">
        <v>9958.5741409999991</v>
      </c>
      <c r="AH190" s="102">
        <v>6724.9498489999996</v>
      </c>
      <c r="AI190" s="102">
        <v>3469.1151519999999</v>
      </c>
      <c r="AJ190" s="102">
        <v>20552.745658</v>
      </c>
      <c r="AK190" s="102">
        <v>16299.247943</v>
      </c>
      <c r="AL190" s="102">
        <v>10975.565692</v>
      </c>
      <c r="AM190" s="102">
        <v>54733.747629000005</v>
      </c>
    </row>
    <row r="191" spans="2:39" x14ac:dyDescent="0.3">
      <c r="B191" s="61" t="s">
        <v>1148</v>
      </c>
      <c r="C191" s="141" t="s">
        <v>650</v>
      </c>
      <c r="D191" s="102">
        <f t="shared" si="22"/>
        <v>5.8355420000000002</v>
      </c>
      <c r="E191" s="102">
        <f t="shared" si="22"/>
        <v>3.3306480000000001</v>
      </c>
      <c r="F191" s="102">
        <f t="shared" si="22"/>
        <v>2.0259999999999998</v>
      </c>
      <c r="G191" s="155"/>
      <c r="H191" s="102">
        <f t="shared" si="17"/>
        <v>5.8355420000000002</v>
      </c>
      <c r="I191" s="102">
        <f t="shared" si="17"/>
        <v>3.3306480000000001</v>
      </c>
      <c r="J191" s="102">
        <f t="shared" si="23"/>
        <v>2.0263300000000002</v>
      </c>
      <c r="K191" s="683"/>
      <c r="M191" s="102"/>
      <c r="N191" s="102">
        <v>5.8355420000000002</v>
      </c>
      <c r="O191" s="102">
        <v>4.0167849999999996</v>
      </c>
      <c r="P191" s="102">
        <v>2.468499</v>
      </c>
      <c r="Q191" s="102">
        <v>1.0436020000000001</v>
      </c>
      <c r="R191" s="102">
        <v>3.3306480000000001</v>
      </c>
      <c r="S191" s="102">
        <v>2.957843</v>
      </c>
      <c r="T191" s="102">
        <v>2.742413</v>
      </c>
      <c r="U191" s="102">
        <v>1.336797</v>
      </c>
      <c r="V191" s="102">
        <v>6.4833340000000002</v>
      </c>
      <c r="W191" s="102">
        <v>4.3901899999999996</v>
      </c>
      <c r="X191" s="102">
        <v>3.1</v>
      </c>
      <c r="Y191" s="102">
        <v>2.0259999999999998</v>
      </c>
      <c r="Z191" s="102"/>
      <c r="AA191" s="102"/>
      <c r="AB191" s="102">
        <v>5.8355420000000002</v>
      </c>
      <c r="AC191" s="102">
        <v>4.0167849999999996</v>
      </c>
      <c r="AD191" s="102">
        <v>2.468499</v>
      </c>
      <c r="AE191" s="102">
        <v>1.0436019999999999</v>
      </c>
      <c r="AF191" s="102">
        <v>3.3306480000000001</v>
      </c>
      <c r="AG191" s="102">
        <v>2.957843</v>
      </c>
      <c r="AH191" s="102">
        <v>2.742413</v>
      </c>
      <c r="AI191" s="102">
        <v>1.336797</v>
      </c>
      <c r="AJ191" s="102">
        <v>6.4833340000000002</v>
      </c>
      <c r="AK191" s="102">
        <v>4.3901899999999996</v>
      </c>
      <c r="AL191" s="102">
        <v>3.0998739999999998</v>
      </c>
      <c r="AM191" s="102">
        <v>2.0263300000000002</v>
      </c>
    </row>
    <row r="192" spans="2:39" x14ac:dyDescent="0.3">
      <c r="B192" s="61" t="s">
        <v>1149</v>
      </c>
      <c r="C192" s="141" t="s">
        <v>651</v>
      </c>
      <c r="D192" s="102">
        <f t="shared" si="22"/>
        <v>39.452055000000001</v>
      </c>
      <c r="E192" s="102">
        <f t="shared" si="22"/>
        <v>381.36986200000001</v>
      </c>
      <c r="F192" s="102">
        <f t="shared" si="22"/>
        <v>371.233</v>
      </c>
      <c r="G192" s="155"/>
      <c r="H192" s="102">
        <f t="shared" si="17"/>
        <v>39.452055000000001</v>
      </c>
      <c r="I192" s="102">
        <f t="shared" si="17"/>
        <v>381.36986200000001</v>
      </c>
      <c r="J192" s="102">
        <f t="shared" si="23"/>
        <v>371.23287700000003</v>
      </c>
      <c r="K192" s="683"/>
      <c r="M192" s="102"/>
      <c r="N192" s="102">
        <v>39.452055000000001</v>
      </c>
      <c r="O192" s="102">
        <v>39.452055000000001</v>
      </c>
      <c r="P192" s="102">
        <v>39.452055000000001</v>
      </c>
      <c r="Q192" s="102">
        <v>39.452055000000001</v>
      </c>
      <c r="R192" s="102">
        <v>381.36986200000001</v>
      </c>
      <c r="S192" s="102">
        <v>273.97260299999999</v>
      </c>
      <c r="T192" s="102">
        <v>273.97260299999999</v>
      </c>
      <c r="U192" s="102">
        <v>273.97260299999999</v>
      </c>
      <c r="V192" s="102">
        <v>477.80821800000001</v>
      </c>
      <c r="W192" s="102">
        <v>371.23287699999997</v>
      </c>
      <c r="X192" s="102">
        <v>371.233</v>
      </c>
      <c r="Y192" s="102">
        <v>371.233</v>
      </c>
      <c r="Z192" s="102"/>
      <c r="AA192" s="102"/>
      <c r="AB192" s="102">
        <v>39.452055000000001</v>
      </c>
      <c r="AC192" s="102">
        <v>39.452055000000001</v>
      </c>
      <c r="AD192" s="102">
        <v>39.452055000000001</v>
      </c>
      <c r="AE192" s="102">
        <v>39.452055000000001</v>
      </c>
      <c r="AF192" s="102">
        <v>381.36986200000001</v>
      </c>
      <c r="AG192" s="102">
        <v>273.97260299999999</v>
      </c>
      <c r="AH192" s="102">
        <v>273.97260299999999</v>
      </c>
      <c r="AI192" s="102">
        <v>273.97260299999999</v>
      </c>
      <c r="AJ192" s="102">
        <v>477.80821800000001</v>
      </c>
      <c r="AK192" s="102">
        <v>371.23287699999997</v>
      </c>
      <c r="AL192" s="102">
        <v>371.23287699999997</v>
      </c>
      <c r="AM192" s="102">
        <v>371.23287700000003</v>
      </c>
    </row>
    <row r="193" spans="2:39" x14ac:dyDescent="0.3">
      <c r="B193" s="61" t="s">
        <v>1150</v>
      </c>
      <c r="C193" s="141" t="s">
        <v>652</v>
      </c>
      <c r="D193" s="102" t="str">
        <f t="shared" si="22"/>
        <v/>
      </c>
      <c r="E193" s="102" t="str">
        <f t="shared" si="22"/>
        <v/>
      </c>
      <c r="F193" s="102" t="str">
        <f t="shared" si="22"/>
        <v/>
      </c>
      <c r="G193" s="155"/>
      <c r="H193" s="102" t="str">
        <f t="shared" si="17"/>
        <v/>
      </c>
      <c r="I193" s="102" t="str">
        <f t="shared" si="17"/>
        <v/>
      </c>
      <c r="J193" s="102" t="str">
        <f t="shared" si="23"/>
        <v/>
      </c>
      <c r="K193" s="683"/>
      <c r="M193" s="102"/>
      <c r="N193" s="102">
        <v>0</v>
      </c>
      <c r="O193" s="102">
        <v>0</v>
      </c>
      <c r="P193" s="102">
        <v>0</v>
      </c>
      <c r="Q193" s="102">
        <v>0</v>
      </c>
      <c r="R193" s="102">
        <v>0</v>
      </c>
      <c r="S193" s="102">
        <v>0</v>
      </c>
      <c r="T193" s="102">
        <v>0</v>
      </c>
      <c r="U193" s="102">
        <v>0</v>
      </c>
      <c r="V193" s="102">
        <v>0</v>
      </c>
      <c r="W193" s="102">
        <v>0</v>
      </c>
      <c r="X193" s="102">
        <v>0</v>
      </c>
      <c r="Y193" s="102">
        <v>0</v>
      </c>
      <c r="Z193" s="102"/>
      <c r="AA193" s="102"/>
      <c r="AB193" s="102">
        <v>0</v>
      </c>
      <c r="AC193" s="102">
        <v>0</v>
      </c>
      <c r="AD193" s="102">
        <v>0</v>
      </c>
      <c r="AE193" s="102">
        <v>0</v>
      </c>
      <c r="AF193" s="102">
        <v>0</v>
      </c>
      <c r="AG193" s="102">
        <v>0</v>
      </c>
      <c r="AH193" s="102">
        <v>0</v>
      </c>
      <c r="AI193" s="102">
        <v>0</v>
      </c>
      <c r="AJ193" s="102">
        <v>0</v>
      </c>
      <c r="AK193" s="102">
        <v>0</v>
      </c>
      <c r="AL193" s="102">
        <v>0</v>
      </c>
      <c r="AM193" s="102">
        <v>0</v>
      </c>
    </row>
    <row r="194" spans="2:39" x14ac:dyDescent="0.3">
      <c r="B194" s="61" t="s">
        <v>1151</v>
      </c>
      <c r="C194" s="141" t="s">
        <v>1152</v>
      </c>
      <c r="D194" s="102">
        <f t="shared" si="22"/>
        <v>39.452055000000001</v>
      </c>
      <c r="E194" s="102">
        <f t="shared" si="22"/>
        <v>381.36986200000001</v>
      </c>
      <c r="F194" s="102">
        <f t="shared" si="22"/>
        <v>371.233</v>
      </c>
      <c r="G194" s="155"/>
      <c r="H194" s="102">
        <f t="shared" si="17"/>
        <v>39.452055000000001</v>
      </c>
      <c r="I194" s="102">
        <f t="shared" si="17"/>
        <v>381.36986200000001</v>
      </c>
      <c r="J194" s="102">
        <f t="shared" si="23"/>
        <v>371.23287700000003</v>
      </c>
      <c r="K194" s="683"/>
      <c r="M194" s="102"/>
      <c r="N194" s="102">
        <v>39.452055000000001</v>
      </c>
      <c r="O194" s="102">
        <v>39.452055000000001</v>
      </c>
      <c r="P194" s="102">
        <v>39.452055000000001</v>
      </c>
      <c r="Q194" s="102">
        <v>39.452055000000001</v>
      </c>
      <c r="R194" s="102">
        <v>381.36986200000001</v>
      </c>
      <c r="S194" s="102">
        <v>273.97260299999999</v>
      </c>
      <c r="T194" s="102">
        <v>273.97260299999999</v>
      </c>
      <c r="U194" s="102">
        <v>273.97260299999999</v>
      </c>
      <c r="V194" s="102">
        <v>477.80821800000001</v>
      </c>
      <c r="W194" s="102">
        <v>371.23287699999997</v>
      </c>
      <c r="X194" s="102">
        <v>371.233</v>
      </c>
      <c r="Y194" s="102">
        <v>371.233</v>
      </c>
      <c r="Z194" s="102"/>
      <c r="AA194" s="102"/>
      <c r="AB194" s="102">
        <v>39.452055000000001</v>
      </c>
      <c r="AC194" s="102">
        <v>39.452055000000001</v>
      </c>
      <c r="AD194" s="102">
        <v>39.452055000000001</v>
      </c>
      <c r="AE194" s="102">
        <v>39.452055000000001</v>
      </c>
      <c r="AF194" s="102">
        <v>381.36986200000001</v>
      </c>
      <c r="AG194" s="102">
        <v>273.97260299999999</v>
      </c>
      <c r="AH194" s="102">
        <v>273.97260299999999</v>
      </c>
      <c r="AI194" s="102">
        <v>273.97260299999999</v>
      </c>
      <c r="AJ194" s="102">
        <v>477.80821800000001</v>
      </c>
      <c r="AK194" s="102">
        <v>371.23287699999997</v>
      </c>
      <c r="AL194" s="102">
        <v>371.23287699999997</v>
      </c>
      <c r="AM194" s="102">
        <v>371.23287700000003</v>
      </c>
    </row>
    <row r="195" spans="2:39" x14ac:dyDescent="0.3">
      <c r="B195" s="61" t="s">
        <v>1153</v>
      </c>
      <c r="C195" s="141" t="s">
        <v>653</v>
      </c>
      <c r="D195" s="102" t="str">
        <f t="shared" si="22"/>
        <v/>
      </c>
      <c r="E195" s="102" t="str">
        <f t="shared" si="22"/>
        <v/>
      </c>
      <c r="F195" s="102" t="str">
        <f t="shared" si="22"/>
        <v/>
      </c>
      <c r="G195" s="155"/>
      <c r="H195" s="102" t="str">
        <f t="shared" si="17"/>
        <v/>
      </c>
      <c r="I195" s="102" t="str">
        <f t="shared" si="17"/>
        <v/>
      </c>
      <c r="J195" s="102" t="str">
        <f t="shared" si="23"/>
        <v/>
      </c>
      <c r="K195" s="683"/>
      <c r="M195" s="102"/>
      <c r="N195" s="102">
        <v>0</v>
      </c>
      <c r="O195" s="102">
        <v>0</v>
      </c>
      <c r="P195" s="102">
        <v>0</v>
      </c>
      <c r="Q195" s="102">
        <v>0</v>
      </c>
      <c r="R195" s="102">
        <v>0</v>
      </c>
      <c r="S195" s="102">
        <v>0</v>
      </c>
      <c r="T195" s="102">
        <v>0</v>
      </c>
      <c r="U195" s="102">
        <v>0</v>
      </c>
      <c r="V195" s="102">
        <v>0</v>
      </c>
      <c r="W195" s="102">
        <v>0</v>
      </c>
      <c r="X195" s="102">
        <v>0</v>
      </c>
      <c r="Y195" s="102">
        <v>0</v>
      </c>
      <c r="Z195" s="102"/>
      <c r="AA195" s="102"/>
      <c r="AB195" s="102">
        <v>0</v>
      </c>
      <c r="AC195" s="102">
        <v>0</v>
      </c>
      <c r="AD195" s="102">
        <v>0</v>
      </c>
      <c r="AE195" s="102">
        <v>0</v>
      </c>
      <c r="AF195" s="102">
        <v>0</v>
      </c>
      <c r="AG195" s="102">
        <v>0</v>
      </c>
      <c r="AH195" s="102">
        <v>0</v>
      </c>
      <c r="AI195" s="102">
        <v>0</v>
      </c>
      <c r="AJ195" s="102">
        <v>0</v>
      </c>
      <c r="AK195" s="102">
        <v>0</v>
      </c>
      <c r="AL195" s="102">
        <v>0</v>
      </c>
      <c r="AM195" s="102">
        <v>0</v>
      </c>
    </row>
    <row r="196" spans="2:39" x14ac:dyDescent="0.3">
      <c r="B196" s="61" t="s">
        <v>1143</v>
      </c>
      <c r="C196" s="141" t="s">
        <v>654</v>
      </c>
      <c r="D196" s="102" t="str">
        <f t="shared" si="22"/>
        <v/>
      </c>
      <c r="E196" s="102" t="str">
        <f t="shared" si="22"/>
        <v/>
      </c>
      <c r="F196" s="102" t="str">
        <f t="shared" si="22"/>
        <v/>
      </c>
      <c r="G196" s="155"/>
      <c r="H196" s="102" t="str">
        <f t="shared" si="17"/>
        <v/>
      </c>
      <c r="I196" s="102" t="str">
        <f t="shared" si="17"/>
        <v/>
      </c>
      <c r="J196" s="102" t="str">
        <f t="shared" si="23"/>
        <v/>
      </c>
      <c r="K196" s="683"/>
      <c r="M196" s="102"/>
      <c r="N196" s="102">
        <v>0</v>
      </c>
      <c r="O196" s="102">
        <v>0</v>
      </c>
      <c r="P196" s="102">
        <v>0</v>
      </c>
      <c r="Q196" s="102">
        <v>0</v>
      </c>
      <c r="R196" s="102">
        <v>0</v>
      </c>
      <c r="S196" s="102">
        <v>0</v>
      </c>
      <c r="T196" s="102">
        <v>0</v>
      </c>
      <c r="U196" s="102">
        <v>0</v>
      </c>
      <c r="V196" s="102">
        <v>0</v>
      </c>
      <c r="W196" s="102">
        <v>0</v>
      </c>
      <c r="X196" s="102">
        <v>0</v>
      </c>
      <c r="Y196" s="102">
        <v>0</v>
      </c>
      <c r="Z196" s="102"/>
      <c r="AA196" s="102"/>
      <c r="AB196" s="102">
        <v>0</v>
      </c>
      <c r="AC196" s="102">
        <v>0</v>
      </c>
      <c r="AD196" s="102">
        <v>0</v>
      </c>
      <c r="AE196" s="102">
        <v>0</v>
      </c>
      <c r="AF196" s="102">
        <v>0</v>
      </c>
      <c r="AG196" s="102">
        <v>0</v>
      </c>
      <c r="AH196" s="102">
        <v>0</v>
      </c>
      <c r="AI196" s="102">
        <v>0</v>
      </c>
      <c r="AJ196" s="102">
        <v>0</v>
      </c>
      <c r="AK196" s="102">
        <v>0</v>
      </c>
      <c r="AL196" s="102">
        <v>0</v>
      </c>
      <c r="AM196" s="102">
        <v>0</v>
      </c>
    </row>
    <row r="197" spans="2:39" x14ac:dyDescent="0.3">
      <c r="B197" s="61" t="s">
        <v>1154</v>
      </c>
      <c r="C197" s="141" t="s">
        <v>655</v>
      </c>
      <c r="D197" s="102">
        <f t="shared" si="22"/>
        <v>13913.675595000001</v>
      </c>
      <c r="E197" s="102">
        <f t="shared" si="22"/>
        <v>11808.952745999999</v>
      </c>
      <c r="F197" s="102">
        <f t="shared" si="22"/>
        <v>5114.7879999999996</v>
      </c>
      <c r="G197" s="155"/>
      <c r="H197" s="102">
        <f t="shared" si="17"/>
        <v>13913.675595000001</v>
      </c>
      <c r="I197" s="102">
        <f t="shared" si="17"/>
        <v>11808.952746000001</v>
      </c>
      <c r="J197" s="102">
        <f t="shared" si="23"/>
        <v>5114.7883430000002</v>
      </c>
      <c r="K197" s="683"/>
      <c r="M197" s="102"/>
      <c r="N197" s="102">
        <v>13913.675595000001</v>
      </c>
      <c r="O197" s="102">
        <v>8834.8022219999984</v>
      </c>
      <c r="P197" s="102">
        <v>5879.5171050000008</v>
      </c>
      <c r="Q197" s="102">
        <v>2924.2258879999999</v>
      </c>
      <c r="R197" s="102">
        <v>11808.952745999999</v>
      </c>
      <c r="S197" s="102">
        <v>8856.5807990000012</v>
      </c>
      <c r="T197" s="102">
        <v>5894.076865</v>
      </c>
      <c r="U197" s="102">
        <v>2942.0024389999999</v>
      </c>
      <c r="V197" s="102">
        <v>19872.540313999998</v>
      </c>
      <c r="W197" s="102">
        <v>15475.451181</v>
      </c>
      <c r="X197" s="102">
        <v>10306.468000000001</v>
      </c>
      <c r="Y197" s="102">
        <v>5114.7879999999996</v>
      </c>
      <c r="Z197" s="102"/>
      <c r="AA197" s="102"/>
      <c r="AB197" s="102">
        <v>13913.675595000001</v>
      </c>
      <c r="AC197" s="102">
        <v>8834.8022220000003</v>
      </c>
      <c r="AD197" s="102">
        <v>5879.5171049999999</v>
      </c>
      <c r="AE197" s="102">
        <v>2924.2258879999999</v>
      </c>
      <c r="AF197" s="102">
        <v>11808.952746000001</v>
      </c>
      <c r="AG197" s="102">
        <v>8856.5807989999994</v>
      </c>
      <c r="AH197" s="102">
        <v>5894.076865</v>
      </c>
      <c r="AI197" s="102">
        <v>2942.0024389999999</v>
      </c>
      <c r="AJ197" s="102">
        <v>19872.540314000002</v>
      </c>
      <c r="AK197" s="102">
        <v>15475.451181</v>
      </c>
      <c r="AL197" s="102">
        <v>10306.467514</v>
      </c>
      <c r="AM197" s="102">
        <v>5114.7883430000002</v>
      </c>
    </row>
    <row r="198" spans="2:39" x14ac:dyDescent="0.3">
      <c r="B198" s="61" t="s">
        <v>1155</v>
      </c>
      <c r="C198" s="141" t="s">
        <v>656</v>
      </c>
      <c r="D198" s="102" t="str">
        <f t="shared" si="22"/>
        <v/>
      </c>
      <c r="E198" s="102" t="str">
        <f t="shared" si="22"/>
        <v/>
      </c>
      <c r="F198" s="102" t="str">
        <f t="shared" si="22"/>
        <v/>
      </c>
      <c r="G198" s="155"/>
      <c r="H198" s="102" t="str">
        <f t="shared" si="17"/>
        <v/>
      </c>
      <c r="I198" s="102" t="str">
        <f t="shared" si="17"/>
        <v/>
      </c>
      <c r="J198" s="102" t="str">
        <f t="shared" si="23"/>
        <v/>
      </c>
      <c r="K198" s="683"/>
      <c r="M198" s="102"/>
      <c r="N198" s="102">
        <v>0</v>
      </c>
      <c r="O198" s="102">
        <v>0</v>
      </c>
      <c r="P198" s="102">
        <v>0</v>
      </c>
      <c r="Q198" s="102">
        <v>0</v>
      </c>
      <c r="R198" s="102">
        <v>0</v>
      </c>
      <c r="S198" s="102">
        <v>0</v>
      </c>
      <c r="T198" s="102">
        <v>0</v>
      </c>
      <c r="U198" s="102">
        <v>0</v>
      </c>
      <c r="V198" s="102">
        <v>0</v>
      </c>
      <c r="W198" s="102">
        <v>0</v>
      </c>
      <c r="X198" s="102">
        <v>0</v>
      </c>
      <c r="Y198" s="102">
        <v>0</v>
      </c>
      <c r="Z198" s="102"/>
      <c r="AA198" s="102"/>
      <c r="AB198" s="102">
        <v>0</v>
      </c>
      <c r="AC198" s="102">
        <v>0</v>
      </c>
      <c r="AD198" s="102">
        <v>0</v>
      </c>
      <c r="AE198" s="102">
        <v>0</v>
      </c>
      <c r="AF198" s="102">
        <v>0</v>
      </c>
      <c r="AG198" s="102">
        <v>0</v>
      </c>
      <c r="AH198" s="102">
        <v>0</v>
      </c>
      <c r="AI198" s="102">
        <v>0</v>
      </c>
      <c r="AJ198" s="102">
        <v>0</v>
      </c>
      <c r="AK198" s="102">
        <v>0</v>
      </c>
      <c r="AL198" s="102">
        <v>0</v>
      </c>
      <c r="AM198" s="102">
        <v>0</v>
      </c>
    </row>
    <row r="199" spans="2:39" x14ac:dyDescent="0.3">
      <c r="B199" s="61" t="s">
        <v>1156</v>
      </c>
      <c r="C199" s="141" t="s">
        <v>657</v>
      </c>
      <c r="D199" s="102" t="str">
        <f t="shared" si="22"/>
        <v/>
      </c>
      <c r="E199" s="102" t="str">
        <f t="shared" si="22"/>
        <v/>
      </c>
      <c r="F199" s="102" t="str">
        <f t="shared" si="22"/>
        <v/>
      </c>
      <c r="G199" s="155"/>
      <c r="H199" s="102" t="str">
        <f t="shared" ref="H199:I262" si="24">IF(HLOOKUP(H$5,$AA$5:$AM$315,ROW()-ROW($J$4),FALSE)=0,"",HLOOKUP(H$5,$AA$5:$AM$315,ROW()-ROW($J$4),FALSE))</f>
        <v/>
      </c>
      <c r="I199" s="102" t="str">
        <f t="shared" si="24"/>
        <v/>
      </c>
      <c r="J199" s="102" t="str">
        <f t="shared" si="23"/>
        <v/>
      </c>
      <c r="K199" s="683"/>
      <c r="M199" s="102"/>
      <c r="N199" s="102">
        <v>0</v>
      </c>
      <c r="O199" s="102">
        <v>0</v>
      </c>
      <c r="P199" s="102">
        <v>0</v>
      </c>
      <c r="Q199" s="102">
        <v>0</v>
      </c>
      <c r="R199" s="102">
        <v>0</v>
      </c>
      <c r="S199" s="102">
        <v>0</v>
      </c>
      <c r="T199" s="102">
        <v>0</v>
      </c>
      <c r="U199" s="102">
        <v>0</v>
      </c>
      <c r="V199" s="102">
        <v>0</v>
      </c>
      <c r="W199" s="102">
        <v>0</v>
      </c>
      <c r="X199" s="102">
        <v>0</v>
      </c>
      <c r="Y199" s="102">
        <v>0</v>
      </c>
      <c r="Z199" s="102"/>
      <c r="AA199" s="102"/>
      <c r="AB199" s="102">
        <v>0</v>
      </c>
      <c r="AC199" s="102">
        <v>0</v>
      </c>
      <c r="AD199" s="102">
        <v>0</v>
      </c>
      <c r="AE199" s="102">
        <v>0</v>
      </c>
      <c r="AF199" s="102">
        <v>0</v>
      </c>
      <c r="AG199" s="102">
        <v>0</v>
      </c>
      <c r="AH199" s="102">
        <v>0</v>
      </c>
      <c r="AI199" s="102">
        <v>0</v>
      </c>
      <c r="AJ199" s="102">
        <v>0</v>
      </c>
      <c r="AK199" s="102">
        <v>0</v>
      </c>
      <c r="AL199" s="102">
        <v>0</v>
      </c>
      <c r="AM199" s="102">
        <v>0</v>
      </c>
    </row>
    <row r="200" spans="2:39" x14ac:dyDescent="0.3">
      <c r="B200" s="61" t="s">
        <v>1157</v>
      </c>
      <c r="C200" s="141" t="s">
        <v>1449</v>
      </c>
      <c r="D200" s="102">
        <f t="shared" si="22"/>
        <v>641.41251199999999</v>
      </c>
      <c r="E200" s="102">
        <f t="shared" si="22"/>
        <v>538.73322900000005</v>
      </c>
      <c r="F200" s="102">
        <f t="shared" si="22"/>
        <v>40.152999999999999</v>
      </c>
      <c r="G200" s="155"/>
      <c r="H200" s="102">
        <f t="shared" si="24"/>
        <v>641.41251199999999</v>
      </c>
      <c r="I200" s="102">
        <f t="shared" si="24"/>
        <v>538.73322900000005</v>
      </c>
      <c r="J200" s="102">
        <f t="shared" si="23"/>
        <v>40.153274000000003</v>
      </c>
      <c r="K200" s="683"/>
      <c r="M200" s="102"/>
      <c r="N200" s="102">
        <v>641.41251199999999</v>
      </c>
      <c r="O200" s="102">
        <v>509.60248799999999</v>
      </c>
      <c r="P200" s="102">
        <v>351.77554900000001</v>
      </c>
      <c r="Q200" s="102">
        <v>178.50252600000002</v>
      </c>
      <c r="R200" s="102">
        <v>538.73322900000005</v>
      </c>
      <c r="S200" s="102">
        <v>371.900509</v>
      </c>
      <c r="T200" s="102">
        <v>245.308469</v>
      </c>
      <c r="U200" s="102">
        <v>108.565039</v>
      </c>
      <c r="V200" s="102">
        <v>161.45407399999999</v>
      </c>
      <c r="W200" s="102">
        <v>122.838792</v>
      </c>
      <c r="X200" s="102">
        <v>83.341999999999999</v>
      </c>
      <c r="Y200" s="102">
        <v>40.152999999999999</v>
      </c>
      <c r="Z200" s="102"/>
      <c r="AA200" s="102"/>
      <c r="AB200" s="102">
        <v>641.41251199999999</v>
      </c>
      <c r="AC200" s="102">
        <v>509.60248799999999</v>
      </c>
      <c r="AD200" s="102">
        <v>351.77554900000001</v>
      </c>
      <c r="AE200" s="102">
        <v>178.50252599999999</v>
      </c>
      <c r="AF200" s="102">
        <v>538.73322900000005</v>
      </c>
      <c r="AG200" s="102">
        <v>371.900509</v>
      </c>
      <c r="AH200" s="102">
        <v>245.308469</v>
      </c>
      <c r="AI200" s="102">
        <v>108.565039</v>
      </c>
      <c r="AJ200" s="102">
        <v>161.45407399999999</v>
      </c>
      <c r="AK200" s="102">
        <v>122.838792</v>
      </c>
      <c r="AL200" s="102">
        <v>83.341707999999997</v>
      </c>
      <c r="AM200" s="102">
        <v>40.153274000000003</v>
      </c>
    </row>
    <row r="201" spans="2:39" x14ac:dyDescent="0.3">
      <c r="B201" s="61" t="s">
        <v>1158</v>
      </c>
      <c r="C201" s="141" t="s">
        <v>1159</v>
      </c>
      <c r="D201" s="102">
        <f t="shared" si="22"/>
        <v>52.064491000000004</v>
      </c>
      <c r="E201" s="102">
        <f t="shared" si="22"/>
        <v>41.120610999999997</v>
      </c>
      <c r="F201" s="102">
        <f t="shared" si="22"/>
        <v>49093.773000000001</v>
      </c>
      <c r="G201" s="155"/>
      <c r="H201" s="102">
        <f t="shared" si="24"/>
        <v>354.39894800000002</v>
      </c>
      <c r="I201" s="102">
        <f t="shared" si="24"/>
        <v>569.30427899999995</v>
      </c>
      <c r="J201" s="102">
        <f t="shared" si="23"/>
        <v>49205.546804999998</v>
      </c>
      <c r="K201" s="683"/>
      <c r="M201" s="102"/>
      <c r="N201" s="102">
        <v>52.064491000000004</v>
      </c>
      <c r="O201" s="102">
        <v>39.891269000000001</v>
      </c>
      <c r="P201" s="102">
        <v>26.391952</v>
      </c>
      <c r="Q201" s="102">
        <v>15.504706000000001</v>
      </c>
      <c r="R201" s="102">
        <v>41.120610999999997</v>
      </c>
      <c r="S201" s="102">
        <v>30.061366999999997</v>
      </c>
      <c r="T201" s="102">
        <v>19.745412999999999</v>
      </c>
      <c r="U201" s="102">
        <v>6.0815140000000003</v>
      </c>
      <c r="V201" s="102">
        <v>25.411749</v>
      </c>
      <c r="W201" s="102">
        <v>20.179895000000002</v>
      </c>
      <c r="X201" s="102">
        <v>13.446999999999999</v>
      </c>
      <c r="Y201" s="102">
        <v>49093.773000000001</v>
      </c>
      <c r="Z201" s="102"/>
      <c r="AA201" s="102"/>
      <c r="AB201" s="102">
        <v>354.39894800000002</v>
      </c>
      <c r="AC201" s="102">
        <v>280.15626600000002</v>
      </c>
      <c r="AD201" s="102">
        <v>198.61039700000001</v>
      </c>
      <c r="AE201" s="102">
        <v>99.414067000000003</v>
      </c>
      <c r="AF201" s="102">
        <v>569.30427899999995</v>
      </c>
      <c r="AG201" s="102">
        <v>453.16238700000002</v>
      </c>
      <c r="AH201" s="102">
        <v>308.84949899999998</v>
      </c>
      <c r="AI201" s="102">
        <v>143.23827399999999</v>
      </c>
      <c r="AJ201" s="102">
        <v>34.459718000000002</v>
      </c>
      <c r="AK201" s="102">
        <v>325.334903</v>
      </c>
      <c r="AL201" s="102">
        <v>211.42371900000001</v>
      </c>
      <c r="AM201" s="102">
        <v>49205.546804999998</v>
      </c>
    </row>
    <row r="202" spans="2:39" x14ac:dyDescent="0.3">
      <c r="B202" s="61" t="s">
        <v>1160</v>
      </c>
      <c r="C202" s="141" t="s">
        <v>1499</v>
      </c>
      <c r="D202" s="102">
        <f t="shared" si="22"/>
        <v>20658.569664999999</v>
      </c>
      <c r="E202" s="102">
        <f t="shared" si="22"/>
        <v>20023.981184999997</v>
      </c>
      <c r="F202" s="102">
        <f t="shared" si="22"/>
        <v>5210.4740000000002</v>
      </c>
      <c r="G202" s="155"/>
      <c r="H202" s="102">
        <f t="shared" si="24"/>
        <v>20680.405664999998</v>
      </c>
      <c r="I202" s="102">
        <f t="shared" si="24"/>
        <v>20040.338785</v>
      </c>
      <c r="J202" s="102">
        <f t="shared" si="23"/>
        <v>5288.0360549999996</v>
      </c>
      <c r="K202" s="683"/>
      <c r="M202" s="102"/>
      <c r="N202" s="102">
        <v>20658.569664999999</v>
      </c>
      <c r="O202" s="102">
        <v>15483.933790999999</v>
      </c>
      <c r="P202" s="102">
        <v>10167.640202999999</v>
      </c>
      <c r="Q202" s="102">
        <v>5082.5885509999998</v>
      </c>
      <c r="R202" s="102">
        <v>20023.981184999997</v>
      </c>
      <c r="S202" s="102">
        <v>14255.373873</v>
      </c>
      <c r="T202" s="102">
        <v>9592.0679170000003</v>
      </c>
      <c r="U202" s="102">
        <v>5171.1318260000007</v>
      </c>
      <c r="V202" s="102">
        <v>20518.133899999997</v>
      </c>
      <c r="W202" s="102">
        <v>15118.310157</v>
      </c>
      <c r="X202" s="102">
        <v>10070.465</v>
      </c>
      <c r="Y202" s="102">
        <v>5210.4740000000002</v>
      </c>
      <c r="Z202" s="102"/>
      <c r="AA202" s="102"/>
      <c r="AB202" s="102">
        <v>20680.405664999998</v>
      </c>
      <c r="AC202" s="102">
        <v>15501.505791</v>
      </c>
      <c r="AD202" s="102">
        <v>10180.067703000001</v>
      </c>
      <c r="AE202" s="102">
        <v>5089.0005510000001</v>
      </c>
      <c r="AF202" s="102">
        <v>20040.338785</v>
      </c>
      <c r="AG202" s="102">
        <v>14269.581473</v>
      </c>
      <c r="AH202" s="102">
        <v>9603.7522169999993</v>
      </c>
      <c r="AI202" s="102">
        <v>5177.099526</v>
      </c>
      <c r="AJ202" s="102">
        <v>21479.331295</v>
      </c>
      <c r="AK202" s="102">
        <v>15916.193552000001</v>
      </c>
      <c r="AL202" s="102">
        <v>10379.795556999999</v>
      </c>
      <c r="AM202" s="102">
        <v>5288.0360549999996</v>
      </c>
    </row>
    <row r="203" spans="2:39" x14ac:dyDescent="0.3">
      <c r="B203" s="61" t="s">
        <v>1161</v>
      </c>
      <c r="C203" s="141" t="s">
        <v>1500</v>
      </c>
      <c r="D203" s="102" t="str">
        <f t="shared" si="22"/>
        <v/>
      </c>
      <c r="E203" s="102" t="str">
        <f t="shared" si="22"/>
        <v/>
      </c>
      <c r="F203" s="102" t="str">
        <f t="shared" si="22"/>
        <v/>
      </c>
      <c r="G203" s="155"/>
      <c r="H203" s="102" t="str">
        <f t="shared" si="24"/>
        <v/>
      </c>
      <c r="I203" s="102" t="str">
        <f t="shared" si="24"/>
        <v/>
      </c>
      <c r="J203" s="102" t="str">
        <f t="shared" si="23"/>
        <v/>
      </c>
      <c r="K203" s="683"/>
      <c r="M203" s="102"/>
      <c r="N203" s="102">
        <v>0</v>
      </c>
      <c r="O203" s="102">
        <v>0</v>
      </c>
      <c r="P203" s="102">
        <v>0</v>
      </c>
      <c r="Q203" s="102">
        <v>0</v>
      </c>
      <c r="R203" s="102">
        <v>0</v>
      </c>
      <c r="S203" s="102">
        <v>0</v>
      </c>
      <c r="T203" s="102">
        <v>0</v>
      </c>
      <c r="U203" s="102">
        <v>0</v>
      </c>
      <c r="V203" s="102">
        <v>0</v>
      </c>
      <c r="W203" s="102">
        <v>0</v>
      </c>
      <c r="X203" s="102">
        <v>0</v>
      </c>
      <c r="Y203" s="102">
        <v>0</v>
      </c>
      <c r="Z203" s="102"/>
      <c r="AA203" s="102"/>
      <c r="AB203" s="102">
        <v>0</v>
      </c>
      <c r="AC203" s="102">
        <v>0</v>
      </c>
      <c r="AD203" s="102">
        <v>0</v>
      </c>
      <c r="AE203" s="102">
        <v>0</v>
      </c>
      <c r="AF203" s="102">
        <v>0</v>
      </c>
      <c r="AG203" s="102">
        <v>0</v>
      </c>
      <c r="AH203" s="102">
        <v>0</v>
      </c>
      <c r="AI203" s="102">
        <v>0</v>
      </c>
      <c r="AJ203" s="102">
        <v>0</v>
      </c>
      <c r="AK203" s="102">
        <v>0</v>
      </c>
      <c r="AL203" s="102">
        <v>0</v>
      </c>
      <c r="AM203" s="102">
        <v>0</v>
      </c>
    </row>
    <row r="204" spans="2:39" x14ac:dyDescent="0.3">
      <c r="B204" s="61" t="s">
        <v>1162</v>
      </c>
      <c r="C204" s="141" t="s">
        <v>1501</v>
      </c>
      <c r="D204" s="102" t="str">
        <f t="shared" si="22"/>
        <v/>
      </c>
      <c r="E204" s="102" t="str">
        <f t="shared" si="22"/>
        <v/>
      </c>
      <c r="F204" s="102" t="str">
        <f t="shared" si="22"/>
        <v/>
      </c>
      <c r="G204" s="155"/>
      <c r="H204" s="102">
        <f t="shared" si="24"/>
        <v>460.49705299999999</v>
      </c>
      <c r="I204" s="102" t="str">
        <f t="shared" si="24"/>
        <v/>
      </c>
      <c r="J204" s="102" t="str">
        <f t="shared" si="23"/>
        <v/>
      </c>
      <c r="K204" s="683"/>
      <c r="M204" s="102"/>
      <c r="N204" s="102">
        <v>0</v>
      </c>
      <c r="O204" s="102">
        <v>0</v>
      </c>
      <c r="P204" s="102">
        <v>0</v>
      </c>
      <c r="Q204" s="102">
        <v>0</v>
      </c>
      <c r="R204" s="102">
        <v>0</v>
      </c>
      <c r="S204" s="102">
        <v>0</v>
      </c>
      <c r="T204" s="102">
        <v>0</v>
      </c>
      <c r="U204" s="102">
        <v>0</v>
      </c>
      <c r="V204" s="102">
        <v>0</v>
      </c>
      <c r="W204" s="102">
        <v>0</v>
      </c>
      <c r="X204" s="102">
        <v>0</v>
      </c>
      <c r="Y204" s="102">
        <v>0</v>
      </c>
      <c r="Z204" s="102"/>
      <c r="AA204" s="102"/>
      <c r="AB204" s="102">
        <v>460.49705299999999</v>
      </c>
      <c r="AC204" s="102">
        <v>475.724628</v>
      </c>
      <c r="AD204" s="102">
        <v>141.27586299999999</v>
      </c>
      <c r="AE204" s="102">
        <v>505.39493099999999</v>
      </c>
      <c r="AF204" s="102">
        <v>0</v>
      </c>
      <c r="AG204" s="102">
        <v>0</v>
      </c>
      <c r="AH204" s="102">
        <v>0</v>
      </c>
      <c r="AI204" s="102">
        <v>0</v>
      </c>
      <c r="AJ204" s="102">
        <v>0</v>
      </c>
      <c r="AK204" s="102">
        <v>0</v>
      </c>
      <c r="AL204" s="102">
        <v>0</v>
      </c>
      <c r="AM204" s="102">
        <v>0</v>
      </c>
    </row>
    <row r="205" spans="2:39" x14ac:dyDescent="0.3">
      <c r="B205" s="61" t="s">
        <v>1163</v>
      </c>
      <c r="C205" s="141" t="s">
        <v>1502</v>
      </c>
      <c r="D205" s="102">
        <f t="shared" si="22"/>
        <v>177453.92746000001</v>
      </c>
      <c r="E205" s="102">
        <f t="shared" si="22"/>
        <v>125435.443749</v>
      </c>
      <c r="F205" s="102">
        <f t="shared" si="22"/>
        <v>8274.1740000000009</v>
      </c>
      <c r="G205" s="155"/>
      <c r="H205" s="102">
        <f t="shared" si="24"/>
        <v>177460.50823199999</v>
      </c>
      <c r="I205" s="102">
        <f t="shared" si="24"/>
        <v>125469.751185</v>
      </c>
      <c r="J205" s="102">
        <f t="shared" si="23"/>
        <v>8274.1739739999994</v>
      </c>
      <c r="K205" s="683"/>
      <c r="M205" s="102"/>
      <c r="N205" s="102">
        <v>177453.92746000001</v>
      </c>
      <c r="O205" s="102">
        <v>157057.92183500002</v>
      </c>
      <c r="P205" s="102">
        <v>150189.128172</v>
      </c>
      <c r="Q205" s="102">
        <v>20582.607110000001</v>
      </c>
      <c r="R205" s="102">
        <v>125435.443749</v>
      </c>
      <c r="S205" s="102">
        <v>76172.052586999998</v>
      </c>
      <c r="T205" s="102">
        <v>51962.070806000003</v>
      </c>
      <c r="U205" s="102">
        <v>21609.953852999999</v>
      </c>
      <c r="V205" s="102">
        <v>178331.801591</v>
      </c>
      <c r="W205" s="102">
        <v>67189.532871999996</v>
      </c>
      <c r="X205" s="102">
        <v>37661.112999999998</v>
      </c>
      <c r="Y205" s="102">
        <v>8274.1740000000009</v>
      </c>
      <c r="Z205" s="102"/>
      <c r="AA205" s="102"/>
      <c r="AB205" s="102">
        <v>177460.50823199999</v>
      </c>
      <c r="AC205" s="102">
        <v>157064.502607</v>
      </c>
      <c r="AD205" s="102">
        <v>150195.70813700001</v>
      </c>
      <c r="AE205" s="102">
        <v>20582.607110000001</v>
      </c>
      <c r="AF205" s="102">
        <v>125469.751185</v>
      </c>
      <c r="AG205" s="102">
        <v>76173.075171000004</v>
      </c>
      <c r="AH205" s="102">
        <v>51962.853476999997</v>
      </c>
      <c r="AI205" s="102">
        <v>21610.735766999998</v>
      </c>
      <c r="AJ205" s="102">
        <v>234055.08568600001</v>
      </c>
      <c r="AK205" s="102">
        <v>67191.173257000002</v>
      </c>
      <c r="AL205" s="102">
        <v>37661.112896999999</v>
      </c>
      <c r="AM205" s="102">
        <v>8274.1739739999994</v>
      </c>
    </row>
    <row r="206" spans="2:39" x14ac:dyDescent="0.3">
      <c r="B206" s="61" t="s">
        <v>1164</v>
      </c>
      <c r="C206" s="141" t="s">
        <v>638</v>
      </c>
      <c r="D206" s="102">
        <f t="shared" ref="D206:F225" si="25">IF(HLOOKUP(D$5,$M$5:$Y$319,ROW()-ROW($F$4),FALSE)=0,"",HLOOKUP(D$5,$M$5:$Y$319,ROW()-ROW($F$4),FALSE))</f>
        <v>163180.09056600003</v>
      </c>
      <c r="E206" s="102">
        <f t="shared" si="25"/>
        <v>118865.59912</v>
      </c>
      <c r="F206" s="102">
        <f t="shared" si="25"/>
        <v>8269.3089999999993</v>
      </c>
      <c r="G206" s="155"/>
      <c r="H206" s="102">
        <f t="shared" si="24"/>
        <v>163186.67133799999</v>
      </c>
      <c r="I206" s="102">
        <f t="shared" si="24"/>
        <v>118899.906556</v>
      </c>
      <c r="J206" s="102">
        <f t="shared" ref="J206:J225" si="26">IF(HLOOKUP(J$5,$AA$5:$AM$315,ROW()-ROW($J$4),FALSE)=0,"",HLOOKUP(J$5,$AA$5:$AM$315,ROW()-ROW($J$4),FALSE))</f>
        <v>8269.3093339999996</v>
      </c>
      <c r="K206" s="683"/>
      <c r="M206" s="102"/>
      <c r="N206" s="102">
        <v>163180.09056600003</v>
      </c>
      <c r="O206" s="102">
        <v>151624.999304</v>
      </c>
      <c r="P206" s="102">
        <v>145548.896488</v>
      </c>
      <c r="Q206" s="102">
        <v>16594.480307000002</v>
      </c>
      <c r="R206" s="102">
        <v>118865.59912</v>
      </c>
      <c r="S206" s="102">
        <v>74044.888162000003</v>
      </c>
      <c r="T206" s="102">
        <v>51151.489320000001</v>
      </c>
      <c r="U206" s="102">
        <v>21140.691733</v>
      </c>
      <c r="V206" s="102">
        <v>82648.895578999989</v>
      </c>
      <c r="W206" s="102">
        <v>65570.390601999999</v>
      </c>
      <c r="X206" s="102">
        <v>36706.402000000002</v>
      </c>
      <c r="Y206" s="102">
        <v>8269.3089999999993</v>
      </c>
      <c r="Z206" s="102"/>
      <c r="AA206" s="102"/>
      <c r="AB206" s="102">
        <v>163186.67133799999</v>
      </c>
      <c r="AC206" s="102">
        <v>151631.58007600001</v>
      </c>
      <c r="AD206" s="102">
        <v>145555.47645300001</v>
      </c>
      <c r="AE206" s="102">
        <v>16594.480307000002</v>
      </c>
      <c r="AF206" s="102">
        <v>118899.906556</v>
      </c>
      <c r="AG206" s="102">
        <v>74045.910745999994</v>
      </c>
      <c r="AH206" s="102">
        <v>51152.271991000001</v>
      </c>
      <c r="AI206" s="102">
        <v>21141.473646999999</v>
      </c>
      <c r="AJ206" s="102">
        <v>138372.17967400001</v>
      </c>
      <c r="AK206" s="102">
        <v>65572.030987000006</v>
      </c>
      <c r="AL206" s="102">
        <v>36706.402000000002</v>
      </c>
      <c r="AM206" s="102">
        <v>8269.3093339999996</v>
      </c>
    </row>
    <row r="207" spans="2:39" x14ac:dyDescent="0.3">
      <c r="B207" s="61" t="s">
        <v>707</v>
      </c>
      <c r="C207" s="141" t="s">
        <v>639</v>
      </c>
      <c r="D207" s="102" t="str">
        <f t="shared" si="25"/>
        <v/>
      </c>
      <c r="E207" s="102">
        <f t="shared" si="25"/>
        <v>0.6</v>
      </c>
      <c r="F207" s="102">
        <f t="shared" si="25"/>
        <v>20.34</v>
      </c>
      <c r="G207" s="155"/>
      <c r="H207" s="102" t="str">
        <f t="shared" si="24"/>
        <v/>
      </c>
      <c r="I207" s="102">
        <f t="shared" si="24"/>
        <v>0.6</v>
      </c>
      <c r="J207" s="102" t="str">
        <f t="shared" si="26"/>
        <v/>
      </c>
      <c r="K207" s="683"/>
      <c r="M207" s="102"/>
      <c r="N207" s="102">
        <v>0</v>
      </c>
      <c r="O207" s="102">
        <v>0</v>
      </c>
      <c r="P207" s="102">
        <v>0</v>
      </c>
      <c r="Q207" s="102">
        <v>0</v>
      </c>
      <c r="R207" s="102">
        <v>0.6</v>
      </c>
      <c r="S207" s="102">
        <v>0.6</v>
      </c>
      <c r="T207" s="102">
        <v>0</v>
      </c>
      <c r="U207" s="102">
        <v>0</v>
      </c>
      <c r="V207" s="102">
        <v>20.34</v>
      </c>
      <c r="W207" s="102">
        <v>20.34</v>
      </c>
      <c r="X207" s="102">
        <v>2.034E-2</v>
      </c>
      <c r="Y207" s="102">
        <v>20.34</v>
      </c>
      <c r="Z207" s="102"/>
      <c r="AA207" s="102"/>
      <c r="AB207" s="102">
        <v>0</v>
      </c>
      <c r="AC207" s="102">
        <v>0</v>
      </c>
      <c r="AD207" s="102">
        <v>0</v>
      </c>
      <c r="AE207" s="102">
        <v>0</v>
      </c>
      <c r="AF207" s="102">
        <v>0.6</v>
      </c>
      <c r="AG207" s="102">
        <v>0.6</v>
      </c>
      <c r="AH207" s="102">
        <v>0</v>
      </c>
      <c r="AI207" s="102">
        <v>0</v>
      </c>
      <c r="AJ207" s="102">
        <v>0</v>
      </c>
      <c r="AK207" s="102">
        <v>20.34</v>
      </c>
      <c r="AL207" s="102">
        <v>0</v>
      </c>
      <c r="AM207" s="102">
        <v>0</v>
      </c>
    </row>
    <row r="208" spans="2:39" x14ac:dyDescent="0.3">
      <c r="B208" s="61" t="s">
        <v>1165</v>
      </c>
      <c r="C208" s="141" t="s">
        <v>640</v>
      </c>
      <c r="D208" s="102">
        <f t="shared" si="25"/>
        <v>14273.836894</v>
      </c>
      <c r="E208" s="102">
        <f t="shared" si="25"/>
        <v>6569.8446290000002</v>
      </c>
      <c r="F208" s="102">
        <f t="shared" si="25"/>
        <v>4.8650000000000002</v>
      </c>
      <c r="G208" s="155"/>
      <c r="H208" s="102">
        <f t="shared" si="24"/>
        <v>14273.836894</v>
      </c>
      <c r="I208" s="102">
        <f t="shared" si="24"/>
        <v>6569.8446290000002</v>
      </c>
      <c r="J208" s="102">
        <f t="shared" si="26"/>
        <v>4.8646399999999996</v>
      </c>
      <c r="K208" s="683"/>
      <c r="M208" s="102"/>
      <c r="N208" s="102">
        <v>14273.836894</v>
      </c>
      <c r="O208" s="102">
        <v>5432.9225310000002</v>
      </c>
      <c r="P208" s="102">
        <v>4640.2316840000003</v>
      </c>
      <c r="Q208" s="102">
        <v>3988.1268029999997</v>
      </c>
      <c r="R208" s="102">
        <v>6569.8446290000002</v>
      </c>
      <c r="S208" s="102">
        <v>2127.1644249999999</v>
      </c>
      <c r="T208" s="102">
        <v>810.58148600000004</v>
      </c>
      <c r="U208" s="102">
        <v>469.26211999999998</v>
      </c>
      <c r="V208" s="102">
        <v>78194.525592999998</v>
      </c>
      <c r="W208" s="102">
        <v>1619.1422700000001</v>
      </c>
      <c r="X208" s="102">
        <v>954.71100000000001</v>
      </c>
      <c r="Y208" s="102">
        <v>4.8650000000000002</v>
      </c>
      <c r="Z208" s="102"/>
      <c r="AA208" s="102"/>
      <c r="AB208" s="102">
        <v>14273.836894</v>
      </c>
      <c r="AC208" s="102">
        <v>5432.9225310000002</v>
      </c>
      <c r="AD208" s="102">
        <v>4640.2316840000003</v>
      </c>
      <c r="AE208" s="102">
        <v>3988.1268030000001</v>
      </c>
      <c r="AF208" s="102">
        <v>6569.8446290000002</v>
      </c>
      <c r="AG208" s="102">
        <v>2127.1644249999999</v>
      </c>
      <c r="AH208" s="102">
        <v>810.58148600000004</v>
      </c>
      <c r="AI208" s="102">
        <v>469.26211999999998</v>
      </c>
      <c r="AJ208" s="102">
        <v>78194.525592999998</v>
      </c>
      <c r="AK208" s="102">
        <v>1619.1422700000001</v>
      </c>
      <c r="AL208" s="102">
        <v>954.71089700000005</v>
      </c>
      <c r="AM208" s="102">
        <v>4.8646399999999996</v>
      </c>
    </row>
    <row r="209" spans="2:39" x14ac:dyDescent="0.3">
      <c r="B209" s="61" t="s">
        <v>707</v>
      </c>
      <c r="C209" s="141" t="s">
        <v>639</v>
      </c>
      <c r="D209" s="102">
        <f t="shared" si="25"/>
        <v>73.102000000000004</v>
      </c>
      <c r="E209" s="102">
        <f t="shared" si="25"/>
        <v>145.5</v>
      </c>
      <c r="F209" s="102">
        <f t="shared" si="25"/>
        <v>0.5</v>
      </c>
      <c r="G209" s="155"/>
      <c r="H209" s="102">
        <f t="shared" si="24"/>
        <v>73.102000000000004</v>
      </c>
      <c r="I209" s="102">
        <f t="shared" si="24"/>
        <v>145.5</v>
      </c>
      <c r="J209" s="102" t="str">
        <f t="shared" si="26"/>
        <v/>
      </c>
      <c r="K209" s="683"/>
      <c r="M209" s="102"/>
      <c r="N209" s="102">
        <v>73.102000000000004</v>
      </c>
      <c r="O209" s="102">
        <v>57.201999999999998</v>
      </c>
      <c r="P209" s="102">
        <v>48.701999999999998</v>
      </c>
      <c r="Q209" s="102">
        <v>29.4</v>
      </c>
      <c r="R209" s="102">
        <v>145.5</v>
      </c>
      <c r="S209" s="102">
        <v>131.5</v>
      </c>
      <c r="T209" s="102">
        <v>68.5</v>
      </c>
      <c r="U209" s="102">
        <v>44.5</v>
      </c>
      <c r="V209" s="102">
        <v>58.2</v>
      </c>
      <c r="W209" s="102">
        <v>11.5</v>
      </c>
      <c r="X209" s="102">
        <v>3.5299999999999998E-2</v>
      </c>
      <c r="Y209" s="102">
        <v>0.5</v>
      </c>
      <c r="Z209" s="102"/>
      <c r="AA209" s="102"/>
      <c r="AB209" s="102">
        <v>73.102000000000004</v>
      </c>
      <c r="AC209" s="102">
        <v>57.201999999999998</v>
      </c>
      <c r="AD209" s="102">
        <v>48.701999999999998</v>
      </c>
      <c r="AE209" s="102">
        <v>294</v>
      </c>
      <c r="AF209" s="102">
        <v>145.5</v>
      </c>
      <c r="AG209" s="102">
        <v>131.5</v>
      </c>
      <c r="AH209" s="102">
        <v>68.5</v>
      </c>
      <c r="AI209" s="102">
        <v>44.5</v>
      </c>
      <c r="AJ209" s="102">
        <v>0</v>
      </c>
      <c r="AK209" s="102">
        <v>11.5</v>
      </c>
      <c r="AL209" s="102">
        <v>0</v>
      </c>
      <c r="AM209" s="102">
        <v>0</v>
      </c>
    </row>
    <row r="210" spans="2:39" x14ac:dyDescent="0.3">
      <c r="B210" s="61" t="s">
        <v>1166</v>
      </c>
      <c r="C210" s="141" t="s">
        <v>641</v>
      </c>
      <c r="D210" s="102" t="str">
        <f t="shared" si="25"/>
        <v/>
      </c>
      <c r="E210" s="102" t="str">
        <f t="shared" si="25"/>
        <v/>
      </c>
      <c r="F210" s="102" t="str">
        <f t="shared" si="25"/>
        <v/>
      </c>
      <c r="G210" s="155"/>
      <c r="H210" s="102" t="str">
        <f t="shared" si="24"/>
        <v/>
      </c>
      <c r="I210" s="102" t="str">
        <f t="shared" si="24"/>
        <v/>
      </c>
      <c r="J210" s="102" t="str">
        <f t="shared" si="26"/>
        <v/>
      </c>
      <c r="K210" s="683"/>
      <c r="M210" s="102"/>
      <c r="N210" s="102">
        <v>0</v>
      </c>
      <c r="O210" s="102">
        <v>0</v>
      </c>
      <c r="P210" s="102">
        <v>0</v>
      </c>
      <c r="Q210" s="102">
        <v>0</v>
      </c>
      <c r="R210" s="102">
        <v>0</v>
      </c>
      <c r="S210" s="102">
        <v>0</v>
      </c>
      <c r="T210" s="102">
        <v>0</v>
      </c>
      <c r="U210" s="102">
        <v>0</v>
      </c>
      <c r="V210" s="102">
        <v>17488.380419000001</v>
      </c>
      <c r="W210" s="102">
        <v>0</v>
      </c>
      <c r="X210" s="102">
        <v>0</v>
      </c>
      <c r="Y210" s="102">
        <v>0</v>
      </c>
      <c r="Z210" s="102"/>
      <c r="AA210" s="102"/>
      <c r="AB210" s="102">
        <v>0</v>
      </c>
      <c r="AC210" s="102">
        <v>0</v>
      </c>
      <c r="AD210" s="102">
        <v>0</v>
      </c>
      <c r="AE210" s="102">
        <v>0</v>
      </c>
      <c r="AF210" s="102">
        <v>0</v>
      </c>
      <c r="AG210" s="102">
        <v>0</v>
      </c>
      <c r="AH210" s="102">
        <v>0</v>
      </c>
      <c r="AI210" s="102">
        <v>0</v>
      </c>
      <c r="AJ210" s="102">
        <v>17488.380419000001</v>
      </c>
      <c r="AK210" s="102">
        <v>0</v>
      </c>
      <c r="AL210" s="102">
        <v>0</v>
      </c>
      <c r="AM210" s="102">
        <v>0</v>
      </c>
    </row>
    <row r="211" spans="2:39" x14ac:dyDescent="0.3">
      <c r="B211" s="61" t="s">
        <v>608</v>
      </c>
      <c r="C211" s="141" t="s">
        <v>639</v>
      </c>
      <c r="D211" s="102" t="str">
        <f t="shared" si="25"/>
        <v/>
      </c>
      <c r="E211" s="102" t="str">
        <f t="shared" si="25"/>
        <v/>
      </c>
      <c r="F211" s="102">
        <f t="shared" si="25"/>
        <v>35.299999999999997</v>
      </c>
      <c r="G211" s="155"/>
      <c r="H211" s="102" t="str">
        <f t="shared" si="24"/>
        <v/>
      </c>
      <c r="I211" s="102" t="str">
        <f t="shared" si="24"/>
        <v/>
      </c>
      <c r="J211" s="102" t="str">
        <f t="shared" si="26"/>
        <v/>
      </c>
      <c r="K211" s="683"/>
      <c r="M211" s="102"/>
      <c r="N211" s="102">
        <v>0</v>
      </c>
      <c r="O211" s="102">
        <v>0</v>
      </c>
      <c r="P211" s="102">
        <v>0</v>
      </c>
      <c r="Q211" s="102">
        <v>0</v>
      </c>
      <c r="R211" s="102">
        <v>0</v>
      </c>
      <c r="S211" s="102">
        <v>0</v>
      </c>
      <c r="T211" s="102">
        <v>0</v>
      </c>
      <c r="U211" s="102">
        <v>0</v>
      </c>
      <c r="V211" s="102">
        <v>35.299999999999997</v>
      </c>
      <c r="W211" s="102">
        <v>35.299999999999997</v>
      </c>
      <c r="X211" s="102">
        <v>0</v>
      </c>
      <c r="Y211" s="102">
        <v>35.299999999999997</v>
      </c>
      <c r="Z211" s="102"/>
      <c r="AA211" s="102"/>
      <c r="AB211" s="102">
        <v>0</v>
      </c>
      <c r="AC211" s="102">
        <v>0</v>
      </c>
      <c r="AD211" s="102">
        <v>0</v>
      </c>
      <c r="AE211" s="102">
        <v>0</v>
      </c>
      <c r="AF211" s="102">
        <v>0</v>
      </c>
      <c r="AG211" s="102">
        <v>0</v>
      </c>
      <c r="AH211" s="102">
        <v>0</v>
      </c>
      <c r="AI211" s="102">
        <v>0</v>
      </c>
      <c r="AJ211" s="102">
        <v>0</v>
      </c>
      <c r="AK211" s="102">
        <v>35.299999999999997</v>
      </c>
      <c r="AL211" s="102">
        <v>0</v>
      </c>
      <c r="AM211" s="102">
        <v>0</v>
      </c>
    </row>
    <row r="212" spans="2:39" x14ac:dyDescent="0.3">
      <c r="B212" s="61" t="s">
        <v>708</v>
      </c>
      <c r="C212" s="141" t="s">
        <v>642</v>
      </c>
      <c r="D212" s="102" t="str">
        <f t="shared" si="25"/>
        <v/>
      </c>
      <c r="E212" s="102" t="str">
        <f t="shared" si="25"/>
        <v/>
      </c>
      <c r="F212" s="102" t="str">
        <f t="shared" si="25"/>
        <v/>
      </c>
      <c r="G212" s="155"/>
      <c r="H212" s="102" t="str">
        <f t="shared" si="24"/>
        <v/>
      </c>
      <c r="I212" s="102" t="str">
        <f t="shared" si="24"/>
        <v/>
      </c>
      <c r="J212" s="102" t="str">
        <f t="shared" si="26"/>
        <v/>
      </c>
      <c r="K212" s="683"/>
      <c r="M212" s="102"/>
      <c r="N212" s="102">
        <v>0</v>
      </c>
      <c r="O212" s="102">
        <v>0</v>
      </c>
      <c r="P212" s="102">
        <v>0</v>
      </c>
      <c r="Q212" s="102">
        <v>0</v>
      </c>
      <c r="R212" s="102">
        <v>0</v>
      </c>
      <c r="S212" s="102">
        <v>0</v>
      </c>
      <c r="T212" s="102">
        <v>0</v>
      </c>
      <c r="U212" s="102">
        <v>0</v>
      </c>
      <c r="V212" s="102">
        <v>0</v>
      </c>
      <c r="W212" s="102">
        <v>0</v>
      </c>
      <c r="X212" s="102">
        <v>0</v>
      </c>
      <c r="Y212" s="102">
        <v>0</v>
      </c>
      <c r="Z212" s="102"/>
      <c r="AA212" s="102"/>
      <c r="AB212" s="102">
        <v>0</v>
      </c>
      <c r="AC212" s="102">
        <v>0</v>
      </c>
      <c r="AD212" s="102">
        <v>0</v>
      </c>
      <c r="AE212" s="102">
        <v>0</v>
      </c>
      <c r="AF212" s="102">
        <v>0</v>
      </c>
      <c r="AG212" s="102">
        <v>0</v>
      </c>
      <c r="AH212" s="102">
        <v>0</v>
      </c>
      <c r="AI212" s="102">
        <v>0</v>
      </c>
      <c r="AJ212" s="102">
        <v>0</v>
      </c>
      <c r="AK212" s="102">
        <v>0</v>
      </c>
      <c r="AL212" s="102">
        <v>0</v>
      </c>
      <c r="AM212" s="102">
        <v>0</v>
      </c>
    </row>
    <row r="213" spans="2:39" x14ac:dyDescent="0.3">
      <c r="B213" s="61" t="s">
        <v>1167</v>
      </c>
      <c r="C213" s="141" t="s">
        <v>620</v>
      </c>
      <c r="D213" s="102" t="str">
        <f t="shared" si="25"/>
        <v/>
      </c>
      <c r="E213" s="102" t="str">
        <f t="shared" si="25"/>
        <v/>
      </c>
      <c r="F213" s="102" t="str">
        <f t="shared" si="25"/>
        <v/>
      </c>
      <c r="G213" s="155"/>
      <c r="H213" s="102" t="str">
        <f t="shared" si="24"/>
        <v/>
      </c>
      <c r="I213" s="102" t="str">
        <f t="shared" si="24"/>
        <v/>
      </c>
      <c r="J213" s="102" t="str">
        <f t="shared" si="26"/>
        <v/>
      </c>
      <c r="K213" s="683"/>
      <c r="M213" s="102"/>
      <c r="N213" s="102">
        <v>0</v>
      </c>
      <c r="O213" s="102">
        <v>0</v>
      </c>
      <c r="P213" s="102">
        <v>0</v>
      </c>
      <c r="Q213" s="102">
        <v>0</v>
      </c>
      <c r="R213" s="102">
        <v>0</v>
      </c>
      <c r="S213" s="102">
        <v>0</v>
      </c>
      <c r="T213" s="102">
        <v>0</v>
      </c>
      <c r="U213" s="102">
        <v>0</v>
      </c>
      <c r="V213" s="102">
        <v>0</v>
      </c>
      <c r="W213" s="102">
        <v>0</v>
      </c>
      <c r="X213" s="102">
        <v>0</v>
      </c>
      <c r="Y213" s="102">
        <v>0</v>
      </c>
      <c r="Z213" s="102"/>
      <c r="AA213" s="102"/>
      <c r="AB213" s="102">
        <v>0</v>
      </c>
      <c r="AC213" s="102">
        <v>0</v>
      </c>
      <c r="AD213" s="102">
        <v>0</v>
      </c>
      <c r="AE213" s="102">
        <v>0</v>
      </c>
      <c r="AF213" s="102">
        <v>0</v>
      </c>
      <c r="AG213" s="102">
        <v>0</v>
      </c>
      <c r="AH213" s="102">
        <v>0</v>
      </c>
      <c r="AI213" s="102">
        <v>0</v>
      </c>
      <c r="AJ213" s="102">
        <v>0</v>
      </c>
      <c r="AK213" s="102">
        <v>0</v>
      </c>
      <c r="AL213" s="102">
        <v>0</v>
      </c>
      <c r="AM213" s="102">
        <v>0</v>
      </c>
    </row>
    <row r="214" spans="2:39" x14ac:dyDescent="0.3">
      <c r="B214" s="61" t="s">
        <v>700</v>
      </c>
      <c r="C214" s="141" t="s">
        <v>621</v>
      </c>
      <c r="D214" s="102" t="str">
        <f t="shared" si="25"/>
        <v/>
      </c>
      <c r="E214" s="102" t="str">
        <f t="shared" si="25"/>
        <v/>
      </c>
      <c r="F214" s="102" t="str">
        <f t="shared" si="25"/>
        <v/>
      </c>
      <c r="G214" s="155"/>
      <c r="H214" s="102" t="str">
        <f t="shared" si="24"/>
        <v/>
      </c>
      <c r="I214" s="102" t="str">
        <f t="shared" si="24"/>
        <v/>
      </c>
      <c r="J214" s="102" t="str">
        <f t="shared" si="26"/>
        <v/>
      </c>
      <c r="K214" s="683"/>
      <c r="M214" s="102"/>
      <c r="N214" s="102">
        <v>0</v>
      </c>
      <c r="O214" s="102">
        <v>0</v>
      </c>
      <c r="P214" s="102">
        <v>0</v>
      </c>
      <c r="Q214" s="102">
        <v>0</v>
      </c>
      <c r="R214" s="102">
        <v>0</v>
      </c>
      <c r="S214" s="102">
        <v>0</v>
      </c>
      <c r="T214" s="102">
        <v>0</v>
      </c>
      <c r="U214" s="102">
        <v>0</v>
      </c>
      <c r="V214" s="102">
        <v>0</v>
      </c>
      <c r="W214" s="102">
        <v>0</v>
      </c>
      <c r="X214" s="102">
        <v>0</v>
      </c>
      <c r="Y214" s="102">
        <v>0</v>
      </c>
      <c r="Z214" s="102"/>
      <c r="AA214" s="102"/>
      <c r="AB214" s="102">
        <v>0</v>
      </c>
      <c r="AC214" s="102">
        <v>0</v>
      </c>
      <c r="AD214" s="102">
        <v>0</v>
      </c>
      <c r="AE214" s="102">
        <v>0</v>
      </c>
      <c r="AF214" s="102">
        <v>0</v>
      </c>
      <c r="AG214" s="102">
        <v>0</v>
      </c>
      <c r="AH214" s="102">
        <v>0</v>
      </c>
      <c r="AI214" s="102">
        <v>0</v>
      </c>
      <c r="AJ214" s="102">
        <v>0</v>
      </c>
      <c r="AK214" s="102">
        <v>0</v>
      </c>
      <c r="AL214" s="102">
        <v>0</v>
      </c>
      <c r="AM214" s="102">
        <v>0</v>
      </c>
    </row>
    <row r="215" spans="2:39" x14ac:dyDescent="0.3">
      <c r="B215" s="61" t="s">
        <v>1168</v>
      </c>
      <c r="C215" s="141" t="s">
        <v>1503</v>
      </c>
      <c r="D215" s="102" t="str">
        <f t="shared" si="25"/>
        <v/>
      </c>
      <c r="E215" s="102" t="str">
        <f t="shared" si="25"/>
        <v/>
      </c>
      <c r="F215" s="102" t="str">
        <f t="shared" si="25"/>
        <v/>
      </c>
      <c r="G215" s="155"/>
      <c r="H215" s="102" t="str">
        <f t="shared" si="24"/>
        <v/>
      </c>
      <c r="I215" s="102" t="str">
        <f t="shared" si="24"/>
        <v/>
      </c>
      <c r="J215" s="102" t="str">
        <f t="shared" si="26"/>
        <v/>
      </c>
      <c r="K215" s="683"/>
      <c r="M215" s="102"/>
      <c r="N215" s="102">
        <v>0</v>
      </c>
      <c r="O215" s="102">
        <v>0</v>
      </c>
      <c r="P215" s="102">
        <v>0</v>
      </c>
      <c r="Q215" s="102">
        <v>0</v>
      </c>
      <c r="R215" s="102">
        <v>0</v>
      </c>
      <c r="S215" s="102">
        <v>0</v>
      </c>
      <c r="T215" s="102">
        <v>0</v>
      </c>
      <c r="U215" s="102">
        <v>0</v>
      </c>
      <c r="V215" s="102">
        <v>0</v>
      </c>
      <c r="W215" s="102">
        <v>0</v>
      </c>
      <c r="X215" s="102">
        <v>0</v>
      </c>
      <c r="Y215" s="102">
        <v>0</v>
      </c>
      <c r="Z215" s="102"/>
      <c r="AA215" s="102"/>
      <c r="AB215" s="102">
        <v>0</v>
      </c>
      <c r="AC215" s="102">
        <v>0</v>
      </c>
      <c r="AD215" s="102">
        <v>0</v>
      </c>
      <c r="AE215" s="102">
        <v>0</v>
      </c>
      <c r="AF215" s="102">
        <v>0</v>
      </c>
      <c r="AG215" s="102">
        <v>0</v>
      </c>
      <c r="AH215" s="102">
        <v>0</v>
      </c>
      <c r="AI215" s="102">
        <v>0</v>
      </c>
      <c r="AJ215" s="102">
        <v>0</v>
      </c>
      <c r="AK215" s="102">
        <v>0</v>
      </c>
      <c r="AL215" s="102">
        <v>0</v>
      </c>
      <c r="AM215" s="102">
        <v>0</v>
      </c>
    </row>
    <row r="216" spans="2:39" x14ac:dyDescent="0.3">
      <c r="B216" s="61" t="s">
        <v>1169</v>
      </c>
      <c r="C216" s="141" t="s">
        <v>1504</v>
      </c>
      <c r="D216" s="102">
        <f t="shared" si="25"/>
        <v>236351.602227</v>
      </c>
      <c r="E216" s="102">
        <f t="shared" si="25"/>
        <v>387946.05713800003</v>
      </c>
      <c r="F216" s="102">
        <f t="shared" si="25"/>
        <v>79785.494999999995</v>
      </c>
      <c r="G216" s="155"/>
      <c r="H216" s="102">
        <f t="shared" si="24"/>
        <v>236343.01770200001</v>
      </c>
      <c r="I216" s="102">
        <f t="shared" si="24"/>
        <v>386569.20067599998</v>
      </c>
      <c r="J216" s="102">
        <f t="shared" si="26"/>
        <v>78458.410587000006</v>
      </c>
      <c r="K216" s="683"/>
      <c r="M216" s="102"/>
      <c r="N216" s="102">
        <v>236351.602227</v>
      </c>
      <c r="O216" s="102">
        <v>314352.79188500001</v>
      </c>
      <c r="P216" s="102">
        <v>546778.39823699999</v>
      </c>
      <c r="Q216" s="102">
        <v>381505.96072600002</v>
      </c>
      <c r="R216" s="102">
        <v>387946.05713800003</v>
      </c>
      <c r="S216" s="102">
        <v>297117.45207</v>
      </c>
      <c r="T216" s="102">
        <v>154972.32530599998</v>
      </c>
      <c r="U216" s="102">
        <v>89649.045962999997</v>
      </c>
      <c r="V216" s="102">
        <v>190724.279446</v>
      </c>
      <c r="W216" s="102">
        <v>209198.22095300001</v>
      </c>
      <c r="X216" s="102">
        <v>147269.829</v>
      </c>
      <c r="Y216" s="102">
        <v>79785.494999999995</v>
      </c>
      <c r="Z216" s="102"/>
      <c r="AA216" s="102"/>
      <c r="AB216" s="102">
        <v>236343.01770200001</v>
      </c>
      <c r="AC216" s="102">
        <v>316037.98133600003</v>
      </c>
      <c r="AD216" s="102">
        <v>550443.43846099998</v>
      </c>
      <c r="AE216" s="102">
        <v>379656.127997</v>
      </c>
      <c r="AF216" s="102">
        <v>386569.20067599998</v>
      </c>
      <c r="AG216" s="102">
        <v>295988.640984</v>
      </c>
      <c r="AH216" s="102">
        <v>156046.18814400001</v>
      </c>
      <c r="AI216" s="102">
        <v>89007.683856000003</v>
      </c>
      <c r="AJ216" s="102">
        <v>193337.06589599999</v>
      </c>
      <c r="AK216" s="102">
        <v>208218.97139399999</v>
      </c>
      <c r="AL216" s="102">
        <v>144882.681705</v>
      </c>
      <c r="AM216" s="102">
        <v>78458.410587000006</v>
      </c>
    </row>
    <row r="217" spans="2:39" x14ac:dyDescent="0.3">
      <c r="B217" s="61" t="s">
        <v>1170</v>
      </c>
      <c r="C217" s="141" t="s">
        <v>643</v>
      </c>
      <c r="D217" s="102">
        <f t="shared" si="25"/>
        <v>236351.602227</v>
      </c>
      <c r="E217" s="102">
        <f t="shared" si="25"/>
        <v>387946.05713800003</v>
      </c>
      <c r="F217" s="102">
        <f t="shared" si="25"/>
        <v>79785.494999999995</v>
      </c>
      <c r="G217" s="155"/>
      <c r="H217" s="102">
        <f t="shared" si="24"/>
        <v>236343.01770200001</v>
      </c>
      <c r="I217" s="102">
        <f t="shared" si="24"/>
        <v>386569.20067599998</v>
      </c>
      <c r="J217" s="102">
        <f t="shared" si="26"/>
        <v>78458.410587000006</v>
      </c>
      <c r="K217" s="683"/>
      <c r="M217" s="102"/>
      <c r="N217" s="102">
        <v>236351.602227</v>
      </c>
      <c r="O217" s="102">
        <v>314352.79188500001</v>
      </c>
      <c r="P217" s="102">
        <v>546778.39823699999</v>
      </c>
      <c r="Q217" s="102">
        <v>381505.96072600002</v>
      </c>
      <c r="R217" s="102">
        <v>387946.05713800003</v>
      </c>
      <c r="S217" s="102">
        <v>297117.45207</v>
      </c>
      <c r="T217" s="102">
        <v>154972.32530599998</v>
      </c>
      <c r="U217" s="102">
        <v>89649.045962999997</v>
      </c>
      <c r="V217" s="102">
        <v>190724.279446</v>
      </c>
      <c r="W217" s="102">
        <v>209198.22095300001</v>
      </c>
      <c r="X217" s="102">
        <v>147269.829</v>
      </c>
      <c r="Y217" s="102">
        <v>79785.494999999995</v>
      </c>
      <c r="Z217" s="102"/>
      <c r="AA217" s="102"/>
      <c r="AB217" s="102">
        <v>236343.01770200001</v>
      </c>
      <c r="AC217" s="102">
        <v>316037.98133600003</v>
      </c>
      <c r="AD217" s="102">
        <v>550443.43846099998</v>
      </c>
      <c r="AE217" s="102">
        <v>379656.127997</v>
      </c>
      <c r="AF217" s="102">
        <v>386569.20067599998</v>
      </c>
      <c r="AG217" s="102">
        <v>295988.640984</v>
      </c>
      <c r="AH217" s="102">
        <v>156046.18814400001</v>
      </c>
      <c r="AI217" s="102">
        <v>89007.683856000003</v>
      </c>
      <c r="AJ217" s="102">
        <v>193337.06589599999</v>
      </c>
      <c r="AK217" s="102">
        <v>208218.97139399999</v>
      </c>
      <c r="AL217" s="102">
        <v>144882.681705</v>
      </c>
      <c r="AM217" s="102">
        <v>78458.410587000006</v>
      </c>
    </row>
    <row r="218" spans="2:39" x14ac:dyDescent="0.3">
      <c r="B218" s="61" t="s">
        <v>1102</v>
      </c>
      <c r="C218" s="141" t="s">
        <v>644</v>
      </c>
      <c r="D218" s="102">
        <f t="shared" si="25"/>
        <v>236351.602227</v>
      </c>
      <c r="E218" s="102">
        <f t="shared" si="25"/>
        <v>387946.05713800003</v>
      </c>
      <c r="F218" s="102">
        <f t="shared" si="25"/>
        <v>79785.494999999995</v>
      </c>
      <c r="G218" s="155"/>
      <c r="H218" s="102" t="str">
        <f t="shared" si="24"/>
        <v/>
      </c>
      <c r="I218" s="102" t="str">
        <f t="shared" si="24"/>
        <v/>
      </c>
      <c r="J218" s="102" t="str">
        <f t="shared" si="26"/>
        <v/>
      </c>
      <c r="K218" s="683"/>
      <c r="M218" s="102"/>
      <c r="N218" s="102">
        <v>236351.602227</v>
      </c>
      <c r="O218" s="102">
        <v>314352.79188500001</v>
      </c>
      <c r="P218" s="102">
        <v>546778.39823699999</v>
      </c>
      <c r="Q218" s="102">
        <v>381505.96072600002</v>
      </c>
      <c r="R218" s="102">
        <v>387946.05713800003</v>
      </c>
      <c r="S218" s="102">
        <v>297117.45207</v>
      </c>
      <c r="T218" s="102">
        <v>154972.32530599998</v>
      </c>
      <c r="U218" s="102">
        <v>89649.045962999997</v>
      </c>
      <c r="V218" s="102">
        <v>190724.279446</v>
      </c>
      <c r="W218" s="102">
        <v>209198.22095300001</v>
      </c>
      <c r="X218" s="102">
        <v>147269.829</v>
      </c>
      <c r="Y218" s="102">
        <v>79785.494999999995</v>
      </c>
      <c r="Z218" s="102"/>
      <c r="AA218" s="102"/>
      <c r="AB218" s="102">
        <v>0</v>
      </c>
      <c r="AC218" s="102">
        <v>0</v>
      </c>
      <c r="AD218" s="102">
        <v>0</v>
      </c>
      <c r="AE218" s="102"/>
      <c r="AF218" s="102">
        <v>0</v>
      </c>
      <c r="AG218" s="102"/>
      <c r="AH218" s="102"/>
      <c r="AI218" s="102"/>
      <c r="AJ218" s="102">
        <v>0</v>
      </c>
      <c r="AK218" s="102">
        <v>0</v>
      </c>
      <c r="AL218" s="102">
        <v>0</v>
      </c>
      <c r="AM218" s="102">
        <v>0</v>
      </c>
    </row>
    <row r="219" spans="2:39" x14ac:dyDescent="0.3">
      <c r="B219" s="61" t="s">
        <v>1103</v>
      </c>
      <c r="C219" s="141" t="s">
        <v>645</v>
      </c>
      <c r="D219" s="102" t="str">
        <f t="shared" si="25"/>
        <v/>
      </c>
      <c r="E219" s="102" t="str">
        <f t="shared" si="25"/>
        <v/>
      </c>
      <c r="F219" s="102" t="str">
        <f t="shared" si="25"/>
        <v/>
      </c>
      <c r="G219" s="155"/>
      <c r="H219" s="102" t="str">
        <f t="shared" si="24"/>
        <v/>
      </c>
      <c r="I219" s="102" t="str">
        <f t="shared" si="24"/>
        <v/>
      </c>
      <c r="J219" s="102" t="str">
        <f t="shared" si="26"/>
        <v/>
      </c>
      <c r="K219" s="683"/>
      <c r="M219" s="102"/>
      <c r="N219" s="102">
        <v>0</v>
      </c>
      <c r="O219" s="102">
        <v>0</v>
      </c>
      <c r="P219" s="102">
        <v>0</v>
      </c>
      <c r="Q219" s="102">
        <v>0</v>
      </c>
      <c r="R219" s="102">
        <v>0</v>
      </c>
      <c r="S219" s="102">
        <v>0</v>
      </c>
      <c r="T219" s="102">
        <v>0</v>
      </c>
      <c r="U219" s="102">
        <v>0</v>
      </c>
      <c r="V219" s="102">
        <v>0</v>
      </c>
      <c r="W219" s="102">
        <v>0</v>
      </c>
      <c r="X219" s="102">
        <v>0</v>
      </c>
      <c r="Y219" s="102">
        <v>0</v>
      </c>
      <c r="Z219" s="102"/>
      <c r="AA219" s="102"/>
      <c r="AB219" s="102">
        <v>0</v>
      </c>
      <c r="AC219" s="102">
        <v>0</v>
      </c>
      <c r="AD219" s="102">
        <v>0</v>
      </c>
      <c r="AE219" s="102"/>
      <c r="AF219" s="102">
        <v>0</v>
      </c>
      <c r="AG219" s="102"/>
      <c r="AH219" s="102"/>
      <c r="AI219" s="102"/>
      <c r="AJ219" s="102">
        <v>0</v>
      </c>
      <c r="AK219" s="102">
        <v>0</v>
      </c>
      <c r="AL219" s="102">
        <v>0</v>
      </c>
      <c r="AM219" s="102">
        <v>0</v>
      </c>
    </row>
    <row r="220" spans="2:39" x14ac:dyDescent="0.3">
      <c r="B220" s="61" t="s">
        <v>1104</v>
      </c>
      <c r="C220" s="141" t="s">
        <v>646</v>
      </c>
      <c r="D220" s="102" t="str">
        <f t="shared" si="25"/>
        <v/>
      </c>
      <c r="E220" s="102" t="str">
        <f t="shared" si="25"/>
        <v/>
      </c>
      <c r="F220" s="102" t="str">
        <f t="shared" si="25"/>
        <v/>
      </c>
      <c r="G220" s="155"/>
      <c r="H220" s="102" t="str">
        <f t="shared" si="24"/>
        <v/>
      </c>
      <c r="I220" s="102" t="str">
        <f t="shared" si="24"/>
        <v/>
      </c>
      <c r="J220" s="102" t="str">
        <f t="shared" si="26"/>
        <v/>
      </c>
      <c r="K220" s="683"/>
      <c r="M220" s="102"/>
      <c r="N220" s="102">
        <v>0</v>
      </c>
      <c r="O220" s="102">
        <v>0</v>
      </c>
      <c r="P220" s="102">
        <v>0</v>
      </c>
      <c r="Q220" s="102">
        <v>0</v>
      </c>
      <c r="R220" s="102">
        <v>0</v>
      </c>
      <c r="S220" s="102">
        <v>0</v>
      </c>
      <c r="T220" s="102">
        <v>0</v>
      </c>
      <c r="U220" s="102">
        <v>0</v>
      </c>
      <c r="V220" s="102">
        <v>0</v>
      </c>
      <c r="W220" s="102">
        <v>0</v>
      </c>
      <c r="X220" s="102">
        <v>0</v>
      </c>
      <c r="Y220" s="102">
        <v>0</v>
      </c>
      <c r="Z220" s="102"/>
      <c r="AA220" s="102"/>
      <c r="AB220" s="102">
        <v>0</v>
      </c>
      <c r="AC220" s="102">
        <v>0</v>
      </c>
      <c r="AD220" s="102">
        <v>0</v>
      </c>
      <c r="AE220" s="102"/>
      <c r="AF220" s="102">
        <v>0</v>
      </c>
      <c r="AG220" s="102"/>
      <c r="AH220" s="102"/>
      <c r="AI220" s="102"/>
      <c r="AJ220" s="102">
        <v>0</v>
      </c>
      <c r="AK220" s="102">
        <v>0</v>
      </c>
      <c r="AL220" s="102">
        <v>0</v>
      </c>
      <c r="AM220" s="102">
        <v>0</v>
      </c>
    </row>
    <row r="221" spans="2:39" x14ac:dyDescent="0.3">
      <c r="B221" s="61" t="s">
        <v>1171</v>
      </c>
      <c r="C221" s="141" t="s">
        <v>647</v>
      </c>
      <c r="D221" s="102" t="str">
        <f t="shared" si="25"/>
        <v/>
      </c>
      <c r="E221" s="102" t="str">
        <f t="shared" si="25"/>
        <v/>
      </c>
      <c r="F221" s="102" t="str">
        <f t="shared" si="25"/>
        <v/>
      </c>
      <c r="G221" s="155"/>
      <c r="H221" s="102" t="str">
        <f t="shared" si="24"/>
        <v/>
      </c>
      <c r="I221" s="102" t="str">
        <f t="shared" si="24"/>
        <v/>
      </c>
      <c r="J221" s="102" t="str">
        <f t="shared" si="26"/>
        <v/>
      </c>
      <c r="K221" s="683"/>
      <c r="M221" s="102"/>
      <c r="N221" s="102">
        <v>0</v>
      </c>
      <c r="O221" s="102">
        <v>0</v>
      </c>
      <c r="P221" s="102">
        <v>0</v>
      </c>
      <c r="Q221" s="102">
        <v>0</v>
      </c>
      <c r="R221" s="102">
        <v>0</v>
      </c>
      <c r="S221" s="102">
        <v>0</v>
      </c>
      <c r="T221" s="102">
        <v>0</v>
      </c>
      <c r="U221" s="102">
        <v>0</v>
      </c>
      <c r="V221" s="102">
        <v>0</v>
      </c>
      <c r="W221" s="102">
        <v>0</v>
      </c>
      <c r="X221" s="102">
        <v>0</v>
      </c>
      <c r="Y221" s="102">
        <v>0</v>
      </c>
      <c r="Z221" s="102"/>
      <c r="AA221" s="102"/>
      <c r="AB221" s="102">
        <v>0</v>
      </c>
      <c r="AC221" s="102">
        <v>0</v>
      </c>
      <c r="AD221" s="102">
        <v>0</v>
      </c>
      <c r="AE221" s="102">
        <v>0</v>
      </c>
      <c r="AF221" s="102">
        <v>0</v>
      </c>
      <c r="AG221" s="102">
        <v>0</v>
      </c>
      <c r="AH221" s="102">
        <v>0</v>
      </c>
      <c r="AI221" s="102">
        <v>0</v>
      </c>
      <c r="AJ221" s="102">
        <v>0</v>
      </c>
      <c r="AK221" s="102">
        <v>0</v>
      </c>
      <c r="AL221" s="102">
        <v>0</v>
      </c>
      <c r="AM221" s="102">
        <v>0</v>
      </c>
    </row>
    <row r="222" spans="2:39" x14ac:dyDescent="0.3">
      <c r="B222" s="61" t="s">
        <v>1106</v>
      </c>
      <c r="C222" s="141" t="s">
        <v>648</v>
      </c>
      <c r="D222" s="102" t="str">
        <f t="shared" si="25"/>
        <v/>
      </c>
      <c r="E222" s="102" t="str">
        <f t="shared" si="25"/>
        <v/>
      </c>
      <c r="F222" s="102" t="str">
        <f t="shared" si="25"/>
        <v/>
      </c>
      <c r="G222" s="155"/>
      <c r="H222" s="102" t="str">
        <f t="shared" si="24"/>
        <v/>
      </c>
      <c r="I222" s="102" t="str">
        <f t="shared" si="24"/>
        <v/>
      </c>
      <c r="J222" s="102" t="str">
        <f t="shared" si="26"/>
        <v/>
      </c>
      <c r="K222" s="683"/>
      <c r="M222" s="102"/>
      <c r="N222" s="102">
        <v>0</v>
      </c>
      <c r="O222" s="102">
        <v>0</v>
      </c>
      <c r="P222" s="102">
        <v>0</v>
      </c>
      <c r="Q222" s="102">
        <v>0</v>
      </c>
      <c r="R222" s="102">
        <v>0</v>
      </c>
      <c r="S222" s="102">
        <v>0</v>
      </c>
      <c r="T222" s="102">
        <v>0</v>
      </c>
      <c r="U222" s="102">
        <v>0</v>
      </c>
      <c r="V222" s="102">
        <v>0</v>
      </c>
      <c r="W222" s="102">
        <v>0</v>
      </c>
      <c r="X222" s="102">
        <v>0</v>
      </c>
      <c r="Y222" s="102">
        <v>0</v>
      </c>
      <c r="Z222" s="102"/>
      <c r="AA222" s="102"/>
      <c r="AB222" s="102">
        <v>0</v>
      </c>
      <c r="AC222" s="102">
        <v>0</v>
      </c>
      <c r="AD222" s="102">
        <v>0</v>
      </c>
      <c r="AE222" s="102"/>
      <c r="AF222" s="102">
        <v>0</v>
      </c>
      <c r="AG222" s="102"/>
      <c r="AH222" s="102"/>
      <c r="AI222" s="102"/>
      <c r="AJ222" s="102">
        <v>0</v>
      </c>
      <c r="AK222" s="102">
        <v>0</v>
      </c>
      <c r="AL222" s="102">
        <v>0</v>
      </c>
      <c r="AM222" s="102">
        <v>0</v>
      </c>
    </row>
    <row r="223" spans="2:39" x14ac:dyDescent="0.3">
      <c r="B223" s="61" t="s">
        <v>1107</v>
      </c>
      <c r="C223" s="141" t="s">
        <v>649</v>
      </c>
      <c r="D223" s="102" t="str">
        <f t="shared" si="25"/>
        <v/>
      </c>
      <c r="E223" s="102" t="str">
        <f t="shared" si="25"/>
        <v/>
      </c>
      <c r="F223" s="102" t="str">
        <f t="shared" si="25"/>
        <v/>
      </c>
      <c r="G223" s="155"/>
      <c r="H223" s="102" t="str">
        <f t="shared" si="24"/>
        <v/>
      </c>
      <c r="I223" s="102" t="str">
        <f t="shared" si="24"/>
        <v/>
      </c>
      <c r="J223" s="102" t="str">
        <f t="shared" si="26"/>
        <v/>
      </c>
      <c r="K223" s="683"/>
      <c r="M223" s="102"/>
      <c r="N223" s="102">
        <v>0</v>
      </c>
      <c r="O223" s="102">
        <v>0</v>
      </c>
      <c r="P223" s="102">
        <v>0</v>
      </c>
      <c r="Q223" s="102">
        <v>0</v>
      </c>
      <c r="R223" s="102">
        <v>0</v>
      </c>
      <c r="S223" s="102">
        <v>0</v>
      </c>
      <c r="T223" s="102">
        <v>0</v>
      </c>
      <c r="U223" s="102">
        <v>0</v>
      </c>
      <c r="V223" s="102">
        <v>0</v>
      </c>
      <c r="W223" s="102">
        <v>0</v>
      </c>
      <c r="X223" s="102">
        <v>0</v>
      </c>
      <c r="Y223" s="102">
        <v>0</v>
      </c>
      <c r="Z223" s="102"/>
      <c r="AA223" s="102"/>
      <c r="AB223" s="102">
        <v>0</v>
      </c>
      <c r="AC223" s="102">
        <v>0</v>
      </c>
      <c r="AD223" s="102">
        <v>0</v>
      </c>
      <c r="AE223" s="102"/>
      <c r="AF223" s="102">
        <v>0</v>
      </c>
      <c r="AG223" s="102"/>
      <c r="AH223" s="102"/>
      <c r="AI223" s="102"/>
      <c r="AJ223" s="102">
        <v>0</v>
      </c>
      <c r="AK223" s="102">
        <v>0</v>
      </c>
      <c r="AL223" s="102">
        <v>0</v>
      </c>
      <c r="AM223" s="102">
        <v>0</v>
      </c>
    </row>
    <row r="224" spans="2:39" x14ac:dyDescent="0.3">
      <c r="B224" s="61" t="s">
        <v>1104</v>
      </c>
      <c r="C224" s="141" t="s">
        <v>646</v>
      </c>
      <c r="D224" s="102" t="str">
        <f t="shared" si="25"/>
        <v/>
      </c>
      <c r="E224" s="102" t="str">
        <f t="shared" si="25"/>
        <v/>
      </c>
      <c r="F224" s="102" t="str">
        <f t="shared" si="25"/>
        <v/>
      </c>
      <c r="G224" s="155"/>
      <c r="H224" s="102" t="str">
        <f t="shared" si="24"/>
        <v/>
      </c>
      <c r="I224" s="102" t="str">
        <f t="shared" si="24"/>
        <v/>
      </c>
      <c r="J224" s="102" t="str">
        <f t="shared" si="26"/>
        <v/>
      </c>
      <c r="K224" s="683"/>
      <c r="M224" s="102"/>
      <c r="N224" s="102">
        <v>0</v>
      </c>
      <c r="O224" s="102">
        <v>0</v>
      </c>
      <c r="P224" s="102">
        <v>0</v>
      </c>
      <c r="Q224" s="102">
        <v>0</v>
      </c>
      <c r="R224" s="102">
        <v>0</v>
      </c>
      <c r="S224" s="102">
        <v>0</v>
      </c>
      <c r="T224" s="102">
        <v>0</v>
      </c>
      <c r="U224" s="102">
        <v>0</v>
      </c>
      <c r="V224" s="102">
        <v>0</v>
      </c>
      <c r="W224" s="102">
        <v>0</v>
      </c>
      <c r="X224" s="102">
        <v>0</v>
      </c>
      <c r="Y224" s="102">
        <v>0</v>
      </c>
      <c r="Z224" s="102"/>
      <c r="AA224" s="102"/>
      <c r="AB224" s="102">
        <v>0</v>
      </c>
      <c r="AC224" s="102">
        <v>0</v>
      </c>
      <c r="AD224" s="102">
        <v>0</v>
      </c>
      <c r="AE224" s="102"/>
      <c r="AF224" s="102">
        <v>0</v>
      </c>
      <c r="AG224" s="102"/>
      <c r="AH224" s="102"/>
      <c r="AI224" s="102"/>
      <c r="AJ224" s="102">
        <v>0</v>
      </c>
      <c r="AK224" s="102">
        <v>0</v>
      </c>
      <c r="AL224" s="102">
        <v>0</v>
      </c>
      <c r="AM224" s="102">
        <v>0</v>
      </c>
    </row>
    <row r="225" spans="2:39" x14ac:dyDescent="0.3">
      <c r="B225" s="61" t="s">
        <v>1172</v>
      </c>
      <c r="C225" s="141" t="s">
        <v>1505</v>
      </c>
      <c r="D225" s="102" t="str">
        <f t="shared" si="25"/>
        <v/>
      </c>
      <c r="E225" s="102" t="str">
        <f t="shared" si="25"/>
        <v/>
      </c>
      <c r="F225" s="102" t="str">
        <f t="shared" si="25"/>
        <v/>
      </c>
      <c r="G225" s="155"/>
      <c r="H225" s="102" t="str">
        <f t="shared" si="24"/>
        <v/>
      </c>
      <c r="I225" s="102" t="str">
        <f t="shared" si="24"/>
        <v/>
      </c>
      <c r="J225" s="102" t="str">
        <f t="shared" si="26"/>
        <v/>
      </c>
      <c r="K225" s="683"/>
      <c r="M225" s="102"/>
      <c r="N225" s="102">
        <v>0</v>
      </c>
      <c r="O225" s="102">
        <v>0</v>
      </c>
      <c r="P225" s="102">
        <v>0</v>
      </c>
      <c r="Q225" s="102">
        <v>0</v>
      </c>
      <c r="R225" s="102">
        <v>0</v>
      </c>
      <c r="S225" s="102">
        <v>0</v>
      </c>
      <c r="T225" s="102">
        <v>0</v>
      </c>
      <c r="U225" s="102">
        <v>0</v>
      </c>
      <c r="V225" s="102">
        <v>0</v>
      </c>
      <c r="W225" s="102">
        <v>0</v>
      </c>
      <c r="X225" s="102">
        <v>0</v>
      </c>
      <c r="Y225" s="102">
        <v>0</v>
      </c>
      <c r="Z225" s="102"/>
      <c r="AA225" s="102"/>
      <c r="AB225" s="102">
        <v>0</v>
      </c>
      <c r="AC225" s="102">
        <v>0</v>
      </c>
      <c r="AD225" s="102">
        <v>0</v>
      </c>
      <c r="AE225" s="102">
        <v>0</v>
      </c>
      <c r="AF225" s="102">
        <v>0</v>
      </c>
      <c r="AG225" s="102">
        <v>0</v>
      </c>
      <c r="AH225" s="102">
        <v>0</v>
      </c>
      <c r="AI225" s="102">
        <v>0</v>
      </c>
      <c r="AJ225" s="102">
        <v>0</v>
      </c>
      <c r="AK225" s="102">
        <v>0</v>
      </c>
      <c r="AL225" s="102">
        <v>0</v>
      </c>
      <c r="AM225" s="102">
        <v>0</v>
      </c>
    </row>
    <row r="226" spans="2:39" x14ac:dyDescent="0.3">
      <c r="B226" s="61" t="s">
        <v>1173</v>
      </c>
      <c r="C226" s="141" t="s">
        <v>1506</v>
      </c>
      <c r="D226" s="102">
        <f t="shared" ref="D226:F245" si="27">IF(HLOOKUP(D$5,$M$5:$Y$319,ROW()-ROW($F$4),FALSE)=0,"",HLOOKUP(D$5,$M$5:$Y$319,ROW()-ROW($F$4),FALSE))</f>
        <v>8882.0429779999995</v>
      </c>
      <c r="E226" s="102">
        <f t="shared" si="27"/>
        <v>9906.81459</v>
      </c>
      <c r="F226" s="102">
        <f t="shared" si="27"/>
        <v>2974.4549999999999</v>
      </c>
      <c r="G226" s="155"/>
      <c r="H226" s="102">
        <f t="shared" si="24"/>
        <v>8962.5514300000013</v>
      </c>
      <c r="I226" s="102">
        <f t="shared" si="24"/>
        <v>9906.81459</v>
      </c>
      <c r="J226" s="102">
        <f t="shared" ref="J226:J245" si="28">IF(HLOOKUP(J$5,$AA$5:$AM$315,ROW()-ROW($J$4),FALSE)=0,"",HLOOKUP(J$5,$AA$5:$AM$315,ROW()-ROW($J$4),FALSE))</f>
        <v>2974.455164</v>
      </c>
      <c r="K226" s="683"/>
      <c r="M226" s="102"/>
      <c r="N226" s="102">
        <v>8882.0429779999995</v>
      </c>
      <c r="O226" s="102">
        <v>5535.7821059999997</v>
      </c>
      <c r="P226" s="102">
        <v>4569.2021239999995</v>
      </c>
      <c r="Q226" s="102">
        <v>2680.9992850000003</v>
      </c>
      <c r="R226" s="102">
        <v>9906.81459</v>
      </c>
      <c r="S226" s="102">
        <v>6635.0763809999999</v>
      </c>
      <c r="T226" s="102">
        <v>5042.6524730000001</v>
      </c>
      <c r="U226" s="102">
        <v>3985.8767769999999</v>
      </c>
      <c r="V226" s="102">
        <v>9060.1197830000001</v>
      </c>
      <c r="W226" s="102">
        <v>6879.3028329999997</v>
      </c>
      <c r="X226" s="102">
        <v>7260.183</v>
      </c>
      <c r="Y226" s="102">
        <v>2974.4549999999999</v>
      </c>
      <c r="Z226" s="102"/>
      <c r="AA226" s="102"/>
      <c r="AB226" s="102">
        <v>8962.5514300000013</v>
      </c>
      <c r="AC226" s="102">
        <v>5583.4099619999997</v>
      </c>
      <c r="AD226" s="102">
        <v>4616.8299800000004</v>
      </c>
      <c r="AE226" s="102">
        <v>2681.6716240000001</v>
      </c>
      <c r="AF226" s="102">
        <v>9906.81459</v>
      </c>
      <c r="AG226" s="102">
        <v>6635.0763809999999</v>
      </c>
      <c r="AH226" s="102">
        <v>5042.6524730000001</v>
      </c>
      <c r="AI226" s="102">
        <v>3985.8767769999999</v>
      </c>
      <c r="AJ226" s="102">
        <v>9081.116806</v>
      </c>
      <c r="AK226" s="102">
        <v>6879.3028329999997</v>
      </c>
      <c r="AL226" s="102">
        <v>7260.183309</v>
      </c>
      <c r="AM226" s="102">
        <v>2974.455164</v>
      </c>
    </row>
    <row r="227" spans="2:39" x14ac:dyDescent="0.3">
      <c r="B227" s="61" t="s">
        <v>1174</v>
      </c>
      <c r="C227" s="141" t="s">
        <v>650</v>
      </c>
      <c r="D227" s="102">
        <f t="shared" si="27"/>
        <v>8788.8222380000007</v>
      </c>
      <c r="E227" s="102">
        <f t="shared" si="27"/>
        <v>9566.1913920000006</v>
      </c>
      <c r="F227" s="102">
        <f t="shared" si="27"/>
        <v>2898.8879999999999</v>
      </c>
      <c r="G227" s="155"/>
      <c r="H227" s="102">
        <f t="shared" si="24"/>
        <v>8869.3306900000007</v>
      </c>
      <c r="I227" s="102">
        <f t="shared" si="24"/>
        <v>9566.1913920000006</v>
      </c>
      <c r="J227" s="102">
        <f t="shared" si="28"/>
        <v>2898.8881660000002</v>
      </c>
      <c r="K227" s="683"/>
      <c r="M227" s="102"/>
      <c r="N227" s="102">
        <v>8788.8222380000007</v>
      </c>
      <c r="O227" s="102">
        <v>5449.2893810000005</v>
      </c>
      <c r="P227" s="102">
        <v>4499.4741749999994</v>
      </c>
      <c r="Q227" s="102">
        <v>2623.9530070000001</v>
      </c>
      <c r="R227" s="102">
        <v>9566.1913920000006</v>
      </c>
      <c r="S227" s="102">
        <v>6608.9922510000006</v>
      </c>
      <c r="T227" s="102">
        <v>5018.5495559999999</v>
      </c>
      <c r="U227" s="102">
        <v>3976.97883</v>
      </c>
      <c r="V227" s="102">
        <v>8964.034810000001</v>
      </c>
      <c r="W227" s="102">
        <v>6678.02286</v>
      </c>
      <c r="X227" s="102">
        <v>7060.2539999999999</v>
      </c>
      <c r="Y227" s="102">
        <v>2898.8879999999999</v>
      </c>
      <c r="Z227" s="102"/>
      <c r="AA227" s="102"/>
      <c r="AB227" s="102">
        <v>8869.3306900000007</v>
      </c>
      <c r="AC227" s="102">
        <v>5496.9172369999997</v>
      </c>
      <c r="AD227" s="102">
        <v>4547.1020310000004</v>
      </c>
      <c r="AE227" s="102">
        <v>2624.6253459999998</v>
      </c>
      <c r="AF227" s="102">
        <v>9566.1913920000006</v>
      </c>
      <c r="AG227" s="102">
        <v>6608.9922509999997</v>
      </c>
      <c r="AH227" s="102">
        <v>5018.5495559999999</v>
      </c>
      <c r="AI227" s="102">
        <v>3976.97883</v>
      </c>
      <c r="AJ227" s="102">
        <v>8985.0318329999991</v>
      </c>
      <c r="AK227" s="102">
        <v>6678.02286</v>
      </c>
      <c r="AL227" s="102">
        <v>7060.2544189999999</v>
      </c>
      <c r="AM227" s="102">
        <v>2898.8881660000002</v>
      </c>
    </row>
    <row r="228" spans="2:39" x14ac:dyDescent="0.3">
      <c r="B228" s="61" t="s">
        <v>1175</v>
      </c>
      <c r="C228" s="141" t="s">
        <v>651</v>
      </c>
      <c r="D228" s="102">
        <f t="shared" si="27"/>
        <v>93.220740000000006</v>
      </c>
      <c r="E228" s="102">
        <f t="shared" si="27"/>
        <v>340.623198</v>
      </c>
      <c r="F228" s="102">
        <f t="shared" si="27"/>
        <v>75.566999999999993</v>
      </c>
      <c r="G228" s="155"/>
      <c r="H228" s="102">
        <f t="shared" si="24"/>
        <v>93.220740000000006</v>
      </c>
      <c r="I228" s="102">
        <f t="shared" si="24"/>
        <v>340.623198</v>
      </c>
      <c r="J228" s="102">
        <f t="shared" si="28"/>
        <v>75.566997999999998</v>
      </c>
      <c r="K228" s="683"/>
      <c r="M228" s="102"/>
      <c r="N228" s="102">
        <v>93.220740000000006</v>
      </c>
      <c r="O228" s="102">
        <v>86.492725000000007</v>
      </c>
      <c r="P228" s="102">
        <v>69.727948999999995</v>
      </c>
      <c r="Q228" s="102">
        <v>57.046278000000001</v>
      </c>
      <c r="R228" s="102">
        <v>340.623198</v>
      </c>
      <c r="S228" s="102">
        <v>26.084130000000002</v>
      </c>
      <c r="T228" s="102">
        <v>24.102917000000001</v>
      </c>
      <c r="U228" s="102">
        <v>8.8979470000000003</v>
      </c>
      <c r="V228" s="102">
        <v>96.084973000000005</v>
      </c>
      <c r="W228" s="102">
        <v>201.27997299999998</v>
      </c>
      <c r="X228" s="102">
        <v>199.929</v>
      </c>
      <c r="Y228" s="102">
        <v>75.566999999999993</v>
      </c>
      <c r="Z228" s="102"/>
      <c r="AA228" s="102"/>
      <c r="AB228" s="102">
        <v>93.220740000000006</v>
      </c>
      <c r="AC228" s="102">
        <v>86.492724999999993</v>
      </c>
      <c r="AD228" s="102">
        <v>69.727948999999995</v>
      </c>
      <c r="AE228" s="102">
        <v>57.046278000000001</v>
      </c>
      <c r="AF228" s="102">
        <v>340.623198</v>
      </c>
      <c r="AG228" s="102">
        <v>26.084129999999998</v>
      </c>
      <c r="AH228" s="102">
        <v>24.102917000000001</v>
      </c>
      <c r="AI228" s="102">
        <v>8.8979470000000003</v>
      </c>
      <c r="AJ228" s="102">
        <v>96.084973000000005</v>
      </c>
      <c r="AK228" s="102">
        <v>201.27997300000001</v>
      </c>
      <c r="AL228" s="102">
        <v>199.92889</v>
      </c>
      <c r="AM228" s="102">
        <v>75.566997999999998</v>
      </c>
    </row>
    <row r="229" spans="2:39" x14ac:dyDescent="0.3">
      <c r="B229" s="61" t="s">
        <v>1176</v>
      </c>
      <c r="C229" s="141" t="s">
        <v>652</v>
      </c>
      <c r="D229" s="102" t="str">
        <f t="shared" si="27"/>
        <v/>
      </c>
      <c r="E229" s="102" t="str">
        <f t="shared" si="27"/>
        <v/>
      </c>
      <c r="F229" s="102">
        <f t="shared" si="27"/>
        <v>0.44</v>
      </c>
      <c r="G229" s="155"/>
      <c r="H229" s="102" t="str">
        <f t="shared" si="24"/>
        <v/>
      </c>
      <c r="I229" s="102" t="str">
        <f t="shared" si="24"/>
        <v/>
      </c>
      <c r="J229" s="102">
        <f t="shared" si="28"/>
        <v>0.44024399999999997</v>
      </c>
      <c r="K229" s="683"/>
      <c r="M229" s="102"/>
      <c r="N229" s="102">
        <v>0</v>
      </c>
      <c r="O229" s="102">
        <v>0</v>
      </c>
      <c r="P229" s="102">
        <v>0</v>
      </c>
      <c r="Q229" s="102">
        <v>0</v>
      </c>
      <c r="R229" s="102">
        <v>0</v>
      </c>
      <c r="S229" s="102">
        <v>0</v>
      </c>
      <c r="T229" s="102">
        <v>0</v>
      </c>
      <c r="U229" s="102">
        <v>0</v>
      </c>
      <c r="V229" s="102">
        <v>0</v>
      </c>
      <c r="W229" s="102">
        <v>6.0583109999999998</v>
      </c>
      <c r="X229" s="102">
        <v>5.6180000000000003</v>
      </c>
      <c r="Y229" s="102">
        <v>0.44</v>
      </c>
      <c r="Z229" s="102"/>
      <c r="AA229" s="102"/>
      <c r="AB229" s="102">
        <v>0</v>
      </c>
      <c r="AC229" s="102">
        <v>0</v>
      </c>
      <c r="AD229" s="102">
        <v>0</v>
      </c>
      <c r="AE229" s="102">
        <v>0</v>
      </c>
      <c r="AF229" s="102">
        <v>0</v>
      </c>
      <c r="AG229" s="102">
        <v>0</v>
      </c>
      <c r="AH229" s="102">
        <v>0</v>
      </c>
      <c r="AI229" s="102">
        <v>0</v>
      </c>
      <c r="AJ229" s="102">
        <v>0</v>
      </c>
      <c r="AK229" s="102">
        <v>6.0583109999999998</v>
      </c>
      <c r="AL229" s="102">
        <v>5.6181999999999999</v>
      </c>
      <c r="AM229" s="102">
        <v>0.44024399999999997</v>
      </c>
    </row>
    <row r="230" spans="2:39" x14ac:dyDescent="0.3">
      <c r="B230" s="61" t="s">
        <v>1177</v>
      </c>
      <c r="C230" s="141" t="s">
        <v>709</v>
      </c>
      <c r="D230" s="102">
        <f t="shared" si="27"/>
        <v>93.220740000000006</v>
      </c>
      <c r="E230" s="102">
        <f t="shared" si="27"/>
        <v>340.623198</v>
      </c>
      <c r="F230" s="102">
        <f t="shared" si="27"/>
        <v>75.126999999999995</v>
      </c>
      <c r="G230" s="155"/>
      <c r="H230" s="102">
        <f t="shared" si="24"/>
        <v>93.220740000000006</v>
      </c>
      <c r="I230" s="102">
        <f t="shared" si="24"/>
        <v>340.623198</v>
      </c>
      <c r="J230" s="102">
        <f t="shared" si="28"/>
        <v>75.126753999999991</v>
      </c>
      <c r="K230" s="683"/>
      <c r="M230" s="102"/>
      <c r="N230" s="102">
        <v>93.220740000000006</v>
      </c>
      <c r="O230" s="102">
        <v>86.492725000000007</v>
      </c>
      <c r="P230" s="102">
        <v>69.727948999999995</v>
      </c>
      <c r="Q230" s="102">
        <v>57.046278000000001</v>
      </c>
      <c r="R230" s="102">
        <v>340.623198</v>
      </c>
      <c r="S230" s="102">
        <v>26.084130000000002</v>
      </c>
      <c r="T230" s="102">
        <v>24.102917000000001</v>
      </c>
      <c r="U230" s="102">
        <v>8.8979470000000003</v>
      </c>
      <c r="V230" s="102">
        <v>96.084973000000005</v>
      </c>
      <c r="W230" s="102">
        <v>195.22166200000001</v>
      </c>
      <c r="X230" s="102">
        <v>194.31100000000001</v>
      </c>
      <c r="Y230" s="102">
        <v>75.126999999999995</v>
      </c>
      <c r="Z230" s="102"/>
      <c r="AA230" s="102"/>
      <c r="AB230" s="102">
        <v>93.220740000000006</v>
      </c>
      <c r="AC230" s="102">
        <v>86.492724999999993</v>
      </c>
      <c r="AD230" s="102">
        <v>69.727948999999995</v>
      </c>
      <c r="AE230" s="102">
        <v>57.046278000000001</v>
      </c>
      <c r="AF230" s="102">
        <v>340.623198</v>
      </c>
      <c r="AG230" s="102">
        <v>26.084129999999998</v>
      </c>
      <c r="AH230" s="102">
        <v>24.102917000000001</v>
      </c>
      <c r="AI230" s="102">
        <v>8.8979470000000003</v>
      </c>
      <c r="AJ230" s="102">
        <v>96.084973000000005</v>
      </c>
      <c r="AK230" s="102">
        <v>195.22166200000001</v>
      </c>
      <c r="AL230" s="102">
        <v>194.31068999999999</v>
      </c>
      <c r="AM230" s="102">
        <v>75.126753999999991</v>
      </c>
    </row>
    <row r="231" spans="2:39" x14ac:dyDescent="0.3">
      <c r="B231" s="61" t="s">
        <v>710</v>
      </c>
      <c r="C231" s="141" t="s">
        <v>655</v>
      </c>
      <c r="D231" s="102" t="str">
        <f t="shared" si="27"/>
        <v/>
      </c>
      <c r="E231" s="102" t="str">
        <f t="shared" si="27"/>
        <v/>
      </c>
      <c r="F231" s="102" t="str">
        <f t="shared" si="27"/>
        <v/>
      </c>
      <c r="G231" s="155"/>
      <c r="H231" s="102" t="str">
        <f t="shared" si="24"/>
        <v/>
      </c>
      <c r="I231" s="102" t="str">
        <f t="shared" si="24"/>
        <v/>
      </c>
      <c r="J231" s="102" t="str">
        <f t="shared" si="28"/>
        <v/>
      </c>
      <c r="K231" s="683"/>
      <c r="M231" s="102"/>
      <c r="N231" s="102">
        <v>0</v>
      </c>
      <c r="O231" s="102">
        <v>0</v>
      </c>
      <c r="P231" s="102">
        <v>0</v>
      </c>
      <c r="Q231" s="102">
        <v>0</v>
      </c>
      <c r="R231" s="102">
        <v>0</v>
      </c>
      <c r="S231" s="102">
        <v>0</v>
      </c>
      <c r="T231" s="102">
        <v>0</v>
      </c>
      <c r="U231" s="102">
        <v>0</v>
      </c>
      <c r="V231" s="102">
        <v>0</v>
      </c>
      <c r="W231" s="102">
        <v>0</v>
      </c>
      <c r="X231" s="102">
        <v>0</v>
      </c>
      <c r="Y231" s="102">
        <v>0</v>
      </c>
      <c r="Z231" s="102"/>
      <c r="AA231" s="102"/>
      <c r="AB231" s="102">
        <v>0</v>
      </c>
      <c r="AC231" s="102">
        <v>0</v>
      </c>
      <c r="AD231" s="102">
        <v>0</v>
      </c>
      <c r="AE231" s="102">
        <v>0</v>
      </c>
      <c r="AF231" s="102">
        <v>0</v>
      </c>
      <c r="AG231" s="102">
        <v>0</v>
      </c>
      <c r="AH231" s="102">
        <v>0</v>
      </c>
      <c r="AI231" s="102">
        <v>0</v>
      </c>
      <c r="AJ231" s="102">
        <v>0</v>
      </c>
      <c r="AK231" s="102">
        <v>0</v>
      </c>
      <c r="AL231" s="102">
        <v>0</v>
      </c>
      <c r="AM231" s="102">
        <v>0</v>
      </c>
    </row>
    <row r="232" spans="2:39" x14ac:dyDescent="0.3">
      <c r="B232" s="61" t="s">
        <v>711</v>
      </c>
      <c r="C232" s="141" t="s">
        <v>656</v>
      </c>
      <c r="D232" s="102" t="str">
        <f t="shared" si="27"/>
        <v/>
      </c>
      <c r="E232" s="102" t="str">
        <f t="shared" si="27"/>
        <v/>
      </c>
      <c r="F232" s="102" t="str">
        <f t="shared" si="27"/>
        <v/>
      </c>
      <c r="G232" s="155"/>
      <c r="H232" s="102" t="str">
        <f t="shared" si="24"/>
        <v/>
      </c>
      <c r="I232" s="102" t="str">
        <f t="shared" si="24"/>
        <v/>
      </c>
      <c r="J232" s="102" t="str">
        <f t="shared" si="28"/>
        <v/>
      </c>
      <c r="K232" s="683"/>
      <c r="M232" s="102"/>
      <c r="N232" s="102">
        <v>0</v>
      </c>
      <c r="O232" s="102">
        <v>0</v>
      </c>
      <c r="P232" s="102">
        <v>0</v>
      </c>
      <c r="Q232" s="102">
        <v>0</v>
      </c>
      <c r="R232" s="102">
        <v>0</v>
      </c>
      <c r="S232" s="102">
        <v>0</v>
      </c>
      <c r="T232" s="102">
        <v>0</v>
      </c>
      <c r="U232" s="102">
        <v>0</v>
      </c>
      <c r="V232" s="102">
        <v>0</v>
      </c>
      <c r="W232" s="102">
        <v>0</v>
      </c>
      <c r="X232" s="102">
        <v>0</v>
      </c>
      <c r="Y232" s="102">
        <v>0</v>
      </c>
      <c r="Z232" s="102"/>
      <c r="AA232" s="102"/>
      <c r="AB232" s="102">
        <v>0</v>
      </c>
      <c r="AC232" s="102">
        <v>0</v>
      </c>
      <c r="AD232" s="102">
        <v>0</v>
      </c>
      <c r="AE232" s="102">
        <v>0</v>
      </c>
      <c r="AF232" s="102">
        <v>0</v>
      </c>
      <c r="AG232" s="102">
        <v>0</v>
      </c>
      <c r="AH232" s="102">
        <v>0</v>
      </c>
      <c r="AI232" s="102">
        <v>0</v>
      </c>
      <c r="AJ232" s="102">
        <v>0</v>
      </c>
      <c r="AK232" s="102">
        <v>0</v>
      </c>
      <c r="AL232" s="102">
        <v>0</v>
      </c>
      <c r="AM232" s="102">
        <v>0</v>
      </c>
    </row>
    <row r="233" spans="2:39" x14ac:dyDescent="0.3">
      <c r="B233" s="61" t="s">
        <v>1178</v>
      </c>
      <c r="C233" s="141" t="s">
        <v>657</v>
      </c>
      <c r="D233" s="102" t="str">
        <f t="shared" si="27"/>
        <v/>
      </c>
      <c r="E233" s="102" t="str">
        <f t="shared" si="27"/>
        <v/>
      </c>
      <c r="F233" s="102" t="str">
        <f t="shared" si="27"/>
        <v/>
      </c>
      <c r="G233" s="155"/>
      <c r="H233" s="102" t="str">
        <f t="shared" si="24"/>
        <v/>
      </c>
      <c r="I233" s="102" t="str">
        <f t="shared" si="24"/>
        <v/>
      </c>
      <c r="J233" s="102" t="str">
        <f t="shared" si="28"/>
        <v/>
      </c>
      <c r="K233" s="683"/>
      <c r="M233" s="102"/>
      <c r="N233" s="102">
        <v>0</v>
      </c>
      <c r="O233" s="102">
        <v>0</v>
      </c>
      <c r="P233" s="102">
        <v>0</v>
      </c>
      <c r="Q233" s="102">
        <v>0</v>
      </c>
      <c r="R233" s="102">
        <v>0</v>
      </c>
      <c r="S233" s="102">
        <v>0</v>
      </c>
      <c r="T233" s="102">
        <v>0</v>
      </c>
      <c r="U233" s="102">
        <v>0</v>
      </c>
      <c r="V233" s="102">
        <v>0</v>
      </c>
      <c r="W233" s="102">
        <v>0</v>
      </c>
      <c r="X233" s="102">
        <v>0</v>
      </c>
      <c r="Y233" s="102">
        <v>0</v>
      </c>
      <c r="Z233" s="102"/>
      <c r="AA233" s="102"/>
      <c r="AB233" s="102">
        <v>0</v>
      </c>
      <c r="AC233" s="102">
        <v>0</v>
      </c>
      <c r="AD233" s="102">
        <v>0</v>
      </c>
      <c r="AE233" s="102">
        <v>0</v>
      </c>
      <c r="AF233" s="102">
        <v>0</v>
      </c>
      <c r="AG233" s="102">
        <v>0</v>
      </c>
      <c r="AH233" s="102">
        <v>0</v>
      </c>
      <c r="AI233" s="102">
        <v>0</v>
      </c>
      <c r="AJ233" s="102">
        <v>0</v>
      </c>
      <c r="AK233" s="102">
        <v>0</v>
      </c>
      <c r="AL233" s="102">
        <v>0</v>
      </c>
      <c r="AM233" s="102">
        <v>0</v>
      </c>
    </row>
    <row r="234" spans="2:39" x14ac:dyDescent="0.3">
      <c r="B234" s="61" t="s">
        <v>1179</v>
      </c>
      <c r="C234" s="141" t="s">
        <v>658</v>
      </c>
      <c r="D234" s="102" t="str">
        <f t="shared" si="27"/>
        <v/>
      </c>
      <c r="E234" s="102" t="str">
        <f t="shared" si="27"/>
        <v/>
      </c>
      <c r="F234" s="102" t="str">
        <f t="shared" si="27"/>
        <v/>
      </c>
      <c r="G234" s="155"/>
      <c r="H234" s="102" t="str">
        <f t="shared" si="24"/>
        <v/>
      </c>
      <c r="I234" s="102" t="str">
        <f t="shared" si="24"/>
        <v/>
      </c>
      <c r="J234" s="102" t="str">
        <f t="shared" si="28"/>
        <v/>
      </c>
      <c r="K234" s="683"/>
      <c r="M234" s="102"/>
      <c r="N234" s="102">
        <v>0</v>
      </c>
      <c r="O234" s="102">
        <v>0</v>
      </c>
      <c r="P234" s="102">
        <v>0</v>
      </c>
      <c r="Q234" s="102">
        <v>0</v>
      </c>
      <c r="R234" s="102">
        <v>0</v>
      </c>
      <c r="S234" s="102">
        <v>0</v>
      </c>
      <c r="T234" s="102">
        <v>0</v>
      </c>
      <c r="U234" s="102">
        <v>0</v>
      </c>
      <c r="V234" s="102">
        <v>0</v>
      </c>
      <c r="W234" s="102">
        <v>0</v>
      </c>
      <c r="X234" s="102">
        <v>0</v>
      </c>
      <c r="Y234" s="102">
        <v>0</v>
      </c>
      <c r="Z234" s="102"/>
      <c r="AA234" s="102"/>
      <c r="AB234" s="102">
        <v>0</v>
      </c>
      <c r="AC234" s="102">
        <v>0</v>
      </c>
      <c r="AD234" s="102">
        <v>0</v>
      </c>
      <c r="AE234" s="102">
        <v>0</v>
      </c>
      <c r="AF234" s="102">
        <v>0</v>
      </c>
      <c r="AG234" s="102">
        <v>0</v>
      </c>
      <c r="AH234" s="102">
        <v>0</v>
      </c>
      <c r="AI234" s="102">
        <v>0</v>
      </c>
      <c r="AJ234" s="102">
        <v>0</v>
      </c>
      <c r="AK234" s="102">
        <v>0</v>
      </c>
      <c r="AL234" s="102">
        <v>0</v>
      </c>
      <c r="AM234" s="102">
        <v>0</v>
      </c>
    </row>
    <row r="235" spans="2:39" x14ac:dyDescent="0.3">
      <c r="B235" s="61" t="s">
        <v>1180</v>
      </c>
      <c r="C235" s="141" t="s">
        <v>1507</v>
      </c>
      <c r="D235" s="102" t="str">
        <f t="shared" si="27"/>
        <v/>
      </c>
      <c r="E235" s="102" t="str">
        <f t="shared" si="27"/>
        <v/>
      </c>
      <c r="F235" s="102" t="str">
        <f t="shared" si="27"/>
        <v/>
      </c>
      <c r="G235" s="155"/>
      <c r="H235" s="102" t="str">
        <f t="shared" si="24"/>
        <v/>
      </c>
      <c r="I235" s="102" t="str">
        <f t="shared" si="24"/>
        <v/>
      </c>
      <c r="J235" s="102" t="str">
        <f t="shared" si="28"/>
        <v/>
      </c>
      <c r="K235" s="683"/>
      <c r="M235" s="102"/>
      <c r="N235" s="102">
        <v>0</v>
      </c>
      <c r="O235" s="102">
        <v>0</v>
      </c>
      <c r="P235" s="102">
        <v>0</v>
      </c>
      <c r="Q235" s="102">
        <v>0</v>
      </c>
      <c r="R235" s="102">
        <v>0</v>
      </c>
      <c r="S235" s="102">
        <v>0</v>
      </c>
      <c r="T235" s="102">
        <v>0</v>
      </c>
      <c r="U235" s="102">
        <v>0</v>
      </c>
      <c r="V235" s="102">
        <v>0</v>
      </c>
      <c r="W235" s="102">
        <v>0</v>
      </c>
      <c r="X235" s="102">
        <v>0</v>
      </c>
      <c r="Y235" s="102">
        <v>0</v>
      </c>
      <c r="Z235" s="102"/>
      <c r="AA235" s="102"/>
      <c r="AB235" s="102">
        <v>0</v>
      </c>
      <c r="AC235" s="102">
        <v>0</v>
      </c>
      <c r="AD235" s="102">
        <v>0</v>
      </c>
      <c r="AE235" s="102">
        <v>0</v>
      </c>
      <c r="AF235" s="102">
        <v>0</v>
      </c>
      <c r="AG235" s="102">
        <v>0</v>
      </c>
      <c r="AH235" s="102">
        <v>0</v>
      </c>
      <c r="AI235" s="102">
        <v>0</v>
      </c>
      <c r="AJ235" s="102">
        <v>0</v>
      </c>
      <c r="AK235" s="102">
        <v>0</v>
      </c>
      <c r="AL235" s="102">
        <v>0</v>
      </c>
      <c r="AM235" s="102">
        <v>0</v>
      </c>
    </row>
    <row r="236" spans="2:39" x14ac:dyDescent="0.3">
      <c r="B236" s="61" t="s">
        <v>1181</v>
      </c>
      <c r="C236" s="141" t="s">
        <v>1508</v>
      </c>
      <c r="D236" s="102" t="str">
        <f t="shared" si="27"/>
        <v/>
      </c>
      <c r="E236" s="102" t="str">
        <f t="shared" si="27"/>
        <v/>
      </c>
      <c r="F236" s="102" t="str">
        <f t="shared" si="27"/>
        <v/>
      </c>
      <c r="G236" s="155"/>
      <c r="H236" s="102" t="str">
        <f t="shared" si="24"/>
        <v/>
      </c>
      <c r="I236" s="102" t="str">
        <f t="shared" si="24"/>
        <v/>
      </c>
      <c r="J236" s="102" t="str">
        <f t="shared" si="28"/>
        <v/>
      </c>
      <c r="K236" s="683"/>
      <c r="M236" s="102"/>
      <c r="N236" s="102">
        <v>0</v>
      </c>
      <c r="O236" s="102">
        <v>0</v>
      </c>
      <c r="P236" s="102">
        <v>0</v>
      </c>
      <c r="Q236" s="102">
        <v>0</v>
      </c>
      <c r="R236" s="102">
        <v>0</v>
      </c>
      <c r="S236" s="102">
        <v>0</v>
      </c>
      <c r="T236" s="102">
        <v>0</v>
      </c>
      <c r="U236" s="102">
        <v>0</v>
      </c>
      <c r="V236" s="102">
        <v>0</v>
      </c>
      <c r="W236" s="102">
        <v>0</v>
      </c>
      <c r="X236" s="102">
        <v>0</v>
      </c>
      <c r="Y236" s="102">
        <v>0</v>
      </c>
      <c r="Z236" s="102"/>
      <c r="AA236" s="102"/>
      <c r="AB236" s="102">
        <v>0</v>
      </c>
      <c r="AC236" s="102">
        <v>0</v>
      </c>
      <c r="AD236" s="102">
        <v>0</v>
      </c>
      <c r="AE236" s="102">
        <v>0</v>
      </c>
      <c r="AF236" s="102">
        <v>0</v>
      </c>
      <c r="AG236" s="102">
        <v>0</v>
      </c>
      <c r="AH236" s="102">
        <v>0</v>
      </c>
      <c r="AI236" s="102">
        <v>0</v>
      </c>
      <c r="AJ236" s="102">
        <v>0</v>
      </c>
      <c r="AK236" s="102">
        <v>0</v>
      </c>
      <c r="AL236" s="102">
        <v>0</v>
      </c>
      <c r="AM236" s="102">
        <v>0</v>
      </c>
    </row>
    <row r="237" spans="2:39" x14ac:dyDescent="0.3">
      <c r="B237" s="61" t="s">
        <v>1182</v>
      </c>
      <c r="C237" s="141" t="s">
        <v>659</v>
      </c>
      <c r="D237" s="102" t="str">
        <f t="shared" si="27"/>
        <v/>
      </c>
      <c r="E237" s="102" t="str">
        <f t="shared" si="27"/>
        <v/>
      </c>
      <c r="F237" s="102" t="str">
        <f t="shared" si="27"/>
        <v/>
      </c>
      <c r="G237" s="155"/>
      <c r="H237" s="102" t="str">
        <f t="shared" si="24"/>
        <v/>
      </c>
      <c r="I237" s="102" t="str">
        <f t="shared" si="24"/>
        <v/>
      </c>
      <c r="J237" s="102" t="str">
        <f t="shared" si="28"/>
        <v/>
      </c>
      <c r="K237" s="683"/>
      <c r="M237" s="102"/>
      <c r="N237" s="102">
        <v>0</v>
      </c>
      <c r="O237" s="102">
        <v>0</v>
      </c>
      <c r="P237" s="102">
        <v>0</v>
      </c>
      <c r="Q237" s="102">
        <v>0</v>
      </c>
      <c r="R237" s="102">
        <v>0</v>
      </c>
      <c r="S237" s="102">
        <v>0</v>
      </c>
      <c r="T237" s="102">
        <v>0</v>
      </c>
      <c r="U237" s="102">
        <v>0</v>
      </c>
      <c r="V237" s="102">
        <v>0</v>
      </c>
      <c r="W237" s="102">
        <v>0</v>
      </c>
      <c r="X237" s="102">
        <v>0</v>
      </c>
      <c r="Y237" s="102">
        <v>0</v>
      </c>
      <c r="Z237" s="102"/>
      <c r="AA237" s="102"/>
      <c r="AB237" s="102">
        <v>0</v>
      </c>
      <c r="AC237" s="102">
        <v>0</v>
      </c>
      <c r="AD237" s="102">
        <v>0</v>
      </c>
      <c r="AE237" s="102">
        <v>0</v>
      </c>
      <c r="AF237" s="102">
        <v>0</v>
      </c>
      <c r="AG237" s="102">
        <v>0</v>
      </c>
      <c r="AH237" s="102">
        <v>0</v>
      </c>
      <c r="AI237" s="102">
        <v>0</v>
      </c>
      <c r="AJ237" s="102">
        <v>0</v>
      </c>
      <c r="AK237" s="102">
        <v>0</v>
      </c>
      <c r="AL237" s="102">
        <v>0</v>
      </c>
      <c r="AM237" s="102">
        <v>0</v>
      </c>
    </row>
    <row r="238" spans="2:39" x14ac:dyDescent="0.3">
      <c r="B238" s="61" t="s">
        <v>1183</v>
      </c>
      <c r="C238" s="141" t="s">
        <v>660</v>
      </c>
      <c r="D238" s="102">
        <f t="shared" si="27"/>
        <v>134259.57786399999</v>
      </c>
      <c r="E238" s="102">
        <f t="shared" si="27"/>
        <v>194826.00499799999</v>
      </c>
      <c r="F238" s="102">
        <f t="shared" si="27"/>
        <v>65151.606</v>
      </c>
      <c r="G238" s="155"/>
      <c r="H238" s="102">
        <f t="shared" si="24"/>
        <v>152039.448691</v>
      </c>
      <c r="I238" s="102">
        <f t="shared" si="24"/>
        <v>198967.63709500001</v>
      </c>
      <c r="J238" s="102">
        <f t="shared" si="28"/>
        <v>75600.499498000005</v>
      </c>
      <c r="K238" s="683"/>
      <c r="M238" s="102"/>
      <c r="N238" s="102">
        <v>134259.57786399999</v>
      </c>
      <c r="O238" s="102">
        <v>50054.595383</v>
      </c>
      <c r="P238" s="102">
        <v>32745.456539999999</v>
      </c>
      <c r="Q238" s="102">
        <v>11325.207047</v>
      </c>
      <c r="R238" s="102">
        <v>194826.00499799999</v>
      </c>
      <c r="S238" s="102">
        <v>139378.41145300001</v>
      </c>
      <c r="T238" s="102">
        <v>116153.252936</v>
      </c>
      <c r="U238" s="102">
        <v>55110.385131999996</v>
      </c>
      <c r="V238" s="102">
        <v>238043.54904800002</v>
      </c>
      <c r="W238" s="102">
        <v>262357.69242600002</v>
      </c>
      <c r="X238" s="102">
        <v>195970.99900000001</v>
      </c>
      <c r="Y238" s="102">
        <v>65151.606</v>
      </c>
      <c r="Z238" s="102"/>
      <c r="AA238" s="102"/>
      <c r="AB238" s="102">
        <v>152039.448691</v>
      </c>
      <c r="AC238" s="102">
        <v>57510.127372000003</v>
      </c>
      <c r="AD238" s="102">
        <v>32865.456539999999</v>
      </c>
      <c r="AE238" s="102">
        <v>11445.207047</v>
      </c>
      <c r="AF238" s="102">
        <v>198967.63709500001</v>
      </c>
      <c r="AG238" s="102">
        <v>141766.78247000001</v>
      </c>
      <c r="AH238" s="102">
        <v>118546.88295299999</v>
      </c>
      <c r="AI238" s="102">
        <v>57504.015148999999</v>
      </c>
      <c r="AJ238" s="102">
        <v>250996.51442200001</v>
      </c>
      <c r="AK238" s="102">
        <v>275310.65779999999</v>
      </c>
      <c r="AL238" s="102">
        <v>206419.89203300001</v>
      </c>
      <c r="AM238" s="102">
        <v>75600.499498000005</v>
      </c>
    </row>
    <row r="239" spans="2:39" x14ac:dyDescent="0.3">
      <c r="B239" s="61" t="s">
        <v>1184</v>
      </c>
      <c r="C239" s="141" t="s">
        <v>661</v>
      </c>
      <c r="D239" s="102" t="str">
        <f t="shared" si="27"/>
        <v/>
      </c>
      <c r="E239" s="102" t="str">
        <f t="shared" si="27"/>
        <v/>
      </c>
      <c r="F239" s="102" t="str">
        <f t="shared" si="27"/>
        <v/>
      </c>
      <c r="G239" s="155"/>
      <c r="H239" s="102" t="str">
        <f t="shared" si="24"/>
        <v/>
      </c>
      <c r="I239" s="102" t="str">
        <f t="shared" si="24"/>
        <v/>
      </c>
      <c r="J239" s="102" t="str">
        <f t="shared" si="28"/>
        <v/>
      </c>
      <c r="K239" s="683"/>
      <c r="M239" s="102"/>
      <c r="N239" s="102">
        <v>0</v>
      </c>
      <c r="O239" s="102">
        <v>0</v>
      </c>
      <c r="P239" s="102">
        <v>0</v>
      </c>
      <c r="Q239" s="102">
        <v>0</v>
      </c>
      <c r="R239" s="102">
        <v>0</v>
      </c>
      <c r="S239" s="102">
        <v>0</v>
      </c>
      <c r="T239" s="102">
        <v>0</v>
      </c>
      <c r="U239" s="102">
        <v>0</v>
      </c>
      <c r="V239" s="102">
        <v>0</v>
      </c>
      <c r="W239" s="102">
        <v>0</v>
      </c>
      <c r="X239" s="102">
        <v>0</v>
      </c>
      <c r="Y239" s="102">
        <v>0</v>
      </c>
      <c r="Z239" s="102"/>
      <c r="AA239" s="102"/>
      <c r="AB239" s="102">
        <v>0</v>
      </c>
      <c r="AC239" s="102">
        <v>0</v>
      </c>
      <c r="AD239" s="102">
        <v>0</v>
      </c>
      <c r="AE239" s="102"/>
      <c r="AF239" s="102">
        <v>0</v>
      </c>
      <c r="AG239" s="102"/>
      <c r="AH239" s="102"/>
      <c r="AI239" s="102"/>
      <c r="AJ239" s="102">
        <v>0</v>
      </c>
      <c r="AK239" s="102">
        <v>0</v>
      </c>
      <c r="AL239" s="102">
        <v>0</v>
      </c>
      <c r="AM239" s="102">
        <v>0</v>
      </c>
    </row>
    <row r="240" spans="2:39" x14ac:dyDescent="0.3">
      <c r="B240" s="61" t="s">
        <v>1185</v>
      </c>
      <c r="C240" s="141" t="s">
        <v>662</v>
      </c>
      <c r="D240" s="102" t="str">
        <f t="shared" si="27"/>
        <v/>
      </c>
      <c r="E240" s="102" t="str">
        <f t="shared" si="27"/>
        <v/>
      </c>
      <c r="F240" s="102" t="str">
        <f t="shared" si="27"/>
        <v/>
      </c>
      <c r="G240" s="155"/>
      <c r="H240" s="102" t="str">
        <f t="shared" si="24"/>
        <v/>
      </c>
      <c r="I240" s="102" t="str">
        <f t="shared" si="24"/>
        <v/>
      </c>
      <c r="J240" s="102" t="str">
        <f t="shared" si="28"/>
        <v/>
      </c>
      <c r="K240" s="683"/>
      <c r="M240" s="102"/>
      <c r="N240" s="102">
        <v>0</v>
      </c>
      <c r="O240" s="102">
        <v>0</v>
      </c>
      <c r="P240" s="102">
        <v>0</v>
      </c>
      <c r="Q240" s="102">
        <v>0</v>
      </c>
      <c r="R240" s="102">
        <v>0</v>
      </c>
      <c r="S240" s="102">
        <v>0</v>
      </c>
      <c r="T240" s="102">
        <v>0</v>
      </c>
      <c r="U240" s="102">
        <v>0</v>
      </c>
      <c r="V240" s="102">
        <v>0</v>
      </c>
      <c r="W240" s="102">
        <v>0</v>
      </c>
      <c r="X240" s="102">
        <v>0</v>
      </c>
      <c r="Y240" s="102">
        <v>0</v>
      </c>
      <c r="Z240" s="102"/>
      <c r="AA240" s="102"/>
      <c r="AB240" s="102">
        <v>0</v>
      </c>
      <c r="AC240" s="102">
        <v>0</v>
      </c>
      <c r="AD240" s="102">
        <v>0</v>
      </c>
      <c r="AE240" s="102"/>
      <c r="AF240" s="102">
        <v>0</v>
      </c>
      <c r="AG240" s="102"/>
      <c r="AH240" s="102"/>
      <c r="AI240" s="102"/>
      <c r="AJ240" s="102">
        <v>0</v>
      </c>
      <c r="AK240" s="102">
        <v>0</v>
      </c>
      <c r="AL240" s="102">
        <v>0</v>
      </c>
      <c r="AM240" s="102">
        <v>0</v>
      </c>
    </row>
    <row r="241" spans="2:39" x14ac:dyDescent="0.3">
      <c r="B241" s="61" t="s">
        <v>1186</v>
      </c>
      <c r="C241" s="141" t="s">
        <v>663</v>
      </c>
      <c r="D241" s="102">
        <f t="shared" si="27"/>
        <v>20.979111</v>
      </c>
      <c r="E241" s="102">
        <f t="shared" si="27"/>
        <v>1795.9046289999999</v>
      </c>
      <c r="F241" s="102" t="str">
        <f t="shared" si="27"/>
        <v/>
      </c>
      <c r="G241" s="155"/>
      <c r="H241" s="102" t="str">
        <f t="shared" si="24"/>
        <v/>
      </c>
      <c r="I241" s="102" t="str">
        <f t="shared" si="24"/>
        <v/>
      </c>
      <c r="J241" s="102" t="str">
        <f t="shared" si="28"/>
        <v/>
      </c>
      <c r="K241" s="683"/>
      <c r="M241" s="102"/>
      <c r="N241" s="102">
        <v>20.979111</v>
      </c>
      <c r="O241" s="102">
        <v>15.542301</v>
      </c>
      <c r="P241" s="102">
        <v>0</v>
      </c>
      <c r="Q241" s="102">
        <v>0</v>
      </c>
      <c r="R241" s="102">
        <v>1795.9046289999999</v>
      </c>
      <c r="S241" s="102">
        <v>1795.9046289999999</v>
      </c>
      <c r="T241" s="102">
        <v>8.8949E-2</v>
      </c>
      <c r="U241" s="102">
        <v>0</v>
      </c>
      <c r="V241" s="102">
        <v>1737.925</v>
      </c>
      <c r="W241" s="102">
        <v>1737.925</v>
      </c>
      <c r="X241" s="102">
        <v>0</v>
      </c>
      <c r="Y241" s="102">
        <v>0</v>
      </c>
      <c r="Z241" s="102"/>
      <c r="AA241" s="102"/>
      <c r="AB241" s="102">
        <v>0</v>
      </c>
      <c r="AC241" s="102">
        <v>0</v>
      </c>
      <c r="AD241" s="102">
        <v>0</v>
      </c>
      <c r="AE241" s="102"/>
      <c r="AF241" s="102">
        <v>0</v>
      </c>
      <c r="AG241" s="102"/>
      <c r="AH241" s="102"/>
      <c r="AI241" s="102"/>
      <c r="AJ241" s="102">
        <v>0</v>
      </c>
      <c r="AK241" s="102">
        <v>0</v>
      </c>
      <c r="AL241" s="102">
        <v>0</v>
      </c>
      <c r="AM241" s="102">
        <v>0</v>
      </c>
    </row>
    <row r="242" spans="2:39" x14ac:dyDescent="0.3">
      <c r="B242" s="61" t="s">
        <v>1187</v>
      </c>
      <c r="C242" s="141" t="s">
        <v>664</v>
      </c>
      <c r="D242" s="102">
        <f t="shared" si="27"/>
        <v>134238.598753</v>
      </c>
      <c r="E242" s="102">
        <f t="shared" si="27"/>
        <v>193029.904369</v>
      </c>
      <c r="F242" s="102">
        <f t="shared" si="27"/>
        <v>65142.531999999999</v>
      </c>
      <c r="G242" s="155"/>
      <c r="H242" s="102" t="str">
        <f t="shared" si="24"/>
        <v/>
      </c>
      <c r="I242" s="102" t="str">
        <f t="shared" si="24"/>
        <v/>
      </c>
      <c r="J242" s="102" t="str">
        <f t="shared" si="28"/>
        <v/>
      </c>
      <c r="K242" s="683"/>
      <c r="M242" s="102"/>
      <c r="N242" s="102">
        <v>134238.598753</v>
      </c>
      <c r="O242" s="102">
        <v>50039.053082000006</v>
      </c>
      <c r="P242" s="102">
        <v>32745.456539999999</v>
      </c>
      <c r="Q242" s="102">
        <v>11325.207047</v>
      </c>
      <c r="R242" s="102">
        <v>193029.904369</v>
      </c>
      <c r="S242" s="102">
        <v>137582.31082400001</v>
      </c>
      <c r="T242" s="102">
        <v>116152.967987</v>
      </c>
      <c r="U242" s="102">
        <v>55110.189132</v>
      </c>
      <c r="V242" s="102">
        <v>236259.15794100001</v>
      </c>
      <c r="W242" s="102">
        <v>260596.643426</v>
      </c>
      <c r="X242" s="102">
        <v>195950.861</v>
      </c>
      <c r="Y242" s="102">
        <v>65142.531999999999</v>
      </c>
      <c r="Z242" s="102"/>
      <c r="AA242" s="102"/>
      <c r="AB242" s="102">
        <v>0</v>
      </c>
      <c r="AC242" s="102">
        <v>0</v>
      </c>
      <c r="AD242" s="102">
        <v>0</v>
      </c>
      <c r="AE242" s="102"/>
      <c r="AF242" s="102">
        <v>0</v>
      </c>
      <c r="AG242" s="102"/>
      <c r="AH242" s="102"/>
      <c r="AI242" s="102"/>
      <c r="AJ242" s="102">
        <v>0</v>
      </c>
      <c r="AK242" s="102">
        <v>0</v>
      </c>
      <c r="AL242" s="102">
        <v>0</v>
      </c>
      <c r="AM242" s="102">
        <v>0</v>
      </c>
    </row>
    <row r="243" spans="2:39" x14ac:dyDescent="0.3">
      <c r="B243" s="61" t="s">
        <v>1188</v>
      </c>
      <c r="C243" s="141" t="s">
        <v>665</v>
      </c>
      <c r="D243" s="102" t="str">
        <f t="shared" si="27"/>
        <v/>
      </c>
      <c r="E243" s="102" t="str">
        <f t="shared" si="27"/>
        <v/>
      </c>
      <c r="F243" s="102" t="str">
        <f t="shared" si="27"/>
        <v/>
      </c>
      <c r="G243" s="155"/>
      <c r="H243" s="102" t="str">
        <f t="shared" si="24"/>
        <v/>
      </c>
      <c r="I243" s="102" t="str">
        <f t="shared" si="24"/>
        <v/>
      </c>
      <c r="J243" s="102" t="str">
        <f t="shared" si="28"/>
        <v/>
      </c>
      <c r="K243" s="683"/>
      <c r="M243" s="102"/>
      <c r="N243" s="102">
        <v>0</v>
      </c>
      <c r="O243" s="102">
        <v>0</v>
      </c>
      <c r="P243" s="102">
        <v>0</v>
      </c>
      <c r="Q243" s="102">
        <v>0</v>
      </c>
      <c r="R243" s="102">
        <v>0</v>
      </c>
      <c r="S243" s="102">
        <v>0</v>
      </c>
      <c r="T243" s="102">
        <v>0</v>
      </c>
      <c r="U243" s="102">
        <v>0</v>
      </c>
      <c r="V243" s="102">
        <v>0</v>
      </c>
      <c r="W243" s="102">
        <v>0</v>
      </c>
      <c r="X243" s="102">
        <v>0</v>
      </c>
      <c r="Y243" s="102">
        <v>0</v>
      </c>
      <c r="Z243" s="102"/>
      <c r="AA243" s="102"/>
      <c r="AB243" s="102">
        <v>0</v>
      </c>
      <c r="AC243" s="102">
        <v>0</v>
      </c>
      <c r="AD243" s="102">
        <v>0</v>
      </c>
      <c r="AE243" s="102"/>
      <c r="AF243" s="102">
        <v>0</v>
      </c>
      <c r="AG243" s="102"/>
      <c r="AH243" s="102"/>
      <c r="AI243" s="102"/>
      <c r="AJ243" s="102">
        <v>0</v>
      </c>
      <c r="AK243" s="102">
        <v>0</v>
      </c>
      <c r="AL243" s="102">
        <v>0</v>
      </c>
      <c r="AM243" s="102">
        <v>0</v>
      </c>
    </row>
    <row r="244" spans="2:39" x14ac:dyDescent="0.3">
      <c r="B244" s="61" t="s">
        <v>1189</v>
      </c>
      <c r="C244" s="141" t="s">
        <v>666</v>
      </c>
      <c r="D244" s="102" t="str">
        <f t="shared" si="27"/>
        <v/>
      </c>
      <c r="E244" s="102" t="str">
        <f t="shared" si="27"/>
        <v/>
      </c>
      <c r="F244" s="102" t="str">
        <f t="shared" si="27"/>
        <v/>
      </c>
      <c r="G244" s="155"/>
      <c r="H244" s="102" t="str">
        <f t="shared" si="24"/>
        <v/>
      </c>
      <c r="I244" s="102" t="str">
        <f t="shared" si="24"/>
        <v/>
      </c>
      <c r="J244" s="102" t="str">
        <f t="shared" si="28"/>
        <v/>
      </c>
      <c r="K244" s="683"/>
      <c r="M244" s="102"/>
      <c r="N244" s="102">
        <v>0</v>
      </c>
      <c r="O244" s="102">
        <v>0</v>
      </c>
      <c r="P244" s="102">
        <v>0</v>
      </c>
      <c r="Q244" s="102">
        <v>0</v>
      </c>
      <c r="R244" s="102">
        <v>0</v>
      </c>
      <c r="S244" s="102">
        <v>0</v>
      </c>
      <c r="T244" s="102">
        <v>0</v>
      </c>
      <c r="U244" s="102">
        <v>0</v>
      </c>
      <c r="V244" s="102">
        <v>0</v>
      </c>
      <c r="W244" s="102">
        <v>0</v>
      </c>
      <c r="X244" s="102">
        <v>0</v>
      </c>
      <c r="Y244" s="102">
        <v>0</v>
      </c>
      <c r="Z244" s="102"/>
      <c r="AA244" s="102"/>
      <c r="AB244" s="102">
        <v>0</v>
      </c>
      <c r="AC244" s="102">
        <v>0</v>
      </c>
      <c r="AD244" s="102">
        <v>0</v>
      </c>
      <c r="AE244" s="102"/>
      <c r="AF244" s="102">
        <v>0</v>
      </c>
      <c r="AG244" s="102"/>
      <c r="AH244" s="102"/>
      <c r="AI244" s="102"/>
      <c r="AJ244" s="102">
        <v>0</v>
      </c>
      <c r="AK244" s="102">
        <v>0</v>
      </c>
      <c r="AL244" s="102">
        <v>0</v>
      </c>
      <c r="AM244" s="102">
        <v>0</v>
      </c>
    </row>
    <row r="245" spans="2:39" x14ac:dyDescent="0.3">
      <c r="B245" s="61" t="s">
        <v>1190</v>
      </c>
      <c r="C245" s="141" t="s">
        <v>667</v>
      </c>
      <c r="D245" s="102" t="str">
        <f t="shared" si="27"/>
        <v/>
      </c>
      <c r="E245" s="102">
        <f t="shared" si="27"/>
        <v>0.19600000000000001</v>
      </c>
      <c r="F245" s="102">
        <f t="shared" si="27"/>
        <v>9.0749999999999993</v>
      </c>
      <c r="G245" s="155"/>
      <c r="H245" s="102" t="str">
        <f t="shared" si="24"/>
        <v/>
      </c>
      <c r="I245" s="102" t="str">
        <f t="shared" si="24"/>
        <v/>
      </c>
      <c r="J245" s="102" t="str">
        <f t="shared" si="28"/>
        <v/>
      </c>
      <c r="K245" s="683"/>
      <c r="M245" s="102"/>
      <c r="N245" s="102">
        <v>0</v>
      </c>
      <c r="O245" s="102">
        <v>0</v>
      </c>
      <c r="P245" s="102">
        <v>0</v>
      </c>
      <c r="Q245" s="102">
        <v>0</v>
      </c>
      <c r="R245" s="102">
        <v>0.19600000000000001</v>
      </c>
      <c r="S245" s="102">
        <v>0.19600000000000001</v>
      </c>
      <c r="T245" s="102">
        <v>0.19600000000000001</v>
      </c>
      <c r="U245" s="102">
        <v>0.19600000000000001</v>
      </c>
      <c r="V245" s="102">
        <v>46.466107000000001</v>
      </c>
      <c r="W245" s="102">
        <v>23.123999999999999</v>
      </c>
      <c r="X245" s="102">
        <v>20.138000000000002</v>
      </c>
      <c r="Y245" s="102">
        <v>9.0749999999999993</v>
      </c>
      <c r="Z245" s="102"/>
      <c r="AA245" s="102"/>
      <c r="AB245" s="102">
        <v>0</v>
      </c>
      <c r="AC245" s="102">
        <v>0</v>
      </c>
      <c r="AD245" s="102">
        <v>0</v>
      </c>
      <c r="AE245" s="102"/>
      <c r="AF245" s="102">
        <v>0</v>
      </c>
      <c r="AG245" s="102"/>
      <c r="AH245" s="102"/>
      <c r="AI245" s="102"/>
      <c r="AJ245" s="102">
        <v>0</v>
      </c>
      <c r="AK245" s="102">
        <v>0</v>
      </c>
      <c r="AL245" s="102">
        <v>0</v>
      </c>
      <c r="AM245" s="102">
        <v>0</v>
      </c>
    </row>
    <row r="246" spans="2:39" x14ac:dyDescent="0.3">
      <c r="B246" s="61" t="s">
        <v>1191</v>
      </c>
      <c r="C246" s="141" t="s">
        <v>1509</v>
      </c>
      <c r="D246" s="102">
        <f t="shared" ref="D246:F265" si="29">IF(HLOOKUP(D$5,$M$5:$Y$319,ROW()-ROW($F$4),FALSE)=0,"",HLOOKUP(D$5,$M$5:$Y$319,ROW()-ROW($F$4),FALSE))</f>
        <v>67653.535212999996</v>
      </c>
      <c r="E246" s="102">
        <f t="shared" si="29"/>
        <v>351614.17367500003</v>
      </c>
      <c r="F246" s="102">
        <f t="shared" si="29"/>
        <v>123018.762</v>
      </c>
      <c r="G246" s="155"/>
      <c r="H246" s="102">
        <f t="shared" si="24"/>
        <v>91539.718584000002</v>
      </c>
      <c r="I246" s="102">
        <f t="shared" si="24"/>
        <v>399974.63015899999</v>
      </c>
      <c r="J246" s="102">
        <f t="shared" ref="J246:J265" si="30">IF(HLOOKUP(J$5,$AA$5:$AM$315,ROW()-ROW($J$4),FALSE)=0,"",HLOOKUP(J$5,$AA$5:$AM$315,ROW()-ROW($J$4),FALSE))</f>
        <v>126752.183216</v>
      </c>
      <c r="K246" s="683"/>
      <c r="M246" s="102"/>
      <c r="N246" s="102">
        <v>67653.535212999996</v>
      </c>
      <c r="O246" s="102">
        <v>49698.802562999997</v>
      </c>
      <c r="P246" s="102">
        <v>15702.545784</v>
      </c>
      <c r="Q246" s="102">
        <v>37249.920406000005</v>
      </c>
      <c r="R246" s="102">
        <v>351614.17367500003</v>
      </c>
      <c r="S246" s="102">
        <v>40066.273525999997</v>
      </c>
      <c r="T246" s="102">
        <v>147964.83964700002</v>
      </c>
      <c r="U246" s="102">
        <v>103971.356894</v>
      </c>
      <c r="V246" s="102">
        <v>88720.675496999989</v>
      </c>
      <c r="W246" s="102">
        <v>126209.846135</v>
      </c>
      <c r="X246" s="102">
        <v>75790.967000000004</v>
      </c>
      <c r="Y246" s="102">
        <v>123018.762</v>
      </c>
      <c r="Z246" s="102"/>
      <c r="AA246" s="102"/>
      <c r="AB246" s="102">
        <v>91539.718584000002</v>
      </c>
      <c r="AC246" s="102">
        <v>66514.413027000002</v>
      </c>
      <c r="AD246" s="102">
        <v>21045.983874000001</v>
      </c>
      <c r="AE246" s="102">
        <v>42593.358496000001</v>
      </c>
      <c r="AF246" s="102">
        <v>399974.63015899999</v>
      </c>
      <c r="AG246" s="102">
        <v>60258.623504000003</v>
      </c>
      <c r="AH246" s="102">
        <v>168151.93062500001</v>
      </c>
      <c r="AI246" s="102">
        <v>111784.901385</v>
      </c>
      <c r="AJ246" s="102">
        <v>104746.090385</v>
      </c>
      <c r="AK246" s="102">
        <v>137973.21425300001</v>
      </c>
      <c r="AL246" s="102">
        <v>81630.2549</v>
      </c>
      <c r="AM246" s="102">
        <v>126752.183216</v>
      </c>
    </row>
    <row r="247" spans="2:39" x14ac:dyDescent="0.3">
      <c r="B247" s="61" t="s">
        <v>1192</v>
      </c>
      <c r="C247" s="141" t="s">
        <v>668</v>
      </c>
      <c r="D247" s="102" t="str">
        <f t="shared" si="29"/>
        <v/>
      </c>
      <c r="E247" s="102" t="str">
        <f t="shared" si="29"/>
        <v/>
      </c>
      <c r="F247" s="102" t="str">
        <f t="shared" si="29"/>
        <v/>
      </c>
      <c r="G247" s="155"/>
      <c r="H247" s="102" t="str">
        <f t="shared" si="24"/>
        <v/>
      </c>
      <c r="I247" s="102" t="str">
        <f t="shared" si="24"/>
        <v/>
      </c>
      <c r="J247" s="102" t="str">
        <f t="shared" si="30"/>
        <v/>
      </c>
      <c r="K247" s="683"/>
      <c r="M247" s="102"/>
      <c r="N247" s="102">
        <v>0</v>
      </c>
      <c r="O247" s="102">
        <v>0</v>
      </c>
      <c r="P247" s="102">
        <v>0</v>
      </c>
      <c r="Q247" s="102">
        <v>0</v>
      </c>
      <c r="R247" s="102">
        <v>0</v>
      </c>
      <c r="S247" s="102">
        <v>0</v>
      </c>
      <c r="T247" s="102">
        <v>0</v>
      </c>
      <c r="U247" s="102">
        <v>0</v>
      </c>
      <c r="V247" s="102">
        <v>0</v>
      </c>
      <c r="W247" s="102">
        <v>0</v>
      </c>
      <c r="X247" s="102">
        <v>0</v>
      </c>
      <c r="Y247" s="102">
        <v>0</v>
      </c>
      <c r="Z247" s="102"/>
      <c r="AA247" s="102"/>
      <c r="AB247" s="102">
        <v>0</v>
      </c>
      <c r="AC247" s="102">
        <v>0</v>
      </c>
      <c r="AD247" s="102">
        <v>0</v>
      </c>
      <c r="AE247" s="102"/>
      <c r="AF247" s="102">
        <v>0</v>
      </c>
      <c r="AG247" s="102"/>
      <c r="AH247" s="102"/>
      <c r="AI247" s="102"/>
      <c r="AJ247" s="102">
        <v>0</v>
      </c>
      <c r="AK247" s="102">
        <v>0</v>
      </c>
      <c r="AL247" s="102">
        <v>0</v>
      </c>
      <c r="AM247" s="102">
        <v>0</v>
      </c>
    </row>
    <row r="248" spans="2:39" x14ac:dyDescent="0.3">
      <c r="B248" s="61" t="s">
        <v>1193</v>
      </c>
      <c r="C248" s="141" t="s">
        <v>669</v>
      </c>
      <c r="D248" s="102" t="str">
        <f t="shared" si="29"/>
        <v/>
      </c>
      <c r="E248" s="102" t="str">
        <f t="shared" si="29"/>
        <v/>
      </c>
      <c r="F248" s="102" t="str">
        <f t="shared" si="29"/>
        <v/>
      </c>
      <c r="G248" s="155"/>
      <c r="H248" s="102" t="str">
        <f t="shared" si="24"/>
        <v/>
      </c>
      <c r="I248" s="102" t="str">
        <f t="shared" si="24"/>
        <v/>
      </c>
      <c r="J248" s="102" t="str">
        <f t="shared" si="30"/>
        <v/>
      </c>
      <c r="K248" s="683"/>
      <c r="M248" s="102"/>
      <c r="N248" s="102">
        <v>0</v>
      </c>
      <c r="O248" s="102">
        <v>0</v>
      </c>
      <c r="P248" s="102">
        <v>0</v>
      </c>
      <c r="Q248" s="102">
        <v>0</v>
      </c>
      <c r="R248" s="102">
        <v>0</v>
      </c>
      <c r="S248" s="102">
        <v>0</v>
      </c>
      <c r="T248" s="102">
        <v>0</v>
      </c>
      <c r="U248" s="102">
        <v>0</v>
      </c>
      <c r="V248" s="102">
        <v>0</v>
      </c>
      <c r="W248" s="102">
        <v>0</v>
      </c>
      <c r="X248" s="102">
        <v>0</v>
      </c>
      <c r="Y248" s="102">
        <v>0</v>
      </c>
      <c r="Z248" s="102"/>
      <c r="AA248" s="102"/>
      <c r="AB248" s="102">
        <v>0</v>
      </c>
      <c r="AC248" s="102">
        <v>0</v>
      </c>
      <c r="AD248" s="102">
        <v>0</v>
      </c>
      <c r="AE248" s="102"/>
      <c r="AF248" s="102">
        <v>0</v>
      </c>
      <c r="AG248" s="102"/>
      <c r="AH248" s="102"/>
      <c r="AI248" s="102"/>
      <c r="AJ248" s="102">
        <v>0</v>
      </c>
      <c r="AK248" s="102">
        <v>0</v>
      </c>
      <c r="AL248" s="102">
        <v>0</v>
      </c>
      <c r="AM248" s="102">
        <v>0</v>
      </c>
    </row>
    <row r="249" spans="2:39" x14ac:dyDescent="0.3">
      <c r="B249" s="61" t="s">
        <v>1194</v>
      </c>
      <c r="C249" s="141" t="s">
        <v>629</v>
      </c>
      <c r="D249" s="102">
        <f t="shared" si="29"/>
        <v>41800.580108000002</v>
      </c>
      <c r="E249" s="102">
        <f t="shared" si="29"/>
        <v>42.587156</v>
      </c>
      <c r="F249" s="102">
        <f t="shared" si="29"/>
        <v>29.451000000000001</v>
      </c>
      <c r="G249" s="155"/>
      <c r="H249" s="102" t="str">
        <f t="shared" si="24"/>
        <v/>
      </c>
      <c r="I249" s="102" t="str">
        <f t="shared" si="24"/>
        <v/>
      </c>
      <c r="J249" s="102" t="str">
        <f t="shared" si="30"/>
        <v/>
      </c>
      <c r="K249" s="683"/>
      <c r="M249" s="102"/>
      <c r="N249" s="102">
        <v>41800.580108000002</v>
      </c>
      <c r="O249" s="102">
        <v>17300.036377999997</v>
      </c>
      <c r="P249" s="102">
        <v>12376.219505000001</v>
      </c>
      <c r="Q249" s="102">
        <v>972.04018299999996</v>
      </c>
      <c r="R249" s="102">
        <v>42.587156</v>
      </c>
      <c r="S249" s="102">
        <v>43.103552000000001</v>
      </c>
      <c r="T249" s="102">
        <v>731.42159400000003</v>
      </c>
      <c r="U249" s="102">
        <v>1370.5685740000001</v>
      </c>
      <c r="V249" s="102">
        <v>50.159616</v>
      </c>
      <c r="W249" s="102">
        <v>2409.7782259999999</v>
      </c>
      <c r="X249" s="102">
        <v>4026.2950000000001</v>
      </c>
      <c r="Y249" s="102">
        <v>29.451000000000001</v>
      </c>
      <c r="Z249" s="102"/>
      <c r="AA249" s="102"/>
      <c r="AB249" s="102">
        <v>0</v>
      </c>
      <c r="AC249" s="102">
        <v>0</v>
      </c>
      <c r="AD249" s="102">
        <v>0</v>
      </c>
      <c r="AE249" s="102"/>
      <c r="AF249" s="102">
        <v>0</v>
      </c>
      <c r="AG249" s="102"/>
      <c r="AH249" s="102"/>
      <c r="AI249" s="102"/>
      <c r="AJ249" s="102">
        <v>0</v>
      </c>
      <c r="AK249" s="102">
        <v>0</v>
      </c>
      <c r="AL249" s="102">
        <v>0</v>
      </c>
      <c r="AM249" s="102">
        <v>0</v>
      </c>
    </row>
    <row r="250" spans="2:39" x14ac:dyDescent="0.3">
      <c r="B250" s="61" t="s">
        <v>1195</v>
      </c>
      <c r="C250" s="141" t="s">
        <v>630</v>
      </c>
      <c r="D250" s="102">
        <f t="shared" si="29"/>
        <v>25852.955105000001</v>
      </c>
      <c r="E250" s="102">
        <f t="shared" si="29"/>
        <v>351566.32751899998</v>
      </c>
      <c r="F250" s="102">
        <f t="shared" si="29"/>
        <v>122381.675</v>
      </c>
      <c r="G250" s="155"/>
      <c r="H250" s="102" t="str">
        <f t="shared" si="24"/>
        <v/>
      </c>
      <c r="I250" s="102" t="str">
        <f t="shared" si="24"/>
        <v/>
      </c>
      <c r="J250" s="102" t="str">
        <f t="shared" si="30"/>
        <v/>
      </c>
      <c r="K250" s="683"/>
      <c r="M250" s="102"/>
      <c r="N250" s="102">
        <v>25852.955105000001</v>
      </c>
      <c r="O250" s="102">
        <v>32398.766185</v>
      </c>
      <c r="P250" s="102">
        <v>3326.3262789999999</v>
      </c>
      <c r="Q250" s="102">
        <v>36277.880223</v>
      </c>
      <c r="R250" s="102">
        <v>351566.32751899998</v>
      </c>
      <c r="S250" s="102">
        <v>40017.910973999999</v>
      </c>
      <c r="T250" s="102">
        <v>147228.15905300001</v>
      </c>
      <c r="U250" s="102">
        <v>102595.52931999999</v>
      </c>
      <c r="V250" s="102">
        <v>86641.262164</v>
      </c>
      <c r="W250" s="102">
        <v>122227.35027900001</v>
      </c>
      <c r="X250" s="102">
        <v>70736.328999999998</v>
      </c>
      <c r="Y250" s="102">
        <v>122381.675</v>
      </c>
      <c r="Z250" s="102"/>
      <c r="AA250" s="102"/>
      <c r="AB250" s="102">
        <v>0</v>
      </c>
      <c r="AC250" s="102">
        <v>0</v>
      </c>
      <c r="AD250" s="102">
        <v>0</v>
      </c>
      <c r="AE250" s="102"/>
      <c r="AF250" s="102">
        <v>0</v>
      </c>
      <c r="AG250" s="102"/>
      <c r="AH250" s="102"/>
      <c r="AI250" s="102"/>
      <c r="AJ250" s="102">
        <v>0</v>
      </c>
      <c r="AK250" s="102">
        <v>0</v>
      </c>
      <c r="AL250" s="102">
        <v>0</v>
      </c>
      <c r="AM250" s="102">
        <v>0</v>
      </c>
    </row>
    <row r="251" spans="2:39" x14ac:dyDescent="0.3">
      <c r="B251" s="61" t="s">
        <v>1196</v>
      </c>
      <c r="C251" s="141" t="s">
        <v>631</v>
      </c>
      <c r="D251" s="102" t="str">
        <f t="shared" si="29"/>
        <v/>
      </c>
      <c r="E251" s="102" t="str">
        <f t="shared" si="29"/>
        <v/>
      </c>
      <c r="F251" s="102" t="str">
        <f t="shared" si="29"/>
        <v/>
      </c>
      <c r="G251" s="155"/>
      <c r="H251" s="102" t="str">
        <f t="shared" si="24"/>
        <v/>
      </c>
      <c r="I251" s="102" t="str">
        <f t="shared" si="24"/>
        <v/>
      </c>
      <c r="J251" s="102" t="str">
        <f t="shared" si="30"/>
        <v/>
      </c>
      <c r="K251" s="683"/>
      <c r="M251" s="102"/>
      <c r="N251" s="102">
        <v>0</v>
      </c>
      <c r="O251" s="102">
        <v>0</v>
      </c>
      <c r="P251" s="102">
        <v>0</v>
      </c>
      <c r="Q251" s="102">
        <v>0</v>
      </c>
      <c r="R251" s="102">
        <v>0</v>
      </c>
      <c r="S251" s="102">
        <v>0</v>
      </c>
      <c r="T251" s="102">
        <v>0</v>
      </c>
      <c r="U251" s="102">
        <v>0</v>
      </c>
      <c r="V251" s="102">
        <v>0</v>
      </c>
      <c r="W251" s="102">
        <v>0</v>
      </c>
      <c r="X251" s="102">
        <v>0</v>
      </c>
      <c r="Y251" s="102">
        <v>0</v>
      </c>
      <c r="Z251" s="102"/>
      <c r="AA251" s="102"/>
      <c r="AB251" s="102">
        <v>0</v>
      </c>
      <c r="AC251" s="102">
        <v>0</v>
      </c>
      <c r="AD251" s="102">
        <v>0</v>
      </c>
      <c r="AE251" s="102"/>
      <c r="AF251" s="102">
        <v>0</v>
      </c>
      <c r="AG251" s="102"/>
      <c r="AH251" s="102"/>
      <c r="AI251" s="102"/>
      <c r="AJ251" s="102">
        <v>0</v>
      </c>
      <c r="AK251" s="102">
        <v>0</v>
      </c>
      <c r="AL251" s="102">
        <v>0</v>
      </c>
      <c r="AM251" s="102">
        <v>0</v>
      </c>
    </row>
    <row r="252" spans="2:39" x14ac:dyDescent="0.3">
      <c r="B252" s="61" t="s">
        <v>1197</v>
      </c>
      <c r="C252" s="141" t="s">
        <v>632</v>
      </c>
      <c r="D252" s="102" t="str">
        <f t="shared" si="29"/>
        <v/>
      </c>
      <c r="E252" s="102" t="str">
        <f t="shared" si="29"/>
        <v/>
      </c>
      <c r="F252" s="102" t="str">
        <f t="shared" si="29"/>
        <v/>
      </c>
      <c r="G252" s="155"/>
      <c r="H252" s="102" t="str">
        <f t="shared" si="24"/>
        <v/>
      </c>
      <c r="I252" s="102" t="str">
        <f t="shared" si="24"/>
        <v/>
      </c>
      <c r="J252" s="102" t="str">
        <f t="shared" si="30"/>
        <v/>
      </c>
      <c r="K252" s="683"/>
      <c r="M252" s="102"/>
      <c r="N252" s="102">
        <v>0</v>
      </c>
      <c r="O252" s="102">
        <v>0</v>
      </c>
      <c r="P252" s="102">
        <v>0</v>
      </c>
      <c r="Q252" s="102">
        <v>0</v>
      </c>
      <c r="R252" s="102">
        <v>0</v>
      </c>
      <c r="S252" s="102">
        <v>0</v>
      </c>
      <c r="T252" s="102">
        <v>0</v>
      </c>
      <c r="U252" s="102">
        <v>0</v>
      </c>
      <c r="V252" s="102">
        <v>0</v>
      </c>
      <c r="W252" s="102">
        <v>0</v>
      </c>
      <c r="X252" s="102">
        <v>0</v>
      </c>
      <c r="Y252" s="102">
        <v>0</v>
      </c>
      <c r="Z252" s="102"/>
      <c r="AA252" s="102"/>
      <c r="AB252" s="102">
        <v>0</v>
      </c>
      <c r="AC252" s="102">
        <v>0</v>
      </c>
      <c r="AD252" s="102">
        <v>0</v>
      </c>
      <c r="AE252" s="102"/>
      <c r="AF252" s="102">
        <v>0</v>
      </c>
      <c r="AG252" s="102"/>
      <c r="AH252" s="102"/>
      <c r="AI252" s="102"/>
      <c r="AJ252" s="102">
        <v>0</v>
      </c>
      <c r="AK252" s="102">
        <v>0</v>
      </c>
      <c r="AL252" s="102">
        <v>0</v>
      </c>
      <c r="AM252" s="102">
        <v>0</v>
      </c>
    </row>
    <row r="253" spans="2:39" x14ac:dyDescent="0.3">
      <c r="B253" s="61" t="s">
        <v>1198</v>
      </c>
      <c r="C253" s="141" t="s">
        <v>633</v>
      </c>
      <c r="D253" s="102" t="str">
        <f t="shared" si="29"/>
        <v/>
      </c>
      <c r="E253" s="102">
        <f t="shared" si="29"/>
        <v>5.2590000000000003</v>
      </c>
      <c r="F253" s="102">
        <f t="shared" si="29"/>
        <v>607.63599999999997</v>
      </c>
      <c r="G253" s="155"/>
      <c r="H253" s="102" t="str">
        <f t="shared" si="24"/>
        <v/>
      </c>
      <c r="I253" s="102" t="str">
        <f t="shared" si="24"/>
        <v/>
      </c>
      <c r="J253" s="102" t="str">
        <f t="shared" si="30"/>
        <v/>
      </c>
      <c r="K253" s="683"/>
      <c r="M253" s="102"/>
      <c r="N253" s="102">
        <v>0</v>
      </c>
      <c r="O253" s="102">
        <v>0</v>
      </c>
      <c r="P253" s="102">
        <v>0</v>
      </c>
      <c r="Q253" s="102">
        <v>0</v>
      </c>
      <c r="R253" s="102">
        <v>5.2590000000000003</v>
      </c>
      <c r="S253" s="102">
        <v>5.2590000000000003</v>
      </c>
      <c r="T253" s="102">
        <v>5.2590000000000003</v>
      </c>
      <c r="U253" s="102">
        <v>5.2590000000000003</v>
      </c>
      <c r="V253" s="102">
        <v>2029.2537170000001</v>
      </c>
      <c r="W253" s="102">
        <v>1572.7176299999999</v>
      </c>
      <c r="X253" s="102">
        <v>1028.3440000000001</v>
      </c>
      <c r="Y253" s="102">
        <v>607.63599999999997</v>
      </c>
      <c r="Z253" s="102"/>
      <c r="AA253" s="102"/>
      <c r="AB253" s="102">
        <v>0</v>
      </c>
      <c r="AC253" s="102">
        <v>0</v>
      </c>
      <c r="AD253" s="102">
        <v>0</v>
      </c>
      <c r="AE253" s="102"/>
      <c r="AF253" s="102">
        <v>0</v>
      </c>
      <c r="AG253" s="102"/>
      <c r="AH253" s="102"/>
      <c r="AI253" s="102"/>
      <c r="AJ253" s="102">
        <v>0</v>
      </c>
      <c r="AK253" s="102">
        <v>0</v>
      </c>
      <c r="AL253" s="102">
        <v>0</v>
      </c>
      <c r="AM253" s="102">
        <v>0</v>
      </c>
    </row>
    <row r="254" spans="2:39" x14ac:dyDescent="0.3">
      <c r="B254" s="61" t="s">
        <v>1199</v>
      </c>
      <c r="C254" s="141" t="s">
        <v>1510</v>
      </c>
      <c r="D254" s="102">
        <f t="shared" si="29"/>
        <v>109562.078368</v>
      </c>
      <c r="E254" s="102">
        <f t="shared" si="29"/>
        <v>28052.346603000002</v>
      </c>
      <c r="F254" s="102">
        <f t="shared" si="29"/>
        <v>17176.316999999999</v>
      </c>
      <c r="G254" s="155"/>
      <c r="H254" s="102">
        <f t="shared" si="24"/>
        <v>109574.287103</v>
      </c>
      <c r="I254" s="102">
        <f t="shared" si="24"/>
        <v>28052.346603999998</v>
      </c>
      <c r="J254" s="102">
        <f t="shared" si="30"/>
        <v>17176.359296000002</v>
      </c>
      <c r="K254" s="683"/>
      <c r="M254" s="102"/>
      <c r="N254" s="102">
        <v>109562.078368</v>
      </c>
      <c r="O254" s="102">
        <v>99476.072946</v>
      </c>
      <c r="P254" s="102">
        <v>61270.552656</v>
      </c>
      <c r="Q254" s="102">
        <v>13965.961825999999</v>
      </c>
      <c r="R254" s="102">
        <v>28052.346603000002</v>
      </c>
      <c r="S254" s="102">
        <v>20408.791412999999</v>
      </c>
      <c r="T254" s="102">
        <v>13684.911398</v>
      </c>
      <c r="U254" s="102">
        <v>5477.9867720000002</v>
      </c>
      <c r="V254" s="102">
        <v>71558.913316000006</v>
      </c>
      <c r="W254" s="102">
        <v>46262.563609999997</v>
      </c>
      <c r="X254" s="102">
        <v>34786.519</v>
      </c>
      <c r="Y254" s="102">
        <v>17176.316999999999</v>
      </c>
      <c r="Z254" s="102"/>
      <c r="AA254" s="102"/>
      <c r="AB254" s="102">
        <v>109574.287103</v>
      </c>
      <c r="AC254" s="102">
        <v>99488.281680999993</v>
      </c>
      <c r="AD254" s="102">
        <v>61282.76139</v>
      </c>
      <c r="AE254" s="102">
        <v>13978.17056</v>
      </c>
      <c r="AF254" s="102">
        <v>28052.346603999998</v>
      </c>
      <c r="AG254" s="102">
        <v>20408.791413999999</v>
      </c>
      <c r="AH254" s="102">
        <v>13684.911399000001</v>
      </c>
      <c r="AI254" s="102">
        <v>5477.9867729999996</v>
      </c>
      <c r="AJ254" s="102">
        <v>72751.324439000004</v>
      </c>
      <c r="AK254" s="102">
        <v>47106.066959000003</v>
      </c>
      <c r="AL254" s="102">
        <v>35630.022201</v>
      </c>
      <c r="AM254" s="102">
        <v>17176.359296000002</v>
      </c>
    </row>
    <row r="255" spans="2:39" x14ac:dyDescent="0.3">
      <c r="B255" s="61" t="s">
        <v>1200</v>
      </c>
      <c r="C255" s="141" t="s">
        <v>670</v>
      </c>
      <c r="D255" s="102">
        <f t="shared" si="29"/>
        <v>49454.304502999999</v>
      </c>
      <c r="E255" s="102">
        <f t="shared" si="29"/>
        <v>337.74516399999999</v>
      </c>
      <c r="F255" s="102">
        <f t="shared" si="29"/>
        <v>56.164999999999999</v>
      </c>
      <c r="G255" s="155"/>
      <c r="H255" s="102">
        <f t="shared" si="24"/>
        <v>69589.640981999997</v>
      </c>
      <c r="I255" s="102">
        <f t="shared" si="24"/>
        <v>11654.237901</v>
      </c>
      <c r="J255" s="102">
        <f t="shared" si="30"/>
        <v>-82.552632000000003</v>
      </c>
      <c r="K255" s="683"/>
      <c r="M255" s="102"/>
      <c r="N255" s="102">
        <v>49454.304502999999</v>
      </c>
      <c r="O255" s="102">
        <v>88869.096449000004</v>
      </c>
      <c r="P255" s="102">
        <v>148727.73991199999</v>
      </c>
      <c r="Q255" s="102">
        <v>6253.171413</v>
      </c>
      <c r="R255" s="102">
        <v>337.74516399999999</v>
      </c>
      <c r="S255" s="102">
        <v>471.35784799999999</v>
      </c>
      <c r="T255" s="102">
        <v>124.324372</v>
      </c>
      <c r="U255" s="102">
        <v>87.346000000000004</v>
      </c>
      <c r="V255" s="102">
        <v>399.28231300000004</v>
      </c>
      <c r="W255" s="102">
        <v>103.98290300000001</v>
      </c>
      <c r="X255" s="102">
        <v>34.753</v>
      </c>
      <c r="Y255" s="102">
        <v>56.164999999999999</v>
      </c>
      <c r="Z255" s="102"/>
      <c r="AA255" s="102"/>
      <c r="AB255" s="102">
        <v>69589.640981999997</v>
      </c>
      <c r="AC255" s="102">
        <v>109004.43292799999</v>
      </c>
      <c r="AD255" s="102">
        <v>168863.07639100001</v>
      </c>
      <c r="AE255" s="102">
        <v>6253.171413</v>
      </c>
      <c r="AF255" s="102">
        <v>11654.237901</v>
      </c>
      <c r="AG255" s="102">
        <v>11787.850585</v>
      </c>
      <c r="AH255" s="102">
        <v>124.324372</v>
      </c>
      <c r="AI255" s="102">
        <v>87.346000000000004</v>
      </c>
      <c r="AJ255" s="102">
        <v>10533.280882999999</v>
      </c>
      <c r="AK255" s="102">
        <v>416.071324</v>
      </c>
      <c r="AL255" s="102">
        <v>260.50603699999999</v>
      </c>
      <c r="AM255" s="102">
        <v>-82.552632000000003</v>
      </c>
    </row>
    <row r="256" spans="2:39" x14ac:dyDescent="0.3">
      <c r="B256" s="61" t="s">
        <v>1201</v>
      </c>
      <c r="C256" s="141" t="s">
        <v>671</v>
      </c>
      <c r="D256" s="102" t="str">
        <f t="shared" si="29"/>
        <v/>
      </c>
      <c r="E256" s="102">
        <f t="shared" si="29"/>
        <v>27.038475999999999</v>
      </c>
      <c r="F256" s="102" t="str">
        <f t="shared" si="29"/>
        <v/>
      </c>
      <c r="G256" s="155"/>
      <c r="H256" s="102" t="str">
        <f t="shared" si="24"/>
        <v/>
      </c>
      <c r="I256" s="102">
        <f t="shared" si="24"/>
        <v>27.038475999999999</v>
      </c>
      <c r="J256" s="102" t="str">
        <f t="shared" si="30"/>
        <v/>
      </c>
      <c r="K256" s="683"/>
      <c r="M256" s="102"/>
      <c r="N256" s="102">
        <v>0</v>
      </c>
      <c r="O256" s="102">
        <v>0</v>
      </c>
      <c r="P256" s="102">
        <v>0</v>
      </c>
      <c r="Q256" s="102">
        <v>0</v>
      </c>
      <c r="R256" s="102">
        <v>27.038475999999999</v>
      </c>
      <c r="S256" s="102">
        <v>27.038475999999999</v>
      </c>
      <c r="T256" s="102">
        <v>27.038475999999999</v>
      </c>
      <c r="U256" s="102">
        <v>27.038475999999999</v>
      </c>
      <c r="V256" s="102">
        <v>0</v>
      </c>
      <c r="W256" s="102">
        <v>0</v>
      </c>
      <c r="X256" s="102">
        <v>0</v>
      </c>
      <c r="Y256" s="102">
        <v>0</v>
      </c>
      <c r="Z256" s="102"/>
      <c r="AA256" s="102"/>
      <c r="AB256" s="102">
        <v>0</v>
      </c>
      <c r="AC256" s="102">
        <v>0</v>
      </c>
      <c r="AD256" s="102">
        <v>0</v>
      </c>
      <c r="AE256" s="102">
        <v>0</v>
      </c>
      <c r="AF256" s="102">
        <v>27.038475999999999</v>
      </c>
      <c r="AG256" s="102">
        <v>27.038475999999999</v>
      </c>
      <c r="AH256" s="102">
        <v>27.038475999999999</v>
      </c>
      <c r="AI256" s="102">
        <v>27.038475999999999</v>
      </c>
      <c r="AJ256" s="102">
        <v>0</v>
      </c>
      <c r="AK256" s="102">
        <v>0</v>
      </c>
      <c r="AL256" s="102">
        <v>0</v>
      </c>
      <c r="AM256" s="102">
        <v>0</v>
      </c>
    </row>
    <row r="257" spans="2:39" x14ac:dyDescent="0.3">
      <c r="B257" s="61" t="s">
        <v>1202</v>
      </c>
      <c r="C257" s="141" t="s">
        <v>629</v>
      </c>
      <c r="D257" s="102" t="str">
        <f t="shared" si="29"/>
        <v/>
      </c>
      <c r="E257" s="102" t="str">
        <f t="shared" si="29"/>
        <v/>
      </c>
      <c r="F257" s="102" t="str">
        <f t="shared" si="29"/>
        <v/>
      </c>
      <c r="G257" s="155"/>
      <c r="H257" s="102" t="str">
        <f t="shared" si="24"/>
        <v/>
      </c>
      <c r="I257" s="102" t="str">
        <f t="shared" si="24"/>
        <v/>
      </c>
      <c r="J257" s="102" t="str">
        <f t="shared" si="30"/>
        <v/>
      </c>
      <c r="K257" s="683"/>
      <c r="M257" s="102"/>
      <c r="N257" s="102">
        <v>0</v>
      </c>
      <c r="O257" s="102">
        <v>0</v>
      </c>
      <c r="P257" s="102">
        <v>0</v>
      </c>
      <c r="Q257" s="102">
        <v>0</v>
      </c>
      <c r="R257" s="102">
        <v>0</v>
      </c>
      <c r="S257" s="102">
        <v>0</v>
      </c>
      <c r="T257" s="102">
        <v>0</v>
      </c>
      <c r="U257" s="102">
        <v>0</v>
      </c>
      <c r="V257" s="102">
        <v>0</v>
      </c>
      <c r="W257" s="102">
        <v>0</v>
      </c>
      <c r="X257" s="102">
        <v>0</v>
      </c>
      <c r="Y257" s="102">
        <v>0</v>
      </c>
      <c r="Z257" s="102"/>
      <c r="AA257" s="102"/>
      <c r="AB257" s="102">
        <v>0</v>
      </c>
      <c r="AC257" s="102">
        <v>0</v>
      </c>
      <c r="AD257" s="102">
        <v>0</v>
      </c>
      <c r="AE257" s="102">
        <v>0</v>
      </c>
      <c r="AF257" s="102">
        <v>0</v>
      </c>
      <c r="AG257" s="102">
        <v>0</v>
      </c>
      <c r="AH257" s="102">
        <v>0</v>
      </c>
      <c r="AI257" s="102">
        <v>0</v>
      </c>
      <c r="AJ257" s="102">
        <v>0</v>
      </c>
      <c r="AK257" s="102">
        <v>0</v>
      </c>
      <c r="AL257" s="102">
        <v>0</v>
      </c>
      <c r="AM257" s="102">
        <v>0</v>
      </c>
    </row>
    <row r="258" spans="2:39" x14ac:dyDescent="0.3">
      <c r="B258" s="61" t="s">
        <v>1203</v>
      </c>
      <c r="C258" s="141" t="s">
        <v>630</v>
      </c>
      <c r="D258" s="102" t="str">
        <f t="shared" si="29"/>
        <v/>
      </c>
      <c r="E258" s="102" t="str">
        <f t="shared" si="29"/>
        <v/>
      </c>
      <c r="F258" s="102" t="str">
        <f t="shared" si="29"/>
        <v/>
      </c>
      <c r="G258" s="155"/>
      <c r="H258" s="102" t="str">
        <f t="shared" si="24"/>
        <v/>
      </c>
      <c r="I258" s="102" t="str">
        <f t="shared" si="24"/>
        <v/>
      </c>
      <c r="J258" s="102" t="str">
        <f t="shared" si="30"/>
        <v/>
      </c>
      <c r="K258" s="683"/>
      <c r="M258" s="102"/>
      <c r="N258" s="102">
        <v>0</v>
      </c>
      <c r="O258" s="102">
        <v>0</v>
      </c>
      <c r="P258" s="102">
        <v>0</v>
      </c>
      <c r="Q258" s="102">
        <v>0</v>
      </c>
      <c r="R258" s="102">
        <v>0</v>
      </c>
      <c r="S258" s="102">
        <v>0</v>
      </c>
      <c r="T258" s="102">
        <v>0</v>
      </c>
      <c r="U258" s="102">
        <v>0</v>
      </c>
      <c r="V258" s="102">
        <v>0</v>
      </c>
      <c r="W258" s="102">
        <v>0</v>
      </c>
      <c r="X258" s="102">
        <v>0</v>
      </c>
      <c r="Y258" s="102">
        <v>0</v>
      </c>
      <c r="Z258" s="102"/>
      <c r="AA258" s="102"/>
      <c r="AB258" s="102">
        <v>0</v>
      </c>
      <c r="AC258" s="102">
        <v>0</v>
      </c>
      <c r="AD258" s="102">
        <v>0</v>
      </c>
      <c r="AE258" s="102">
        <v>0</v>
      </c>
      <c r="AF258" s="102">
        <v>0</v>
      </c>
      <c r="AG258" s="102">
        <v>0</v>
      </c>
      <c r="AH258" s="102">
        <v>0</v>
      </c>
      <c r="AI258" s="102">
        <v>0</v>
      </c>
      <c r="AJ258" s="102">
        <v>0</v>
      </c>
      <c r="AK258" s="102">
        <v>0</v>
      </c>
      <c r="AL258" s="102">
        <v>0</v>
      </c>
      <c r="AM258" s="102">
        <v>0</v>
      </c>
    </row>
    <row r="259" spans="2:39" x14ac:dyDescent="0.3">
      <c r="B259" s="61" t="s">
        <v>1204</v>
      </c>
      <c r="C259" s="141" t="s">
        <v>631</v>
      </c>
      <c r="D259" s="102" t="str">
        <f t="shared" si="29"/>
        <v/>
      </c>
      <c r="E259" s="102" t="str">
        <f t="shared" si="29"/>
        <v/>
      </c>
      <c r="F259" s="102" t="str">
        <f t="shared" si="29"/>
        <v/>
      </c>
      <c r="G259" s="155"/>
      <c r="H259" s="102" t="str">
        <f t="shared" si="24"/>
        <v/>
      </c>
      <c r="I259" s="102" t="str">
        <f t="shared" si="24"/>
        <v/>
      </c>
      <c r="J259" s="102">
        <f t="shared" si="30"/>
        <v>358.24800400000004</v>
      </c>
      <c r="K259" s="683"/>
      <c r="M259" s="102"/>
      <c r="N259" s="102">
        <v>0</v>
      </c>
      <c r="O259" s="102">
        <v>0</v>
      </c>
      <c r="P259" s="102">
        <v>0</v>
      </c>
      <c r="Q259" s="102">
        <v>0</v>
      </c>
      <c r="R259" s="102">
        <v>0</v>
      </c>
      <c r="S259" s="102">
        <v>0</v>
      </c>
      <c r="T259" s="102">
        <v>0</v>
      </c>
      <c r="U259" s="102">
        <v>0</v>
      </c>
      <c r="V259" s="102">
        <v>0</v>
      </c>
      <c r="W259" s="102">
        <v>0</v>
      </c>
      <c r="X259" s="102">
        <v>0</v>
      </c>
      <c r="Y259" s="102">
        <v>0</v>
      </c>
      <c r="Z259" s="102"/>
      <c r="AA259" s="102"/>
      <c r="AB259" s="102">
        <v>0</v>
      </c>
      <c r="AC259" s="102">
        <v>0</v>
      </c>
      <c r="AD259" s="102">
        <v>0</v>
      </c>
      <c r="AE259" s="102">
        <v>0</v>
      </c>
      <c r="AF259" s="102">
        <v>0</v>
      </c>
      <c r="AG259" s="102">
        <v>0</v>
      </c>
      <c r="AH259" s="102">
        <v>0</v>
      </c>
      <c r="AI259" s="102">
        <v>0</v>
      </c>
      <c r="AJ259" s="102">
        <v>1032.8717859999999</v>
      </c>
      <c r="AK259" s="102">
        <v>1023.023488</v>
      </c>
      <c r="AL259" s="102">
        <v>698.78250300000002</v>
      </c>
      <c r="AM259" s="102">
        <v>358.24800400000004</v>
      </c>
    </row>
    <row r="260" spans="2:39" x14ac:dyDescent="0.3">
      <c r="B260" s="61" t="s">
        <v>1205</v>
      </c>
      <c r="C260" s="141" t="s">
        <v>632</v>
      </c>
      <c r="D260" s="102">
        <f t="shared" si="29"/>
        <v>14930.270986</v>
      </c>
      <c r="E260" s="102">
        <f t="shared" si="29"/>
        <v>14207.375684000001</v>
      </c>
      <c r="F260" s="102">
        <f t="shared" si="29"/>
        <v>3433.172</v>
      </c>
      <c r="G260" s="155"/>
      <c r="H260" s="102">
        <f t="shared" si="24"/>
        <v>15159.255219999999</v>
      </c>
      <c r="I260" s="102">
        <f t="shared" si="24"/>
        <v>14361.40379</v>
      </c>
      <c r="J260" s="102">
        <f t="shared" si="30"/>
        <v>3459.2555259999999</v>
      </c>
      <c r="K260" s="683"/>
      <c r="M260" s="102"/>
      <c r="N260" s="102">
        <v>14930.270986</v>
      </c>
      <c r="O260" s="102">
        <v>11090.134087999999</v>
      </c>
      <c r="P260" s="102">
        <v>7226.3084159999999</v>
      </c>
      <c r="Q260" s="102">
        <v>3594.2817049999999</v>
      </c>
      <c r="R260" s="102">
        <v>14207.375684000001</v>
      </c>
      <c r="S260" s="102">
        <v>10639.913742000001</v>
      </c>
      <c r="T260" s="102">
        <v>7082.9926730000007</v>
      </c>
      <c r="U260" s="102">
        <v>3558.515316</v>
      </c>
      <c r="V260" s="102">
        <v>13598.317566</v>
      </c>
      <c r="W260" s="102">
        <v>10081.163847</v>
      </c>
      <c r="X260" s="102">
        <v>6625.1610000000001</v>
      </c>
      <c r="Y260" s="102">
        <v>3433.172</v>
      </c>
      <c r="Z260" s="102"/>
      <c r="AA260" s="102"/>
      <c r="AB260" s="102">
        <v>15159.255219999999</v>
      </c>
      <c r="AC260" s="102">
        <v>11255.436282000001</v>
      </c>
      <c r="AD260" s="102">
        <v>7328.0494140000001</v>
      </c>
      <c r="AE260" s="102">
        <v>3638.5665049999998</v>
      </c>
      <c r="AF260" s="102">
        <v>14361.40379</v>
      </c>
      <c r="AG260" s="102">
        <v>10751.630443</v>
      </c>
      <c r="AH260" s="102">
        <v>7152.9921210000002</v>
      </c>
      <c r="AI260" s="102">
        <v>3589.7965100000001</v>
      </c>
      <c r="AJ260" s="102">
        <v>13707.968137</v>
      </c>
      <c r="AK260" s="102">
        <v>10160.672015</v>
      </c>
      <c r="AL260" s="102">
        <v>6677.3276820000001</v>
      </c>
      <c r="AM260" s="102">
        <v>3459.2555259999999</v>
      </c>
    </row>
    <row r="261" spans="2:39" x14ac:dyDescent="0.3">
      <c r="B261" s="61" t="s">
        <v>1206</v>
      </c>
      <c r="C261" s="141" t="s">
        <v>633</v>
      </c>
      <c r="D261" s="102" t="str">
        <f t="shared" si="29"/>
        <v/>
      </c>
      <c r="E261" s="102" t="str">
        <f t="shared" si="29"/>
        <v/>
      </c>
      <c r="F261" s="102" t="str">
        <f t="shared" si="29"/>
        <v/>
      </c>
      <c r="G261" s="155"/>
      <c r="H261" s="102" t="str">
        <f t="shared" si="24"/>
        <v/>
      </c>
      <c r="I261" s="102" t="str">
        <f t="shared" si="24"/>
        <v/>
      </c>
      <c r="J261" s="102" t="str">
        <f t="shared" si="30"/>
        <v/>
      </c>
      <c r="K261" s="683"/>
      <c r="M261" s="102"/>
      <c r="N261" s="102">
        <v>0</v>
      </c>
      <c r="O261" s="102">
        <v>0</v>
      </c>
      <c r="P261" s="102">
        <v>0</v>
      </c>
      <c r="Q261" s="102">
        <v>0</v>
      </c>
      <c r="R261" s="102">
        <v>0</v>
      </c>
      <c r="S261" s="102">
        <v>0</v>
      </c>
      <c r="T261" s="102">
        <v>0</v>
      </c>
      <c r="U261" s="102">
        <v>0</v>
      </c>
      <c r="V261" s="102">
        <v>0</v>
      </c>
      <c r="W261" s="102">
        <v>0</v>
      </c>
      <c r="X261" s="102">
        <v>0</v>
      </c>
      <c r="Y261" s="102">
        <v>0</v>
      </c>
      <c r="Z261" s="102"/>
      <c r="AA261" s="102"/>
      <c r="AB261" s="102">
        <v>0</v>
      </c>
      <c r="AC261" s="102">
        <v>0</v>
      </c>
      <c r="AD261" s="102">
        <v>0</v>
      </c>
      <c r="AE261" s="102">
        <v>0</v>
      </c>
      <c r="AF261" s="102">
        <v>0</v>
      </c>
      <c r="AG261" s="102">
        <v>0</v>
      </c>
      <c r="AH261" s="102">
        <v>0</v>
      </c>
      <c r="AI261" s="102">
        <v>0</v>
      </c>
      <c r="AJ261" s="102">
        <v>0</v>
      </c>
      <c r="AK261" s="102">
        <v>0</v>
      </c>
      <c r="AL261" s="102">
        <v>0</v>
      </c>
      <c r="AM261" s="102">
        <v>0</v>
      </c>
    </row>
    <row r="262" spans="2:39" x14ac:dyDescent="0.3">
      <c r="B262" s="61" t="s">
        <v>1207</v>
      </c>
      <c r="C262" s="141" t="s">
        <v>1543</v>
      </c>
      <c r="D262" s="102" t="str">
        <f t="shared" si="29"/>
        <v/>
      </c>
      <c r="E262" s="102" t="str">
        <f t="shared" si="29"/>
        <v/>
      </c>
      <c r="F262" s="102" t="str">
        <f t="shared" si="29"/>
        <v/>
      </c>
      <c r="G262" s="155"/>
      <c r="H262" s="102" t="str">
        <f t="shared" si="24"/>
        <v/>
      </c>
      <c r="I262" s="102" t="str">
        <f t="shared" si="24"/>
        <v/>
      </c>
      <c r="J262" s="102" t="str">
        <f t="shared" si="30"/>
        <v/>
      </c>
      <c r="K262" s="683"/>
      <c r="M262" s="102"/>
      <c r="N262" s="102">
        <v>0</v>
      </c>
      <c r="O262" s="102">
        <v>0</v>
      </c>
      <c r="P262" s="102">
        <v>0</v>
      </c>
      <c r="Q262" s="102">
        <v>0</v>
      </c>
      <c r="R262" s="102">
        <v>0</v>
      </c>
      <c r="S262" s="102">
        <v>0</v>
      </c>
      <c r="T262" s="102">
        <v>0</v>
      </c>
      <c r="U262" s="102">
        <v>0</v>
      </c>
      <c r="V262" s="102">
        <v>401.80400900000001</v>
      </c>
      <c r="W262" s="102">
        <v>0</v>
      </c>
      <c r="X262" s="102">
        <v>0</v>
      </c>
      <c r="Y262" s="102">
        <v>0</v>
      </c>
      <c r="Z262" s="102"/>
      <c r="AA262" s="102"/>
      <c r="AB262" s="102">
        <v>0</v>
      </c>
      <c r="AC262" s="102">
        <v>0</v>
      </c>
      <c r="AD262" s="102">
        <v>0</v>
      </c>
      <c r="AE262" s="102">
        <v>0</v>
      </c>
      <c r="AF262" s="102">
        <v>0</v>
      </c>
      <c r="AG262" s="102">
        <v>0</v>
      </c>
      <c r="AH262" s="102">
        <v>0</v>
      </c>
      <c r="AI262" s="102">
        <v>0</v>
      </c>
      <c r="AJ262" s="102">
        <v>401.80400900000001</v>
      </c>
      <c r="AK262" s="102">
        <v>0</v>
      </c>
      <c r="AL262" s="102">
        <v>0</v>
      </c>
      <c r="AM262" s="102">
        <v>0</v>
      </c>
    </row>
    <row r="263" spans="2:39" x14ac:dyDescent="0.3">
      <c r="B263" s="61" t="s">
        <v>1133</v>
      </c>
      <c r="C263" s="141" t="s">
        <v>1544</v>
      </c>
      <c r="D263" s="102" t="str">
        <f t="shared" si="29"/>
        <v/>
      </c>
      <c r="E263" s="102" t="str">
        <f t="shared" si="29"/>
        <v/>
      </c>
      <c r="F263" s="102" t="str">
        <f t="shared" si="29"/>
        <v/>
      </c>
      <c r="G263" s="155"/>
      <c r="H263" s="102" t="str">
        <f t="shared" ref="H263:I315" si="31">IF(HLOOKUP(H$5,$AA$5:$AM$315,ROW()-ROW($J$4),FALSE)=0,"",HLOOKUP(H$5,$AA$5:$AM$315,ROW()-ROW($J$4),FALSE))</f>
        <v/>
      </c>
      <c r="I263" s="102" t="str">
        <f t="shared" si="31"/>
        <v/>
      </c>
      <c r="J263" s="102" t="str">
        <f t="shared" si="30"/>
        <v/>
      </c>
      <c r="K263" s="683"/>
      <c r="M263" s="102"/>
      <c r="N263" s="102">
        <v>0</v>
      </c>
      <c r="O263" s="102">
        <v>0</v>
      </c>
      <c r="P263" s="102">
        <v>0</v>
      </c>
      <c r="Q263" s="102">
        <v>0</v>
      </c>
      <c r="R263" s="102">
        <v>0</v>
      </c>
      <c r="S263" s="102">
        <v>0</v>
      </c>
      <c r="T263" s="102">
        <v>0</v>
      </c>
      <c r="U263" s="102">
        <v>0</v>
      </c>
      <c r="V263" s="102">
        <v>401.80400900000001</v>
      </c>
      <c r="W263" s="102">
        <v>0</v>
      </c>
      <c r="X263" s="102">
        <v>0</v>
      </c>
      <c r="Y263" s="102">
        <v>0</v>
      </c>
      <c r="Z263" s="102"/>
      <c r="AA263" s="102"/>
      <c r="AB263" s="102">
        <v>0</v>
      </c>
      <c r="AC263" s="102">
        <v>0</v>
      </c>
      <c r="AD263" s="102">
        <v>0</v>
      </c>
      <c r="AE263" s="102"/>
      <c r="AF263" s="102">
        <v>0</v>
      </c>
      <c r="AG263" s="102"/>
      <c r="AH263" s="102"/>
      <c r="AI263" s="102"/>
      <c r="AJ263" s="102">
        <v>0</v>
      </c>
      <c r="AK263" s="102">
        <v>0</v>
      </c>
      <c r="AL263" s="102">
        <v>0</v>
      </c>
      <c r="AM263" s="102">
        <v>0</v>
      </c>
    </row>
    <row r="264" spans="2:39" x14ac:dyDescent="0.3">
      <c r="B264" s="61" t="s">
        <v>1134</v>
      </c>
      <c r="C264" s="141" t="s">
        <v>1511</v>
      </c>
      <c r="D264" s="102" t="str">
        <f t="shared" si="29"/>
        <v/>
      </c>
      <c r="E264" s="102" t="str">
        <f t="shared" si="29"/>
        <v/>
      </c>
      <c r="F264" s="102" t="str">
        <f t="shared" si="29"/>
        <v/>
      </c>
      <c r="G264" s="155"/>
      <c r="H264" s="102" t="str">
        <f t="shared" si="31"/>
        <v/>
      </c>
      <c r="I264" s="102" t="str">
        <f t="shared" si="31"/>
        <v/>
      </c>
      <c r="J264" s="102" t="str">
        <f t="shared" si="30"/>
        <v/>
      </c>
      <c r="K264" s="683"/>
      <c r="M264" s="102"/>
      <c r="N264" s="102">
        <v>0</v>
      </c>
      <c r="O264" s="102">
        <v>0</v>
      </c>
      <c r="P264" s="102">
        <v>0</v>
      </c>
      <c r="Q264" s="102">
        <v>0</v>
      </c>
      <c r="R264" s="102">
        <v>0</v>
      </c>
      <c r="S264" s="102">
        <v>0</v>
      </c>
      <c r="T264" s="102">
        <v>0</v>
      </c>
      <c r="U264" s="102">
        <v>0</v>
      </c>
      <c r="V264" s="102">
        <v>0</v>
      </c>
      <c r="W264" s="102">
        <v>0</v>
      </c>
      <c r="X264" s="102">
        <v>0</v>
      </c>
      <c r="Y264" s="102">
        <v>0</v>
      </c>
      <c r="Z264" s="102"/>
      <c r="AA264" s="102"/>
      <c r="AB264" s="102">
        <v>0</v>
      </c>
      <c r="AC264" s="102">
        <v>0</v>
      </c>
      <c r="AD264" s="102">
        <v>0</v>
      </c>
      <c r="AE264" s="102"/>
      <c r="AF264" s="102">
        <v>0</v>
      </c>
      <c r="AG264" s="102"/>
      <c r="AH264" s="102"/>
      <c r="AI264" s="102"/>
      <c r="AJ264" s="102">
        <v>0</v>
      </c>
      <c r="AK264" s="102">
        <v>0</v>
      </c>
      <c r="AL264" s="102">
        <v>0</v>
      </c>
      <c r="AM264" s="102">
        <v>0</v>
      </c>
    </row>
    <row r="265" spans="2:39" x14ac:dyDescent="0.3">
      <c r="B265" s="61" t="s">
        <v>522</v>
      </c>
      <c r="C265" s="141" t="s">
        <v>672</v>
      </c>
      <c r="D265" s="102" t="str">
        <f t="shared" si="29"/>
        <v/>
      </c>
      <c r="E265" s="102" t="str">
        <f t="shared" si="29"/>
        <v/>
      </c>
      <c r="F265" s="102" t="str">
        <f t="shared" si="29"/>
        <v/>
      </c>
      <c r="G265" s="155"/>
      <c r="H265" s="102" t="str">
        <f t="shared" si="31"/>
        <v/>
      </c>
      <c r="I265" s="102" t="str">
        <f t="shared" si="31"/>
        <v/>
      </c>
      <c r="J265" s="102" t="str">
        <f t="shared" si="30"/>
        <v/>
      </c>
      <c r="K265" s="683"/>
      <c r="M265" s="102"/>
      <c r="N265" s="102">
        <v>0</v>
      </c>
      <c r="O265" s="102">
        <v>0</v>
      </c>
      <c r="P265" s="102">
        <v>0</v>
      </c>
      <c r="Q265" s="102">
        <v>0</v>
      </c>
      <c r="R265" s="102">
        <v>0</v>
      </c>
      <c r="S265" s="102">
        <v>0</v>
      </c>
      <c r="T265" s="102">
        <v>0</v>
      </c>
      <c r="U265" s="102">
        <v>0</v>
      </c>
      <c r="V265" s="102">
        <v>0</v>
      </c>
      <c r="W265" s="102">
        <v>0</v>
      </c>
      <c r="X265" s="102">
        <v>0</v>
      </c>
      <c r="Y265" s="102">
        <v>0</v>
      </c>
      <c r="Z265" s="102"/>
      <c r="AA265" s="102"/>
      <c r="AB265" s="102">
        <v>0</v>
      </c>
      <c r="AC265" s="102">
        <v>0</v>
      </c>
      <c r="AD265" s="102">
        <v>0</v>
      </c>
      <c r="AE265" s="102"/>
      <c r="AF265" s="102">
        <v>0</v>
      </c>
      <c r="AG265" s="102"/>
      <c r="AH265" s="102"/>
      <c r="AI265" s="102"/>
      <c r="AJ265" s="102">
        <v>0</v>
      </c>
      <c r="AK265" s="102">
        <v>0</v>
      </c>
      <c r="AL265" s="102">
        <v>0</v>
      </c>
      <c r="AM265" s="102">
        <v>0</v>
      </c>
    </row>
    <row r="266" spans="2:39" x14ac:dyDescent="0.3">
      <c r="B266" s="61" t="s">
        <v>1208</v>
      </c>
      <c r="C266" s="141" t="s">
        <v>1512</v>
      </c>
      <c r="D266" s="102">
        <f t="shared" ref="D266:F285" si="32">IF(HLOOKUP(D$5,$M$5:$Y$319,ROW()-ROW($F$4),FALSE)=0,"",HLOOKUP(D$5,$M$5:$Y$319,ROW()-ROW($F$4),FALSE))</f>
        <v>100800.91129</v>
      </c>
      <c r="E266" s="102">
        <f t="shared" si="32"/>
        <v>135469.75071299999</v>
      </c>
      <c r="F266" s="102">
        <f t="shared" si="32"/>
        <v>2216.6129999999998</v>
      </c>
      <c r="G266" s="155"/>
      <c r="H266" s="102">
        <f t="shared" si="31"/>
        <v>131285.95765900001</v>
      </c>
      <c r="I266" s="102">
        <f t="shared" si="31"/>
        <v>172847.097522</v>
      </c>
      <c r="J266" s="102">
        <f t="shared" ref="J266:J285" si="33">IF(HLOOKUP(J$5,$AA$5:$AM$315,ROW()-ROW($J$4),FALSE)=0,"",HLOOKUP(J$5,$AA$5:$AM$315,ROW()-ROW($J$4),FALSE))</f>
        <v>2693.946238</v>
      </c>
      <c r="K266" s="683"/>
      <c r="M266" s="102"/>
      <c r="N266" s="102">
        <v>100800.91129</v>
      </c>
      <c r="O266" s="102">
        <v>75817.223329999993</v>
      </c>
      <c r="P266" s="102">
        <v>38367.480733999997</v>
      </c>
      <c r="Q266" s="102">
        <v>13061.337641</v>
      </c>
      <c r="R266" s="102">
        <v>135469.75071299999</v>
      </c>
      <c r="S266" s="102">
        <v>99563.914011000001</v>
      </c>
      <c r="T266" s="102">
        <v>73824.607119000008</v>
      </c>
      <c r="U266" s="102">
        <v>40569.804162</v>
      </c>
      <c r="V266" s="102">
        <v>191586.40820400001</v>
      </c>
      <c r="W266" s="102">
        <v>140108.25976399999</v>
      </c>
      <c r="X266" s="102">
        <v>99927.149000000005</v>
      </c>
      <c r="Y266" s="102">
        <v>2216.6129999999998</v>
      </c>
      <c r="Z266" s="102"/>
      <c r="AA266" s="102"/>
      <c r="AB266" s="102">
        <v>131285.95765900001</v>
      </c>
      <c r="AC266" s="102">
        <v>103782.67942</v>
      </c>
      <c r="AD266" s="102">
        <v>57983.446990999997</v>
      </c>
      <c r="AE266" s="102">
        <v>22376.28386</v>
      </c>
      <c r="AF266" s="102">
        <v>172847.097522</v>
      </c>
      <c r="AG266" s="102">
        <v>134093.52283999999</v>
      </c>
      <c r="AH266" s="102">
        <v>98257.692150999996</v>
      </c>
      <c r="AI266" s="102">
        <v>40823.583293000003</v>
      </c>
      <c r="AJ266" s="102">
        <v>206688.19201299999</v>
      </c>
      <c r="AK266" s="102">
        <v>153456.877985</v>
      </c>
      <c r="AL266" s="102">
        <v>102450.876149</v>
      </c>
      <c r="AM266" s="102">
        <v>2693.946238</v>
      </c>
    </row>
    <row r="267" spans="2:39" s="112" customFormat="1" x14ac:dyDescent="0.3">
      <c r="B267" s="78" t="s">
        <v>1209</v>
      </c>
      <c r="C267" s="307" t="s">
        <v>1677</v>
      </c>
      <c r="D267" s="100">
        <f t="shared" si="32"/>
        <v>185856.26610799998</v>
      </c>
      <c r="E267" s="100">
        <f t="shared" si="32"/>
        <v>114936.66181299993</v>
      </c>
      <c r="F267" s="100">
        <f t="shared" si="32"/>
        <v>137467.82299999989</v>
      </c>
      <c r="G267" s="154"/>
      <c r="H267" s="100">
        <f t="shared" si="31"/>
        <v>194511.64063299878</v>
      </c>
      <c r="I267" s="100">
        <f t="shared" si="31"/>
        <v>122128.25166299971</v>
      </c>
      <c r="J267" s="100">
        <f t="shared" si="33"/>
        <v>140143.41734100005</v>
      </c>
      <c r="K267" s="682"/>
      <c r="M267" s="100"/>
      <c r="N267" s="100">
        <v>185856.26610799998</v>
      </c>
      <c r="O267" s="100">
        <v>162829.49668899985</v>
      </c>
      <c r="P267" s="100">
        <v>103977.18545499994</v>
      </c>
      <c r="Q267" s="100">
        <v>39237.9154640001</v>
      </c>
      <c r="R267" s="100">
        <v>114936.66181299993</v>
      </c>
      <c r="S267" s="100">
        <v>61787.537205000059</v>
      </c>
      <c r="T267" s="100">
        <v>58350.887074999919</v>
      </c>
      <c r="U267" s="100">
        <v>43453.558053999848</v>
      </c>
      <c r="V267" s="100">
        <v>146376.34322399989</v>
      </c>
      <c r="W267" s="100">
        <v>208380.52851000012</v>
      </c>
      <c r="X267" s="100">
        <v>181785.15599999978</v>
      </c>
      <c r="Y267" s="100">
        <v>137467.82299999989</v>
      </c>
      <c r="Z267" s="100"/>
      <c r="AA267" s="100"/>
      <c r="AB267" s="100">
        <v>194511.64063299878</v>
      </c>
      <c r="AC267" s="100">
        <v>166167.04903000046</v>
      </c>
      <c r="AD267" s="100">
        <v>104392.56117099928</v>
      </c>
      <c r="AE267" s="100">
        <v>39353.569501999998</v>
      </c>
      <c r="AF267" s="100">
        <v>122128.25166299971</v>
      </c>
      <c r="AG267" s="100">
        <v>69772.187099000002</v>
      </c>
      <c r="AH267" s="100">
        <v>65372.548848999999</v>
      </c>
      <c r="AI267" s="100">
        <v>47761.906080000001</v>
      </c>
      <c r="AJ267" s="100">
        <v>148725.69870099862</v>
      </c>
      <c r="AK267" s="100">
        <v>202507.65043400001</v>
      </c>
      <c r="AL267" s="100">
        <v>193329.07063800012</v>
      </c>
      <c r="AM267" s="100">
        <v>140143.41734100005</v>
      </c>
    </row>
    <row r="268" spans="2:39" s="112" customFormat="1" x14ac:dyDescent="0.3">
      <c r="B268" s="78" t="s">
        <v>1210</v>
      </c>
      <c r="C268" s="307" t="s">
        <v>1668</v>
      </c>
      <c r="D268" s="100">
        <f t="shared" si="32"/>
        <v>3400.510773</v>
      </c>
      <c r="E268" s="100">
        <f t="shared" si="32"/>
        <v>886.22495700000036</v>
      </c>
      <c r="F268" s="100">
        <f t="shared" si="32"/>
        <v>-1673.3319999999999</v>
      </c>
      <c r="G268" s="154"/>
      <c r="H268" s="100">
        <f t="shared" si="31"/>
        <v>4197.9196360000005</v>
      </c>
      <c r="I268" s="100">
        <f t="shared" si="31"/>
        <v>1003.7337140000009</v>
      </c>
      <c r="J268" s="100">
        <f t="shared" si="33"/>
        <v>-1658.7341240000001</v>
      </c>
      <c r="K268" s="682"/>
      <c r="M268" s="100"/>
      <c r="N268" s="100">
        <v>3400.510773</v>
      </c>
      <c r="O268" s="100">
        <v>-2693.6640549999997</v>
      </c>
      <c r="P268" s="100">
        <v>-2377.131308</v>
      </c>
      <c r="Q268" s="100">
        <v>-973.40160000000014</v>
      </c>
      <c r="R268" s="100">
        <v>886.22495700000036</v>
      </c>
      <c r="S268" s="100">
        <v>-109.74682299999949</v>
      </c>
      <c r="T268" s="100">
        <v>1963.4069830000003</v>
      </c>
      <c r="U268" s="100">
        <v>-1378.5480749999997</v>
      </c>
      <c r="V268" s="100">
        <v>-4017.1268369999998</v>
      </c>
      <c r="W268" s="100">
        <v>-3485.6594409999998</v>
      </c>
      <c r="X268" s="100">
        <v>-2681.5520000000001</v>
      </c>
      <c r="Y268" s="100">
        <v>-1673.3319999999999</v>
      </c>
      <c r="Z268" s="100"/>
      <c r="AA268" s="100"/>
      <c r="AB268" s="100">
        <v>4197.9196360000005</v>
      </c>
      <c r="AC268" s="100">
        <v>-2346.144593</v>
      </c>
      <c r="AD268" s="100">
        <v>-2274.5519690000001</v>
      </c>
      <c r="AE268" s="100">
        <v>-987.91554699999995</v>
      </c>
      <c r="AF268" s="100">
        <v>1003.7337140000009</v>
      </c>
      <c r="AG268" s="100">
        <v>10.783405999999999</v>
      </c>
      <c r="AH268" s="100">
        <v>2098.895845</v>
      </c>
      <c r="AI268" s="100">
        <v>-1388.499037</v>
      </c>
      <c r="AJ268" s="100">
        <v>-4153.0448310000011</v>
      </c>
      <c r="AK268" s="100">
        <v>51877.942007999998</v>
      </c>
      <c r="AL268" s="100">
        <v>-2515.6583299999998</v>
      </c>
      <c r="AM268" s="100">
        <v>-1658.7341240000001</v>
      </c>
    </row>
    <row r="269" spans="2:39" x14ac:dyDescent="0.3">
      <c r="B269" s="61" t="s">
        <v>712</v>
      </c>
      <c r="C269" s="141" t="s">
        <v>673</v>
      </c>
      <c r="D269" s="102">
        <f t="shared" si="32"/>
        <v>12711.181076999999</v>
      </c>
      <c r="E269" s="102">
        <f t="shared" si="32"/>
        <v>7907.9334060000001</v>
      </c>
      <c r="F269" s="102">
        <f t="shared" si="32"/>
        <v>1078.864</v>
      </c>
      <c r="G269" s="155"/>
      <c r="H269" s="102">
        <f t="shared" si="31"/>
        <v>13581.30452</v>
      </c>
      <c r="I269" s="102">
        <f t="shared" si="31"/>
        <v>8118.9255220000005</v>
      </c>
      <c r="J269" s="102">
        <f t="shared" si="33"/>
        <v>1109.1562039999999</v>
      </c>
      <c r="K269" s="683"/>
      <c r="M269" s="102"/>
      <c r="N269" s="102">
        <v>12711.181076999999</v>
      </c>
      <c r="O269" s="102">
        <v>3987.3761490000002</v>
      </c>
      <c r="P269" s="102">
        <v>2636.467275</v>
      </c>
      <c r="Q269" s="102">
        <v>1474.3976710000002</v>
      </c>
      <c r="R269" s="102">
        <v>7907.9334060000001</v>
      </c>
      <c r="S269" s="102">
        <v>6835.2331030000005</v>
      </c>
      <c r="T269" s="102">
        <v>5038.5910990000002</v>
      </c>
      <c r="U269" s="102">
        <v>698.62651399999993</v>
      </c>
      <c r="V269" s="102">
        <v>6078.2987379999995</v>
      </c>
      <c r="W269" s="102">
        <v>4956.684679</v>
      </c>
      <c r="X269" s="102">
        <v>2300.2919999999999</v>
      </c>
      <c r="Y269" s="102">
        <v>1078.864</v>
      </c>
      <c r="Z269" s="102"/>
      <c r="AA269" s="102"/>
      <c r="AB269" s="102">
        <v>13581.30452</v>
      </c>
      <c r="AC269" s="102">
        <v>4376.245379</v>
      </c>
      <c r="AD269" s="102">
        <v>2778.497899</v>
      </c>
      <c r="AE269" s="102">
        <v>1493.136197</v>
      </c>
      <c r="AF269" s="102">
        <v>8118.9255220000005</v>
      </c>
      <c r="AG269" s="102">
        <v>7037.0142450000003</v>
      </c>
      <c r="AH269" s="102">
        <v>5210.2732169999999</v>
      </c>
      <c r="AI269" s="102">
        <v>718.71102199999996</v>
      </c>
      <c r="AJ269" s="102">
        <v>6262.9901169999994</v>
      </c>
      <c r="AK269" s="102">
        <v>60349.756288999997</v>
      </c>
      <c r="AL269" s="102">
        <v>2473.5976599999999</v>
      </c>
      <c r="AM269" s="102">
        <v>1109.1562039999999</v>
      </c>
    </row>
    <row r="270" spans="2:39" x14ac:dyDescent="0.3">
      <c r="B270" s="61" t="s">
        <v>1211</v>
      </c>
      <c r="C270" s="141" t="s">
        <v>674</v>
      </c>
      <c r="D270" s="102">
        <f t="shared" si="32"/>
        <v>1267.7109110000001</v>
      </c>
      <c r="E270" s="102">
        <f t="shared" si="32"/>
        <v>974.40828499999998</v>
      </c>
      <c r="F270" s="102">
        <f t="shared" si="32"/>
        <v>63.53</v>
      </c>
      <c r="G270" s="155"/>
      <c r="H270" s="102">
        <f t="shared" si="31"/>
        <v>1275.5500589999999</v>
      </c>
      <c r="I270" s="102">
        <f t="shared" si="31"/>
        <v>1004.937901</v>
      </c>
      <c r="J270" s="102">
        <f t="shared" si="33"/>
        <v>63.529672000000005</v>
      </c>
      <c r="K270" s="683"/>
      <c r="M270" s="102"/>
      <c r="N270" s="102">
        <v>1267.7109110000001</v>
      </c>
      <c r="O270" s="102">
        <v>13.051924999999999</v>
      </c>
      <c r="P270" s="102">
        <v>3.4159250000000001</v>
      </c>
      <c r="Q270" s="102">
        <v>9.518578999999999</v>
      </c>
      <c r="R270" s="102">
        <v>974.40828499999998</v>
      </c>
      <c r="S270" s="102">
        <v>964.38734499999998</v>
      </c>
      <c r="T270" s="102">
        <v>24.376536999999999</v>
      </c>
      <c r="U270" s="102">
        <v>-13.285588000000001</v>
      </c>
      <c r="V270" s="102">
        <v>1433.9353140000001</v>
      </c>
      <c r="W270" s="102">
        <v>1306.94678</v>
      </c>
      <c r="X270" s="102">
        <v>76.344999999999999</v>
      </c>
      <c r="Y270" s="102">
        <v>63.53</v>
      </c>
      <c r="Z270" s="102"/>
      <c r="AA270" s="102"/>
      <c r="AB270" s="102">
        <v>1275.5500589999999</v>
      </c>
      <c r="AC270" s="102">
        <v>20.891072999999999</v>
      </c>
      <c r="AD270" s="102">
        <v>11.255072999999999</v>
      </c>
      <c r="AE270" s="102">
        <v>15.892393999999999</v>
      </c>
      <c r="AF270" s="102">
        <v>1004.937901</v>
      </c>
      <c r="AG270" s="102">
        <v>989.99978099999998</v>
      </c>
      <c r="AH270" s="102">
        <v>24.471696999999999</v>
      </c>
      <c r="AI270" s="102">
        <v>-13.190428000000001</v>
      </c>
      <c r="AJ270" s="102">
        <v>1571.990607</v>
      </c>
      <c r="AK270" s="102">
        <v>56658.452153999999</v>
      </c>
      <c r="AL270" s="102">
        <v>210.908297</v>
      </c>
      <c r="AM270" s="102">
        <v>63.529672000000005</v>
      </c>
    </row>
    <row r="271" spans="2:39" x14ac:dyDescent="0.3">
      <c r="B271" s="61" t="s">
        <v>1212</v>
      </c>
      <c r="C271" s="141" t="s">
        <v>675</v>
      </c>
      <c r="D271" s="102" t="str">
        <f t="shared" si="32"/>
        <v/>
      </c>
      <c r="E271" s="102" t="str">
        <f t="shared" si="32"/>
        <v/>
      </c>
      <c r="F271" s="102" t="str">
        <f t="shared" si="32"/>
        <v/>
      </c>
      <c r="G271" s="155"/>
      <c r="H271" s="102" t="str">
        <f t="shared" si="31"/>
        <v/>
      </c>
      <c r="I271" s="102" t="str">
        <f t="shared" si="31"/>
        <v/>
      </c>
      <c r="J271" s="102" t="str">
        <f t="shared" si="33"/>
        <v/>
      </c>
      <c r="K271" s="683"/>
      <c r="M271" s="102"/>
      <c r="N271" s="102">
        <v>0</v>
      </c>
      <c r="O271" s="102">
        <v>0</v>
      </c>
      <c r="P271" s="102">
        <v>0</v>
      </c>
      <c r="Q271" s="102">
        <v>0</v>
      </c>
      <c r="R271" s="102">
        <v>0</v>
      </c>
      <c r="S271" s="102">
        <v>0</v>
      </c>
      <c r="T271" s="102">
        <v>0</v>
      </c>
      <c r="U271" s="102">
        <v>0</v>
      </c>
      <c r="V271" s="102">
        <v>0</v>
      </c>
      <c r="W271" s="102">
        <v>0</v>
      </c>
      <c r="X271" s="102">
        <v>0</v>
      </c>
      <c r="Y271" s="102">
        <v>0</v>
      </c>
      <c r="Z271" s="102"/>
      <c r="AA271" s="102"/>
      <c r="AB271" s="102">
        <v>0</v>
      </c>
      <c r="AC271" s="102">
        <v>0</v>
      </c>
      <c r="AD271" s="102">
        <v>0</v>
      </c>
      <c r="AE271" s="102">
        <v>0</v>
      </c>
      <c r="AF271" s="102">
        <v>0</v>
      </c>
      <c r="AG271" s="102">
        <v>0</v>
      </c>
      <c r="AH271" s="102">
        <v>0</v>
      </c>
      <c r="AI271" s="102">
        <v>0</v>
      </c>
      <c r="AJ271" s="102">
        <v>0</v>
      </c>
      <c r="AK271" s="102">
        <v>0</v>
      </c>
      <c r="AL271" s="102">
        <v>0</v>
      </c>
      <c r="AM271" s="102">
        <v>0</v>
      </c>
    </row>
    <row r="272" spans="2:39" x14ac:dyDescent="0.3">
      <c r="B272" s="61" t="s">
        <v>1213</v>
      </c>
      <c r="C272" s="141" t="s">
        <v>676</v>
      </c>
      <c r="D272" s="102" t="str">
        <f t="shared" si="32"/>
        <v/>
      </c>
      <c r="E272" s="102" t="str">
        <f t="shared" si="32"/>
        <v/>
      </c>
      <c r="F272" s="102" t="str">
        <f t="shared" si="32"/>
        <v/>
      </c>
      <c r="G272" s="155"/>
      <c r="H272" s="102" t="str">
        <f t="shared" si="31"/>
        <v/>
      </c>
      <c r="I272" s="102" t="str">
        <f t="shared" si="31"/>
        <v/>
      </c>
      <c r="J272" s="102" t="str">
        <f t="shared" si="33"/>
        <v/>
      </c>
      <c r="K272" s="683"/>
      <c r="M272" s="102"/>
      <c r="N272" s="102">
        <v>0</v>
      </c>
      <c r="O272" s="102">
        <v>0</v>
      </c>
      <c r="P272" s="102">
        <v>0</v>
      </c>
      <c r="Q272" s="102">
        <v>0</v>
      </c>
      <c r="R272" s="102">
        <v>0</v>
      </c>
      <c r="S272" s="102">
        <v>0</v>
      </c>
      <c r="T272" s="102">
        <v>0</v>
      </c>
      <c r="U272" s="102">
        <v>0</v>
      </c>
      <c r="V272" s="102">
        <v>0</v>
      </c>
      <c r="W272" s="102">
        <v>0</v>
      </c>
      <c r="X272" s="102">
        <v>0</v>
      </c>
      <c r="Y272" s="102">
        <v>0</v>
      </c>
      <c r="Z272" s="102"/>
      <c r="AA272" s="102"/>
      <c r="AB272" s="102">
        <v>0</v>
      </c>
      <c r="AC272" s="102">
        <v>0</v>
      </c>
      <c r="AD272" s="102">
        <v>0</v>
      </c>
      <c r="AE272" s="102">
        <v>0</v>
      </c>
      <c r="AF272" s="102">
        <v>0</v>
      </c>
      <c r="AG272" s="102">
        <v>0</v>
      </c>
      <c r="AH272" s="102">
        <v>0</v>
      </c>
      <c r="AI272" s="102">
        <v>0</v>
      </c>
      <c r="AJ272" s="102">
        <v>0</v>
      </c>
      <c r="AK272" s="102">
        <v>0</v>
      </c>
      <c r="AL272" s="102">
        <v>0</v>
      </c>
      <c r="AM272" s="102">
        <v>0</v>
      </c>
    </row>
    <row r="273" spans="2:39" x14ac:dyDescent="0.3">
      <c r="B273" s="61" t="s">
        <v>1214</v>
      </c>
      <c r="C273" s="141" t="s">
        <v>677</v>
      </c>
      <c r="D273" s="102" t="str">
        <f t="shared" si="32"/>
        <v/>
      </c>
      <c r="E273" s="102" t="str">
        <f t="shared" si="32"/>
        <v/>
      </c>
      <c r="F273" s="102" t="str">
        <f t="shared" si="32"/>
        <v/>
      </c>
      <c r="G273" s="155"/>
      <c r="H273" s="102" t="str">
        <f t="shared" si="31"/>
        <v/>
      </c>
      <c r="I273" s="102" t="str">
        <f t="shared" si="31"/>
        <v/>
      </c>
      <c r="J273" s="102" t="str">
        <f t="shared" si="33"/>
        <v/>
      </c>
      <c r="K273" s="683"/>
      <c r="M273" s="102"/>
      <c r="N273" s="102">
        <v>0</v>
      </c>
      <c r="O273" s="102">
        <v>0</v>
      </c>
      <c r="P273" s="102">
        <v>0</v>
      </c>
      <c r="Q273" s="102">
        <v>0</v>
      </c>
      <c r="R273" s="102">
        <v>0</v>
      </c>
      <c r="S273" s="102">
        <v>0</v>
      </c>
      <c r="T273" s="102">
        <v>0</v>
      </c>
      <c r="U273" s="102">
        <v>0</v>
      </c>
      <c r="V273" s="102">
        <v>0</v>
      </c>
      <c r="W273" s="102">
        <v>0</v>
      </c>
      <c r="X273" s="102">
        <v>0</v>
      </c>
      <c r="Y273" s="102">
        <v>0</v>
      </c>
      <c r="Z273" s="102"/>
      <c r="AA273" s="102"/>
      <c r="AB273" s="102">
        <v>0</v>
      </c>
      <c r="AC273" s="102">
        <v>0</v>
      </c>
      <c r="AD273" s="102">
        <v>0</v>
      </c>
      <c r="AE273" s="102">
        <v>0</v>
      </c>
      <c r="AF273" s="102">
        <v>0</v>
      </c>
      <c r="AG273" s="102">
        <v>0</v>
      </c>
      <c r="AH273" s="102">
        <v>0</v>
      </c>
      <c r="AI273" s="102">
        <v>0</v>
      </c>
      <c r="AJ273" s="102">
        <v>0</v>
      </c>
      <c r="AK273" s="102">
        <v>0</v>
      </c>
      <c r="AL273" s="102">
        <v>0</v>
      </c>
      <c r="AM273" s="102">
        <v>0</v>
      </c>
    </row>
    <row r="274" spans="2:39" x14ac:dyDescent="0.3">
      <c r="B274" s="61" t="s">
        <v>1215</v>
      </c>
      <c r="C274" s="141" t="s">
        <v>678</v>
      </c>
      <c r="D274" s="102" t="str">
        <f t="shared" si="32"/>
        <v/>
      </c>
      <c r="E274" s="102" t="str">
        <f t="shared" si="32"/>
        <v/>
      </c>
      <c r="F274" s="102" t="str">
        <f t="shared" si="32"/>
        <v/>
      </c>
      <c r="G274" s="155"/>
      <c r="H274" s="102" t="str">
        <f t="shared" si="31"/>
        <v/>
      </c>
      <c r="I274" s="102" t="str">
        <f t="shared" si="31"/>
        <v/>
      </c>
      <c r="J274" s="102" t="str">
        <f t="shared" si="33"/>
        <v/>
      </c>
      <c r="K274" s="683"/>
      <c r="M274" s="102"/>
      <c r="N274" s="102">
        <v>0</v>
      </c>
      <c r="O274" s="102">
        <v>0</v>
      </c>
      <c r="P274" s="102">
        <v>0</v>
      </c>
      <c r="Q274" s="102">
        <v>0</v>
      </c>
      <c r="R274" s="102">
        <v>0</v>
      </c>
      <c r="S274" s="102">
        <v>0</v>
      </c>
      <c r="T274" s="102">
        <v>0</v>
      </c>
      <c r="U274" s="102">
        <v>0</v>
      </c>
      <c r="V274" s="102">
        <v>0</v>
      </c>
      <c r="W274" s="102">
        <v>0</v>
      </c>
      <c r="X274" s="102">
        <v>0</v>
      </c>
      <c r="Y274" s="102">
        <v>0</v>
      </c>
      <c r="Z274" s="102"/>
      <c r="AA274" s="102"/>
      <c r="AB274" s="102">
        <v>0</v>
      </c>
      <c r="AC274" s="102">
        <v>0</v>
      </c>
      <c r="AD274" s="102">
        <v>0</v>
      </c>
      <c r="AE274" s="102">
        <v>0</v>
      </c>
      <c r="AF274" s="102">
        <v>0</v>
      </c>
      <c r="AG274" s="102">
        <v>0</v>
      </c>
      <c r="AH274" s="102">
        <v>0</v>
      </c>
      <c r="AI274" s="102">
        <v>0</v>
      </c>
      <c r="AJ274" s="102">
        <v>0</v>
      </c>
      <c r="AK274" s="102">
        <v>0</v>
      </c>
      <c r="AL274" s="102">
        <v>0</v>
      </c>
      <c r="AM274" s="102">
        <v>0</v>
      </c>
    </row>
    <row r="275" spans="2:39" x14ac:dyDescent="0.3">
      <c r="B275" s="61" t="s">
        <v>1216</v>
      </c>
      <c r="C275" s="141" t="s">
        <v>679</v>
      </c>
      <c r="D275" s="102" t="str">
        <f t="shared" si="32"/>
        <v/>
      </c>
      <c r="E275" s="102" t="str">
        <f t="shared" si="32"/>
        <v/>
      </c>
      <c r="F275" s="102" t="str">
        <f t="shared" si="32"/>
        <v/>
      </c>
      <c r="G275" s="155"/>
      <c r="H275" s="102" t="str">
        <f t="shared" si="31"/>
        <v/>
      </c>
      <c r="I275" s="102" t="str">
        <f t="shared" si="31"/>
        <v/>
      </c>
      <c r="J275" s="102" t="str">
        <f t="shared" si="33"/>
        <v/>
      </c>
      <c r="K275" s="683"/>
      <c r="M275" s="102"/>
      <c r="N275" s="102">
        <v>0</v>
      </c>
      <c r="O275" s="102">
        <v>0</v>
      </c>
      <c r="P275" s="102">
        <v>0</v>
      </c>
      <c r="Q275" s="102">
        <v>0</v>
      </c>
      <c r="R275" s="102">
        <v>0</v>
      </c>
      <c r="S275" s="102">
        <v>0</v>
      </c>
      <c r="T275" s="102">
        <v>0</v>
      </c>
      <c r="U275" s="102">
        <v>0</v>
      </c>
      <c r="V275" s="102">
        <v>0</v>
      </c>
      <c r="W275" s="102">
        <v>0</v>
      </c>
      <c r="X275" s="102">
        <v>0</v>
      </c>
      <c r="Y275" s="102">
        <v>0</v>
      </c>
      <c r="Z275" s="102"/>
      <c r="AA275" s="102"/>
      <c r="AB275" s="102">
        <v>0</v>
      </c>
      <c r="AC275" s="102">
        <v>0</v>
      </c>
      <c r="AD275" s="102">
        <v>0</v>
      </c>
      <c r="AE275" s="102">
        <v>0</v>
      </c>
      <c r="AF275" s="102">
        <v>0</v>
      </c>
      <c r="AG275" s="102">
        <v>0</v>
      </c>
      <c r="AH275" s="102">
        <v>0</v>
      </c>
      <c r="AI275" s="102">
        <v>0</v>
      </c>
      <c r="AJ275" s="102">
        <v>0</v>
      </c>
      <c r="AK275" s="102">
        <v>0</v>
      </c>
      <c r="AL275" s="102">
        <v>0</v>
      </c>
      <c r="AM275" s="102">
        <v>0</v>
      </c>
    </row>
    <row r="276" spans="2:39" x14ac:dyDescent="0.3">
      <c r="B276" s="61" t="s">
        <v>1217</v>
      </c>
      <c r="C276" s="141" t="s">
        <v>680</v>
      </c>
      <c r="D276" s="102" t="str">
        <f t="shared" si="32"/>
        <v/>
      </c>
      <c r="E276" s="102" t="str">
        <f t="shared" si="32"/>
        <v/>
      </c>
      <c r="F276" s="102" t="str">
        <f t="shared" si="32"/>
        <v/>
      </c>
      <c r="G276" s="155"/>
      <c r="H276" s="102" t="str">
        <f t="shared" si="31"/>
        <v/>
      </c>
      <c r="I276" s="102" t="str">
        <f t="shared" si="31"/>
        <v/>
      </c>
      <c r="J276" s="102" t="str">
        <f t="shared" si="33"/>
        <v/>
      </c>
      <c r="K276" s="683"/>
      <c r="M276" s="102"/>
      <c r="N276" s="102">
        <v>0</v>
      </c>
      <c r="O276" s="102">
        <v>0</v>
      </c>
      <c r="P276" s="102">
        <v>0</v>
      </c>
      <c r="Q276" s="102">
        <v>0</v>
      </c>
      <c r="R276" s="102">
        <v>0</v>
      </c>
      <c r="S276" s="102">
        <v>0</v>
      </c>
      <c r="T276" s="102">
        <v>0</v>
      </c>
      <c r="U276" s="102">
        <v>0</v>
      </c>
      <c r="V276" s="102">
        <v>0</v>
      </c>
      <c r="W276" s="102">
        <v>0</v>
      </c>
      <c r="X276" s="102">
        <v>0</v>
      </c>
      <c r="Y276" s="102">
        <v>0</v>
      </c>
      <c r="Z276" s="102"/>
      <c r="AA276" s="102"/>
      <c r="AB276" s="102">
        <v>0</v>
      </c>
      <c r="AC276" s="102">
        <v>0</v>
      </c>
      <c r="AD276" s="102">
        <v>0</v>
      </c>
      <c r="AE276" s="102">
        <v>0</v>
      </c>
      <c r="AF276" s="102">
        <v>0</v>
      </c>
      <c r="AG276" s="102">
        <v>0</v>
      </c>
      <c r="AH276" s="102">
        <v>0</v>
      </c>
      <c r="AI276" s="102">
        <v>0</v>
      </c>
      <c r="AJ276" s="102">
        <v>0</v>
      </c>
      <c r="AK276" s="102">
        <v>0</v>
      </c>
      <c r="AL276" s="102">
        <v>0</v>
      </c>
      <c r="AM276" s="102">
        <v>0</v>
      </c>
    </row>
    <row r="277" spans="2:39" x14ac:dyDescent="0.3">
      <c r="B277" s="61" t="s">
        <v>1218</v>
      </c>
      <c r="C277" s="141" t="s">
        <v>681</v>
      </c>
      <c r="D277" s="102">
        <f t="shared" si="32"/>
        <v>11443.470165999999</v>
      </c>
      <c r="E277" s="102">
        <f t="shared" si="32"/>
        <v>6933.5251210000006</v>
      </c>
      <c r="F277" s="102">
        <f t="shared" si="32"/>
        <v>1015.3339999999999</v>
      </c>
      <c r="G277" s="155"/>
      <c r="H277" s="102">
        <f t="shared" si="31"/>
        <v>12305.754461</v>
      </c>
      <c r="I277" s="102">
        <f t="shared" si="31"/>
        <v>7113.9876210000002</v>
      </c>
      <c r="J277" s="102">
        <f t="shared" si="33"/>
        <v>1045.626532</v>
      </c>
      <c r="K277" s="683"/>
      <c r="M277" s="102"/>
      <c r="N277" s="102">
        <v>11443.470165999999</v>
      </c>
      <c r="O277" s="102">
        <v>3974.324224</v>
      </c>
      <c r="P277" s="102">
        <v>2633.0513500000002</v>
      </c>
      <c r="Q277" s="102">
        <v>1464.8790919999999</v>
      </c>
      <c r="R277" s="102">
        <v>6933.5251210000006</v>
      </c>
      <c r="S277" s="102">
        <v>5870.8457580000004</v>
      </c>
      <c r="T277" s="102">
        <v>5014.2145620000001</v>
      </c>
      <c r="U277" s="102">
        <v>711.912102</v>
      </c>
      <c r="V277" s="102">
        <v>4644.3634239999992</v>
      </c>
      <c r="W277" s="102">
        <v>3649.7378990000002</v>
      </c>
      <c r="X277" s="102">
        <v>2223.9459999999999</v>
      </c>
      <c r="Y277" s="102">
        <v>1015.3339999999999</v>
      </c>
      <c r="Z277" s="102"/>
      <c r="AA277" s="102"/>
      <c r="AB277" s="102">
        <v>12305.754461</v>
      </c>
      <c r="AC277" s="102">
        <v>4355.3543060000002</v>
      </c>
      <c r="AD277" s="102">
        <v>2767.2428260000002</v>
      </c>
      <c r="AE277" s="102">
        <v>1477.2438030000001</v>
      </c>
      <c r="AF277" s="102">
        <v>7113.9876210000002</v>
      </c>
      <c r="AG277" s="102">
        <v>6047.0144639999999</v>
      </c>
      <c r="AH277" s="102">
        <v>5185.80152</v>
      </c>
      <c r="AI277" s="102">
        <v>731.90144999999995</v>
      </c>
      <c r="AJ277" s="102">
        <v>4690.9995099999996</v>
      </c>
      <c r="AK277" s="102">
        <v>3691.3041349999999</v>
      </c>
      <c r="AL277" s="102">
        <v>2262.689363</v>
      </c>
      <c r="AM277" s="102">
        <v>1045.626532</v>
      </c>
    </row>
    <row r="278" spans="2:39" x14ac:dyDescent="0.3">
      <c r="B278" s="61" t="s">
        <v>713</v>
      </c>
      <c r="C278" s="141" t="s">
        <v>682</v>
      </c>
      <c r="D278" s="102">
        <f t="shared" si="32"/>
        <v>9310.6703039999993</v>
      </c>
      <c r="E278" s="102">
        <f t="shared" si="32"/>
        <v>7021.7084489999997</v>
      </c>
      <c r="F278" s="102">
        <f t="shared" si="32"/>
        <v>2752.1959999999999</v>
      </c>
      <c r="G278" s="155"/>
      <c r="H278" s="102">
        <f t="shared" si="31"/>
        <v>9383.3848839999991</v>
      </c>
      <c r="I278" s="102">
        <f t="shared" si="31"/>
        <v>7115.1918079999996</v>
      </c>
      <c r="J278" s="102">
        <f t="shared" si="33"/>
        <v>2767.890328</v>
      </c>
      <c r="K278" s="683"/>
      <c r="M278" s="102"/>
      <c r="N278" s="102">
        <v>9310.6703039999993</v>
      </c>
      <c r="O278" s="102">
        <v>6681.0402039999999</v>
      </c>
      <c r="P278" s="102">
        <v>5013.598583</v>
      </c>
      <c r="Q278" s="102">
        <v>2447.7992710000003</v>
      </c>
      <c r="R278" s="102">
        <v>7021.7084489999997</v>
      </c>
      <c r="S278" s="102">
        <v>6944.979926</v>
      </c>
      <c r="T278" s="102">
        <v>3075.1841159999999</v>
      </c>
      <c r="U278" s="102">
        <v>2077.1745889999997</v>
      </c>
      <c r="V278" s="102">
        <v>10095.425574999999</v>
      </c>
      <c r="W278" s="102">
        <v>8442.3441199999997</v>
      </c>
      <c r="X278" s="102">
        <v>4981.8440000000001</v>
      </c>
      <c r="Y278" s="102">
        <v>2752.1959999999999</v>
      </c>
      <c r="Z278" s="102"/>
      <c r="AA278" s="102"/>
      <c r="AB278" s="102">
        <v>9383.3848839999991</v>
      </c>
      <c r="AC278" s="102">
        <v>6722.3899719999999</v>
      </c>
      <c r="AD278" s="102">
        <v>5053.0498680000001</v>
      </c>
      <c r="AE278" s="102">
        <v>2481.0517439999999</v>
      </c>
      <c r="AF278" s="102">
        <v>7115.1918079999996</v>
      </c>
      <c r="AG278" s="102">
        <v>7026.2308389999998</v>
      </c>
      <c r="AH278" s="102">
        <v>3111.3773719999999</v>
      </c>
      <c r="AI278" s="102">
        <v>2107.210059</v>
      </c>
      <c r="AJ278" s="102">
        <v>10416.034948</v>
      </c>
      <c r="AK278" s="102">
        <v>8471.8142810000008</v>
      </c>
      <c r="AL278" s="102">
        <v>4989.2559899999997</v>
      </c>
      <c r="AM278" s="102">
        <v>2767.890328</v>
      </c>
    </row>
    <row r="279" spans="2:39" x14ac:dyDescent="0.3">
      <c r="B279" s="61" t="s">
        <v>1219</v>
      </c>
      <c r="C279" s="141" t="s">
        <v>683</v>
      </c>
      <c r="D279" s="102">
        <f t="shared" si="32"/>
        <v>205.84434299999998</v>
      </c>
      <c r="E279" s="102">
        <f t="shared" si="32"/>
        <v>1074.3100260000001</v>
      </c>
      <c r="F279" s="102">
        <f t="shared" si="32"/>
        <v>136.459</v>
      </c>
      <c r="G279" s="155"/>
      <c r="H279" s="102">
        <f t="shared" si="31"/>
        <v>273.63691899999998</v>
      </c>
      <c r="I279" s="102">
        <f t="shared" si="31"/>
        <v>1166.398385</v>
      </c>
      <c r="J279" s="102">
        <f t="shared" si="33"/>
        <v>151.31803100000002</v>
      </c>
      <c r="K279" s="683"/>
      <c r="M279" s="102"/>
      <c r="N279" s="102">
        <v>205.84434299999998</v>
      </c>
      <c r="O279" s="102">
        <v>174.84752700000001</v>
      </c>
      <c r="P279" s="102">
        <v>126.43887100000001</v>
      </c>
      <c r="Q279" s="102">
        <v>98.29164999999999</v>
      </c>
      <c r="R279" s="102">
        <v>1074.3100260000001</v>
      </c>
      <c r="S279" s="102">
        <v>1020.876738</v>
      </c>
      <c r="T279" s="102">
        <v>74.099997000000002</v>
      </c>
      <c r="U279" s="102">
        <v>31.561432</v>
      </c>
      <c r="V279" s="102">
        <v>1561.936162</v>
      </c>
      <c r="W279" s="102">
        <v>1429.948803</v>
      </c>
      <c r="X279" s="102">
        <v>186.05199999999999</v>
      </c>
      <c r="Y279" s="102">
        <v>136.459</v>
      </c>
      <c r="Z279" s="102"/>
      <c r="AA279" s="102"/>
      <c r="AB279" s="102">
        <v>273.63691899999998</v>
      </c>
      <c r="AC279" s="102">
        <v>214.475291</v>
      </c>
      <c r="AD279" s="102">
        <v>164.16815199999999</v>
      </c>
      <c r="AE279" s="102">
        <v>129.82211899999999</v>
      </c>
      <c r="AF279" s="102">
        <v>1166.398385</v>
      </c>
      <c r="AG279" s="102">
        <v>1100.732651</v>
      </c>
      <c r="AH279" s="102">
        <v>108.898253</v>
      </c>
      <c r="AI279" s="102">
        <v>60.201901999999997</v>
      </c>
      <c r="AJ279" s="102">
        <v>1878.1863699999999</v>
      </c>
      <c r="AK279" s="102">
        <v>1455.0597990000001</v>
      </c>
      <c r="AL279" s="102">
        <v>189.10455400000001</v>
      </c>
      <c r="AM279" s="102">
        <v>151.31803100000002</v>
      </c>
    </row>
    <row r="280" spans="2:39" x14ac:dyDescent="0.3">
      <c r="B280" s="61" t="s">
        <v>1220</v>
      </c>
      <c r="C280" s="141" t="s">
        <v>684</v>
      </c>
      <c r="D280" s="102">
        <f t="shared" si="32"/>
        <v>816.02477699999997</v>
      </c>
      <c r="E280" s="102">
        <f t="shared" si="32"/>
        <v>543.07125899999994</v>
      </c>
      <c r="F280" s="102">
        <f t="shared" si="32"/>
        <v>345.96300000000002</v>
      </c>
      <c r="G280" s="155"/>
      <c r="H280" s="102">
        <f t="shared" si="31"/>
        <v>817.74677699999995</v>
      </c>
      <c r="I280" s="102">
        <f t="shared" si="31"/>
        <v>544.46625900000004</v>
      </c>
      <c r="J280" s="102">
        <f t="shared" si="33"/>
        <v>345.96272499999998</v>
      </c>
      <c r="K280" s="683"/>
      <c r="M280" s="102"/>
      <c r="N280" s="102">
        <v>816.02477699999997</v>
      </c>
      <c r="O280" s="102">
        <v>583.645217</v>
      </c>
      <c r="P280" s="102">
        <v>468.23122600000005</v>
      </c>
      <c r="Q280" s="102">
        <v>436.66008199999999</v>
      </c>
      <c r="R280" s="102">
        <v>543.07125899999994</v>
      </c>
      <c r="S280" s="102">
        <v>410.78832799999998</v>
      </c>
      <c r="T280" s="102">
        <v>288.93833100000001</v>
      </c>
      <c r="U280" s="102">
        <v>260.86867000000001</v>
      </c>
      <c r="V280" s="102">
        <v>832.494103</v>
      </c>
      <c r="W280" s="102">
        <v>523.79370400000005</v>
      </c>
      <c r="X280" s="102">
        <v>450.67399999999998</v>
      </c>
      <c r="Y280" s="102">
        <v>345.96300000000002</v>
      </c>
      <c r="Z280" s="102"/>
      <c r="AA280" s="102"/>
      <c r="AB280" s="102">
        <v>817.74677699999995</v>
      </c>
      <c r="AC280" s="102">
        <v>585.36721699999998</v>
      </c>
      <c r="AD280" s="102">
        <v>469.95322599999997</v>
      </c>
      <c r="AE280" s="102">
        <v>438.38208200000003</v>
      </c>
      <c r="AF280" s="102">
        <v>544.46625900000004</v>
      </c>
      <c r="AG280" s="102">
        <v>412.18332800000002</v>
      </c>
      <c r="AH280" s="102">
        <v>290.33333099999999</v>
      </c>
      <c r="AI280" s="102">
        <v>262.26366999999999</v>
      </c>
      <c r="AJ280" s="102">
        <v>836.018103</v>
      </c>
      <c r="AK280" s="102">
        <v>527.31770400000005</v>
      </c>
      <c r="AL280" s="102">
        <v>454.19833899999998</v>
      </c>
      <c r="AM280" s="102">
        <v>345.96272499999998</v>
      </c>
    </row>
    <row r="281" spans="2:39" x14ac:dyDescent="0.3">
      <c r="B281" s="61" t="s">
        <v>1221</v>
      </c>
      <c r="C281" s="141" t="s">
        <v>685</v>
      </c>
      <c r="D281" s="102" t="str">
        <f t="shared" si="32"/>
        <v/>
      </c>
      <c r="E281" s="102" t="str">
        <f t="shared" si="32"/>
        <v/>
      </c>
      <c r="F281" s="102" t="str">
        <f t="shared" si="32"/>
        <v/>
      </c>
      <c r="G281" s="155"/>
      <c r="H281" s="102" t="str">
        <f t="shared" si="31"/>
        <v/>
      </c>
      <c r="I281" s="102" t="str">
        <f t="shared" si="31"/>
        <v/>
      </c>
      <c r="J281" s="102" t="str">
        <f t="shared" si="33"/>
        <v/>
      </c>
      <c r="K281" s="683"/>
      <c r="M281" s="102"/>
      <c r="N281" s="102">
        <v>0</v>
      </c>
      <c r="O281" s="102">
        <v>0</v>
      </c>
      <c r="P281" s="102">
        <v>0</v>
      </c>
      <c r="Q281" s="102">
        <v>0</v>
      </c>
      <c r="R281" s="102">
        <v>0</v>
      </c>
      <c r="S281" s="102">
        <v>0</v>
      </c>
      <c r="T281" s="102">
        <v>0</v>
      </c>
      <c r="U281" s="102">
        <v>0</v>
      </c>
      <c r="V281" s="102">
        <v>0</v>
      </c>
      <c r="W281" s="102">
        <v>0</v>
      </c>
      <c r="X281" s="102">
        <v>0</v>
      </c>
      <c r="Y281" s="102">
        <v>0</v>
      </c>
      <c r="Z281" s="102"/>
      <c r="AA281" s="102"/>
      <c r="AB281" s="102">
        <v>0</v>
      </c>
      <c r="AC281" s="102">
        <v>0</v>
      </c>
      <c r="AD281" s="102">
        <v>0</v>
      </c>
      <c r="AE281" s="102">
        <v>0</v>
      </c>
      <c r="AF281" s="102">
        <v>0</v>
      </c>
      <c r="AG281" s="102">
        <v>0</v>
      </c>
      <c r="AH281" s="102">
        <v>0</v>
      </c>
      <c r="AI281" s="102">
        <v>0</v>
      </c>
      <c r="AJ281" s="102">
        <v>0</v>
      </c>
      <c r="AK281" s="102">
        <v>0</v>
      </c>
      <c r="AL281" s="102">
        <v>0</v>
      </c>
      <c r="AM281" s="102">
        <v>0</v>
      </c>
    </row>
    <row r="282" spans="2:39" x14ac:dyDescent="0.3">
      <c r="B282" s="61" t="s">
        <v>1222</v>
      </c>
      <c r="C282" s="141" t="s">
        <v>686</v>
      </c>
      <c r="D282" s="102" t="str">
        <f t="shared" si="32"/>
        <v/>
      </c>
      <c r="E282" s="102" t="str">
        <f t="shared" si="32"/>
        <v/>
      </c>
      <c r="F282" s="102" t="str">
        <f t="shared" si="32"/>
        <v/>
      </c>
      <c r="G282" s="155"/>
      <c r="H282" s="102" t="str">
        <f t="shared" si="31"/>
        <v/>
      </c>
      <c r="I282" s="102" t="str">
        <f t="shared" si="31"/>
        <v/>
      </c>
      <c r="J282" s="102" t="str">
        <f t="shared" si="33"/>
        <v/>
      </c>
      <c r="K282" s="683"/>
      <c r="M282" s="102"/>
      <c r="N282" s="102">
        <v>0</v>
      </c>
      <c r="O282" s="102">
        <v>0</v>
      </c>
      <c r="P282" s="102">
        <v>0</v>
      </c>
      <c r="Q282" s="102">
        <v>0</v>
      </c>
      <c r="R282" s="102">
        <v>0</v>
      </c>
      <c r="S282" s="102">
        <v>0</v>
      </c>
      <c r="T282" s="102">
        <v>0</v>
      </c>
      <c r="U282" s="102">
        <v>0</v>
      </c>
      <c r="V282" s="102">
        <v>0</v>
      </c>
      <c r="W282" s="102">
        <v>0</v>
      </c>
      <c r="X282" s="102">
        <v>0</v>
      </c>
      <c r="Y282" s="102">
        <v>0</v>
      </c>
      <c r="Z282" s="102"/>
      <c r="AA282" s="102"/>
      <c r="AB282" s="102">
        <v>0</v>
      </c>
      <c r="AC282" s="102">
        <v>0</v>
      </c>
      <c r="AD282" s="102">
        <v>0</v>
      </c>
      <c r="AE282" s="102">
        <v>0</v>
      </c>
      <c r="AF282" s="102">
        <v>0</v>
      </c>
      <c r="AG282" s="102">
        <v>0</v>
      </c>
      <c r="AH282" s="102">
        <v>0</v>
      </c>
      <c r="AI282" s="102">
        <v>0</v>
      </c>
      <c r="AJ282" s="102">
        <v>0</v>
      </c>
      <c r="AK282" s="102">
        <v>0</v>
      </c>
      <c r="AL282" s="102">
        <v>0</v>
      </c>
      <c r="AM282" s="102">
        <v>0</v>
      </c>
    </row>
    <row r="283" spans="2:39" x14ac:dyDescent="0.3">
      <c r="B283" s="61" t="s">
        <v>1223</v>
      </c>
      <c r="C283" s="141" t="s">
        <v>687</v>
      </c>
      <c r="D283" s="102" t="str">
        <f t="shared" si="32"/>
        <v/>
      </c>
      <c r="E283" s="102" t="str">
        <f t="shared" si="32"/>
        <v/>
      </c>
      <c r="F283" s="102" t="str">
        <f t="shared" si="32"/>
        <v/>
      </c>
      <c r="G283" s="155"/>
      <c r="H283" s="102" t="str">
        <f t="shared" si="31"/>
        <v/>
      </c>
      <c r="I283" s="102" t="str">
        <f t="shared" si="31"/>
        <v/>
      </c>
      <c r="J283" s="102" t="str">
        <f t="shared" si="33"/>
        <v/>
      </c>
      <c r="K283" s="683"/>
      <c r="M283" s="102"/>
      <c r="N283" s="102">
        <v>0</v>
      </c>
      <c r="O283" s="102">
        <v>0</v>
      </c>
      <c r="P283" s="102">
        <v>0</v>
      </c>
      <c r="Q283" s="102">
        <v>0</v>
      </c>
      <c r="R283" s="102">
        <v>0</v>
      </c>
      <c r="S283" s="102">
        <v>0</v>
      </c>
      <c r="T283" s="102">
        <v>0</v>
      </c>
      <c r="U283" s="102">
        <v>0</v>
      </c>
      <c r="V283" s="102">
        <v>0</v>
      </c>
      <c r="W283" s="102">
        <v>0</v>
      </c>
      <c r="X283" s="102">
        <v>0</v>
      </c>
      <c r="Y283" s="102">
        <v>0</v>
      </c>
      <c r="Z283" s="102"/>
      <c r="AA283" s="102"/>
      <c r="AB283" s="102">
        <v>0</v>
      </c>
      <c r="AC283" s="102">
        <v>0</v>
      </c>
      <c r="AD283" s="102">
        <v>0</v>
      </c>
      <c r="AE283" s="102">
        <v>0</v>
      </c>
      <c r="AF283" s="102">
        <v>0</v>
      </c>
      <c r="AG283" s="102">
        <v>0</v>
      </c>
      <c r="AH283" s="102">
        <v>0</v>
      </c>
      <c r="AI283" s="102">
        <v>0</v>
      </c>
      <c r="AJ283" s="102">
        <v>0</v>
      </c>
      <c r="AK283" s="102">
        <v>0</v>
      </c>
      <c r="AL283" s="102">
        <v>0</v>
      </c>
      <c r="AM283" s="102">
        <v>0</v>
      </c>
    </row>
    <row r="284" spans="2:39" x14ac:dyDescent="0.3">
      <c r="B284" s="61" t="s">
        <v>1224</v>
      </c>
      <c r="C284" s="141" t="s">
        <v>688</v>
      </c>
      <c r="D284" s="102" t="str">
        <f t="shared" si="32"/>
        <v/>
      </c>
      <c r="E284" s="102" t="str">
        <f t="shared" si="32"/>
        <v/>
      </c>
      <c r="F284" s="102" t="str">
        <f t="shared" si="32"/>
        <v/>
      </c>
      <c r="G284" s="155"/>
      <c r="H284" s="102" t="str">
        <f t="shared" si="31"/>
        <v/>
      </c>
      <c r="I284" s="102" t="str">
        <f t="shared" si="31"/>
        <v/>
      </c>
      <c r="J284" s="102" t="str">
        <f t="shared" si="33"/>
        <v/>
      </c>
      <c r="K284" s="683"/>
      <c r="M284" s="102"/>
      <c r="N284" s="102">
        <v>0</v>
      </c>
      <c r="O284" s="102">
        <v>0</v>
      </c>
      <c r="P284" s="102">
        <v>0</v>
      </c>
      <c r="Q284" s="102">
        <v>0</v>
      </c>
      <c r="R284" s="102">
        <v>0</v>
      </c>
      <c r="S284" s="102">
        <v>0</v>
      </c>
      <c r="T284" s="102">
        <v>0</v>
      </c>
      <c r="U284" s="102">
        <v>0</v>
      </c>
      <c r="V284" s="102">
        <v>0</v>
      </c>
      <c r="W284" s="102">
        <v>0</v>
      </c>
      <c r="X284" s="102">
        <v>0</v>
      </c>
      <c r="Y284" s="102">
        <v>0</v>
      </c>
      <c r="Z284" s="102"/>
      <c r="AA284" s="102"/>
      <c r="AB284" s="102">
        <v>0</v>
      </c>
      <c r="AC284" s="102">
        <v>0</v>
      </c>
      <c r="AD284" s="102">
        <v>0</v>
      </c>
      <c r="AE284" s="102">
        <v>0</v>
      </c>
      <c r="AF284" s="102">
        <v>0</v>
      </c>
      <c r="AG284" s="102">
        <v>0</v>
      </c>
      <c r="AH284" s="102">
        <v>0</v>
      </c>
      <c r="AI284" s="102">
        <v>0</v>
      </c>
      <c r="AJ284" s="102">
        <v>0</v>
      </c>
      <c r="AK284" s="102">
        <v>0</v>
      </c>
      <c r="AL284" s="102">
        <v>0</v>
      </c>
      <c r="AM284" s="102">
        <v>0</v>
      </c>
    </row>
    <row r="285" spans="2:39" x14ac:dyDescent="0.3">
      <c r="B285" s="61" t="s">
        <v>1225</v>
      </c>
      <c r="C285" s="141" t="s">
        <v>689</v>
      </c>
      <c r="D285" s="102" t="str">
        <f t="shared" si="32"/>
        <v/>
      </c>
      <c r="E285" s="102">
        <f t="shared" si="32"/>
        <v>824.48</v>
      </c>
      <c r="F285" s="102" t="str">
        <f t="shared" si="32"/>
        <v/>
      </c>
      <c r="G285" s="155"/>
      <c r="H285" s="102" t="str">
        <f t="shared" si="31"/>
        <v/>
      </c>
      <c r="I285" s="102">
        <f t="shared" si="31"/>
        <v>824.48</v>
      </c>
      <c r="J285" s="102" t="str">
        <f t="shared" si="33"/>
        <v/>
      </c>
      <c r="K285" s="683"/>
      <c r="M285" s="102"/>
      <c r="N285" s="102">
        <v>0</v>
      </c>
      <c r="O285" s="102">
        <v>0</v>
      </c>
      <c r="P285" s="102">
        <v>0</v>
      </c>
      <c r="Q285" s="102">
        <v>0</v>
      </c>
      <c r="R285" s="102">
        <v>824.48</v>
      </c>
      <c r="S285" s="102">
        <v>-101.52</v>
      </c>
      <c r="T285" s="102">
        <v>-103.92</v>
      </c>
      <c r="U285" s="102">
        <v>0</v>
      </c>
      <c r="V285" s="102">
        <v>1025</v>
      </c>
      <c r="W285" s="102">
        <v>0</v>
      </c>
      <c r="X285" s="102">
        <v>0</v>
      </c>
      <c r="Y285" s="102">
        <v>0</v>
      </c>
      <c r="Z285" s="102"/>
      <c r="AA285" s="102"/>
      <c r="AB285" s="102">
        <v>0</v>
      </c>
      <c r="AC285" s="102">
        <v>0</v>
      </c>
      <c r="AD285" s="102">
        <v>0</v>
      </c>
      <c r="AE285" s="102">
        <v>0</v>
      </c>
      <c r="AF285" s="102">
        <v>824.48</v>
      </c>
      <c r="AG285" s="102">
        <v>-101.52</v>
      </c>
      <c r="AH285" s="102">
        <v>-103.92</v>
      </c>
      <c r="AI285" s="102">
        <v>0</v>
      </c>
      <c r="AJ285" s="102">
        <v>1025</v>
      </c>
      <c r="AK285" s="102">
        <v>0</v>
      </c>
      <c r="AL285" s="102">
        <v>0</v>
      </c>
      <c r="AM285" s="102">
        <v>0</v>
      </c>
    </row>
    <row r="286" spans="2:39" x14ac:dyDescent="0.3">
      <c r="B286" s="61" t="s">
        <v>1226</v>
      </c>
      <c r="C286" s="141" t="s">
        <v>690</v>
      </c>
      <c r="D286" s="102">
        <f t="shared" ref="D286:F301" si="34">IF(HLOOKUP(D$5,$M$5:$Y$319,ROW()-ROW($F$4),FALSE)=0,"",HLOOKUP(D$5,$M$5:$Y$319,ROW()-ROW($F$4),FALSE))</f>
        <v>8288.8011839999999</v>
      </c>
      <c r="E286" s="102">
        <f t="shared" si="34"/>
        <v>4579.8471639999998</v>
      </c>
      <c r="F286" s="102">
        <f t="shared" si="34"/>
        <v>2269.7739999999999</v>
      </c>
      <c r="G286" s="155"/>
      <c r="H286" s="102">
        <f t="shared" si="31"/>
        <v>8292.0011880000002</v>
      </c>
      <c r="I286" s="102">
        <f t="shared" si="31"/>
        <v>4579.8471639999998</v>
      </c>
      <c r="J286" s="102">
        <f t="shared" ref="J286:J305" si="35">IF(HLOOKUP(J$5,$AA$5:$AM$315,ROW()-ROW($J$4),FALSE)=0,"",HLOOKUP(J$5,$AA$5:$AM$315,ROW()-ROW($J$4),FALSE))</f>
        <v>2270.6095719999998</v>
      </c>
      <c r="K286" s="683"/>
      <c r="M286" s="102"/>
      <c r="N286" s="102">
        <v>8288.8011839999999</v>
      </c>
      <c r="O286" s="102">
        <v>5922.5474599999998</v>
      </c>
      <c r="P286" s="102">
        <v>4418.9284859999998</v>
      </c>
      <c r="Q286" s="102">
        <v>1912.8475390000001</v>
      </c>
      <c r="R286" s="102">
        <v>4579.8471639999998</v>
      </c>
      <c r="S286" s="102">
        <v>5614.8348599999999</v>
      </c>
      <c r="T286" s="102">
        <v>2816.0657880000003</v>
      </c>
      <c r="U286" s="102">
        <v>1784.7444869999999</v>
      </c>
      <c r="V286" s="102">
        <v>6675.9953099999993</v>
      </c>
      <c r="W286" s="102">
        <v>6488.6016129999998</v>
      </c>
      <c r="X286" s="102">
        <v>4345.1180000000004</v>
      </c>
      <c r="Y286" s="102">
        <v>2269.7739999999999</v>
      </c>
      <c r="Z286" s="102"/>
      <c r="AA286" s="102"/>
      <c r="AB286" s="102">
        <v>8292.0011880000002</v>
      </c>
      <c r="AC286" s="102">
        <v>5922.5474640000002</v>
      </c>
      <c r="AD286" s="102">
        <v>4418.9284900000002</v>
      </c>
      <c r="AE286" s="102">
        <v>1912.8475430000001</v>
      </c>
      <c r="AF286" s="102">
        <v>4579.8471639999998</v>
      </c>
      <c r="AG286" s="102">
        <v>5614.8348599999999</v>
      </c>
      <c r="AH286" s="102">
        <v>2816.0657879999999</v>
      </c>
      <c r="AI286" s="102">
        <v>1784.7444869999999</v>
      </c>
      <c r="AJ286" s="102">
        <v>6676.8304749999998</v>
      </c>
      <c r="AK286" s="102">
        <v>6489.4367780000002</v>
      </c>
      <c r="AL286" s="102">
        <v>4345.9530969999996</v>
      </c>
      <c r="AM286" s="102">
        <v>2270.6095719999998</v>
      </c>
    </row>
    <row r="287" spans="2:39" s="112" customFormat="1" x14ac:dyDescent="0.3">
      <c r="B287" s="78" t="s">
        <v>1227</v>
      </c>
      <c r="C287" s="307" t="s">
        <v>1669</v>
      </c>
      <c r="D287" s="100">
        <f t="shared" si="34"/>
        <v>189256.77688099997</v>
      </c>
      <c r="E287" s="100">
        <f t="shared" si="34"/>
        <v>115822.88676999992</v>
      </c>
      <c r="F287" s="100">
        <f t="shared" si="34"/>
        <v>135794.49099999989</v>
      </c>
      <c r="G287" s="154"/>
      <c r="H287" s="100">
        <f t="shared" si="31"/>
        <v>198709.56026899879</v>
      </c>
      <c r="I287" s="100">
        <f t="shared" si="31"/>
        <v>123131.98537699971</v>
      </c>
      <c r="J287" s="100">
        <f t="shared" si="35"/>
        <v>138484.68321699998</v>
      </c>
      <c r="K287" s="682"/>
      <c r="M287" s="100"/>
      <c r="N287" s="100">
        <v>189256.77688099997</v>
      </c>
      <c r="O287" s="100">
        <v>160135.83263399985</v>
      </c>
      <c r="P287" s="100">
        <v>101600.05414699994</v>
      </c>
      <c r="Q287" s="100">
        <v>38264.513864000102</v>
      </c>
      <c r="R287" s="100">
        <v>115822.88676999992</v>
      </c>
      <c r="S287" s="100">
        <v>61677.790382000057</v>
      </c>
      <c r="T287" s="100">
        <v>60314.294057999919</v>
      </c>
      <c r="U287" s="100">
        <v>42075.009978999849</v>
      </c>
      <c r="V287" s="100">
        <v>142359.21638699991</v>
      </c>
      <c r="W287" s="100">
        <v>204894.86906900012</v>
      </c>
      <c r="X287" s="100">
        <v>179103.60399999979</v>
      </c>
      <c r="Y287" s="100">
        <v>135794.49099999989</v>
      </c>
      <c r="Z287" s="100"/>
      <c r="AA287" s="100"/>
      <c r="AB287" s="100">
        <v>198709.56026899879</v>
      </c>
      <c r="AC287" s="100">
        <v>163820.90443700046</v>
      </c>
      <c r="AD287" s="100">
        <v>102118.00920199929</v>
      </c>
      <c r="AE287" s="100">
        <v>38365.653955000002</v>
      </c>
      <c r="AF287" s="100">
        <v>123131.98537699971</v>
      </c>
      <c r="AG287" s="100">
        <v>69782.970505000005</v>
      </c>
      <c r="AH287" s="100">
        <v>67471.444694000005</v>
      </c>
      <c r="AI287" s="100">
        <v>46373.407042999999</v>
      </c>
      <c r="AJ287" s="100">
        <v>144572.65386999861</v>
      </c>
      <c r="AK287" s="100">
        <v>254385.59244199999</v>
      </c>
      <c r="AL287" s="100">
        <v>190813.41230800012</v>
      </c>
      <c r="AM287" s="100">
        <v>138484.68321699998</v>
      </c>
    </row>
    <row r="288" spans="2:39" s="112" customFormat="1" x14ac:dyDescent="0.3">
      <c r="B288" s="78" t="s">
        <v>1228</v>
      </c>
      <c r="C288" s="307" t="s">
        <v>1670</v>
      </c>
      <c r="D288" s="100">
        <f t="shared" si="34"/>
        <v>64356.387659999993</v>
      </c>
      <c r="E288" s="100">
        <f t="shared" si="34"/>
        <v>-9216.0660700000008</v>
      </c>
      <c r="F288" s="100">
        <f t="shared" si="34"/>
        <v>35059.199999999997</v>
      </c>
      <c r="G288" s="154"/>
      <c r="H288" s="100">
        <f t="shared" si="31"/>
        <v>67933.128729000004</v>
      </c>
      <c r="I288" s="100">
        <f t="shared" si="31"/>
        <v>-12982.884934</v>
      </c>
      <c r="J288" s="100">
        <f t="shared" si="35"/>
        <v>35904.757408999998</v>
      </c>
      <c r="K288" s="682"/>
      <c r="M288" s="100"/>
      <c r="N288" s="100">
        <v>64356.387659999993</v>
      </c>
      <c r="O288" s="100">
        <v>38938.609501999999</v>
      </c>
      <c r="P288" s="100">
        <v>26926.655010000002</v>
      </c>
      <c r="Q288" s="100">
        <v>13944.745688999999</v>
      </c>
      <c r="R288" s="100">
        <v>-9216.0660700000008</v>
      </c>
      <c r="S288" s="100">
        <v>14295.777607</v>
      </c>
      <c r="T288" s="100">
        <v>13979.744232000001</v>
      </c>
      <c r="U288" s="100">
        <v>9752.2135879999987</v>
      </c>
      <c r="V288" s="100">
        <v>33159.361511999996</v>
      </c>
      <c r="W288" s="100">
        <v>45663.529608999997</v>
      </c>
      <c r="X288" s="100">
        <v>44338.790999999997</v>
      </c>
      <c r="Y288" s="100">
        <v>35059.199999999997</v>
      </c>
      <c r="Z288" s="100"/>
      <c r="AA288" s="100"/>
      <c r="AB288" s="100">
        <v>67933.128729000004</v>
      </c>
      <c r="AC288" s="100">
        <v>38589.669038</v>
      </c>
      <c r="AD288" s="100">
        <v>26642.766147999999</v>
      </c>
      <c r="AE288" s="100">
        <v>13582.575867</v>
      </c>
      <c r="AF288" s="100">
        <v>-12982.884934</v>
      </c>
      <c r="AG288" s="100">
        <v>14714.364442</v>
      </c>
      <c r="AH288" s="100">
        <v>14204.907565</v>
      </c>
      <c r="AI288" s="100">
        <v>9858.2965820000009</v>
      </c>
      <c r="AJ288" s="100">
        <v>43167.939344999999</v>
      </c>
      <c r="AK288" s="100">
        <v>46079.226355999999</v>
      </c>
      <c r="AL288" s="100">
        <v>42898.357115999999</v>
      </c>
      <c r="AM288" s="100">
        <v>35904.757408999998</v>
      </c>
    </row>
    <row r="289" spans="2:39" s="112" customFormat="1" x14ac:dyDescent="0.3">
      <c r="B289" s="78" t="s">
        <v>1229</v>
      </c>
      <c r="C289" s="307" t="s">
        <v>1671</v>
      </c>
      <c r="D289" s="100">
        <f t="shared" si="34"/>
        <v>124900.38922099998</v>
      </c>
      <c r="E289" s="100">
        <f t="shared" si="34"/>
        <v>125038.95283999993</v>
      </c>
      <c r="F289" s="100">
        <f t="shared" si="34"/>
        <v>100735.2909999999</v>
      </c>
      <c r="G289" s="154"/>
      <c r="H289" s="100">
        <f t="shared" si="31"/>
        <v>130776.43153999878</v>
      </c>
      <c r="I289" s="100">
        <f t="shared" si="31"/>
        <v>136114.87031099972</v>
      </c>
      <c r="J289" s="100">
        <f t="shared" si="35"/>
        <v>102579.925808</v>
      </c>
      <c r="K289" s="682"/>
      <c r="M289" s="100"/>
      <c r="N289" s="100">
        <v>124900.38922099998</v>
      </c>
      <c r="O289" s="100">
        <v>121197.22313199984</v>
      </c>
      <c r="P289" s="100">
        <v>74673.399136999942</v>
      </c>
      <c r="Q289" s="100">
        <v>24319.768175000103</v>
      </c>
      <c r="R289" s="100">
        <v>125038.95283999993</v>
      </c>
      <c r="S289" s="100">
        <v>47382.012775000054</v>
      </c>
      <c r="T289" s="100">
        <v>46334.549825999915</v>
      </c>
      <c r="U289" s="100">
        <v>32322.796390999851</v>
      </c>
      <c r="V289" s="100">
        <v>109199.8548749999</v>
      </c>
      <c r="W289" s="100">
        <v>159231.33946000013</v>
      </c>
      <c r="X289" s="100">
        <v>134764.81299999979</v>
      </c>
      <c r="Y289" s="100">
        <v>100735.2909999999</v>
      </c>
      <c r="Z289" s="100"/>
      <c r="AA289" s="100"/>
      <c r="AB289" s="100">
        <v>130776.43153999878</v>
      </c>
      <c r="AC289" s="100">
        <v>125231.23539900046</v>
      </c>
      <c r="AD289" s="100">
        <v>75475.243053999293</v>
      </c>
      <c r="AE289" s="100">
        <v>24783.078087999998</v>
      </c>
      <c r="AF289" s="100">
        <v>136114.87031099972</v>
      </c>
      <c r="AG289" s="100">
        <v>55068.606062999999</v>
      </c>
      <c r="AH289" s="100">
        <v>53266.537128999997</v>
      </c>
      <c r="AI289" s="100">
        <v>36515.110460999997</v>
      </c>
      <c r="AJ289" s="100">
        <v>101404.71452499862</v>
      </c>
      <c r="AK289" s="100">
        <v>208306.36608599999</v>
      </c>
      <c r="AL289" s="100">
        <v>147915.05519200012</v>
      </c>
      <c r="AM289" s="100">
        <v>102579.925808</v>
      </c>
    </row>
    <row r="290" spans="2:39" x14ac:dyDescent="0.3">
      <c r="B290" s="61" t="s">
        <v>609</v>
      </c>
      <c r="C290" s="141" t="s">
        <v>691</v>
      </c>
      <c r="D290" s="102" t="str">
        <f t="shared" si="34"/>
        <v/>
      </c>
      <c r="E290" s="102" t="str">
        <f t="shared" si="34"/>
        <v/>
      </c>
      <c r="F290" s="102" t="str">
        <f t="shared" si="34"/>
        <v/>
      </c>
      <c r="G290" s="155"/>
      <c r="H290" s="102" t="str">
        <f t="shared" si="31"/>
        <v/>
      </c>
      <c r="I290" s="102" t="str">
        <f t="shared" si="31"/>
        <v/>
      </c>
      <c r="J290" s="102" t="str">
        <f t="shared" si="35"/>
        <v/>
      </c>
      <c r="K290" s="683"/>
      <c r="M290" s="102"/>
      <c r="N290" s="102">
        <v>0</v>
      </c>
      <c r="O290" s="102">
        <v>0</v>
      </c>
      <c r="P290" s="102">
        <v>0</v>
      </c>
      <c r="Q290" s="102">
        <v>0</v>
      </c>
      <c r="R290" s="102">
        <v>0</v>
      </c>
      <c r="S290" s="102">
        <v>0</v>
      </c>
      <c r="T290" s="102">
        <v>0</v>
      </c>
      <c r="U290" s="102">
        <v>0</v>
      </c>
      <c r="V290" s="102">
        <v>0</v>
      </c>
      <c r="W290" s="102">
        <v>0</v>
      </c>
      <c r="X290" s="102">
        <v>0</v>
      </c>
      <c r="Y290" s="102">
        <v>0</v>
      </c>
      <c r="Z290" s="102"/>
      <c r="AA290" s="102"/>
      <c r="AB290" s="102">
        <v>0</v>
      </c>
      <c r="AC290" s="102">
        <v>0</v>
      </c>
      <c r="AD290" s="102">
        <v>0</v>
      </c>
      <c r="AE290" s="102">
        <v>0</v>
      </c>
      <c r="AF290" s="102">
        <v>0</v>
      </c>
      <c r="AG290" s="102">
        <v>0</v>
      </c>
      <c r="AH290" s="102">
        <v>0</v>
      </c>
      <c r="AI290" s="102">
        <v>0</v>
      </c>
      <c r="AJ290" s="102">
        <v>0</v>
      </c>
      <c r="AK290" s="102">
        <v>0</v>
      </c>
      <c r="AL290" s="102">
        <v>0</v>
      </c>
      <c r="AM290" s="102">
        <v>0</v>
      </c>
    </row>
    <row r="291" spans="2:39" x14ac:dyDescent="0.3">
      <c r="B291" s="61" t="s">
        <v>1230</v>
      </c>
      <c r="C291" s="141" t="s">
        <v>1416</v>
      </c>
      <c r="D291" s="102" t="str">
        <f t="shared" si="34"/>
        <v/>
      </c>
      <c r="E291" s="102" t="str">
        <f t="shared" si="34"/>
        <v/>
      </c>
      <c r="F291" s="102" t="str">
        <f t="shared" si="34"/>
        <v/>
      </c>
      <c r="G291" s="155"/>
      <c r="H291" s="102" t="str">
        <f t="shared" si="31"/>
        <v/>
      </c>
      <c r="I291" s="102" t="str">
        <f t="shared" si="31"/>
        <v/>
      </c>
      <c r="J291" s="102" t="str">
        <f t="shared" si="35"/>
        <v/>
      </c>
      <c r="K291" s="683"/>
      <c r="M291" s="102"/>
      <c r="N291" s="102">
        <v>0</v>
      </c>
      <c r="O291" s="102">
        <v>0</v>
      </c>
      <c r="P291" s="102">
        <v>0</v>
      </c>
      <c r="Q291" s="102">
        <v>0</v>
      </c>
      <c r="R291" s="102">
        <v>0</v>
      </c>
      <c r="S291" s="102">
        <v>0</v>
      </c>
      <c r="T291" s="102">
        <v>0</v>
      </c>
      <c r="U291" s="102">
        <v>0</v>
      </c>
      <c r="V291" s="102">
        <v>0</v>
      </c>
      <c r="W291" s="102">
        <v>0</v>
      </c>
      <c r="X291" s="102">
        <v>0</v>
      </c>
      <c r="Y291" s="102">
        <v>0</v>
      </c>
      <c r="Z291" s="102"/>
      <c r="AA291" s="102"/>
      <c r="AB291" s="102">
        <v>0</v>
      </c>
      <c r="AC291" s="102">
        <v>0</v>
      </c>
      <c r="AD291" s="102">
        <v>0</v>
      </c>
      <c r="AE291" s="102"/>
      <c r="AF291" s="102">
        <v>0</v>
      </c>
      <c r="AG291" s="102"/>
      <c r="AH291" s="102"/>
      <c r="AI291" s="102"/>
      <c r="AJ291" s="102">
        <v>0</v>
      </c>
      <c r="AK291" s="102">
        <v>0</v>
      </c>
      <c r="AL291" s="102">
        <v>0</v>
      </c>
      <c r="AM291" s="102">
        <v>0</v>
      </c>
    </row>
    <row r="292" spans="2:39" x14ac:dyDescent="0.3">
      <c r="B292" s="61" t="s">
        <v>1231</v>
      </c>
      <c r="C292" s="141" t="s">
        <v>1415</v>
      </c>
      <c r="D292" s="102">
        <f t="shared" si="34"/>
        <v>227625.02978700001</v>
      </c>
      <c r="E292" s="102">
        <f t="shared" si="34"/>
        <v>92139.738169999997</v>
      </c>
      <c r="F292" s="102">
        <f t="shared" si="34"/>
        <v>768764.67099999997</v>
      </c>
      <c r="G292" s="155"/>
      <c r="H292" s="102" t="str">
        <f t="shared" si="31"/>
        <v/>
      </c>
      <c r="I292" s="102" t="str">
        <f t="shared" si="31"/>
        <v/>
      </c>
      <c r="J292" s="102" t="str">
        <f t="shared" si="35"/>
        <v/>
      </c>
      <c r="K292" s="683"/>
      <c r="M292" s="102"/>
      <c r="N292" s="102">
        <v>227625.02978700001</v>
      </c>
      <c r="O292" s="102">
        <v>155314.267101</v>
      </c>
      <c r="P292" s="102">
        <v>83167.998810999998</v>
      </c>
      <c r="Q292" s="102">
        <v>39500.126005000006</v>
      </c>
      <c r="R292" s="102">
        <v>92139.738169999997</v>
      </c>
      <c r="S292" s="102">
        <v>125275.35647900001</v>
      </c>
      <c r="T292" s="102">
        <v>78960.136618000004</v>
      </c>
      <c r="U292" s="102">
        <v>42267.690557999995</v>
      </c>
      <c r="V292" s="102">
        <v>1037584.108003</v>
      </c>
      <c r="W292" s="102">
        <v>845009.45472599997</v>
      </c>
      <c r="X292" s="102">
        <v>796954.76699999999</v>
      </c>
      <c r="Y292" s="102">
        <v>768764.67099999997</v>
      </c>
      <c r="Z292" s="102"/>
      <c r="AA292" s="102"/>
      <c r="AB292" s="102">
        <v>0</v>
      </c>
      <c r="AC292" s="102">
        <v>0</v>
      </c>
      <c r="AD292" s="102">
        <v>0</v>
      </c>
      <c r="AE292" s="102"/>
      <c r="AF292" s="102">
        <v>0</v>
      </c>
      <c r="AG292" s="102"/>
      <c r="AH292" s="102"/>
      <c r="AI292" s="102"/>
      <c r="AJ292" s="102">
        <v>0</v>
      </c>
      <c r="AK292" s="102">
        <v>0</v>
      </c>
      <c r="AL292" s="102">
        <v>0</v>
      </c>
      <c r="AM292" s="102">
        <v>0</v>
      </c>
    </row>
    <row r="293" spans="2:39" x14ac:dyDescent="0.3">
      <c r="B293" s="61" t="s">
        <v>1232</v>
      </c>
      <c r="C293" s="141" t="s">
        <v>1414</v>
      </c>
      <c r="D293" s="102">
        <f t="shared" si="34"/>
        <v>17442.175925</v>
      </c>
      <c r="E293" s="102">
        <f t="shared" si="34"/>
        <v>15423.403818000001</v>
      </c>
      <c r="F293" s="102">
        <f t="shared" si="34"/>
        <v>156678.954</v>
      </c>
      <c r="G293" s="155"/>
      <c r="H293" s="102" t="str">
        <f t="shared" si="31"/>
        <v/>
      </c>
      <c r="I293" s="102" t="str">
        <f t="shared" si="31"/>
        <v/>
      </c>
      <c r="J293" s="102" t="str">
        <f t="shared" si="35"/>
        <v/>
      </c>
      <c r="K293" s="683"/>
      <c r="M293" s="102"/>
      <c r="N293" s="102">
        <v>17442.175925</v>
      </c>
      <c r="O293" s="102">
        <v>13203.352806999999</v>
      </c>
      <c r="P293" s="102">
        <v>9341.9332809999996</v>
      </c>
      <c r="Q293" s="102">
        <v>-11870.570253</v>
      </c>
      <c r="R293" s="102">
        <v>15423.403818000001</v>
      </c>
      <c r="S293" s="102">
        <v>11766.875918</v>
      </c>
      <c r="T293" s="102">
        <v>7224.1757929999994</v>
      </c>
      <c r="U293" s="102">
        <v>3529.4479079999996</v>
      </c>
      <c r="V293" s="102">
        <v>168173.918393</v>
      </c>
      <c r="W293" s="102">
        <v>163566.20993000001</v>
      </c>
      <c r="X293" s="102">
        <v>159253.74299999999</v>
      </c>
      <c r="Y293" s="102">
        <v>156678.954</v>
      </c>
      <c r="Z293" s="102"/>
      <c r="AA293" s="102"/>
      <c r="AB293" s="102">
        <v>0</v>
      </c>
      <c r="AC293" s="102">
        <v>0</v>
      </c>
      <c r="AD293" s="102">
        <v>0</v>
      </c>
      <c r="AE293" s="102"/>
      <c r="AF293" s="102">
        <v>0</v>
      </c>
      <c r="AG293" s="102"/>
      <c r="AH293" s="102"/>
      <c r="AI293" s="102"/>
      <c r="AJ293" s="102">
        <v>0</v>
      </c>
      <c r="AK293" s="102">
        <v>0</v>
      </c>
      <c r="AL293" s="102">
        <v>0</v>
      </c>
      <c r="AM293" s="102">
        <v>0</v>
      </c>
    </row>
    <row r="294" spans="2:39" x14ac:dyDescent="0.3">
      <c r="B294" s="61" t="s">
        <v>610</v>
      </c>
      <c r="C294" s="141" t="s">
        <v>692</v>
      </c>
      <c r="D294" s="102">
        <f t="shared" si="34"/>
        <v>-5087.2244780000001</v>
      </c>
      <c r="E294" s="102">
        <f t="shared" si="34"/>
        <v>-1662.356988</v>
      </c>
      <c r="F294" s="102">
        <f t="shared" si="34"/>
        <v>-25040.666000000001</v>
      </c>
      <c r="G294" s="155"/>
      <c r="H294" s="102" t="str">
        <f t="shared" si="31"/>
        <v/>
      </c>
      <c r="I294" s="102" t="str">
        <f t="shared" si="31"/>
        <v/>
      </c>
      <c r="J294" s="102" t="str">
        <f t="shared" si="35"/>
        <v/>
      </c>
      <c r="K294" s="683"/>
      <c r="M294" s="102"/>
      <c r="N294" s="102">
        <v>-5087.2244780000001</v>
      </c>
      <c r="O294" s="102">
        <v>-3111.5254799999998</v>
      </c>
      <c r="P294" s="102">
        <v>-2670.8148760000004</v>
      </c>
      <c r="Q294" s="102">
        <v>-1847.788397</v>
      </c>
      <c r="R294" s="102">
        <v>-1662.356988</v>
      </c>
      <c r="S294" s="102">
        <v>892.31974300000002</v>
      </c>
      <c r="T294" s="102">
        <v>2608.2720920000002</v>
      </c>
      <c r="U294" s="102">
        <v>3530.8301460000002</v>
      </c>
      <c r="V294" s="102">
        <v>-25939.189451000002</v>
      </c>
      <c r="W294" s="102">
        <v>-25237.618925000002</v>
      </c>
      <c r="X294" s="102">
        <v>-22237.234</v>
      </c>
      <c r="Y294" s="102">
        <v>-25040.666000000001</v>
      </c>
      <c r="Z294" s="102"/>
      <c r="AA294" s="102"/>
      <c r="AB294" s="102">
        <v>0</v>
      </c>
      <c r="AC294" s="102">
        <v>0</v>
      </c>
      <c r="AD294" s="102">
        <v>0</v>
      </c>
      <c r="AE294" s="102"/>
      <c r="AF294" s="102">
        <v>0</v>
      </c>
      <c r="AG294" s="102"/>
      <c r="AH294" s="102"/>
      <c r="AI294" s="102"/>
      <c r="AJ294" s="102">
        <v>0</v>
      </c>
      <c r="AK294" s="102">
        <v>0</v>
      </c>
      <c r="AL294" s="102">
        <v>0</v>
      </c>
      <c r="AM294" s="102">
        <v>0</v>
      </c>
    </row>
    <row r="295" spans="2:39" x14ac:dyDescent="0.3">
      <c r="B295" s="61" t="s">
        <v>1233</v>
      </c>
      <c r="C295" s="141" t="s">
        <v>693</v>
      </c>
      <c r="D295" s="102">
        <f t="shared" si="34"/>
        <v>-115079.592013</v>
      </c>
      <c r="E295" s="102">
        <f t="shared" si="34"/>
        <v>19138.167839999998</v>
      </c>
      <c r="F295" s="102">
        <f t="shared" si="34"/>
        <v>-799667.66700000002</v>
      </c>
      <c r="G295" s="155"/>
      <c r="H295" s="102" t="str">
        <f t="shared" si="31"/>
        <v/>
      </c>
      <c r="I295" s="102" t="str">
        <f t="shared" si="31"/>
        <v/>
      </c>
      <c r="J295" s="102" t="str">
        <f t="shared" si="35"/>
        <v/>
      </c>
      <c r="K295" s="683"/>
      <c r="M295" s="102"/>
      <c r="N295" s="102">
        <v>-115079.592013</v>
      </c>
      <c r="O295" s="102">
        <v>-44208.871295999998</v>
      </c>
      <c r="P295" s="102">
        <v>-15165.718079</v>
      </c>
      <c r="Q295" s="102">
        <v>-1461.99918</v>
      </c>
      <c r="R295" s="102">
        <v>19138.167839999998</v>
      </c>
      <c r="S295" s="102">
        <v>-90552.53936499999</v>
      </c>
      <c r="T295" s="102">
        <v>-42458.034677000003</v>
      </c>
      <c r="U295" s="102">
        <v>-17005.172221000001</v>
      </c>
      <c r="V295" s="102">
        <v>-1070618.9820700001</v>
      </c>
      <c r="W295" s="102">
        <v>-824106.70627099997</v>
      </c>
      <c r="X295" s="102">
        <v>-799206.46499999997</v>
      </c>
      <c r="Y295" s="102">
        <v>-799667.66700000002</v>
      </c>
      <c r="Z295" s="102"/>
      <c r="AA295" s="102"/>
      <c r="AB295" s="102">
        <v>0</v>
      </c>
      <c r="AC295" s="102">
        <v>0</v>
      </c>
      <c r="AD295" s="102">
        <v>0</v>
      </c>
      <c r="AE295" s="102"/>
      <c r="AF295" s="102">
        <v>0</v>
      </c>
      <c r="AG295" s="102"/>
      <c r="AH295" s="102"/>
      <c r="AI295" s="102"/>
      <c r="AJ295" s="102">
        <v>0</v>
      </c>
      <c r="AK295" s="102">
        <v>0</v>
      </c>
      <c r="AL295" s="102">
        <v>0</v>
      </c>
      <c r="AM295" s="102">
        <v>0</v>
      </c>
    </row>
    <row r="296" spans="2:39" x14ac:dyDescent="0.3">
      <c r="B296" s="61" t="s">
        <v>1293</v>
      </c>
      <c r="C296" s="141" t="s">
        <v>1513</v>
      </c>
      <c r="D296" s="102"/>
      <c r="E296" s="102" t="str">
        <f t="shared" si="34"/>
        <v/>
      </c>
      <c r="F296" s="102"/>
      <c r="G296" s="155"/>
      <c r="H296" s="100" t="str">
        <f t="shared" si="31"/>
        <v/>
      </c>
      <c r="I296" s="100" t="str">
        <f t="shared" si="31"/>
        <v/>
      </c>
      <c r="J296" s="100" t="str">
        <f t="shared" si="35"/>
        <v/>
      </c>
      <c r="K296" s="682"/>
      <c r="M296" s="102"/>
      <c r="N296" s="102"/>
      <c r="O296" s="102"/>
      <c r="P296" s="102"/>
      <c r="Q296" s="102"/>
      <c r="R296" s="102"/>
      <c r="S296" s="102"/>
      <c r="T296" s="102"/>
      <c r="U296" s="102"/>
      <c r="V296" s="102"/>
      <c r="W296" s="102"/>
      <c r="X296" s="102"/>
      <c r="Y296" s="102"/>
      <c r="Z296" s="102"/>
      <c r="AA296" s="102"/>
      <c r="AB296" s="102">
        <v>0</v>
      </c>
      <c r="AC296" s="102">
        <v>0</v>
      </c>
      <c r="AD296" s="102">
        <v>0</v>
      </c>
      <c r="AE296" s="102">
        <v>0</v>
      </c>
      <c r="AF296" s="102">
        <v>0</v>
      </c>
      <c r="AG296" s="102">
        <v>0</v>
      </c>
      <c r="AH296" s="102">
        <v>0</v>
      </c>
      <c r="AI296" s="102">
        <v>0</v>
      </c>
      <c r="AJ296" s="102">
        <v>0</v>
      </c>
      <c r="AK296" s="102">
        <v>0</v>
      </c>
      <c r="AL296" s="102">
        <v>0</v>
      </c>
      <c r="AM296" s="102">
        <v>0</v>
      </c>
    </row>
    <row r="297" spans="2:39" x14ac:dyDescent="0.3">
      <c r="B297" s="61" t="s">
        <v>1656</v>
      </c>
      <c r="C297" s="141" t="s">
        <v>1514</v>
      </c>
      <c r="D297" s="102"/>
      <c r="E297" s="102" t="str">
        <f t="shared" si="34"/>
        <v/>
      </c>
      <c r="F297" s="102"/>
      <c r="G297" s="155"/>
      <c r="H297" s="102">
        <f t="shared" si="31"/>
        <v>130776.43153999878</v>
      </c>
      <c r="I297" s="102">
        <f t="shared" si="31"/>
        <v>136114.87031099972</v>
      </c>
      <c r="J297" s="102">
        <f t="shared" si="35"/>
        <v>102579.925808</v>
      </c>
      <c r="K297" s="683"/>
      <c r="M297" s="102"/>
      <c r="N297" s="102"/>
      <c r="O297" s="102"/>
      <c r="P297" s="102"/>
      <c r="Q297" s="102"/>
      <c r="R297" s="102"/>
      <c r="S297" s="102"/>
      <c r="T297" s="102"/>
      <c r="U297" s="102"/>
      <c r="V297" s="102"/>
      <c r="W297" s="102"/>
      <c r="X297" s="102"/>
      <c r="Y297" s="102"/>
      <c r="Z297" s="102"/>
      <c r="AA297" s="102"/>
      <c r="AB297" s="102">
        <v>130776.43153999878</v>
      </c>
      <c r="AC297" s="102">
        <v>125231.23539900046</v>
      </c>
      <c r="AD297" s="102">
        <v>75475.243053999293</v>
      </c>
      <c r="AE297" s="102">
        <v>24783.078087999998</v>
      </c>
      <c r="AF297" s="102">
        <v>136114.87031099972</v>
      </c>
      <c r="AG297" s="102">
        <v>55068.606062999999</v>
      </c>
      <c r="AH297" s="102">
        <v>53266.537128999997</v>
      </c>
      <c r="AI297" s="102">
        <v>36515.110460999997</v>
      </c>
      <c r="AJ297" s="102">
        <v>101404.71452499862</v>
      </c>
      <c r="AK297" s="102">
        <v>208306.36608599999</v>
      </c>
      <c r="AL297" s="102">
        <v>147915.055192</v>
      </c>
      <c r="AM297" s="102">
        <v>102579.925808</v>
      </c>
    </row>
    <row r="298" spans="2:39" s="112" customFormat="1" x14ac:dyDescent="0.3">
      <c r="B298" s="78" t="s">
        <v>1234</v>
      </c>
      <c r="C298" s="307" t="s">
        <v>1672</v>
      </c>
      <c r="D298" s="100">
        <f t="shared" ref="D298:F316" si="36">IF(HLOOKUP(D$5,$M$5:$Y$319,ROW()-ROW($F$4),FALSE)=0,"",HLOOKUP(D$5,$M$5:$Y$319,ROW()-ROW($F$4),FALSE))</f>
        <v>-241636.78331999999</v>
      </c>
      <c r="E298" s="100">
        <f t="shared" si="34"/>
        <v>-590828.06661700003</v>
      </c>
      <c r="F298" s="100">
        <f t="shared" si="36"/>
        <v>-15381.296</v>
      </c>
      <c r="G298" s="154"/>
      <c r="H298" s="102">
        <f t="shared" si="31"/>
        <v>-246335.96362300002</v>
      </c>
      <c r="I298" s="102">
        <f t="shared" si="31"/>
        <v>-587971.35117700009</v>
      </c>
      <c r="J298" s="102" t="str">
        <f t="shared" si="35"/>
        <v/>
      </c>
      <c r="K298" s="683"/>
      <c r="M298" s="100"/>
      <c r="N298" s="100">
        <v>-241636.78331999999</v>
      </c>
      <c r="O298" s="100">
        <v>-192323.74490299998</v>
      </c>
      <c r="P298" s="100">
        <v>-157188.45754499998</v>
      </c>
      <c r="Q298" s="100">
        <v>-110760.49734</v>
      </c>
      <c r="R298" s="100">
        <v>-590828.06661700003</v>
      </c>
      <c r="S298" s="100">
        <v>-537435.75451999996</v>
      </c>
      <c r="T298" s="102">
        <v>-537664.91483099991</v>
      </c>
      <c r="U298" s="102">
        <v>-317475.073982</v>
      </c>
      <c r="V298" s="100">
        <v>34585.665711000001</v>
      </c>
      <c r="W298" s="100">
        <v>20167.728128999999</v>
      </c>
      <c r="X298" s="100">
        <v>17001.652999999998</v>
      </c>
      <c r="Y298" s="102">
        <v>-15381.296</v>
      </c>
      <c r="Z298" s="100"/>
      <c r="AA298" s="100"/>
      <c r="AB298" s="100">
        <v>-246335.96362300002</v>
      </c>
      <c r="AC298" s="100">
        <v>-197337.661868</v>
      </c>
      <c r="AD298" s="100">
        <v>-162819.26533999998</v>
      </c>
      <c r="AE298" s="100">
        <v>-111018.595054</v>
      </c>
      <c r="AF298" s="100">
        <v>-587971.35117700009</v>
      </c>
      <c r="AG298" s="100">
        <v>-537407.77451400005</v>
      </c>
      <c r="AH298" s="100">
        <v>-536944.68885899999</v>
      </c>
      <c r="AI298" s="100">
        <v>-316221.07139900001</v>
      </c>
      <c r="AJ298" s="100">
        <v>77271.263527999909</v>
      </c>
      <c r="AK298" s="100">
        <v>25980.724341000001</v>
      </c>
      <c r="AL298" s="100">
        <v>19873.342541000002</v>
      </c>
      <c r="AM298" s="100">
        <v>0</v>
      </c>
    </row>
    <row r="299" spans="2:39" x14ac:dyDescent="0.3">
      <c r="B299" s="61" t="s">
        <v>1235</v>
      </c>
      <c r="C299" s="141" t="s">
        <v>1667</v>
      </c>
      <c r="D299" s="102">
        <f t="shared" si="36"/>
        <v>-382564.78979000001</v>
      </c>
      <c r="E299" s="102">
        <f t="shared" si="34"/>
        <v>187303.19521500001</v>
      </c>
      <c r="F299" s="102">
        <f t="shared" si="36"/>
        <v>339394.1</v>
      </c>
      <c r="G299" s="155"/>
      <c r="H299" s="102">
        <f t="shared" si="31"/>
        <v>-382564.78979000001</v>
      </c>
      <c r="I299" s="102">
        <f t="shared" si="31"/>
        <v>187303.19521500001</v>
      </c>
      <c r="J299" s="102">
        <f t="shared" si="35"/>
        <v>339394.09988300002</v>
      </c>
      <c r="K299" s="683"/>
      <c r="M299" s="102"/>
      <c r="N299" s="102">
        <v>-382564.78979000001</v>
      </c>
      <c r="O299" s="102">
        <v>100207.139971</v>
      </c>
      <c r="P299" s="102">
        <v>149115.54564</v>
      </c>
      <c r="Q299" s="102">
        <v>294960.83893000003</v>
      </c>
      <c r="R299" s="102">
        <v>187303.19521500001</v>
      </c>
      <c r="S299" s="102">
        <v>242415.64594999998</v>
      </c>
      <c r="T299" s="102">
        <v>-128966.05905699999</v>
      </c>
      <c r="U299" s="102">
        <v>-256640.174967</v>
      </c>
      <c r="V299" s="102">
        <v>653391.34744699998</v>
      </c>
      <c r="W299" s="102">
        <v>-247326.91269600001</v>
      </c>
      <c r="X299" s="102">
        <v>67753.42</v>
      </c>
      <c r="Y299" s="102">
        <v>339394.1</v>
      </c>
      <c r="Z299" s="102"/>
      <c r="AA299" s="102"/>
      <c r="AB299" s="102">
        <v>-382564.78979000001</v>
      </c>
      <c r="AC299" s="102">
        <v>100207.139971</v>
      </c>
      <c r="AD299" s="102">
        <v>149115.54564</v>
      </c>
      <c r="AE299" s="102">
        <v>294960.83893000003</v>
      </c>
      <c r="AF299" s="102">
        <v>187303.19521500001</v>
      </c>
      <c r="AG299" s="102">
        <v>242415.64595000001</v>
      </c>
      <c r="AH299" s="102">
        <v>-128966.05905700001</v>
      </c>
      <c r="AI299" s="102">
        <v>-256640.174967</v>
      </c>
      <c r="AJ299" s="102">
        <v>653391.34744699998</v>
      </c>
      <c r="AK299" s="102">
        <v>-247326.97769599999</v>
      </c>
      <c r="AL299" s="102">
        <v>67753.419643999994</v>
      </c>
      <c r="AM299" s="102">
        <v>339394.09988300002</v>
      </c>
    </row>
    <row r="300" spans="2:39" x14ac:dyDescent="0.3">
      <c r="B300" s="61" t="s">
        <v>1236</v>
      </c>
      <c r="C300" s="141" t="s">
        <v>1478</v>
      </c>
      <c r="D300" s="102" t="str">
        <f t="shared" si="36"/>
        <v/>
      </c>
      <c r="E300" s="102" t="str">
        <f t="shared" si="34"/>
        <v/>
      </c>
      <c r="F300" s="102" t="str">
        <f t="shared" si="36"/>
        <v/>
      </c>
      <c r="G300" s="155"/>
      <c r="H300" s="102" t="str">
        <f t="shared" si="31"/>
        <v/>
      </c>
      <c r="I300" s="102" t="str">
        <f t="shared" si="31"/>
        <v/>
      </c>
      <c r="J300" s="102">
        <f t="shared" si="35"/>
        <v>2957.336765</v>
      </c>
      <c r="K300" s="683"/>
      <c r="M300" s="102"/>
      <c r="N300" s="102">
        <v>0</v>
      </c>
      <c r="O300" s="102">
        <v>0</v>
      </c>
      <c r="P300" s="102">
        <v>0</v>
      </c>
      <c r="Q300" s="102">
        <v>0</v>
      </c>
      <c r="R300" s="102">
        <v>0</v>
      </c>
      <c r="S300" s="102">
        <v>0</v>
      </c>
      <c r="T300" s="102">
        <v>0</v>
      </c>
      <c r="U300" s="102">
        <v>0</v>
      </c>
      <c r="V300" s="102">
        <v>0</v>
      </c>
      <c r="W300" s="102">
        <v>0</v>
      </c>
      <c r="X300" s="102">
        <v>0</v>
      </c>
      <c r="Y300" s="102">
        <v>0</v>
      </c>
      <c r="Z300" s="102"/>
      <c r="AA300" s="102"/>
      <c r="AB300" s="102">
        <v>0</v>
      </c>
      <c r="AC300" s="102">
        <v>0</v>
      </c>
      <c r="AD300" s="102">
        <v>0</v>
      </c>
      <c r="AE300" s="102">
        <v>0</v>
      </c>
      <c r="AF300" s="102">
        <v>0</v>
      </c>
      <c r="AG300" s="102">
        <v>0</v>
      </c>
      <c r="AH300" s="102">
        <v>0</v>
      </c>
      <c r="AI300" s="102">
        <v>0</v>
      </c>
      <c r="AJ300" s="102">
        <v>0</v>
      </c>
      <c r="AK300" s="102">
        <v>0</v>
      </c>
      <c r="AL300" s="102">
        <v>0</v>
      </c>
      <c r="AM300" s="102">
        <v>2957.336765</v>
      </c>
    </row>
    <row r="301" spans="2:39" x14ac:dyDescent="0.3">
      <c r="B301" s="61" t="s">
        <v>1237</v>
      </c>
      <c r="C301" s="141" t="s">
        <v>1665</v>
      </c>
      <c r="D301" s="102">
        <f t="shared" si="36"/>
        <v>-112.424819</v>
      </c>
      <c r="E301" s="102">
        <f t="shared" si="34"/>
        <v>256.69654300000002</v>
      </c>
      <c r="F301" s="102">
        <f t="shared" si="36"/>
        <v>44.341000000000001</v>
      </c>
      <c r="G301" s="155"/>
      <c r="H301" s="102">
        <f t="shared" si="31"/>
        <v>-112.424819</v>
      </c>
      <c r="I301" s="102">
        <f t="shared" si="31"/>
        <v>256.69654300000002</v>
      </c>
      <c r="J301" s="102">
        <f t="shared" si="35"/>
        <v>44.341071999999997</v>
      </c>
      <c r="K301" s="683"/>
      <c r="M301" s="102"/>
      <c r="N301" s="102">
        <v>-112.424819</v>
      </c>
      <c r="O301" s="102">
        <v>-108.697571</v>
      </c>
      <c r="P301" s="102">
        <v>-108.09399400000001</v>
      </c>
      <c r="Q301" s="102">
        <v>-73.35107099999999</v>
      </c>
      <c r="R301" s="102">
        <v>256.69654300000002</v>
      </c>
      <c r="S301" s="102">
        <v>-145.93873600000001</v>
      </c>
      <c r="T301" s="102">
        <v>-12.610099</v>
      </c>
      <c r="U301" s="102">
        <v>-25.988482999999999</v>
      </c>
      <c r="V301" s="102">
        <v>-59.389116999999999</v>
      </c>
      <c r="W301" s="102">
        <v>287.52266100000003</v>
      </c>
      <c r="X301" s="102">
        <v>336.19499999999999</v>
      </c>
      <c r="Y301" s="102">
        <v>44.341000000000001</v>
      </c>
      <c r="Z301" s="102"/>
      <c r="AA301" s="102"/>
      <c r="AB301" s="102">
        <v>-112.424819</v>
      </c>
      <c r="AC301" s="102">
        <v>-108.697571</v>
      </c>
      <c r="AD301" s="102">
        <v>-108.093994</v>
      </c>
      <c r="AE301" s="102">
        <v>-73.351071000000005</v>
      </c>
      <c r="AF301" s="102">
        <v>256.69654300000002</v>
      </c>
      <c r="AG301" s="102">
        <v>-145.93873600000001</v>
      </c>
      <c r="AH301" s="102">
        <v>-12.610099</v>
      </c>
      <c r="AI301" s="102">
        <v>-25.988482999999999</v>
      </c>
      <c r="AJ301" s="102">
        <v>-59.389116999999999</v>
      </c>
      <c r="AK301" s="102">
        <v>287.52266100000003</v>
      </c>
      <c r="AL301" s="102">
        <v>336.19470799999999</v>
      </c>
      <c r="AM301" s="102">
        <v>44.341071999999997</v>
      </c>
    </row>
    <row r="302" spans="2:39" x14ac:dyDescent="0.3">
      <c r="B302" s="61" t="s">
        <v>1238</v>
      </c>
      <c r="C302" s="141" t="s">
        <v>1664</v>
      </c>
      <c r="D302" s="102">
        <f t="shared" si="36"/>
        <v>373373.65762499999</v>
      </c>
      <c r="E302" s="102">
        <f t="shared" si="36"/>
        <v>-887165.29638800002</v>
      </c>
      <c r="F302" s="102">
        <f t="shared" si="36"/>
        <v>-377170.79</v>
      </c>
      <c r="G302" s="155"/>
      <c r="H302" s="102">
        <f t="shared" si="31"/>
        <v>373373.65762499999</v>
      </c>
      <c r="I302" s="102">
        <f t="shared" si="31"/>
        <v>-887165.29638800002</v>
      </c>
      <c r="J302" s="102">
        <f t="shared" si="35"/>
        <v>-377170.79011900001</v>
      </c>
      <c r="K302" s="683"/>
      <c r="M302" s="102"/>
      <c r="N302" s="102">
        <v>373373.65762499999</v>
      </c>
      <c r="O302" s="102">
        <v>-189842.305865</v>
      </c>
      <c r="P302" s="102">
        <v>-288387.02095700003</v>
      </c>
      <c r="Q302" s="102">
        <v>-467051.50211299997</v>
      </c>
      <c r="R302" s="102">
        <v>-887165.29638800002</v>
      </c>
      <c r="S302" s="102">
        <v>-836750.53992899996</v>
      </c>
      <c r="T302" s="102">
        <v>-396356.32143000001</v>
      </c>
      <c r="U302" s="102">
        <v>-12561.640796</v>
      </c>
      <c r="V302" s="102">
        <v>-759953.04966300004</v>
      </c>
      <c r="W302" s="102">
        <v>265601.95338899997</v>
      </c>
      <c r="X302" s="102">
        <v>-62144.622000000003</v>
      </c>
      <c r="Y302" s="102">
        <v>-377170.79</v>
      </c>
      <c r="Z302" s="102"/>
      <c r="AA302" s="102"/>
      <c r="AB302" s="102">
        <v>373373.65762499999</v>
      </c>
      <c r="AC302" s="102">
        <v>-189842.305865</v>
      </c>
      <c r="AD302" s="102">
        <v>-288387.02095699997</v>
      </c>
      <c r="AE302" s="102">
        <v>-467051.50211300002</v>
      </c>
      <c r="AF302" s="102">
        <v>-887165.29638800002</v>
      </c>
      <c r="AG302" s="102">
        <v>-836750.53992899996</v>
      </c>
      <c r="AH302" s="102">
        <v>-396356.32143000001</v>
      </c>
      <c r="AI302" s="102">
        <v>-12561.640796</v>
      </c>
      <c r="AJ302" s="102">
        <v>-759953.04966300004</v>
      </c>
      <c r="AK302" s="102">
        <v>265601.95338899997</v>
      </c>
      <c r="AL302" s="102">
        <v>-62144.621837999999</v>
      </c>
      <c r="AM302" s="102">
        <v>-377170.79011900001</v>
      </c>
    </row>
    <row r="303" spans="2:39" x14ac:dyDescent="0.3">
      <c r="B303" s="61" t="s">
        <v>1239</v>
      </c>
      <c r="C303" s="141" t="s">
        <v>1413</v>
      </c>
      <c r="D303" s="102">
        <f t="shared" si="36"/>
        <v>373373.65762499999</v>
      </c>
      <c r="E303" s="102">
        <f t="shared" si="36"/>
        <v>-887165.29638800002</v>
      </c>
      <c r="F303" s="102">
        <f t="shared" si="36"/>
        <v>-377170.79</v>
      </c>
      <c r="G303" s="155"/>
      <c r="H303" s="102" t="str">
        <f t="shared" si="31"/>
        <v/>
      </c>
      <c r="I303" s="102" t="str">
        <f t="shared" si="31"/>
        <v/>
      </c>
      <c r="J303" s="102" t="str">
        <f t="shared" si="35"/>
        <v/>
      </c>
      <c r="K303" s="683"/>
      <c r="M303" s="102"/>
      <c r="N303" s="102">
        <v>373373.65762499999</v>
      </c>
      <c r="O303" s="102">
        <v>-189842.305865</v>
      </c>
      <c r="P303" s="102">
        <v>-288387.02095700003</v>
      </c>
      <c r="Q303" s="102">
        <v>-467051.50211299997</v>
      </c>
      <c r="R303" s="102">
        <v>-887165.29638800002</v>
      </c>
      <c r="S303" s="102">
        <v>-836750.53992899996</v>
      </c>
      <c r="T303" s="102">
        <v>-396356.32143000001</v>
      </c>
      <c r="U303" s="102">
        <v>-12561.640796</v>
      </c>
      <c r="V303" s="102">
        <v>-759953.04966300004</v>
      </c>
      <c r="W303" s="102">
        <v>265601.95338899997</v>
      </c>
      <c r="X303" s="102">
        <v>-62144.622000000003</v>
      </c>
      <c r="Y303" s="102">
        <v>-377170.79</v>
      </c>
      <c r="Z303" s="102"/>
      <c r="AA303" s="102"/>
      <c r="AB303" s="102">
        <v>0</v>
      </c>
      <c r="AC303" s="102">
        <v>0</v>
      </c>
      <c r="AD303" s="102">
        <v>0</v>
      </c>
      <c r="AE303" s="102"/>
      <c r="AF303" s="102">
        <v>0</v>
      </c>
      <c r="AG303" s="102"/>
      <c r="AH303" s="102"/>
      <c r="AI303" s="102"/>
      <c r="AJ303" s="102">
        <v>0</v>
      </c>
      <c r="AK303" s="102">
        <v>0</v>
      </c>
      <c r="AL303" s="102">
        <v>0</v>
      </c>
      <c r="AM303" s="102">
        <v>0</v>
      </c>
    </row>
    <row r="304" spans="2:39" x14ac:dyDescent="0.3">
      <c r="B304" s="61" t="s">
        <v>1240</v>
      </c>
      <c r="C304" s="141" t="s">
        <v>1411</v>
      </c>
      <c r="D304" s="102" t="str">
        <f t="shared" si="36"/>
        <v/>
      </c>
      <c r="E304" s="102" t="str">
        <f t="shared" si="36"/>
        <v/>
      </c>
      <c r="F304" s="102" t="str">
        <f t="shared" si="36"/>
        <v/>
      </c>
      <c r="G304" s="155"/>
      <c r="H304" s="102" t="str">
        <f t="shared" si="31"/>
        <v/>
      </c>
      <c r="I304" s="102" t="str">
        <f t="shared" si="31"/>
        <v/>
      </c>
      <c r="J304" s="102" t="str">
        <f t="shared" si="35"/>
        <v/>
      </c>
      <c r="K304" s="683"/>
      <c r="M304" s="102"/>
      <c r="N304" s="102">
        <v>0</v>
      </c>
      <c r="O304" s="102">
        <v>0</v>
      </c>
      <c r="P304" s="102">
        <v>0</v>
      </c>
      <c r="Q304" s="102">
        <v>0</v>
      </c>
      <c r="R304" s="102">
        <v>0</v>
      </c>
      <c r="S304" s="102">
        <v>0</v>
      </c>
      <c r="T304" s="102">
        <v>0</v>
      </c>
      <c r="U304" s="102">
        <v>0</v>
      </c>
      <c r="V304" s="102">
        <v>0</v>
      </c>
      <c r="W304" s="102">
        <v>0</v>
      </c>
      <c r="X304" s="102">
        <v>0</v>
      </c>
      <c r="Y304" s="102">
        <v>0</v>
      </c>
      <c r="Z304" s="102"/>
      <c r="AA304" s="102"/>
      <c r="AB304" s="102">
        <v>0</v>
      </c>
      <c r="AC304" s="102">
        <v>0</v>
      </c>
      <c r="AD304" s="102">
        <v>0</v>
      </c>
      <c r="AE304" s="102"/>
      <c r="AF304" s="102">
        <v>0</v>
      </c>
      <c r="AG304" s="102"/>
      <c r="AH304" s="102"/>
      <c r="AI304" s="102"/>
      <c r="AJ304" s="102">
        <v>0</v>
      </c>
      <c r="AK304" s="102">
        <v>0</v>
      </c>
      <c r="AL304" s="102">
        <v>0</v>
      </c>
      <c r="AM304" s="102">
        <v>0</v>
      </c>
    </row>
    <row r="305" spans="2:39" x14ac:dyDescent="0.3">
      <c r="B305" s="61" t="s">
        <v>1241</v>
      </c>
      <c r="C305" s="141" t="s">
        <v>1410</v>
      </c>
      <c r="D305" s="102" t="str">
        <f t="shared" si="36"/>
        <v/>
      </c>
      <c r="E305" s="102" t="str">
        <f t="shared" si="36"/>
        <v/>
      </c>
      <c r="F305" s="102" t="str">
        <f t="shared" si="36"/>
        <v/>
      </c>
      <c r="G305" s="155"/>
      <c r="H305" s="102" t="str">
        <f t="shared" si="31"/>
        <v/>
      </c>
      <c r="I305" s="102" t="str">
        <f t="shared" si="31"/>
        <v/>
      </c>
      <c r="J305" s="102" t="str">
        <f t="shared" si="35"/>
        <v/>
      </c>
      <c r="K305" s="683"/>
      <c r="M305" s="102"/>
      <c r="N305" s="102">
        <v>0</v>
      </c>
      <c r="O305" s="102">
        <v>0</v>
      </c>
      <c r="P305" s="102">
        <v>0</v>
      </c>
      <c r="Q305" s="102">
        <v>0</v>
      </c>
      <c r="R305" s="102">
        <v>0</v>
      </c>
      <c r="S305" s="102">
        <v>0</v>
      </c>
      <c r="T305" s="102">
        <v>0</v>
      </c>
      <c r="U305" s="102">
        <v>0</v>
      </c>
      <c r="V305" s="102">
        <v>0</v>
      </c>
      <c r="W305" s="102">
        <v>0</v>
      </c>
      <c r="X305" s="102">
        <v>0</v>
      </c>
      <c r="Y305" s="102">
        <v>0</v>
      </c>
      <c r="Z305" s="102"/>
      <c r="AA305" s="102"/>
      <c r="AB305" s="102">
        <v>0</v>
      </c>
      <c r="AC305" s="102">
        <v>0</v>
      </c>
      <c r="AD305" s="102">
        <v>0</v>
      </c>
      <c r="AE305" s="102"/>
      <c r="AF305" s="102">
        <v>0</v>
      </c>
      <c r="AG305" s="102"/>
      <c r="AH305" s="102"/>
      <c r="AI305" s="102"/>
      <c r="AJ305" s="102">
        <v>0</v>
      </c>
      <c r="AK305" s="102">
        <v>0</v>
      </c>
      <c r="AL305" s="102">
        <v>0</v>
      </c>
      <c r="AM305" s="102">
        <v>0</v>
      </c>
    </row>
    <row r="306" spans="2:39" x14ac:dyDescent="0.3">
      <c r="B306" s="61" t="s">
        <v>1242</v>
      </c>
      <c r="C306" s="141" t="s">
        <v>1663</v>
      </c>
      <c r="D306" s="102">
        <f t="shared" si="36"/>
        <v>-2437.7942560000001</v>
      </c>
      <c r="E306" s="102">
        <f t="shared" si="36"/>
        <v>-31.597595000000002</v>
      </c>
      <c r="F306" s="102">
        <f t="shared" si="36"/>
        <v>518.44399999999996</v>
      </c>
      <c r="G306" s="155"/>
      <c r="H306" s="102">
        <f t="shared" si="31"/>
        <v>-2437.7942560000001</v>
      </c>
      <c r="I306" s="102">
        <f t="shared" si="31"/>
        <v>-31.597594999999998</v>
      </c>
      <c r="J306" s="102">
        <f t="shared" ref="J306:J315" si="37">IF(HLOOKUP(J$5,$AA$5:$AM$315,ROW()-ROW($J$4),FALSE)=0,"",HLOOKUP(J$5,$AA$5:$AM$315,ROW()-ROW($J$4),FALSE))</f>
        <v>518.44352200000003</v>
      </c>
      <c r="K306" s="683"/>
      <c r="M306" s="102"/>
      <c r="N306" s="102">
        <v>-2437.7942560000001</v>
      </c>
      <c r="O306" s="102">
        <v>-1670.935076</v>
      </c>
      <c r="P306" s="102">
        <v>-1897.5537360000001</v>
      </c>
      <c r="Q306" s="102">
        <v>-1241.4794650000001</v>
      </c>
      <c r="R306" s="102">
        <v>-31.597595000000002</v>
      </c>
      <c r="S306" s="102">
        <v>370.14259199999998</v>
      </c>
      <c r="T306" s="102">
        <v>-5.3503879999999997</v>
      </c>
      <c r="U306" s="102">
        <v>117.67286199999999</v>
      </c>
      <c r="V306" s="102">
        <v>2800.8220329999999</v>
      </c>
      <c r="W306" s="102">
        <v>2909.585654</v>
      </c>
      <c r="X306" s="102">
        <v>893.05200000000002</v>
      </c>
      <c r="Y306" s="102">
        <v>518.44399999999996</v>
      </c>
      <c r="Z306" s="102"/>
      <c r="AA306" s="102"/>
      <c r="AB306" s="102">
        <v>-2437.7942560000001</v>
      </c>
      <c r="AC306" s="102">
        <v>-1670.935076</v>
      </c>
      <c r="AD306" s="102">
        <v>-1897.5537360000001</v>
      </c>
      <c r="AE306" s="102">
        <v>-1241.4794649999999</v>
      </c>
      <c r="AF306" s="102">
        <v>-31.597594999999998</v>
      </c>
      <c r="AG306" s="102">
        <v>370.14259199999998</v>
      </c>
      <c r="AH306" s="102">
        <v>-5.3503879999999997</v>
      </c>
      <c r="AI306" s="102">
        <v>117.67286199999999</v>
      </c>
      <c r="AJ306" s="102">
        <v>2800.8220329999999</v>
      </c>
      <c r="AK306" s="102">
        <v>2909.585654</v>
      </c>
      <c r="AL306" s="102">
        <v>893.05150000000003</v>
      </c>
      <c r="AM306" s="102">
        <v>518.44352200000003</v>
      </c>
    </row>
    <row r="307" spans="2:39" x14ac:dyDescent="0.3">
      <c r="B307" s="61" t="s">
        <v>1239</v>
      </c>
      <c r="C307" s="141" t="s">
        <v>1412</v>
      </c>
      <c r="D307" s="102">
        <f t="shared" si="36"/>
        <v>-2437.7942560000001</v>
      </c>
      <c r="E307" s="102">
        <f t="shared" si="36"/>
        <v>-31.597595000000002</v>
      </c>
      <c r="F307" s="102">
        <f t="shared" si="36"/>
        <v>518.44399999999996</v>
      </c>
      <c r="G307" s="155"/>
      <c r="H307" s="102" t="str">
        <f t="shared" si="31"/>
        <v/>
      </c>
      <c r="I307" s="102" t="str">
        <f t="shared" si="31"/>
        <v/>
      </c>
      <c r="J307" s="102" t="str">
        <f t="shared" si="37"/>
        <v/>
      </c>
      <c r="K307" s="683"/>
      <c r="M307" s="102"/>
      <c r="N307" s="102">
        <v>-2437.7942560000001</v>
      </c>
      <c r="O307" s="102">
        <v>-1670.935076</v>
      </c>
      <c r="P307" s="102">
        <v>-1897.5537360000001</v>
      </c>
      <c r="Q307" s="102">
        <v>-1241.4794650000001</v>
      </c>
      <c r="R307" s="102">
        <v>-31.597595000000002</v>
      </c>
      <c r="S307" s="102">
        <v>370.14259199999998</v>
      </c>
      <c r="T307" s="102">
        <v>-5.3503879999999997</v>
      </c>
      <c r="U307" s="102">
        <v>117.67286199999999</v>
      </c>
      <c r="V307" s="102">
        <v>2800.8220329999999</v>
      </c>
      <c r="W307" s="102">
        <v>2909.585654</v>
      </c>
      <c r="X307" s="102">
        <v>893.05200000000002</v>
      </c>
      <c r="Y307" s="102">
        <v>518.44399999999996</v>
      </c>
      <c r="Z307" s="102"/>
      <c r="AA307" s="102"/>
      <c r="AB307" s="102">
        <v>0</v>
      </c>
      <c r="AC307" s="102">
        <v>0</v>
      </c>
      <c r="AD307" s="102">
        <v>0</v>
      </c>
      <c r="AE307" s="102"/>
      <c r="AF307" s="102">
        <v>0</v>
      </c>
      <c r="AG307" s="102"/>
      <c r="AH307" s="102"/>
      <c r="AI307" s="102"/>
      <c r="AJ307" s="102">
        <v>0</v>
      </c>
      <c r="AK307" s="102">
        <v>0</v>
      </c>
      <c r="AL307" s="102">
        <v>0</v>
      </c>
      <c r="AM307" s="102">
        <v>0</v>
      </c>
    </row>
    <row r="308" spans="2:39" x14ac:dyDescent="0.3">
      <c r="B308" s="61" t="s">
        <v>1240</v>
      </c>
      <c r="C308" s="141" t="s">
        <v>1411</v>
      </c>
      <c r="D308" s="102" t="str">
        <f t="shared" si="36"/>
        <v/>
      </c>
      <c r="E308" s="102" t="str">
        <f t="shared" si="36"/>
        <v/>
      </c>
      <c r="F308" s="102" t="str">
        <f t="shared" si="36"/>
        <v/>
      </c>
      <c r="G308" s="155"/>
      <c r="H308" s="102" t="str">
        <f t="shared" si="31"/>
        <v/>
      </c>
      <c r="I308" s="102" t="str">
        <f t="shared" si="31"/>
        <v/>
      </c>
      <c r="J308" s="102" t="str">
        <f t="shared" si="37"/>
        <v/>
      </c>
      <c r="K308" s="683"/>
      <c r="M308" s="102"/>
      <c r="N308" s="102">
        <v>0</v>
      </c>
      <c r="O308" s="102">
        <v>0</v>
      </c>
      <c r="P308" s="102">
        <v>0</v>
      </c>
      <c r="Q308" s="102">
        <v>0</v>
      </c>
      <c r="R308" s="102">
        <v>0</v>
      </c>
      <c r="S308" s="102">
        <v>0</v>
      </c>
      <c r="T308" s="102">
        <v>0</v>
      </c>
      <c r="U308" s="102">
        <v>0</v>
      </c>
      <c r="V308" s="102">
        <v>0</v>
      </c>
      <c r="W308" s="102">
        <v>0</v>
      </c>
      <c r="X308" s="102">
        <v>0</v>
      </c>
      <c r="Y308" s="102">
        <v>0</v>
      </c>
      <c r="Z308" s="102"/>
      <c r="AA308" s="102"/>
      <c r="AB308" s="102">
        <v>0</v>
      </c>
      <c r="AC308" s="102">
        <v>0</v>
      </c>
      <c r="AD308" s="102">
        <v>0</v>
      </c>
      <c r="AE308" s="102"/>
      <c r="AF308" s="102">
        <v>0</v>
      </c>
      <c r="AG308" s="102"/>
      <c r="AH308" s="102"/>
      <c r="AI308" s="102"/>
      <c r="AJ308" s="102">
        <v>0</v>
      </c>
      <c r="AK308" s="102">
        <v>0</v>
      </c>
      <c r="AL308" s="102">
        <v>0</v>
      </c>
      <c r="AM308" s="102">
        <v>0</v>
      </c>
    </row>
    <row r="309" spans="2:39" x14ac:dyDescent="0.3">
      <c r="B309" s="61" t="s">
        <v>1241</v>
      </c>
      <c r="C309" s="141" t="s">
        <v>1410</v>
      </c>
      <c r="D309" s="102" t="str">
        <f t="shared" si="36"/>
        <v/>
      </c>
      <c r="E309" s="102" t="str">
        <f t="shared" si="36"/>
        <v/>
      </c>
      <c r="F309" s="102" t="str">
        <f t="shared" si="36"/>
        <v/>
      </c>
      <c r="G309" s="155"/>
      <c r="H309" s="102" t="str">
        <f t="shared" si="31"/>
        <v/>
      </c>
      <c r="I309" s="102" t="str">
        <f t="shared" si="31"/>
        <v/>
      </c>
      <c r="J309" s="102" t="str">
        <f t="shared" si="37"/>
        <v/>
      </c>
      <c r="K309" s="683"/>
      <c r="M309" s="102"/>
      <c r="N309" s="102">
        <v>0</v>
      </c>
      <c r="O309" s="102">
        <v>0</v>
      </c>
      <c r="P309" s="102">
        <v>0</v>
      </c>
      <c r="Q309" s="102">
        <v>0</v>
      </c>
      <c r="R309" s="102">
        <v>0</v>
      </c>
      <c r="S309" s="102">
        <v>0</v>
      </c>
      <c r="T309" s="102">
        <v>0</v>
      </c>
      <c r="U309" s="102">
        <v>0</v>
      </c>
      <c r="V309" s="102">
        <v>0</v>
      </c>
      <c r="W309" s="102">
        <v>0</v>
      </c>
      <c r="X309" s="102">
        <v>0</v>
      </c>
      <c r="Y309" s="102">
        <v>0</v>
      </c>
      <c r="Z309" s="102"/>
      <c r="AA309" s="102"/>
      <c r="AB309" s="102">
        <v>0</v>
      </c>
      <c r="AC309" s="102">
        <v>0</v>
      </c>
      <c r="AD309" s="102">
        <v>0</v>
      </c>
      <c r="AE309" s="102"/>
      <c r="AF309" s="102">
        <v>0</v>
      </c>
      <c r="AG309" s="102"/>
      <c r="AH309" s="102"/>
      <c r="AI309" s="102"/>
      <c r="AJ309" s="102">
        <v>0</v>
      </c>
      <c r="AK309" s="102">
        <v>0</v>
      </c>
      <c r="AL309" s="102">
        <v>0</v>
      </c>
      <c r="AM309" s="102">
        <v>0</v>
      </c>
    </row>
    <row r="310" spans="2:39" x14ac:dyDescent="0.3">
      <c r="B310" s="61" t="s">
        <v>1243</v>
      </c>
      <c r="C310" s="141" t="s">
        <v>1666</v>
      </c>
      <c r="D310" s="102" t="str">
        <f t="shared" si="36"/>
        <v/>
      </c>
      <c r="E310" s="102" t="str">
        <f t="shared" si="36"/>
        <v/>
      </c>
      <c r="F310" s="102" t="str">
        <f t="shared" si="36"/>
        <v/>
      </c>
      <c r="G310" s="155"/>
      <c r="H310" s="102">
        <f t="shared" si="31"/>
        <v>-4699.1803030000001</v>
      </c>
      <c r="I310" s="102">
        <f t="shared" si="31"/>
        <v>2856.7154399999999</v>
      </c>
      <c r="J310" s="102" t="str">
        <f t="shared" si="37"/>
        <v/>
      </c>
      <c r="K310" s="683"/>
      <c r="M310" s="102"/>
      <c r="N310" s="102">
        <v>0</v>
      </c>
      <c r="O310" s="102">
        <v>0</v>
      </c>
      <c r="P310" s="102">
        <v>0</v>
      </c>
      <c r="Q310" s="102">
        <v>0</v>
      </c>
      <c r="R310" s="102">
        <v>0</v>
      </c>
      <c r="S310" s="102">
        <v>0</v>
      </c>
      <c r="T310" s="102">
        <v>0</v>
      </c>
      <c r="U310" s="102">
        <v>0</v>
      </c>
      <c r="V310" s="102">
        <v>0</v>
      </c>
      <c r="W310" s="102">
        <v>0</v>
      </c>
      <c r="X310" s="102">
        <v>0</v>
      </c>
      <c r="Y310" s="102">
        <v>0</v>
      </c>
      <c r="Z310" s="102"/>
      <c r="AA310" s="102"/>
      <c r="AB310" s="102">
        <v>-4699.1803030000001</v>
      </c>
      <c r="AC310" s="102">
        <v>-5013.9169650000003</v>
      </c>
      <c r="AD310" s="102">
        <v>-5630.8077949999997</v>
      </c>
      <c r="AE310" s="102">
        <v>-258.097714</v>
      </c>
      <c r="AF310" s="102">
        <v>2856.7154399999999</v>
      </c>
      <c r="AG310" s="102">
        <v>27.980005999999999</v>
      </c>
      <c r="AH310" s="102">
        <v>720.22597199999996</v>
      </c>
      <c r="AI310" s="102">
        <v>1254.002583</v>
      </c>
      <c r="AJ310" s="102">
        <v>2230.724052</v>
      </c>
      <c r="AK310" s="102">
        <v>3488.3952850000001</v>
      </c>
      <c r="AL310" s="102">
        <v>4110.2869460000002</v>
      </c>
      <c r="AM310" s="102">
        <v>0</v>
      </c>
    </row>
    <row r="311" spans="2:39" x14ac:dyDescent="0.3">
      <c r="B311" s="61" t="s">
        <v>1244</v>
      </c>
      <c r="C311" s="141" t="s">
        <v>1662</v>
      </c>
      <c r="D311" s="102" t="str">
        <f t="shared" si="36"/>
        <v/>
      </c>
      <c r="E311" s="102" t="str">
        <f t="shared" si="36"/>
        <v/>
      </c>
      <c r="F311" s="102" t="str">
        <f t="shared" si="36"/>
        <v/>
      </c>
      <c r="G311" s="155"/>
      <c r="H311" s="102" t="str">
        <f t="shared" si="31"/>
        <v/>
      </c>
      <c r="I311" s="102" t="str">
        <f t="shared" si="31"/>
        <v/>
      </c>
      <c r="J311" s="102">
        <f t="shared" si="37"/>
        <v>-3029.6409610000001</v>
      </c>
      <c r="K311" s="683"/>
      <c r="M311" s="102"/>
      <c r="N311" s="102">
        <v>0</v>
      </c>
      <c r="O311" s="102">
        <v>0</v>
      </c>
      <c r="P311" s="102">
        <v>0</v>
      </c>
      <c r="Q311" s="102">
        <v>0</v>
      </c>
      <c r="R311" s="102">
        <v>0</v>
      </c>
      <c r="S311" s="102">
        <v>0</v>
      </c>
      <c r="T311" s="102">
        <v>0</v>
      </c>
      <c r="U311" s="102">
        <v>0</v>
      </c>
      <c r="V311" s="102">
        <v>0</v>
      </c>
      <c r="W311" s="102">
        <v>0</v>
      </c>
      <c r="X311" s="102">
        <v>0</v>
      </c>
      <c r="Y311" s="102">
        <v>0</v>
      </c>
      <c r="Z311" s="102"/>
      <c r="AA311" s="102"/>
      <c r="AB311" s="102">
        <v>0</v>
      </c>
      <c r="AC311" s="102">
        <v>0</v>
      </c>
      <c r="AD311" s="102">
        <v>0</v>
      </c>
      <c r="AE311" s="102">
        <v>0</v>
      </c>
      <c r="AF311" s="102">
        <v>0</v>
      </c>
      <c r="AG311" s="102">
        <v>0</v>
      </c>
      <c r="AH311" s="102">
        <v>0</v>
      </c>
      <c r="AI311" s="102">
        <v>0</v>
      </c>
      <c r="AJ311" s="102">
        <v>40454.873764999997</v>
      </c>
      <c r="AK311" s="102">
        <v>2324.665927</v>
      </c>
      <c r="AL311" s="102">
        <v>-1238.597145</v>
      </c>
      <c r="AM311" s="102">
        <v>-3029.6409610000001</v>
      </c>
    </row>
    <row r="312" spans="2:39" x14ac:dyDescent="0.3">
      <c r="B312" s="61" t="s">
        <v>1245</v>
      </c>
      <c r="C312" s="141" t="s">
        <v>1658</v>
      </c>
      <c r="D312" s="102">
        <f t="shared" si="36"/>
        <v>-235965.633026</v>
      </c>
      <c r="E312" s="102">
        <f t="shared" si="36"/>
        <v>108707.310233</v>
      </c>
      <c r="F312" s="102">
        <f t="shared" si="36"/>
        <v>24386.986000000001</v>
      </c>
      <c r="G312" s="155"/>
      <c r="H312" s="102">
        <f t="shared" si="31"/>
        <v>-235965.633026</v>
      </c>
      <c r="I312" s="102">
        <f t="shared" si="31"/>
        <v>108707.310233</v>
      </c>
      <c r="J312" s="102">
        <f t="shared" si="37"/>
        <v>24386.985788999998</v>
      </c>
      <c r="K312" s="683"/>
      <c r="M312" s="102"/>
      <c r="N312" s="102">
        <v>-235965.633026</v>
      </c>
      <c r="O312" s="102">
        <v>-102159.124194</v>
      </c>
      <c r="P312" s="102">
        <v>-16444.273150000001</v>
      </c>
      <c r="Q312" s="102">
        <v>62495.836189000001</v>
      </c>
      <c r="R312" s="102">
        <v>108707.310233</v>
      </c>
      <c r="S312" s="102">
        <v>55866.274855999996</v>
      </c>
      <c r="T312" s="102">
        <v>-12763.171561000001</v>
      </c>
      <c r="U312" s="102">
        <v>-48770.134787000003</v>
      </c>
      <c r="V312" s="102">
        <v>141688.02544</v>
      </c>
      <c r="W312" s="102">
        <v>1070.6181329999999</v>
      </c>
      <c r="X312" s="102">
        <v>13001.674999999999</v>
      </c>
      <c r="Y312" s="102">
        <v>24386.986000000001</v>
      </c>
      <c r="Z312" s="102"/>
      <c r="AA312" s="102"/>
      <c r="AB312" s="102">
        <v>-235965.633026</v>
      </c>
      <c r="AC312" s="102">
        <v>-102159.124194</v>
      </c>
      <c r="AD312" s="102">
        <v>-16444.273150000001</v>
      </c>
      <c r="AE312" s="102">
        <v>62495.836189000001</v>
      </c>
      <c r="AF312" s="102">
        <v>108707.310233</v>
      </c>
      <c r="AG312" s="102">
        <v>55866.274856000004</v>
      </c>
      <c r="AH312" s="102">
        <v>-12763.171560999999</v>
      </c>
      <c r="AI312" s="102">
        <v>-48770.134787000003</v>
      </c>
      <c r="AJ312" s="102">
        <v>141688.02544</v>
      </c>
      <c r="AK312" s="102">
        <v>1070.6181329999999</v>
      </c>
      <c r="AL312" s="102">
        <v>13001.675437</v>
      </c>
      <c r="AM312" s="102">
        <v>24386.985788999998</v>
      </c>
    </row>
    <row r="313" spans="2:39" x14ac:dyDescent="0.3">
      <c r="B313" s="61" t="s">
        <v>1246</v>
      </c>
      <c r="C313" s="141" t="s">
        <v>1659</v>
      </c>
      <c r="D313" s="102">
        <f t="shared" si="36"/>
        <v>3.4049999999999997E-2</v>
      </c>
      <c r="E313" s="102">
        <f t="shared" si="36"/>
        <v>0.209707</v>
      </c>
      <c r="F313" s="102">
        <f t="shared" si="36"/>
        <v>2E-3</v>
      </c>
      <c r="G313" s="155"/>
      <c r="H313" s="102">
        <f t="shared" si="31"/>
        <v>3.4049999999999997E-2</v>
      </c>
      <c r="I313" s="102">
        <f t="shared" si="31"/>
        <v>0.209707</v>
      </c>
      <c r="J313" s="102">
        <f t="shared" si="37"/>
        <v>1.6489999999999999E-3</v>
      </c>
      <c r="K313" s="683"/>
      <c r="M313" s="102"/>
      <c r="N313" s="102">
        <v>3.4049999999999997E-2</v>
      </c>
      <c r="O313" s="102">
        <v>-2.7810000000000001E-3</v>
      </c>
      <c r="P313" s="102">
        <v>-3.0479999999999999E-3</v>
      </c>
      <c r="Q313" s="102">
        <v>-3.7620000000000002E-3</v>
      </c>
      <c r="R313" s="102">
        <v>0.209707</v>
      </c>
      <c r="S313" s="102">
        <v>0.19015299999999999</v>
      </c>
      <c r="T313" s="102">
        <v>-0.49377499999999996</v>
      </c>
      <c r="U313" s="102">
        <v>-0.67869899999999994</v>
      </c>
      <c r="V313" s="102">
        <v>2.8349999999999998E-3</v>
      </c>
      <c r="W313" s="102">
        <v>2.1019999999999997E-3</v>
      </c>
      <c r="X313" s="102">
        <v>2E-3</v>
      </c>
      <c r="Y313" s="102">
        <v>2E-3</v>
      </c>
      <c r="Z313" s="102"/>
      <c r="AA313" s="102"/>
      <c r="AB313" s="102">
        <v>3.4049999999999997E-2</v>
      </c>
      <c r="AC313" s="102">
        <v>-2.7810000000000001E-3</v>
      </c>
      <c r="AD313" s="102">
        <v>-3.0479999999999999E-3</v>
      </c>
      <c r="AE313" s="102">
        <v>-3.7620000000000002E-3</v>
      </c>
      <c r="AF313" s="102">
        <v>0.209707</v>
      </c>
      <c r="AG313" s="102">
        <v>0.19015299999999999</v>
      </c>
      <c r="AH313" s="102">
        <v>-0.49377500000000002</v>
      </c>
      <c r="AI313" s="102">
        <v>-0.67869900000000005</v>
      </c>
      <c r="AJ313" s="102">
        <v>2.8349999999999998E-3</v>
      </c>
      <c r="AK313" s="102">
        <v>2.1020000000000001E-3</v>
      </c>
      <c r="AL313" s="102">
        <v>1.7060000000000001E-3</v>
      </c>
      <c r="AM313" s="102">
        <v>1.6489999999999999E-3</v>
      </c>
    </row>
    <row r="314" spans="2:39" x14ac:dyDescent="0.3">
      <c r="B314" s="61" t="s">
        <v>1247</v>
      </c>
      <c r="C314" s="141" t="s">
        <v>1660</v>
      </c>
      <c r="D314" s="102">
        <f t="shared" si="36"/>
        <v>6070.1668959999997</v>
      </c>
      <c r="E314" s="102">
        <f t="shared" si="36"/>
        <v>101.41566800000001</v>
      </c>
      <c r="F314" s="102" t="str">
        <f t="shared" si="36"/>
        <v/>
      </c>
      <c r="G314" s="155"/>
      <c r="H314" s="100">
        <f t="shared" si="31"/>
        <v>6070.1668959999997</v>
      </c>
      <c r="I314" s="100">
        <f t="shared" si="31"/>
        <v>101.415668</v>
      </c>
      <c r="J314" s="100" t="str">
        <f t="shared" si="37"/>
        <v/>
      </c>
      <c r="K314" s="682"/>
      <c r="M314" s="102"/>
      <c r="N314" s="102">
        <v>6070.1668959999997</v>
      </c>
      <c r="O314" s="102">
        <v>1250.180613</v>
      </c>
      <c r="P314" s="102">
        <v>532.94169999999997</v>
      </c>
      <c r="Q314" s="102">
        <v>149.16395199999999</v>
      </c>
      <c r="R314" s="102">
        <v>101.41566800000001</v>
      </c>
      <c r="S314" s="102">
        <v>808.47059400000001</v>
      </c>
      <c r="T314" s="102">
        <v>439.09147899999999</v>
      </c>
      <c r="U314" s="102">
        <v>405.87088799999998</v>
      </c>
      <c r="V314" s="102">
        <v>-3282.0932640000001</v>
      </c>
      <c r="W314" s="102">
        <v>-2375.0411140000001</v>
      </c>
      <c r="X314" s="102">
        <v>0</v>
      </c>
      <c r="Y314" s="102">
        <v>0</v>
      </c>
      <c r="Z314" s="102"/>
      <c r="AA314" s="102"/>
      <c r="AB314" s="102">
        <v>6070.1668959999997</v>
      </c>
      <c r="AC314" s="102">
        <v>1250.180613</v>
      </c>
      <c r="AD314" s="102">
        <v>532.94169999999997</v>
      </c>
      <c r="AE314" s="102">
        <v>149.16395199999999</v>
      </c>
      <c r="AF314" s="102">
        <v>101.415668</v>
      </c>
      <c r="AG314" s="102">
        <v>808.47059400000001</v>
      </c>
      <c r="AH314" s="102">
        <v>439.09147899999999</v>
      </c>
      <c r="AI314" s="102">
        <v>405.87088799999998</v>
      </c>
      <c r="AJ314" s="102">
        <v>-3282.0932640000001</v>
      </c>
      <c r="AK314" s="102">
        <v>-2375.0411140000001</v>
      </c>
      <c r="AL314" s="102">
        <v>0</v>
      </c>
      <c r="AM314" s="102">
        <v>0</v>
      </c>
    </row>
    <row r="315" spans="2:39" x14ac:dyDescent="0.3">
      <c r="B315" s="61" t="s">
        <v>1248</v>
      </c>
      <c r="C315" s="141" t="s">
        <v>1661</v>
      </c>
      <c r="D315" s="102" t="str">
        <f t="shared" si="36"/>
        <v/>
      </c>
      <c r="E315" s="102" t="str">
        <f t="shared" si="36"/>
        <v/>
      </c>
      <c r="F315" s="102">
        <f t="shared" si="36"/>
        <v>-2554.3780000000002</v>
      </c>
      <c r="G315" s="155"/>
      <c r="H315" s="100" t="str">
        <f t="shared" si="31"/>
        <v/>
      </c>
      <c r="I315" s="100" t="str">
        <f t="shared" si="31"/>
        <v/>
      </c>
      <c r="J315" s="100">
        <f t="shared" si="37"/>
        <v>-2554.3781639999997</v>
      </c>
      <c r="K315" s="682"/>
      <c r="M315" s="102"/>
      <c r="N315" s="102">
        <v>0</v>
      </c>
      <c r="O315" s="102">
        <v>0</v>
      </c>
      <c r="P315" s="102">
        <v>0</v>
      </c>
      <c r="Q315" s="102">
        <v>0</v>
      </c>
      <c r="R315" s="102">
        <v>0</v>
      </c>
      <c r="S315" s="102">
        <v>0</v>
      </c>
      <c r="T315" s="102">
        <v>0</v>
      </c>
      <c r="U315" s="102">
        <v>0</v>
      </c>
      <c r="V315" s="102">
        <v>0</v>
      </c>
      <c r="W315" s="102"/>
      <c r="X315" s="102">
        <v>-2838.0680000000002</v>
      </c>
      <c r="Y315" s="102">
        <v>-2554.3780000000002</v>
      </c>
      <c r="Z315" s="102"/>
      <c r="AA315" s="102"/>
      <c r="AB315" s="102">
        <v>0</v>
      </c>
      <c r="AC315" s="102">
        <v>0</v>
      </c>
      <c r="AD315" s="102">
        <v>0</v>
      </c>
      <c r="AE315" s="102">
        <v>0</v>
      </c>
      <c r="AF315" s="102">
        <v>0</v>
      </c>
      <c r="AG315" s="102">
        <v>0</v>
      </c>
      <c r="AH315" s="102">
        <v>0</v>
      </c>
      <c r="AI315" s="102">
        <v>0</v>
      </c>
      <c r="AJ315" s="102">
        <v>0</v>
      </c>
      <c r="AK315" s="102"/>
      <c r="AL315" s="102">
        <v>-2838.068417</v>
      </c>
      <c r="AM315" s="102">
        <v>-2554.3781639999997</v>
      </c>
    </row>
    <row r="316" spans="2:39" s="112" customFormat="1" x14ac:dyDescent="0.3">
      <c r="B316" s="78" t="s">
        <v>1249</v>
      </c>
      <c r="C316" s="307" t="s">
        <v>1673</v>
      </c>
      <c r="D316" s="100">
        <f t="shared" si="36"/>
        <v>-116736.39409900001</v>
      </c>
      <c r="E316" s="100">
        <f t="shared" si="36"/>
        <v>-465789.11377699999</v>
      </c>
      <c r="F316" s="100">
        <f t="shared" si="36"/>
        <v>85353.994999999995</v>
      </c>
      <c r="G316" s="154"/>
      <c r="H316" s="102">
        <f t="shared" ref="H316:H318" si="38">IF(HLOOKUP(H$5,$AA$5:$AM$319,ROW()-ROW($J$4),FALSE)=0,"",HLOOKUP(H$5,$AA$5:$AM$319,ROW()-ROW($J$4),FALSE))</f>
        <v>-115559.53208300124</v>
      </c>
      <c r="I316" s="102" t="e">
        <f t="shared" ref="I316:I318" si="39">IF(HLOOKUP(I$5,$AA$5:$AM$315,ROW()-ROW($J$4),FALSE)=0,"",HLOOKUP(I$5,$AA$5:$AM$315,ROW()-ROW($J$4),FALSE))</f>
        <v>#REF!</v>
      </c>
      <c r="J316" s="102" t="str">
        <f t="shared" ref="J316:J318" si="40">IF(HLOOKUP(J$5,$AA$5:$AM$319,ROW()-ROW($J$4),FALSE)=0,"",HLOOKUP(J$5,$AA$5:$AM$319,ROW()-ROW($J$4),FALSE))</f>
        <v/>
      </c>
      <c r="K316" s="683"/>
      <c r="M316" s="100"/>
      <c r="N316" s="100">
        <v>-116736.39409900001</v>
      </c>
      <c r="O316" s="100">
        <v>-71126.521771</v>
      </c>
      <c r="P316" s="100">
        <v>-82515.058408000012</v>
      </c>
      <c r="Q316" s="100">
        <v>-86440.729165000012</v>
      </c>
      <c r="R316" s="100">
        <v>-465789.11377699999</v>
      </c>
      <c r="S316" s="100">
        <v>-490053.74174500001</v>
      </c>
      <c r="T316" s="102">
        <v>-491330.36500499997</v>
      </c>
      <c r="U316" s="102">
        <v>-285152.27759100002</v>
      </c>
      <c r="V316" s="100">
        <v>143785.520586</v>
      </c>
      <c r="W316" s="100">
        <v>179399.06758899998</v>
      </c>
      <c r="X316" s="100">
        <v>151766.465</v>
      </c>
      <c r="Y316" s="102">
        <v>85353.994999999995</v>
      </c>
      <c r="Z316" s="100"/>
      <c r="AA316" s="100"/>
      <c r="AB316" s="100">
        <v>-115559.53208300124</v>
      </c>
      <c r="AC316" s="100">
        <v>-72106.426468999533</v>
      </c>
      <c r="AD316" s="100">
        <v>-87344.022286000691</v>
      </c>
      <c r="AE316" s="100">
        <v>-86235.51696600001</v>
      </c>
      <c r="AF316" s="100">
        <v>-451856.48086600041</v>
      </c>
      <c r="AG316" s="100">
        <v>-482339.16845100006</v>
      </c>
      <c r="AH316" s="100">
        <v>-483678.15172999998</v>
      </c>
      <c r="AI316" s="100">
        <v>-279705.960938</v>
      </c>
      <c r="AJ316" s="100">
        <v>178675.97805299854</v>
      </c>
      <c r="AK316" s="100">
        <v>0</v>
      </c>
      <c r="AL316" s="100">
        <v>0</v>
      </c>
      <c r="AM316" s="100">
        <v>0</v>
      </c>
    </row>
    <row r="317" spans="2:39" s="112" customFormat="1" x14ac:dyDescent="0.3">
      <c r="B317" s="78" t="s">
        <v>1674</v>
      </c>
      <c r="C317" s="307" t="s">
        <v>1675</v>
      </c>
      <c r="D317" s="100"/>
      <c r="E317" s="100"/>
      <c r="F317" s="100"/>
      <c r="G317" s="154"/>
      <c r="H317" s="102">
        <f t="shared" si="38"/>
        <v>-246335.96362300002</v>
      </c>
      <c r="I317" s="102" t="e">
        <f t="shared" si="39"/>
        <v>#REF!</v>
      </c>
      <c r="J317" s="102">
        <f t="shared" si="40"/>
        <v>-15453.600564000002</v>
      </c>
      <c r="K317" s="683"/>
      <c r="M317" s="100"/>
      <c r="N317" s="100"/>
      <c r="O317" s="100"/>
      <c r="P317" s="100"/>
      <c r="Q317" s="100"/>
      <c r="R317" s="100"/>
      <c r="S317" s="100"/>
      <c r="T317" s="102"/>
      <c r="U317" s="102"/>
      <c r="V317" s="100"/>
      <c r="W317" s="100"/>
      <c r="X317" s="100"/>
      <c r="Y317" s="102"/>
      <c r="Z317" s="100"/>
      <c r="AA317" s="100"/>
      <c r="AB317" s="100">
        <v>-246335.96362300002</v>
      </c>
      <c r="AC317" s="100">
        <v>-197337.661868</v>
      </c>
      <c r="AD317" s="100">
        <v>-162819.26533999998</v>
      </c>
      <c r="AE317" s="100">
        <v>-111018.595054</v>
      </c>
      <c r="AF317" s="100">
        <v>-587971.35117700009</v>
      </c>
      <c r="AG317" s="100">
        <v>-537407.77451400005</v>
      </c>
      <c r="AH317" s="100">
        <v>-536944.68885899999</v>
      </c>
      <c r="AI317" s="100">
        <v>-316221.07139900001</v>
      </c>
      <c r="AJ317" s="100">
        <v>77271.263527999909</v>
      </c>
      <c r="AK317" s="100">
        <v>25980.724341000001</v>
      </c>
      <c r="AL317" s="100">
        <v>19873.342541000002</v>
      </c>
      <c r="AM317" s="100">
        <v>-15453.600564000002</v>
      </c>
    </row>
    <row r="318" spans="2:39" s="112" customFormat="1" x14ac:dyDescent="0.3">
      <c r="B318" s="78" t="s">
        <v>1294</v>
      </c>
      <c r="C318" s="307" t="s">
        <v>1676</v>
      </c>
      <c r="D318" s="100"/>
      <c r="E318" s="100"/>
      <c r="F318" s="100"/>
      <c r="G318" s="154"/>
      <c r="H318" s="102">
        <f t="shared" si="38"/>
        <v>-115559.53208300124</v>
      </c>
      <c r="I318" s="102" t="e">
        <f t="shared" si="39"/>
        <v>#REF!</v>
      </c>
      <c r="J318" s="102">
        <f t="shared" si="40"/>
        <v>87126.325243999992</v>
      </c>
      <c r="K318" s="683"/>
      <c r="M318" s="100"/>
      <c r="N318" s="100"/>
      <c r="O318" s="100"/>
      <c r="P318" s="100"/>
      <c r="Q318" s="100"/>
      <c r="R318" s="100"/>
      <c r="S318" s="100"/>
      <c r="T318" s="102"/>
      <c r="U318" s="102"/>
      <c r="V318" s="100"/>
      <c r="W318" s="100"/>
      <c r="X318" s="100"/>
      <c r="Y318" s="102"/>
      <c r="Z318" s="100"/>
      <c r="AA318" s="100"/>
      <c r="AB318" s="100">
        <v>-115559.53208300124</v>
      </c>
      <c r="AC318" s="100">
        <v>-72106.426468999533</v>
      </c>
      <c r="AD318" s="100">
        <v>-87344.022286000691</v>
      </c>
      <c r="AE318" s="100">
        <v>-86235.516965999996</v>
      </c>
      <c r="AF318" s="100">
        <v>-451856.48086600041</v>
      </c>
      <c r="AG318" s="100">
        <v>-482339.16845100001</v>
      </c>
      <c r="AH318" s="100">
        <v>-483678.15172999998</v>
      </c>
      <c r="AI318" s="100">
        <v>-279705.960938</v>
      </c>
      <c r="AJ318" s="100">
        <v>178675.97805299854</v>
      </c>
      <c r="AK318" s="100">
        <v>234287.09042699999</v>
      </c>
      <c r="AL318" s="100">
        <v>167788.39773299999</v>
      </c>
      <c r="AM318" s="100">
        <v>87126.325243999992</v>
      </c>
    </row>
    <row r="319" spans="2:39" s="40" customFormat="1" x14ac:dyDescent="0.3">
      <c r="B319" s="366"/>
      <c r="C319" s="416"/>
      <c r="D319" s="43" t="str">
        <f>IF(HLOOKUP(D$5,$M$5:$Y$319,ROW()-ROW($F$4),FALSE)=0,"",HLOOKUP(D$5,$M$5:$Y$319,ROW()-ROW($F$4),FALSE))</f>
        <v/>
      </c>
      <c r="E319" s="43" t="str">
        <f>IF(HLOOKUP(E$5,$M$5:$Y$319,ROW()-ROW($F$4),FALSE)=0,"",HLOOKUP(E$5,$M$5:$Y$319,ROW()-ROW($F$4),FALSE))</f>
        <v/>
      </c>
      <c r="F319" s="43" t="str">
        <f>IF(HLOOKUP(F$5,$M$5:$Y$319,ROW()-ROW($F$4),FALSE)=0,"",HLOOKUP(F$5,$M$5:$Y$319,ROW()-ROW($F$4),FALSE))</f>
        <v/>
      </c>
      <c r="G319" s="155"/>
      <c r="H319" s="43"/>
      <c r="I319" s="43"/>
      <c r="J319" s="43"/>
      <c r="K319" s="683"/>
      <c r="M319" s="43"/>
      <c r="N319" s="43"/>
      <c r="O319" s="43"/>
      <c r="P319" s="43"/>
      <c r="Q319" s="43"/>
      <c r="R319" s="43"/>
      <c r="S319" s="43"/>
      <c r="T319" s="43"/>
      <c r="U319" s="43"/>
      <c r="V319" s="43"/>
      <c r="W319" s="43"/>
      <c r="X319" s="43"/>
      <c r="Y319" s="43"/>
      <c r="Z319" s="102"/>
      <c r="AA319" s="43"/>
      <c r="AB319" s="43"/>
      <c r="AC319" s="43"/>
      <c r="AD319" s="43"/>
      <c r="AE319" s="43"/>
      <c r="AF319" s="43"/>
      <c r="AG319" s="43"/>
      <c r="AH319" s="43"/>
      <c r="AI319" s="43"/>
      <c r="AJ319" s="43"/>
      <c r="AK319" s="43"/>
      <c r="AL319" s="43"/>
      <c r="AM319" s="43"/>
    </row>
    <row r="320" spans="2:39" x14ac:dyDescent="0.3">
      <c r="B320" s="83"/>
      <c r="C320" s="247"/>
      <c r="D320" s="37"/>
      <c r="E320" s="37"/>
      <c r="F320" s="37"/>
      <c r="H320" s="156"/>
      <c r="I320" s="156"/>
      <c r="J320" s="156"/>
      <c r="M320" s="37"/>
      <c r="N320" s="37"/>
      <c r="O320" s="37"/>
      <c r="P320" s="37"/>
      <c r="Q320" s="37"/>
      <c r="R320" s="37"/>
      <c r="S320" s="37"/>
      <c r="T320" s="37"/>
      <c r="U320" s="37"/>
      <c r="V320" s="37"/>
      <c r="W320" s="37"/>
      <c r="X320" s="37"/>
      <c r="Y320" s="37"/>
      <c r="AA320" s="37"/>
      <c r="AB320" s="37"/>
      <c r="AC320" s="37"/>
      <c r="AD320" s="37"/>
      <c r="AE320" s="37"/>
      <c r="AF320" s="37"/>
      <c r="AG320" s="37"/>
      <c r="AH320" s="37"/>
      <c r="AI320" s="37"/>
      <c r="AJ320" s="37"/>
      <c r="AK320" s="37"/>
      <c r="AL320" s="37"/>
      <c r="AM320" s="37"/>
    </row>
  </sheetData>
  <phoneticPr fontId="1" type="noConversion"/>
  <pageMargins left="0.23622047244094491" right="0.23622047244094491" top="0.78740157480314965" bottom="0.23622047244094491" header="0.31496062992125984" footer="0.31496062992125984"/>
  <pageSetup paperSize="9" scale="53" fitToHeight="0" orientation="portrait" r:id="rId1"/>
  <rowBreaks count="1" manualBreakCount="1">
    <brk id="158" min="1" max="28"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Q39"/>
  <sheetViews>
    <sheetView showGridLines="0" view="pageBreakPreview" zoomScale="85" zoomScaleNormal="100" zoomScaleSheetLayoutView="85" workbookViewId="0">
      <selection activeCell="F60" sqref="F60"/>
    </sheetView>
  </sheetViews>
  <sheetFormatPr defaultRowHeight="16.5" outlineLevelCol="2" x14ac:dyDescent="0.3"/>
  <cols>
    <col min="1" max="1" width="9" style="35"/>
    <col min="2" max="2" width="1.625" style="468" customWidth="1"/>
    <col min="3" max="3" width="19.25" style="468" customWidth="1"/>
    <col min="4" max="4" width="28.25" style="35" customWidth="1"/>
    <col min="5" max="9" width="9" style="35"/>
    <col min="10" max="10" width="1.625" style="40" customWidth="1"/>
    <col min="11" max="20" width="9" style="35" hidden="1" customWidth="1" outlineLevel="1"/>
    <col min="21" max="30" width="9" style="35" hidden="1" customWidth="1" outlineLevel="2"/>
    <col min="31" max="31" width="9" style="35" collapsed="1"/>
    <col min="32" max="16384" width="9" style="35"/>
  </cols>
  <sheetData>
    <row r="1" spans="2:39" x14ac:dyDescent="0.3">
      <c r="B1" s="474" t="s">
        <v>1816</v>
      </c>
      <c r="D1" s="35" t="s">
        <v>1817</v>
      </c>
    </row>
    <row r="2" spans="2:39" x14ac:dyDescent="0.3">
      <c r="B2" s="311" t="s">
        <v>1765</v>
      </c>
      <c r="AH2" s="158"/>
    </row>
    <row r="3" spans="2:39" x14ac:dyDescent="0.3">
      <c r="B3" s="311"/>
      <c r="K3" s="131"/>
      <c r="L3" s="131"/>
      <c r="M3" s="131"/>
      <c r="N3" s="131"/>
      <c r="O3" s="131"/>
      <c r="P3" s="131"/>
      <c r="Q3" s="131"/>
      <c r="R3" s="131"/>
      <c r="AD3" s="125"/>
    </row>
    <row r="4" spans="2:39" x14ac:dyDescent="0.3">
      <c r="B4" s="311"/>
      <c r="C4" s="469" t="s">
        <v>1892</v>
      </c>
      <c r="D4" s="255" t="s">
        <v>1764</v>
      </c>
      <c r="E4" s="831">
        <f>K4</f>
        <v>2025</v>
      </c>
      <c r="F4" s="887" t="s">
        <v>1691</v>
      </c>
      <c r="G4" s="831">
        <f>P4</f>
        <v>2024</v>
      </c>
      <c r="H4" s="887" t="s">
        <v>1691</v>
      </c>
      <c r="I4" s="889" t="s">
        <v>1679</v>
      </c>
      <c r="J4" s="278"/>
      <c r="K4" s="885">
        <v>2025</v>
      </c>
      <c r="L4" s="885"/>
      <c r="M4" s="885"/>
      <c r="N4" s="885"/>
      <c r="O4" s="886"/>
      <c r="P4" s="885">
        <v>2024</v>
      </c>
      <c r="Q4" s="885"/>
      <c r="R4" s="885"/>
      <c r="S4" s="885"/>
      <c r="T4" s="886"/>
      <c r="U4" s="846">
        <v>2023</v>
      </c>
      <c r="V4" s="846"/>
      <c r="W4" s="846"/>
      <c r="X4" s="846"/>
      <c r="Y4" s="847"/>
      <c r="Z4" s="845">
        <v>2022</v>
      </c>
      <c r="AA4" s="846"/>
      <c r="AB4" s="846"/>
      <c r="AC4" s="846"/>
      <c r="AD4" s="847"/>
      <c r="AG4" s="158"/>
    </row>
    <row r="5" spans="2:39" x14ac:dyDescent="0.3">
      <c r="B5" s="311"/>
      <c r="D5" s="255"/>
      <c r="E5" s="832" t="str">
        <f>L5</f>
        <v>Q4</v>
      </c>
      <c r="F5" s="888"/>
      <c r="G5" s="276" t="str">
        <f>Q5</f>
        <v>Q4</v>
      </c>
      <c r="H5" s="888"/>
      <c r="I5" s="890"/>
      <c r="J5" s="278"/>
      <c r="K5" s="806" t="s">
        <v>31</v>
      </c>
      <c r="L5" s="806" t="s">
        <v>28</v>
      </c>
      <c r="M5" s="806" t="s">
        <v>30</v>
      </c>
      <c r="N5" s="806" t="s">
        <v>27</v>
      </c>
      <c r="O5" s="806" t="s">
        <v>29</v>
      </c>
      <c r="P5" s="806" t="s">
        <v>31</v>
      </c>
      <c r="Q5" s="806" t="s">
        <v>28</v>
      </c>
      <c r="R5" s="806" t="s">
        <v>30</v>
      </c>
      <c r="S5" s="806" t="s">
        <v>27</v>
      </c>
      <c r="T5" s="806" t="s">
        <v>29</v>
      </c>
      <c r="U5" s="806" t="s">
        <v>31</v>
      </c>
      <c r="V5" s="806" t="s">
        <v>28</v>
      </c>
      <c r="W5" s="186" t="s">
        <v>30</v>
      </c>
      <c r="X5" s="806" t="s">
        <v>27</v>
      </c>
      <c r="Y5" s="186" t="s">
        <v>29</v>
      </c>
      <c r="Z5" s="186" t="s">
        <v>31</v>
      </c>
      <c r="AA5" s="806" t="s">
        <v>28</v>
      </c>
      <c r="AB5" s="806" t="s">
        <v>30</v>
      </c>
      <c r="AC5" s="186" t="s">
        <v>27</v>
      </c>
      <c r="AD5" s="806" t="s">
        <v>29</v>
      </c>
    </row>
    <row r="6" spans="2:39" x14ac:dyDescent="0.3">
      <c r="B6" s="311"/>
      <c r="C6" s="470" t="s">
        <v>1893</v>
      </c>
      <c r="D6" s="256" t="s">
        <v>1730</v>
      </c>
      <c r="E6" s="764">
        <f>SUM(E7:E10)</f>
        <v>338.25393354940002</v>
      </c>
      <c r="F6" s="279">
        <f>E6/E14</f>
        <v>0.49780091727792464</v>
      </c>
      <c r="G6" s="765">
        <f>SUM(G7:G10)</f>
        <v>296.31741811410001</v>
      </c>
      <c r="H6" s="279">
        <f>G6/G14</f>
        <v>0.55630398167269279</v>
      </c>
      <c r="I6" s="268">
        <f>IFERROR(IF(G6&lt;0, -(E6/G6-1), (E6/G6-1)),0)</f>
        <v>0.14152565077747781</v>
      </c>
      <c r="J6" s="278"/>
      <c r="K6" s="280">
        <f t="shared" ref="K6" si="0">SUM(K7:K10)</f>
        <v>338.25393354940002</v>
      </c>
      <c r="L6" s="280">
        <f t="shared" ref="L6:M6" si="1">SUM(L7:L10)</f>
        <v>100.43485055629998</v>
      </c>
      <c r="M6" s="280">
        <f t="shared" si="1"/>
        <v>96.581531221700004</v>
      </c>
      <c r="N6" s="280">
        <f t="shared" ref="N6:T6" si="2">SUM(N7:N10)</f>
        <v>66.148277607600022</v>
      </c>
      <c r="O6" s="280">
        <f t="shared" si="2"/>
        <v>75.089274163800013</v>
      </c>
      <c r="P6" s="280">
        <f t="shared" si="2"/>
        <v>296.31741811410001</v>
      </c>
      <c r="Q6" s="280">
        <f t="shared" si="2"/>
        <v>84.795649986000001</v>
      </c>
      <c r="R6" s="280">
        <f t="shared" si="2"/>
        <v>79.8217103243</v>
      </c>
      <c r="S6" s="280">
        <f t="shared" si="2"/>
        <v>64.681000439900004</v>
      </c>
      <c r="T6" s="280">
        <f t="shared" si="2"/>
        <v>67.019057363900004</v>
      </c>
      <c r="U6" s="280">
        <f t="shared" ref="U6:AB6" si="3">SUM(U7:U10)</f>
        <v>212.6532104899</v>
      </c>
      <c r="V6" s="280">
        <f t="shared" si="3"/>
        <v>58.686220245799987</v>
      </c>
      <c r="W6" s="281">
        <f t="shared" si="3"/>
        <v>61.3960746562</v>
      </c>
      <c r="X6" s="281">
        <f t="shared" si="3"/>
        <v>50.955781522999992</v>
      </c>
      <c r="Y6" s="280">
        <f t="shared" si="3"/>
        <v>41.615134064899998</v>
      </c>
      <c r="Z6" s="282">
        <f t="shared" si="3"/>
        <v>177.44542234739998</v>
      </c>
      <c r="AA6" s="282">
        <f t="shared" si="3"/>
        <v>39.589157896100012</v>
      </c>
      <c r="AB6" s="283">
        <f t="shared" si="3"/>
        <v>46.656264451300011</v>
      </c>
      <c r="AC6" s="282">
        <f>SUM(AC7:AC10)</f>
        <v>46.8</v>
      </c>
      <c r="AD6" s="282">
        <f>SUM(AD7:AD10)</f>
        <v>44.4</v>
      </c>
      <c r="AF6" s="141"/>
      <c r="AG6" s="141"/>
      <c r="AH6" s="141"/>
      <c r="AI6" s="141"/>
      <c r="AJ6" s="141"/>
      <c r="AK6" s="341"/>
      <c r="AL6" s="141"/>
      <c r="AM6" s="141"/>
    </row>
    <row r="7" spans="2:39" x14ac:dyDescent="0.3">
      <c r="B7" s="311"/>
      <c r="C7" s="471" t="s">
        <v>1894</v>
      </c>
      <c r="D7" s="284" t="s">
        <v>1731</v>
      </c>
      <c r="E7" s="766">
        <f>SUM(L7:O7)</f>
        <v>24.072517811999997</v>
      </c>
      <c r="F7" s="199">
        <f>E7/$E$6</f>
        <v>7.1167000363897753E-2</v>
      </c>
      <c r="G7" s="767">
        <f>SUM(Q7:T7)</f>
        <v>48.923868875999993</v>
      </c>
      <c r="H7" s="199">
        <f>G7/$G$6</f>
        <v>0.16510628766737351</v>
      </c>
      <c r="I7" s="285">
        <f t="shared" ref="I7:I14" si="4">IFERROR(IF(G7&lt;0, -(E7/G7-1), (E7/G7-1)),0)</f>
        <v>-0.50795964495340695</v>
      </c>
      <c r="J7" s="278"/>
      <c r="K7" s="286">
        <v>24.072517811999997</v>
      </c>
      <c r="L7" s="286">
        <v>6.1037173319999987</v>
      </c>
      <c r="M7" s="286">
        <v>6.3330858239999994</v>
      </c>
      <c r="N7" s="286">
        <v>5.3865655919999984</v>
      </c>
      <c r="O7" s="286">
        <v>6.249149064</v>
      </c>
      <c r="P7" s="286">
        <v>48.923868875999993</v>
      </c>
      <c r="Q7" s="286">
        <v>10.811503416000001</v>
      </c>
      <c r="R7" s="286">
        <v>11.710054019999999</v>
      </c>
      <c r="S7" s="286">
        <v>11.870724011999997</v>
      </c>
      <c r="T7" s="286">
        <v>14.531587427999995</v>
      </c>
      <c r="U7" s="286">
        <f t="shared" ref="U7:U10" si="5">SUM(V7:Y7)</f>
        <v>62.162928227999998</v>
      </c>
      <c r="V7" s="286">
        <v>17.456658851999997</v>
      </c>
      <c r="W7" s="286">
        <v>23.496784343999995</v>
      </c>
      <c r="X7" s="287">
        <v>13.494577224000002</v>
      </c>
      <c r="Y7" s="286">
        <v>7.7149078080000004</v>
      </c>
      <c r="Z7" s="288">
        <f t="shared" ref="Z7:Z10" si="6">SUM(AA7:AD7)</f>
        <v>34.339174835999998</v>
      </c>
      <c r="AA7" s="288">
        <v>8.4294927360000003</v>
      </c>
      <c r="AB7" s="289">
        <v>11.509682099999999</v>
      </c>
      <c r="AC7" s="288">
        <v>9.3000000000000007</v>
      </c>
      <c r="AD7" s="290">
        <v>5.0999999999999996</v>
      </c>
      <c r="AF7" s="141"/>
      <c r="AG7" s="141"/>
      <c r="AH7" s="141"/>
      <c r="AI7" s="141"/>
      <c r="AJ7" s="141"/>
      <c r="AK7" s="341"/>
      <c r="AL7" s="341"/>
      <c r="AM7" s="141"/>
    </row>
    <row r="8" spans="2:39" x14ac:dyDescent="0.3">
      <c r="B8" s="311"/>
      <c r="C8" s="471" t="s">
        <v>1895</v>
      </c>
      <c r="D8" s="284" t="s">
        <v>1732</v>
      </c>
      <c r="E8" s="766">
        <f t="shared" ref="E8:E10" si="7">SUM(L8:O8)</f>
        <v>5.1302430599999997</v>
      </c>
      <c r="F8" s="199">
        <f t="shared" ref="F8:F10" si="8">E8/$E$6</f>
        <v>1.5166839321473131E-2</v>
      </c>
      <c r="G8" s="767">
        <f t="shared" ref="G8:G10" si="9">SUM(Q8:T8)</f>
        <v>75.321313008000004</v>
      </c>
      <c r="H8" s="199">
        <f t="shared" ref="H8:H10" si="10">G8/$G$6</f>
        <v>0.25419131108585985</v>
      </c>
      <c r="I8" s="285">
        <f t="shared" si="4"/>
        <v>-0.93188856042040702</v>
      </c>
      <c r="J8" s="278"/>
      <c r="K8" s="286">
        <v>5.1302430600000006</v>
      </c>
      <c r="L8" s="286">
        <v>1.2618959160000001</v>
      </c>
      <c r="M8" s="286">
        <v>2.0410252320000004</v>
      </c>
      <c r="N8" s="286">
        <v>0.43918322399999998</v>
      </c>
      <c r="O8" s="286">
        <v>1.388138688</v>
      </c>
      <c r="P8" s="286">
        <v>75.321313008000004</v>
      </c>
      <c r="Q8" s="286">
        <v>15.079609008</v>
      </c>
      <c r="R8" s="286">
        <v>14.805309143999999</v>
      </c>
      <c r="S8" s="286">
        <v>24.042658368000001</v>
      </c>
      <c r="T8" s="286">
        <v>21.393736488000002</v>
      </c>
      <c r="U8" s="286">
        <f t="shared" si="5"/>
        <v>62.817859224000017</v>
      </c>
      <c r="V8" s="286">
        <v>19.311982716000003</v>
      </c>
      <c r="W8" s="286">
        <v>16.814815320000005</v>
      </c>
      <c r="X8" s="287">
        <v>14.969386428</v>
      </c>
      <c r="Y8" s="286">
        <v>11.721674760000003</v>
      </c>
      <c r="Z8" s="288">
        <f t="shared" si="6"/>
        <v>45.041671378000004</v>
      </c>
      <c r="AA8" s="288">
        <v>10.830689640000003</v>
      </c>
      <c r="AB8" s="289">
        <v>11.710981737999999</v>
      </c>
      <c r="AC8" s="288">
        <v>13.5</v>
      </c>
      <c r="AD8" s="289">
        <v>9</v>
      </c>
      <c r="AF8" s="141"/>
      <c r="AG8" s="141"/>
      <c r="AH8" s="141"/>
      <c r="AI8" s="141"/>
      <c r="AJ8" s="141"/>
      <c r="AK8" s="341"/>
      <c r="AL8" s="341"/>
      <c r="AM8" s="141"/>
    </row>
    <row r="9" spans="2:39" x14ac:dyDescent="0.3">
      <c r="B9" s="311"/>
      <c r="C9" s="471" t="s">
        <v>1896</v>
      </c>
      <c r="D9" s="284" t="s">
        <v>1733</v>
      </c>
      <c r="E9" s="766">
        <f t="shared" si="7"/>
        <v>253.76050996000001</v>
      </c>
      <c r="F9" s="199">
        <f t="shared" si="8"/>
        <v>0.7502071219016283</v>
      </c>
      <c r="G9" s="767">
        <f t="shared" si="9"/>
        <v>128.62721286340002</v>
      </c>
      <c r="H9" s="199">
        <f t="shared" si="10"/>
        <v>0.43408589910793166</v>
      </c>
      <c r="I9" s="285">
        <f t="shared" si="4"/>
        <v>0.9728368850648228</v>
      </c>
      <c r="J9" s="278"/>
      <c r="K9" s="286">
        <v>253.76050996000004</v>
      </c>
      <c r="L9" s="286">
        <v>76.692589844499977</v>
      </c>
      <c r="M9" s="286">
        <v>73.686804083799998</v>
      </c>
      <c r="N9" s="286">
        <v>48.033976090100019</v>
      </c>
      <c r="O9" s="286">
        <v>55.347139941600012</v>
      </c>
      <c r="P9" s="286">
        <v>128.62721286340002</v>
      </c>
      <c r="Q9" s="286">
        <v>46.128848929300005</v>
      </c>
      <c r="R9" s="286">
        <v>39.659387328099996</v>
      </c>
      <c r="S9" s="286">
        <v>17.486522864300003</v>
      </c>
      <c r="T9" s="286">
        <v>25.35245374170001</v>
      </c>
      <c r="U9" s="286">
        <f t="shared" si="5"/>
        <v>64.800813914799988</v>
      </c>
      <c r="V9" s="286">
        <v>17.341869486199993</v>
      </c>
      <c r="W9" s="286">
        <v>16.603962181099998</v>
      </c>
      <c r="X9" s="287">
        <v>16.058617406399993</v>
      </c>
      <c r="Y9" s="286">
        <v>14.796364841099996</v>
      </c>
      <c r="Z9" s="288">
        <f t="shared" si="6"/>
        <v>52.223250076700012</v>
      </c>
      <c r="AA9" s="288">
        <v>10.747900100400008</v>
      </c>
      <c r="AB9" s="289">
        <v>13.075349976300007</v>
      </c>
      <c r="AC9" s="288">
        <v>12.2</v>
      </c>
      <c r="AD9" s="289">
        <v>16.2</v>
      </c>
      <c r="AF9" s="141"/>
      <c r="AG9" s="141"/>
      <c r="AH9" s="141"/>
      <c r="AI9" s="141"/>
      <c r="AJ9" s="141"/>
      <c r="AK9" s="341"/>
      <c r="AL9" s="341"/>
      <c r="AM9" s="141"/>
    </row>
    <row r="10" spans="2:39" x14ac:dyDescent="0.3">
      <c r="B10" s="311"/>
      <c r="C10" s="472" t="s">
        <v>1897</v>
      </c>
      <c r="D10" s="257" t="s">
        <v>109</v>
      </c>
      <c r="E10" s="766">
        <f t="shared" si="7"/>
        <v>55.290662717399996</v>
      </c>
      <c r="F10" s="201">
        <f t="shared" si="8"/>
        <v>0.1634590384130008</v>
      </c>
      <c r="G10" s="768">
        <f t="shared" si="9"/>
        <v>43.445023366699992</v>
      </c>
      <c r="H10" s="201">
        <f t="shared" si="10"/>
        <v>0.14661650213883495</v>
      </c>
      <c r="I10" s="269">
        <f t="shared" si="4"/>
        <v>0.27265814200895377</v>
      </c>
      <c r="J10" s="278"/>
      <c r="K10" s="286">
        <v>55.290662717399996</v>
      </c>
      <c r="L10" s="286">
        <v>16.376647463800001</v>
      </c>
      <c r="M10" s="286">
        <v>14.520616081899995</v>
      </c>
      <c r="N10" s="286">
        <v>12.288552701499999</v>
      </c>
      <c r="O10" s="286">
        <v>12.1048464702</v>
      </c>
      <c r="P10" s="286">
        <v>43.445023366699992</v>
      </c>
      <c r="Q10" s="286">
        <v>12.775688632700001</v>
      </c>
      <c r="R10" s="286">
        <v>13.6469598322</v>
      </c>
      <c r="S10" s="286">
        <v>11.281095195599997</v>
      </c>
      <c r="T10" s="286">
        <v>5.7412797061999994</v>
      </c>
      <c r="U10" s="286">
        <f t="shared" si="5"/>
        <v>22.871609123099994</v>
      </c>
      <c r="V10" s="286">
        <v>4.5757091915999979</v>
      </c>
      <c r="W10" s="286">
        <v>4.4805128110999997</v>
      </c>
      <c r="X10" s="287">
        <v>6.4332004645999996</v>
      </c>
      <c r="Y10" s="286">
        <v>7.3821866557999991</v>
      </c>
      <c r="Z10" s="288">
        <f t="shared" si="6"/>
        <v>45.841326056699998</v>
      </c>
      <c r="AA10" s="288">
        <v>9.5810754197000012</v>
      </c>
      <c r="AB10" s="289">
        <v>10.360250636999998</v>
      </c>
      <c r="AC10" s="288">
        <v>11.8</v>
      </c>
      <c r="AD10" s="289">
        <v>14.1</v>
      </c>
      <c r="AF10" s="141"/>
      <c r="AG10" s="141"/>
      <c r="AH10" s="141"/>
      <c r="AI10" s="141"/>
      <c r="AJ10" s="141"/>
      <c r="AK10" s="341"/>
      <c r="AL10" s="341"/>
      <c r="AM10" s="141"/>
    </row>
    <row r="11" spans="2:39" s="292" customFormat="1" x14ac:dyDescent="0.3">
      <c r="B11" s="476"/>
      <c r="C11" s="472" t="s">
        <v>1898</v>
      </c>
      <c r="D11" s="257" t="s">
        <v>1734</v>
      </c>
      <c r="E11" s="769">
        <f>SUM(E12:E13)</f>
        <v>341.24247115599997</v>
      </c>
      <c r="F11" s="291">
        <f>E11/E14</f>
        <v>0.50219908272207536</v>
      </c>
      <c r="G11" s="770">
        <f>SUM(G12:G13)</f>
        <v>236.33636089200002</v>
      </c>
      <c r="H11" s="291">
        <f>G11/G14</f>
        <v>0.44369601832730726</v>
      </c>
      <c r="I11" s="269">
        <f t="shared" si="4"/>
        <v>0.44388476605146465</v>
      </c>
      <c r="J11" s="278"/>
      <c r="K11" s="280">
        <f t="shared" ref="K11" si="11">SUM(K12:K13)</f>
        <v>341.24247115599997</v>
      </c>
      <c r="L11" s="280">
        <f t="shared" ref="L11:M11" si="12">SUM(L12:L13)</f>
        <v>76.297552867999997</v>
      </c>
      <c r="M11" s="280">
        <f t="shared" si="12"/>
        <v>109.88369916799998</v>
      </c>
      <c r="N11" s="280">
        <f t="shared" ref="N11:T11" si="13">SUM(N12:N13)</f>
        <v>61.675697040000003</v>
      </c>
      <c r="O11" s="280">
        <f t="shared" si="13"/>
        <v>93.385522080000015</v>
      </c>
      <c r="P11" s="280">
        <f t="shared" si="13"/>
        <v>236.33636089200002</v>
      </c>
      <c r="Q11" s="280">
        <f t="shared" si="13"/>
        <v>56.605769680000002</v>
      </c>
      <c r="R11" s="280">
        <f t="shared" si="13"/>
        <v>52.184089420000006</v>
      </c>
      <c r="S11" s="280">
        <f t="shared" si="13"/>
        <v>64.680747520000011</v>
      </c>
      <c r="T11" s="280">
        <f t="shared" si="13"/>
        <v>62.865754272000004</v>
      </c>
      <c r="U11" s="280">
        <f>SUM(U12:U13)</f>
        <v>73.491563539999987</v>
      </c>
      <c r="V11" s="280">
        <f>SUM(V12:V13)</f>
        <v>18.451967459999999</v>
      </c>
      <c r="W11" s="281">
        <f t="shared" ref="W11:Y11" si="14">SUM(W12:W13)</f>
        <v>27.053737779999995</v>
      </c>
      <c r="X11" s="281">
        <f t="shared" si="14"/>
        <v>15.832803379999998</v>
      </c>
      <c r="Y11" s="280">
        <f t="shared" si="14"/>
        <v>12.153054919999999</v>
      </c>
      <c r="Z11" s="282">
        <f>SUM(Z12:Z13)</f>
        <v>124.966023503</v>
      </c>
      <c r="AA11" s="282">
        <f>SUM(AA12:AA13)</f>
        <v>14.728039140000007</v>
      </c>
      <c r="AB11" s="283">
        <f>+AB12+AB13</f>
        <v>23.337984362999997</v>
      </c>
      <c r="AC11" s="282">
        <f>SUM(AC12:AC13)</f>
        <v>28.9</v>
      </c>
      <c r="AD11" s="283">
        <f>SUM(AD12:AD13)</f>
        <v>58</v>
      </c>
      <c r="AF11" s="141"/>
      <c r="AG11" s="141"/>
      <c r="AH11" s="141"/>
      <c r="AI11" s="141"/>
      <c r="AJ11" s="141"/>
      <c r="AK11" s="341"/>
      <c r="AL11" s="141"/>
      <c r="AM11" s="141"/>
    </row>
    <row r="12" spans="2:39" x14ac:dyDescent="0.3">
      <c r="B12" s="311"/>
      <c r="C12" s="471" t="s">
        <v>1899</v>
      </c>
      <c r="D12" s="284" t="s">
        <v>1735</v>
      </c>
      <c r="E12" s="766">
        <f>SUM(L12:O12)</f>
        <v>137.41514615599999</v>
      </c>
      <c r="F12" s="199">
        <f>E12/E11</f>
        <v>0.40269063135807698</v>
      </c>
      <c r="G12" s="767">
        <f>SUM(Q12:T12)</f>
        <v>106.764817892</v>
      </c>
      <c r="H12" s="199">
        <f>G12/G11</f>
        <v>0.4517494366463099</v>
      </c>
      <c r="I12" s="285">
        <f t="shared" si="4"/>
        <v>0.28708266327026299</v>
      </c>
      <c r="J12" s="278"/>
      <c r="K12" s="286">
        <v>137.41514615600002</v>
      </c>
      <c r="L12" s="286">
        <v>41.897104868000007</v>
      </c>
      <c r="M12" s="286">
        <v>38.074884167999997</v>
      </c>
      <c r="N12" s="286">
        <v>25.383414040000009</v>
      </c>
      <c r="O12" s="286">
        <v>32.059743080000004</v>
      </c>
      <c r="P12" s="286">
        <v>106.764817892</v>
      </c>
      <c r="Q12" s="286">
        <v>33.552064680000001</v>
      </c>
      <c r="R12" s="286">
        <v>21.766074419999995</v>
      </c>
      <c r="S12" s="286">
        <v>27.269532519999998</v>
      </c>
      <c r="T12" s="286">
        <v>24.177146271999998</v>
      </c>
      <c r="U12" s="286">
        <f t="shared" ref="U12:U13" si="15">SUM(V12:Y12)</f>
        <v>34.012727539999993</v>
      </c>
      <c r="V12" s="286">
        <v>11.442700459999999</v>
      </c>
      <c r="W12" s="286">
        <v>9.9490577800000004</v>
      </c>
      <c r="X12" s="287">
        <v>6.2434773799999963</v>
      </c>
      <c r="Y12" s="286">
        <v>6.377491919999998</v>
      </c>
      <c r="Z12" s="288">
        <f t="shared" ref="Z12:Z13" si="16">SUM(AA12:AD12)</f>
        <v>78.501360503000001</v>
      </c>
      <c r="AA12" s="288">
        <v>11.791517140000007</v>
      </c>
      <c r="AB12" s="289">
        <v>13.809843362999999</v>
      </c>
      <c r="AC12" s="288">
        <v>19.5</v>
      </c>
      <c r="AD12" s="289">
        <v>33.4</v>
      </c>
      <c r="AF12" s="141"/>
      <c r="AG12" s="141"/>
      <c r="AH12" s="141"/>
      <c r="AI12" s="141"/>
      <c r="AJ12" s="141"/>
      <c r="AK12" s="341"/>
      <c r="AL12" s="141"/>
      <c r="AM12" s="141"/>
    </row>
    <row r="13" spans="2:39" x14ac:dyDescent="0.3">
      <c r="B13" s="311"/>
      <c r="C13" s="471" t="s">
        <v>1900</v>
      </c>
      <c r="D13" s="284" t="s">
        <v>1736</v>
      </c>
      <c r="E13" s="766">
        <f>SUM(L13:O13)</f>
        <v>203.82732499999997</v>
      </c>
      <c r="F13" s="199">
        <f>E13/E11</f>
        <v>0.59730936864192308</v>
      </c>
      <c r="G13" s="771">
        <f>SUM(Q13:T13)</f>
        <v>129.57154300000002</v>
      </c>
      <c r="H13" s="293">
        <f>G13/G11</f>
        <v>0.54825056335369005</v>
      </c>
      <c r="I13" s="285">
        <f t="shared" si="4"/>
        <v>0.57308711682163072</v>
      </c>
      <c r="J13" s="278"/>
      <c r="K13" s="286">
        <v>203.82732499999997</v>
      </c>
      <c r="L13" s="286">
        <v>34.40044799999999</v>
      </c>
      <c r="M13" s="286">
        <v>71.808814999999981</v>
      </c>
      <c r="N13" s="286">
        <v>36.292282999999991</v>
      </c>
      <c r="O13" s="286">
        <v>61.325779000000011</v>
      </c>
      <c r="P13" s="286">
        <v>129.57154300000002</v>
      </c>
      <c r="Q13" s="286">
        <v>23.053705000000001</v>
      </c>
      <c r="R13" s="286">
        <v>30.418015000000008</v>
      </c>
      <c r="S13" s="286">
        <v>37.411215000000013</v>
      </c>
      <c r="T13" s="286">
        <v>38.688608000000002</v>
      </c>
      <c r="U13" s="286">
        <f t="shared" si="15"/>
        <v>39.478835999999994</v>
      </c>
      <c r="V13" s="286">
        <v>7.0092670000000004</v>
      </c>
      <c r="W13" s="286">
        <v>17.104679999999995</v>
      </c>
      <c r="X13" s="287">
        <v>9.5893260000000016</v>
      </c>
      <c r="Y13" s="286">
        <v>5.775563</v>
      </c>
      <c r="Z13" s="288">
        <f t="shared" si="16"/>
        <v>46.464663000000002</v>
      </c>
      <c r="AA13" s="288">
        <v>2.9365220000000001</v>
      </c>
      <c r="AB13" s="289">
        <v>9.528140999999998</v>
      </c>
      <c r="AC13" s="288">
        <v>9.4</v>
      </c>
      <c r="AD13" s="289">
        <v>24.6</v>
      </c>
      <c r="AF13" s="141"/>
      <c r="AG13" s="141"/>
      <c r="AH13" s="141"/>
      <c r="AI13" s="141"/>
      <c r="AJ13" s="141"/>
      <c r="AK13" s="341"/>
      <c r="AL13" s="141"/>
      <c r="AM13" s="141"/>
    </row>
    <row r="14" spans="2:39" x14ac:dyDescent="0.3">
      <c r="B14" s="311"/>
      <c r="C14" s="470" t="s">
        <v>112</v>
      </c>
      <c r="D14" s="256" t="s">
        <v>129</v>
      </c>
      <c r="E14" s="772">
        <f>E6+E11</f>
        <v>679.49640470539998</v>
      </c>
      <c r="F14" s="239">
        <f>SUM(F6,F11)</f>
        <v>1</v>
      </c>
      <c r="G14" s="773">
        <f>G6+G11</f>
        <v>532.65377900609997</v>
      </c>
      <c r="H14" s="239">
        <f>SUM(H6,H11)</f>
        <v>1</v>
      </c>
      <c r="I14" s="268">
        <f t="shared" si="4"/>
        <v>0.27568118632951322</v>
      </c>
      <c r="J14" s="278"/>
      <c r="K14" s="280">
        <f t="shared" ref="K14" si="17">SUM(K6,K11)</f>
        <v>679.49640470539998</v>
      </c>
      <c r="L14" s="280">
        <f t="shared" ref="L14:M14" si="18">SUM(L6,L11)</f>
        <v>176.73240342429997</v>
      </c>
      <c r="M14" s="280">
        <f t="shared" si="18"/>
        <v>206.46523038969997</v>
      </c>
      <c r="N14" s="280">
        <f t="shared" ref="N14:AA14" si="19">SUM(N6,N11)</f>
        <v>127.82397464760002</v>
      </c>
      <c r="O14" s="280">
        <f t="shared" si="19"/>
        <v>168.47479624380003</v>
      </c>
      <c r="P14" s="280">
        <f t="shared" si="19"/>
        <v>532.65377900609997</v>
      </c>
      <c r="Q14" s="280">
        <f t="shared" si="19"/>
        <v>141.40141966600001</v>
      </c>
      <c r="R14" s="280">
        <f t="shared" si="19"/>
        <v>132.00579974430002</v>
      </c>
      <c r="S14" s="280">
        <f t="shared" si="19"/>
        <v>129.36174795990001</v>
      </c>
      <c r="T14" s="280">
        <f t="shared" si="19"/>
        <v>129.88481163590001</v>
      </c>
      <c r="U14" s="280">
        <f t="shared" si="19"/>
        <v>286.14477402989996</v>
      </c>
      <c r="V14" s="280">
        <f t="shared" si="19"/>
        <v>77.138187705799993</v>
      </c>
      <c r="W14" s="281">
        <f t="shared" si="19"/>
        <v>88.449812436199991</v>
      </c>
      <c r="X14" s="281">
        <f t="shared" si="19"/>
        <v>66.788584902999986</v>
      </c>
      <c r="Y14" s="280">
        <f t="shared" si="19"/>
        <v>53.768188984899993</v>
      </c>
      <c r="Z14" s="282">
        <f t="shared" si="19"/>
        <v>302.41144585040001</v>
      </c>
      <c r="AA14" s="282">
        <f t="shared" si="19"/>
        <v>54.317197036100019</v>
      </c>
      <c r="AB14" s="283">
        <f>+AB6+AB11</f>
        <v>69.994248814300008</v>
      </c>
      <c r="AC14" s="282">
        <f>SUM(AC6,AC11)</f>
        <v>75.699999999999989</v>
      </c>
      <c r="AD14" s="283">
        <f>SUM(AD6,AD11)</f>
        <v>102.4</v>
      </c>
      <c r="AF14" s="141"/>
      <c r="AG14" s="141"/>
      <c r="AH14" s="141"/>
      <c r="AI14" s="141"/>
      <c r="AJ14" s="141"/>
      <c r="AK14" s="342"/>
      <c r="AL14" s="141"/>
      <c r="AM14" s="141"/>
    </row>
    <row r="15" spans="2:39" x14ac:dyDescent="0.3">
      <c r="B15" s="311"/>
      <c r="C15" s="473"/>
      <c r="D15" s="277"/>
      <c r="E15" s="277"/>
      <c r="F15" s="277"/>
      <c r="G15" s="277"/>
      <c r="H15" s="277"/>
      <c r="I15" s="277"/>
      <c r="J15" s="278"/>
      <c r="K15" s="709">
        <f>+K14-[20]APE!G26</f>
        <v>679.49640470539998</v>
      </c>
      <c r="L15" s="709">
        <f>+L14-[20]APE!H26</f>
        <v>176.73240342429997</v>
      </c>
      <c r="M15" s="709" t="e">
        <f>+M14-[20]APE!I26</f>
        <v>#REF!</v>
      </c>
      <c r="N15" s="709">
        <f>+N14-[20]APE!J26</f>
        <v>0</v>
      </c>
      <c r="O15" s="709">
        <f>+O14-[20]APE!K26</f>
        <v>0</v>
      </c>
      <c r="P15" s="709">
        <f>+P14-[20]APE!L26</f>
        <v>0</v>
      </c>
      <c r="Q15" s="709">
        <f>+Q14-[20]APE!M26</f>
        <v>0</v>
      </c>
      <c r="R15" s="709">
        <f>+R14-[20]APE!N26</f>
        <v>0</v>
      </c>
      <c r="S15" s="709">
        <f>+S14-[20]APE!O26</f>
        <v>0</v>
      </c>
      <c r="T15" s="709">
        <f>+T14-[20]APE!P26</f>
        <v>0</v>
      </c>
      <c r="U15" s="277"/>
      <c r="V15" s="277"/>
      <c r="W15" s="277"/>
      <c r="X15" s="277"/>
      <c r="Y15" s="277"/>
      <c r="Z15" s="277"/>
      <c r="AA15" s="277"/>
      <c r="AB15" s="277"/>
      <c r="AC15" s="277"/>
      <c r="AD15" s="277"/>
      <c r="AF15" s="141"/>
      <c r="AG15" s="141"/>
      <c r="AH15" s="141"/>
      <c r="AI15" s="141"/>
      <c r="AJ15" s="141"/>
      <c r="AK15" s="141"/>
      <c r="AL15" s="141"/>
      <c r="AM15" s="141"/>
    </row>
    <row r="16" spans="2:39" x14ac:dyDescent="0.3">
      <c r="B16" s="311"/>
      <c r="C16" s="473"/>
      <c r="D16" s="277"/>
      <c r="E16" s="277"/>
      <c r="F16" s="277"/>
      <c r="G16" s="277"/>
      <c r="H16" s="277"/>
      <c r="I16" s="277"/>
      <c r="J16" s="278"/>
      <c r="K16" s="277"/>
      <c r="L16" s="277"/>
      <c r="M16" s="277"/>
      <c r="N16" s="277"/>
      <c r="O16" s="277"/>
      <c r="P16" s="277"/>
      <c r="Q16" s="277"/>
      <c r="R16" s="277"/>
      <c r="S16" s="277"/>
      <c r="T16" s="277"/>
      <c r="U16" s="277"/>
      <c r="V16" s="277"/>
      <c r="W16" s="277"/>
      <c r="X16" s="277"/>
      <c r="Y16" s="277"/>
      <c r="Z16" s="277"/>
      <c r="AA16" s="277"/>
      <c r="AB16" s="277"/>
      <c r="AC16" s="277"/>
      <c r="AD16" s="277"/>
      <c r="AF16" s="141"/>
      <c r="AG16" s="141"/>
      <c r="AH16" s="141"/>
      <c r="AI16" s="141"/>
      <c r="AJ16" s="141"/>
      <c r="AK16" s="141"/>
      <c r="AL16" s="141"/>
      <c r="AM16" s="141"/>
    </row>
    <row r="17" spans="2:43" x14ac:dyDescent="0.3">
      <c r="B17" s="311"/>
      <c r="C17" s="396"/>
      <c r="D17" s="254"/>
      <c r="E17" s="277"/>
      <c r="F17" s="277"/>
      <c r="G17" s="277"/>
      <c r="H17" s="277"/>
      <c r="I17" s="277"/>
      <c r="J17" s="278"/>
      <c r="K17" s="416"/>
      <c r="L17" s="416"/>
      <c r="M17" s="416"/>
      <c r="N17" s="416"/>
      <c r="O17" s="416"/>
      <c r="P17" s="416"/>
      <c r="Q17" s="416"/>
      <c r="R17" s="416"/>
      <c r="S17" s="141"/>
      <c r="T17" s="141"/>
      <c r="U17" s="277"/>
      <c r="V17" s="277"/>
      <c r="W17" s="141"/>
      <c r="X17" s="141"/>
      <c r="Y17" s="141"/>
      <c r="Z17" s="141"/>
      <c r="AA17" s="141"/>
      <c r="AB17" s="141"/>
      <c r="AC17" s="141"/>
      <c r="AD17" s="141"/>
      <c r="AG17" s="141"/>
      <c r="AH17" s="141"/>
      <c r="AI17" s="141"/>
      <c r="AJ17" s="141"/>
      <c r="AK17" s="141"/>
      <c r="AL17" s="141"/>
      <c r="AM17" s="141"/>
    </row>
    <row r="18" spans="2:43" x14ac:dyDescent="0.3">
      <c r="B18" s="311"/>
      <c r="C18" s="471" t="s">
        <v>1901</v>
      </c>
      <c r="D18" s="255" t="s">
        <v>1729</v>
      </c>
      <c r="E18" s="831">
        <f>E4</f>
        <v>2025</v>
      </c>
      <c r="F18" s="887" t="s">
        <v>1691</v>
      </c>
      <c r="G18" s="831">
        <f>G4</f>
        <v>2024</v>
      </c>
      <c r="H18" s="887" t="s">
        <v>1691</v>
      </c>
      <c r="I18" s="836" t="s">
        <v>1679</v>
      </c>
      <c r="J18" s="278"/>
      <c r="K18" s="891">
        <v>2025</v>
      </c>
      <c r="L18" s="891"/>
      <c r="M18" s="891"/>
      <c r="N18" s="891"/>
      <c r="O18" s="892"/>
      <c r="P18" s="278"/>
      <c r="Q18" s="278"/>
      <c r="R18" s="278"/>
      <c r="S18" s="710">
        <f>P4</f>
        <v>2024</v>
      </c>
      <c r="T18" s="711"/>
      <c r="U18" s="839">
        <v>2023</v>
      </c>
      <c r="V18" s="839"/>
      <c r="W18" s="839"/>
      <c r="X18" s="839"/>
      <c r="Y18" s="840"/>
      <c r="Z18" s="838">
        <v>2022</v>
      </c>
      <c r="AA18" s="839"/>
      <c r="AB18" s="839"/>
      <c r="AC18" s="839"/>
      <c r="AD18" s="840"/>
      <c r="AE18" s="40"/>
      <c r="AG18" s="471"/>
      <c r="AH18" s="471"/>
      <c r="AI18" s="471"/>
      <c r="AJ18" s="471"/>
      <c r="AK18" s="471"/>
      <c r="AL18" s="471"/>
      <c r="AM18" s="40"/>
      <c r="AN18" s="40"/>
      <c r="AO18" s="40"/>
      <c r="AP18" s="40"/>
      <c r="AQ18" s="40"/>
    </row>
    <row r="19" spans="2:43" x14ac:dyDescent="0.3">
      <c r="B19" s="311"/>
      <c r="D19" s="255"/>
      <c r="E19" s="276" t="str">
        <f>E5</f>
        <v>Q4</v>
      </c>
      <c r="F19" s="888"/>
      <c r="G19" s="276" t="str">
        <f>G5</f>
        <v>Q4</v>
      </c>
      <c r="H19" s="888"/>
      <c r="I19" s="837"/>
      <c r="J19" s="278"/>
      <c r="K19" s="806" t="str">
        <f t="shared" ref="K19" si="20">K5</f>
        <v>FY</v>
      </c>
      <c r="L19" s="806" t="str">
        <f t="shared" ref="L19:M19" si="21">L5</f>
        <v>Q4</v>
      </c>
      <c r="M19" s="806" t="str">
        <f t="shared" si="21"/>
        <v>Q3</v>
      </c>
      <c r="N19" s="806" t="str">
        <f t="shared" ref="N19:AD19" si="22">N5</f>
        <v>Q2</v>
      </c>
      <c r="O19" s="806" t="str">
        <f t="shared" si="22"/>
        <v>Q1</v>
      </c>
      <c r="P19" s="806" t="str">
        <f t="shared" si="22"/>
        <v>FY</v>
      </c>
      <c r="Q19" s="806" t="str">
        <f t="shared" si="22"/>
        <v>Q4</v>
      </c>
      <c r="R19" s="806" t="str">
        <f t="shared" si="22"/>
        <v>Q3</v>
      </c>
      <c r="S19" s="806" t="str">
        <f t="shared" si="22"/>
        <v>Q2</v>
      </c>
      <c r="T19" s="806" t="str">
        <f t="shared" si="22"/>
        <v>Q1</v>
      </c>
      <c r="U19" s="806" t="str">
        <f t="shared" si="22"/>
        <v>FY</v>
      </c>
      <c r="V19" s="806" t="str">
        <f t="shared" si="22"/>
        <v>Q4</v>
      </c>
      <c r="W19" s="186" t="str">
        <f t="shared" si="22"/>
        <v>Q3</v>
      </c>
      <c r="X19" s="806" t="str">
        <f t="shared" si="22"/>
        <v>Q2</v>
      </c>
      <c r="Y19" s="186" t="str">
        <f t="shared" si="22"/>
        <v>Q1</v>
      </c>
      <c r="Z19" s="186" t="str">
        <f t="shared" si="22"/>
        <v>FY</v>
      </c>
      <c r="AA19" s="806" t="str">
        <f t="shared" si="22"/>
        <v>Q4</v>
      </c>
      <c r="AB19" s="806" t="str">
        <f t="shared" si="22"/>
        <v>Q3</v>
      </c>
      <c r="AC19" s="186" t="str">
        <f t="shared" si="22"/>
        <v>Q2</v>
      </c>
      <c r="AD19" s="186" t="str">
        <f t="shared" si="22"/>
        <v>Q1</v>
      </c>
      <c r="AE19" s="40"/>
      <c r="AG19" s="141"/>
      <c r="AH19" s="141"/>
      <c r="AI19" s="141"/>
      <c r="AJ19" s="141"/>
      <c r="AK19" s="68"/>
      <c r="AL19" s="68"/>
      <c r="AM19" s="522"/>
      <c r="AN19" s="40"/>
      <c r="AO19" s="40"/>
      <c r="AP19" s="40"/>
      <c r="AQ19" s="40"/>
    </row>
    <row r="20" spans="2:43" x14ac:dyDescent="0.3">
      <c r="B20" s="311"/>
      <c r="C20" s="470" t="s">
        <v>1893</v>
      </c>
      <c r="D20" s="258" t="s">
        <v>1730</v>
      </c>
      <c r="E20" s="769">
        <f>SUM(E21:E24)</f>
        <v>471.49924858799994</v>
      </c>
      <c r="F20" s="295">
        <f>E20/E29</f>
        <v>0.87334388112480354</v>
      </c>
      <c r="G20" s="765">
        <f>SUM(G21:G24)</f>
        <v>341.49774384100004</v>
      </c>
      <c r="H20" s="279">
        <f>G20/G29</f>
        <v>0.86540198014372516</v>
      </c>
      <c r="I20" s="296">
        <f t="shared" ref="I20:I29" si="23">IFERROR(IF(G20&lt;0, -(E20/G20-1), (E20/G20-1)),0)</f>
        <v>0.38068042056385609</v>
      </c>
      <c r="J20" s="278"/>
      <c r="K20" s="280">
        <f t="shared" ref="K20" si="24">SUM(K21:K24)</f>
        <v>471.49924858799994</v>
      </c>
      <c r="L20" s="280">
        <f t="shared" ref="L20:M20" si="25">SUM(L21:L24)</f>
        <v>125.680810925</v>
      </c>
      <c r="M20" s="280">
        <f t="shared" si="25"/>
        <v>129.03723662900001</v>
      </c>
      <c r="N20" s="280">
        <f t="shared" ref="N20:W20" si="26">SUM(N21:N24)</f>
        <v>91.345472648999987</v>
      </c>
      <c r="O20" s="280">
        <f t="shared" si="26"/>
        <v>125.435728385</v>
      </c>
      <c r="P20" s="280">
        <f t="shared" si="26"/>
        <v>341.50019118799992</v>
      </c>
      <c r="Q20" s="280">
        <f t="shared" si="26"/>
        <v>103.891562939</v>
      </c>
      <c r="R20" s="280">
        <f t="shared" si="26"/>
        <v>89.639999999999986</v>
      </c>
      <c r="S20" s="280">
        <f t="shared" si="26"/>
        <v>63.766180902000002</v>
      </c>
      <c r="T20" s="280">
        <f t="shared" si="26"/>
        <v>84.2</v>
      </c>
      <c r="U20" s="280">
        <f t="shared" si="26"/>
        <v>279.715971916</v>
      </c>
      <c r="V20" s="280">
        <f t="shared" si="26"/>
        <v>76.700000000000017</v>
      </c>
      <c r="W20" s="280">
        <f t="shared" si="26"/>
        <v>81.300000000000011</v>
      </c>
      <c r="X20" s="281">
        <v>66.5</v>
      </c>
      <c r="Y20" s="280">
        <f t="shared" ref="Y20:AD20" si="27">SUM(Y21:Y24)</f>
        <v>55.243796275999998</v>
      </c>
      <c r="Z20" s="281">
        <f t="shared" si="27"/>
        <v>241.5</v>
      </c>
      <c r="AA20" s="280">
        <f t="shared" si="27"/>
        <v>53.2</v>
      </c>
      <c r="AB20" s="281">
        <f t="shared" si="27"/>
        <v>62.800000000000004</v>
      </c>
      <c r="AC20" s="280">
        <f t="shared" si="27"/>
        <v>62.8</v>
      </c>
      <c r="AD20" s="280">
        <f t="shared" si="27"/>
        <v>62.7</v>
      </c>
      <c r="AE20" s="40"/>
      <c r="AF20" s="141"/>
      <c r="AG20" s="141"/>
      <c r="AH20" s="141"/>
      <c r="AI20" s="141"/>
      <c r="AJ20" s="141"/>
      <c r="AK20" s="68"/>
      <c r="AL20" s="68"/>
      <c r="AM20" s="68"/>
      <c r="AN20" s="40"/>
      <c r="AO20" s="40"/>
      <c r="AP20" s="40"/>
      <c r="AQ20" s="40"/>
    </row>
    <row r="21" spans="2:43" x14ac:dyDescent="0.3">
      <c r="B21" s="311"/>
      <c r="C21" s="471" t="s">
        <v>1894</v>
      </c>
      <c r="D21" s="255" t="s">
        <v>1731</v>
      </c>
      <c r="E21" s="774">
        <f>+SUM(L21:O21)</f>
        <v>18.296262018</v>
      </c>
      <c r="F21" s="54">
        <f>E21/$E$20</f>
        <v>3.8804435156136227E-2</v>
      </c>
      <c r="G21" s="767">
        <f>SUM(Q21:T21)</f>
        <v>38.719157978999995</v>
      </c>
      <c r="H21" s="199">
        <f>G21/$G$20</f>
        <v>0.1133804210344285</v>
      </c>
      <c r="I21" s="297">
        <f t="shared" si="23"/>
        <v>-0.52746229585046001</v>
      </c>
      <c r="J21" s="278"/>
      <c r="K21" s="286">
        <v>18.296262018</v>
      </c>
      <c r="L21" s="286">
        <v>4.9734131760000002</v>
      </c>
      <c r="M21" s="286">
        <v>4.6613628880000002</v>
      </c>
      <c r="N21" s="286">
        <v>3.9324465790000001</v>
      </c>
      <c r="O21" s="286">
        <v>4.7290393750000002</v>
      </c>
      <c r="P21" s="286">
        <v>38.705555717999999</v>
      </c>
      <c r="Q21" s="286">
        <v>6.6191579789999997</v>
      </c>
      <c r="R21" s="286">
        <v>8.1</v>
      </c>
      <c r="S21" s="286">
        <v>9.6</v>
      </c>
      <c r="T21" s="286">
        <v>14.4</v>
      </c>
      <c r="U21" s="286">
        <f t="shared" ref="U21:U24" si="28">SUM(V21:Y21)</f>
        <v>75.561674325008056</v>
      </c>
      <c r="V21" s="286">
        <v>21.9</v>
      </c>
      <c r="W21" s="286">
        <v>26.3</v>
      </c>
      <c r="X21" s="287">
        <v>15.990528925037038</v>
      </c>
      <c r="Y21" s="286">
        <v>11.371145399971013</v>
      </c>
      <c r="Z21" s="287">
        <f t="shared" ref="Z21:Z24" si="29">SUM(AA21:AD21)</f>
        <v>46.4</v>
      </c>
      <c r="AA21" s="286">
        <v>12.5</v>
      </c>
      <c r="AB21" s="287">
        <v>14.6</v>
      </c>
      <c r="AC21" s="286">
        <v>11.7</v>
      </c>
      <c r="AD21" s="286">
        <v>7.6</v>
      </c>
      <c r="AE21" s="40"/>
      <c r="AF21" s="342"/>
      <c r="AG21" s="141"/>
      <c r="AH21" s="141"/>
      <c r="AI21" s="141"/>
      <c r="AJ21" s="141"/>
      <c r="AK21" s="68"/>
      <c r="AL21" s="68"/>
      <c r="AM21" s="68"/>
      <c r="AN21" s="40"/>
      <c r="AO21" s="40"/>
      <c r="AP21" s="40"/>
      <c r="AQ21" s="40"/>
    </row>
    <row r="22" spans="2:43" x14ac:dyDescent="0.3">
      <c r="B22" s="311"/>
      <c r="C22" s="471" t="s">
        <v>1895</v>
      </c>
      <c r="D22" s="255" t="s">
        <v>1732</v>
      </c>
      <c r="E22" s="774">
        <f t="shared" ref="E22:E24" si="30">+SUM(L22:O22)</f>
        <v>5.8478595250000005</v>
      </c>
      <c r="F22" s="54">
        <f t="shared" ref="F22:F24" si="31">E22/$E$20</f>
        <v>1.240269108065941E-2</v>
      </c>
      <c r="G22" s="767">
        <f t="shared" ref="G22:G24" si="32">SUM(Q22:T22)</f>
        <v>53.351163104999998</v>
      </c>
      <c r="H22" s="199">
        <f t="shared" ref="H22:H24" si="33">G22/$G$20</f>
        <v>0.15622698558688014</v>
      </c>
      <c r="I22" s="297">
        <f t="shared" si="23"/>
        <v>-0.89038927767158749</v>
      </c>
      <c r="J22" s="278"/>
      <c r="K22" s="286">
        <v>5.8478595249999996</v>
      </c>
      <c r="L22" s="286">
        <v>1.4126162369999999</v>
      </c>
      <c r="M22" s="286">
        <v>2.5554004400000001</v>
      </c>
      <c r="N22" s="286">
        <v>0.27703991700000002</v>
      </c>
      <c r="O22" s="286">
        <v>1.602802931</v>
      </c>
      <c r="P22" s="286">
        <v>53.353706502000001</v>
      </c>
      <c r="Q22" s="286">
        <v>9.5111631050000014</v>
      </c>
      <c r="R22" s="286">
        <v>11.14</v>
      </c>
      <c r="S22" s="286">
        <v>17.399999999999999</v>
      </c>
      <c r="T22" s="286">
        <v>15.3</v>
      </c>
      <c r="U22" s="286">
        <f t="shared" si="28"/>
        <v>57.469949356991947</v>
      </c>
      <c r="V22" s="286">
        <v>19.8</v>
      </c>
      <c r="W22" s="286">
        <v>17.399999999999999</v>
      </c>
      <c r="X22" s="287">
        <v>10.993488635962963</v>
      </c>
      <c r="Y22" s="286">
        <v>9.2764607210289842</v>
      </c>
      <c r="Z22" s="287">
        <f t="shared" si="29"/>
        <v>41</v>
      </c>
      <c r="AA22" s="286">
        <v>10</v>
      </c>
      <c r="AB22" s="287">
        <v>10.6</v>
      </c>
      <c r="AC22" s="286">
        <v>12</v>
      </c>
      <c r="AD22" s="286">
        <v>8.4</v>
      </c>
      <c r="AE22" s="40"/>
      <c r="AF22" s="141"/>
      <c r="AG22" s="141"/>
      <c r="AH22" s="141"/>
      <c r="AI22" s="141"/>
      <c r="AJ22" s="141"/>
      <c r="AK22" s="68"/>
      <c r="AL22" s="68"/>
      <c r="AM22" s="68"/>
      <c r="AN22" s="40"/>
      <c r="AO22" s="40"/>
      <c r="AP22" s="40"/>
      <c r="AQ22" s="40"/>
    </row>
    <row r="23" spans="2:43" x14ac:dyDescent="0.3">
      <c r="B23" s="311"/>
      <c r="C23" s="471" t="s">
        <v>1896</v>
      </c>
      <c r="D23" s="255" t="s">
        <v>1733</v>
      </c>
      <c r="E23" s="774">
        <f t="shared" si="30"/>
        <v>429.25026724999998</v>
      </c>
      <c r="F23" s="54">
        <f t="shared" si="31"/>
        <v>0.9103943824629136</v>
      </c>
      <c r="G23" s="767">
        <f t="shared" si="32"/>
        <v>231.73525202500002</v>
      </c>
      <c r="H23" s="199">
        <f t="shared" si="33"/>
        <v>0.6785850161660073</v>
      </c>
      <c r="I23" s="297">
        <f t="shared" si="23"/>
        <v>0.85233046547312385</v>
      </c>
      <c r="J23" s="278"/>
      <c r="K23" s="286">
        <v>429.25026724999998</v>
      </c>
      <c r="L23" s="286">
        <v>113.89704561400001</v>
      </c>
      <c r="M23" s="286">
        <v>116.787526403</v>
      </c>
      <c r="N23" s="286">
        <v>83.398474691999994</v>
      </c>
      <c r="O23" s="286">
        <v>115.16722054100001</v>
      </c>
      <c r="P23" s="286">
        <v>231.73579239199998</v>
      </c>
      <c r="Q23" s="286">
        <v>82.428985085999997</v>
      </c>
      <c r="R23" s="286">
        <v>65.3</v>
      </c>
      <c r="S23" s="286">
        <v>32.706266939000002</v>
      </c>
      <c r="T23" s="286">
        <v>51.3</v>
      </c>
      <c r="U23" s="286">
        <f t="shared" si="28"/>
        <v>127.17699550600001</v>
      </c>
      <c r="V23" s="286">
        <v>31.6</v>
      </c>
      <c r="W23" s="286">
        <v>33.700000000000003</v>
      </c>
      <c r="X23" s="287">
        <v>33.749300968</v>
      </c>
      <c r="Y23" s="286">
        <v>28.127694538</v>
      </c>
      <c r="Z23" s="287">
        <f t="shared" si="29"/>
        <v>104.9</v>
      </c>
      <c r="AA23" s="286">
        <v>21.6</v>
      </c>
      <c r="AB23" s="287">
        <v>27</v>
      </c>
      <c r="AC23" s="286">
        <v>26.4</v>
      </c>
      <c r="AD23" s="286">
        <v>29.9</v>
      </c>
      <c r="AE23" s="752">
        <f>E23/E20</f>
        <v>0.9103943824629136</v>
      </c>
      <c r="AF23" s="547">
        <f>E23/E29</f>
        <v>0.79508736333437968</v>
      </c>
      <c r="AG23" s="141"/>
      <c r="AH23" s="141"/>
      <c r="AI23" s="141"/>
      <c r="AJ23" s="141"/>
      <c r="AK23" s="68"/>
      <c r="AL23" s="68"/>
      <c r="AM23" s="68"/>
      <c r="AN23" s="40"/>
      <c r="AO23" s="40"/>
      <c r="AP23" s="40"/>
      <c r="AQ23" s="40"/>
    </row>
    <row r="24" spans="2:43" x14ac:dyDescent="0.3">
      <c r="B24" s="311"/>
      <c r="C24" s="471" t="s">
        <v>1897</v>
      </c>
      <c r="D24" s="255" t="s">
        <v>109</v>
      </c>
      <c r="E24" s="774">
        <f t="shared" si="30"/>
        <v>18.104859794999999</v>
      </c>
      <c r="F24" s="54">
        <f t="shared" si="31"/>
        <v>3.8398491300290875E-2</v>
      </c>
      <c r="G24" s="767">
        <f t="shared" si="32"/>
        <v>17.692170731999997</v>
      </c>
      <c r="H24" s="199">
        <f t="shared" si="33"/>
        <v>5.1807577212684017E-2</v>
      </c>
      <c r="I24" s="297">
        <f t="shared" si="23"/>
        <v>2.3326084133563407E-2</v>
      </c>
      <c r="J24" s="278"/>
      <c r="K24" s="286">
        <v>18.104859794999999</v>
      </c>
      <c r="L24" s="286">
        <v>5.3977358979999996</v>
      </c>
      <c r="M24" s="286">
        <v>5.0329468979999996</v>
      </c>
      <c r="N24" s="286">
        <v>3.737511461</v>
      </c>
      <c r="O24" s="286">
        <v>3.9366655380000002</v>
      </c>
      <c r="P24" s="286">
        <v>17.705136576000001</v>
      </c>
      <c r="Q24" s="286">
        <v>5.3322567689999998</v>
      </c>
      <c r="R24" s="286">
        <v>5.0999999999999996</v>
      </c>
      <c r="S24" s="286">
        <v>4.0599139630000005</v>
      </c>
      <c r="T24" s="286">
        <v>3.2</v>
      </c>
      <c r="U24" s="286">
        <f t="shared" si="28"/>
        <v>19.507352728000001</v>
      </c>
      <c r="V24" s="286">
        <v>3.4</v>
      </c>
      <c r="W24" s="286">
        <v>3.9</v>
      </c>
      <c r="X24" s="287">
        <v>5.7388571110000006</v>
      </c>
      <c r="Y24" s="286">
        <v>6.4684956170000003</v>
      </c>
      <c r="Z24" s="287">
        <f t="shared" si="29"/>
        <v>49.2</v>
      </c>
      <c r="AA24" s="286">
        <v>9.1</v>
      </c>
      <c r="AB24" s="287">
        <v>10.6</v>
      </c>
      <c r="AC24" s="286">
        <v>12.7</v>
      </c>
      <c r="AD24" s="286">
        <v>16.8</v>
      </c>
      <c r="AE24" s="40"/>
      <c r="AF24" s="141"/>
      <c r="AG24" s="141"/>
      <c r="AH24" s="141"/>
      <c r="AI24" s="141"/>
      <c r="AJ24" s="141"/>
      <c r="AK24" s="141"/>
      <c r="AL24" s="141"/>
      <c r="AM24" s="141"/>
    </row>
    <row r="25" spans="2:43" s="292" customFormat="1" x14ac:dyDescent="0.3">
      <c r="B25" s="476"/>
      <c r="C25" s="470" t="s">
        <v>1898</v>
      </c>
      <c r="D25" s="258" t="s">
        <v>1734</v>
      </c>
      <c r="E25" s="769">
        <f>SUM(E26:E28)</f>
        <v>68.37886675499999</v>
      </c>
      <c r="F25" s="295">
        <f>E25/E29</f>
        <v>0.12665611887519637</v>
      </c>
      <c r="G25" s="765">
        <f>SUM(G26:G28)</f>
        <v>53.113953008000003</v>
      </c>
      <c r="H25" s="279">
        <f>G25/G29</f>
        <v>0.13459801985627481</v>
      </c>
      <c r="I25" s="296">
        <f t="shared" si="23"/>
        <v>0.28739931566947741</v>
      </c>
      <c r="J25" s="278"/>
      <c r="K25" s="280">
        <f t="shared" ref="K25" si="34">SUM(K26:K28)</f>
        <v>68.37886675499999</v>
      </c>
      <c r="L25" s="280">
        <f t="shared" ref="L25:M25" si="35">SUM(L26:L28)</f>
        <v>17.908005871</v>
      </c>
      <c r="M25" s="280">
        <f t="shared" si="35"/>
        <v>22.057089227000002</v>
      </c>
      <c r="N25" s="280">
        <f t="shared" ref="N25:Y25" si="36">SUM(N26:N28)</f>
        <v>12.810328111</v>
      </c>
      <c r="O25" s="280">
        <f t="shared" si="36"/>
        <v>15.603443545999999</v>
      </c>
      <c r="P25" s="280">
        <f t="shared" si="36"/>
        <v>53.104635279999997</v>
      </c>
      <c r="Q25" s="280">
        <f t="shared" si="36"/>
        <v>16.457130411000001</v>
      </c>
      <c r="R25" s="280">
        <f t="shared" si="36"/>
        <v>12.23</v>
      </c>
      <c r="S25" s="280">
        <f t="shared" si="36"/>
        <v>12.426822596999999</v>
      </c>
      <c r="T25" s="280">
        <f t="shared" si="36"/>
        <v>12</v>
      </c>
      <c r="U25" s="280">
        <f t="shared" si="36"/>
        <v>12.225755880999998</v>
      </c>
      <c r="V25" s="280">
        <f t="shared" si="36"/>
        <v>3.6999999999999997</v>
      </c>
      <c r="W25" s="280">
        <f t="shared" si="36"/>
        <v>4.0999999999999996</v>
      </c>
      <c r="X25" s="281">
        <f t="shared" si="36"/>
        <v>2.4222948779999998</v>
      </c>
      <c r="Y25" s="280">
        <f t="shared" si="36"/>
        <v>2.0034610029999995</v>
      </c>
      <c r="Z25" s="281">
        <f>SUM(Z26:Z28)</f>
        <v>30.9</v>
      </c>
      <c r="AA25" s="280">
        <f t="shared" ref="AA25:AD25" si="37">SUM(AA26:AA28)</f>
        <v>3.1999999999999997</v>
      </c>
      <c r="AB25" s="280">
        <f t="shared" si="37"/>
        <v>5</v>
      </c>
      <c r="AC25" s="280">
        <f t="shared" si="37"/>
        <v>7.1</v>
      </c>
      <c r="AD25" s="280">
        <f t="shared" si="37"/>
        <v>15.6</v>
      </c>
      <c r="AE25" s="316"/>
      <c r="AF25" s="141"/>
      <c r="AG25" s="141"/>
      <c r="AH25" s="141"/>
      <c r="AI25" s="141"/>
      <c r="AJ25" s="141"/>
      <c r="AK25" s="141"/>
      <c r="AL25" s="141"/>
      <c r="AM25" s="141"/>
    </row>
    <row r="26" spans="2:43" x14ac:dyDescent="0.3">
      <c r="B26" s="311"/>
      <c r="C26" s="471" t="s">
        <v>1899</v>
      </c>
      <c r="D26" s="255" t="s">
        <v>1735</v>
      </c>
      <c r="E26" s="774">
        <f>+SUM(L26:O26)</f>
        <v>38.020368564999998</v>
      </c>
      <c r="F26" s="54">
        <f>E26/$E$25</f>
        <v>0.55602513421619226</v>
      </c>
      <c r="G26" s="767">
        <f>SUM(Q26:T26)</f>
        <v>34.034974568999999</v>
      </c>
      <c r="H26" s="199">
        <f>G26/$G$25</f>
        <v>0.64079159319724643</v>
      </c>
      <c r="I26" s="297">
        <f t="shared" si="23"/>
        <v>0.11709701700879216</v>
      </c>
      <c r="J26" s="278"/>
      <c r="K26" s="286">
        <v>38.020368564999998</v>
      </c>
      <c r="L26" s="286">
        <v>11.911544626</v>
      </c>
      <c r="M26" s="286">
        <v>10.964525371000001</v>
      </c>
      <c r="N26" s="286">
        <v>6.9688067949999999</v>
      </c>
      <c r="O26" s="286">
        <v>8.1754917729999992</v>
      </c>
      <c r="P26" s="286">
        <v>34.041480843999999</v>
      </c>
      <c r="Q26" s="286">
        <v>12.734974569</v>
      </c>
      <c r="R26" s="286">
        <v>7.4</v>
      </c>
      <c r="S26" s="286">
        <v>7.4</v>
      </c>
      <c r="T26" s="286">
        <v>6.5</v>
      </c>
      <c r="U26" s="286">
        <f t="shared" ref="U26:U28" si="38">SUM(V26:Y26)</f>
        <v>7.7978199009130424</v>
      </c>
      <c r="V26" s="286">
        <v>2.9</v>
      </c>
      <c r="W26" s="286">
        <v>2.2000000000000002</v>
      </c>
      <c r="X26" s="287">
        <v>1.3111747949130435</v>
      </c>
      <c r="Y26" s="286">
        <v>1.3866451059999998</v>
      </c>
      <c r="Z26" s="287">
        <f t="shared" ref="Z26:Z28" si="39">SUM(AA26:AD26)</f>
        <v>22.7</v>
      </c>
      <c r="AA26" s="286">
        <v>2.8</v>
      </c>
      <c r="AB26" s="287">
        <v>3.7</v>
      </c>
      <c r="AC26" s="286">
        <v>5.6</v>
      </c>
      <c r="AD26" s="286">
        <v>10.6</v>
      </c>
      <c r="AE26" s="40"/>
      <c r="AF26" s="141"/>
      <c r="AG26" s="141"/>
      <c r="AH26" s="141"/>
      <c r="AI26" s="141"/>
      <c r="AJ26" s="141"/>
      <c r="AK26" s="141"/>
      <c r="AL26" s="141"/>
      <c r="AM26" s="141"/>
    </row>
    <row r="27" spans="2:43" x14ac:dyDescent="0.3">
      <c r="B27" s="311"/>
      <c r="C27" s="471" t="s">
        <v>1900</v>
      </c>
      <c r="D27" s="255" t="s">
        <v>1736</v>
      </c>
      <c r="E27" s="774">
        <f t="shared" ref="E27:E28" si="40">+SUM(L27:O27)</f>
        <v>26.313645583000003</v>
      </c>
      <c r="F27" s="54">
        <f>E27/$E$25</f>
        <v>0.38482131734182184</v>
      </c>
      <c r="G27" s="767">
        <f t="shared" ref="G27:G28" si="41">SUM(Q27:T27)</f>
        <v>18.372418494000001</v>
      </c>
      <c r="H27" s="293">
        <f>G27/$G$25</f>
        <v>0.34590568868471822</v>
      </c>
      <c r="I27" s="297">
        <f t="shared" si="23"/>
        <v>0.43223634882873041</v>
      </c>
      <c r="J27" s="68"/>
      <c r="K27" s="298">
        <v>26.313645583</v>
      </c>
      <c r="L27" s="298">
        <v>5.1189059050000001</v>
      </c>
      <c r="M27" s="298">
        <v>9.5215107650000004</v>
      </c>
      <c r="N27" s="298">
        <v>4.3041837149999997</v>
      </c>
      <c r="O27" s="298">
        <v>7.3690451980000002</v>
      </c>
      <c r="P27" s="298">
        <v>18.420089960999999</v>
      </c>
      <c r="Q27" s="298">
        <v>3.672418494</v>
      </c>
      <c r="R27" s="298">
        <v>4.5999999999999996</v>
      </c>
      <c r="S27" s="298">
        <v>4.8</v>
      </c>
      <c r="T27" s="298">
        <v>5.3</v>
      </c>
      <c r="U27" s="298">
        <f t="shared" si="38"/>
        <v>4.1028724700869565</v>
      </c>
      <c r="V27" s="298">
        <v>0.7</v>
      </c>
      <c r="W27" s="298">
        <v>1.8</v>
      </c>
      <c r="X27" s="69">
        <v>1.0085959960869566</v>
      </c>
      <c r="Y27" s="298">
        <v>0.59427647399999994</v>
      </c>
      <c r="Z27" s="69">
        <f t="shared" si="39"/>
        <v>8.1999999999999993</v>
      </c>
      <c r="AA27" s="298">
        <v>0.4</v>
      </c>
      <c r="AB27" s="69">
        <v>1.3</v>
      </c>
      <c r="AC27" s="298">
        <v>1.5</v>
      </c>
      <c r="AD27" s="298">
        <v>5</v>
      </c>
      <c r="AE27" s="40"/>
      <c r="AF27" s="141"/>
      <c r="AG27" s="141"/>
      <c r="AH27" s="141"/>
      <c r="AI27" s="141"/>
      <c r="AJ27" s="141"/>
      <c r="AK27" s="141"/>
      <c r="AL27" s="141"/>
      <c r="AM27" s="141"/>
    </row>
    <row r="28" spans="2:43" x14ac:dyDescent="0.3">
      <c r="B28" s="311"/>
      <c r="C28" s="471" t="s">
        <v>1902</v>
      </c>
      <c r="D28" s="255" t="s">
        <v>132</v>
      </c>
      <c r="E28" s="774">
        <f t="shared" si="40"/>
        <v>4.0448526070000002</v>
      </c>
      <c r="F28" s="54">
        <f t="shared" ref="F28" si="42">E28/$E$25</f>
        <v>5.9153548441986031E-2</v>
      </c>
      <c r="G28" s="767">
        <f t="shared" si="41"/>
        <v>0.70655994499999997</v>
      </c>
      <c r="H28" s="293">
        <f t="shared" ref="H28" si="43">G28/$G$25</f>
        <v>1.3302718118035352E-2</v>
      </c>
      <c r="I28" s="297">
        <f t="shared" si="23"/>
        <v>4.7247125818885758</v>
      </c>
      <c r="J28" s="68"/>
      <c r="K28" s="298">
        <v>4.0448526070000002</v>
      </c>
      <c r="L28" s="298">
        <v>0.87755534000000002</v>
      </c>
      <c r="M28" s="298">
        <v>1.571053091</v>
      </c>
      <c r="N28" s="298">
        <v>1.5373376009999999</v>
      </c>
      <c r="O28" s="298">
        <v>5.8906575000000003E-2</v>
      </c>
      <c r="P28" s="298">
        <v>0.64306447500000008</v>
      </c>
      <c r="Q28" s="298">
        <v>4.9737348000000001E-2</v>
      </c>
      <c r="R28" s="298">
        <v>0.23</v>
      </c>
      <c r="S28" s="298">
        <v>0.22682259699999999</v>
      </c>
      <c r="T28" s="298">
        <v>0.2</v>
      </c>
      <c r="U28" s="298">
        <f t="shared" si="38"/>
        <v>0.32506351</v>
      </c>
      <c r="V28" s="298">
        <v>0.1</v>
      </c>
      <c r="W28" s="298">
        <v>0.1</v>
      </c>
      <c r="X28" s="69">
        <v>0.10252408700000001</v>
      </c>
      <c r="Y28" s="298">
        <v>2.2539422999999999E-2</v>
      </c>
      <c r="Z28" s="69">
        <f t="shared" si="39"/>
        <v>0</v>
      </c>
      <c r="AA28" s="298">
        <v>0</v>
      </c>
      <c r="AB28" s="69">
        <v>0</v>
      </c>
      <c r="AC28" s="298">
        <v>0</v>
      </c>
      <c r="AD28" s="298">
        <v>0</v>
      </c>
      <c r="AE28" s="40"/>
      <c r="AF28" s="141"/>
      <c r="AG28" s="141"/>
      <c r="AH28" s="141"/>
      <c r="AI28" s="141"/>
      <c r="AJ28" s="141"/>
      <c r="AK28" s="141"/>
      <c r="AL28" s="141"/>
      <c r="AM28" s="141"/>
    </row>
    <row r="29" spans="2:43" x14ac:dyDescent="0.3">
      <c r="B29" s="311"/>
      <c r="C29" s="470" t="s">
        <v>1903</v>
      </c>
      <c r="D29" s="258" t="s">
        <v>129</v>
      </c>
      <c r="E29" s="773">
        <f>E20+E25</f>
        <v>539.87811534299999</v>
      </c>
      <c r="F29" s="229">
        <f>SUM(F20,F25)</f>
        <v>0.99999999999999989</v>
      </c>
      <c r="G29" s="773">
        <f>G20+G25</f>
        <v>394.61169684900005</v>
      </c>
      <c r="H29" s="239">
        <f>SUM(H20,H25)</f>
        <v>1</v>
      </c>
      <c r="I29" s="296">
        <f t="shared" si="23"/>
        <v>0.36812496855506738</v>
      </c>
      <c r="J29" s="68"/>
      <c r="K29" s="735">
        <f t="shared" ref="K29" si="44">SUM(K20,K25)</f>
        <v>539.87811534299999</v>
      </c>
      <c r="L29" s="735">
        <f t="shared" ref="L29:M29" si="45">SUM(L20,L25)</f>
        <v>143.588816796</v>
      </c>
      <c r="M29" s="735">
        <f t="shared" si="45"/>
        <v>151.09432585600001</v>
      </c>
      <c r="N29" s="466">
        <f t="shared" ref="N29:AD29" si="46">SUM(N20,N25)</f>
        <v>104.15580075999999</v>
      </c>
      <c r="O29" s="466">
        <f t="shared" si="46"/>
        <v>141.039171931</v>
      </c>
      <c r="P29" s="466">
        <f t="shared" si="46"/>
        <v>394.60482646799994</v>
      </c>
      <c r="Q29" s="466">
        <f t="shared" si="46"/>
        <v>120.34869334999999</v>
      </c>
      <c r="R29" s="466">
        <f t="shared" si="46"/>
        <v>101.86999999999999</v>
      </c>
      <c r="S29" s="466">
        <f t="shared" si="46"/>
        <v>76.193003499</v>
      </c>
      <c r="T29" s="299">
        <f t="shared" si="46"/>
        <v>96.2</v>
      </c>
      <c r="U29" s="299">
        <f t="shared" si="46"/>
        <v>291.941727797</v>
      </c>
      <c r="V29" s="299">
        <f t="shared" si="46"/>
        <v>80.40000000000002</v>
      </c>
      <c r="W29" s="299">
        <f t="shared" si="46"/>
        <v>85.4</v>
      </c>
      <c r="X29" s="300">
        <f t="shared" si="46"/>
        <v>68.922294878000002</v>
      </c>
      <c r="Y29" s="299">
        <f t="shared" si="46"/>
        <v>57.247257278999996</v>
      </c>
      <c r="Z29" s="300">
        <f t="shared" si="46"/>
        <v>272.39999999999998</v>
      </c>
      <c r="AA29" s="299">
        <f t="shared" si="46"/>
        <v>56.400000000000006</v>
      </c>
      <c r="AB29" s="300">
        <f t="shared" si="46"/>
        <v>67.800000000000011</v>
      </c>
      <c r="AC29" s="299">
        <f t="shared" si="46"/>
        <v>69.899999999999991</v>
      </c>
      <c r="AD29" s="299">
        <f t="shared" si="46"/>
        <v>78.3</v>
      </c>
      <c r="AE29" s="40"/>
      <c r="AF29" s="141"/>
      <c r="AG29" s="141"/>
      <c r="AH29" s="141"/>
      <c r="AI29" s="141"/>
      <c r="AJ29" s="141"/>
      <c r="AK29" s="141"/>
      <c r="AL29" s="141"/>
      <c r="AM29" s="141"/>
    </row>
    <row r="30" spans="2:43" x14ac:dyDescent="0.3">
      <c r="B30" s="311"/>
      <c r="C30" s="235" t="s">
        <v>1891</v>
      </c>
      <c r="D30" s="141"/>
      <c r="E30" s="141"/>
      <c r="F30" s="141"/>
      <c r="G30" s="141"/>
      <c r="H30" s="141"/>
      <c r="I30" s="141"/>
      <c r="J30" s="68"/>
      <c r="K30" s="753"/>
      <c r="L30" s="753"/>
      <c r="M30" s="753"/>
      <c r="N30" s="467"/>
      <c r="O30" s="467"/>
      <c r="P30" s="467"/>
      <c r="Q30" s="467"/>
      <c r="R30" s="467"/>
      <c r="S30" s="467"/>
      <c r="AF30" s="141"/>
      <c r="AG30" s="141"/>
      <c r="AH30" s="141"/>
      <c r="AI30" s="141"/>
      <c r="AJ30" s="141"/>
      <c r="AK30" s="141"/>
      <c r="AL30" s="141"/>
      <c r="AM30" s="141"/>
    </row>
    <row r="31" spans="2:43" x14ac:dyDescent="0.3">
      <c r="C31" s="235" t="s">
        <v>1904</v>
      </c>
      <c r="AF31" s="141"/>
      <c r="AG31" s="141"/>
      <c r="AH31" s="141"/>
      <c r="AI31" s="141"/>
      <c r="AJ31" s="141"/>
      <c r="AK31" s="141"/>
      <c r="AL31" s="141"/>
      <c r="AM31" s="141"/>
    </row>
    <row r="32" spans="2:43" x14ac:dyDescent="0.3">
      <c r="C32" s="235" t="s">
        <v>1959</v>
      </c>
      <c r="K32" s="125"/>
      <c r="L32" s="125"/>
      <c r="M32" s="125"/>
      <c r="N32" s="125"/>
      <c r="O32" s="125"/>
      <c r="P32" s="125"/>
      <c r="Q32" s="125"/>
      <c r="R32" s="125"/>
      <c r="S32" s="125"/>
      <c r="T32" s="125"/>
      <c r="U32" s="125"/>
      <c r="V32" s="125"/>
      <c r="W32" s="125"/>
      <c r="X32" s="125"/>
      <c r="Y32" s="125"/>
      <c r="Z32" s="125"/>
      <c r="AA32" s="125"/>
      <c r="AB32" s="125"/>
      <c r="AC32" s="125"/>
      <c r="AD32" s="125"/>
      <c r="AF32" s="141"/>
      <c r="AG32" s="141"/>
      <c r="AH32" s="141"/>
      <c r="AI32" s="141"/>
      <c r="AJ32" s="141"/>
      <c r="AK32" s="141"/>
      <c r="AL32" s="141"/>
      <c r="AM32" s="141"/>
    </row>
    <row r="33" spans="3:39" x14ac:dyDescent="0.3">
      <c r="C33" s="235" t="s">
        <v>1962</v>
      </c>
      <c r="K33" s="467"/>
      <c r="L33" s="467"/>
      <c r="M33" s="467"/>
      <c r="N33" s="467"/>
      <c r="O33" s="467"/>
      <c r="P33" s="467"/>
      <c r="Q33" s="467"/>
      <c r="R33" s="467"/>
      <c r="S33" s="467"/>
      <c r="X33" s="713"/>
      <c r="AF33" s="141"/>
      <c r="AG33" s="141"/>
      <c r="AH33" s="141"/>
      <c r="AI33" s="141"/>
      <c r="AJ33" s="141"/>
      <c r="AK33" s="141"/>
      <c r="AL33" s="141"/>
      <c r="AM33" s="141"/>
    </row>
    <row r="34" spans="3:39" x14ac:dyDescent="0.3">
      <c r="H34" s="320"/>
      <c r="K34" s="125"/>
      <c r="L34" s="125"/>
      <c r="M34" s="125"/>
      <c r="N34" s="125"/>
      <c r="O34" s="125"/>
      <c r="P34" s="125"/>
      <c r="Q34" s="125"/>
      <c r="R34" s="125"/>
      <c r="S34" s="125"/>
      <c r="T34" s="125"/>
      <c r="U34" s="125"/>
      <c r="V34" s="125"/>
      <c r="W34" s="125"/>
      <c r="X34" s="125"/>
      <c r="AF34" s="141"/>
      <c r="AG34" s="141"/>
      <c r="AH34" s="141"/>
      <c r="AI34" s="141"/>
      <c r="AJ34" s="141"/>
      <c r="AK34" s="459"/>
      <c r="AL34" s="141"/>
      <c r="AM34" s="141"/>
    </row>
    <row r="35" spans="3:39" x14ac:dyDescent="0.3">
      <c r="K35" s="467"/>
      <c r="L35" s="467"/>
      <c r="M35" s="467"/>
      <c r="N35" s="467"/>
      <c r="O35" s="467"/>
      <c r="P35" s="467"/>
      <c r="Q35" s="467"/>
      <c r="R35" s="467"/>
      <c r="S35" s="467"/>
      <c r="X35" s="320"/>
      <c r="Y35" s="125"/>
      <c r="Z35" s="125"/>
    </row>
    <row r="36" spans="3:39" x14ac:dyDescent="0.3">
      <c r="K36" s="467"/>
      <c r="L36" s="467"/>
      <c r="M36" s="467"/>
      <c r="N36" s="467"/>
      <c r="O36" s="467"/>
      <c r="P36" s="467"/>
      <c r="Q36" s="467"/>
      <c r="R36" s="467"/>
      <c r="S36" s="467"/>
    </row>
    <row r="37" spans="3:39" x14ac:dyDescent="0.3">
      <c r="K37" s="467"/>
      <c r="L37" s="467"/>
      <c r="M37" s="467"/>
      <c r="N37" s="467"/>
      <c r="O37" s="467"/>
      <c r="P37" s="467"/>
      <c r="Q37" s="467"/>
      <c r="R37" s="467"/>
      <c r="S37" s="467"/>
    </row>
    <row r="38" spans="3:39" x14ac:dyDescent="0.3">
      <c r="K38" s="467"/>
      <c r="L38" s="467"/>
      <c r="M38" s="467"/>
      <c r="N38" s="467"/>
      <c r="O38" s="467"/>
      <c r="P38" s="467"/>
      <c r="Q38" s="467"/>
      <c r="R38" s="467"/>
      <c r="S38" s="467"/>
    </row>
    <row r="39" spans="3:39" x14ac:dyDescent="0.3">
      <c r="K39" s="467"/>
      <c r="L39" s="467"/>
      <c r="M39" s="467"/>
      <c r="N39" s="467"/>
      <c r="O39" s="467"/>
      <c r="P39" s="467"/>
      <c r="Q39" s="467"/>
      <c r="R39" s="467"/>
      <c r="S39" s="467"/>
    </row>
  </sheetData>
  <mergeCells count="13">
    <mergeCell ref="K4:O4"/>
    <mergeCell ref="Z4:AD4"/>
    <mergeCell ref="F18:F19"/>
    <mergeCell ref="H18:H19"/>
    <mergeCell ref="I18:I19"/>
    <mergeCell ref="U18:Y18"/>
    <mergeCell ref="Z18:AD18"/>
    <mergeCell ref="F4:F5"/>
    <mergeCell ref="H4:H5"/>
    <mergeCell ref="I4:I5"/>
    <mergeCell ref="P4:T4"/>
    <mergeCell ref="U4:Y4"/>
    <mergeCell ref="K18:O18"/>
  </mergeCells>
  <phoneticPr fontId="1" type="noConversion"/>
  <pageMargins left="0.7" right="0.7" top="0.75" bottom="0.75" header="0.3" footer="0.3"/>
  <pageSetup paperSize="9" scale="43"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C1:Z31"/>
  <sheetViews>
    <sheetView showGridLines="0" view="pageBreakPreview" zoomScale="85" zoomScaleNormal="100" zoomScaleSheetLayoutView="85" workbookViewId="0">
      <selection activeCell="E52" sqref="E52"/>
    </sheetView>
  </sheetViews>
  <sheetFormatPr defaultRowHeight="16.5" outlineLevelCol="2" x14ac:dyDescent="0.3"/>
  <cols>
    <col min="1" max="1" width="5.75" style="468" customWidth="1"/>
    <col min="2" max="2" width="1.5" style="468" customWidth="1"/>
    <col min="3" max="3" width="17.125" style="468" customWidth="1"/>
    <col min="4" max="4" width="16.125" style="35" bestFit="1" customWidth="1"/>
    <col min="5" max="7" width="9" style="468"/>
    <col min="8" max="8" width="1.625" style="468" customWidth="1"/>
    <col min="9" max="12" width="10.375" style="468" hidden="1" customWidth="1" outlineLevel="1"/>
    <col min="13" max="14" width="11.25" style="468" hidden="1" customWidth="1" outlineLevel="1"/>
    <col min="15" max="16" width="10.375" style="468" hidden="1" customWidth="1" outlineLevel="1"/>
    <col min="17" max="18" width="10.375" style="468" hidden="1" customWidth="1" outlineLevel="2"/>
    <col min="19" max="23" width="10.375" style="396" hidden="1" customWidth="1" outlineLevel="2"/>
    <col min="24" max="24" width="10.375" style="468" hidden="1" customWidth="1" outlineLevel="2"/>
    <col min="25" max="25" width="9" style="468" collapsed="1"/>
    <col min="26" max="16384" width="9" style="468"/>
  </cols>
  <sheetData>
    <row r="1" spans="3:26" x14ac:dyDescent="0.3">
      <c r="C1" s="374" t="s">
        <v>1910</v>
      </c>
      <c r="E1" s="35" t="s">
        <v>1920</v>
      </c>
    </row>
    <row r="2" spans="3:26" x14ac:dyDescent="0.3">
      <c r="C2" s="468" t="s">
        <v>1784</v>
      </c>
    </row>
    <row r="3" spans="3:26" x14ac:dyDescent="0.3">
      <c r="M3" s="379"/>
      <c r="N3" s="379"/>
    </row>
    <row r="4" spans="3:26" ht="16.5" customHeight="1" x14ac:dyDescent="0.3">
      <c r="D4" s="271"/>
      <c r="E4" s="707">
        <f>SUMMARY!D4</f>
        <v>2025</v>
      </c>
      <c r="F4" s="702">
        <f>SUMMARY!E4</f>
        <v>2024</v>
      </c>
      <c r="G4" s="866" t="s">
        <v>1681</v>
      </c>
      <c r="H4" s="40"/>
      <c r="I4" s="132"/>
      <c r="J4" s="404">
        <v>2025</v>
      </c>
      <c r="K4" s="404"/>
      <c r="L4" s="405"/>
      <c r="M4" s="132"/>
      <c r="N4" s="404">
        <v>2024</v>
      </c>
      <c r="O4" s="404"/>
      <c r="P4" s="405"/>
      <c r="Q4" s="846">
        <v>2023</v>
      </c>
      <c r="R4" s="846"/>
      <c r="S4" s="846"/>
      <c r="T4" s="847"/>
      <c r="U4" s="838">
        <v>2022</v>
      </c>
      <c r="V4" s="839"/>
      <c r="W4" s="839"/>
      <c r="X4" s="839"/>
    </row>
    <row r="5" spans="3:26" x14ac:dyDescent="0.3">
      <c r="C5" s="468" t="s">
        <v>1911</v>
      </c>
      <c r="D5" s="271" t="s">
        <v>1775</v>
      </c>
      <c r="E5" s="708" t="str">
        <f>I5</f>
        <v>Q4</v>
      </c>
      <c r="F5" s="703" t="str">
        <f>M5</f>
        <v>Q4</v>
      </c>
      <c r="G5" s="868"/>
      <c r="H5" s="40"/>
      <c r="I5" s="780" t="s">
        <v>28</v>
      </c>
      <c r="J5" s="732" t="s">
        <v>30</v>
      </c>
      <c r="K5" s="705" t="s">
        <v>27</v>
      </c>
      <c r="L5" s="705" t="s">
        <v>29</v>
      </c>
      <c r="M5" s="705" t="s">
        <v>1946</v>
      </c>
      <c r="N5" s="705" t="s">
        <v>1933</v>
      </c>
      <c r="O5" s="705" t="s">
        <v>1555</v>
      </c>
      <c r="P5" s="705" t="s">
        <v>1934</v>
      </c>
      <c r="Q5" s="703" t="s">
        <v>30</v>
      </c>
      <c r="R5" s="704" t="s">
        <v>1688</v>
      </c>
      <c r="S5" s="706" t="s">
        <v>27</v>
      </c>
      <c r="T5" s="706" t="s">
        <v>29</v>
      </c>
      <c r="U5" s="706" t="s">
        <v>1933</v>
      </c>
      <c r="V5" s="701" t="s">
        <v>1933</v>
      </c>
      <c r="W5" s="701" t="s">
        <v>1555</v>
      </c>
      <c r="X5" s="704" t="s">
        <v>1934</v>
      </c>
      <c r="Z5" s="750"/>
    </row>
    <row r="6" spans="3:26" x14ac:dyDescent="0.3">
      <c r="C6" s="494" t="s">
        <v>1912</v>
      </c>
      <c r="D6" s="272" t="s">
        <v>1754</v>
      </c>
      <c r="E6" s="495">
        <f>I6</f>
        <v>155658.25324399999</v>
      </c>
      <c r="F6" s="496">
        <f>M6</f>
        <v>143256.57547499999</v>
      </c>
      <c r="G6" s="497">
        <f>IFERROR(IF(F6&lt;0, -(E6/F6-1), (E6/F6-1)),0)</f>
        <v>8.6569693069092235E-2</v>
      </c>
      <c r="H6" s="498"/>
      <c r="I6" s="499">
        <v>155658.25324399999</v>
      </c>
      <c r="J6" s="499">
        <v>140644.75232599999</v>
      </c>
      <c r="K6" s="499">
        <v>133529.42189299999</v>
      </c>
      <c r="L6" s="499">
        <v>136622</v>
      </c>
      <c r="M6" s="499">
        <v>143256.57547499999</v>
      </c>
      <c r="N6" s="499">
        <v>136811.017379</v>
      </c>
      <c r="O6" s="499">
        <v>132144.38526899999</v>
      </c>
      <c r="P6" s="499">
        <v>130994</v>
      </c>
      <c r="Q6" s="500">
        <v>125927.449845</v>
      </c>
      <c r="R6" s="501">
        <v>125828</v>
      </c>
      <c r="S6" s="502">
        <v>121219.440089</v>
      </c>
      <c r="T6" s="502">
        <v>116546</v>
      </c>
      <c r="U6" s="502">
        <v>119505</v>
      </c>
      <c r="V6" s="503">
        <v>118799</v>
      </c>
      <c r="W6" s="503">
        <v>115483</v>
      </c>
      <c r="X6" s="501">
        <v>123040</v>
      </c>
      <c r="Y6" s="504"/>
      <c r="Z6" s="751">
        <f>J6/M6-1</f>
        <v>-1.823178545445403E-2</v>
      </c>
    </row>
    <row r="7" spans="3:26" x14ac:dyDescent="0.3">
      <c r="C7" s="505" t="s">
        <v>1913</v>
      </c>
      <c r="D7" s="271" t="s">
        <v>1756</v>
      </c>
      <c r="E7" s="495">
        <f t="shared" ref="E7:E11" si="0">I7</f>
        <v>74459.173058</v>
      </c>
      <c r="F7" s="496">
        <f t="shared" ref="F7:F11" si="1">M7</f>
        <v>71710.817196000004</v>
      </c>
      <c r="G7" s="497">
        <f t="shared" ref="G7:G11" si="2">IFERROR(IF(F7&lt;0, -(E7/F7-1), (E7/F7-1)),0)</f>
        <v>3.8325540963899396E-2</v>
      </c>
      <c r="H7" s="498"/>
      <c r="I7" s="499">
        <v>74459.173058</v>
      </c>
      <c r="J7" s="499">
        <v>63805.064665999998</v>
      </c>
      <c r="K7" s="499">
        <v>59955.055006000002</v>
      </c>
      <c r="L7" s="499">
        <v>64283</v>
      </c>
      <c r="M7" s="499">
        <v>71710.817196000004</v>
      </c>
      <c r="N7" s="499">
        <v>70316.368627000003</v>
      </c>
      <c r="O7" s="499">
        <v>65051.324653999996</v>
      </c>
      <c r="P7" s="499">
        <v>67132</v>
      </c>
      <c r="Q7" s="500">
        <v>66929.624947999997</v>
      </c>
      <c r="R7" s="501">
        <v>65750</v>
      </c>
      <c r="S7" s="502">
        <v>63210.136863</v>
      </c>
      <c r="T7" s="502">
        <v>61473</v>
      </c>
      <c r="U7" s="502">
        <v>67132</v>
      </c>
      <c r="V7" s="503">
        <v>67272</v>
      </c>
      <c r="W7" s="503">
        <v>65633</v>
      </c>
      <c r="X7" s="501">
        <v>68014</v>
      </c>
      <c r="Y7" s="504"/>
      <c r="Z7" s="751">
        <f>J7/M7-1</f>
        <v>-0.11024490919399232</v>
      </c>
    </row>
    <row r="8" spans="3:26" x14ac:dyDescent="0.3">
      <c r="C8" s="505" t="s">
        <v>1914</v>
      </c>
      <c r="D8" s="271" t="s">
        <v>1755</v>
      </c>
      <c r="E8" s="495">
        <f t="shared" si="0"/>
        <v>81199.080186000007</v>
      </c>
      <c r="F8" s="496">
        <f t="shared" si="1"/>
        <v>71545.758279000001</v>
      </c>
      <c r="G8" s="497">
        <f t="shared" si="2"/>
        <v>0.13492514635676778</v>
      </c>
      <c r="H8" s="498"/>
      <c r="I8" s="499">
        <v>81199.080186000007</v>
      </c>
      <c r="J8" s="499">
        <v>76839.687659999996</v>
      </c>
      <c r="K8" s="499">
        <v>73574.366886999996</v>
      </c>
      <c r="L8" s="499">
        <v>72338</v>
      </c>
      <c r="M8" s="499">
        <v>71545.758279000001</v>
      </c>
      <c r="N8" s="499">
        <v>66494.648751999994</v>
      </c>
      <c r="O8" s="499">
        <v>67093.060614999995</v>
      </c>
      <c r="P8" s="499">
        <v>63862</v>
      </c>
      <c r="Q8" s="500">
        <v>58997.824896999999</v>
      </c>
      <c r="R8" s="501">
        <v>60078</v>
      </c>
      <c r="S8" s="502">
        <v>58009.303226000004</v>
      </c>
      <c r="T8" s="502">
        <v>55073</v>
      </c>
      <c r="U8" s="502">
        <v>52373</v>
      </c>
      <c r="V8" s="503">
        <v>51527</v>
      </c>
      <c r="W8" s="503">
        <v>49850</v>
      </c>
      <c r="X8" s="501">
        <v>55025</v>
      </c>
      <c r="Y8" s="504"/>
      <c r="Z8" s="751">
        <f>J8/M8-1</f>
        <v>7.3993616230270121E-2</v>
      </c>
    </row>
    <row r="9" spans="3:26" x14ac:dyDescent="0.3">
      <c r="C9" s="505" t="s">
        <v>1915</v>
      </c>
      <c r="D9" s="271" t="s">
        <v>1757</v>
      </c>
      <c r="E9" s="495">
        <f t="shared" si="0"/>
        <v>89639</v>
      </c>
      <c r="F9" s="496">
        <f t="shared" si="1"/>
        <v>89639</v>
      </c>
      <c r="G9" s="497">
        <f t="shared" si="2"/>
        <v>0</v>
      </c>
      <c r="H9" s="498"/>
      <c r="I9" s="499">
        <v>89639</v>
      </c>
      <c r="J9" s="499">
        <v>89639</v>
      </c>
      <c r="K9" s="499">
        <v>89639</v>
      </c>
      <c r="L9" s="499">
        <v>89639</v>
      </c>
      <c r="M9" s="499">
        <v>89639</v>
      </c>
      <c r="N9" s="499">
        <v>89639</v>
      </c>
      <c r="O9" s="499">
        <v>89639</v>
      </c>
      <c r="P9" s="499">
        <v>89639</v>
      </c>
      <c r="Q9" s="500">
        <v>89639</v>
      </c>
      <c r="R9" s="501">
        <v>89639</v>
      </c>
      <c r="S9" s="502">
        <v>89639</v>
      </c>
      <c r="T9" s="502">
        <v>89639</v>
      </c>
      <c r="U9" s="502">
        <v>89639</v>
      </c>
      <c r="V9" s="503">
        <v>89639</v>
      </c>
      <c r="W9" s="503">
        <v>89639</v>
      </c>
      <c r="X9" s="501">
        <v>89639</v>
      </c>
      <c r="Y9" s="504"/>
      <c r="Z9" s="751">
        <f t="shared" ref="Z9:Z11" si="3">M9/J9-1</f>
        <v>0</v>
      </c>
    </row>
    <row r="10" spans="3:26" x14ac:dyDescent="0.3">
      <c r="C10" s="505" t="s">
        <v>1916</v>
      </c>
      <c r="D10" s="271" t="s">
        <v>1758</v>
      </c>
      <c r="E10" s="495">
        <f t="shared" si="0"/>
        <v>-2243.6432799999998</v>
      </c>
      <c r="F10" s="496">
        <f t="shared" si="1"/>
        <v>-2243.6432799999998</v>
      </c>
      <c r="G10" s="497">
        <f t="shared" si="2"/>
        <v>0</v>
      </c>
      <c r="H10" s="498"/>
      <c r="I10" s="499">
        <v>-2243.6432799999998</v>
      </c>
      <c r="J10" s="499">
        <v>-2243.6432799999998</v>
      </c>
      <c r="K10" s="499">
        <v>-2243.6432799999998</v>
      </c>
      <c r="L10" s="499">
        <v>-2244</v>
      </c>
      <c r="M10" s="499">
        <v>-2243.6432799999998</v>
      </c>
      <c r="N10" s="499">
        <v>-2243.6432799999998</v>
      </c>
      <c r="O10" s="499">
        <v>-2243.6432799999998</v>
      </c>
      <c r="P10" s="499">
        <v>-2243.6432799999998</v>
      </c>
      <c r="Q10" s="500">
        <v>-2243.6432799999998</v>
      </c>
      <c r="R10" s="501">
        <v>-2243.6432799999998</v>
      </c>
      <c r="S10" s="502">
        <v>-2243.6432799999998</v>
      </c>
      <c r="T10" s="502">
        <v>-2243.6432799999998</v>
      </c>
      <c r="U10" s="502">
        <v>-2243.6432799999998</v>
      </c>
      <c r="V10" s="503">
        <v>-2243.6432799999998</v>
      </c>
      <c r="W10" s="503">
        <v>-2243.6432799999998</v>
      </c>
      <c r="X10" s="501">
        <v>-2243.6432799999998</v>
      </c>
      <c r="Y10" s="504"/>
      <c r="Z10" s="751">
        <f t="shared" si="3"/>
        <v>0</v>
      </c>
    </row>
    <row r="11" spans="3:26" x14ac:dyDescent="0.3">
      <c r="C11" s="506" t="s">
        <v>1917</v>
      </c>
      <c r="D11" s="274" t="s">
        <v>1759</v>
      </c>
      <c r="E11" s="507">
        <f t="shared" si="0"/>
        <v>-6196.2765339999996</v>
      </c>
      <c r="F11" s="507">
        <f t="shared" si="1"/>
        <v>-15849.598441</v>
      </c>
      <c r="G11" s="508">
        <f t="shared" si="2"/>
        <v>0.60905782205993497</v>
      </c>
      <c r="H11" s="509"/>
      <c r="I11" s="510">
        <v>-6196.2765339999996</v>
      </c>
      <c r="J11" s="510">
        <v>-10555.66906</v>
      </c>
      <c r="K11" s="510">
        <v>-13820.989833</v>
      </c>
      <c r="L11" s="510">
        <v>-15037</v>
      </c>
      <c r="M11" s="510">
        <v>-15849.598441</v>
      </c>
      <c r="N11" s="510">
        <v>-20900.707967999999</v>
      </c>
      <c r="O11" s="510">
        <v>-20302.296105000001</v>
      </c>
      <c r="P11" s="510">
        <v>-23533</v>
      </c>
      <c r="Q11" s="500">
        <v>-28397.531823000001</v>
      </c>
      <c r="R11" s="501">
        <v>-27317</v>
      </c>
      <c r="S11" s="502">
        <v>-29386.053494</v>
      </c>
      <c r="T11" s="502">
        <v>-32322</v>
      </c>
      <c r="U11" s="502">
        <v>-35022</v>
      </c>
      <c r="V11" s="503">
        <v>-35868</v>
      </c>
      <c r="W11" s="503">
        <v>-37546</v>
      </c>
      <c r="X11" s="501">
        <v>-32370</v>
      </c>
      <c r="Y11" s="504"/>
      <c r="Z11" s="751">
        <f t="shared" si="3"/>
        <v>0.50152475896208126</v>
      </c>
    </row>
    <row r="12" spans="3:26" x14ac:dyDescent="0.3">
      <c r="I12" s="511"/>
      <c r="J12" s="511"/>
      <c r="K12" s="511"/>
      <c r="L12" s="511"/>
      <c r="M12" s="511"/>
      <c r="N12" s="511"/>
      <c r="O12" s="511"/>
      <c r="P12" s="511"/>
      <c r="Q12" s="511"/>
      <c r="R12" s="511"/>
      <c r="S12" s="512"/>
      <c r="T12" s="512"/>
      <c r="U12" s="512"/>
      <c r="V12" s="512"/>
      <c r="W12" s="512"/>
      <c r="X12" s="511"/>
      <c r="Z12" s="750"/>
    </row>
    <row r="13" spans="3:26" x14ac:dyDescent="0.3">
      <c r="D13" s="271"/>
      <c r="E13" s="829">
        <f>E4</f>
        <v>2025</v>
      </c>
      <c r="F13" s="807">
        <f>F4</f>
        <v>2024</v>
      </c>
      <c r="G13" s="866" t="s">
        <v>1681</v>
      </c>
      <c r="H13" s="40"/>
      <c r="I13" s="40"/>
      <c r="J13" s="404">
        <f>J4</f>
        <v>2025</v>
      </c>
      <c r="K13" s="404"/>
      <c r="L13" s="405"/>
      <c r="M13" s="132"/>
      <c r="N13" s="404">
        <f>N4</f>
        <v>2024</v>
      </c>
      <c r="O13" s="404"/>
      <c r="P13" s="405"/>
      <c r="Q13" s="845">
        <f>Q4</f>
        <v>2023</v>
      </c>
      <c r="R13" s="846"/>
      <c r="S13" s="846"/>
      <c r="T13" s="847"/>
      <c r="U13" s="838">
        <v>2022</v>
      </c>
      <c r="V13" s="839"/>
      <c r="W13" s="839"/>
      <c r="X13" s="839"/>
    </row>
    <row r="14" spans="3:26" x14ac:dyDescent="0.3">
      <c r="C14" s="468" t="s">
        <v>1911</v>
      </c>
      <c r="D14" s="271" t="s">
        <v>1774</v>
      </c>
      <c r="E14" s="830" t="str">
        <f>I14</f>
        <v>Q4</v>
      </c>
      <c r="F14" s="808" t="s">
        <v>1971</v>
      </c>
      <c r="G14" s="868"/>
      <c r="H14" s="40"/>
      <c r="I14" s="810" t="s">
        <v>28</v>
      </c>
      <c r="J14" s="810" t="s">
        <v>30</v>
      </c>
      <c r="K14" s="822" t="s">
        <v>1957</v>
      </c>
      <c r="L14" s="822" t="str">
        <f>L5</f>
        <v>Q1</v>
      </c>
      <c r="M14" s="822" t="s">
        <v>31</v>
      </c>
      <c r="N14" s="822" t="s">
        <v>30</v>
      </c>
      <c r="O14" s="822" t="s">
        <v>1958</v>
      </c>
      <c r="P14" s="822" t="str">
        <f>P5</f>
        <v>Q1</v>
      </c>
      <c r="Q14" s="808" t="s">
        <v>31</v>
      </c>
      <c r="R14" s="821" t="s">
        <v>1890</v>
      </c>
      <c r="S14" s="823" t="s">
        <v>1814</v>
      </c>
      <c r="T14" s="823" t="str">
        <f>T5</f>
        <v>Q1</v>
      </c>
      <c r="U14" s="823" t="s">
        <v>1685</v>
      </c>
      <c r="V14" s="803" t="s">
        <v>1688</v>
      </c>
      <c r="W14" s="803" t="s">
        <v>1814</v>
      </c>
      <c r="X14" s="821" t="s">
        <v>1685</v>
      </c>
    </row>
    <row r="15" spans="3:26" x14ac:dyDescent="0.3">
      <c r="C15" s="494" t="s">
        <v>1918</v>
      </c>
      <c r="D15" s="272" t="s">
        <v>1760</v>
      </c>
      <c r="E15" s="495">
        <f>I15</f>
        <v>276386.103022</v>
      </c>
      <c r="F15" s="496">
        <f>M15</f>
        <v>270613.47800399998</v>
      </c>
      <c r="G15" s="497">
        <f t="shared" ref="G15:G18" si="4">IFERROR(IF(F15&lt;0, -(E15/F15-1), (E15/F15-1)),0)</f>
        <v>2.1331624206517574E-2</v>
      </c>
      <c r="H15" s="498"/>
      <c r="I15" s="499">
        <v>276386.103022</v>
      </c>
      <c r="J15" s="499">
        <v>192426.833235</v>
      </c>
      <c r="K15" s="499">
        <v>122425.09341099999</v>
      </c>
      <c r="L15" s="499">
        <v>62784</v>
      </c>
      <c r="M15" s="499">
        <v>270613.47800399998</v>
      </c>
      <c r="N15" s="499">
        <v>192801.60190199999</v>
      </c>
      <c r="O15" s="499">
        <v>131587.55908199999</v>
      </c>
      <c r="P15" s="499">
        <v>68679</v>
      </c>
      <c r="Q15" s="503">
        <v>206676.72964999999</v>
      </c>
      <c r="R15" s="502">
        <v>154641</v>
      </c>
      <c r="S15" s="502">
        <v>100971</v>
      </c>
      <c r="T15" s="502">
        <v>49600</v>
      </c>
      <c r="U15" s="502">
        <v>201678</v>
      </c>
      <c r="V15" s="503">
        <v>149581</v>
      </c>
      <c r="W15" s="503">
        <v>98521</v>
      </c>
      <c r="X15" s="501">
        <v>188295</v>
      </c>
      <c r="Y15" s="513"/>
      <c r="Z15" s="403"/>
    </row>
    <row r="16" spans="3:26" x14ac:dyDescent="0.3">
      <c r="C16" s="505" t="s">
        <v>1919</v>
      </c>
      <c r="D16" s="271" t="s">
        <v>1761</v>
      </c>
      <c r="E16" s="495">
        <f t="shared" ref="E16:E18" si="5">I16</f>
        <v>269661.38095899997</v>
      </c>
      <c r="F16" s="496">
        <f t="shared" ref="F16:F18" si="6">M16</f>
        <v>265809.88661799999</v>
      </c>
      <c r="G16" s="497">
        <f t="shared" si="4"/>
        <v>1.4489657965713887E-2</v>
      </c>
      <c r="H16" s="498"/>
      <c r="I16" s="499">
        <v>269661.38095899997</v>
      </c>
      <c r="J16" s="499">
        <v>189571.67209800001</v>
      </c>
      <c r="K16" s="499">
        <v>122044.33559</v>
      </c>
      <c r="L16" s="499">
        <v>62857</v>
      </c>
      <c r="M16" s="499">
        <v>265809.88661799999</v>
      </c>
      <c r="N16" s="499">
        <v>187980.186208</v>
      </c>
      <c r="O16" s="499">
        <v>125289.417921</v>
      </c>
      <c r="P16" s="499">
        <v>64592</v>
      </c>
      <c r="Q16" s="503">
        <v>202897.01420500001</v>
      </c>
      <c r="R16" s="502">
        <v>149318</v>
      </c>
      <c r="S16" s="502">
        <v>96982</v>
      </c>
      <c r="T16" s="502">
        <v>47663</v>
      </c>
      <c r="U16" s="502">
        <v>206086</v>
      </c>
      <c r="V16" s="503">
        <v>154065</v>
      </c>
      <c r="W16" s="503">
        <v>104302</v>
      </c>
      <c r="X16" s="501">
        <v>214563</v>
      </c>
      <c r="Y16" s="513"/>
      <c r="Z16" s="403"/>
    </row>
    <row r="17" spans="3:26" x14ac:dyDescent="0.3">
      <c r="C17" s="505" t="s">
        <v>86</v>
      </c>
      <c r="D17" s="271" t="s">
        <v>1762</v>
      </c>
      <c r="E17" s="495">
        <f t="shared" si="5"/>
        <v>10229.5897</v>
      </c>
      <c r="F17" s="496">
        <f t="shared" si="6"/>
        <v>8279.6928360000002</v>
      </c>
      <c r="G17" s="403">
        <f t="shared" si="4"/>
        <v>0.23550352683639098</v>
      </c>
      <c r="I17" s="499">
        <v>10229.5897</v>
      </c>
      <c r="J17" s="499">
        <v>5293.9293809999999</v>
      </c>
      <c r="K17" s="499">
        <v>2028.608608</v>
      </c>
      <c r="L17" s="499">
        <v>793</v>
      </c>
      <c r="M17" s="499">
        <v>8279.6928360000002</v>
      </c>
      <c r="N17" s="499">
        <v>7496.8238549999996</v>
      </c>
      <c r="O17" s="499">
        <v>8095.2357179999999</v>
      </c>
      <c r="P17" s="499">
        <v>4864</v>
      </c>
      <c r="Q17" s="503">
        <v>6702.0589440000003</v>
      </c>
      <c r="R17" s="502">
        <v>7705</v>
      </c>
      <c r="S17" s="502">
        <v>5636</v>
      </c>
      <c r="T17" s="502">
        <v>2700</v>
      </c>
      <c r="U17" s="502">
        <v>-2652</v>
      </c>
      <c r="V17" s="503">
        <v>-3498</v>
      </c>
      <c r="W17" s="503">
        <v>-5176</v>
      </c>
      <c r="X17" s="501">
        <v>-25570</v>
      </c>
      <c r="Y17" s="513"/>
      <c r="Z17" s="403"/>
    </row>
    <row r="18" spans="3:26" x14ac:dyDescent="0.3">
      <c r="C18" s="506" t="s">
        <v>88</v>
      </c>
      <c r="D18" s="274" t="s">
        <v>1763</v>
      </c>
      <c r="E18" s="507">
        <f t="shared" si="5"/>
        <v>6664.116043</v>
      </c>
      <c r="F18" s="507">
        <f t="shared" si="6"/>
        <v>12547.933381999999</v>
      </c>
      <c r="G18" s="514">
        <f t="shared" si="4"/>
        <v>-0.46890728216969424</v>
      </c>
      <c r="H18" s="311"/>
      <c r="I18" s="510">
        <v>6664.116043</v>
      </c>
      <c r="J18" s="510">
        <v>5293.9293809999999</v>
      </c>
      <c r="K18" s="510">
        <v>2028.608608</v>
      </c>
      <c r="L18" s="510">
        <v>793</v>
      </c>
      <c r="M18" s="510">
        <v>12547.933381999999</v>
      </c>
      <c r="N18" s="510">
        <v>7496.8238549999996</v>
      </c>
      <c r="O18" s="510">
        <v>8095.2357179999999</v>
      </c>
      <c r="P18" s="510">
        <v>4864</v>
      </c>
      <c r="Q18" s="515">
        <v>6624.4874010000003</v>
      </c>
      <c r="R18" s="516">
        <v>7705</v>
      </c>
      <c r="S18" s="516">
        <v>5636</v>
      </c>
      <c r="T18" s="516">
        <v>2700</v>
      </c>
      <c r="U18" s="516">
        <v>-2652</v>
      </c>
      <c r="V18" s="515">
        <v>-3498</v>
      </c>
      <c r="W18" s="515">
        <v>-5176</v>
      </c>
      <c r="X18" s="517">
        <v>-25570</v>
      </c>
      <c r="Y18" s="513"/>
      <c r="Z18" s="403"/>
    </row>
    <row r="19" spans="3:26" x14ac:dyDescent="0.3">
      <c r="S19" s="518"/>
    </row>
    <row r="21" spans="3:26" x14ac:dyDescent="0.3">
      <c r="M21" s="504"/>
      <c r="N21" s="504"/>
      <c r="O21" s="504"/>
      <c r="P21" s="504"/>
      <c r="Q21" s="504"/>
      <c r="R21" s="504"/>
      <c r="S21" s="562"/>
      <c r="T21" s="562"/>
      <c r="U21" s="562"/>
      <c r="V21" s="562"/>
      <c r="W21" s="562"/>
      <c r="X21" s="504"/>
    </row>
    <row r="22" spans="3:26" x14ac:dyDescent="0.3">
      <c r="M22" s="504"/>
      <c r="N22" s="504"/>
      <c r="O22" s="504"/>
      <c r="P22" s="504"/>
      <c r="Q22" s="504"/>
      <c r="R22" s="504"/>
      <c r="S22" s="562"/>
      <c r="T22" s="562"/>
      <c r="U22" s="562"/>
      <c r="V22" s="562"/>
      <c r="W22" s="562"/>
      <c r="X22" s="504"/>
    </row>
    <row r="23" spans="3:26" x14ac:dyDescent="0.3">
      <c r="I23" s="504"/>
      <c r="J23" s="504"/>
      <c r="K23" s="504"/>
      <c r="L23" s="504"/>
      <c r="M23" s="504"/>
      <c r="N23" s="504"/>
      <c r="O23" s="504"/>
      <c r="P23" s="504"/>
      <c r="Q23" s="504"/>
      <c r="R23" s="504"/>
      <c r="S23" s="562"/>
      <c r="T23" s="562"/>
      <c r="U23" s="562"/>
      <c r="V23" s="562"/>
      <c r="W23" s="562"/>
      <c r="X23" s="504"/>
    </row>
    <row r="24" spans="3:26" x14ac:dyDescent="0.3">
      <c r="I24" s="504"/>
      <c r="J24" s="504"/>
      <c r="K24" s="504"/>
      <c r="L24" s="504"/>
      <c r="M24" s="562"/>
      <c r="N24" s="562"/>
      <c r="O24" s="562"/>
      <c r="P24" s="562"/>
      <c r="Q24" s="504"/>
      <c r="R24" s="504"/>
      <c r="S24" s="562"/>
      <c r="T24" s="562"/>
      <c r="U24" s="562"/>
      <c r="V24" s="562"/>
      <c r="W24" s="562"/>
      <c r="X24" s="504"/>
    </row>
    <row r="25" spans="3:26" x14ac:dyDescent="0.3">
      <c r="I25" s="504"/>
      <c r="J25" s="504"/>
      <c r="K25" s="504"/>
      <c r="L25" s="504"/>
      <c r="M25" s="562"/>
      <c r="N25" s="562"/>
      <c r="O25" s="562"/>
      <c r="P25" s="562"/>
      <c r="Q25" s="563"/>
      <c r="R25" s="563"/>
      <c r="S25" s="563"/>
      <c r="T25" s="563"/>
      <c r="U25" s="563"/>
      <c r="V25" s="563"/>
      <c r="W25" s="563"/>
      <c r="X25" s="563"/>
    </row>
    <row r="26" spans="3:26" x14ac:dyDescent="0.3">
      <c r="I26" s="504"/>
      <c r="J26" s="504"/>
      <c r="K26" s="504"/>
      <c r="L26" s="504"/>
      <c r="M26" s="562"/>
      <c r="N26" s="562"/>
      <c r="O26" s="562"/>
      <c r="P26" s="562"/>
      <c r="Q26" s="563"/>
      <c r="R26" s="563"/>
      <c r="S26" s="563"/>
      <c r="T26" s="563"/>
      <c r="U26" s="563"/>
      <c r="V26" s="563"/>
      <c r="W26" s="563"/>
      <c r="X26" s="563"/>
    </row>
    <row r="28" spans="3:26" x14ac:dyDescent="0.3">
      <c r="I28" s="504"/>
      <c r="J28" s="504"/>
      <c r="K28" s="504"/>
      <c r="L28" s="504"/>
      <c r="M28" s="504"/>
      <c r="N28" s="504"/>
      <c r="O28" s="504"/>
      <c r="P28" s="504"/>
    </row>
    <row r="29" spans="3:26" x14ac:dyDescent="0.3">
      <c r="I29" s="504"/>
      <c r="J29" s="504"/>
      <c r="K29" s="504"/>
      <c r="L29" s="504"/>
      <c r="M29" s="504"/>
      <c r="N29" s="504"/>
      <c r="O29" s="504"/>
      <c r="P29" s="504"/>
    </row>
    <row r="30" spans="3:26" x14ac:dyDescent="0.3">
      <c r="I30" s="504"/>
      <c r="J30" s="504"/>
      <c r="K30" s="504"/>
      <c r="L30" s="504"/>
      <c r="M30" s="504"/>
      <c r="N30" s="504"/>
      <c r="O30" s="504"/>
      <c r="P30" s="504"/>
    </row>
    <row r="31" spans="3:26" x14ac:dyDescent="0.3">
      <c r="I31" s="564"/>
      <c r="J31" s="564"/>
      <c r="K31" s="564"/>
      <c r="L31" s="564"/>
      <c r="M31" s="564"/>
      <c r="N31" s="564"/>
      <c r="O31" s="564"/>
      <c r="P31" s="564"/>
    </row>
  </sheetData>
  <mergeCells count="6">
    <mergeCell ref="U4:X4"/>
    <mergeCell ref="U13:X13"/>
    <mergeCell ref="G13:G14"/>
    <mergeCell ref="G4:G5"/>
    <mergeCell ref="Q4:T4"/>
    <mergeCell ref="Q13:T13"/>
  </mergeCells>
  <phoneticPr fontId="1" type="noConversion"/>
  <pageMargins left="0.7" right="0.7" top="0.75" bottom="0.75" header="0.3" footer="0.3"/>
  <pageSetup paperSize="9" scale="54"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O106"/>
  <sheetViews>
    <sheetView showGridLines="0" showZeros="0" view="pageBreakPreview" zoomScale="85" zoomScaleNormal="100" zoomScaleSheetLayoutView="85" workbookViewId="0">
      <selection activeCell="G47" sqref="G47"/>
    </sheetView>
  </sheetViews>
  <sheetFormatPr defaultRowHeight="16.5" x14ac:dyDescent="0.3"/>
  <cols>
    <col min="1" max="1" width="1.875" style="786" customWidth="1"/>
    <col min="2" max="2" width="1.5" style="786" customWidth="1"/>
    <col min="3" max="3" width="24.25" style="309" customWidth="1"/>
    <col min="4" max="4" width="47.625" style="785" customWidth="1"/>
    <col min="5" max="9" width="15.625" style="786" customWidth="1"/>
    <col min="10" max="10" width="20.75" style="786" customWidth="1"/>
    <col min="11" max="11" width="15.375" style="786" customWidth="1"/>
    <col min="12" max="12" width="22.375" style="786" customWidth="1"/>
    <col min="13" max="13" width="20.75" style="786" customWidth="1"/>
    <col min="14" max="16384" width="9" style="786"/>
  </cols>
  <sheetData>
    <row r="2" spans="2:15" x14ac:dyDescent="0.3">
      <c r="B2" s="784" t="s">
        <v>1976</v>
      </c>
      <c r="C2" s="460"/>
      <c r="D2" s="785" t="s">
        <v>1850</v>
      </c>
      <c r="J2" s="787"/>
      <c r="K2" s="787"/>
      <c r="L2" s="788"/>
    </row>
    <row r="3" spans="2:15" x14ac:dyDescent="0.3">
      <c r="C3" s="492" t="s">
        <v>1977</v>
      </c>
      <c r="J3" s="789"/>
      <c r="K3" s="787"/>
    </row>
    <row r="4" spans="2:15" x14ac:dyDescent="0.3">
      <c r="C4" s="895" t="s">
        <v>1785</v>
      </c>
      <c r="D4" s="896"/>
      <c r="E4" s="893" t="s">
        <v>1786</v>
      </c>
      <c r="F4" s="893" t="s">
        <v>1787</v>
      </c>
      <c r="G4" s="893" t="s">
        <v>1361</v>
      </c>
      <c r="H4" s="893" t="s">
        <v>1788</v>
      </c>
      <c r="I4" s="893" t="s">
        <v>1789</v>
      </c>
      <c r="J4" s="790" t="s">
        <v>1978</v>
      </c>
      <c r="K4" s="790" t="s">
        <v>1979</v>
      </c>
      <c r="L4" s="790" t="s">
        <v>1980</v>
      </c>
      <c r="M4" s="790" t="s">
        <v>1981</v>
      </c>
    </row>
    <row r="5" spans="2:15" ht="14.25" x14ac:dyDescent="0.3">
      <c r="C5" s="897"/>
      <c r="D5" s="898"/>
      <c r="E5" s="894"/>
      <c r="F5" s="894"/>
      <c r="G5" s="894"/>
      <c r="H5" s="894"/>
      <c r="I5" s="894"/>
      <c r="J5" s="791" t="s">
        <v>1826</v>
      </c>
      <c r="K5" s="791" t="s">
        <v>1827</v>
      </c>
      <c r="L5" s="791" t="s">
        <v>1828</v>
      </c>
      <c r="M5" s="791" t="s">
        <v>1829</v>
      </c>
    </row>
    <row r="6" spans="2:15" x14ac:dyDescent="0.3">
      <c r="C6" s="461" t="s">
        <v>1794</v>
      </c>
      <c r="D6" s="792" t="s">
        <v>1830</v>
      </c>
      <c r="E6" s="793">
        <v>24086.415899504002</v>
      </c>
      <c r="F6" s="793">
        <v>402.79629642100002</v>
      </c>
      <c r="G6" s="793">
        <v>2058.4231200469999</v>
      </c>
      <c r="H6" s="793">
        <v>139.258870952</v>
      </c>
      <c r="I6" s="793">
        <v>808.43907370299996</v>
      </c>
      <c r="J6" s="793">
        <v>0</v>
      </c>
      <c r="K6" s="793">
        <v>0</v>
      </c>
      <c r="L6" s="793">
        <v>0</v>
      </c>
      <c r="M6" s="793">
        <v>0</v>
      </c>
      <c r="O6" s="794"/>
    </row>
    <row r="7" spans="2:15" x14ac:dyDescent="0.3">
      <c r="C7" s="462" t="s">
        <v>1795</v>
      </c>
      <c r="D7" s="795" t="s">
        <v>1831</v>
      </c>
      <c r="E7" s="793">
        <v>23328.215001244</v>
      </c>
      <c r="F7" s="793">
        <v>383.28706213800001</v>
      </c>
      <c r="G7" s="793">
        <v>2078.2120689789999</v>
      </c>
      <c r="H7" s="793">
        <v>73.663301851</v>
      </c>
      <c r="I7" s="793">
        <v>325.07891203700001</v>
      </c>
      <c r="J7" s="793">
        <v>0</v>
      </c>
      <c r="K7" s="793">
        <v>0</v>
      </c>
      <c r="L7" s="793">
        <v>0</v>
      </c>
      <c r="M7" s="793">
        <v>0</v>
      </c>
      <c r="O7" s="794"/>
    </row>
    <row r="8" spans="2:15" x14ac:dyDescent="0.3">
      <c r="C8" s="463" t="s">
        <v>1796</v>
      </c>
      <c r="D8" s="796" t="s">
        <v>1832</v>
      </c>
      <c r="E8" s="797">
        <v>758.20089826000003</v>
      </c>
      <c r="F8" s="797">
        <v>19.509234283000001</v>
      </c>
      <c r="G8" s="797">
        <v>-19.788948932</v>
      </c>
      <c r="H8" s="797">
        <v>65.595569100999995</v>
      </c>
      <c r="I8" s="797">
        <v>483.36016166600001</v>
      </c>
      <c r="J8" s="797">
        <v>960.68311652800003</v>
      </c>
      <c r="K8" s="797">
        <v>1143.3084798469999</v>
      </c>
      <c r="L8" s="797">
        <v>2934.6628874120001</v>
      </c>
      <c r="M8" s="797">
        <v>663.73184779300004</v>
      </c>
      <c r="O8" s="794"/>
    </row>
    <row r="9" spans="2:15" x14ac:dyDescent="0.3">
      <c r="C9" s="461" t="s">
        <v>1797</v>
      </c>
      <c r="D9" s="792" t="s">
        <v>1833</v>
      </c>
      <c r="E9" s="793">
        <v>-601.50208515400004</v>
      </c>
      <c r="F9" s="793">
        <v>70.011070787999998</v>
      </c>
      <c r="G9" s="793">
        <v>539.267330818</v>
      </c>
      <c r="H9" s="793">
        <v>7.7763164519999997</v>
      </c>
      <c r="I9" s="793">
        <v>0</v>
      </c>
      <c r="J9" s="793">
        <v>7.7763164519999997</v>
      </c>
      <c r="K9" s="793">
        <v>0</v>
      </c>
      <c r="L9" s="793">
        <v>0</v>
      </c>
      <c r="M9" s="793">
        <v>0</v>
      </c>
      <c r="O9" s="794"/>
    </row>
    <row r="10" spans="2:15" x14ac:dyDescent="0.3">
      <c r="C10" s="464" t="s">
        <v>1798</v>
      </c>
      <c r="D10" s="798" t="s">
        <v>1834</v>
      </c>
      <c r="E10" s="793">
        <v>2256.5007834180001</v>
      </c>
      <c r="F10" s="793">
        <v>9.963375374</v>
      </c>
      <c r="G10" s="793">
        <v>60.657923332999999</v>
      </c>
      <c r="H10" s="793">
        <v>0</v>
      </c>
      <c r="I10" s="793">
        <v>0</v>
      </c>
      <c r="J10" s="793">
        <v>0</v>
      </c>
      <c r="K10" s="793">
        <v>0</v>
      </c>
      <c r="L10" s="793">
        <v>2936.4169807329999</v>
      </c>
      <c r="M10" s="793">
        <v>609.29489860800004</v>
      </c>
      <c r="O10" s="794"/>
    </row>
    <row r="11" spans="2:15" x14ac:dyDescent="0.3">
      <c r="C11" s="464" t="s">
        <v>1799</v>
      </c>
      <c r="D11" s="798" t="s">
        <v>1835</v>
      </c>
      <c r="E11" s="793">
        <v>-247.31434678900001</v>
      </c>
      <c r="F11" s="793">
        <v>0</v>
      </c>
      <c r="G11" s="793">
        <v>143.179634257</v>
      </c>
      <c r="H11" s="793">
        <v>63.971245379999999</v>
      </c>
      <c r="I11" s="793">
        <v>0</v>
      </c>
      <c r="J11" s="793">
        <v>63.971245379999999</v>
      </c>
      <c r="K11" s="793">
        <v>0</v>
      </c>
      <c r="L11" s="793">
        <v>0</v>
      </c>
      <c r="M11" s="793">
        <v>0</v>
      </c>
      <c r="O11" s="794"/>
    </row>
    <row r="12" spans="2:15" x14ac:dyDescent="0.3">
      <c r="C12" s="464" t="s">
        <v>1800</v>
      </c>
      <c r="D12" s="798" t="s">
        <v>1836</v>
      </c>
      <c r="E12" s="793">
        <v>-680.25381132699999</v>
      </c>
      <c r="F12" s="793">
        <v>0</v>
      </c>
      <c r="G12" s="793">
        <v>0</v>
      </c>
      <c r="H12" s="793">
        <v>0</v>
      </c>
      <c r="I12" s="793">
        <v>0</v>
      </c>
      <c r="J12" s="793">
        <v>678.91837311100005</v>
      </c>
      <c r="K12" s="793">
        <v>678.47039029600001</v>
      </c>
      <c r="L12" s="793">
        <v>-1.783421031</v>
      </c>
      <c r="M12" s="793">
        <v>0</v>
      </c>
      <c r="O12" s="794"/>
    </row>
    <row r="13" spans="2:15" x14ac:dyDescent="0.3">
      <c r="C13" s="464" t="s">
        <v>1801</v>
      </c>
      <c r="D13" s="798" t="s">
        <v>1982</v>
      </c>
      <c r="E13" s="793">
        <v>0</v>
      </c>
      <c r="F13" s="793">
        <v>-43.952026533999998</v>
      </c>
      <c r="G13" s="793">
        <v>0</v>
      </c>
      <c r="H13" s="793">
        <v>0</v>
      </c>
      <c r="I13" s="793">
        <v>0</v>
      </c>
      <c r="J13" s="793">
        <v>0</v>
      </c>
      <c r="K13" s="793">
        <v>43.952026533999998</v>
      </c>
      <c r="L13" s="793">
        <v>0</v>
      </c>
      <c r="M13" s="793">
        <v>0</v>
      </c>
      <c r="O13" s="794"/>
    </row>
    <row r="14" spans="2:15" x14ac:dyDescent="0.3">
      <c r="C14" s="464" t="s">
        <v>1802</v>
      </c>
      <c r="D14" s="798" t="s">
        <v>1838</v>
      </c>
      <c r="E14" s="793">
        <v>395.53910711399999</v>
      </c>
      <c r="F14" s="793">
        <v>-8.5355093390000008</v>
      </c>
      <c r="G14" s="793">
        <v>-415.300314184</v>
      </c>
      <c r="H14" s="793">
        <v>-28.296716408999998</v>
      </c>
      <c r="I14" s="793">
        <v>0</v>
      </c>
      <c r="J14" s="793">
        <v>-28.296716408999998</v>
      </c>
      <c r="K14" s="793">
        <v>0</v>
      </c>
      <c r="L14" s="793">
        <v>0</v>
      </c>
      <c r="M14" s="793">
        <v>0</v>
      </c>
      <c r="O14" s="794"/>
    </row>
    <row r="15" spans="2:15" x14ac:dyDescent="0.3">
      <c r="C15" s="464" t="s">
        <v>1803</v>
      </c>
      <c r="D15" s="798" t="s">
        <v>1839</v>
      </c>
      <c r="E15" s="793">
        <v>502.885824071</v>
      </c>
      <c r="F15" s="793">
        <v>-19.788537180999999</v>
      </c>
      <c r="G15" s="793">
        <v>-455.23124945000001</v>
      </c>
      <c r="H15" s="793">
        <v>27.866037439999999</v>
      </c>
      <c r="I15" s="793">
        <v>0</v>
      </c>
      <c r="J15" s="793">
        <v>27.866037439999999</v>
      </c>
      <c r="K15" s="793">
        <v>0</v>
      </c>
      <c r="L15" s="793">
        <v>0</v>
      </c>
      <c r="M15" s="793">
        <v>0</v>
      </c>
      <c r="O15" s="794"/>
    </row>
    <row r="16" spans="2:15" x14ac:dyDescent="0.3">
      <c r="C16" s="464" t="s">
        <v>1804</v>
      </c>
      <c r="D16" s="798" t="s">
        <v>1840</v>
      </c>
      <c r="E16" s="793">
        <v>5.6840640589999998</v>
      </c>
      <c r="F16" s="793">
        <v>-2.5354037960000002</v>
      </c>
      <c r="G16" s="793">
        <v>0</v>
      </c>
      <c r="H16" s="793">
        <v>0</v>
      </c>
      <c r="I16" s="793">
        <v>-3.148660263</v>
      </c>
      <c r="J16" s="793">
        <v>0</v>
      </c>
      <c r="K16" s="793">
        <v>0</v>
      </c>
      <c r="L16" s="793">
        <v>0</v>
      </c>
      <c r="M16" s="793">
        <v>0</v>
      </c>
      <c r="O16" s="794"/>
    </row>
    <row r="17" spans="3:15" x14ac:dyDescent="0.3">
      <c r="C17" s="464" t="s">
        <v>1805</v>
      </c>
      <c r="D17" s="798" t="s">
        <v>1841</v>
      </c>
      <c r="E17" s="793">
        <v>472.19613114399999</v>
      </c>
      <c r="F17" s="793">
        <v>-14.933389905</v>
      </c>
      <c r="G17" s="793">
        <v>-309.49163775</v>
      </c>
      <c r="H17" s="793">
        <v>21.148662973</v>
      </c>
      <c r="I17" s="793">
        <v>-126.622440516</v>
      </c>
      <c r="J17" s="793">
        <v>21.148662973</v>
      </c>
      <c r="K17" s="793">
        <v>0</v>
      </c>
      <c r="L17" s="793">
        <v>0</v>
      </c>
      <c r="M17" s="793">
        <v>0</v>
      </c>
      <c r="O17" s="794"/>
    </row>
    <row r="18" spans="3:15" x14ac:dyDescent="0.3">
      <c r="C18" s="464" t="s">
        <v>1806</v>
      </c>
      <c r="D18" s="798" t="s">
        <v>1983</v>
      </c>
      <c r="E18" s="793">
        <v>-628.08727326099995</v>
      </c>
      <c r="F18" s="793">
        <v>0</v>
      </c>
      <c r="G18" s="793">
        <v>582.365452667</v>
      </c>
      <c r="H18" s="793">
        <v>-45.721820594</v>
      </c>
      <c r="I18" s="793">
        <v>0</v>
      </c>
      <c r="J18" s="793">
        <v>-45.721820594</v>
      </c>
      <c r="K18" s="793">
        <v>0</v>
      </c>
      <c r="L18" s="793">
        <v>0</v>
      </c>
      <c r="M18" s="793">
        <v>0</v>
      </c>
      <c r="O18" s="794"/>
    </row>
    <row r="19" spans="3:15" x14ac:dyDescent="0.3">
      <c r="C19" s="799" t="s">
        <v>1984</v>
      </c>
      <c r="D19" s="800" t="s">
        <v>1985</v>
      </c>
      <c r="E19" s="801">
        <v>-54.407612632000003</v>
      </c>
      <c r="F19" s="801">
        <v>0</v>
      </c>
      <c r="G19" s="801">
        <v>0</v>
      </c>
      <c r="H19" s="801">
        <v>0</v>
      </c>
      <c r="I19" s="801">
        <v>0</v>
      </c>
      <c r="J19" s="801">
        <v>0</v>
      </c>
      <c r="K19" s="801">
        <v>0</v>
      </c>
      <c r="L19" s="801">
        <v>2.932771E-2</v>
      </c>
      <c r="M19" s="801">
        <v>54.436940342</v>
      </c>
      <c r="O19" s="794"/>
    </row>
    <row r="20" spans="3:15" x14ac:dyDescent="0.3">
      <c r="C20" s="464" t="s">
        <v>1807</v>
      </c>
      <c r="D20" s="798" t="s">
        <v>1843</v>
      </c>
      <c r="E20" s="793">
        <v>-663.03988238299996</v>
      </c>
      <c r="F20" s="793">
        <v>29.279654875999999</v>
      </c>
      <c r="G20" s="793">
        <v>22.056405349999999</v>
      </c>
      <c r="H20" s="793">
        <v>1.4274491309999999</v>
      </c>
      <c r="I20" s="793">
        <v>613.13126244499995</v>
      </c>
      <c r="J20" s="793">
        <v>1.4274491309999999</v>
      </c>
      <c r="K20" s="793">
        <v>0</v>
      </c>
      <c r="L20" s="793">
        <v>0</v>
      </c>
      <c r="M20" s="793">
        <v>8.8429999999999999E-6</v>
      </c>
      <c r="O20" s="794"/>
    </row>
    <row r="21" spans="3:15" x14ac:dyDescent="0.3">
      <c r="C21" s="464" t="s">
        <v>1808</v>
      </c>
      <c r="D21" s="798" t="s">
        <v>1844</v>
      </c>
      <c r="E21" s="793">
        <v>0</v>
      </c>
      <c r="F21" s="793">
        <v>0</v>
      </c>
      <c r="G21" s="793">
        <v>-205.831483765</v>
      </c>
      <c r="H21" s="793">
        <v>0</v>
      </c>
      <c r="I21" s="793">
        <v>0</v>
      </c>
      <c r="J21" s="793">
        <v>0</v>
      </c>
      <c r="K21" s="793">
        <v>205.831483765</v>
      </c>
      <c r="L21" s="793">
        <v>0</v>
      </c>
      <c r="M21" s="793">
        <v>0</v>
      </c>
      <c r="O21" s="794"/>
    </row>
    <row r="22" spans="3:15" x14ac:dyDescent="0.3">
      <c r="C22" s="464" t="s">
        <v>1809</v>
      </c>
      <c r="D22" s="798" t="s">
        <v>1845</v>
      </c>
      <c r="E22" s="793">
        <v>0</v>
      </c>
      <c r="F22" s="793">
        <v>0</v>
      </c>
      <c r="G22" s="793">
        <v>0</v>
      </c>
      <c r="H22" s="793">
        <v>0</v>
      </c>
      <c r="I22" s="793">
        <v>0</v>
      </c>
      <c r="J22" s="793">
        <v>218.86443749399999</v>
      </c>
      <c r="K22" s="793">
        <v>218.86443749399999</v>
      </c>
      <c r="L22" s="793">
        <v>0</v>
      </c>
      <c r="M22" s="793">
        <v>0</v>
      </c>
      <c r="O22" s="794"/>
    </row>
    <row r="23" spans="3:15" x14ac:dyDescent="0.3">
      <c r="C23" s="462" t="s">
        <v>1810</v>
      </c>
      <c r="D23" s="795" t="s">
        <v>1846</v>
      </c>
      <c r="E23" s="802">
        <v>0</v>
      </c>
      <c r="F23" s="802">
        <v>0</v>
      </c>
      <c r="G23" s="802">
        <v>18.538989791999999</v>
      </c>
      <c r="H23" s="802">
        <v>17.424394727999999</v>
      </c>
      <c r="I23" s="802">
        <v>0</v>
      </c>
      <c r="J23" s="802">
        <v>14.72913155</v>
      </c>
      <c r="K23" s="802">
        <v>-3.8098582419999998</v>
      </c>
      <c r="L23" s="802">
        <v>0</v>
      </c>
      <c r="M23" s="802">
        <v>0</v>
      </c>
      <c r="O23" s="794"/>
    </row>
    <row r="24" spans="3:15" x14ac:dyDescent="0.3">
      <c r="E24" s="787"/>
      <c r="F24" s="787"/>
      <c r="G24" s="787"/>
      <c r="H24" s="794"/>
      <c r="I24" s="787"/>
      <c r="J24" s="787"/>
      <c r="K24" s="787"/>
      <c r="L24" s="787"/>
      <c r="M24" s="787"/>
      <c r="O24" s="794"/>
    </row>
    <row r="25" spans="3:15" x14ac:dyDescent="0.3">
      <c r="O25" s="794"/>
    </row>
    <row r="26" spans="3:15" x14ac:dyDescent="0.3">
      <c r="C26" s="895" t="s">
        <v>1790</v>
      </c>
      <c r="D26" s="896"/>
      <c r="E26" s="893" t="s">
        <v>1786</v>
      </c>
      <c r="F26" s="893" t="s">
        <v>1787</v>
      </c>
      <c r="G26" s="893" t="s">
        <v>1361</v>
      </c>
      <c r="H26" s="893" t="s">
        <v>1788</v>
      </c>
      <c r="I26" s="893" t="s">
        <v>1789</v>
      </c>
      <c r="J26" s="790" t="s">
        <v>1978</v>
      </c>
      <c r="K26" s="790" t="s">
        <v>1979</v>
      </c>
      <c r="L26" s="790" t="s">
        <v>1980</v>
      </c>
      <c r="M26" s="790" t="s">
        <v>1981</v>
      </c>
      <c r="O26" s="794"/>
    </row>
    <row r="27" spans="3:15" ht="14.25" x14ac:dyDescent="0.3">
      <c r="C27" s="897"/>
      <c r="D27" s="898"/>
      <c r="E27" s="894"/>
      <c r="F27" s="894"/>
      <c r="G27" s="894"/>
      <c r="H27" s="894"/>
      <c r="I27" s="894"/>
      <c r="J27" s="791" t="s">
        <v>1826</v>
      </c>
      <c r="K27" s="791" t="s">
        <v>1827</v>
      </c>
      <c r="L27" s="791" t="s">
        <v>1828</v>
      </c>
      <c r="M27" s="791" t="s">
        <v>1829</v>
      </c>
    </row>
    <row r="28" spans="3:15" x14ac:dyDescent="0.3">
      <c r="C28" s="461" t="s">
        <v>1794</v>
      </c>
      <c r="D28" s="792" t="s">
        <v>1830</v>
      </c>
      <c r="E28" s="793">
        <v>4448.3234639860002</v>
      </c>
      <c r="F28" s="793">
        <v>218.70441623900001</v>
      </c>
      <c r="G28" s="793">
        <v>1082.7209225910001</v>
      </c>
      <c r="H28" s="793">
        <v>55.812199573000001</v>
      </c>
      <c r="I28" s="793">
        <v>343.26297044500001</v>
      </c>
      <c r="J28" s="793">
        <v>0</v>
      </c>
      <c r="K28" s="793">
        <v>0</v>
      </c>
      <c r="L28" s="793">
        <v>0</v>
      </c>
      <c r="M28" s="793">
        <v>0</v>
      </c>
      <c r="O28" s="794"/>
    </row>
    <row r="29" spans="3:15" x14ac:dyDescent="0.3">
      <c r="C29" s="462" t="s">
        <v>1795</v>
      </c>
      <c r="D29" s="795" t="s">
        <v>1831</v>
      </c>
      <c r="E29" s="793">
        <v>4615.0303572849998</v>
      </c>
      <c r="F29" s="793">
        <v>192.37044996500001</v>
      </c>
      <c r="G29" s="793">
        <v>1097.9806880240001</v>
      </c>
      <c r="H29" s="793">
        <v>23.802622523</v>
      </c>
      <c r="I29" s="793">
        <v>107.771096339</v>
      </c>
      <c r="J29" s="793">
        <v>0</v>
      </c>
      <c r="K29" s="793">
        <v>0</v>
      </c>
      <c r="L29" s="793">
        <v>0</v>
      </c>
      <c r="M29" s="793">
        <v>0</v>
      </c>
      <c r="O29" s="794"/>
    </row>
    <row r="30" spans="3:15" x14ac:dyDescent="0.3">
      <c r="C30" s="463" t="s">
        <v>1796</v>
      </c>
      <c r="D30" s="796" t="s">
        <v>1832</v>
      </c>
      <c r="E30" s="797">
        <v>-166.706893299</v>
      </c>
      <c r="F30" s="797">
        <v>26.333966274000002</v>
      </c>
      <c r="G30" s="797">
        <v>-15.259765433</v>
      </c>
      <c r="H30" s="797">
        <v>32.009577049999997</v>
      </c>
      <c r="I30" s="797">
        <v>235.49187410600001</v>
      </c>
      <c r="J30" s="797">
        <v>564.13591865499995</v>
      </c>
      <c r="K30" s="797">
        <v>632.39468705000002</v>
      </c>
      <c r="L30" s="797">
        <v>219.25892134099999</v>
      </c>
      <c r="M30" s="797">
        <v>45.173536708999997</v>
      </c>
      <c r="O30" s="794"/>
    </row>
    <row r="31" spans="3:15" x14ac:dyDescent="0.3">
      <c r="C31" s="461" t="s">
        <v>1797</v>
      </c>
      <c r="D31" s="792" t="s">
        <v>1833</v>
      </c>
      <c r="E31" s="793">
        <v>-504.67241154999999</v>
      </c>
      <c r="F31" s="793">
        <v>61.091648951000003</v>
      </c>
      <c r="G31" s="793">
        <v>450.637345541</v>
      </c>
      <c r="H31" s="793">
        <v>7.0565829420000004</v>
      </c>
      <c r="I31" s="793">
        <v>0</v>
      </c>
      <c r="J31" s="793">
        <v>7.0565829420000004</v>
      </c>
      <c r="K31" s="793">
        <v>0</v>
      </c>
      <c r="L31" s="793">
        <v>0</v>
      </c>
      <c r="M31" s="793">
        <v>0</v>
      </c>
      <c r="O31" s="794"/>
    </row>
    <row r="32" spans="3:15" x14ac:dyDescent="0.3">
      <c r="C32" s="464" t="s">
        <v>1798</v>
      </c>
      <c r="D32" s="798" t="s">
        <v>1834</v>
      </c>
      <c r="E32" s="793">
        <v>125.203418598</v>
      </c>
      <c r="F32" s="793">
        <v>6.7256567870000001</v>
      </c>
      <c r="G32" s="793">
        <v>42.156309247000003</v>
      </c>
      <c r="H32" s="793">
        <v>0</v>
      </c>
      <c r="I32" s="793">
        <v>0</v>
      </c>
      <c r="J32" s="793">
        <v>0</v>
      </c>
      <c r="K32" s="793">
        <v>0</v>
      </c>
      <c r="L32" s="793">
        <v>219.25892134099999</v>
      </c>
      <c r="M32" s="793">
        <v>45.173536708999997</v>
      </c>
      <c r="O32" s="794"/>
    </row>
    <row r="33" spans="3:15" x14ac:dyDescent="0.3">
      <c r="C33" s="464" t="s">
        <v>1799</v>
      </c>
      <c r="D33" s="798" t="s">
        <v>1835</v>
      </c>
      <c r="E33" s="793">
        <v>462.51799384399999</v>
      </c>
      <c r="F33" s="793">
        <v>0</v>
      </c>
      <c r="G33" s="793">
        <v>-18.206725754000001</v>
      </c>
      <c r="H33" s="793">
        <v>16.769902308999999</v>
      </c>
      <c r="I33" s="793">
        <v>0</v>
      </c>
      <c r="J33" s="793">
        <v>16.769902308999999</v>
      </c>
      <c r="K33" s="793">
        <v>0</v>
      </c>
      <c r="L33" s="793">
        <v>0</v>
      </c>
      <c r="M33" s="793">
        <v>0</v>
      </c>
      <c r="O33" s="794"/>
    </row>
    <row r="34" spans="3:15" x14ac:dyDescent="0.3">
      <c r="C34" s="464" t="s">
        <v>1800</v>
      </c>
      <c r="D34" s="798" t="s">
        <v>1836</v>
      </c>
      <c r="E34" s="793">
        <v>-437.69350443600001</v>
      </c>
      <c r="F34" s="793">
        <v>0</v>
      </c>
      <c r="G34" s="793">
        <v>0</v>
      </c>
      <c r="H34" s="793">
        <v>0</v>
      </c>
      <c r="I34" s="793">
        <v>0</v>
      </c>
      <c r="J34" s="793">
        <v>453.50880037000002</v>
      </c>
      <c r="K34" s="793">
        <v>437.69350443600001</v>
      </c>
      <c r="L34" s="793">
        <v>0</v>
      </c>
      <c r="M34" s="793">
        <v>0</v>
      </c>
      <c r="O34" s="794"/>
    </row>
    <row r="35" spans="3:15" x14ac:dyDescent="0.3">
      <c r="C35" s="464" t="s">
        <v>1801</v>
      </c>
      <c r="D35" s="798" t="s">
        <v>1954</v>
      </c>
      <c r="E35" s="793">
        <v>0</v>
      </c>
      <c r="F35" s="793">
        <v>-20.642182607999999</v>
      </c>
      <c r="G35" s="793">
        <v>0</v>
      </c>
      <c r="H35" s="793">
        <v>0</v>
      </c>
      <c r="I35" s="793">
        <v>0</v>
      </c>
      <c r="J35" s="793">
        <v>0</v>
      </c>
      <c r="K35" s="793">
        <v>20.642182607999999</v>
      </c>
      <c r="L35" s="793">
        <v>0</v>
      </c>
      <c r="M35" s="793">
        <v>0</v>
      </c>
      <c r="O35" s="794"/>
    </row>
    <row r="36" spans="3:15" x14ac:dyDescent="0.3">
      <c r="C36" s="464" t="s">
        <v>1802</v>
      </c>
      <c r="D36" s="798" t="s">
        <v>1838</v>
      </c>
      <c r="E36" s="793">
        <v>92.613144036999998</v>
      </c>
      <c r="F36" s="793">
        <v>-8.0257396110000006</v>
      </c>
      <c r="G36" s="793">
        <v>-92.057822642000005</v>
      </c>
      <c r="H36" s="793">
        <v>-7.4704182159999997</v>
      </c>
      <c r="I36" s="793">
        <v>0</v>
      </c>
      <c r="J36" s="793">
        <v>-7.4704182159999997</v>
      </c>
      <c r="K36" s="793">
        <v>0</v>
      </c>
      <c r="L36" s="793">
        <v>0</v>
      </c>
      <c r="M36" s="793">
        <v>0</v>
      </c>
      <c r="O36" s="794"/>
    </row>
    <row r="37" spans="3:15" x14ac:dyDescent="0.3">
      <c r="C37" s="464" t="s">
        <v>1803</v>
      </c>
      <c r="D37" s="798" t="s">
        <v>1847</v>
      </c>
      <c r="E37" s="793">
        <v>331.362287434</v>
      </c>
      <c r="F37" s="793">
        <v>-13.361364365</v>
      </c>
      <c r="G37" s="793">
        <v>-315.17549102100003</v>
      </c>
      <c r="H37" s="793">
        <v>2.8254320480000001</v>
      </c>
      <c r="I37" s="793">
        <v>0</v>
      </c>
      <c r="J37" s="793">
        <v>2.8254320480000001</v>
      </c>
      <c r="K37" s="793">
        <v>0</v>
      </c>
      <c r="L37" s="793">
        <v>0</v>
      </c>
      <c r="M37" s="793">
        <v>0</v>
      </c>
      <c r="O37" s="794"/>
    </row>
    <row r="38" spans="3:15" x14ac:dyDescent="0.3">
      <c r="C38" s="464" t="s">
        <v>1807</v>
      </c>
      <c r="D38" s="798" t="s">
        <v>1843</v>
      </c>
      <c r="E38" s="793">
        <v>-236.03782122600001</v>
      </c>
      <c r="F38" s="793">
        <v>0.54594712000000001</v>
      </c>
      <c r="G38" s="793">
        <v>0</v>
      </c>
      <c r="H38" s="793">
        <v>0</v>
      </c>
      <c r="I38" s="793">
        <v>235.49187410600001</v>
      </c>
      <c r="J38" s="793">
        <v>0</v>
      </c>
      <c r="K38" s="793">
        <v>0</v>
      </c>
      <c r="L38" s="793">
        <v>0</v>
      </c>
      <c r="M38" s="793">
        <v>0</v>
      </c>
      <c r="O38" s="794"/>
    </row>
    <row r="39" spans="3:15" x14ac:dyDescent="0.3">
      <c r="C39" s="464" t="s">
        <v>1808</v>
      </c>
      <c r="D39" s="798" t="s">
        <v>1844</v>
      </c>
      <c r="E39" s="793">
        <v>0</v>
      </c>
      <c r="F39" s="793">
        <v>0</v>
      </c>
      <c r="G39" s="793">
        <v>-96.201313765999998</v>
      </c>
      <c r="H39" s="793">
        <v>0</v>
      </c>
      <c r="I39" s="793">
        <v>0</v>
      </c>
      <c r="J39" s="793">
        <v>0</v>
      </c>
      <c r="K39" s="793">
        <v>96.201313765999998</v>
      </c>
      <c r="L39" s="793">
        <v>0</v>
      </c>
      <c r="M39" s="793">
        <v>0</v>
      </c>
      <c r="O39" s="794"/>
    </row>
    <row r="40" spans="3:15" x14ac:dyDescent="0.3">
      <c r="C40" s="464" t="s">
        <v>1809</v>
      </c>
      <c r="D40" s="798" t="s">
        <v>1845</v>
      </c>
      <c r="E40" s="793">
        <v>0</v>
      </c>
      <c r="F40" s="793">
        <v>0</v>
      </c>
      <c r="G40" s="793">
        <v>0</v>
      </c>
      <c r="H40" s="793">
        <v>0</v>
      </c>
      <c r="I40" s="793">
        <v>0</v>
      </c>
      <c r="J40" s="793">
        <v>78.633914083999997</v>
      </c>
      <c r="K40" s="793">
        <v>78.633914083999997</v>
      </c>
      <c r="L40" s="793">
        <v>0</v>
      </c>
      <c r="M40" s="793">
        <v>0</v>
      </c>
      <c r="O40" s="794"/>
    </row>
    <row r="41" spans="3:15" x14ac:dyDescent="0.3">
      <c r="C41" s="462" t="s">
        <v>1810</v>
      </c>
      <c r="D41" s="795" t="s">
        <v>1846</v>
      </c>
      <c r="E41" s="802">
        <v>0</v>
      </c>
      <c r="F41" s="802">
        <v>0</v>
      </c>
      <c r="G41" s="802">
        <v>13.587932962</v>
      </c>
      <c r="H41" s="802">
        <v>12.828077967</v>
      </c>
      <c r="I41" s="802">
        <v>0</v>
      </c>
      <c r="J41" s="802">
        <v>12.811705118000001</v>
      </c>
      <c r="K41" s="802">
        <v>-0.776227844</v>
      </c>
      <c r="L41" s="802">
        <v>0</v>
      </c>
      <c r="M41" s="802">
        <v>0</v>
      </c>
      <c r="O41" s="794"/>
    </row>
    <row r="42" spans="3:15" x14ac:dyDescent="0.3">
      <c r="E42" s="787"/>
      <c r="F42" s="787"/>
      <c r="G42" s="787"/>
      <c r="H42" s="787"/>
      <c r="I42" s="787"/>
      <c r="J42" s="787"/>
      <c r="K42" s="787"/>
      <c r="L42" s="787"/>
      <c r="M42" s="787"/>
      <c r="O42" s="794"/>
    </row>
    <row r="43" spans="3:15" x14ac:dyDescent="0.3">
      <c r="O43" s="794"/>
    </row>
    <row r="44" spans="3:15" x14ac:dyDescent="0.3">
      <c r="C44" s="895" t="s">
        <v>1791</v>
      </c>
      <c r="D44" s="896"/>
      <c r="E44" s="893" t="s">
        <v>1786</v>
      </c>
      <c r="F44" s="893" t="s">
        <v>1787</v>
      </c>
      <c r="G44" s="893" t="s">
        <v>1361</v>
      </c>
      <c r="H44" s="893" t="s">
        <v>1788</v>
      </c>
      <c r="I44" s="893" t="s">
        <v>1789</v>
      </c>
      <c r="J44" s="790" t="s">
        <v>1978</v>
      </c>
      <c r="K44" s="790" t="s">
        <v>1979</v>
      </c>
      <c r="L44" s="790" t="s">
        <v>1980</v>
      </c>
      <c r="M44" s="790" t="s">
        <v>1981</v>
      </c>
      <c r="O44" s="794"/>
    </row>
    <row r="45" spans="3:15" ht="14.25" x14ac:dyDescent="0.3">
      <c r="C45" s="897"/>
      <c r="D45" s="898"/>
      <c r="E45" s="894"/>
      <c r="F45" s="894"/>
      <c r="G45" s="894"/>
      <c r="H45" s="894"/>
      <c r="I45" s="894"/>
      <c r="J45" s="791" t="s">
        <v>1826</v>
      </c>
      <c r="K45" s="791" t="s">
        <v>1827</v>
      </c>
      <c r="L45" s="791" t="s">
        <v>1828</v>
      </c>
      <c r="M45" s="791" t="s">
        <v>1829</v>
      </c>
    </row>
    <row r="46" spans="3:15" x14ac:dyDescent="0.3">
      <c r="C46" s="461" t="s">
        <v>1794</v>
      </c>
      <c r="D46" s="792" t="s">
        <v>1830</v>
      </c>
      <c r="E46" s="793">
        <v>8254.5960013820004</v>
      </c>
      <c r="F46" s="793">
        <v>82.059976122999998</v>
      </c>
      <c r="G46" s="793">
        <v>449.079891643</v>
      </c>
      <c r="H46" s="793">
        <v>48.924872065999999</v>
      </c>
      <c r="I46" s="793">
        <v>465.17610325800001</v>
      </c>
      <c r="J46" s="793">
        <v>0</v>
      </c>
      <c r="K46" s="793">
        <v>0</v>
      </c>
      <c r="L46" s="793">
        <v>0</v>
      </c>
      <c r="M46" s="793">
        <v>0</v>
      </c>
      <c r="O46" s="794"/>
    </row>
    <row r="47" spans="3:15" x14ac:dyDescent="0.3">
      <c r="C47" s="462" t="s">
        <v>1795</v>
      </c>
      <c r="D47" s="795" t="s">
        <v>1831</v>
      </c>
      <c r="E47" s="793">
        <v>8673.9842786150002</v>
      </c>
      <c r="F47" s="793">
        <v>89.723386097000002</v>
      </c>
      <c r="G47" s="793">
        <v>593.00142687100004</v>
      </c>
      <c r="H47" s="793">
        <v>26.185659062999999</v>
      </c>
      <c r="I47" s="793">
        <v>217.30781569800001</v>
      </c>
      <c r="J47" s="793">
        <v>0</v>
      </c>
      <c r="K47" s="793">
        <v>0</v>
      </c>
      <c r="L47" s="793">
        <v>0</v>
      </c>
      <c r="M47" s="793">
        <v>0</v>
      </c>
      <c r="O47" s="794"/>
    </row>
    <row r="48" spans="3:15" x14ac:dyDescent="0.3">
      <c r="C48" s="463" t="s">
        <v>1796</v>
      </c>
      <c r="D48" s="796" t="s">
        <v>1832</v>
      </c>
      <c r="E48" s="797">
        <v>-419.388277233</v>
      </c>
      <c r="F48" s="797">
        <v>-7.6634099740000003</v>
      </c>
      <c r="G48" s="797">
        <v>-143.92153522800001</v>
      </c>
      <c r="H48" s="797">
        <v>22.739213003</v>
      </c>
      <c r="I48" s="797">
        <v>247.86828756</v>
      </c>
      <c r="J48" s="797">
        <v>200.46968818100001</v>
      </c>
      <c r="K48" s="797">
        <v>236.048979393</v>
      </c>
      <c r="L48" s="797">
        <v>303.363719618</v>
      </c>
      <c r="M48" s="797">
        <v>4.2459190939999996</v>
      </c>
      <c r="O48" s="794"/>
    </row>
    <row r="49" spans="3:15" x14ac:dyDescent="0.3">
      <c r="C49" s="461" t="s">
        <v>1797</v>
      </c>
      <c r="D49" s="792" t="s">
        <v>1833</v>
      </c>
      <c r="E49" s="793">
        <v>-2.4758959090000001</v>
      </c>
      <c r="F49" s="793">
        <v>0.38779794899999998</v>
      </c>
      <c r="G49" s="793">
        <v>2.5625110759999998</v>
      </c>
      <c r="H49" s="793">
        <v>0.47441311600000002</v>
      </c>
      <c r="I49" s="793">
        <v>0</v>
      </c>
      <c r="J49" s="793">
        <v>0.47441311600000002</v>
      </c>
      <c r="K49" s="793">
        <v>0</v>
      </c>
      <c r="L49" s="793">
        <v>0</v>
      </c>
      <c r="M49" s="793">
        <v>0</v>
      </c>
      <c r="O49" s="794"/>
    </row>
    <row r="50" spans="3:15" x14ac:dyDescent="0.3">
      <c r="C50" s="464" t="s">
        <v>1798</v>
      </c>
      <c r="D50" s="798" t="s">
        <v>1834</v>
      </c>
      <c r="E50" s="793">
        <v>279.16189772500002</v>
      </c>
      <c r="F50" s="793">
        <v>3.2377185869999998</v>
      </c>
      <c r="G50" s="793">
        <v>18.501614086</v>
      </c>
      <c r="H50" s="793">
        <v>0</v>
      </c>
      <c r="I50" s="793">
        <v>0</v>
      </c>
      <c r="J50" s="793">
        <v>0</v>
      </c>
      <c r="K50" s="793">
        <v>0</v>
      </c>
      <c r="L50" s="793">
        <v>305.14714064899999</v>
      </c>
      <c r="M50" s="793">
        <v>4.2459102509999997</v>
      </c>
      <c r="O50" s="794"/>
    </row>
    <row r="51" spans="3:15" x14ac:dyDescent="0.3">
      <c r="C51" s="464" t="s">
        <v>1799</v>
      </c>
      <c r="D51" s="798" t="s">
        <v>1835</v>
      </c>
      <c r="E51" s="793">
        <v>-510.99290463300002</v>
      </c>
      <c r="F51" s="793">
        <v>0</v>
      </c>
      <c r="G51" s="793">
        <v>69.368467034999995</v>
      </c>
      <c r="H51" s="793">
        <v>12.931399029</v>
      </c>
      <c r="I51" s="793">
        <v>0</v>
      </c>
      <c r="J51" s="793">
        <v>12.931399029</v>
      </c>
      <c r="K51" s="793">
        <v>0</v>
      </c>
      <c r="L51" s="793">
        <v>0</v>
      </c>
      <c r="M51" s="793">
        <v>0</v>
      </c>
      <c r="O51" s="794"/>
    </row>
    <row r="52" spans="3:15" x14ac:dyDescent="0.3">
      <c r="C52" s="464" t="s">
        <v>1800</v>
      </c>
      <c r="D52" s="798" t="s">
        <v>1836</v>
      </c>
      <c r="E52" s="793">
        <v>-127.991932668</v>
      </c>
      <c r="F52" s="793">
        <v>0</v>
      </c>
      <c r="G52" s="793">
        <v>0</v>
      </c>
      <c r="H52" s="793">
        <v>0</v>
      </c>
      <c r="I52" s="793">
        <v>0</v>
      </c>
      <c r="J52" s="793">
        <v>132.08760756000001</v>
      </c>
      <c r="K52" s="793">
        <v>126.208511637</v>
      </c>
      <c r="L52" s="793">
        <v>-1.783421031</v>
      </c>
      <c r="M52" s="793">
        <v>0</v>
      </c>
      <c r="O52" s="794"/>
    </row>
    <row r="53" spans="3:15" x14ac:dyDescent="0.3">
      <c r="C53" s="464" t="s">
        <v>1801</v>
      </c>
      <c r="D53" s="798" t="s">
        <v>1954</v>
      </c>
      <c r="E53" s="793">
        <v>0</v>
      </c>
      <c r="F53" s="793">
        <v>-9.5471920200000007</v>
      </c>
      <c r="G53" s="793">
        <v>0</v>
      </c>
      <c r="H53" s="793">
        <v>0</v>
      </c>
      <c r="I53" s="793">
        <v>0</v>
      </c>
      <c r="J53" s="793">
        <v>0</v>
      </c>
      <c r="K53" s="793">
        <v>9.5471920200000007</v>
      </c>
      <c r="L53" s="793">
        <v>0</v>
      </c>
      <c r="M53" s="793">
        <v>0</v>
      </c>
      <c r="O53" s="794"/>
    </row>
    <row r="54" spans="3:15" x14ac:dyDescent="0.3">
      <c r="C54" s="464" t="s">
        <v>1802</v>
      </c>
      <c r="D54" s="798" t="s">
        <v>1838</v>
      </c>
      <c r="E54" s="793">
        <v>43.920217915000002</v>
      </c>
      <c r="F54" s="793">
        <v>-0.13549877900000001</v>
      </c>
      <c r="G54" s="793">
        <v>-57.405961529999999</v>
      </c>
      <c r="H54" s="793">
        <v>-13.621242393999999</v>
      </c>
      <c r="I54" s="793">
        <v>0</v>
      </c>
      <c r="J54" s="793">
        <v>-13.621242393999999</v>
      </c>
      <c r="K54" s="793">
        <v>0</v>
      </c>
      <c r="L54" s="793">
        <v>0</v>
      </c>
      <c r="M54" s="793">
        <v>0</v>
      </c>
      <c r="O54" s="794"/>
    </row>
    <row r="55" spans="3:15" x14ac:dyDescent="0.3">
      <c r="C55" s="464" t="s">
        <v>1803</v>
      </c>
      <c r="D55" s="798" t="s">
        <v>1839</v>
      </c>
      <c r="E55" s="793">
        <v>149.97525547999999</v>
      </c>
      <c r="F55" s="793">
        <v>-4.7228544509999999</v>
      </c>
      <c r="G55" s="793">
        <v>-125.54543184000001</v>
      </c>
      <c r="H55" s="793">
        <v>19.706969188999999</v>
      </c>
      <c r="I55" s="793">
        <v>0</v>
      </c>
      <c r="J55" s="793">
        <v>19.706969188999999</v>
      </c>
      <c r="K55" s="793">
        <v>0</v>
      </c>
      <c r="L55" s="793">
        <v>0</v>
      </c>
      <c r="M55" s="793">
        <v>0</v>
      </c>
      <c r="O55" s="794"/>
    </row>
    <row r="56" spans="3:15" x14ac:dyDescent="0.3">
      <c r="C56" s="464" t="s">
        <v>1804</v>
      </c>
      <c r="D56" s="798" t="s">
        <v>1840</v>
      </c>
      <c r="E56" s="793">
        <v>5.6840640589999998</v>
      </c>
      <c r="F56" s="793">
        <v>-2.5354037960000002</v>
      </c>
      <c r="G56" s="793">
        <v>0</v>
      </c>
      <c r="H56" s="793">
        <v>0</v>
      </c>
      <c r="I56" s="793">
        <v>-3.148660263</v>
      </c>
      <c r="J56" s="793">
        <v>0</v>
      </c>
      <c r="K56" s="793">
        <v>0</v>
      </c>
      <c r="L56" s="793">
        <v>0</v>
      </c>
      <c r="M56" s="793">
        <v>0</v>
      </c>
      <c r="O56" s="794"/>
    </row>
    <row r="57" spans="3:15" x14ac:dyDescent="0.3">
      <c r="C57" s="464" t="s">
        <v>1805</v>
      </c>
      <c r="D57" s="798" t="s">
        <v>1841</v>
      </c>
      <c r="E57" s="793">
        <v>127.139886954</v>
      </c>
      <c r="F57" s="793">
        <v>-0.51744643800000001</v>
      </c>
      <c r="G57" s="793">
        <v>0</v>
      </c>
      <c r="H57" s="793">
        <v>0</v>
      </c>
      <c r="I57" s="793">
        <v>-126.622440516</v>
      </c>
      <c r="J57" s="793">
        <v>0</v>
      </c>
      <c r="K57" s="793">
        <v>0</v>
      </c>
      <c r="L57" s="793">
        <v>0</v>
      </c>
      <c r="M57" s="793">
        <v>0</v>
      </c>
      <c r="O57" s="794"/>
    </row>
    <row r="58" spans="3:15" x14ac:dyDescent="0.3">
      <c r="C58" s="464" t="s">
        <v>1807</v>
      </c>
      <c r="D58" s="798" t="s">
        <v>1848</v>
      </c>
      <c r="E58" s="793">
        <v>-383.80886615600002</v>
      </c>
      <c r="F58" s="793">
        <v>6.1694689739999999</v>
      </c>
      <c r="G58" s="793">
        <v>0</v>
      </c>
      <c r="H58" s="793">
        <v>0</v>
      </c>
      <c r="I58" s="793">
        <v>377.63938833899999</v>
      </c>
      <c r="J58" s="793">
        <v>0</v>
      </c>
      <c r="K58" s="793">
        <v>0</v>
      </c>
      <c r="L58" s="793">
        <v>0</v>
      </c>
      <c r="M58" s="793">
        <v>8.8429999999999999E-6</v>
      </c>
      <c r="O58" s="794"/>
    </row>
    <row r="59" spans="3:15" x14ac:dyDescent="0.3">
      <c r="C59" s="464" t="s">
        <v>1808</v>
      </c>
      <c r="D59" s="798" t="s">
        <v>1844</v>
      </c>
      <c r="E59" s="793">
        <v>0</v>
      </c>
      <c r="F59" s="793">
        <v>0</v>
      </c>
      <c r="G59" s="793">
        <v>-54.053993067999997</v>
      </c>
      <c r="H59" s="793">
        <v>0</v>
      </c>
      <c r="I59" s="793">
        <v>0</v>
      </c>
      <c r="J59" s="793">
        <v>0</v>
      </c>
      <c r="K59" s="793">
        <v>54.053993067999997</v>
      </c>
      <c r="L59" s="793">
        <v>0</v>
      </c>
      <c r="M59" s="793">
        <v>0</v>
      </c>
      <c r="O59" s="794"/>
    </row>
    <row r="60" spans="3:15" x14ac:dyDescent="0.3">
      <c r="C60" s="464" t="s">
        <v>1809</v>
      </c>
      <c r="D60" s="798" t="s">
        <v>1845</v>
      </c>
      <c r="E60" s="793">
        <v>0</v>
      </c>
      <c r="F60" s="793">
        <v>0</v>
      </c>
      <c r="G60" s="793">
        <v>0</v>
      </c>
      <c r="H60" s="793">
        <v>0</v>
      </c>
      <c r="I60" s="793">
        <v>0</v>
      </c>
      <c r="J60" s="793">
        <v>46.463716804999997</v>
      </c>
      <c r="K60" s="793">
        <v>46.463716804999997</v>
      </c>
      <c r="L60" s="793">
        <v>0</v>
      </c>
      <c r="M60" s="793">
        <v>0</v>
      </c>
      <c r="O60" s="794"/>
    </row>
    <row r="61" spans="3:15" x14ac:dyDescent="0.3">
      <c r="C61" s="462" t="s">
        <v>1810</v>
      </c>
      <c r="D61" s="795" t="s">
        <v>1846</v>
      </c>
      <c r="E61" s="802">
        <v>0</v>
      </c>
      <c r="F61" s="802">
        <v>0</v>
      </c>
      <c r="G61" s="802">
        <v>2.6512590130000002</v>
      </c>
      <c r="H61" s="802">
        <v>3.2476740629999998</v>
      </c>
      <c r="I61" s="802">
        <v>0</v>
      </c>
      <c r="J61" s="802">
        <v>2.426824876</v>
      </c>
      <c r="K61" s="802">
        <v>-0.22443413700000001</v>
      </c>
      <c r="L61" s="802">
        <v>0</v>
      </c>
      <c r="M61" s="802">
        <v>0</v>
      </c>
      <c r="O61" s="794"/>
    </row>
    <row r="62" spans="3:15" x14ac:dyDescent="0.3">
      <c r="E62" s="787"/>
      <c r="F62" s="787"/>
      <c r="G62" s="787"/>
      <c r="H62" s="787"/>
      <c r="I62" s="787"/>
      <c r="J62" s="787"/>
      <c r="K62" s="787"/>
      <c r="L62" s="787"/>
      <c r="M62" s="787"/>
      <c r="O62" s="794"/>
    </row>
    <row r="63" spans="3:15" x14ac:dyDescent="0.3">
      <c r="O63" s="794"/>
    </row>
    <row r="64" spans="3:15" x14ac:dyDescent="0.3">
      <c r="C64" s="895" t="s">
        <v>1792</v>
      </c>
      <c r="D64" s="896"/>
      <c r="E64" s="893" t="s">
        <v>1786</v>
      </c>
      <c r="F64" s="893" t="s">
        <v>1787</v>
      </c>
      <c r="G64" s="893" t="s">
        <v>1361</v>
      </c>
      <c r="H64" s="893" t="s">
        <v>1788</v>
      </c>
      <c r="I64" s="893" t="s">
        <v>1789</v>
      </c>
      <c r="J64" s="790" t="s">
        <v>1978</v>
      </c>
      <c r="K64" s="790" t="s">
        <v>1979</v>
      </c>
      <c r="L64" s="790" t="s">
        <v>1980</v>
      </c>
      <c r="M64" s="790" t="s">
        <v>1981</v>
      </c>
      <c r="O64" s="794"/>
    </row>
    <row r="65" spans="3:15" ht="14.25" x14ac:dyDescent="0.3">
      <c r="C65" s="897"/>
      <c r="D65" s="898"/>
      <c r="E65" s="894"/>
      <c r="F65" s="894"/>
      <c r="G65" s="894"/>
      <c r="H65" s="894"/>
      <c r="I65" s="894"/>
      <c r="J65" s="791" t="s">
        <v>1826</v>
      </c>
      <c r="K65" s="791" t="s">
        <v>1827</v>
      </c>
      <c r="L65" s="791" t="s">
        <v>1828</v>
      </c>
      <c r="M65" s="791" t="s">
        <v>1829</v>
      </c>
    </row>
    <row r="66" spans="3:15" x14ac:dyDescent="0.3">
      <c r="C66" s="461" t="s">
        <v>1794</v>
      </c>
      <c r="D66" s="792" t="s">
        <v>1830</v>
      </c>
      <c r="E66" s="793">
        <v>11383.496434135999</v>
      </c>
      <c r="F66" s="793">
        <v>102.031904059</v>
      </c>
      <c r="G66" s="793">
        <v>526.62230581300003</v>
      </c>
      <c r="H66" s="793">
        <v>34.521799313000002</v>
      </c>
      <c r="I66" s="793">
        <v>0</v>
      </c>
      <c r="J66" s="793">
        <v>0</v>
      </c>
      <c r="K66" s="793">
        <v>0</v>
      </c>
      <c r="L66" s="793">
        <v>0</v>
      </c>
      <c r="M66" s="793">
        <v>0</v>
      </c>
      <c r="O66" s="794"/>
    </row>
    <row r="67" spans="3:15" x14ac:dyDescent="0.3">
      <c r="C67" s="462" t="s">
        <v>1795</v>
      </c>
      <c r="D67" s="795" t="s">
        <v>1831</v>
      </c>
      <c r="E67" s="793">
        <v>10039.200365344001</v>
      </c>
      <c r="F67" s="793">
        <v>101.193226076</v>
      </c>
      <c r="G67" s="793">
        <v>387.22995408399998</v>
      </c>
      <c r="H67" s="793">
        <v>23.675020265000001</v>
      </c>
      <c r="I67" s="793">
        <v>0</v>
      </c>
      <c r="J67" s="793">
        <v>0</v>
      </c>
      <c r="K67" s="793">
        <v>0</v>
      </c>
      <c r="L67" s="793">
        <v>0</v>
      </c>
      <c r="M67" s="793">
        <v>0</v>
      </c>
      <c r="O67" s="794"/>
    </row>
    <row r="68" spans="3:15" x14ac:dyDescent="0.3">
      <c r="C68" s="463" t="s">
        <v>1796</v>
      </c>
      <c r="D68" s="796" t="s">
        <v>1832</v>
      </c>
      <c r="E68" s="797">
        <v>1344.2960687919999</v>
      </c>
      <c r="F68" s="797">
        <v>0.83867798299999996</v>
      </c>
      <c r="G68" s="797">
        <v>139.39235172900001</v>
      </c>
      <c r="H68" s="797">
        <v>10.846779048</v>
      </c>
      <c r="I68" s="797">
        <v>0</v>
      </c>
      <c r="J68" s="797">
        <v>196.07750969200001</v>
      </c>
      <c r="K68" s="797">
        <v>274.86481340400002</v>
      </c>
      <c r="L68" s="797">
        <v>2412.0402464529998</v>
      </c>
      <c r="M68" s="797">
        <v>614.31239199000004</v>
      </c>
      <c r="O68" s="794"/>
    </row>
    <row r="69" spans="3:15" x14ac:dyDescent="0.3">
      <c r="C69" s="461" t="s">
        <v>1797</v>
      </c>
      <c r="D69" s="792" t="s">
        <v>1833</v>
      </c>
      <c r="E69" s="793">
        <v>-94.353777695000005</v>
      </c>
      <c r="F69" s="793">
        <v>8.5316238880000004</v>
      </c>
      <c r="G69" s="793">
        <v>86.067474200999996</v>
      </c>
      <c r="H69" s="793">
        <v>0.245320394</v>
      </c>
      <c r="I69" s="793">
        <v>0</v>
      </c>
      <c r="J69" s="793">
        <v>0.245320394</v>
      </c>
      <c r="K69" s="793">
        <v>0</v>
      </c>
      <c r="L69" s="793">
        <v>0</v>
      </c>
      <c r="M69" s="793">
        <v>0</v>
      </c>
      <c r="O69" s="794"/>
    </row>
    <row r="70" spans="3:15" x14ac:dyDescent="0.3">
      <c r="C70" s="464" t="s">
        <v>1986</v>
      </c>
      <c r="D70" s="798" t="s">
        <v>1987</v>
      </c>
      <c r="E70" s="793">
        <v>1852.135467095</v>
      </c>
      <c r="F70" s="793">
        <v>0</v>
      </c>
      <c r="G70" s="793">
        <v>0</v>
      </c>
      <c r="H70" s="793">
        <v>0</v>
      </c>
      <c r="I70" s="793">
        <v>0</v>
      </c>
      <c r="J70" s="793">
        <v>0</v>
      </c>
      <c r="K70" s="793">
        <v>0</v>
      </c>
      <c r="L70" s="793">
        <v>2412.0109187429998</v>
      </c>
      <c r="M70" s="793">
        <v>559.87545164799997</v>
      </c>
      <c r="O70" s="794"/>
    </row>
    <row r="71" spans="3:15" x14ac:dyDescent="0.3">
      <c r="C71" s="464" t="s">
        <v>1799</v>
      </c>
      <c r="D71" s="798" t="s">
        <v>1835</v>
      </c>
      <c r="E71" s="793">
        <v>-198.83943600000001</v>
      </c>
      <c r="F71" s="793">
        <v>0</v>
      </c>
      <c r="G71" s="793">
        <v>92.017892975999999</v>
      </c>
      <c r="H71" s="793">
        <v>34.269944041999999</v>
      </c>
      <c r="I71" s="793">
        <v>0</v>
      </c>
      <c r="J71" s="793">
        <v>34.269944041999999</v>
      </c>
      <c r="K71" s="793">
        <v>0</v>
      </c>
      <c r="L71" s="793">
        <v>0</v>
      </c>
      <c r="M71" s="793">
        <v>0</v>
      </c>
      <c r="O71" s="794"/>
    </row>
    <row r="72" spans="3:15" x14ac:dyDescent="0.3">
      <c r="C72" s="464" t="s">
        <v>1800</v>
      </c>
      <c r="D72" s="798" t="s">
        <v>1836</v>
      </c>
      <c r="E72" s="793">
        <v>-114.56837422300001</v>
      </c>
      <c r="F72" s="793">
        <v>0</v>
      </c>
      <c r="G72" s="793">
        <v>0</v>
      </c>
      <c r="H72" s="793">
        <v>0</v>
      </c>
      <c r="I72" s="793">
        <v>0</v>
      </c>
      <c r="J72" s="793">
        <v>93.321965180999996</v>
      </c>
      <c r="K72" s="793">
        <v>114.56837422300001</v>
      </c>
      <c r="L72" s="793">
        <v>0</v>
      </c>
      <c r="M72" s="793">
        <v>0</v>
      </c>
      <c r="O72" s="794"/>
    </row>
    <row r="73" spans="3:15" x14ac:dyDescent="0.3">
      <c r="C73" s="464" t="s">
        <v>1801</v>
      </c>
      <c r="D73" s="798" t="s">
        <v>1837</v>
      </c>
      <c r="E73" s="793">
        <v>0</v>
      </c>
      <c r="F73" s="793">
        <v>-13.762651906</v>
      </c>
      <c r="G73" s="793">
        <v>0</v>
      </c>
      <c r="H73" s="793">
        <v>0</v>
      </c>
      <c r="I73" s="793">
        <v>0</v>
      </c>
      <c r="J73" s="793">
        <v>0</v>
      </c>
      <c r="K73" s="793">
        <v>13.762651906</v>
      </c>
      <c r="L73" s="793">
        <v>0</v>
      </c>
      <c r="M73" s="793">
        <v>0</v>
      </c>
      <c r="O73" s="794"/>
    </row>
    <row r="74" spans="3:15" x14ac:dyDescent="0.3">
      <c r="C74" s="464" t="s">
        <v>1802</v>
      </c>
      <c r="D74" s="798" t="s">
        <v>1838</v>
      </c>
      <c r="E74" s="793">
        <v>259.00574516199998</v>
      </c>
      <c r="F74" s="793">
        <v>-0.37427094900000002</v>
      </c>
      <c r="G74" s="793">
        <v>-265.83653001200003</v>
      </c>
      <c r="H74" s="793">
        <v>-7.2050557990000001</v>
      </c>
      <c r="I74" s="793">
        <v>0</v>
      </c>
      <c r="J74" s="793">
        <v>-7.2050557990000001</v>
      </c>
      <c r="K74" s="793">
        <v>0</v>
      </c>
      <c r="L74" s="793">
        <v>0</v>
      </c>
      <c r="M74" s="793">
        <v>0</v>
      </c>
      <c r="O74" s="794"/>
    </row>
    <row r="75" spans="3:15" x14ac:dyDescent="0.3">
      <c r="C75" s="464" t="s">
        <v>1803</v>
      </c>
      <c r="D75" s="798" t="s">
        <v>1847</v>
      </c>
      <c r="E75" s="793">
        <v>21.548281157000002</v>
      </c>
      <c r="F75" s="793">
        <v>-1.704318365</v>
      </c>
      <c r="G75" s="793">
        <v>-14.510326589</v>
      </c>
      <c r="H75" s="793">
        <v>5.3336362030000002</v>
      </c>
      <c r="I75" s="793">
        <v>0</v>
      </c>
      <c r="J75" s="793">
        <v>5.3336362030000002</v>
      </c>
      <c r="K75" s="793">
        <v>0</v>
      </c>
      <c r="L75" s="793">
        <v>0</v>
      </c>
      <c r="M75" s="793">
        <v>0</v>
      </c>
      <c r="O75" s="794"/>
    </row>
    <row r="76" spans="3:15" x14ac:dyDescent="0.3">
      <c r="C76" s="464" t="s">
        <v>1805</v>
      </c>
      <c r="D76" s="798" t="s">
        <v>1849</v>
      </c>
      <c r="E76" s="793">
        <v>345.05624418999997</v>
      </c>
      <c r="F76" s="793">
        <v>-14.415943467</v>
      </c>
      <c r="G76" s="793">
        <v>-309.49163775</v>
      </c>
      <c r="H76" s="793">
        <v>21.148662973</v>
      </c>
      <c r="I76" s="793">
        <v>0</v>
      </c>
      <c r="J76" s="793">
        <v>21.148662973</v>
      </c>
      <c r="K76" s="793">
        <v>0</v>
      </c>
      <c r="L76" s="793">
        <v>0</v>
      </c>
      <c r="M76" s="793">
        <v>0</v>
      </c>
      <c r="O76" s="794"/>
    </row>
    <row r="77" spans="3:15" x14ac:dyDescent="0.3">
      <c r="C77" s="464" t="s">
        <v>1806</v>
      </c>
      <c r="D77" s="798" t="s">
        <v>1842</v>
      </c>
      <c r="E77" s="793">
        <v>-628.08727326099995</v>
      </c>
      <c r="F77" s="793">
        <v>0</v>
      </c>
      <c r="G77" s="793">
        <v>582.365452667</v>
      </c>
      <c r="H77" s="793">
        <v>-45.721820594</v>
      </c>
      <c r="I77" s="793">
        <v>0</v>
      </c>
      <c r="J77" s="793">
        <v>-45.721820594</v>
      </c>
      <c r="K77" s="793">
        <v>0</v>
      </c>
      <c r="L77" s="793">
        <v>0</v>
      </c>
      <c r="M77" s="793">
        <v>0</v>
      </c>
      <c r="O77" s="794"/>
    </row>
    <row r="78" spans="3:15" x14ac:dyDescent="0.3">
      <c r="C78" s="799" t="s">
        <v>1955</v>
      </c>
      <c r="D78" s="800" t="s">
        <v>1956</v>
      </c>
      <c r="E78" s="801">
        <v>-54.407612632000003</v>
      </c>
      <c r="F78" s="801">
        <v>0</v>
      </c>
      <c r="G78" s="801">
        <v>0</v>
      </c>
      <c r="H78" s="801">
        <v>0</v>
      </c>
      <c r="I78" s="801">
        <v>0</v>
      </c>
      <c r="J78" s="801">
        <v>0</v>
      </c>
      <c r="K78" s="801">
        <v>0</v>
      </c>
      <c r="L78" s="801">
        <v>2.932771E-2</v>
      </c>
      <c r="M78" s="801">
        <v>54.436940342</v>
      </c>
      <c r="O78" s="794"/>
    </row>
    <row r="79" spans="3:15" x14ac:dyDescent="0.3">
      <c r="C79" s="464" t="s">
        <v>1807</v>
      </c>
      <c r="D79" s="798" t="s">
        <v>1843</v>
      </c>
      <c r="E79" s="793">
        <v>-43.193195000999999</v>
      </c>
      <c r="F79" s="793">
        <v>22.564238782</v>
      </c>
      <c r="G79" s="793">
        <v>22.056405349999999</v>
      </c>
      <c r="H79" s="793">
        <v>1.4274491309999999</v>
      </c>
      <c r="I79" s="793">
        <v>0</v>
      </c>
      <c r="J79" s="793">
        <v>1.4274491309999999</v>
      </c>
      <c r="K79" s="793">
        <v>0</v>
      </c>
      <c r="L79" s="793">
        <v>0</v>
      </c>
      <c r="M79" s="793">
        <v>0</v>
      </c>
      <c r="O79" s="794"/>
    </row>
    <row r="80" spans="3:15" x14ac:dyDescent="0.3">
      <c r="C80" s="464" t="s">
        <v>1808</v>
      </c>
      <c r="D80" s="798" t="s">
        <v>1844</v>
      </c>
      <c r="E80" s="793">
        <v>0</v>
      </c>
      <c r="F80" s="793">
        <v>0</v>
      </c>
      <c r="G80" s="793">
        <v>-55.576176930999999</v>
      </c>
      <c r="H80" s="793">
        <v>0</v>
      </c>
      <c r="I80" s="793">
        <v>0</v>
      </c>
      <c r="J80" s="793">
        <v>0</v>
      </c>
      <c r="K80" s="793">
        <v>55.576176930999999</v>
      </c>
      <c r="L80" s="793">
        <v>0</v>
      </c>
      <c r="M80" s="793">
        <v>0</v>
      </c>
      <c r="O80" s="794"/>
    </row>
    <row r="81" spans="3:15" x14ac:dyDescent="0.3">
      <c r="C81" s="464" t="s">
        <v>1809</v>
      </c>
      <c r="D81" s="798" t="s">
        <v>1845</v>
      </c>
      <c r="E81" s="793">
        <v>0</v>
      </c>
      <c r="F81" s="793">
        <v>0</v>
      </c>
      <c r="G81" s="793">
        <v>0</v>
      </c>
      <c r="H81" s="793">
        <v>0</v>
      </c>
      <c r="I81" s="793">
        <v>0</v>
      </c>
      <c r="J81" s="793">
        <v>93.766806604999999</v>
      </c>
      <c r="K81" s="793">
        <v>93.766806604999999</v>
      </c>
      <c r="L81" s="793">
        <v>0</v>
      </c>
      <c r="M81" s="793">
        <v>0</v>
      </c>
      <c r="O81" s="794"/>
    </row>
    <row r="82" spans="3:15" x14ac:dyDescent="0.3">
      <c r="C82" s="462" t="s">
        <v>1810</v>
      </c>
      <c r="D82" s="795" t="s">
        <v>1846</v>
      </c>
      <c r="E82" s="802">
        <v>0</v>
      </c>
      <c r="F82" s="802">
        <v>0</v>
      </c>
      <c r="G82" s="802">
        <v>2.299797817</v>
      </c>
      <c r="H82" s="802">
        <v>1.3486426979999999</v>
      </c>
      <c r="I82" s="802">
        <v>0</v>
      </c>
      <c r="J82" s="802">
        <v>-0.50939844400000001</v>
      </c>
      <c r="K82" s="802">
        <v>-2.8091962609999999</v>
      </c>
      <c r="L82" s="802">
        <v>0</v>
      </c>
      <c r="M82" s="802">
        <v>0</v>
      </c>
      <c r="O82" s="794"/>
    </row>
    <row r="83" spans="3:15" x14ac:dyDescent="0.3">
      <c r="E83" s="794"/>
      <c r="F83" s="794"/>
      <c r="G83" s="794"/>
      <c r="H83" s="794"/>
      <c r="I83" s="794"/>
      <c r="J83" s="794"/>
      <c r="K83" s="794"/>
      <c r="L83" s="794"/>
      <c r="M83" s="794"/>
      <c r="O83" s="794"/>
    </row>
    <row r="84" spans="3:15" x14ac:dyDescent="0.3">
      <c r="E84" s="787"/>
      <c r="F84" s="787"/>
      <c r="G84" s="787"/>
      <c r="H84" s="787"/>
      <c r="I84" s="787"/>
      <c r="J84" s="787"/>
      <c r="K84" s="787"/>
      <c r="L84" s="787"/>
      <c r="M84" s="787"/>
      <c r="O84" s="794"/>
    </row>
    <row r="85" spans="3:15" x14ac:dyDescent="0.3">
      <c r="O85" s="794"/>
    </row>
    <row r="86" spans="3:15" x14ac:dyDescent="0.3">
      <c r="O86" s="794"/>
    </row>
    <row r="87" spans="3:15" x14ac:dyDescent="0.3">
      <c r="E87" s="794"/>
      <c r="F87" s="794"/>
      <c r="G87" s="794"/>
      <c r="H87" s="794"/>
      <c r="I87" s="794"/>
      <c r="J87" s="794"/>
      <c r="K87" s="794"/>
      <c r="L87" s="794"/>
      <c r="M87" s="794"/>
      <c r="O87" s="794"/>
    </row>
    <row r="88" spans="3:15" x14ac:dyDescent="0.3">
      <c r="E88" s="794"/>
      <c r="F88" s="794"/>
      <c r="G88" s="794"/>
      <c r="H88" s="794"/>
      <c r="I88" s="794"/>
      <c r="J88" s="794"/>
      <c r="K88" s="794"/>
      <c r="L88" s="794"/>
      <c r="M88" s="794"/>
      <c r="O88" s="794"/>
    </row>
    <row r="89" spans="3:15" x14ac:dyDescent="0.3">
      <c r="E89" s="794"/>
      <c r="F89" s="794"/>
      <c r="G89" s="794"/>
      <c r="H89" s="794"/>
      <c r="I89" s="794"/>
      <c r="J89" s="794"/>
      <c r="K89" s="794"/>
      <c r="L89" s="794"/>
      <c r="M89" s="794"/>
      <c r="O89" s="794"/>
    </row>
    <row r="90" spans="3:15" x14ac:dyDescent="0.3">
      <c r="E90" s="794"/>
      <c r="F90" s="794"/>
      <c r="G90" s="794"/>
      <c r="H90" s="794"/>
      <c r="I90" s="794"/>
      <c r="J90" s="794"/>
      <c r="K90" s="794"/>
      <c r="L90" s="794"/>
      <c r="M90" s="794"/>
      <c r="O90" s="794"/>
    </row>
    <row r="91" spans="3:15" x14ac:dyDescent="0.3">
      <c r="E91" s="794"/>
      <c r="F91" s="794"/>
      <c r="G91" s="794"/>
      <c r="H91" s="794"/>
      <c r="I91" s="794"/>
      <c r="J91" s="794"/>
      <c r="K91" s="794"/>
      <c r="L91" s="794"/>
      <c r="M91" s="794"/>
      <c r="O91" s="794"/>
    </row>
    <row r="92" spans="3:15" x14ac:dyDescent="0.3">
      <c r="E92" s="794"/>
      <c r="F92" s="794"/>
      <c r="G92" s="794"/>
      <c r="H92" s="794"/>
      <c r="I92" s="794"/>
      <c r="J92" s="794"/>
      <c r="K92" s="794"/>
      <c r="L92" s="794"/>
      <c r="M92" s="794"/>
      <c r="O92" s="794"/>
    </row>
    <row r="93" spans="3:15" x14ac:dyDescent="0.3">
      <c r="E93" s="794"/>
      <c r="F93" s="794"/>
      <c r="G93" s="794"/>
      <c r="H93" s="794"/>
      <c r="I93" s="794"/>
      <c r="J93" s="794"/>
      <c r="K93" s="794"/>
      <c r="L93" s="794"/>
      <c r="M93" s="794"/>
      <c r="O93" s="794"/>
    </row>
    <row r="94" spans="3:15" x14ac:dyDescent="0.3">
      <c r="E94" s="794"/>
      <c r="F94" s="794"/>
      <c r="G94" s="794"/>
      <c r="H94" s="794"/>
      <c r="I94" s="794"/>
      <c r="J94" s="794"/>
      <c r="K94" s="794"/>
      <c r="L94" s="794"/>
      <c r="M94" s="794"/>
      <c r="O94" s="794"/>
    </row>
    <row r="95" spans="3:15" x14ac:dyDescent="0.3">
      <c r="E95" s="794"/>
      <c r="F95" s="794"/>
      <c r="G95" s="794"/>
      <c r="H95" s="794"/>
      <c r="I95" s="794"/>
      <c r="J95" s="794"/>
      <c r="K95" s="794"/>
      <c r="L95" s="794"/>
      <c r="M95" s="794"/>
      <c r="O95" s="794"/>
    </row>
    <row r="96" spans="3:15" x14ac:dyDescent="0.3">
      <c r="E96" s="794"/>
      <c r="F96" s="794"/>
      <c r="G96" s="794"/>
      <c r="H96" s="794"/>
      <c r="I96" s="794"/>
      <c r="J96" s="794"/>
      <c r="K96" s="794"/>
      <c r="L96" s="794"/>
      <c r="M96" s="794"/>
      <c r="O96" s="794"/>
    </row>
    <row r="97" spans="5:15" x14ac:dyDescent="0.3">
      <c r="E97" s="794"/>
      <c r="F97" s="794"/>
      <c r="G97" s="794"/>
      <c r="H97" s="794"/>
      <c r="I97" s="794"/>
      <c r="J97" s="794"/>
      <c r="K97" s="794"/>
      <c r="L97" s="794"/>
      <c r="M97" s="794"/>
      <c r="O97" s="794"/>
    </row>
    <row r="98" spans="5:15" x14ac:dyDescent="0.3">
      <c r="E98" s="794"/>
      <c r="F98" s="794"/>
      <c r="G98" s="794"/>
      <c r="H98" s="794"/>
      <c r="I98" s="794"/>
      <c r="J98" s="794"/>
      <c r="K98" s="794"/>
      <c r="L98" s="794"/>
      <c r="M98" s="794"/>
      <c r="O98" s="794"/>
    </row>
    <row r="99" spans="5:15" x14ac:dyDescent="0.3">
      <c r="E99" s="794"/>
      <c r="F99" s="794"/>
      <c r="G99" s="794"/>
      <c r="H99" s="794"/>
      <c r="I99" s="794"/>
      <c r="J99" s="794"/>
      <c r="K99" s="794"/>
      <c r="L99" s="794"/>
      <c r="M99" s="794"/>
      <c r="O99" s="794"/>
    </row>
    <row r="100" spans="5:15" x14ac:dyDescent="0.3">
      <c r="E100" s="794"/>
      <c r="F100" s="794"/>
      <c r="G100" s="794"/>
      <c r="H100" s="794"/>
      <c r="I100" s="794"/>
      <c r="J100" s="794"/>
      <c r="K100" s="794"/>
      <c r="L100" s="794"/>
      <c r="M100" s="794"/>
      <c r="O100" s="794"/>
    </row>
    <row r="101" spans="5:15" x14ac:dyDescent="0.3">
      <c r="E101" s="794"/>
      <c r="F101" s="794"/>
      <c r="G101" s="794"/>
      <c r="H101" s="794"/>
      <c r="I101" s="794"/>
      <c r="J101" s="794"/>
      <c r="K101" s="794"/>
      <c r="L101" s="794"/>
      <c r="M101" s="794"/>
    </row>
    <row r="102" spans="5:15" x14ac:dyDescent="0.3">
      <c r="E102" s="794"/>
      <c r="F102" s="794"/>
      <c r="G102" s="794"/>
      <c r="H102" s="794"/>
      <c r="I102" s="794"/>
      <c r="J102" s="794"/>
      <c r="K102" s="794"/>
      <c r="L102" s="794"/>
      <c r="M102" s="794"/>
    </row>
    <row r="103" spans="5:15" x14ac:dyDescent="0.3">
      <c r="G103" s="794"/>
    </row>
    <row r="104" spans="5:15" x14ac:dyDescent="0.3">
      <c r="E104" s="794"/>
      <c r="F104" s="794"/>
      <c r="G104" s="794"/>
      <c r="H104" s="794"/>
      <c r="I104" s="794"/>
      <c r="J104" s="794"/>
      <c r="K104" s="794"/>
      <c r="L104" s="794"/>
      <c r="M104" s="794"/>
    </row>
    <row r="105" spans="5:15" x14ac:dyDescent="0.3">
      <c r="G105" s="794"/>
    </row>
    <row r="106" spans="5:15" x14ac:dyDescent="0.3">
      <c r="G106" s="794"/>
    </row>
  </sheetData>
  <mergeCells count="24">
    <mergeCell ref="I64:I65"/>
    <mergeCell ref="C44:D45"/>
    <mergeCell ref="E44:E45"/>
    <mergeCell ref="F44:F45"/>
    <mergeCell ref="G44:G45"/>
    <mergeCell ref="H44:H45"/>
    <mergeCell ref="I44:I45"/>
    <mergeCell ref="C64:D65"/>
    <mergeCell ref="E64:E65"/>
    <mergeCell ref="F64:F65"/>
    <mergeCell ref="G64:G65"/>
    <mergeCell ref="H64:H65"/>
    <mergeCell ref="I26:I27"/>
    <mergeCell ref="C4:D5"/>
    <mergeCell ref="E4:E5"/>
    <mergeCell ref="F4:F5"/>
    <mergeCell ref="G4:G5"/>
    <mergeCell ref="H4:H5"/>
    <mergeCell ref="I4:I5"/>
    <mergeCell ref="C26:D27"/>
    <mergeCell ref="E26:E27"/>
    <mergeCell ref="F26:F27"/>
    <mergeCell ref="G26:G27"/>
    <mergeCell ref="H26:H27"/>
  </mergeCells>
  <phoneticPr fontId="1" type="noConversion"/>
  <pageMargins left="0.7" right="0.7" top="0.75" bottom="0.75" header="0.3" footer="0.3"/>
  <pageSetup paperSize="9" scale="33"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22</vt:i4>
      </vt:variant>
      <vt:variant>
        <vt:lpstr>이름이 지정된 범위</vt:lpstr>
      </vt:variant>
      <vt:variant>
        <vt:i4>22</vt:i4>
      </vt:variant>
    </vt:vector>
  </HeadingPairs>
  <TitlesOfParts>
    <vt:vector size="44" baseType="lpstr">
      <vt:lpstr>INDEX</vt:lpstr>
      <vt:lpstr>SUMMARY</vt:lpstr>
      <vt:lpstr>KIFRS-BS</vt:lpstr>
      <vt:lpstr>KIFRS-IS</vt:lpstr>
      <vt:lpstr>PROFIT</vt:lpstr>
      <vt:lpstr>CSM</vt:lpstr>
      <vt:lpstr>PREMIUM</vt:lpstr>
      <vt:lpstr>INITIAL</vt:lpstr>
      <vt:lpstr>FIRSTYR</vt:lpstr>
      <vt:lpstr>CHINITYR</vt:lpstr>
      <vt:lpstr>APE</vt:lpstr>
      <vt:lpstr>FEEBIZ</vt:lpstr>
      <vt:lpstr>EFF</vt:lpstr>
      <vt:lpstr>PORT</vt:lpstr>
      <vt:lpstr>YIELD</vt:lpstr>
      <vt:lpstr>QUALITY</vt:lpstr>
      <vt:lpstr>STABLE</vt:lpstr>
      <vt:lpstr>SAP-BS</vt:lpstr>
      <vt:lpstr>SAP-IS</vt:lpstr>
      <vt:lpstr>NB</vt:lpstr>
      <vt:lpstr>SUB</vt:lpstr>
      <vt:lpstr>LIAB</vt:lpstr>
      <vt:lpstr>language</vt:lpstr>
      <vt:lpstr>APE!Print_Area</vt:lpstr>
      <vt:lpstr>CHINITYR!Print_Area</vt:lpstr>
      <vt:lpstr>CSM!Print_Area</vt:lpstr>
      <vt:lpstr>EFF!Print_Area</vt:lpstr>
      <vt:lpstr>FEEBIZ!Print_Area</vt:lpstr>
      <vt:lpstr>FIRSTYR!Print_Area</vt:lpstr>
      <vt:lpstr>INDEX!Print_Area</vt:lpstr>
      <vt:lpstr>INITIAL!Print_Area</vt:lpstr>
      <vt:lpstr>'KIFRS-BS'!Print_Area</vt:lpstr>
      <vt:lpstr>'KIFRS-IS'!Print_Area</vt:lpstr>
      <vt:lpstr>NB!Print_Area</vt:lpstr>
      <vt:lpstr>PORT!Print_Area</vt:lpstr>
      <vt:lpstr>PREMIUM!Print_Area</vt:lpstr>
      <vt:lpstr>PROFIT!Print_Area</vt:lpstr>
      <vt:lpstr>QUALITY!Print_Area</vt:lpstr>
      <vt:lpstr>'SAP-BS'!Print_Area</vt:lpstr>
      <vt:lpstr>'SAP-IS'!Print_Area</vt:lpstr>
      <vt:lpstr>STABLE!Print_Area</vt:lpstr>
      <vt:lpstr>SUB!Print_Area</vt:lpstr>
      <vt:lpstr>SUMMARY!Print_Area</vt:lpstr>
      <vt:lpstr>YIELD!Print_Area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최영주</dc:creator>
  <cp:lastModifiedBy>master</cp:lastModifiedBy>
  <cp:lastPrinted>2024-02-20T12:00:12Z</cp:lastPrinted>
  <dcterms:created xsi:type="dcterms:W3CDTF">2018-06-21T06:19:47Z</dcterms:created>
  <dcterms:modified xsi:type="dcterms:W3CDTF">2026-02-20T02:52:05Z</dcterms:modified>
</cp:coreProperties>
</file>