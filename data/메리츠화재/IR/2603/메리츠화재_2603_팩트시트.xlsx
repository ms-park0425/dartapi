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2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★SKH★\01.IR\01.FACTSHEET\26.2Q\"/>
    </mc:Choice>
  </mc:AlternateContent>
  <xr:revisionPtr revIDLastSave="0" documentId="13_ncr:1_{A20D2104-6E6D-4E72-8815-94DB27B3FB89}" xr6:coauthVersionLast="36" xr6:coauthVersionMax="36" xr10:uidLastSave="{00000000-0000-0000-0000-000000000000}"/>
  <bookViews>
    <workbookView xWindow="2235" yWindow="1545" windowWidth="14985" windowHeight="11460" tabRatio="836" xr2:uid="{00000000-000D-0000-FFFF-FFFF00000000}"/>
  </bookViews>
  <sheets>
    <sheet name="Cover" sheetId="55" r:id="rId1"/>
    <sheet name="Group highlight" sheetId="48" r:id="rId2"/>
    <sheet name="Group_PL" sheetId="52" r:id="rId3"/>
    <sheet name="Group_BS" sheetId="53" r:id="rId4"/>
    <sheet name="Insurance_Condensed PL" sheetId="49" r:id="rId5"/>
    <sheet name="CSM" sheetId="58" r:id="rId6"/>
    <sheet name="Insurance_Condensed BS" sheetId="3" r:id="rId7"/>
    <sheet name="Insurance_Efficiency" sheetId="6" r:id="rId8"/>
    <sheet name="Insurance_Asset" sheetId="51" r:id="rId9"/>
    <sheet name="Insurance_NewP" sheetId="15" r:id="rId10"/>
    <sheet name="Insurance_ALM" sheetId="4" r:id="rId11"/>
    <sheet name="Insurance_BS" sheetId="43" r:id="rId12"/>
    <sheet name="Insurance_PL" sheetId="44" r:id="rId13"/>
    <sheet name="Securities_Key Figures" sheetId="59" r:id="rId14"/>
    <sheet name="Securities_Condensesd FS" sheetId="60" r:id="rId15"/>
    <sheet name="Securities_BS(Consolidated)" sheetId="61" r:id="rId16"/>
    <sheet name="Securities_BS(Standalone)" sheetId="62" r:id="rId17"/>
    <sheet name="Securities_PL(Consolidated)" sheetId="63" r:id="rId18"/>
    <sheet name="Securities_PL(Standalone)" sheetId="6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</externalReferences>
  <definedNames>
    <definedName name="_">#REF!</definedName>
    <definedName name="_.4">#REF!</definedName>
    <definedName name="_?">[1]손익합산!$L$5:$L$92</definedName>
    <definedName name="_?__C">#REF!</definedName>
    <definedName name="__?">[1]손익합산!$L$5:$L$92</definedName>
    <definedName name="__?__C">#REF!</definedName>
    <definedName name="__123Graph_A" hidden="1">[2]PAIRR!$J$57:$S$57</definedName>
    <definedName name="__123Graph_ACurrent" localSheetId="13" hidden="1">#REF!</definedName>
    <definedName name="__123Graph_ACurrent" hidden="1">#REF!</definedName>
    <definedName name="__123Graph_BCurrent" localSheetId="13" hidden="1">#REF!</definedName>
    <definedName name="__123Graph_BCurrent" hidden="1">#REF!</definedName>
    <definedName name="__123Graph_D" hidden="1">[2]PAIRR!$J$73:$S$73</definedName>
    <definedName name="__123Graph_X" hidden="1">[2]PAIRR!$J$25:$S$25</definedName>
    <definedName name="__123Graph_XCurrent" localSheetId="13" hidden="1">#REF!</definedName>
    <definedName name="__123Graph_XCurrent" hidden="1">#REF!</definedName>
    <definedName name="__a1">'[3]97년추정손익계산서'!$I$6:$I$8</definedName>
    <definedName name="__CAR0304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8">'[4]sap`04.7.14'!#REF!</definedName>
    <definedName name="__DAT19">'[4]sap`04.7.14'!#REF!</definedName>
    <definedName name="__DAT2">#REF!</definedName>
    <definedName name="__DAT20">'[4]sap`04.7.14'!#REF!</definedName>
    <definedName name="__DAT21">'[4]sap`04.7.14'!#REF!</definedName>
    <definedName name="__DAT24">'[4]sap`04.7.14'!#REF!</definedName>
    <definedName name="__DAT25">[5]임차보증금현황04.6.30!#REF!</definedName>
    <definedName name="__DAT26">'[4]sap`04.7.14'!#REF!</definedName>
    <definedName name="__DAT27">'[4]sap`04.7.14'!#REF!</definedName>
    <definedName name="__DAT29">'[4]sap`04.7.14'!#REF!</definedName>
    <definedName name="__DAT3">'[6]신전산소항목시산표(5월)'!#REF!</definedName>
    <definedName name="__DAT30">'[4]sap`04.7.14'!#REF!</definedName>
    <definedName name="__DAT31">'[4]sap`04.7.14'!#REF!</definedName>
    <definedName name="__DAT4">'[6]신전산소항목시산표(5월)'!#REF!</definedName>
    <definedName name="__DAT5">#REF!</definedName>
    <definedName name="__DAT6">#REF!</definedName>
    <definedName name="__DAT7">'[6]신전산소항목시산표(5월)'!#REF!</definedName>
    <definedName name="__DAT8">'[6]신전산소항목시산표(5월)'!#REF!</definedName>
    <definedName name="__DAT9">#REF!</definedName>
    <definedName name="__Description">[7]COMBINED!#REF!</definedName>
    <definedName name="__Group">[7]COMBINED!#REF!</definedName>
    <definedName name="__irr2">#REF!</definedName>
    <definedName name="__LongDescrip">[7]COMBINED!#REF!</definedName>
    <definedName name="__LOS0304">#REF!</definedName>
    <definedName name="__NUM1">'[8]4-2물건누계'!#REF!</definedName>
    <definedName name="__pc1">'[9]2담당0113'!$F$427</definedName>
    <definedName name="__Rev">[7]COMBINED!#REF!</definedName>
    <definedName name="__SEN1">#REF!</definedName>
    <definedName name="__SEN2">#REF!</definedName>
    <definedName name="__SEN3">#REF!</definedName>
    <definedName name="__SEN4">#REF!</definedName>
    <definedName name="__SEN5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Type">[7]COMBINED!#REF!</definedName>
    <definedName name="__VAR2">#REF!</definedName>
    <definedName name="_1.매출채권">#REF!</definedName>
    <definedName name="_13._당기순이익" localSheetId="1">[10]요약PL!#REF!</definedName>
    <definedName name="_13._당기순이익" localSheetId="8">[10]요약PL!#REF!</definedName>
    <definedName name="_13._당기순이익" localSheetId="4">[10]요약PL!#REF!</definedName>
    <definedName name="_13._당기순이익">[10]요약PL!#REF!</definedName>
    <definedName name="_4분기">{0;0;0;0;1;#N/A;0;0;0.3;0.3;2;FALSE;FALSE;FALSE;FALSE;FALSE;#N/A;1;96;#N/A;#N/A;"";""}</definedName>
    <definedName name="_a1">'[11]97년추정손익계산서'!$I$6:$I$8</definedName>
    <definedName name="_AH0001">#REF!</definedName>
    <definedName name="_CAR0304">#REF!</definedName>
    <definedName name="_CS030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8">'[5]sap`04.7.14'!#REF!</definedName>
    <definedName name="_DAT19">'[5]sap`04.7.14'!#REF!</definedName>
    <definedName name="_DAT2">#REF!</definedName>
    <definedName name="_DAT20">'[5]sap`04.7.14'!#REF!</definedName>
    <definedName name="_DAT21">'[5]sap`04.7.14'!#REF!</definedName>
    <definedName name="_DAT24">'[5]sap`04.7.14'!#REF!</definedName>
    <definedName name="_DAT25">[6]임차보증금현황04.6.30!#REF!</definedName>
    <definedName name="_DAT26">'[5]sap`04.7.14'!#REF!</definedName>
    <definedName name="_DAT27">'[5]sap`04.7.14'!#REF!</definedName>
    <definedName name="_DAT29">'[5]sap`04.7.14'!#REF!</definedName>
    <definedName name="_DAT3">'[12]신전산소항목시산표(5월)'!#REF!</definedName>
    <definedName name="_DAT30">'[5]sap`04.7.14'!#REF!</definedName>
    <definedName name="_DAT31">'[5]sap`04.7.14'!#REF!</definedName>
    <definedName name="_DAT4">'[12]신전산소항목시산표(5월)'!#REF!</definedName>
    <definedName name="_DAT5">#REF!</definedName>
    <definedName name="_DAT6">#REF!</definedName>
    <definedName name="_DAT7">'[12]신전산소항목시산표(5월)'!#REF!</definedName>
    <definedName name="_DAT8">'[12]신전산소항목시산표(5월)'!#REF!</definedName>
    <definedName name="_DAT9">#REF!</definedName>
    <definedName name="_Fill" localSheetId="13" hidden="1">[13]LIST!#REF!</definedName>
    <definedName name="_Fill" hidden="1">[13]LIST!#REF!</definedName>
    <definedName name="_xlnm._FilterDatabase" localSheetId="10" hidden="1">Insurance_ALM!#REF!</definedName>
    <definedName name="_xlnm._FilterDatabase" localSheetId="8" hidden="1">Insurance_Asset!#REF!</definedName>
    <definedName name="_xlnm._FilterDatabase" localSheetId="11" hidden="1">Insurance_BS!$R$5:$R$199</definedName>
    <definedName name="_xlnm._FilterDatabase" localSheetId="9" hidden="1">Insurance_NewP!#REF!</definedName>
    <definedName name="_xlnm._FilterDatabase">#REF!</definedName>
    <definedName name="_I071_First_Page">[7]COMBINED!#REF!</definedName>
    <definedName name="_irr2">#REF!</definedName>
    <definedName name="_Key" localSheetId="13" hidden="1">#REF!</definedName>
    <definedName name="_Key" hidden="1">#REF!</definedName>
    <definedName name="_Key1" localSheetId="1" hidden="1">#REF!</definedName>
    <definedName name="_Key1" localSheetId="8" hidden="1">#REF!</definedName>
    <definedName name="_Key1" localSheetId="4" hidden="1">#REF!</definedName>
    <definedName name="_Key1" localSheetId="15" hidden="1">#REF!</definedName>
    <definedName name="_Key1" localSheetId="16" hidden="1">#REF!</definedName>
    <definedName name="_Key1" localSheetId="13" hidden="1">#REF!</definedName>
    <definedName name="_Key1" localSheetId="17" hidden="1">#REF!</definedName>
    <definedName name="_Key1" hidden="1">#REF!</definedName>
    <definedName name="_key10" localSheetId="13" hidden="1">#REF!</definedName>
    <definedName name="_key10" hidden="1">#REF!</definedName>
    <definedName name="_Key2" localSheetId="1" hidden="1">#REF!</definedName>
    <definedName name="_Key2" localSheetId="8" hidden="1">#REF!</definedName>
    <definedName name="_Key2" localSheetId="4" hidden="1">#REF!</definedName>
    <definedName name="_Key2" localSheetId="15" hidden="1">#REF!</definedName>
    <definedName name="_Key2" localSheetId="16" hidden="1">#REF!</definedName>
    <definedName name="_Key2" localSheetId="13" hidden="1">#REF!</definedName>
    <definedName name="_Key2" localSheetId="17" hidden="1">#REF!</definedName>
    <definedName name="_Key2" hidden="1">#REF!</definedName>
    <definedName name="_LOS0304">#REF!</definedName>
    <definedName name="_MatInverse_Out" localSheetId="13" hidden="1">[14]Sheet3!#REF!</definedName>
    <definedName name="_MatInverse_Out" hidden="1">[14]Sheet3!#REF!</definedName>
    <definedName name="_MatMult_B" localSheetId="13" hidden="1">[14]Sheet3!#REF!</definedName>
    <definedName name="_MatMult_B" hidden="1">[14]Sheet3!#REF!</definedName>
    <definedName name="_NUM1">'[8]4-2물건누계'!#REF!</definedName>
    <definedName name="_Order1" hidden="1">255</definedName>
    <definedName name="_Order2" hidden="1">255</definedName>
    <definedName name="_P001_First_Page">[7]COMBINED!#REF!</definedName>
    <definedName name="_P3">'[15]10K4'!#REF!</definedName>
    <definedName name="_Parse_In" localSheetId="13" hidden="1">#REF!</definedName>
    <definedName name="_Parse_In" hidden="1">#REF!</definedName>
    <definedName name="_Parse_Out" localSheetId="13" hidden="1">#REF!</definedName>
    <definedName name="_Parse_Out" hidden="1">#REF!</definedName>
    <definedName name="_pc1">'[9]2담당0113'!$F$427</definedName>
    <definedName name="_Regression_Out" localSheetId="1" hidden="1">#REF!</definedName>
    <definedName name="_Regression_Out" localSheetId="8" hidden="1">#REF!</definedName>
    <definedName name="_Regression_Out" localSheetId="4" hidden="1">#REF!</definedName>
    <definedName name="_Regression_Out" localSheetId="15" hidden="1">#REF!</definedName>
    <definedName name="_Regression_Out" localSheetId="16" hidden="1">#REF!</definedName>
    <definedName name="_Regression_Out" localSheetId="13" hidden="1">#REF!</definedName>
    <definedName name="_Regression_Out" localSheetId="17" hidden="1">#REF!</definedName>
    <definedName name="_Regression_Out" hidden="1">#REF!</definedName>
    <definedName name="_Regression_X" localSheetId="1" hidden="1">#REF!</definedName>
    <definedName name="_Regression_X" localSheetId="8" hidden="1">#REF!</definedName>
    <definedName name="_Regression_X" localSheetId="4" hidden="1">#REF!</definedName>
    <definedName name="_Regression_X" localSheetId="15" hidden="1">#REF!</definedName>
    <definedName name="_Regression_X" localSheetId="16" hidden="1">#REF!</definedName>
    <definedName name="_Regression_X" localSheetId="13" hidden="1">#REF!</definedName>
    <definedName name="_Regression_X" localSheetId="17" hidden="1">#REF!</definedName>
    <definedName name="_Regression_X" hidden="1">#REF!</definedName>
    <definedName name="_Regression_Y" localSheetId="1" hidden="1">#REF!</definedName>
    <definedName name="_Regression_Y" localSheetId="8" hidden="1">#REF!</definedName>
    <definedName name="_Regression_Y" localSheetId="4" hidden="1">#REF!</definedName>
    <definedName name="_Regression_Y" localSheetId="15" hidden="1">#REF!</definedName>
    <definedName name="_Regression_Y" localSheetId="16" hidden="1">#REF!</definedName>
    <definedName name="_Regression_Y" localSheetId="13" hidden="1">#REF!</definedName>
    <definedName name="_Regression_Y" localSheetId="17" hidden="1">#REF!</definedName>
    <definedName name="_Regression_Y" hidden="1">#REF!</definedName>
    <definedName name="_Report">0</definedName>
    <definedName name="_RES1">#REF!</definedName>
    <definedName name="_RES10">#REF!</definedName>
    <definedName name="_RES11">#REF!</definedName>
    <definedName name="_RES12">#REF!</definedName>
    <definedName name="_RES13">#REF!</definedName>
    <definedName name="_RES14">#REF!</definedName>
    <definedName name="_RES2">#REF!</definedName>
    <definedName name="_RES3">#REF!</definedName>
    <definedName name="_RES4">#REF!</definedName>
    <definedName name="_RES5">#REF!</definedName>
    <definedName name="_RES6">#REF!</definedName>
    <definedName name="_RES7">#REF!</definedName>
    <definedName name="_RES8">#REF!</definedName>
    <definedName name="_RES9">#REF!</definedName>
    <definedName name="_S_Base">{0.1;0;0.382758620689655;0;0;0;0.258620689655172;0;0.258620689655172}</definedName>
    <definedName name="_S_new_case">{0.1;0;0.45;0;0;0;0;0;0.45}</definedName>
    <definedName name="_SEN1">#REF!</definedName>
    <definedName name="_SEN2">#REF!</definedName>
    <definedName name="_SEN3">#REF!</definedName>
    <definedName name="_SEN4">#REF!</definedName>
    <definedName name="_SEN5">#REF!</definedName>
    <definedName name="_Sort" localSheetId="1" hidden="1">#REF!</definedName>
    <definedName name="_Sort" localSheetId="8" hidden="1">#REF!</definedName>
    <definedName name="_Sort" localSheetId="4" hidden="1">#REF!</definedName>
    <definedName name="_Sort" localSheetId="15" hidden="1">#REF!</definedName>
    <definedName name="_Sort" localSheetId="16" hidden="1">#REF!</definedName>
    <definedName name="_Sort" localSheetId="13" hidden="1">#REF!</definedName>
    <definedName name="_Sort" localSheetId="17" hidden="1">#REF!</definedName>
    <definedName name="_Sort" hidden="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VAR2">#REF!</definedName>
    <definedName name="_Z5.5_Discounted_Cash_Flow_2">{0;0;0;0;1;#N/A;0;0;0.3;0.3;2;FALSE;FALSE;FALSE;FALSE;FALSE;#N/A;1;#N/A;1;1;"";""}</definedName>
    <definedName name="_Zprint_all">{0;0;0;0;1;#N/A;0;0;0.3;0.3;2;FALSE;FALSE;FALSE;FALSE;FALSE;#N/A;1;96;#N/A;#N/A;"";""}</definedName>
    <definedName name="_Zprint_area">{0;0;0;0;1;#N/A;0;0;0.3;0.3;2;FALSE;FALSE;FALSE;FALSE;FALSE;#N/A;1;100;#N/A;#N/A;"";""}</definedName>
    <definedName name="¸AAa¿ø°¡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R">#REF!</definedName>
    <definedName name="\S">#REF!</definedName>
    <definedName name="\t">#N/A</definedName>
    <definedName name="\z">#REF!</definedName>
    <definedName name="a" localSheetId="0" hidden="1">{"'매출'!$A$1:$I$22"}</definedName>
    <definedName name="a" localSheetId="1" hidden="1">{"'매출'!$A$1:$I$22"}</definedName>
    <definedName name="a" localSheetId="13" hidden="1">{"'매출'!$A$1:$I$22"}</definedName>
    <definedName name="a" hidden="1">{"'매출'!$A$1:$I$22"}</definedName>
    <definedName name="aa">#REF!</definedName>
    <definedName name="aaa">[2]PAIRR!$BL$4</definedName>
    <definedName name="AARP">#REF!</definedName>
    <definedName name="AARP2">#REF!</definedName>
    <definedName name="AB">[16]!PRT6BN5BT41</definedName>
    <definedName name="ABC">#REF!</definedName>
    <definedName name="AC">[16]!prt6bv7cc30</definedName>
    <definedName name="AcctMethod" localSheetId="1">#REF!</definedName>
    <definedName name="AcctMethod" localSheetId="8">#REF!</definedName>
    <definedName name="AcctMethod" localSheetId="4">#REF!</definedName>
    <definedName name="AcctMethod">#REF!</definedName>
    <definedName name="Acquiror" localSheetId="1">#REF!</definedName>
    <definedName name="Acquiror" localSheetId="8">#REF!</definedName>
    <definedName name="Acquiror" localSheetId="4">#REF!</definedName>
    <definedName name="Acquiror">#REF!</definedName>
    <definedName name="AcquirorIndex" localSheetId="1">#REF!</definedName>
    <definedName name="AcquirorIndex" localSheetId="8">#REF!</definedName>
    <definedName name="AcquirorIndex" localSheetId="4">#REF!</definedName>
    <definedName name="AcquirorIndex">#REF!</definedName>
    <definedName name="ADAnchor1" localSheetId="1">#REF!</definedName>
    <definedName name="ADAnchor1" localSheetId="8">#REF!</definedName>
    <definedName name="ADAnchor1" localSheetId="4">#REF!</definedName>
    <definedName name="ADAnchor1">#REF!</definedName>
    <definedName name="ADAnchor2" localSheetId="1">#REF!</definedName>
    <definedName name="ADAnchor2" localSheetId="8">#REF!</definedName>
    <definedName name="ADAnchor2" localSheetId="4">#REF!</definedName>
    <definedName name="ADAnchor2">#REF!</definedName>
    <definedName name="adfghsdfgsd">[11]대환취급!$A$1:$N$3416</definedName>
    <definedName name="Adj1998E">'[17]합병분개 Adj'!#REF!</definedName>
    <definedName name="Adj1998N">'[17]합병분개 Adj'!#REF!</definedName>
    <definedName name="Adj1999C">#REF!</definedName>
    <definedName name="Adj1999E">#REF!</definedName>
    <definedName name="Adj1999N">#REF!</definedName>
    <definedName name="Adj2000C">#REF!</definedName>
    <definedName name="Adj2000E">#REF!</definedName>
    <definedName name="Adj2000N">#REF!</definedName>
    <definedName name="afasdfasd">{0;0;0;0;1;#N/A;0;0;0.3;0.3;2;FALSE;FALSE;FALSE;FALSE;FALSE;#N/A;1;#N/A;1;1;"";""}</definedName>
    <definedName name="AftPL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'[18]7'!$P$112</definedName>
    <definedName name="AS2DocOpenMode" hidden="1">"AS2DocumentEdit"</definedName>
    <definedName name="asd" localSheetId="0" hidden="1">{"'매출'!$A$1:$I$22"}</definedName>
    <definedName name="asd" localSheetId="1" hidden="1">{"'매출'!$A$1:$I$22"}</definedName>
    <definedName name="asd" localSheetId="13" hidden="1">{"'매출'!$A$1:$I$22"}</definedName>
    <definedName name="asd" hidden="1">{"'매출'!$A$1:$I$22"}</definedName>
    <definedName name="asfwefwf">[19]f_BS!$A$4:$E$43</definedName>
    <definedName name="Asset_quality" localSheetId="1">#REF!</definedName>
    <definedName name="Asset_quality" localSheetId="8">#REF!</definedName>
    <definedName name="Asset_quality" localSheetId="4">#REF!</definedName>
    <definedName name="Asset_quality">#REF!</definedName>
    <definedName name="Asset_quality2" localSheetId="1">#REF!</definedName>
    <definedName name="Asset_quality2" localSheetId="8">#REF!</definedName>
    <definedName name="Asset_quality2" localSheetId="4">#REF!</definedName>
    <definedName name="Asset_quality2">#REF!</definedName>
    <definedName name="Asset_quality3" localSheetId="1">#REF!</definedName>
    <definedName name="Asset_quality3" localSheetId="8">#REF!</definedName>
    <definedName name="Asset_quality3" localSheetId="4">#REF!</definedName>
    <definedName name="Asset_quality3">#REF!</definedName>
    <definedName name="AssetsLookup" localSheetId="1">#REF!</definedName>
    <definedName name="AssetsLookup" localSheetId="8">#REF!</definedName>
    <definedName name="AssetsLookup" localSheetId="4">#REF!</definedName>
    <definedName name="AssetsLookup">#REF!</definedName>
    <definedName name="axs" localSheetId="0">Word</definedName>
    <definedName name="axs" localSheetId="1">Word</definedName>
    <definedName name="axs" localSheetId="8">Word</definedName>
    <definedName name="axs" localSheetId="4">Word</definedName>
    <definedName name="axs">Word</definedName>
    <definedName name="az">{0.1;0;0.382758620689655;0;0;0;0.258620689655172;0;0.258620689655172}</definedName>
    <definedName name="B">'[3]97년추정손익계산서'!$I$6:$I$8</definedName>
    <definedName name="BALANCE">[20]WACC!#REF!</definedName>
    <definedName name="bancs_co1">"bancs'!$B$3:$H$2183"</definedName>
    <definedName name="BankList" localSheetId="1">#REF!</definedName>
    <definedName name="BankList" localSheetId="8">#REF!</definedName>
    <definedName name="BankList" localSheetId="4">#REF!</definedName>
    <definedName name="BankList">#REF!</definedName>
    <definedName name="bb" localSheetId="0">Cover!bb</definedName>
    <definedName name="bb" localSheetId="1">'Group highlight'!bb</definedName>
    <definedName name="bb" localSheetId="4">[21]!bb</definedName>
    <definedName name="bb">[21]!bb</definedName>
    <definedName name="bbb">#REF!</definedName>
    <definedName name="bdate" localSheetId="1">#REF!</definedName>
    <definedName name="bdate" localSheetId="8">#REF!</definedName>
    <definedName name="bdate" localSheetId="4">#REF!</definedName>
    <definedName name="bdate">#REF!</definedName>
    <definedName name="Beforeadjust.95" localSheetId="1">#REF!</definedName>
    <definedName name="Beforeadjust.95" localSheetId="8">#REF!</definedName>
    <definedName name="Beforeadjust.95" localSheetId="4">#REF!</definedName>
    <definedName name="Beforeadjust.95">#REF!</definedName>
    <definedName name="Beforeadjust.96" localSheetId="1">#REF!</definedName>
    <definedName name="Beforeadjust.96" localSheetId="8">#REF!</definedName>
    <definedName name="Beforeadjust.96" localSheetId="4">#REF!</definedName>
    <definedName name="Beforeadjust.96">#REF!</definedName>
    <definedName name="Beforeadjust.97" localSheetId="1">#REF!</definedName>
    <definedName name="Beforeadjust.97" localSheetId="8">#REF!</definedName>
    <definedName name="Beforeadjust.97" localSheetId="4">#REF!</definedName>
    <definedName name="Beforeadjust.97">#REF!</definedName>
    <definedName name="Beforeadjust.98.10" localSheetId="1">#REF!</definedName>
    <definedName name="Beforeadjust.98.10" localSheetId="8">#REF!</definedName>
    <definedName name="Beforeadjust.98.10" localSheetId="4">#REF!</definedName>
    <definedName name="Beforeadjust.98.10">#REF!</definedName>
    <definedName name="Beforeadjust.98.11" localSheetId="1">#REF!</definedName>
    <definedName name="Beforeadjust.98.11" localSheetId="8">#REF!</definedName>
    <definedName name="Beforeadjust.98.11" localSheetId="4">#REF!</definedName>
    <definedName name="Beforeadjust.98.11">#REF!</definedName>
    <definedName name="BERange" localSheetId="1">#REF!</definedName>
    <definedName name="BERange" localSheetId="8">#REF!</definedName>
    <definedName name="BERange" localSheetId="4">#REF!</definedName>
    <definedName name="BERange">#REF!</definedName>
    <definedName name="BETA">[20]WACC!#REF!</definedName>
    <definedName name="bicha">#REF!</definedName>
    <definedName name="bk">#REF!</definedName>
    <definedName name="BO">'[3]97년추정손익계산서'!$I$6:$I$86</definedName>
    <definedName name="BP">#REF!</definedName>
    <definedName name="BreakEvenAnchor1" localSheetId="1">#REF!</definedName>
    <definedName name="BreakEvenAnchor1" localSheetId="8">#REF!</definedName>
    <definedName name="BreakEvenAnchor1" localSheetId="4">#REF!</definedName>
    <definedName name="BreakEvenAnchor1">#REF!</definedName>
    <definedName name="BreakEvenAnchor2" localSheetId="1">#REF!</definedName>
    <definedName name="BreakEvenAnchor2" localSheetId="8">#REF!</definedName>
    <definedName name="BreakEvenAnchor2" localSheetId="4">#REF!</definedName>
    <definedName name="BreakEvenAnchor2">#REF!</definedName>
    <definedName name="BSAdj">[22]Storage!$D$17</definedName>
    <definedName name="BS계정">#REF!</definedName>
    <definedName name="BS추정" localSheetId="13" hidden="1">{"'보고양식'!$A$58:$K$111"}</definedName>
    <definedName name="BS추정" hidden="1">{"'보고양식'!$A$58:$K$111"}</definedName>
    <definedName name="BVLookup" localSheetId="1">#REF!</definedName>
    <definedName name="BVLookup" localSheetId="8">#REF!</definedName>
    <definedName name="BVLookup" localSheetId="4">#REF!</definedName>
    <definedName name="BVLookup">#REF!</definedName>
    <definedName name="BVPSLookup" localSheetId="1">#REF!</definedName>
    <definedName name="BVPSLookup" localSheetId="8">#REF!</definedName>
    <definedName name="BVPSLookup" localSheetId="4">#REF!</definedName>
    <definedName name="BVPSLookup">#REF!</definedName>
    <definedName name="CalcAgencyPrice">#REF!</definedName>
    <definedName name="CANADA">[23]COMPS!#REF!</definedName>
    <definedName name="Capital" localSheetId="1">#REF!</definedName>
    <definedName name="Capital" localSheetId="8">#REF!</definedName>
    <definedName name="Capital" localSheetId="4">#REF!</definedName>
    <definedName name="Capital">#REF!</definedName>
    <definedName name="CashLookup" localSheetId="1">#REF!</definedName>
    <definedName name="CashLookup" localSheetId="8">#REF!</definedName>
    <definedName name="CashLookup" localSheetId="4">#REF!</definedName>
    <definedName name="CashLookup">#REF!</definedName>
    <definedName name="cc" localSheetId="0">Cover!cc</definedName>
    <definedName name="cc" localSheetId="1">'Group highlight'!cc</definedName>
    <definedName name="cc" localSheetId="4">[21]!cc</definedName>
    <definedName name="cc">[21]!cc</definedName>
    <definedName name="CCTR">#REF!</definedName>
    <definedName name="cd">{0;0;0;0;1;#N/A;0;0;0.3;0.3;2;FALSE;FALSE;FALSE;FALSE;FALSE;#N/A;1;96;#N/A;#N/A;"";""}</definedName>
    <definedName name="CDQWE">[24]현재적용이율!#REF!</definedName>
    <definedName name="ChartCaptions">#REF!</definedName>
    <definedName name="ChartingArea">#REF!,#REF!</definedName>
    <definedName name="ChartingLabels">#REF!</definedName>
    <definedName name="CHUPHE_1">#REF!</definedName>
    <definedName name="COBS_HIS">'[25]00.08계정'!$F$5:$K$769</definedName>
    <definedName name="code">#REF!</definedName>
    <definedName name="code10">#REF!</definedName>
    <definedName name="code20">#REF!</definedName>
    <definedName name="Commission">#REF!</definedName>
    <definedName name="Contribution" localSheetId="1">#REF!</definedName>
    <definedName name="Contribution" localSheetId="8">#REF!</definedName>
    <definedName name="Contribution" localSheetId="4">#REF!</definedName>
    <definedName name="Contribution">#REF!</definedName>
    <definedName name="COUNTER">#REF!</definedName>
    <definedName name="CRITE">[26]보고!$B$40</definedName>
    <definedName name="_xlnm.Criteria" localSheetId="1">[27]성화!#REF!</definedName>
    <definedName name="_xlnm.Criteria" localSheetId="8">[27]성화!#REF!</definedName>
    <definedName name="_xlnm.Criteria" localSheetId="4">[27]성화!#REF!</definedName>
    <definedName name="_xlnm.Criteria">[27]성화!#REF!</definedName>
    <definedName name="Criteria_MI">'[28]폐토수익화 '!#REF!</definedName>
    <definedName name="Criteria1">[24]성화!#REF!</definedName>
    <definedName name="CURRENT">[20]WACC!#REF!</definedName>
    <definedName name="CustDepLookup" localSheetId="1">#REF!</definedName>
    <definedName name="CustDepLookup" localSheetId="8">#REF!</definedName>
    <definedName name="CustDepLookup" localSheetId="4">#REF!</definedName>
    <definedName name="CustDepLookup">#REF!</definedName>
    <definedName name="CY_Cash_Div_Dec">[29]손익계산서!#REF!</definedName>
    <definedName name="CY_Depreciation">[29]손익계산서!#REF!</definedName>
    <definedName name="CY_Market_Value_of_Equity">[29]손익계산서!#REF!</definedName>
    <definedName name="CY_Other">[29]손익계산서!#REF!</definedName>
    <definedName name="CY_Other_Curr_Assets">[29]대차대조표!#REF!</definedName>
    <definedName name="CY_Other_LT_Assets">[29]대차대조표!#REF!</definedName>
    <definedName name="CY_Other_LT_Liabilities">[29]대차대조표!#REF!</definedName>
    <definedName name="CY_Selling">[29]손익계산서!#REF!</definedName>
    <definedName name="CY_Tangible_Net_Worth">[29]손익계산서!#REF!</definedName>
    <definedName name="CY_Weighted_Average">[29]손익계산서!#REF!</definedName>
    <definedName name="CY_Working_Capital">[29]손익계산서!#REF!</definedName>
    <definedName name="D">[30]인력현황2000!$I$3</definedName>
    <definedName name="danger">#REF!</definedName>
    <definedName name="dangerp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OFFSET([10]인수기간별S!$A$1,0,0,COUNTA([10]인수기간별S!$A$1:$A$65536)-1,6)</definedName>
    <definedName name="DATA1">OFFSET(#REF!,0,0,COUNTA(#REF!),5)</definedName>
    <definedName name="DATA2">OFFSET(#REF!,0,0,COUNTA(#REF!),5)</definedName>
    <definedName name="_xlnm.Database" localSheetId="1">#REF!</definedName>
    <definedName name="_xlnm.Database" localSheetId="8">#REF!</definedName>
    <definedName name="_xlnm.Database" localSheetId="4">#REF!</definedName>
    <definedName name="_xlnm.Database">#REF!</definedName>
    <definedName name="Database_MI">'[28]폐토수익화 '!#REF!</definedName>
    <definedName name="DataSet" localSheetId="1">#REF!</definedName>
    <definedName name="DataSet" localSheetId="8">#REF!</definedName>
    <definedName name="DataSet" localSheetId="4">#REF!</definedName>
    <definedName name="DataSet">#REF!</definedName>
    <definedName name="date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FBase" localSheetId="1">#REF!</definedName>
    <definedName name="DCFBase" localSheetId="8">#REF!</definedName>
    <definedName name="DCFBase" localSheetId="4">#REF!</definedName>
    <definedName name="DCFBase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{0.1;0;0.382758620689655;0;0;0;0.258620689655172;0;0.258620689655172}</definedName>
    <definedName name="ddddd" localSheetId="0">Cover!ddddd</definedName>
    <definedName name="ddddd" localSheetId="1">#N/A</definedName>
    <definedName name="ddddd" localSheetId="8">#N/A</definedName>
    <definedName name="ddddd" localSheetId="4">#N/A</definedName>
    <definedName name="ddddd">Cover!ddddd</definedName>
    <definedName name="DEBT">[7]COMBINED!#REF!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ftr" localSheetId="0">Cover!dftr</definedName>
    <definedName name="dftr" localSheetId="1">'Group highlight'!dftr</definedName>
    <definedName name="dftr" localSheetId="4">[21]!dftr</definedName>
    <definedName name="dftr">[21]!dftr</definedName>
    <definedName name="DisE1M2" localSheetId="1">#REF!</definedName>
    <definedName name="DisE1M2" localSheetId="8">#REF!</definedName>
    <definedName name="DisE1M2" localSheetId="4">#REF!</definedName>
    <definedName name="DisE1M2">#REF!</definedName>
    <definedName name="DivLookup" localSheetId="1">#REF!</definedName>
    <definedName name="DivLookup" localSheetId="8">#REF!</definedName>
    <definedName name="DivLookup" localSheetId="4">#REF!</definedName>
    <definedName name="DivLookup">#REF!</definedName>
    <definedName name="DivMethod">[22]Storage!$D$13</definedName>
    <definedName name="DocType" localSheetId="0">Word</definedName>
    <definedName name="DocType" localSheetId="1">Word</definedName>
    <definedName name="DocType" localSheetId="8">Word</definedName>
    <definedName name="DocType" localSheetId="4">Word</definedName>
    <definedName name="DocType">Word</definedName>
    <definedName name="dret" localSheetId="0">Cover!dret</definedName>
    <definedName name="dret" localSheetId="1">'Group highlight'!dret</definedName>
    <definedName name="dret" localSheetId="4">[21]!dret</definedName>
    <definedName name="dret">[21]!dret</definedName>
    <definedName name="ds">{0;0;0;0;1;#N/A;0;0;0.3;0.3;2;FALSE;FALSE;FALSE;FALSE;FALSE;#N/A;1;100;#N/A;#N/A;"";""}</definedName>
    <definedName name="dsdddsfdfdgdfg">[31]forecasted_BS!$A$1:$E$41</definedName>
    <definedName name="dumppr">#REF!</definedName>
    <definedName name="E">[30]인력현황2000!$J$3</definedName>
    <definedName name="Earnings" localSheetId="1">#REF!</definedName>
    <definedName name="Earnings" localSheetId="8">#REF!</definedName>
    <definedName name="Earnings" localSheetId="4">#REF!</definedName>
    <definedName name="Earnings">#REF!</definedName>
    <definedName name="EBITDA_Bridge">#REF!</definedName>
    <definedName name="ed" localSheetId="13" hidden="1">{"'보고양식'!$A$58:$K$111"}</definedName>
    <definedName name="ed" hidden="1">{"'보고양식'!$A$58:$K$111"}</definedName>
    <definedName name="eee" localSheetId="0">Cover!eee</definedName>
    <definedName name="eee" localSheetId="1">'Group highlight'!eee</definedName>
    <definedName name="eee" localSheetId="4">[21]!eee</definedName>
    <definedName name="eee">[21]!eee</definedName>
    <definedName name="er">{0;0;0;0;1;#N/A;0;0;0.3;0.3;2;FALSE;FALSE;FALSE;FALSE;FALSE;#N/A;1;96;#N/A;#N/A;"";""}</definedName>
    <definedName name="ew">{0.1;0;0.382758620689655;0;0;0;0.258620689655172;0;0.258620689655172}</definedName>
    <definedName name="ExchangeRatio" localSheetId="1">#REF!</definedName>
    <definedName name="ExchangeRatio" localSheetId="8">#REF!</definedName>
    <definedName name="ExchangeRatio" localSheetId="4">#REF!</definedName>
    <definedName name="ExchangeRatio">#REF!</definedName>
    <definedName name="_xlnm.Extract">'[28]폐토수익화 '!#REF!</definedName>
    <definedName name="Extract_MI">'[28]폐토수익화 '!#REF!</definedName>
    <definedName name="f">#REF!</definedName>
    <definedName name="fed" localSheetId="0" hidden="1">{"'매출'!$A$1:$I$22"}</definedName>
    <definedName name="fed" localSheetId="1" hidden="1">{"'매출'!$A$1:$I$22"}</definedName>
    <definedName name="fed" localSheetId="13" hidden="1">{"'매출'!$A$1:$I$22"}</definedName>
    <definedName name="fed" hidden="1">{"'매출'!$A$1:$I$22"}</definedName>
    <definedName name="ff">#REF!</definedName>
    <definedName name="FieldAnchor" localSheetId="1">#REF!</definedName>
    <definedName name="FieldAnchor" localSheetId="8">#REF!</definedName>
    <definedName name="FieldAnchor" localSheetId="4">#REF!</definedName>
    <definedName name="FieldAnchor">#REF!</definedName>
    <definedName name="FootnoteAnchor">#REF!</definedName>
    <definedName name="FootnoteRange">#REF!</definedName>
    <definedName name="FormOfCons" localSheetId="1">#REF!</definedName>
    <definedName name="FormOfCons" localSheetId="8">#REF!</definedName>
    <definedName name="FormOfCons" localSheetId="4">#REF!</definedName>
    <definedName name="FormOfCons">#REF!</definedName>
    <definedName name="fw">[24]현재적용이율!#REF!</definedName>
    <definedName name="gfdgfdgfdgfdg">[31]forecasted_IS!$A$1:$D$53</definedName>
    <definedName name="gfds" localSheetId="0">Cover!gfds</definedName>
    <definedName name="gfds" localSheetId="1">'Group highlight'!gfds</definedName>
    <definedName name="gfds" localSheetId="4">[21]!gfds</definedName>
    <definedName name="gfds">[21]!gfds</definedName>
    <definedName name="gfs">{0.1;0;0.382758620689655;0;0;0;0.258620689655172;0;0.258620689655172}</definedName>
    <definedName name="ggg">'[32]7'!$P$112</definedName>
    <definedName name="GRADE45A">#REF!</definedName>
    <definedName name="GrphActSales">#REF!</definedName>
    <definedName name="GrphActStk">#REF!</definedName>
    <definedName name="GrphPlanSales">#REF!</definedName>
    <definedName name="GrphTgtStk">#REF!</definedName>
    <definedName name="GUSINASSETNA">#REF!</definedName>
    <definedName name="GUSINBSCO">#REF!</definedName>
    <definedName name="GUSINISCO">#REF!</definedName>
    <definedName name="GUSINISNA">#REF!</definedName>
    <definedName name="GUSINLIABNA">#REF!</definedName>
    <definedName name="GUSINNA">#REF!</definedName>
    <definedName name="HEADER">#REF!</definedName>
    <definedName name="hhhh" localSheetId="0">Cover!hhhh</definedName>
    <definedName name="hhhh" localSheetId="1">'Group highlight'!hhhh</definedName>
    <definedName name="hhhh" localSheetId="4">[21]!hhhh</definedName>
    <definedName name="hhhh">[21]!hhhh</definedName>
    <definedName name="HTML_CodePage" hidden="1">949</definedName>
    <definedName name="HTML_Control" localSheetId="0" hidden="1">{"'현황'!$A$15:$H$26"}</definedName>
    <definedName name="HTML_Control" localSheetId="1" hidden="1">{"'현황'!$A$15:$H$26"}</definedName>
    <definedName name="HTML_Control" localSheetId="13" hidden="1">{"'현황'!$A$15:$H$26"}</definedName>
    <definedName name="HTML_Control" hidden="1">{"'현황'!$A$15:$H$26"}</definedName>
    <definedName name="HTML_Description" hidden="1">""</definedName>
    <definedName name="HTML_Email" hidden="1">""</definedName>
    <definedName name="HTML_Header" hidden="1">"현황"</definedName>
    <definedName name="HTML_LastUpdate" hidden="1">"2001-11-29"</definedName>
    <definedName name="HTML_LineAfter" hidden="1">FALSE</definedName>
    <definedName name="HTML_LineBefore" hidden="1">FALSE</definedName>
    <definedName name="HTML_Name" hidden="1">"OFMI"</definedName>
    <definedName name="HTML_OBDlg2" hidden="1">TRUE</definedName>
    <definedName name="HTML_OBDlg4" hidden="1">TRUE</definedName>
    <definedName name="HTML_OS" hidden="1">0</definedName>
    <definedName name="HTML_PathFile" hidden="1">"D:\dbase\판매조직\html\11월(본부별)_2급.htm"</definedName>
    <definedName name="HTML_Title" hidden="1">"11월통계_2급"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vd" localSheetId="0">Word</definedName>
    <definedName name="hvd" localSheetId="1">Word</definedName>
    <definedName name="hvd" localSheetId="8">Word</definedName>
    <definedName name="hvd" localSheetId="4">Word</definedName>
    <definedName name="hvd">Word</definedName>
    <definedName name="i">#REF!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ELWSALES">#REF!</definedName>
    <definedName name="IELYSALES">#REF!</definedName>
    <definedName name="IEPLANSALES">#REF!</definedName>
    <definedName name="IESP">#REF!</definedName>
    <definedName name="INDEX">[33]Sheet1!$G$5</definedName>
    <definedName name="INDIRECT">[7]VALSTAT!#REF!</definedName>
    <definedName name="INITIAL">#REF!</definedName>
    <definedName name="INPUT">#N/A</definedName>
    <definedName name="Inst_summary_200303">#REF!</definedName>
    <definedName name="Inst_summary_200403">#REF!</definedName>
    <definedName name="Inst_summary_200409">#REF!</definedName>
    <definedName name="Inst_summary_200412">#REF!</definedName>
    <definedName name="Inst_summary_200503">#REF!</definedName>
    <definedName name="Inst_summary_200506">#REF!</definedName>
    <definedName name="Inst_summary_200509">#REF!</definedName>
    <definedName name="IntFreeCred">#REF!</definedName>
    <definedName name="IRR">#REF!</definedName>
    <definedName name="ITEM_CD">[34]MAPING!$H$4:$I$14</definedName>
    <definedName name="jfafdsa">[35]CompanyInput!$D$60:$W$117</definedName>
    <definedName name="KACr95" localSheetId="1">#REF!</definedName>
    <definedName name="KACr95" localSheetId="8">#REF!</definedName>
    <definedName name="KACr95" localSheetId="4">#REF!</definedName>
    <definedName name="KACr95">#REF!</definedName>
    <definedName name="KACr96" localSheetId="1">#REF!</definedName>
    <definedName name="KACr96" localSheetId="8">#REF!</definedName>
    <definedName name="KACr96" localSheetId="4">#REF!</definedName>
    <definedName name="KACr96">#REF!</definedName>
    <definedName name="KACr97" localSheetId="1">#REF!</definedName>
    <definedName name="KACr97" localSheetId="8">#REF!</definedName>
    <definedName name="KACr97" localSheetId="4">#REF!</definedName>
    <definedName name="KACr97">#REF!</definedName>
    <definedName name="KACr98">[36]WBS98!$K$1:$K$65536</definedName>
    <definedName name="KACr98.10" localSheetId="1">#REF!</definedName>
    <definedName name="KACr98.10" localSheetId="8">#REF!</definedName>
    <definedName name="KACr98.10" localSheetId="4">#REF!</definedName>
    <definedName name="KACr98.10">#REF!</definedName>
    <definedName name="KACr98.11" localSheetId="1">#REF!</definedName>
    <definedName name="KACr98.11" localSheetId="8">#REF!</definedName>
    <definedName name="KACr98.11" localSheetId="4">#REF!</definedName>
    <definedName name="KACr98.11">#REF!</definedName>
    <definedName name="KADr95" localSheetId="1">#REF!</definedName>
    <definedName name="KADr95" localSheetId="8">#REF!</definedName>
    <definedName name="KADr95" localSheetId="4">#REF!</definedName>
    <definedName name="KADr95">#REF!</definedName>
    <definedName name="KADr96" localSheetId="1">#REF!</definedName>
    <definedName name="KADr96" localSheetId="8">#REF!</definedName>
    <definedName name="KADr96" localSheetId="4">#REF!</definedName>
    <definedName name="KADr96">#REF!</definedName>
    <definedName name="KADr97" localSheetId="1">#REF!</definedName>
    <definedName name="KADr97" localSheetId="8">#REF!</definedName>
    <definedName name="KADr97" localSheetId="4">#REF!</definedName>
    <definedName name="KADr97">#REF!</definedName>
    <definedName name="KADr98" localSheetId="1">#REF!</definedName>
    <definedName name="KADr98" localSheetId="8">#REF!</definedName>
    <definedName name="KADr98" localSheetId="4">#REF!</definedName>
    <definedName name="KADr98">#REF!</definedName>
    <definedName name="KADr98.10" localSheetId="1">#REF!</definedName>
    <definedName name="KADr98.10" localSheetId="8">#REF!</definedName>
    <definedName name="KADr98.10" localSheetId="4">#REF!</definedName>
    <definedName name="KADr98.10">#REF!</definedName>
    <definedName name="KADr98.11" localSheetId="1">#REF!</definedName>
    <definedName name="KADr98.11" localSheetId="8">#REF!</definedName>
    <definedName name="KADr98.11" localSheetId="4">#REF!</definedName>
    <definedName name="KADr98.11">#REF!</definedName>
    <definedName name="KEY00" localSheetId="13" hidden="1">#REF!</definedName>
    <definedName name="KEY00" hidden="1">#REF!</definedName>
    <definedName name="KGaap95" localSheetId="1">#REF!</definedName>
    <definedName name="KGaap95" localSheetId="8">#REF!</definedName>
    <definedName name="KGaap95" localSheetId="4">#REF!</definedName>
    <definedName name="KGaap95">#REF!</definedName>
    <definedName name="KGaap96" localSheetId="1">#REF!</definedName>
    <definedName name="KGaap96" localSheetId="8">#REF!</definedName>
    <definedName name="KGaap96" localSheetId="4">#REF!</definedName>
    <definedName name="KGaap96">#REF!</definedName>
    <definedName name="KGaap97" localSheetId="1">#REF!</definedName>
    <definedName name="KGaap97" localSheetId="8">#REF!</definedName>
    <definedName name="KGaap97" localSheetId="4">#REF!</definedName>
    <definedName name="KGaap97">#REF!</definedName>
    <definedName name="KGaap98" localSheetId="1">#REF!</definedName>
    <definedName name="KGaap98" localSheetId="8">#REF!</definedName>
    <definedName name="KGaap98" localSheetId="4">#REF!</definedName>
    <definedName name="KGaap98">#REF!</definedName>
    <definedName name="KGaap98.10" localSheetId="1">#REF!</definedName>
    <definedName name="KGaap98.10" localSheetId="8">#REF!</definedName>
    <definedName name="KGaap98.10" localSheetId="4">#REF!</definedName>
    <definedName name="KGaap98.10">#REF!</definedName>
    <definedName name="KGaap98.11" localSheetId="1">#REF!</definedName>
    <definedName name="KGaap98.11" localSheetId="8">#REF!</definedName>
    <definedName name="KGaap98.11" localSheetId="4">#REF!</definedName>
    <definedName name="KGaap98.11">#REF!</definedName>
    <definedName name="KHN" localSheetId="13" hidden="1">{"'보고양식'!$A$58:$K$111"}</definedName>
    <definedName name="KHN" hidden="1">{"'보고양식'!$A$58:$K$111"}</definedName>
    <definedName name="L_Adjust">[37]Links!$H$1:$H$65536</definedName>
    <definedName name="L_AJE_Tot">[37]Links!$G$1:$G$65536</definedName>
    <definedName name="L_CY_Beg">[37]Links!$F$1:$F$65536</definedName>
    <definedName name="L_CY_End">[37]Links!$J$1:$J$65536</definedName>
    <definedName name="L_PY_End">[37]Links!$K$1:$K$65536</definedName>
    <definedName name="L_RJE_Tot">[37]Links!$I$1:$I$65536</definedName>
    <definedName name="Language">[38]basic_info!$C$3</definedName>
    <definedName name="LoansLookup" localSheetId="1">#REF!</definedName>
    <definedName name="LoansLookup" localSheetId="8">#REF!</definedName>
    <definedName name="LoansLookup" localSheetId="4">#REF!</definedName>
    <definedName name="LoansLookup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croE" localSheetId="1">#REF!</definedName>
    <definedName name="MacroE" localSheetId="8">#REF!</definedName>
    <definedName name="MacroE" localSheetId="4">#REF!</definedName>
    <definedName name="MacroE">#REF!</definedName>
    <definedName name="MAGAMB">#REF!</definedName>
    <definedName name="MAGAMD">#REF!</definedName>
    <definedName name="Mangi_rate_bal">#REF!</definedName>
    <definedName name="MARGINPLAN">#REF!</definedName>
    <definedName name="MARGINPROJ">#REF!</definedName>
    <definedName name="MergerCons" localSheetId="1">#REF!</definedName>
    <definedName name="MergerCons" localSheetId="8">#REF!</definedName>
    <definedName name="MergerCons" localSheetId="4">#REF!</definedName>
    <definedName name="MergerCons">#REF!</definedName>
    <definedName name="MESS">#REF!</definedName>
    <definedName name="MktCapLookup" localSheetId="1">#REF!</definedName>
    <definedName name="MktCapLookup" localSheetId="8">#REF!</definedName>
    <definedName name="MktCapLookup" localSheetId="4">#REF!</definedName>
    <definedName name="MktCapLookup">#REF!</definedName>
    <definedName name="MODEMS">[23]COMPS!#REF!</definedName>
    <definedName name="Module1.초기화2" localSheetId="0">Cover!Module1.초기화2</definedName>
    <definedName name="Module1.초기화2" localSheetId="1">'Group highlight'!Module1.초기화2</definedName>
    <definedName name="Module1.초기화2" localSheetId="4">[21]!Module1.초기화2</definedName>
    <definedName name="Module1.초기화2">[21]!Module1.초기화2</definedName>
    <definedName name="n">'[39]10K4'!#REF!</definedName>
    <definedName name="NAME01">#REF!</definedName>
    <definedName name="NAMES">[23]COMPS!#REF!</definedName>
    <definedName name="NetInc2Lookup" localSheetId="1">#REF!</definedName>
    <definedName name="NetInc2Lookup" localSheetId="8">#REF!</definedName>
    <definedName name="NetInc2Lookup" localSheetId="4">#REF!</definedName>
    <definedName name="NetInc2Lookup">#REF!</definedName>
    <definedName name="NetInc3Lookup" localSheetId="1">#REF!</definedName>
    <definedName name="NetInc3Lookup" localSheetId="8">#REF!</definedName>
    <definedName name="NetInc3Lookup" localSheetId="4">#REF!</definedName>
    <definedName name="NetInc3Lookup">#REF!</definedName>
    <definedName name="NetIncLookup" localSheetId="1">#REF!</definedName>
    <definedName name="NetIncLookup" localSheetId="8">#REF!</definedName>
    <definedName name="NetIncLookup" localSheetId="4">#REF!</definedName>
    <definedName name="NetIncLookup">#REF!</definedName>
    <definedName name="New">{0;0;0;0;1;#N/A;0;0;0.3;0.3;2;FALSE;FALSE;FALSE;FALSE;FALSE;#N/A;1;96;#N/A;#N/A;"";""}</definedName>
    <definedName name="NewSharesOut" localSheetId="1">#REF!</definedName>
    <definedName name="NewSharesOut" localSheetId="8">#REF!</definedName>
    <definedName name="NewSharesOut" localSheetId="4">#REF!</definedName>
    <definedName name="NewSharesOut">#REF!</definedName>
    <definedName name="nhy" localSheetId="0">Cover!nhy</definedName>
    <definedName name="nhy" localSheetId="1">'Group highlight'!nhy</definedName>
    <definedName name="nhy" localSheetId="4">[21]!nhy</definedName>
    <definedName name="nhy">[21]!nhy</definedName>
    <definedName name="nnnn" localSheetId="0">Cover!nnnn</definedName>
    <definedName name="nnnn" localSheetId="1">'Group highlight'!nnnn</definedName>
    <definedName name="nnnn" localSheetId="4">[21]!nnnn</definedName>
    <definedName name="nnnn">[21]!nnnn</definedName>
    <definedName name="NonIntIncLookup" localSheetId="1">#REF!</definedName>
    <definedName name="NonIntIncLookup" localSheetId="8">#REF!</definedName>
    <definedName name="NonIntIncLookup" localSheetId="4">#REF!</definedName>
    <definedName name="NonIntIncLookup">#REF!</definedName>
    <definedName name="NOTES">[23]COMPS!#REF!</definedName>
    <definedName name="NTAAdjus2" localSheetId="1">'[22]NTA adjustment calc'!#REF!</definedName>
    <definedName name="NTAAdjus2" localSheetId="8">'[22]NTA adjustment calc'!#REF!</definedName>
    <definedName name="NTAAdjus2" localSheetId="4">'[22]NTA adjustment calc'!#REF!</definedName>
    <definedName name="NTAAdjus2">'[22]NTA adjustment calc'!#REF!</definedName>
    <definedName name="NUM">'[8]4-1물건1년'!#REF!</definedName>
    <definedName name="O">[40]인건비!$D$7:$X$65</definedName>
    <definedName name="oit" localSheetId="0">Cover!oit</definedName>
    <definedName name="oit" localSheetId="1">'Group highlight'!oit</definedName>
    <definedName name="oit" localSheetId="4">[21]!oit</definedName>
    <definedName name="oit">[21]!oit</definedName>
    <definedName name="okk" localSheetId="0">Cover!okk</definedName>
    <definedName name="okk" localSheetId="1">'Group highlight'!okk</definedName>
    <definedName name="okk" localSheetId="4">[21]!okk</definedName>
    <definedName name="okk">[21]!okk</definedName>
    <definedName name="OpExpLookup" localSheetId="1">#REF!</definedName>
    <definedName name="OpExpLookup" localSheetId="8">#REF!</definedName>
    <definedName name="OpExpLookup" localSheetId="4">#REF!</definedName>
    <definedName name="OpExpLookup">#REF!</definedName>
    <definedName name="OpIncLookup" localSheetId="1">#REF!</definedName>
    <definedName name="OpIncLookup" localSheetId="8">#REF!</definedName>
    <definedName name="OpIncLookup" localSheetId="4">#REF!</definedName>
    <definedName name="OpIncLookup">#REF!</definedName>
    <definedName name="OUTPUT">#REF!</definedName>
    <definedName name="P">#REF!</definedName>
    <definedName name="P_?">'[3]97년추정손익계산서'!$G$6:$G$86</definedName>
    <definedName name="PAGE5">[7]COMBINED!#REF!</definedName>
    <definedName name="PART">[41]Sheet1!$A$1:$C$83</definedName>
    <definedName name="pc">'[9]1담당0113'!$F$260</definedName>
    <definedName name="PERIOD_END">[42]반기_유가증권!#REF!</definedName>
    <definedName name="picture" localSheetId="1">#REF!</definedName>
    <definedName name="picture" localSheetId="8">#REF!</definedName>
    <definedName name="picture" localSheetId="4">#REF!</definedName>
    <definedName name="picture">#REF!</definedName>
    <definedName name="PL">#REF!</definedName>
    <definedName name="PL_원본" localSheetId="0">Cover!PL_원본</definedName>
    <definedName name="PL_원본" localSheetId="1">#N/A</definedName>
    <definedName name="PL_원본" localSheetId="8">#N/A</definedName>
    <definedName name="PL_원본" localSheetId="4">#N/A</definedName>
    <definedName name="PL_원본">Cover!PL_원본</definedName>
    <definedName name="PLbeforeadj.95" localSheetId="1">#REF!</definedName>
    <definedName name="PLbeforeadj.95" localSheetId="8">#REF!</definedName>
    <definedName name="PLbeforeadj.95" localSheetId="4">#REF!</definedName>
    <definedName name="PLbeforeadj.95">#REF!</definedName>
    <definedName name="PLbeforeadj.96" localSheetId="1">#REF!</definedName>
    <definedName name="PLbeforeadj.96" localSheetId="8">#REF!</definedName>
    <definedName name="PLbeforeadj.96" localSheetId="4">#REF!</definedName>
    <definedName name="PLbeforeadj.96">#REF!</definedName>
    <definedName name="PLbeforeadj.97" localSheetId="1">#REF!</definedName>
    <definedName name="PLbeforeadj.97" localSheetId="8">#REF!</definedName>
    <definedName name="PLbeforeadj.97" localSheetId="4">#REF!</definedName>
    <definedName name="PLbeforeadj.97">#REF!</definedName>
    <definedName name="PLbeforeadj.98" localSheetId="1">#REF!</definedName>
    <definedName name="PLbeforeadj.98" localSheetId="8">#REF!</definedName>
    <definedName name="PLbeforeadj.98" localSheetId="4">#REF!</definedName>
    <definedName name="PLbeforeadj.98">#REF!</definedName>
    <definedName name="PLbeforeadj.98.10" localSheetId="1">#REF!</definedName>
    <definedName name="PLbeforeadj.98.10" localSheetId="8">#REF!</definedName>
    <definedName name="PLbeforeadj.98.10" localSheetId="4">#REF!</definedName>
    <definedName name="PLbeforeadj.98.10">#REF!</definedName>
    <definedName name="PLbeforeadj.98.11" localSheetId="1">#REF!</definedName>
    <definedName name="PLbeforeadj.98.11" localSheetId="8">#REF!</definedName>
    <definedName name="PLbeforeadj.98.11" localSheetId="4">#REF!</definedName>
    <definedName name="PLbeforeadj.98.11">#REF!</definedName>
    <definedName name="PLKACr95" localSheetId="1">#REF!</definedName>
    <definedName name="PLKACr95" localSheetId="8">#REF!</definedName>
    <definedName name="PLKACr95" localSheetId="4">#REF!</definedName>
    <definedName name="PLKACr95">#REF!</definedName>
    <definedName name="PLKACr96" localSheetId="1">#REF!</definedName>
    <definedName name="PLKACr96" localSheetId="8">#REF!</definedName>
    <definedName name="PLKACr96" localSheetId="4">#REF!</definedName>
    <definedName name="PLKACr96">#REF!</definedName>
    <definedName name="PLKACr97" localSheetId="1">#REF!</definedName>
    <definedName name="PLKACr97" localSheetId="8">#REF!</definedName>
    <definedName name="PLKACr97" localSheetId="4">#REF!</definedName>
    <definedName name="PLKACr97">#REF!</definedName>
    <definedName name="PLKACr98" localSheetId="1">#REF!</definedName>
    <definedName name="PLKACr98" localSheetId="8">#REF!</definedName>
    <definedName name="PLKACr98" localSheetId="4">#REF!</definedName>
    <definedName name="PLKACr98">#REF!</definedName>
    <definedName name="PLKACr98.10" localSheetId="1">#REF!</definedName>
    <definedName name="PLKACr98.10" localSheetId="8">#REF!</definedName>
    <definedName name="PLKACr98.10" localSheetId="4">#REF!</definedName>
    <definedName name="PLKACr98.10">#REF!</definedName>
    <definedName name="PLKACr98.11" localSheetId="1">#REF!</definedName>
    <definedName name="PLKACr98.11" localSheetId="8">#REF!</definedName>
    <definedName name="PLKACr98.11" localSheetId="4">#REF!</definedName>
    <definedName name="PLKACr98.11">#REF!</definedName>
    <definedName name="PLKADr95" localSheetId="1">#REF!</definedName>
    <definedName name="PLKADr95" localSheetId="8">#REF!</definedName>
    <definedName name="PLKADr95" localSheetId="4">#REF!</definedName>
    <definedName name="PLKADr95">#REF!</definedName>
    <definedName name="PLKADr96" localSheetId="1">#REF!</definedName>
    <definedName name="PLKADr96" localSheetId="8">#REF!</definedName>
    <definedName name="PLKADr96" localSheetId="4">#REF!</definedName>
    <definedName name="PLKADr96">#REF!</definedName>
    <definedName name="PLKADr97" localSheetId="1">#REF!</definedName>
    <definedName name="PLKADr97" localSheetId="8">#REF!</definedName>
    <definedName name="PLKADr97" localSheetId="4">#REF!</definedName>
    <definedName name="PLKADr97">#REF!</definedName>
    <definedName name="PLKADr98" localSheetId="1">#REF!</definedName>
    <definedName name="PLKADr98" localSheetId="8">#REF!</definedName>
    <definedName name="PLKADr98" localSheetId="4">#REF!</definedName>
    <definedName name="PLKADr98">#REF!</definedName>
    <definedName name="PLKADr98.10" localSheetId="1">#REF!</definedName>
    <definedName name="PLKADr98.10" localSheetId="8">#REF!</definedName>
    <definedName name="PLKADr98.10" localSheetId="4">#REF!</definedName>
    <definedName name="PLKADr98.10">#REF!</definedName>
    <definedName name="PLKADr98.11" localSheetId="1">#REF!</definedName>
    <definedName name="PLKADr98.11" localSheetId="8">#REF!</definedName>
    <definedName name="PLKADr98.11" localSheetId="4">#REF!</definedName>
    <definedName name="PLKADr98.11">#REF!</definedName>
    <definedName name="PLKGaap95" localSheetId="1">#REF!</definedName>
    <definedName name="PLKGaap95" localSheetId="8">#REF!</definedName>
    <definedName name="PLKGaap95" localSheetId="4">#REF!</definedName>
    <definedName name="PLKGaap95">#REF!</definedName>
    <definedName name="PLKGaap96" localSheetId="1">#REF!</definedName>
    <definedName name="PLKGaap96" localSheetId="8">#REF!</definedName>
    <definedName name="PLKGaap96" localSheetId="4">#REF!</definedName>
    <definedName name="PLKGaap96">#REF!</definedName>
    <definedName name="PLKGaap97" localSheetId="1">#REF!</definedName>
    <definedName name="PLKGaap97" localSheetId="8">#REF!</definedName>
    <definedName name="PLKGaap97" localSheetId="4">#REF!</definedName>
    <definedName name="PLKGaap97">#REF!</definedName>
    <definedName name="PLKGaap98" localSheetId="1">#REF!</definedName>
    <definedName name="PLKGaap98" localSheetId="8">#REF!</definedName>
    <definedName name="PLKGaap98" localSheetId="4">#REF!</definedName>
    <definedName name="PLKGaap98">#REF!</definedName>
    <definedName name="PLKGaap98.10" localSheetId="1">#REF!</definedName>
    <definedName name="PLKGaap98.10" localSheetId="8">#REF!</definedName>
    <definedName name="PLKGaap98.10" localSheetId="4">#REF!</definedName>
    <definedName name="PLKGaap98.10">#REF!</definedName>
    <definedName name="PLKGaap98.11" localSheetId="1">#REF!</definedName>
    <definedName name="PLKGaap98.11" localSheetId="8">#REF!</definedName>
    <definedName name="PLKGaap98.11" localSheetId="4">#REF!</definedName>
    <definedName name="PLKGaap98.11">#REF!</definedName>
    <definedName name="PLUACr95" localSheetId="1">#REF!</definedName>
    <definedName name="PLUACr95" localSheetId="8">#REF!</definedName>
    <definedName name="PLUACr95" localSheetId="4">#REF!</definedName>
    <definedName name="PLUACr95">#REF!</definedName>
    <definedName name="PLUACr96" localSheetId="1">#REF!</definedName>
    <definedName name="PLUACr96" localSheetId="8">#REF!</definedName>
    <definedName name="PLUACr96" localSheetId="4">#REF!</definedName>
    <definedName name="PLUACr96">#REF!</definedName>
    <definedName name="PLUACr97" localSheetId="1">#REF!</definedName>
    <definedName name="PLUACr97" localSheetId="8">#REF!</definedName>
    <definedName name="PLUACr97" localSheetId="4">#REF!</definedName>
    <definedName name="PLUACr97">#REF!</definedName>
    <definedName name="PLUACr98" localSheetId="1">#REF!</definedName>
    <definedName name="PLUACr98" localSheetId="8">#REF!</definedName>
    <definedName name="PLUACr98" localSheetId="4">#REF!</definedName>
    <definedName name="PLUACr98">#REF!</definedName>
    <definedName name="PLUACr98.10" localSheetId="1">#REF!</definedName>
    <definedName name="PLUACr98.10" localSheetId="8">#REF!</definedName>
    <definedName name="PLUACr98.10" localSheetId="4">#REF!</definedName>
    <definedName name="PLUACr98.10">#REF!</definedName>
    <definedName name="PLUACr98.11" localSheetId="1">#REF!</definedName>
    <definedName name="PLUACr98.11" localSheetId="8">#REF!</definedName>
    <definedName name="PLUACr98.11" localSheetId="4">#REF!</definedName>
    <definedName name="PLUACr98.11">#REF!</definedName>
    <definedName name="PLUADr95" localSheetId="1">#REF!</definedName>
    <definedName name="PLUADr95" localSheetId="8">#REF!</definedName>
    <definedName name="PLUADr95" localSheetId="4">#REF!</definedName>
    <definedName name="PLUADr95">#REF!</definedName>
    <definedName name="PLUADr96" localSheetId="1">#REF!</definedName>
    <definedName name="PLUADr96" localSheetId="8">#REF!</definedName>
    <definedName name="PLUADr96" localSheetId="4">#REF!</definedName>
    <definedName name="PLUADr96">#REF!</definedName>
    <definedName name="PLUADr97" localSheetId="1">#REF!</definedName>
    <definedName name="PLUADr97" localSheetId="8">#REF!</definedName>
    <definedName name="PLUADr97" localSheetId="4">#REF!</definedName>
    <definedName name="PLUADr97">#REF!</definedName>
    <definedName name="PLUADr98" localSheetId="1">#REF!</definedName>
    <definedName name="PLUADr98" localSheetId="8">#REF!</definedName>
    <definedName name="PLUADr98" localSheetId="4">#REF!</definedName>
    <definedName name="PLUADr98">#REF!</definedName>
    <definedName name="PLUADr98.10" localSheetId="1">#REF!</definedName>
    <definedName name="PLUADr98.10" localSheetId="8">#REF!</definedName>
    <definedName name="PLUADr98.10" localSheetId="4">#REF!</definedName>
    <definedName name="PLUADr98.10">#REF!</definedName>
    <definedName name="PLUADr98.11" localSheetId="1">#REF!</definedName>
    <definedName name="PLUADr98.11" localSheetId="8">#REF!</definedName>
    <definedName name="PLUADr98.11" localSheetId="4">#REF!</definedName>
    <definedName name="PLUADr98.11">#REF!</definedName>
    <definedName name="PLUGaap95" localSheetId="1">#REF!</definedName>
    <definedName name="PLUGaap95" localSheetId="8">#REF!</definedName>
    <definedName name="PLUGaap95" localSheetId="4">#REF!</definedName>
    <definedName name="PLUGaap95">#REF!</definedName>
    <definedName name="PLUGaap96" localSheetId="1">#REF!</definedName>
    <definedName name="PLUGaap96" localSheetId="8">#REF!</definedName>
    <definedName name="PLUGaap96" localSheetId="4">#REF!</definedName>
    <definedName name="PLUGaap96">#REF!</definedName>
    <definedName name="PLUGaap97" localSheetId="1">#REF!</definedName>
    <definedName name="PLUGaap97" localSheetId="8">#REF!</definedName>
    <definedName name="PLUGaap97" localSheetId="4">#REF!</definedName>
    <definedName name="PLUGaap97">#REF!</definedName>
    <definedName name="PLUGaap98" localSheetId="1">#REF!</definedName>
    <definedName name="PLUGaap98" localSheetId="8">#REF!</definedName>
    <definedName name="PLUGaap98" localSheetId="4">#REF!</definedName>
    <definedName name="PLUGaap98">#REF!</definedName>
    <definedName name="PLUGaap98.10" localSheetId="1">#REF!</definedName>
    <definedName name="PLUGaap98.10" localSheetId="8">#REF!</definedName>
    <definedName name="PLUGaap98.10" localSheetId="4">#REF!</definedName>
    <definedName name="PLUGaap98.10">#REF!</definedName>
    <definedName name="PLUGaap98.11" localSheetId="1">#REF!</definedName>
    <definedName name="PLUGaap98.11" localSheetId="8">#REF!</definedName>
    <definedName name="PLUGaap98.11" localSheetId="4">#REF!</definedName>
    <definedName name="PLUGaap98.11">#REF!</definedName>
    <definedName name="POLICY">#REF!</definedName>
    <definedName name="POLICY2">#REF!</definedName>
    <definedName name="PortionOfYr" localSheetId="1">#REF!</definedName>
    <definedName name="PortionOfYr" localSheetId="8">#REF!</definedName>
    <definedName name="PortionOfYr" localSheetId="4">#REF!</definedName>
    <definedName name="PortionOfYr">#REF!</definedName>
    <definedName name="PPP">#REF!</definedName>
    <definedName name="PRDump">#REF!</definedName>
    <definedName name="PREM">#REF!</definedName>
    <definedName name="premium">#REF!</definedName>
    <definedName name="PRICE">[7]COMBINED!#REF!</definedName>
    <definedName name="PriceLookup" localSheetId="1">#REF!</definedName>
    <definedName name="PriceLookup" localSheetId="8">#REF!</definedName>
    <definedName name="PriceLookup" localSheetId="4">#REF!</definedName>
    <definedName name="PriceLookup">#REF!</definedName>
    <definedName name="_xlnm.Print_Area" localSheetId="0">Cover!$A$1:$N$18</definedName>
    <definedName name="_xlnm.Print_Area" localSheetId="5">CSM!$A$1:$AE$45</definedName>
    <definedName name="_xlnm.Print_Area" localSheetId="1">'Group highlight'!$A$1:$Y$60</definedName>
    <definedName name="_xlnm.Print_Area" localSheetId="3">Group_BS!$A$1:$S$48</definedName>
    <definedName name="_xlnm.Print_Area" localSheetId="2">Group_PL!$A$1:$S$51</definedName>
    <definedName name="_xlnm.Print_Area" localSheetId="10">Insurance_ALM!$A$1:$AI$23</definedName>
    <definedName name="_xlnm.Print_Area" localSheetId="8">Insurance_Asset!$A$1:$AI$20</definedName>
    <definedName name="_xlnm.Print_Area" localSheetId="11">Insurance_BS!$A$1:$S$200</definedName>
    <definedName name="_xlnm.Print_Area" localSheetId="6">'Insurance_Condensed BS'!$A$1:$AJ$31</definedName>
    <definedName name="_xlnm.Print_Area" localSheetId="4">'Insurance_Condensed PL'!$A$1:$W$40</definedName>
    <definedName name="_xlnm.Print_Area" localSheetId="7">Insurance_Efficiency!$A$1:$AK$16</definedName>
    <definedName name="_xlnm.Print_Area" localSheetId="9">Insurance_NewP!$A$1:$AV$42</definedName>
    <definedName name="_xlnm.Print_Area" localSheetId="12">Insurance_PL!$A$1:$S$100</definedName>
    <definedName name="_xlnm.Print_Area" localSheetId="16">'Securities_BS(Standalone)'!$A$1:$AQ$168</definedName>
    <definedName name="_xlnm.Print_Area">#REF!</definedName>
    <definedName name="PRINT_AREA_MI">#REF!</definedName>
    <definedName name="print_area1">#REF!</definedName>
    <definedName name="_xlnm.Print_Titles">#REF!</definedName>
    <definedName name="Print1Start" localSheetId="1">#REF!</definedName>
    <definedName name="Print1Start" localSheetId="8">#REF!</definedName>
    <definedName name="Print1Start" localSheetId="4">#REF!</definedName>
    <definedName name="Print1Start">#REF!</definedName>
    <definedName name="Print1Stop" localSheetId="1">#REF!</definedName>
    <definedName name="Print1Stop" localSheetId="8">#REF!</definedName>
    <definedName name="Print1Stop" localSheetId="4">#REF!</definedName>
    <definedName name="Print1Stop">#REF!</definedName>
    <definedName name="print2">#REF!</definedName>
    <definedName name="Print2Start" localSheetId="1">#REF!</definedName>
    <definedName name="Print2Start" localSheetId="8">#REF!</definedName>
    <definedName name="Print2Start" localSheetId="4">#REF!</definedName>
    <definedName name="Print2Start">#REF!</definedName>
    <definedName name="Print2Stop" localSheetId="1">#REF!</definedName>
    <definedName name="Print2Stop" localSheetId="8">#REF!</definedName>
    <definedName name="Print2Stop" localSheetId="4">#REF!</definedName>
    <definedName name="Print2Stop">#REF!</definedName>
    <definedName name="Print3Start" localSheetId="1">#REF!</definedName>
    <definedName name="Print3Start" localSheetId="8">#REF!</definedName>
    <definedName name="Print3Start" localSheetId="4">#REF!</definedName>
    <definedName name="Print3Start">#REF!</definedName>
    <definedName name="Print3Stop" localSheetId="1">#REF!</definedName>
    <definedName name="Print3Stop" localSheetId="8">#REF!</definedName>
    <definedName name="Print3Stop" localSheetId="4">#REF!</definedName>
    <definedName name="Print3Stop">#REF!</definedName>
    <definedName name="printall">#REF!</definedName>
    <definedName name="PrintTransStructure" localSheetId="1">#REF!</definedName>
    <definedName name="PrintTransStructure" localSheetId="8">#REF!</definedName>
    <definedName name="PrintTransStructure" localSheetId="4">#REF!</definedName>
    <definedName name="PrintTransStructure">#REF!</definedName>
    <definedName name="print모두">[43]국외감가상각내역0103!$A$1:$J$82</definedName>
    <definedName name="PROFIT">#REF!</definedName>
    <definedName name="Project구분">#REF!</definedName>
    <definedName name="PRT6AL5AR40">[16]!PRT6AL5AR40</definedName>
    <definedName name="PRT6AU5BA41">[16]!PRT6AU5BA41</definedName>
    <definedName name="PRT6B5H25">[16]!PRT6B5H25</definedName>
    <definedName name="PRT6BD5BK32">[16]!PRT6BD5BK32</definedName>
    <definedName name="prt6bn252bt288">[16]!prt6bn252bt288</definedName>
    <definedName name="prt6bn46bt82">[16]!prt6bn46bt82</definedName>
    <definedName name="PRT6BN5BT41">[16]!PRT6BN5BT41</definedName>
    <definedName name="prt6bv7cc30">[16]!prt6bv7cc30</definedName>
    <definedName name="prt6cf5cl37">[16]!prt6cf5cl37</definedName>
    <definedName name="prt6co5cs41">[16]!prt6co5cs41</definedName>
    <definedName name="prt6cv5dg33">[16]!prt6cv5dg33</definedName>
    <definedName name="PRT6K31U52">[16]!PRT6K31U52</definedName>
    <definedName name="PRT6K4U25">[16]!PRT6K4U25</definedName>
    <definedName name="PRT6K57W79">[16]!PRT6K57W79</definedName>
    <definedName name="PRT6K85U107">[16]!PRT6K85U107</definedName>
    <definedName name="PRT6X4AI25">[16]!PRT6X4AI25</definedName>
    <definedName name="PY_Cash_Div_Dec">[29]손익계산서!#REF!</definedName>
    <definedName name="PY_Depreciation">[29]손익계산서!#REF!</definedName>
    <definedName name="PY_Market_Value_of_Equity">[29]손익계산서!#REF!</definedName>
    <definedName name="PY_Operating_Inc">[29]손익계산서!#REF!</definedName>
    <definedName name="PY_Other_Curr_Assets">[29]대차대조표!#REF!</definedName>
    <definedName name="PY_Other_Exp">[29]손익계산서!#REF!</definedName>
    <definedName name="PY_Other_LT_Assets">[29]대차대조표!#REF!</definedName>
    <definedName name="PY_Other_LT_Liabilities">[29]대차대조표!#REF!</definedName>
    <definedName name="PY_Selling">[29]손익계산서!#REF!</definedName>
    <definedName name="PY_Tangible_Net_Worth">[29]손익계산서!#REF!</definedName>
    <definedName name="PY_Weighted_Average">[29]손익계산서!#REF!</definedName>
    <definedName name="PY_Working_Capital">[29]손익계산서!#REF!</definedName>
    <definedName name="PY2_Cash_Div_Dec">[29]손익계산서!#REF!</definedName>
    <definedName name="PY2_Depreciation">[29]손익계산서!#REF!</definedName>
    <definedName name="PY2_Operating_Inc">[29]손익계산서!#REF!</definedName>
    <definedName name="PY2_Other_Curr_Assets">[29]대차대조표!#REF!</definedName>
    <definedName name="PY2_Other_Exp.">[29]손익계산서!#REF!</definedName>
    <definedName name="PY2_Other_LT_Assets">[29]대차대조표!#REF!</definedName>
    <definedName name="PY2_Other_LT_Liabilities">[29]대차대조표!#REF!</definedName>
    <definedName name="PY2_Selling">[29]손익계산서!#REF!</definedName>
    <definedName name="PY2_Tangible_Net_Worth">[29]손익계산서!#REF!</definedName>
    <definedName name="PY2_Weighted_Average">[29]손익계산서!#REF!</definedName>
    <definedName name="PY2_Working_Capital">[29]손익계산서!#REF!</definedName>
    <definedName name="Qlm_duration_result">#REF!</definedName>
    <definedName name="qw" localSheetId="0" hidden="1">{"'매출'!$A$1:$I$22"}</definedName>
    <definedName name="qw" localSheetId="1" hidden="1">{"'매출'!$A$1:$I$22"}</definedName>
    <definedName name="qw" localSheetId="13" hidden="1">{"'매출'!$A$1:$I$22"}</definedName>
    <definedName name="qw" hidden="1">{"'매출'!$A$1:$I$22"}</definedName>
    <definedName name="RA">#REF!</definedName>
    <definedName name="RAnchor" localSheetId="1">#REF!</definedName>
    <definedName name="RAnchor" localSheetId="8">#REF!</definedName>
    <definedName name="RAnchor" localSheetId="4">#REF!</definedName>
    <definedName name="RAnchor">#REF!</definedName>
    <definedName name="RangeToCopy" localSheetId="1">#REF!</definedName>
    <definedName name="RangeToCopy" localSheetId="8">#REF!</definedName>
    <definedName name="RangeToCopy" localSheetId="4">#REF!</definedName>
    <definedName name="RangeToCopy">#REF!</definedName>
    <definedName name="RATIO">[20]WACC!#REF!</definedName>
    <definedName name="RawAgencyPrice">#REF!</definedName>
    <definedName name="RawInput" localSheetId="1">#REF!</definedName>
    <definedName name="RawInput" localSheetId="8">#REF!</definedName>
    <definedName name="RawInput" localSheetId="4">#REF!</definedName>
    <definedName name="RawInput">#REF!</definedName>
    <definedName name="RBData">#REF!</definedName>
    <definedName name="RCTR">#REF!</definedName>
    <definedName name="RDATA">[22]소형B!$AI$6:$AJ$13</definedName>
    <definedName name="_xlnm.Recorder">#REF!</definedName>
    <definedName name="red">{0.1;0;0.45;0;0;0;0;0;0.45}</definedName>
    <definedName name="RegCapLookup" localSheetId="1">#REF!</definedName>
    <definedName name="RegCapLookup" localSheetId="8">#REF!</definedName>
    <definedName name="RegCapLookup" localSheetId="4">#REF!</definedName>
    <definedName name="RegCapLookup">#REF!</definedName>
    <definedName name="REPORT">#REF!</definedName>
    <definedName name="Reselects">#REF!</definedName>
    <definedName name="reserve">#REF!</definedName>
    <definedName name="RESET">#REF!</definedName>
    <definedName name="RESV">#REF!</definedName>
    <definedName name="RevLookup" localSheetId="1">#REF!</definedName>
    <definedName name="RevLookup" localSheetId="8">#REF!</definedName>
    <definedName name="RevLookup" localSheetId="4">#REF!</definedName>
    <definedName name="RevLookup">#REF!</definedName>
    <definedName name="RiskWtLookup" localSheetId="1">#REF!</definedName>
    <definedName name="RiskWtLookup" localSheetId="8">#REF!</definedName>
    <definedName name="RiskWtLookup" localSheetId="4">#REF!</definedName>
    <definedName name="RiskWtLookup">#REF!</definedName>
    <definedName name="RMS">#N/A</definedName>
    <definedName name="Rpt_inst_ofsa_month">#REF!</definedName>
    <definedName name="RRRRR">[16]!RRRRR</definedName>
    <definedName name="s">'[32]7'!$P$111</definedName>
    <definedName name="S_Adjust_Data">[37]Lead!$I$1:$I$5</definedName>
    <definedName name="S_AJE_Tot_Data">[37]Lead!$H$1:$H$5</definedName>
    <definedName name="S_CY_Beg_Data">[37]Lead!$F$1:$F$5</definedName>
    <definedName name="S_CY_End_Data">[37]Lead!$K$1:$K$5</definedName>
    <definedName name="S_PY_End_Data">[37]Lead!$M$1:$M$5</definedName>
    <definedName name="S_RJE_Tot_Data">[37]Lead!$J$1:$J$5</definedName>
    <definedName name="SALESPLAN">#REF!</definedName>
    <definedName name="SAnchor" localSheetId="1">#REF!</definedName>
    <definedName name="SAnchor" localSheetId="8">#REF!</definedName>
    <definedName name="SAnchor" localSheetId="4">#REF!</definedName>
    <definedName name="SAnchor">#REF!</definedName>
    <definedName name="SAPBEXdnldView" hidden="1">"419XS9RUH8RNHPOMVFCKW98L0"</definedName>
    <definedName name="SAPBEXsysID" hidden="1">"KPW"</definedName>
    <definedName name="SAUP">#REF!</definedName>
    <definedName name="SAVE">#REF!</definedName>
    <definedName name="SCHEDULE_10_K_15">"print title"</definedName>
    <definedName name="sd" localSheetId="0" hidden="1">{"'매출'!$A$1:$I$22"}</definedName>
    <definedName name="sd" localSheetId="1" hidden="1">{"'매출'!$A$1:$I$22"}</definedName>
    <definedName name="sd" localSheetId="13" hidden="1">{"'매출'!$A$1:$I$22"}</definedName>
    <definedName name="sd" hidden="1">{"'매출'!$A$1:$I$22"}</definedName>
    <definedName name="sdfgsdfhsdfhs">[11]대환취급!$A$1:$N$3416</definedName>
    <definedName name="sds" localSheetId="13" hidden="1">{"'보고양식'!$A$58:$K$111"}</definedName>
    <definedName name="sds" hidden="1">{"'보고양식'!$A$58:$K$111"}</definedName>
    <definedName name="SenDebtLookup" localSheetId="1">#REF!</definedName>
    <definedName name="SenDebtLookup" localSheetId="8">#REF!</definedName>
    <definedName name="SenDebtLookup" localSheetId="4">#REF!</definedName>
    <definedName name="SenDebtLookup">#REF!</definedName>
    <definedName name="SharesOutLookup" localSheetId="1">#REF!</definedName>
    <definedName name="SharesOutLookup" localSheetId="8">#REF!</definedName>
    <definedName name="SharesOutLookup" localSheetId="4">#REF!</definedName>
    <definedName name="SharesOutLookup">#REF!</definedName>
    <definedName name="shinsil">#REF!</definedName>
    <definedName name="shinye">#REF!</definedName>
    <definedName name="sincode">[44]YHCODE!$B$3:$F$2087</definedName>
    <definedName name="SONH">OFFSET(#REF!,0,0,COUNTA(#REF!),6)</definedName>
    <definedName name="SP_CD">#REF!</definedName>
    <definedName name="Spread">[22]Storage!$D$8</definedName>
    <definedName name="ss" localSheetId="1">[45]Storage!$D$17</definedName>
    <definedName name="ss">[45]Storage!$D$17</definedName>
    <definedName name="SSP" localSheetId="1">#REF!</definedName>
    <definedName name="SSP" localSheetId="8">#REF!</definedName>
    <definedName name="SSP" localSheetId="4">#REF!</definedName>
    <definedName name="SSP">#REF!</definedName>
    <definedName name="ssss" localSheetId="0">Cover!ssss</definedName>
    <definedName name="ssss" localSheetId="1">'Group highlight'!ssss</definedName>
    <definedName name="ssss" localSheetId="4">[21]!ssss</definedName>
    <definedName name="ssss">[21]!ssss</definedName>
    <definedName name="ST">[46]Manual!$B$2</definedName>
    <definedName name="StakeAcquired" localSheetId="1">#REF!</definedName>
    <definedName name="StakeAcquired" localSheetId="8">#REF!</definedName>
    <definedName name="StakeAcquired" localSheetId="4">#REF!</definedName>
    <definedName name="StakeAcquired">#REF!</definedName>
    <definedName name="Step" localSheetId="1">#REF!</definedName>
    <definedName name="Step" localSheetId="8">#REF!</definedName>
    <definedName name="Step" localSheetId="4">#REF!</definedName>
    <definedName name="Step">#REF!</definedName>
    <definedName name="SubDebtLookup" localSheetId="1">#REF!</definedName>
    <definedName name="SubDebtLookup" localSheetId="8">#REF!</definedName>
    <definedName name="SubDebtLookup" localSheetId="4">#REF!</definedName>
    <definedName name="SubDebtLookup">#REF!</definedName>
    <definedName name="susil">#REF!</definedName>
    <definedName name="suye">#REF!</definedName>
    <definedName name="sx">{0.1;0;0.382758620689655;0;0;0;0.258620689655172;0;0.258620689655172}</definedName>
    <definedName name="Synergies" localSheetId="1">#REF!</definedName>
    <definedName name="Synergies" localSheetId="8">#REF!</definedName>
    <definedName name="Synergies" localSheetId="4">#REF!</definedName>
    <definedName name="Synergies">#REF!</definedName>
    <definedName name="Synon">[22]Storage!$D$21</definedName>
    <definedName name="TABLE">#REF!</definedName>
    <definedName name="Table1">#REF!</definedName>
    <definedName name="Target" localSheetId="1">#REF!</definedName>
    <definedName name="Target" localSheetId="8">#REF!</definedName>
    <definedName name="Target" localSheetId="4">#REF!</definedName>
    <definedName name="Target">#REF!</definedName>
    <definedName name="TargetPremium" localSheetId="1">#REF!</definedName>
    <definedName name="TargetPremium" localSheetId="8">#REF!</definedName>
    <definedName name="TargetPremium" localSheetId="4">#REF!</definedName>
    <definedName name="TargetPremium">#REF!</definedName>
    <definedName name="TAX">[7]VALSTAT!#REF!</definedName>
    <definedName name="TaxRateLookup" localSheetId="1">#REF!</definedName>
    <definedName name="TaxRateLookup" localSheetId="8">#REF!</definedName>
    <definedName name="TaxRateLookup" localSheetId="4">#REF!</definedName>
    <definedName name="TaxRateLookup">#REF!</definedName>
    <definedName name="Terminal" localSheetId="1">#REF!</definedName>
    <definedName name="Terminal" localSheetId="8">#REF!</definedName>
    <definedName name="Terminal" localSheetId="4">#REF!</definedName>
    <definedName name="Terminal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xtRefCopyRangeCount" hidden="1">5</definedName>
    <definedName name="TFAnchor" localSheetId="1">#REF!</definedName>
    <definedName name="TFAnchor" localSheetId="8">#REF!</definedName>
    <definedName name="TFAnchor" localSheetId="4">#REF!</definedName>
    <definedName name="TFAnchor">#REF!</definedName>
    <definedName name="Tier1Lookup" localSheetId="1">#REF!</definedName>
    <definedName name="Tier1Lookup" localSheetId="8">#REF!</definedName>
    <definedName name="Tier1Lookup" localSheetId="4">#REF!</definedName>
    <definedName name="Tier1Lookup">#REF!</definedName>
    <definedName name="Tier2Lookup" localSheetId="1">#REF!</definedName>
    <definedName name="Tier2Lookup" localSheetId="8">#REF!</definedName>
    <definedName name="Tier2Lookup" localSheetId="4">#REF!</definedName>
    <definedName name="Tier2Lookup">#REF!</definedName>
    <definedName name="TIMEFM">#REF!</definedName>
    <definedName name="TIMETO">#REF!</definedName>
    <definedName name="Tl">[16]!PRT6BN5BT41</definedName>
    <definedName name="todlfma" localSheetId="0">Word</definedName>
    <definedName name="todlfma" localSheetId="1">Word</definedName>
    <definedName name="todlfma" localSheetId="8">Word</definedName>
    <definedName name="todlfma" localSheetId="4">Word</definedName>
    <definedName name="todlfma">Word</definedName>
    <definedName name="TransDate" localSheetId="1">#REF!</definedName>
    <definedName name="TransDate" localSheetId="8">#REF!</definedName>
    <definedName name="TransDate" localSheetId="4">#REF!</definedName>
    <definedName name="TransDate">#REF!</definedName>
    <definedName name="TransInputs" localSheetId="1">#REF!</definedName>
    <definedName name="TransInputs" localSheetId="8">#REF!</definedName>
    <definedName name="TransInputs" localSheetId="4">#REF!</definedName>
    <definedName name="TransInputs">#REF!</definedName>
    <definedName name="tytu" localSheetId="0">Cover!tytu</definedName>
    <definedName name="tytu" localSheetId="1">'Group highlight'!tytu</definedName>
    <definedName name="tytu" localSheetId="4">[21]!tytu</definedName>
    <definedName name="tytu">[21]!tytu</definedName>
    <definedName name="UACr95" localSheetId="1">#REF!</definedName>
    <definedName name="UACr95" localSheetId="8">#REF!</definedName>
    <definedName name="UACr95" localSheetId="4">#REF!</definedName>
    <definedName name="UACr95">#REF!</definedName>
    <definedName name="UACr96" localSheetId="1">#REF!</definedName>
    <definedName name="UACr96" localSheetId="8">#REF!</definedName>
    <definedName name="UACr96" localSheetId="4">#REF!</definedName>
    <definedName name="UACr96">#REF!</definedName>
    <definedName name="UACr97" localSheetId="1">#REF!</definedName>
    <definedName name="UACr97" localSheetId="8">#REF!</definedName>
    <definedName name="UACr97" localSheetId="4">#REF!</definedName>
    <definedName name="UACr97">#REF!</definedName>
    <definedName name="UACr98" localSheetId="1">#REF!</definedName>
    <definedName name="UACr98" localSheetId="8">#REF!</definedName>
    <definedName name="UACr98" localSheetId="4">#REF!</definedName>
    <definedName name="UACr98">#REF!</definedName>
    <definedName name="UACr98.10" localSheetId="1">#REF!</definedName>
    <definedName name="UACr98.10" localSheetId="8">#REF!</definedName>
    <definedName name="UACr98.10" localSheetId="4">#REF!</definedName>
    <definedName name="UACr98.10">#REF!</definedName>
    <definedName name="UACr98.11" localSheetId="1">#REF!</definedName>
    <definedName name="UACr98.11" localSheetId="8">#REF!</definedName>
    <definedName name="UACr98.11" localSheetId="4">#REF!</definedName>
    <definedName name="UACr98.11">#REF!</definedName>
    <definedName name="UADr95" localSheetId="1">#REF!</definedName>
    <definedName name="UADr95" localSheetId="8">#REF!</definedName>
    <definedName name="UADr95" localSheetId="4">#REF!</definedName>
    <definedName name="UADr95">#REF!</definedName>
    <definedName name="UADr96" localSheetId="1">#REF!</definedName>
    <definedName name="UADr96" localSheetId="8">#REF!</definedName>
    <definedName name="UADr96" localSheetId="4">#REF!</definedName>
    <definedName name="UADr96">#REF!</definedName>
    <definedName name="UADr97" localSheetId="1">#REF!</definedName>
    <definedName name="UADr97" localSheetId="8">#REF!</definedName>
    <definedName name="UADr97" localSheetId="4">#REF!</definedName>
    <definedName name="UADr97">#REF!</definedName>
    <definedName name="UADr98" localSheetId="1">#REF!</definedName>
    <definedName name="UADr98" localSheetId="8">#REF!</definedName>
    <definedName name="UADr98" localSheetId="4">#REF!</definedName>
    <definedName name="UADr98">#REF!</definedName>
    <definedName name="UADr98.10" localSheetId="1">#REF!</definedName>
    <definedName name="UADr98.10" localSheetId="8">#REF!</definedName>
    <definedName name="UADr98.10" localSheetId="4">#REF!</definedName>
    <definedName name="UADr98.10">#REF!</definedName>
    <definedName name="UADr98.11" localSheetId="1">#REF!</definedName>
    <definedName name="UADr98.11" localSheetId="8">#REF!</definedName>
    <definedName name="UADr98.11" localSheetId="4">#REF!</definedName>
    <definedName name="UADr98.11">#REF!</definedName>
    <definedName name="UGaap95" localSheetId="1">#REF!</definedName>
    <definedName name="UGaap95" localSheetId="8">#REF!</definedName>
    <definedName name="UGaap95" localSheetId="4">#REF!</definedName>
    <definedName name="UGaap95">#REF!</definedName>
    <definedName name="UGaap96" localSheetId="1">#REF!</definedName>
    <definedName name="UGaap96" localSheetId="8">#REF!</definedName>
    <definedName name="UGaap96" localSheetId="4">#REF!</definedName>
    <definedName name="UGaap96">#REF!</definedName>
    <definedName name="UGaap97" localSheetId="1">#REF!</definedName>
    <definedName name="UGaap97" localSheetId="8">#REF!</definedName>
    <definedName name="UGaap97" localSheetId="4">#REF!</definedName>
    <definedName name="UGaap97">#REF!</definedName>
    <definedName name="UGaap98" localSheetId="1">#REF!</definedName>
    <definedName name="UGaap98" localSheetId="8">#REF!</definedName>
    <definedName name="UGaap98" localSheetId="4">#REF!</definedName>
    <definedName name="UGaap98">#REF!</definedName>
    <definedName name="UGaap98.10" localSheetId="1">#REF!</definedName>
    <definedName name="UGaap98.10" localSheetId="8">#REF!</definedName>
    <definedName name="UGaap98.10" localSheetId="4">#REF!</definedName>
    <definedName name="UGaap98.10">#REF!</definedName>
    <definedName name="UGaap98.11" localSheetId="1">#REF!</definedName>
    <definedName name="UGaap98.11" localSheetId="8">#REF!</definedName>
    <definedName name="UGaap98.11" localSheetId="4">#REF!</definedName>
    <definedName name="UGaap98.11">#REF!</definedName>
    <definedName name="unearn">#REF!</definedName>
    <definedName name="USBS">'[47]US Codes'!$A$6:$B$639</definedName>
    <definedName name="USIS">'[47]US Codes'!$D$6:$E$795</definedName>
    <definedName name="V">#REF!</definedName>
    <definedName name="ValueMath" localSheetId="1">#REF!</definedName>
    <definedName name="ValueMath" localSheetId="8">#REF!</definedName>
    <definedName name="ValueMath" localSheetId="4">#REF!</definedName>
    <definedName name="ValueMath">#REF!</definedName>
    <definedName name="VAR">#REF!</definedName>
    <definedName name="VCTR">#REF!</definedName>
    <definedName name="vfdgvfdgdf">[19]f_IS!$A$4:$D$55</definedName>
    <definedName name="vlook">#REF!</definedName>
    <definedName name="vv">#REF!</definedName>
    <definedName name="wadasd" localSheetId="0">Cover!wadasd</definedName>
    <definedName name="wadasd" localSheetId="1">'Group highlight'!wadasd</definedName>
    <definedName name="wadasd" localSheetId="4">[21]!wadasd</definedName>
    <definedName name="wadasd">[21]!wadasd</definedName>
    <definedName name="wedfg">{0;0;0;0;1;#N/A;0;0;0.3;0.3;2;FALSE;FALSE;FALSE;FALSE;FALSE;#N/A;1;100;#N/A;#N/A;"";""}</definedName>
    <definedName name="wefsdgf4">{0.1;0;0.382758620689655;0;0;0;0.258620689655172;0;0.258620689655172}</definedName>
    <definedName name="werdf">{0;0;0;0;1;#N/A;0;0;0.3;0.3;2;FALSE;FALSE;FALSE;FALSE;FALSE;#N/A;1;96;#N/A;#N/A;"";""}</definedName>
    <definedName name="worksheet">[48]!worksheet</definedName>
    <definedName name="wrn.Aging._.and._.Trend._.Analysis." localSheetId="1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13" hidden="1">{#N/A,#N/A,FALSE,"Sheet1";#N/A,#N/A,FALSE,"기평9607"}</definedName>
    <definedName name="wrn.보고서." hidden="1">{#N/A,#N/A,FALSE,"Sheet1";#N/A,#N/A,FALSE,"기평9607"}</definedName>
    <definedName name="wrn.채권재조정." localSheetId="1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13" hidden="1">{"'보고양식'!$A$58:$K$111"}</definedName>
    <definedName name="ws" hidden="1">{"'보고양식'!$A$58:$K$111"}</definedName>
    <definedName name="Y1EPSLookup" localSheetId="1">#REF!</definedName>
    <definedName name="Y1EPSLookup" localSheetId="8">#REF!</definedName>
    <definedName name="Y1EPSLookup" localSheetId="4">#REF!</definedName>
    <definedName name="Y1EPSLookup">#REF!</definedName>
    <definedName name="Y2EPSLookup" localSheetId="1">#REF!</definedName>
    <definedName name="Y2EPSLookup" localSheetId="8">#REF!</definedName>
    <definedName name="Y2EPSLookup" localSheetId="4">#REF!</definedName>
    <definedName name="Y2EPSLookup">#REF!</definedName>
    <definedName name="Y3EPSLookup" localSheetId="1">#REF!</definedName>
    <definedName name="Y3EPSLookup" localSheetId="8">#REF!</definedName>
    <definedName name="Y3EPSLookup" localSheetId="4">#REF!</definedName>
    <definedName name="Y3EPSLookup">#REF!</definedName>
    <definedName name="Y4EPSLookup" localSheetId="1">#REF!</definedName>
    <definedName name="Y4EPSLookup" localSheetId="8">#REF!</definedName>
    <definedName name="Y4EPSLookup" localSheetId="4">#REF!</definedName>
    <definedName name="Y4EPSLookup">#REF!</definedName>
    <definedName name="Y5EPSLookup" localSheetId="1">#REF!</definedName>
    <definedName name="Y5EPSLookup" localSheetId="8">#REF!</definedName>
    <definedName name="Y5EPSLookup" localSheetId="4">#REF!</definedName>
    <definedName name="Y5EPSLookup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gbi" localSheetId="0">Cover!ygbi</definedName>
    <definedName name="ygbi" localSheetId="1">'Group highlight'!ygbi</definedName>
    <definedName name="ygbi" localSheetId="4">[21]!ygbi</definedName>
    <definedName name="ygbi">[21]!ygbi</definedName>
    <definedName name="yhbscode">[44]YHCODE!$A$5:$F$1022</definedName>
    <definedName name="yhplcode">[44]YHCODE!$A$1023:$F$2089</definedName>
    <definedName name="yusil">#REF!</definedName>
    <definedName name="yuye">#REF!</definedName>
    <definedName name="z" localSheetId="13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" localSheetId="0" hidden="1">{"'매출'!$A$1:$I$22"}</definedName>
    <definedName name="zx" localSheetId="1" hidden="1">{"'매출'!$A$1:$I$22"}</definedName>
    <definedName name="zx" localSheetId="13" hidden="1">{"'매출'!$A$1:$I$22"}</definedName>
    <definedName name="zx" hidden="1">{"'매출'!$A$1:$I$22"}</definedName>
    <definedName name="zxc">{0;0;0;0;1;#N/A;0;0;0.3;0.3;2;FALSE;FALSE;FALSE;FALSE;FALSE;#N/A;1;#N/A;1;1;"";""}</definedName>
    <definedName name="Ε_샥dⅨ">#REF!</definedName>
    <definedName name="ㄱ1">#REF!</definedName>
    <definedName name="가">[49]이익처분!#REF!</definedName>
    <definedName name="가9504">[50]성적표96!#REF!</definedName>
    <definedName name="가계대변">'[51]합동별(기표용)'!$Z$1:$Z$65536</definedName>
    <definedName name="가계차변">'[51]합동별(기표용)'!$E$1:$E$65536</definedName>
    <definedName name="가구">'[9]1담당0113'!$F$134</definedName>
    <definedName name="가구1">'[9]2담당0113'!$F$267</definedName>
    <definedName name="가나다">#REF!</definedName>
    <definedName name="가맹점">#REF!</definedName>
    <definedName name="감가상각OT">[16]!감가상각OT</definedName>
    <definedName name="갑지자동">[52]갑지!$B$15,[52]갑지!$J$6,[52]갑지!$R$6,[52]갑지!$Z$6,[52]갑지!$AH$6,[52]갑지!$AP$6,[52]갑지!$AX$6</definedName>
    <definedName name="개발대변">'[51]합동별(기표용)'!$AA$1:$AA$65536</definedName>
    <definedName name="개발차변">'[51]합동별(기표용)'!$F$1:$F$65536</definedName>
    <definedName name="개인대변">'[51]합동별(기표용)'!$AF$1:$AF$65536</definedName>
    <definedName name="개인차변">'[51]합동별(기표용)'!$K$1:$K$65536</definedName>
    <definedName name="거래소총포지션">[53]주식!$D$204</definedName>
    <definedName name="거래처명1">#REF!</definedName>
    <definedName name="건전성" hidden="1">[54]연체대출!$A$9:$A$92</definedName>
    <definedName name="결산일">[55]정의!$B$4</definedName>
    <definedName name="경과회차">[56]INSTRUMENT!$B$27</definedName>
    <definedName name="경험위험보험금지급율">[57]INSTRUMENT!#REF!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고1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공모가할인율" localSheetId="1">#REF!</definedName>
    <definedName name="공모가할인율" localSheetId="8">#REF!</definedName>
    <definedName name="공모가할인율" localSheetId="4">#REF!</definedName>
    <definedName name="공모가할인율">#REF!</definedName>
    <definedName name="공모희망가할인율" localSheetId="1">#REF!</definedName>
    <definedName name="공모희망가할인율" localSheetId="8">#REF!</definedName>
    <definedName name="공모희망가할인율" localSheetId="4">#REF!</definedName>
    <definedName name="공모희망가할인율">#REF!</definedName>
    <definedName name="공시">[58]현재적용이율!#REF!</definedName>
    <definedName name="구분">#REF!:#REF!</definedName>
    <definedName name="국가별">#REF!</definedName>
    <definedName name="국민주대변">'[51]합동별(기표용)'!$AO$1:$AO$65536</definedName>
    <definedName name="국민주차변">'[51]합동별(기표용)'!$T$1:$T$65536</definedName>
    <definedName name="국산차">'[9]1담당0113'!$F$78</definedName>
    <definedName name="국산차1">'[9]2담당0113'!$F$119</definedName>
    <definedName name="군">#REF!</definedName>
    <definedName name="군2">#REF!</definedName>
    <definedName name="그냥해라좀" localSheetId="0">Cover!그냥해라좀</definedName>
    <definedName name="그냥해라좀" localSheetId="1">#N/A</definedName>
    <definedName name="그냥해라좀" localSheetId="8">#N/A</definedName>
    <definedName name="그냥해라좀" localSheetId="4">#N/A</definedName>
    <definedName name="그냥해라좀">Cover!그냥해라좀</definedName>
    <definedName name="근로대변">'[51]합동별(기표용)'!$AH$1:$AH$65536</definedName>
    <definedName name="근로차변">'[51]합동별(기표용)'!$M$1:$M$65536</definedName>
    <definedName name="금액단위">#REF!</definedName>
    <definedName name="금채단대변">'[51]합동별(기표용)'!$AR$1:$AR$65536</definedName>
    <definedName name="금채단차변">'[51]합동별(기표용)'!$W$1:$W$65536</definedName>
    <definedName name="급여10">'[59]Sheet1 (2)'!#REF!</definedName>
    <definedName name="급여11">'[59]Sheet1 (2)'!#REF!</definedName>
    <definedName name="기업대변">'[51]합동별(기표용)'!$AC$1:$AC$65536</definedName>
    <definedName name="기업차변">'[51]합동별(기표용)'!$H$1:$H$65536</definedName>
    <definedName name="기준일">'[60]금리(총괄)'!$D$1</definedName>
    <definedName name="기준일자">[61]시장위험!$P$3</definedName>
    <definedName name="기준점" localSheetId="1">#REF!</definedName>
    <definedName name="기준점" localSheetId="8">#REF!</definedName>
    <definedName name="기준점" localSheetId="4">#REF!</definedName>
    <definedName name="기준점">#REF!</definedName>
    <definedName name="기타">'[9]1담당0113'!$F$265</definedName>
    <definedName name="기타1">'[9]2담당0113'!$F$475</definedName>
    <definedName name="김난영">[62]물가지수!#REF!</definedName>
    <definedName name="ㄴㄴ" localSheetId="13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" localSheetId="1">#REF!</definedName>
    <definedName name="ㄴㅇ" localSheetId="8">#REF!</definedName>
    <definedName name="ㄴㅇ" localSheetId="4">#REF!</definedName>
    <definedName name="ㄴㅇ">#REF!</definedName>
    <definedName name="ㄴㅇㄹㄴㅇ">[19]f_BS!$A$4:$E$43</definedName>
    <definedName name="나9504">[50]성적표96!#REF!</definedName>
    <definedName name="남석">#REF!</definedName>
    <definedName name="남양">#REF!</definedName>
    <definedName name="남은만기" localSheetId="1">#REF!</definedName>
    <definedName name="남은만기" localSheetId="8">#REF!</definedName>
    <definedName name="남은만기" localSheetId="4">#REF!</definedName>
    <definedName name="남은만기">#REF!</definedName>
    <definedName name="남채">#REF!</definedName>
    <definedName name="냉난방">'[9]1담당0113'!$F$181</definedName>
    <definedName name="냉난방1">'[9]2담당0113'!$F$323</definedName>
    <definedName name="노후대변">'[51]합동별(기표용)'!$AB$1:$AB$65536</definedName>
    <definedName name="노후차변">'[51]합동별(기표용)'!$G$1:$G$65536</definedName>
    <definedName name="ㄷ" localSheetId="0">Cover!ㄷ</definedName>
    <definedName name="ㄷ" localSheetId="1">#N/A</definedName>
    <definedName name="ㄷ" localSheetId="8">#N/A</definedName>
    <definedName name="ㄷ" localSheetId="4">#N/A</definedName>
    <definedName name="ㄷ">Cover!ㄷ</definedName>
    <definedName name="ㄷㄴ밈">{0;0;0;0;1;#N/A;0;0;0.3;0.3;2;FALSE;FALSE;FALSE;FALSE;FALSE;#N/A;1;96;#N/A;#N/A;"";""}</definedName>
    <definedName name="ㄷㅇㅊ" localSheetId="1">#REF!</definedName>
    <definedName name="ㄷㅇㅊ" localSheetId="8">#REF!</definedName>
    <definedName name="ㄷㅇㅊ" localSheetId="4">#REF!</definedName>
    <definedName name="ㄷㅇㅊ">#REF!</definedName>
    <definedName name="다9504">[50]성적표96!#REF!</definedName>
    <definedName name="단위">'[63]자산부채비율 산정'!$L$1</definedName>
    <definedName name="단위대변">'[51]합동별(기표용)'!$AJ$1:$AJ$65536</definedName>
    <definedName name="단위차변">'[51]합동별(기표용)'!$O$1:$O$65536</definedName>
    <definedName name="담보">#REF!</definedName>
    <definedName name="당기순이익">#REF!</definedName>
    <definedName name="대미환율">#REF!</definedName>
    <definedName name="대변합계">'[51]합동별(기표용)'!$AU$1:$AU$65536</definedName>
    <definedName name="대손상각회수실적">{0;0;0;0;1;#N/A;0;0;0.3;0.3;2;FALSE;FALSE;FALSE;FALSE;FALSE;#N/A;1;96;#N/A;#N/A;"";""}</definedName>
    <definedName name="대손준비금">[64]종합일지!#REF!</definedName>
    <definedName name="대열기계">#REF!</definedName>
    <definedName name="대차" localSheetId="1">#REF!</definedName>
    <definedName name="대차" localSheetId="8">#REF!</definedName>
    <definedName name="대차" localSheetId="4">#REF!</definedName>
    <definedName name="대차">#REF!</definedName>
    <definedName name="대차대조표">[65]대차대조표!$A$4:$B$924</definedName>
    <definedName name="데이타추출">#REF!</definedName>
    <definedName name="동업9707_8_지표분석1_원__List">[66]세금!$C$3:$N$39</definedName>
    <definedName name="동업사">[67]현재적용이율!#REF!</definedName>
    <definedName name="라마바">#REF!</definedName>
    <definedName name="ㅁ">#REF!</definedName>
    <definedName name="ㅁ1">#REF!</definedName>
    <definedName name="ㅁㄴ">'[68]7'!$P$112</definedName>
    <definedName name="ㅁㄹㅇ" localSheetId="0" hidden="1">{"'매출'!$A$1:$I$22"}</definedName>
    <definedName name="ㅁㄹㅇ" localSheetId="1" hidden="1">{"'매출'!$A$1:$I$22"}</definedName>
    <definedName name="ㅁㄹㅇ" localSheetId="13" hidden="1">{"'매출'!$A$1:$I$22"}</definedName>
    <definedName name="ㅁㄹㅇ" hidden="1">{"'매출'!$A$1:$I$22"}</definedName>
    <definedName name="ㅁㅁ">#REF!</definedName>
    <definedName name="매각일자">#REF!</definedName>
    <definedName name="매출원가" localSheetId="13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13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'[9]1담당0113'!$F$279</definedName>
    <definedName name="무선1">'[9]2담당0113'!$F$491</definedName>
    <definedName name="무어">'[18]7'!$P$112</definedName>
    <definedName name="문의처">#REF!</definedName>
    <definedName name="미ㅣ">{0;0;0;0;1;#N/A;0;0;0.3;0.3;2;FALSE;FALSE;FALSE;FALSE;FALSE;#N/A;1;96;#N/A;#N/A;"";""}</definedName>
    <definedName name="ㅂㅂ">#REF!</definedName>
    <definedName name="박광호">[69]LIST!#REF!</definedName>
    <definedName name="박스">[70]분당임차변경!#REF!</definedName>
    <definedName name="밤">[71]basic_info!$C$3</definedName>
    <definedName name="배당율1">#REF!</definedName>
    <definedName name="배당율2">#REF!</definedName>
    <definedName name="범위">#REF!</definedName>
    <definedName name="보증분류2">#REF!</definedName>
    <definedName name="보증분류3">#REF!</definedName>
    <definedName name="보증분류4">#REF!</definedName>
    <definedName name="보험기간">[56]INSTRUMENT!$B$22</definedName>
    <definedName name="복사기">'[9]1담당0113'!$F$268</definedName>
    <definedName name="복사기1">'[9]2담당0113'!$F$433</definedName>
    <definedName name="복사이" localSheetId="0">Cover!복사이</definedName>
    <definedName name="복사이" localSheetId="1">#N/A</definedName>
    <definedName name="복사이" localSheetId="8">#N/A</definedName>
    <definedName name="복사이" localSheetId="4">#N/A</definedName>
    <definedName name="복사이">Cover!복사이</definedName>
    <definedName name="봉석">#REF!</definedName>
    <definedName name="부동산대변">'[51]합동별(기표용)'!$AP$1:$AP$65536</definedName>
    <definedName name="부동산차변">'[51]합동별(기표용)'!$U$1:$U$65536</definedName>
    <definedName name="부서일반달성" localSheetId="1">#REF!</definedName>
    <definedName name="부서일반달성" localSheetId="8">#REF!</definedName>
    <definedName name="부서일반달성" localSheetId="4">#REF!</definedName>
    <definedName name="부서일반달성">#REF!</definedName>
    <definedName name="부서총량달성" localSheetId="1">#REF!</definedName>
    <definedName name="부서총량달성" localSheetId="8">#REF!</definedName>
    <definedName name="부서총량달성" localSheetId="4">#REF!</definedName>
    <definedName name="부서총량달성">#REF!</definedName>
    <definedName name="부원일반달성" localSheetId="1">[72]부원달성!#REF!</definedName>
    <definedName name="부원일반달성" localSheetId="8">[72]부원달성!#REF!</definedName>
    <definedName name="부원일반달성" localSheetId="4">[72]부원달성!#REF!</definedName>
    <definedName name="부원일반달성">[72]부원달성!#REF!</definedName>
    <definedName name="북채">#REF!</definedName>
    <definedName name="분개">#REF!</definedName>
    <definedName name="분석">#REF!</definedName>
    <definedName name="불특대변">'[51]합동별(기표용)'!$Y$1:$Y$65536</definedName>
    <definedName name="불특차변">'[51]합동별(기표용)'!$D$1:$D$65536</definedName>
    <definedName name="비교대차대조표">#REF!</definedName>
    <definedName name="사망급여">#REF!</definedName>
    <definedName name="사모분류1">#REF!</definedName>
    <definedName name="사모분류2">#REF!</definedName>
    <definedName name="사모분류3">#REF!</definedName>
    <definedName name="사모분류4">#REF!</definedName>
    <definedName name="사업계획">[73]대환취급!$A$1:$N$3416</definedName>
    <definedName name="상계표">#REF!</definedName>
    <definedName name="상반기요약1" localSheetId="0">Cover!상반기요약1</definedName>
    <definedName name="상반기요약1" localSheetId="1">#N/A</definedName>
    <definedName name="상반기요약1" localSheetId="8">#N/A</definedName>
    <definedName name="상반기요약1" localSheetId="4">#N/A</definedName>
    <definedName name="상반기요약1">Cover!상반기요약1</definedName>
    <definedName name="상해급여">#REF!</definedName>
    <definedName name="새이름" localSheetId="1">#REF!</definedName>
    <definedName name="새이름" localSheetId="8">#REF!</definedName>
    <definedName name="새이름" localSheetId="4">#REF!</definedName>
    <definedName name="새이름">#REF!</definedName>
    <definedName name="샘플">'[59]Sheet1 (2)'!$D$240:$D$244</definedName>
    <definedName name="샘플2">'[59]Sheet1 (2)'!$D$246:$D$248</definedName>
    <definedName name="생산성수정본" localSheetId="0">Cover!생산성수정본</definedName>
    <definedName name="생산성수정본" localSheetId="1">'Group highlight'!생산성수정본</definedName>
    <definedName name="생산성수정본" localSheetId="4">[21]!생산성수정본</definedName>
    <definedName name="생산성수정본">[21]!생산성수정본</definedName>
    <definedName name="생산성수정본1" localSheetId="0">Cover!생산성수정본1</definedName>
    <definedName name="생산성수정본1" localSheetId="1">'Group highlight'!생산성수정본1</definedName>
    <definedName name="생산성수정본1" localSheetId="4">[21]!생산성수정본1</definedName>
    <definedName name="생산성수정본1">[21]!생산성수정본1</definedName>
    <definedName name="세율">#REF!</definedName>
    <definedName name="손익개정">[16]!손익개정</definedName>
    <definedName name="손익계산서">[74]Sheet1!$F$5:$H$117</definedName>
    <definedName name="수보누계">#REF!</definedName>
    <definedName name="수익증권1">#REF!</definedName>
    <definedName name="수익증권2">#REF!</definedName>
    <definedName name="수익증권3">#REF!</definedName>
    <definedName name="수익증권4">#REF!</definedName>
    <definedName name="수익증권5">#REF!</definedName>
    <definedName name="수익증권6">#REF!</definedName>
    <definedName name="수익증권7">#REF!</definedName>
    <definedName name="수익증권8">#REF!</definedName>
    <definedName name="수입차">'[9]1담당0113'!$F$131</definedName>
    <definedName name="수입차1">'[9]2담당0113'!$F$260</definedName>
    <definedName name="수정사항">[16]!prt6bn46bt82</definedName>
    <definedName name="순사업비">'[75]보종별,계정별 사업비'!$C$1:$DJ$430</definedName>
    <definedName name="순서">#REF!</definedName>
    <definedName name="순서2">#REF!</definedName>
    <definedName name="순위">#REF!</definedName>
    <definedName name="승부">'[59]Sheet1 (2)'!$F$2:$F$676</definedName>
    <definedName name="승부2">'[59]Sheet1 (2)'!$G$2:$G$649</definedName>
    <definedName name="신개인대변">'[51]합동별(기표용)'!$AM$1:$AM$65536</definedName>
    <definedName name="신개인차변">'[51]합동별(기표용)'!$R$1:$R$65536</definedName>
    <definedName name="신노후대변">'[51]합동별(기표용)'!$AN$1:$AN$65536</definedName>
    <definedName name="신노후차변">'[51]합동별(기표용)'!$S$1:$S$65536</definedName>
    <definedName name="신부서일반달성" localSheetId="1">[72]테이블!#REF!</definedName>
    <definedName name="신부서일반달성" localSheetId="8">[72]테이블!#REF!</definedName>
    <definedName name="신부서일반달성" localSheetId="4">[72]테이블!#REF!</definedName>
    <definedName name="신부서일반달성">[72]테이블!#REF!</definedName>
    <definedName name="신종대변">'[51]합동별(기표용)'!$AI$1:$AI$65536</definedName>
    <definedName name="신종차변">'[51]합동별(기표용)'!$N$1:$N$65536</definedName>
    <definedName name="ㅇ" localSheetId="0">Cover!ㅇ</definedName>
    <definedName name="ㅇ" localSheetId="1">#N/A</definedName>
    <definedName name="ㅇ" localSheetId="8">#N/A</definedName>
    <definedName name="ㅇ" localSheetId="4">#N/A</definedName>
    <definedName name="ㅇ">Cover!ㅇ</definedName>
    <definedName name="ㅇㄴㄻ">[76]대환취급!$A$1:$N$3416</definedName>
    <definedName name="ㅇㅀㄴㅇㅀ">[76]대환취급!$A$1:$N$3416</definedName>
    <definedName name="ㅇㅁㅇㄻㅇㅁㄴㄹㅇ">[77]합병BS!$B$1:$E$337</definedName>
    <definedName name="ㅇㅇ">[66]세금!$A$4</definedName>
    <definedName name="ㅇㅇㅇ">[78]f_BS!$A$4:$E$43</definedName>
    <definedName name="ㅇㅎㅁ" localSheetId="0">Cover!ㅇㅎㅁ</definedName>
    <definedName name="ㅇㅎㅁ" localSheetId="1">#N/A</definedName>
    <definedName name="ㅇㅎㅁ" localSheetId="8">#N/A</definedName>
    <definedName name="ㅇㅎㅁ" localSheetId="4">#N/A</definedName>
    <definedName name="ㅇㅎㅁ">Cover!ㅇㅎㅁ</definedName>
    <definedName name="아러닐">#REF!</definedName>
    <definedName name="아잉" localSheetId="0">Cover!아잉</definedName>
    <definedName name="아잉" localSheetId="1">#N/A</definedName>
    <definedName name="아잉" localSheetId="8">#N/A</definedName>
    <definedName name="아잉" localSheetId="4">#N/A</definedName>
    <definedName name="아잉">Cover!아잉</definedName>
    <definedName name="악기">'[9]1담당0113'!$F$175</definedName>
    <definedName name="악기1">'[9]2담당0113'!$F$300</definedName>
    <definedName name="어" localSheetId="0">Cover!어</definedName>
    <definedName name="어" localSheetId="1">#N/A</definedName>
    <definedName name="어" localSheetId="8">#N/A</definedName>
    <definedName name="어" localSheetId="4">#N/A</definedName>
    <definedName name="어">Cover!어</definedName>
    <definedName name="여신">#REF!</definedName>
    <definedName name="연금대변">'[51]합동별(기표용)'!$AE$1:$AE$65536</definedName>
    <definedName name="연금차변">'[51]합동별(기표용)'!$J$1:$J$65536</definedName>
    <definedName name="연체">{0.1;0;0.382758620689655;0;0;0;0.258620689655172;0;0.258620689655172}</definedName>
    <definedName name="연체_05" localSheetId="0" hidden="1">{"'매출'!$A$1:$I$22"}</definedName>
    <definedName name="연체_05" localSheetId="1" hidden="1">{"'매출'!$A$1:$I$22"}</definedName>
    <definedName name="연체_05" localSheetId="13" hidden="1">{"'매출'!$A$1:$I$22"}</definedName>
    <definedName name="연체_05" hidden="1">{"'매출'!$A$1:$I$22"}</definedName>
    <definedName name="연체조회">[48]!연체조회</definedName>
    <definedName name="영업외비용">#N/A</definedName>
    <definedName name="요1">#REF!</definedName>
    <definedName name="요2">#REF!</definedName>
    <definedName name="요3">#REF!</definedName>
    <definedName name="요4">#REF!</definedName>
    <definedName name="우어" localSheetId="0">Cover!우어</definedName>
    <definedName name="우어" localSheetId="1">#N/A</definedName>
    <definedName name="우어" localSheetId="8">#N/A</definedName>
    <definedName name="우어" localSheetId="4">#N/A</definedName>
    <definedName name="우어">Cover!우어</definedName>
    <definedName name="운용리스" localSheetId="0" hidden="1">{"'매출'!$A$1:$I$22"}</definedName>
    <definedName name="운용리스" localSheetId="1" hidden="1">{"'매출'!$A$1:$I$22"}</definedName>
    <definedName name="운용리스" localSheetId="13" hidden="1">{"'매출'!$A$1:$I$22"}</definedName>
    <definedName name="운용리스" hidden="1">{"'매출'!$A$1:$I$22"}</definedName>
    <definedName name="운용리스1" localSheetId="0" hidden="1">{"'매출'!$A$1:$I$22"}</definedName>
    <definedName name="운용리스1" localSheetId="1" hidden="1">{"'매출'!$A$1:$I$22"}</definedName>
    <definedName name="운용리스1" localSheetId="13" hidden="1">{"'매출'!$A$1:$I$22"}</definedName>
    <definedName name="운용리스1" hidden="1">{"'매출'!$A$1:$I$22"}</definedName>
    <definedName name="웃겨">[16]!prt6bv7cc30</definedName>
    <definedName name="유지율1">OFFSET([10]본부유지율!$A$1,0,0,COUNTA([10]본부유지율!$A$1:$A$65536),9)</definedName>
    <definedName name="유지율2">OFFSET([10]본부유지율!$K$1,0,0,COUNTA([10]본부유지율!$K$1:$K$65536),9)</definedName>
    <definedName name="을지자동">[52]실행!$B$6,[52]실행!$J$6,[52]실행!$R$6,[52]실행!$Z$6,[52]실행!$AH$6,[52]실행!$AP$6,[52]실행!$AX$6</definedName>
    <definedName name="이" localSheetId="13" hidden="1">#REF!</definedName>
    <definedName name="이" hidden="1">#REF!</definedName>
    <definedName name="이륜차1">'[9]2담당0113'!$F$257</definedName>
    <definedName name="이름" localSheetId="0">Cover!이름</definedName>
    <definedName name="이름" localSheetId="1">#N/A</definedName>
    <definedName name="이름" localSheetId="8">#N/A</definedName>
    <definedName name="이름" localSheetId="4">#N/A</definedName>
    <definedName name="이름">Cover!이름</definedName>
    <definedName name="이상하네" localSheetId="0" hidden="1">{"'현황'!$A$15:$H$26"}</definedName>
    <definedName name="이상하네" localSheetId="1" hidden="1">{"'현황'!$A$15:$H$26"}</definedName>
    <definedName name="이상하네" localSheetId="13" hidden="1">{"'현황'!$A$15:$H$26"}</definedName>
    <definedName name="이상하네" hidden="1">{"'현황'!$A$15:$H$26"}</definedName>
    <definedName name="이자수익OVERALL">#N/A</definedName>
    <definedName name="이제" localSheetId="0">Cover!이제</definedName>
    <definedName name="이제" localSheetId="1">#N/A</definedName>
    <definedName name="이제" localSheetId="8">#N/A</definedName>
    <definedName name="이제" localSheetId="4">#N/A</definedName>
    <definedName name="이제">Cover!이제</definedName>
    <definedName name="인쇄범위">#REF!</definedName>
    <definedName name="인쇄제목" localSheetId="1">#REF!</definedName>
    <definedName name="인쇄제목" localSheetId="8">#REF!</definedName>
    <definedName name="인쇄제목" localSheetId="4">#REF!</definedName>
    <definedName name="인쇄제목">#REF!</definedName>
    <definedName name="일반사망">#REF!</definedName>
    <definedName name="일산100">#REF!</definedName>
    <definedName name="임시">[50]성적표96!#REF!</definedName>
    <definedName name="입원급여">#REF!</definedName>
    <definedName name="ㅈㄴㅇㄴ">[27]요약PL!#REF!</definedName>
    <definedName name="자금" localSheetId="1">#REF!</definedName>
    <definedName name="자금" localSheetId="8">#REF!</definedName>
    <definedName name="자금" localSheetId="4">#REF!</definedName>
    <definedName name="자금">#REF!</definedName>
    <definedName name="자산건전성">#REF!</definedName>
    <definedName name="잔존만기" localSheetId="1">#REF!</definedName>
    <definedName name="잔존만기" localSheetId="8">#REF!</definedName>
    <definedName name="잔존만기" localSheetId="4">#REF!</definedName>
    <definedName name="잔존만기">#REF!</definedName>
    <definedName name="장기대변">'[51]합동별(기표용)'!$AG$1:$AG$65536</definedName>
    <definedName name="장기차변">'[51]합동별(기표용)'!$L$1:$L$65536</definedName>
    <definedName name="재분류">'[51]합동별(기표용)'!$A$1:$A$65536</definedName>
    <definedName name="재해사망">#REF!</definedName>
    <definedName name="적립대변">'[51]합동별(기표용)'!$AD$1:$AD$65536</definedName>
    <definedName name="적립차변">'[51]합동별(기표용)'!$I$1:$I$65536</definedName>
    <definedName name="전기">#REF!</definedName>
    <definedName name="정산일자">#REF!</definedName>
    <definedName name="정상">#REF!</definedName>
    <definedName name="제조" localSheetId="13" hidden="1">#REF!</definedName>
    <definedName name="제조" hidden="1">#REF!</definedName>
    <definedName name="조달운용1">#REF!</definedName>
    <definedName name="조달운용10">#REF!</definedName>
    <definedName name="조달운용11">#REF!</definedName>
    <definedName name="조달운용12">#REF!</definedName>
    <definedName name="조달운용2">#REF!</definedName>
    <definedName name="조달운용3">#REF!</definedName>
    <definedName name="조달운용4">#REF!</definedName>
    <definedName name="조달운용5">#REF!</definedName>
    <definedName name="조달운용6">#REF!</definedName>
    <definedName name="조달운용7">#REF!</definedName>
    <definedName name="조달운용8">#REF!</definedName>
    <definedName name="조달운용9">#REF!</definedName>
    <definedName name="조서" localSheetId="1">[79]자산가치!#REF!</definedName>
    <definedName name="조서" localSheetId="8">[79]자산가치!#REF!</definedName>
    <definedName name="조서" localSheetId="4">[79]자산가치!#REF!</definedName>
    <definedName name="조서">[79]자산가치!#REF!</definedName>
    <definedName name="조회금액">#REF!</definedName>
    <definedName name="조회인">#REF!</definedName>
    <definedName name="조회일자">#REF!</definedName>
    <definedName name="주식1">#REF!</definedName>
    <definedName name="주식2">#REF!</definedName>
    <definedName name="주식3">#REF!</definedName>
    <definedName name="주식4">#REF!</definedName>
    <definedName name="주식5">#REF!</definedName>
    <definedName name="주식6">#REF!</definedName>
    <definedName name="주식7">#REF!</definedName>
    <definedName name="주식8">#REF!</definedName>
    <definedName name="주식한도1">#REF!</definedName>
    <definedName name="주식한도2">#REF!</definedName>
    <definedName name="주식한도3">#REF!</definedName>
    <definedName name="주식한도4">#REF!</definedName>
    <definedName name="주식한도5">#REF!</definedName>
    <definedName name="주식한도6">#REF!</definedName>
    <definedName name="주식한도7">#REF!</definedName>
    <definedName name="주식한도8">#REF!</definedName>
    <definedName name="중고차">'[9]1담당0113'!$F$129</definedName>
    <definedName name="중고차1">'[9]2담당0113'!$F$255</definedName>
    <definedName name="증권사">#REF!</definedName>
    <definedName name="증권사1">#REF!</definedName>
    <definedName name="증권사12">#REF!</definedName>
    <definedName name="지급1">[80]보험금!#REF!</definedName>
    <definedName name="지급10">[80]보험금!#REF!</definedName>
    <definedName name="지급2">[80]보험금!#REF!</definedName>
    <definedName name="지급3">[80]보험금!#REF!</definedName>
    <definedName name="지급4">[80]보험금!#REF!</definedName>
    <definedName name="지급5">[80]보험금!#REF!</definedName>
    <definedName name="지급6">[80]보험금!#REF!</definedName>
    <definedName name="지급7">[80]보험금!#REF!</definedName>
    <definedName name="지급8">[80]보험금!#REF!</definedName>
    <definedName name="지급9">[80]보험금!#REF!</definedName>
    <definedName name="지보7">#REF!</definedName>
    <definedName name="지보약">#REF!</definedName>
    <definedName name="지점장이름">#REF!</definedName>
    <definedName name="지표2">'[68]7'!$P$112</definedName>
    <definedName name="직전손익">[79]현재적용이율!#REF!</definedName>
    <definedName name="ㅊ">#REF!</definedName>
    <definedName name="ㅊㅊ">#REF!</definedName>
    <definedName name="차변합계">'[51]합동별(기표용)'!$AT$1:$AT$65536</definedName>
    <definedName name="채권상각1">#REF!</definedName>
    <definedName name="채권상각10">#REF!</definedName>
    <definedName name="채권상각11">#REF!</definedName>
    <definedName name="채권상각2">#REF!</definedName>
    <definedName name="채권상각3">#REF!</definedName>
    <definedName name="채권상각4">#REF!</definedName>
    <definedName name="채권상각5">#REF!</definedName>
    <definedName name="채권상각6">#REF!</definedName>
    <definedName name="채권상각7">#REF!</definedName>
    <definedName name="채권상각8">#REF!</definedName>
    <definedName name="채권상각9">#REF!</definedName>
    <definedName name="책임분담">{0.1;0;0.45;0;0;0;0;0;0.45}</definedName>
    <definedName name="추가대변">'[51]합동별(기표용)'!$AK$1:$AK$65536</definedName>
    <definedName name="추가차변">'[51]합동별(기표용)'!$P$1:$P$65536</definedName>
    <definedName name="충당금결과200404" localSheetId="1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>#REF!</definedName>
    <definedName name="취득가액">#REF!</definedName>
    <definedName name="코스닥총포지션">[53]주식!#REF!</definedName>
    <definedName name="토지단대변">'[51]합동별(기표용)'!$AS$1:$AS$65536</definedName>
    <definedName name="토지단차변">'[51]합동별(기표용)'!$X$1:$X$65536</definedName>
    <definedName name="퇴직대변">'[51]합동별(기표용)'!$AL$1:$AL$65536</definedName>
    <definedName name="퇴직차변">'[51]합동별(기표용)'!$Q$1:$Q$65536</definedName>
    <definedName name="투자산" localSheetId="0">Cover!투자산</definedName>
    <definedName name="투자산" localSheetId="1">#N/A</definedName>
    <definedName name="투자산" localSheetId="8">#N/A</definedName>
    <definedName name="투자산" localSheetId="4">#N/A</definedName>
    <definedName name="투자산">Cover!투자산</definedName>
    <definedName name="특정대변">'[51]합동별(기표용)'!$AQ$1:$AQ$65536</definedName>
    <definedName name="특정차변">'[51]합동별(기표용)'!$V$1:$V$65536</definedName>
    <definedName name="ㅍ34">[79]현재적용이율!#REF!</definedName>
    <definedName name="ㅍㅍ">#REF!</definedName>
    <definedName name="편출1">#REF!</definedName>
    <definedName name="편출2">#REF!</definedName>
    <definedName name="편출3">#REF!</definedName>
    <definedName name="편출4">#REF!</definedName>
    <definedName name="표" localSheetId="1">#REF!</definedName>
    <definedName name="표" localSheetId="8">#REF!</definedName>
    <definedName name="표" localSheetId="4">#REF!</definedName>
    <definedName name="표">#REF!</definedName>
    <definedName name="표1" localSheetId="1">[81]손익계산서!#REF!</definedName>
    <definedName name="표1" localSheetId="8">[81]손익계산서!#REF!</definedName>
    <definedName name="표1" localSheetId="4">[81]손익계산서!#REF!</definedName>
    <definedName name="표1">[81]손익계산서!#REF!</definedName>
    <definedName name="표2" localSheetId="1">[81]이익잉여금처분계산서!#REF!</definedName>
    <definedName name="표2" localSheetId="8">[81]이익잉여금처분계산서!#REF!</definedName>
    <definedName name="표2" localSheetId="4">[81]이익잉여금처분계산서!#REF!</definedName>
    <definedName name="표2">[81]이익잉여금처분계산서!#REF!</definedName>
    <definedName name="표3" localSheetId="1">#REF!</definedName>
    <definedName name="표3" localSheetId="8">#REF!</definedName>
    <definedName name="표3" localSheetId="4">#REF!</definedName>
    <definedName name="표3">#REF!</definedName>
    <definedName name="표4" localSheetId="1">[81]용역원가명세서!#REF!</definedName>
    <definedName name="표4" localSheetId="8">[81]용역원가명세서!#REF!</definedName>
    <definedName name="표4" localSheetId="4">[81]용역원가명세서!#REF!</definedName>
    <definedName name="표4">[81]용역원가명세서!#REF!</definedName>
    <definedName name="표5" localSheetId="1">[81]현금흐름표!#REF!</definedName>
    <definedName name="표5" localSheetId="8">[81]현금흐름표!#REF!</definedName>
    <definedName name="표5" localSheetId="4">[81]현금흐름표!#REF!</definedName>
    <definedName name="표5">[81]현금흐름표!#REF!</definedName>
    <definedName name="표종류" localSheetId="1">#REF!</definedName>
    <definedName name="표종류" localSheetId="8">#REF!</definedName>
    <definedName name="표종류" localSheetId="4">#REF!</definedName>
    <definedName name="표종류">#REF!</definedName>
    <definedName name="프로젝트">[82]작성방법!$A$2:$A$9</definedName>
    <definedName name="한규황">[62]물가지수!#REF!</definedName>
    <definedName name="허정">'[59]10월 급여'!$A$2:$B$676</definedName>
    <definedName name="현금회수...">#REF!</definedName>
    <definedName name="현재단계">#REF!</definedName>
    <definedName name="확인" localSheetId="0" hidden="1">{"'매출'!$A$1:$I$22"}</definedName>
    <definedName name="확인" localSheetId="1" hidden="1">{"'매출'!$A$1:$I$22"}</definedName>
    <definedName name="확인" localSheetId="13" hidden="1">{"'매출'!$A$1:$I$22"}</definedName>
    <definedName name="확인" hidden="1">{"'매출'!$A$1:$I$22"}</definedName>
    <definedName name="회1">#REF!</definedName>
    <definedName name="회10">#REF!</definedName>
    <definedName name="회2">#REF!</definedName>
    <definedName name="회3">#REF!</definedName>
    <definedName name="회4">#REF!</definedName>
    <definedName name="회5">#REF!</definedName>
    <definedName name="회6">#REF!</definedName>
    <definedName name="회7">#REF!</definedName>
    <definedName name="회8">#REF!</definedName>
    <definedName name="회9">#REF!</definedName>
    <definedName name="회사">[55]정의!$B$3</definedName>
    <definedName name="ㅏㅏ" localSheetId="13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>#REF!</definedName>
    <definedName name="ㅐ24">#REF!</definedName>
    <definedName name="ㅓ아이" localSheetId="0">Cover!ㅓ아이</definedName>
    <definedName name="ㅓ아이" localSheetId="1">#N/A</definedName>
    <definedName name="ㅓ아이" localSheetId="8">#N/A</definedName>
    <definedName name="ㅓ아이" localSheetId="4">#N/A</definedName>
    <definedName name="ㅓ아이">Cover!ㅓ아이</definedName>
    <definedName name="ㅓㅏ이ㅏㅇ" localSheetId="0">Cover!ㅓㅏ이ㅏㅇ</definedName>
    <definedName name="ㅓㅏ이ㅏㅇ" localSheetId="1">#N/A</definedName>
    <definedName name="ㅓㅏ이ㅏㅇ" localSheetId="8">#N/A</definedName>
    <definedName name="ㅓㅏ이ㅏㅇ" localSheetId="4">#N/A</definedName>
    <definedName name="ㅓㅏ이ㅏㅇ">Cover!ㅓㅏ이ㅏㅇ</definedName>
    <definedName name="ㅓㅏㅏ" localSheetId="0">Cover!ㅓㅏㅏ</definedName>
    <definedName name="ㅓㅏㅏ" localSheetId="1">#N/A</definedName>
    <definedName name="ㅓㅏㅏ" localSheetId="8">#N/A</definedName>
    <definedName name="ㅓㅏㅏ" localSheetId="4">#N/A</definedName>
    <definedName name="ㅓㅏㅏ">Cover!ㅓㅏㅏ</definedName>
    <definedName name="ㅕ">[58]현재적용이율!#REF!</definedName>
    <definedName name="ㅗ1015" localSheetId="1">#REF!</definedName>
    <definedName name="ㅗ1015" localSheetId="8">#REF!</definedName>
    <definedName name="ㅗ1015" localSheetId="4">#REF!</definedName>
    <definedName name="ㅗ1015">#REF!</definedName>
    <definedName name="ㅗ1018" localSheetId="1">#REF!</definedName>
    <definedName name="ㅗ1018" localSheetId="8">#REF!</definedName>
    <definedName name="ㅗ1018" localSheetId="4">#REF!</definedName>
    <definedName name="ㅗ1018">#REF!</definedName>
    <definedName name="ㅗ6">#REF!</definedName>
    <definedName name="ㅗㅗㅗ">[83]현재적용이율!#REF!</definedName>
  </definedNames>
  <calcPr calcId="191029"/>
</workbook>
</file>

<file path=xl/calcChain.xml><?xml version="1.0" encoding="utf-8"?>
<calcChain xmlns="http://schemas.openxmlformats.org/spreadsheetml/2006/main">
  <c r="BU41" i="60" l="1"/>
  <c r="BB41" i="60"/>
  <c r="BA41" i="60"/>
  <c r="BU40" i="60"/>
  <c r="BB40" i="60"/>
  <c r="BA40" i="60"/>
  <c r="BU39" i="60"/>
  <c r="BB39" i="60"/>
  <c r="BA39" i="60"/>
  <c r="BU38" i="60"/>
  <c r="BB38" i="60"/>
  <c r="BA38" i="60"/>
  <c r="BU37" i="60"/>
  <c r="BB37" i="60"/>
  <c r="BA37" i="60"/>
  <c r="BU36" i="60"/>
  <c r="BB36" i="60"/>
  <c r="BA36" i="60"/>
  <c r="BU35" i="60"/>
  <c r="BB35" i="60"/>
  <c r="BA35" i="60"/>
  <c r="BU34" i="60"/>
  <c r="BB34" i="60"/>
  <c r="BA34" i="60"/>
  <c r="BB33" i="60"/>
  <c r="BA33" i="60"/>
  <c r="BU32" i="60"/>
  <c r="BB32" i="60"/>
  <c r="BA32" i="60"/>
  <c r="BU30" i="60"/>
  <c r="BB30" i="60"/>
  <c r="BA30" i="60"/>
  <c r="BU29" i="60"/>
  <c r="BB29" i="60"/>
  <c r="BA29" i="60"/>
  <c r="BU28" i="60"/>
  <c r="BB28" i="60"/>
  <c r="BA28" i="60"/>
  <c r="BU27" i="60"/>
  <c r="BB27" i="60"/>
  <c r="BA27" i="60"/>
  <c r="BU26" i="60"/>
  <c r="BB26" i="60"/>
  <c r="BA26" i="60"/>
  <c r="BU25" i="60"/>
  <c r="BB25" i="60"/>
  <c r="BA25" i="60"/>
  <c r="BU24" i="60"/>
  <c r="BB24" i="60"/>
  <c r="BA24" i="60"/>
  <c r="BU23" i="60"/>
  <c r="BB23" i="60"/>
  <c r="BA23" i="60"/>
  <c r="BB22" i="60"/>
  <c r="BA22" i="60"/>
  <c r="BU21" i="60"/>
  <c r="BB21" i="60"/>
  <c r="BA21" i="60"/>
  <c r="BU20" i="60"/>
  <c r="BB20" i="60"/>
  <c r="BA20" i="60"/>
  <c r="BU19" i="60"/>
  <c r="BB19" i="60"/>
  <c r="BA19" i="60"/>
  <c r="BU18" i="60"/>
  <c r="BB18" i="60"/>
  <c r="BA18" i="60"/>
  <c r="BU17" i="60"/>
  <c r="BB17" i="60"/>
  <c r="BA17" i="60"/>
  <c r="BU16" i="60"/>
  <c r="BB16" i="60"/>
  <c r="BA16" i="60"/>
  <c r="BU15" i="60"/>
  <c r="BB15" i="60"/>
  <c r="BA15" i="60"/>
  <c r="BU14" i="60"/>
  <c r="BB14" i="60"/>
  <c r="BA14" i="60"/>
  <c r="BU13" i="60"/>
  <c r="BB13" i="60"/>
  <c r="BA13" i="60"/>
  <c r="BU12" i="60"/>
  <c r="BB12" i="60"/>
  <c r="BA12" i="60"/>
  <c r="BU11" i="60"/>
  <c r="BB11" i="60"/>
  <c r="BA11" i="60"/>
  <c r="BU10" i="60"/>
  <c r="BB10" i="60"/>
  <c r="BA10" i="60"/>
  <c r="BU9" i="60"/>
  <c r="BB9" i="60"/>
  <c r="BA9" i="60"/>
  <c r="BU8" i="60"/>
  <c r="BB8" i="60"/>
  <c r="BA8" i="60"/>
  <c r="BU7" i="60"/>
  <c r="BB7" i="60"/>
  <c r="BA7" i="60"/>
  <c r="BU6" i="60"/>
  <c r="BB6" i="60"/>
  <c r="BA6" i="60"/>
  <c r="BU5" i="60"/>
  <c r="BB5" i="60"/>
  <c r="BA5" i="60"/>
  <c r="AP66" i="59"/>
  <c r="AO66" i="59"/>
  <c r="AP65" i="59"/>
  <c r="AO65" i="59"/>
  <c r="AP64" i="59"/>
  <c r="AO64" i="59"/>
  <c r="AL64" i="59"/>
  <c r="AP63" i="59"/>
  <c r="AO63" i="59"/>
  <c r="AP62" i="59"/>
  <c r="AO62" i="59"/>
  <c r="AP61" i="59"/>
  <c r="AO61" i="59"/>
  <c r="AP60" i="59"/>
  <c r="AO60" i="59"/>
  <c r="AP58" i="59"/>
  <c r="AO58" i="59"/>
  <c r="AP57" i="59"/>
  <c r="AO57" i="59"/>
  <c r="AP56" i="59"/>
  <c r="AO56" i="59"/>
  <c r="AP55" i="59"/>
  <c r="AO55" i="59"/>
  <c r="AP54" i="59"/>
  <c r="AO54" i="59"/>
  <c r="AP53" i="59"/>
  <c r="AO53" i="59"/>
  <c r="AP52" i="59"/>
  <c r="AO52" i="59"/>
  <c r="AP50" i="59"/>
  <c r="AO50" i="59"/>
  <c r="AP48" i="59"/>
  <c r="AO48" i="59"/>
  <c r="AP47" i="59"/>
  <c r="AO47" i="59"/>
  <c r="AP45" i="59"/>
  <c r="AO45" i="59"/>
  <c r="AP44" i="59"/>
  <c r="AO44" i="59"/>
  <c r="AP43" i="59"/>
  <c r="AO43" i="59"/>
  <c r="AP42" i="59"/>
  <c r="AO42" i="59"/>
  <c r="AP41" i="59"/>
  <c r="AO41" i="59"/>
  <c r="AP40" i="59"/>
  <c r="AO40" i="59"/>
  <c r="AP39" i="59"/>
  <c r="AO39" i="59"/>
  <c r="AP38" i="59"/>
  <c r="AO38" i="59"/>
  <c r="AP37" i="59"/>
  <c r="AO37" i="59"/>
  <c r="AP35" i="59"/>
  <c r="AO35" i="59"/>
  <c r="AP34" i="59"/>
  <c r="AO34" i="59"/>
  <c r="AP33" i="59"/>
  <c r="AO33" i="59"/>
  <c r="AP30" i="59"/>
  <c r="AO30" i="59"/>
  <c r="AP29" i="59"/>
  <c r="AO29" i="59"/>
  <c r="AP28" i="59"/>
  <c r="AO28" i="59"/>
  <c r="AP27" i="59"/>
  <c r="AO27" i="59"/>
  <c r="AP26" i="59"/>
  <c r="AO26" i="59"/>
  <c r="AP24" i="59"/>
  <c r="AO24" i="59"/>
  <c r="AP23" i="59"/>
  <c r="AO23" i="59"/>
  <c r="AP22" i="59"/>
  <c r="AO22" i="59"/>
  <c r="AP21" i="59"/>
  <c r="AO21" i="59"/>
  <c r="AP20" i="59"/>
  <c r="AO20" i="59"/>
  <c r="AP19" i="59"/>
  <c r="AO19" i="59"/>
  <c r="AP18" i="59"/>
  <c r="AO18" i="59"/>
  <c r="AP17" i="59"/>
  <c r="AO17" i="59"/>
  <c r="AP16" i="59"/>
  <c r="AO16" i="59"/>
  <c r="AP14" i="59"/>
  <c r="AO14" i="59"/>
  <c r="AP13" i="59"/>
  <c r="AO13" i="59"/>
  <c r="AP12" i="59"/>
  <c r="AO12" i="59"/>
  <c r="AP10" i="59"/>
  <c r="AO10" i="59"/>
  <c r="AP9" i="59"/>
  <c r="AO9" i="59"/>
  <c r="AP7" i="59"/>
  <c r="AO7" i="59"/>
  <c r="AP6" i="59"/>
  <c r="AO6" i="59"/>
  <c r="Y56" i="48" l="1"/>
  <c r="X56" i="48"/>
  <c r="W56" i="48"/>
  <c r="X55" i="48"/>
  <c r="Y55" i="48" s="1"/>
  <c r="W55" i="48"/>
  <c r="X54" i="48"/>
  <c r="Y54" i="48" s="1"/>
  <c r="W54" i="48"/>
  <c r="X53" i="48"/>
  <c r="W53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보험계약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재보험계약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H8" authorId="0" shapeId="0" xr:uid="{04D6886A-CFA1-497F-ADFC-11D1D86191E1}">
      <text>
        <r>
          <rPr>
            <sz val="9"/>
            <color indexed="81"/>
            <rFont val="돋움"/>
            <family val="3"/>
            <charset val="129"/>
          </rPr>
          <t>캐피탈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중간배당</t>
        </r>
        <r>
          <rPr>
            <sz val="9"/>
            <color indexed="81"/>
            <rFont val="Tahoma"/>
            <family val="2"/>
          </rPr>
          <t xml:space="preserve"> 1,000</t>
        </r>
        <r>
          <rPr>
            <sz val="9"/>
            <color indexed="81"/>
            <rFont val="돋움"/>
            <family val="3"/>
            <charset val="129"/>
          </rPr>
          <t>억원</t>
        </r>
      </text>
    </comment>
  </commentList>
</comments>
</file>

<file path=xl/sharedStrings.xml><?xml version="1.0" encoding="utf-8"?>
<sst xmlns="http://schemas.openxmlformats.org/spreadsheetml/2006/main" count="2152" uniqueCount="1117">
  <si>
    <t>재물</t>
  </si>
  <si>
    <t>월납환산</t>
    <phoneticPr fontId="20" type="noConversion"/>
  </si>
  <si>
    <t>보장성</t>
    <phoneticPr fontId="20" type="noConversion"/>
  </si>
  <si>
    <t>13회차</t>
  </si>
  <si>
    <t>25회차</t>
  </si>
  <si>
    <t>고정형</t>
    <phoneticPr fontId="21" type="noConversion"/>
  </si>
  <si>
    <t>구성비</t>
    <phoneticPr fontId="21" type="noConversion"/>
  </si>
  <si>
    <t>부담이율</t>
    <phoneticPr fontId="21" type="noConversion"/>
  </si>
  <si>
    <t>연동형</t>
    <phoneticPr fontId="21" type="noConversion"/>
  </si>
  <si>
    <t>합계</t>
    <phoneticPr fontId="21" type="noConversion"/>
  </si>
  <si>
    <t>합계 부담이율</t>
    <phoneticPr fontId="21" type="noConversion"/>
  </si>
  <si>
    <t>매칭율</t>
    <phoneticPr fontId="21" type="noConversion"/>
  </si>
  <si>
    <t>저축성</t>
    <phoneticPr fontId="20" type="noConversion"/>
  </si>
  <si>
    <t>개인연금</t>
    <phoneticPr fontId="20" type="noConversion"/>
  </si>
  <si>
    <t>소  계</t>
    <phoneticPr fontId="20" type="noConversion"/>
  </si>
  <si>
    <t>비중</t>
    <phoneticPr fontId="20" type="noConversion"/>
  </si>
  <si>
    <t xml:space="preserve"> 운용자산</t>
    <phoneticPr fontId="20" type="noConversion"/>
  </si>
  <si>
    <t xml:space="preserve"> 비운용자산</t>
    <phoneticPr fontId="20" type="noConversion"/>
  </si>
  <si>
    <t xml:space="preserve"> 기타부채</t>
    <phoneticPr fontId="20" type="noConversion"/>
  </si>
  <si>
    <t xml:space="preserve"> 자본조정</t>
    <phoneticPr fontId="20" type="noConversion"/>
  </si>
  <si>
    <t xml:space="preserve"> 기타포괄손익누계액</t>
    <phoneticPr fontId="20" type="noConversion"/>
  </si>
  <si>
    <t xml:space="preserve"> 자 본 총 계</t>
    <phoneticPr fontId="20" type="noConversion"/>
  </si>
  <si>
    <t xml:space="preserve"> 부 동 산</t>
  </si>
  <si>
    <t>현예금 및 예치금</t>
  </si>
  <si>
    <t>주식 및 출자금</t>
  </si>
  <si>
    <t>관계종속기업투자주식</t>
  </si>
  <si>
    <t>국내채권</t>
  </si>
  <si>
    <t>국내수익증권</t>
  </si>
  <si>
    <t>외화유가증권</t>
  </si>
  <si>
    <t>기타유가증권</t>
  </si>
  <si>
    <t>대출채권</t>
  </si>
  <si>
    <t>부동산</t>
  </si>
  <si>
    <t>총운용자산</t>
  </si>
  <si>
    <t xml:space="preserve"> 현예금및예치금</t>
    <phoneticPr fontId="20" type="noConversion"/>
  </si>
  <si>
    <t xml:space="preserve"> 당기손익-공정가치측정금융자산 </t>
    <phoneticPr fontId="20" type="noConversion"/>
  </si>
  <si>
    <t xml:space="preserve"> 기타포괄손익-공정가치측정금융자산 </t>
    <phoneticPr fontId="20" type="noConversion"/>
  </si>
  <si>
    <t xml:space="preserve"> 상각후원가측정금융자산</t>
    <phoneticPr fontId="20" type="noConversion"/>
  </si>
  <si>
    <t xml:space="preserve"> 관계종속기업투자주식</t>
    <phoneticPr fontId="20" type="noConversion"/>
  </si>
  <si>
    <t>자 산 총 계</t>
    <phoneticPr fontId="20" type="noConversion"/>
  </si>
  <si>
    <t xml:space="preserve"> 책임준비금</t>
    <phoneticPr fontId="20" type="noConversion"/>
  </si>
  <si>
    <t>부 채 총 계</t>
    <phoneticPr fontId="20" type="noConversion"/>
  </si>
  <si>
    <t>신종자본증권</t>
    <phoneticPr fontId="20" type="noConversion"/>
  </si>
  <si>
    <t>(특별계정자산)</t>
    <phoneticPr fontId="20" type="noConversion"/>
  </si>
  <si>
    <t>(특별계정부채)</t>
    <phoneticPr fontId="20" type="noConversion"/>
  </si>
  <si>
    <t>월평균</t>
    <phoneticPr fontId="20" type="noConversion"/>
  </si>
  <si>
    <t>누계</t>
    <phoneticPr fontId="20" type="noConversion"/>
  </si>
  <si>
    <t>유지율</t>
    <phoneticPr fontId="20" type="noConversion"/>
  </si>
  <si>
    <t>구분</t>
    <phoneticPr fontId="20" type="noConversion"/>
  </si>
  <si>
    <t>지급여력금액</t>
    <phoneticPr fontId="20" type="noConversion"/>
  </si>
  <si>
    <t>누적 투자이익율</t>
    <phoneticPr fontId="20" type="noConversion"/>
  </si>
  <si>
    <t>이자수익</t>
    <phoneticPr fontId="100" type="noConversion"/>
  </si>
  <si>
    <t>이자비용</t>
    <phoneticPr fontId="100" type="noConversion"/>
  </si>
  <si>
    <t>수수료수익</t>
    <phoneticPr fontId="100" type="noConversion"/>
  </si>
  <si>
    <t>기타수익</t>
    <phoneticPr fontId="100" type="noConversion"/>
  </si>
  <si>
    <t>기타비용</t>
    <phoneticPr fontId="100" type="noConversion"/>
  </si>
  <si>
    <t>판매관리비</t>
    <phoneticPr fontId="100" type="noConversion"/>
  </si>
  <si>
    <t>영업외손익</t>
    <phoneticPr fontId="100" type="noConversion"/>
  </si>
  <si>
    <t>이자손익</t>
    <phoneticPr fontId="100" type="noConversion"/>
  </si>
  <si>
    <t>이익잉여금</t>
    <phoneticPr fontId="20" type="noConversion"/>
  </si>
  <si>
    <t>자본잉여금</t>
    <phoneticPr fontId="20" type="noConversion"/>
  </si>
  <si>
    <t>메리츠화재 장기보험료 적립금 / 자산 건전성</t>
    <phoneticPr fontId="20" type="noConversion"/>
  </si>
  <si>
    <t>BPS</t>
    <phoneticPr fontId="100" type="noConversion"/>
  </si>
  <si>
    <t>EPS</t>
    <phoneticPr fontId="100" type="noConversion"/>
  </si>
  <si>
    <t>I. 운용자산</t>
  </si>
  <si>
    <t>1. 현금및예치금</t>
  </si>
  <si>
    <t>가. 현금과예금</t>
  </si>
  <si>
    <t>(1) 현금</t>
  </si>
  <si>
    <t>(2) 당좌예금</t>
  </si>
  <si>
    <t>(3) 보통예금</t>
  </si>
  <si>
    <t>나. 기타예치금</t>
    <phoneticPr fontId="101" type="noConversion"/>
  </si>
  <si>
    <t>2. 유가증권</t>
  </si>
  <si>
    <t>2-1. 당기손익-공정가치측정금융자산</t>
  </si>
  <si>
    <t>가. 주식</t>
  </si>
  <si>
    <t>나. 출자금</t>
  </si>
  <si>
    <t>다. 특수채</t>
    <phoneticPr fontId="101" type="noConversion"/>
  </si>
  <si>
    <t>라. 금융채</t>
    <phoneticPr fontId="101" type="noConversion"/>
  </si>
  <si>
    <t>마. 회사채</t>
    <phoneticPr fontId="101" type="noConversion"/>
  </si>
  <si>
    <t>바. 수익증권</t>
    <phoneticPr fontId="101" type="noConversion"/>
  </si>
  <si>
    <t>사. 외화표시유가증권</t>
    <phoneticPr fontId="101" type="noConversion"/>
  </si>
  <si>
    <t>아. 기타</t>
    <phoneticPr fontId="101" type="noConversion"/>
  </si>
  <si>
    <t>2-2. 기타포괄손익-공정가치측정유가증권</t>
  </si>
  <si>
    <t>나. 국·공채</t>
    <phoneticPr fontId="101" type="noConversion"/>
  </si>
  <si>
    <t>다. 특수채</t>
    <phoneticPr fontId="101" type="noConversion"/>
  </si>
  <si>
    <t>라. 금융채</t>
    <phoneticPr fontId="101" type="noConversion"/>
  </si>
  <si>
    <t>바. 외화표시유가증권</t>
    <phoneticPr fontId="101" type="noConversion"/>
  </si>
  <si>
    <t>2-3. 관계·종속기업투자주식</t>
    <phoneticPr fontId="101" type="noConversion"/>
  </si>
  <si>
    <t>3. 대출채권</t>
  </si>
  <si>
    <t xml:space="preserve"> (대손충당금)</t>
  </si>
  <si>
    <t xml:space="preserve"> 가. 기타대출금</t>
    <phoneticPr fontId="101" type="noConversion"/>
  </si>
  <si>
    <t xml:space="preserve"> (1) 투자계약 보험계약대출</t>
    <phoneticPr fontId="101" type="noConversion"/>
  </si>
  <si>
    <t xml:space="preserve"> (2) 기타</t>
    <phoneticPr fontId="101" type="noConversion"/>
  </si>
  <si>
    <t xml:space="preserve"> (이연대출부대손익)</t>
  </si>
  <si>
    <t xml:space="preserve"> 나. 부동산담보대출금</t>
    <phoneticPr fontId="101" type="noConversion"/>
  </si>
  <si>
    <t xml:space="preserve"> 다. 지급보증대출금</t>
    <phoneticPr fontId="101" type="noConversion"/>
  </si>
  <si>
    <t>4. 부동산</t>
  </si>
  <si>
    <t xml:space="preserve"> (손상차손누계액)</t>
  </si>
  <si>
    <t xml:space="preserve"> [투자부동산]</t>
  </si>
  <si>
    <t>투자부동산(토지)</t>
  </si>
  <si>
    <t>투자부동산(건물)</t>
    <phoneticPr fontId="101" type="noConversion"/>
  </si>
  <si>
    <t>가. 토지</t>
  </si>
  <si>
    <t>나. 건물</t>
  </si>
  <si>
    <t>(감가상각누계액)</t>
  </si>
  <si>
    <t>다. 해외부동산</t>
  </si>
  <si>
    <t>라. 건설중인자산</t>
  </si>
  <si>
    <t>마. 기타부동산</t>
  </si>
  <si>
    <t xml:space="preserve">  (감가상각누계액)</t>
  </si>
  <si>
    <t>II.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</si>
  <si>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</si>
  <si>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</si>
  <si>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</si>
  <si>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</si>
  <si>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</si>
  <si>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</si>
  <si>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</si>
  <si>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2. 재보험계약자산</t>
  </si>
  <si>
    <t>3. 미수금</t>
  </si>
  <si>
    <t>(1) 보험미수금</t>
  </si>
  <si>
    <t>(2) 미 수 금</t>
  </si>
  <si>
    <t>(대손충당금)</t>
  </si>
  <si>
    <t>4. 보증금</t>
  </si>
  <si>
    <t>(현재가치할인차금)</t>
  </si>
  <si>
    <t>나. 예탁보증금</t>
  </si>
  <si>
    <t>5. 미수수익</t>
  </si>
  <si>
    <t xml:space="preserve"> 미수수익</t>
  </si>
  <si>
    <t>6. 선급비용</t>
  </si>
  <si>
    <t>7. 선급법인세</t>
  </si>
  <si>
    <t>8. 선급부가세</t>
  </si>
  <si>
    <t>9. 선급금</t>
  </si>
  <si>
    <t>가. 일반선급금</t>
  </si>
  <si>
    <t>10. 가지급금</t>
  </si>
  <si>
    <t>가. 일반가지급금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</si>
  <si>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</si>
  <si>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</si>
  <si>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</si>
  <si>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</si>
  <si>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</si>
  <si>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 유형자산</t>
  </si>
  <si>
    <t>17. 이연법인세자산</t>
  </si>
  <si>
    <t>18. 파생상품자산</t>
  </si>
  <si>
    <t>가. 이자율관련</t>
  </si>
  <si>
    <t>나. 통화관련</t>
  </si>
  <si>
    <t>다. 주식관련</t>
  </si>
  <si>
    <t>19. 무형자산</t>
  </si>
  <si>
    <t>가. 소프트웨어</t>
    <phoneticPr fontId="101" type="noConversion"/>
  </si>
  <si>
    <t>(소프트웨어상각누계액)</t>
  </si>
  <si>
    <t>나. 개발비</t>
    <phoneticPr fontId="101" type="noConversion"/>
  </si>
  <si>
    <t>(개발비상각누계액)</t>
  </si>
  <si>
    <t>다. 기타의무형자산</t>
    <phoneticPr fontId="101" type="noConversion"/>
  </si>
  <si>
    <t>20. 어음</t>
  </si>
  <si>
    <t>가. 받을어음</t>
  </si>
  <si>
    <t>21. 순확정급여자산</t>
  </si>
  <si>
    <t>22. 기타의비운용자산</t>
  </si>
  <si>
    <t>III. 특별계정자산</t>
  </si>
  <si>
    <t>(특별계정미지급금-퇴직연금)</t>
  </si>
  <si>
    <t xml:space="preserve"> 부채총계</t>
    <phoneticPr fontId="101" type="noConversion"/>
  </si>
  <si>
    <t>I. 책임준비금</t>
  </si>
  <si>
    <t>1. 보험계약부채</t>
  </si>
  <si>
    <t>2. 재보험계약부채</t>
    <phoneticPr fontId="101" type="noConversion"/>
  </si>
  <si>
    <t>3. 투자계약부채</t>
  </si>
  <si>
    <t xml:space="preserve"> 1. 미지급금</t>
  </si>
  <si>
    <t xml:space="preserve"> 2. 미지급비용</t>
  </si>
  <si>
    <t xml:space="preserve"> 4. 사채</t>
    <phoneticPr fontId="101" type="noConversion"/>
  </si>
  <si>
    <t xml:space="preserve"> 가. 후순위채권</t>
  </si>
  <si>
    <t xml:space="preserve"> 5. 선수금</t>
    <phoneticPr fontId="101" type="noConversion"/>
  </si>
  <si>
    <t xml:space="preserve"> 6. 선수수익</t>
    <phoneticPr fontId="101" type="noConversion"/>
  </si>
  <si>
    <t xml:space="preserve"> 7. 예수금</t>
    <phoneticPr fontId="101" type="noConversion"/>
  </si>
  <si>
    <t xml:space="preserve"> 8. 미지급부가세</t>
    <phoneticPr fontId="101" type="noConversion"/>
  </si>
  <si>
    <t xml:space="preserve"> 9. 가수금</t>
    <phoneticPr fontId="101" type="noConversion"/>
  </si>
  <si>
    <t>10. 가수보험료</t>
    <phoneticPr fontId="101" type="noConversion"/>
  </si>
  <si>
    <t>11. 본지점계정대</t>
    <phoneticPr fontId="101" type="noConversion"/>
  </si>
  <si>
    <t>12. 이연법인세부채</t>
    <phoneticPr fontId="101" type="noConversion"/>
  </si>
  <si>
    <t>13. 임대보증금</t>
    <phoneticPr fontId="101" type="noConversion"/>
  </si>
  <si>
    <t>임대보증금</t>
  </si>
  <si>
    <t>14. 퇴직급여채무</t>
    <phoneticPr fontId="101" type="noConversion"/>
  </si>
  <si>
    <t xml:space="preserve"> 가. 확정급여채무</t>
  </si>
  <si>
    <t xml:space="preserve"> 나. 사외적립자산</t>
    <phoneticPr fontId="101" type="noConversion"/>
  </si>
  <si>
    <t>15. 파생상품부채</t>
    <phoneticPr fontId="101" type="noConversion"/>
  </si>
  <si>
    <t>16. 복구충당부채</t>
    <phoneticPr fontId="101" type="noConversion"/>
  </si>
  <si>
    <t>17. 그밖의 기타부채</t>
    <phoneticPr fontId="101" type="noConversion"/>
  </si>
  <si>
    <t>III. 특별계정부채</t>
  </si>
  <si>
    <t xml:space="preserve"> (특별계정미수금-퇴직연금)</t>
  </si>
  <si>
    <t xml:space="preserve"> 자본총계</t>
    <phoneticPr fontId="101" type="noConversion"/>
  </si>
  <si>
    <t>I. 자본금</t>
  </si>
  <si>
    <t>II.자본잉여금</t>
  </si>
  <si>
    <t>1. 주식발행초과금</t>
  </si>
  <si>
    <t>2. 재평가적립금</t>
    <phoneticPr fontId="101" type="noConversion"/>
  </si>
  <si>
    <t>III. 신종자본증권</t>
  </si>
  <si>
    <t>Ⅳ. 이익잉여금</t>
    <phoneticPr fontId="101" type="noConversion"/>
  </si>
  <si>
    <t>1. 이익준비금</t>
  </si>
  <si>
    <t>2. 임의적립금</t>
    <phoneticPr fontId="101" type="noConversion"/>
  </si>
  <si>
    <t>4. 비상위험준비금</t>
    <phoneticPr fontId="101" type="noConversion"/>
  </si>
  <si>
    <t>5. 대손준비금</t>
    <phoneticPr fontId="101" type="noConversion"/>
  </si>
  <si>
    <t>6. 해약환급금준비금</t>
    <phoneticPr fontId="101" type="noConversion"/>
  </si>
  <si>
    <t>V. 자본조정</t>
    <phoneticPr fontId="101" type="noConversion"/>
  </si>
  <si>
    <t>1. 자기주식</t>
    <phoneticPr fontId="101" type="noConversion"/>
  </si>
  <si>
    <t>2. 기타자본조정</t>
    <phoneticPr fontId="101" type="noConversion"/>
  </si>
  <si>
    <t>VI. 기타포괄손익누계액</t>
    <phoneticPr fontId="101" type="noConversion"/>
  </si>
  <si>
    <t>1. 공정가치측정금융상품평가손익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</si>
  <si>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</si>
  <si>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</si>
  <si>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</si>
  <si>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</si>
  <si>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6. 위험회피파생상품평가손익</t>
    <phoneticPr fontId="101" type="noConversion"/>
  </si>
  <si>
    <t xml:space="preserve"> 가. 현금흐름위험회피평가이익</t>
  </si>
  <si>
    <t xml:space="preserve"> 나. 현금흐름위험회피평가손실</t>
  </si>
  <si>
    <t>7. 재평가잉여금</t>
    <phoneticPr fontId="101" type="noConversion"/>
  </si>
  <si>
    <t>8. 보험수리적손익</t>
    <phoneticPr fontId="101" type="noConversion"/>
  </si>
  <si>
    <t>부채 및 자본 총계</t>
    <phoneticPr fontId="101" type="noConversion"/>
  </si>
  <si>
    <t>1.보험수익</t>
  </si>
  <si>
    <t>1-1.일반모형/변동수수료접근법보험수익</t>
  </si>
  <si>
    <t>가.예상발생보험금</t>
  </si>
  <si>
    <t>나.예상손해조사비</t>
  </si>
  <si>
    <t>다.예상계약유지비</t>
  </si>
  <si>
    <t>라.예상투자관리비</t>
  </si>
  <si>
    <t>마.위험조정변동</t>
  </si>
  <si>
    <t>바.보험계약마진상각</t>
  </si>
  <si>
    <t>사.보험취득현금흐름상각</t>
  </si>
  <si>
    <t>1-2보험료배분접근법보험수익</t>
  </si>
  <si>
    <t>2.보험서비스비용</t>
  </si>
  <si>
    <t>2-1.일반모형/변동수수료접근법보험서비스비용</t>
  </si>
  <si>
    <t>가.발생보험금</t>
  </si>
  <si>
    <t>나.발생손해조사비</t>
  </si>
  <si>
    <t>다.발생계약유지비</t>
  </si>
  <si>
    <t>라.발생투자관리비</t>
  </si>
  <si>
    <t>마.손실부담계약관련비용(환입)</t>
  </si>
  <si>
    <t>바.발생사고요소조정</t>
  </si>
  <si>
    <t>아.손실요소배분액</t>
  </si>
  <si>
    <t>2-2.보험료배분접근법보험서비스비용</t>
  </si>
  <si>
    <t>다.손실부담계약관련비용(환입)</t>
  </si>
  <si>
    <t>라.발생사고요소조정</t>
  </si>
  <si>
    <t>마.보험취득현금흐름즉시인식액</t>
  </si>
  <si>
    <t>바.보험취득현금흐름상각</t>
  </si>
  <si>
    <t>사.기타보험서비스비용</t>
  </si>
  <si>
    <t>3.재보험수익</t>
  </si>
  <si>
    <t>3-1.일반모형재보험수익</t>
  </si>
  <si>
    <t>가.발생재보험금</t>
  </si>
  <si>
    <t>다.손실회수요소관련수익</t>
  </si>
  <si>
    <t>3-2.보험료배분접근법재보험수익</t>
  </si>
  <si>
    <t>4.재보험비용</t>
  </si>
  <si>
    <t>4-1.일반모형재보험서비스비용</t>
  </si>
  <si>
    <t>가.예상재보험금</t>
  </si>
  <si>
    <t>4-2.보험료배분접근법재보험서비스비용</t>
  </si>
  <si>
    <t>5.기타사업비용</t>
  </si>
  <si>
    <t>1.투자수익</t>
  </si>
  <si>
    <t>가.보험금융수익</t>
  </si>
  <si>
    <t>나.이자수익</t>
  </si>
  <si>
    <t>다.배당수익</t>
  </si>
  <si>
    <t>라.임대료수익</t>
  </si>
  <si>
    <t>마.수수료수익</t>
  </si>
  <si>
    <t>바.금융상품처분이익</t>
  </si>
  <si>
    <t>아.당기손익-공정가치측정금융상품평가이익</t>
  </si>
  <si>
    <t>차.금융상품손상차손환입</t>
  </si>
  <si>
    <t>하.파생상품거래이익</t>
  </si>
  <si>
    <t>거.파생상품평가이익</t>
  </si>
  <si>
    <t>너.외환차익</t>
  </si>
  <si>
    <t>더.외화환산이익</t>
  </si>
  <si>
    <t>저.기타투자수익</t>
  </si>
  <si>
    <t>2.투자비용</t>
  </si>
  <si>
    <t>가.보험금융비용</t>
  </si>
  <si>
    <t>거.외환차손</t>
  </si>
  <si>
    <t>나.이자비용</t>
  </si>
  <si>
    <t>너.외화환산손실</t>
  </si>
  <si>
    <t>다.재산관리비</t>
  </si>
  <si>
    <t>라.부동산관리비</t>
  </si>
  <si>
    <t>머.부동산감가상각비</t>
  </si>
  <si>
    <t>바.금융상품처분손실</t>
  </si>
  <si>
    <t>버.무형자산상각비</t>
  </si>
  <si>
    <t>아.당기손익-공정가치측정금융상품평가손실</t>
  </si>
  <si>
    <t>저.기타투자비용</t>
  </si>
  <si>
    <t>차.금융상품손상차손</t>
  </si>
  <si>
    <t>타.비금융자산손상차손</t>
  </si>
  <si>
    <t>파.파생상품거래손실</t>
  </si>
  <si>
    <t>하.파생상품평가손실</t>
  </si>
  <si>
    <t>1.영업외수익</t>
  </si>
  <si>
    <t>2.영업외비용</t>
  </si>
  <si>
    <t>신계약 월평균 / 누적 실적</t>
    <phoneticPr fontId="20" type="noConversion"/>
  </si>
  <si>
    <t>사. 기타유가증권</t>
    <phoneticPr fontId="101" type="noConversion"/>
  </si>
  <si>
    <t>자산</t>
    <phoneticPr fontId="21" type="noConversion"/>
  </si>
  <si>
    <t>부채</t>
    <phoneticPr fontId="21" type="noConversion"/>
  </si>
  <si>
    <t>지급여력기준</t>
    <phoneticPr fontId="20" type="noConversion"/>
  </si>
  <si>
    <t>K-ICS 비율(구 RBC)</t>
    <phoneticPr fontId="20" type="noConversion"/>
  </si>
  <si>
    <t>영업이익</t>
    <phoneticPr fontId="21" type="noConversion"/>
  </si>
  <si>
    <t>세전이익</t>
    <phoneticPr fontId="21" type="noConversion"/>
  </si>
  <si>
    <t>법인세</t>
    <phoneticPr fontId="21" type="noConversion"/>
  </si>
  <si>
    <t>당기순이익</t>
    <phoneticPr fontId="21" type="noConversion"/>
  </si>
  <si>
    <t>YoY</t>
    <phoneticPr fontId="100" type="noConversion"/>
  </si>
  <si>
    <t>YoY</t>
    <phoneticPr fontId="21" type="noConversion"/>
  </si>
  <si>
    <t>영업외손익</t>
    <phoneticPr fontId="21" type="noConversion"/>
  </si>
  <si>
    <t>보험손익</t>
    <phoneticPr fontId="100" type="noConversion"/>
  </si>
  <si>
    <t>보험수익</t>
    <phoneticPr fontId="100" type="noConversion"/>
  </si>
  <si>
    <t>보험비용</t>
    <phoneticPr fontId="100" type="noConversion"/>
  </si>
  <si>
    <t>수수료손익</t>
    <phoneticPr fontId="100" type="noConversion"/>
  </si>
  <si>
    <t>수수료비용</t>
    <phoneticPr fontId="100" type="noConversion"/>
  </si>
  <si>
    <t>기타손익</t>
    <phoneticPr fontId="100" type="noConversion"/>
  </si>
  <si>
    <t>영업이익</t>
    <phoneticPr fontId="100" type="noConversion"/>
  </si>
  <si>
    <t>당기순이익</t>
    <phoneticPr fontId="100" type="noConversion"/>
  </si>
  <si>
    <t>지배기업순이익</t>
    <phoneticPr fontId="100" type="noConversion"/>
  </si>
  <si>
    <t>자산총계</t>
    <phoneticPr fontId="21" type="noConversion"/>
  </si>
  <si>
    <t>부채총계</t>
    <phoneticPr fontId="100" type="noConversion"/>
  </si>
  <si>
    <t>자본총계</t>
    <phoneticPr fontId="100" type="noConversion"/>
  </si>
  <si>
    <t>ROE</t>
    <phoneticPr fontId="21" type="noConversion"/>
  </si>
  <si>
    <t xml:space="preserve"> 보험손익</t>
    <phoneticPr fontId="21" type="noConversion"/>
  </si>
  <si>
    <t xml:space="preserve"> 투자손익</t>
    <phoneticPr fontId="21" type="noConversion"/>
  </si>
  <si>
    <t>장기 손익</t>
    <phoneticPr fontId="21" type="noConversion"/>
  </si>
  <si>
    <t xml:space="preserve">  상해</t>
    <phoneticPr fontId="20" type="noConversion"/>
  </si>
  <si>
    <t xml:space="preserve">  운전자</t>
    <phoneticPr fontId="20" type="noConversion"/>
  </si>
  <si>
    <t xml:space="preserve">  어린이</t>
    <phoneticPr fontId="20" type="noConversion"/>
  </si>
  <si>
    <t xml:space="preserve">  질병</t>
    <phoneticPr fontId="20" type="noConversion"/>
  </si>
  <si>
    <t xml:space="preserve">  운전자</t>
    <phoneticPr fontId="20" type="noConversion"/>
  </si>
  <si>
    <t xml:space="preserve">  질병</t>
    <phoneticPr fontId="20" type="noConversion"/>
  </si>
  <si>
    <t>메리츠화재 요약 손익계산서</t>
    <phoneticPr fontId="21" type="noConversion"/>
  </si>
  <si>
    <t>(단위:억원)</t>
    <phoneticPr fontId="20" type="noConversion"/>
  </si>
  <si>
    <t>메리츠화재 요약 재무상태표</t>
    <phoneticPr fontId="20" type="noConversion"/>
  </si>
  <si>
    <t>주) 기타손익: 배당금, 금융상품투자, 리스, 기타영업 등</t>
    <phoneticPr fontId="21" type="noConversion"/>
  </si>
  <si>
    <t>분기</t>
    <phoneticPr fontId="21" type="noConversion"/>
  </si>
  <si>
    <t>(단위:억원)</t>
    <phoneticPr fontId="21" type="noConversion"/>
  </si>
  <si>
    <t>메리츠화재 운용자산 내역</t>
    <phoneticPr fontId="20" type="noConversion"/>
  </si>
  <si>
    <t>자 본 금</t>
    <phoneticPr fontId="20" type="noConversion"/>
  </si>
  <si>
    <t>메리츠화재 상품별 장기신계약</t>
    <phoneticPr fontId="20" type="noConversion"/>
  </si>
  <si>
    <t>(단위:억원)</t>
    <phoneticPr fontId="20" type="noConversion"/>
  </si>
  <si>
    <t>주) 일시납제외</t>
    <phoneticPr fontId="20" type="noConversion"/>
  </si>
  <si>
    <t>자동차손익</t>
    <phoneticPr fontId="21" type="noConversion"/>
  </si>
  <si>
    <t>일반손익</t>
    <phoneticPr fontId="21" type="noConversion"/>
  </si>
  <si>
    <t>주1) 22년부터 K-IFRS17 전환 기준</t>
    <phoneticPr fontId="21" type="noConversion"/>
  </si>
  <si>
    <t>주) 22년부터 K-IFRS17 전환 기준</t>
    <phoneticPr fontId="21" type="noConversion"/>
  </si>
  <si>
    <t>주) 23.1Q 부터 K-IFRS17 전환 기준</t>
    <phoneticPr fontId="21" type="noConversion"/>
  </si>
  <si>
    <t>주) 22년부터 K-IFRS17 전환 기준</t>
    <phoneticPr fontId="21" type="noConversion"/>
  </si>
  <si>
    <t>주) 2018년 부터는 K-IFRS 9 기준, 2023.1Q부터는 K-IFRS 17 기준</t>
    <phoneticPr fontId="20" type="noConversion"/>
  </si>
  <si>
    <t>I. 영업수익</t>
  </si>
  <si>
    <t>II. 영업비용</t>
  </si>
  <si>
    <t>III. 영업이익</t>
  </si>
  <si>
    <t>IV. 영업외손익</t>
    <phoneticPr fontId="104" type="noConversion"/>
  </si>
  <si>
    <t>V. 법인세비용차감전순이익</t>
    <phoneticPr fontId="104" type="noConversion"/>
  </si>
  <si>
    <t>VI. 법인세비용</t>
    <phoneticPr fontId="104" type="noConversion"/>
  </si>
  <si>
    <t>VII. 연결계속영업당기순이익</t>
    <phoneticPr fontId="104" type="noConversion"/>
  </si>
  <si>
    <t>VIII. 연결중단영업당기순이익</t>
    <phoneticPr fontId="104" type="noConversion"/>
  </si>
  <si>
    <t>XIV. 연결당기순이익</t>
    <phoneticPr fontId="104" type="noConversion"/>
  </si>
  <si>
    <t>X. 기타포괄손익</t>
    <phoneticPr fontId="104" type="noConversion"/>
  </si>
  <si>
    <t xml:space="preserve"> 1. 후속적으로 당기손익으로 재분류될 수 있는 항목</t>
    <phoneticPr fontId="104" type="noConversion"/>
  </si>
  <si>
    <t xml:space="preserve">     기타포괄손익-공정가치측정채무증권평가손익</t>
    <phoneticPr fontId="104" type="noConversion"/>
  </si>
  <si>
    <t xml:space="preserve">     해외사업환산손익</t>
    <phoneticPr fontId="104" type="noConversion"/>
  </si>
  <si>
    <t xml:space="preserve">     위험회피목적파생상품평가손익</t>
    <phoneticPr fontId="104" type="noConversion"/>
  </si>
  <si>
    <t xml:space="preserve">     지분법자본변동</t>
    <phoneticPr fontId="104" type="noConversion"/>
  </si>
  <si>
    <t>2. 당기손익으로 재분류되지 않는 항목</t>
  </si>
  <si>
    <t xml:space="preserve">     당기손익-공정가치측정지정금융부채신용위험변동</t>
    <phoneticPr fontId="104" type="noConversion"/>
  </si>
  <si>
    <t xml:space="preserve">     기타포괄손익-공정가치측정지분증권평가손익</t>
    <phoneticPr fontId="104" type="noConversion"/>
  </si>
  <si>
    <t xml:space="preserve">     확정급여제도의 재측정요소</t>
    <phoneticPr fontId="104" type="noConversion"/>
  </si>
  <si>
    <t xml:space="preserve">     재평가잉여금</t>
    <phoneticPr fontId="104" type="noConversion"/>
  </si>
  <si>
    <t>XI. 연결총포괄손익</t>
    <phoneticPr fontId="104" type="noConversion"/>
  </si>
  <si>
    <t>I. 현금및예치금</t>
  </si>
  <si>
    <t>II. 당기손익-공정가치측정금융자산</t>
    <phoneticPr fontId="104" type="noConversion"/>
  </si>
  <si>
    <t>III. 파생금융자산</t>
    <phoneticPr fontId="104" type="noConversion"/>
  </si>
  <si>
    <t>V. 상각후원가측정대출채권</t>
    <phoneticPr fontId="104" type="noConversion"/>
  </si>
  <si>
    <t>VI. 관계(공동)기업투자</t>
    <phoneticPr fontId="104" type="noConversion"/>
  </si>
  <si>
    <t>VII. 유형자산</t>
    <phoneticPr fontId="104" type="noConversion"/>
  </si>
  <si>
    <t>VIII. 투자부동산</t>
    <phoneticPr fontId="104" type="noConversion"/>
  </si>
  <si>
    <t>IX. 무형자산</t>
    <phoneticPr fontId="104" type="noConversion"/>
  </si>
  <si>
    <t>X. 리스자산</t>
    <phoneticPr fontId="104" type="noConversion"/>
  </si>
  <si>
    <t>XI. 이연법인세자산</t>
    <phoneticPr fontId="104" type="noConversion"/>
  </si>
  <si>
    <t>XII. 당기법인세자산</t>
    <phoneticPr fontId="104" type="noConversion"/>
  </si>
  <si>
    <t>XIII. 보험계약자산</t>
  </si>
  <si>
    <t>XIV. 재보험계약자산</t>
  </si>
  <si>
    <t>XV. 기타자산</t>
  </si>
  <si>
    <t>XVI.매각예정비유동자산</t>
  </si>
  <si>
    <t>자      산      총      계</t>
  </si>
  <si>
    <t>I. 보험계약부채</t>
    <phoneticPr fontId="104" type="noConversion"/>
  </si>
  <si>
    <t>II. 재보험계약부채</t>
  </si>
  <si>
    <t>III. 예수부채</t>
  </si>
  <si>
    <t>IV. 당기손익-공정가치측정금융부채</t>
  </si>
  <si>
    <t>V. 파생금융부채</t>
  </si>
  <si>
    <t>VI. 차입부채</t>
  </si>
  <si>
    <t>VII. 순확정급여부채</t>
  </si>
  <si>
    <t>VIII. 충당부채</t>
  </si>
  <si>
    <t>IX. 이연법인세부채</t>
  </si>
  <si>
    <t>X. 당기법인세부채</t>
  </si>
  <si>
    <t>XI. 기타부채</t>
  </si>
  <si>
    <t>XII. 매각예정부채</t>
  </si>
  <si>
    <t>부      채      총      계</t>
    <phoneticPr fontId="104" type="noConversion"/>
  </si>
  <si>
    <t>I. 지배기업의 소유주지분</t>
    <phoneticPr fontId="104" type="noConversion"/>
  </si>
  <si>
    <t xml:space="preserve"> 1. 자본금</t>
    <phoneticPr fontId="104" type="noConversion"/>
  </si>
  <si>
    <t xml:space="preserve"> 2. 신종자본증권</t>
    <phoneticPr fontId="104" type="noConversion"/>
  </si>
  <si>
    <t xml:space="preserve"> 3. 자본잉여금</t>
    <phoneticPr fontId="104" type="noConversion"/>
  </si>
  <si>
    <t xml:space="preserve"> 4. 자본조정</t>
    <phoneticPr fontId="104" type="noConversion"/>
  </si>
  <si>
    <t xml:space="preserve"> 5. 기타포괄손익누계액</t>
    <phoneticPr fontId="104" type="noConversion"/>
  </si>
  <si>
    <t xml:space="preserve"> 6. 이익잉여금</t>
    <phoneticPr fontId="104" type="noConversion"/>
  </si>
  <si>
    <t>II. 비지배지분</t>
    <phoneticPr fontId="104" type="noConversion"/>
  </si>
  <si>
    <t>자      본      총      계</t>
    <phoneticPr fontId="104" type="noConversion"/>
  </si>
  <si>
    <t>부  채  와  자  본  총  계</t>
    <phoneticPr fontId="104" type="noConversion"/>
  </si>
  <si>
    <t>1Q23</t>
  </si>
  <si>
    <t>1Q23</t>
    <phoneticPr fontId="21" type="noConversion"/>
  </si>
  <si>
    <t>1Q22</t>
  </si>
  <si>
    <t>1Q22</t>
    <phoneticPr fontId="21" type="noConversion"/>
  </si>
  <si>
    <t>누적 (단위:억원)</t>
    <phoneticPr fontId="21" type="noConversion"/>
  </si>
  <si>
    <t>계 정 과 목</t>
    <phoneticPr fontId="100" type="noConversion"/>
  </si>
  <si>
    <t>I. 보험손익</t>
  </si>
  <si>
    <t>자.기타보험수익</t>
  </si>
  <si>
    <t>마.손실회수요소배분액</t>
  </si>
  <si>
    <t>다.위험조정변동</t>
  </si>
  <si>
    <t>라.보험계약마진상각</t>
  </si>
  <si>
    <t>바.기타재보험서비스비용</t>
  </si>
  <si>
    <t>II. 투자손익</t>
  </si>
  <si>
    <t>타.비금융상품손상차손환입</t>
  </si>
  <si>
    <t>Ⅲ. 영업이익</t>
  </si>
  <si>
    <t>IV. 영업외손익</t>
  </si>
  <si>
    <t>Ⅴ. 세전순이익</t>
  </si>
  <si>
    <t>VII. 법인세비용</t>
  </si>
  <si>
    <t>VⅢ. 당기순이익</t>
  </si>
  <si>
    <t>계 정 과 목</t>
    <phoneticPr fontId="100" type="noConversion"/>
  </si>
  <si>
    <t>1Q18</t>
  </si>
  <si>
    <t>2Q18</t>
  </si>
  <si>
    <t>3Q18</t>
  </si>
  <si>
    <t xml:space="preserve">4Q18 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</si>
  <si>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</si>
  <si>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</si>
  <si>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</si>
  <si>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</si>
  <si>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</si>
  <si>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</si>
  <si>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</si>
  <si>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</si>
  <si>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</si>
  <si>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</si>
  <si>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</si>
  <si>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</si>
  <si>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2Q22</t>
  </si>
  <si>
    <t>3Q22</t>
  </si>
  <si>
    <t>4Q22</t>
  </si>
  <si>
    <t>2Q23</t>
    <phoneticPr fontId="20" type="noConversion"/>
  </si>
  <si>
    <t>1Q23</t>
    <phoneticPr fontId="20" type="noConversion"/>
  </si>
  <si>
    <t>1H23</t>
    <phoneticPr fontId="20" type="noConversion"/>
  </si>
  <si>
    <t>3Q22</t>
    <phoneticPr fontId="21" type="noConversion"/>
  </si>
  <si>
    <t>1Q22</t>
    <phoneticPr fontId="21" type="noConversion"/>
  </si>
  <si>
    <t>4Q22</t>
    <phoneticPr fontId="100" type="noConversion"/>
  </si>
  <si>
    <t>메리츠금융지주 연결 재무제표</t>
    <phoneticPr fontId="21" type="noConversion"/>
  </si>
  <si>
    <t>-</t>
  </si>
  <si>
    <t>1Q18</t>
    <phoneticPr fontId="20" type="noConversion"/>
  </si>
  <si>
    <t>2Q18</t>
    <phoneticPr fontId="20" type="noConversion"/>
  </si>
  <si>
    <t>3Q18</t>
    <phoneticPr fontId="20" type="noConversion"/>
  </si>
  <si>
    <t>4Q18</t>
    <phoneticPr fontId="20" type="noConversion"/>
  </si>
  <si>
    <t>1Q19</t>
    <phoneticPr fontId="20" type="noConversion"/>
  </si>
  <si>
    <t>2Q19</t>
    <phoneticPr fontId="20" type="noConversion"/>
  </si>
  <si>
    <t>3Q19</t>
    <phoneticPr fontId="20" type="noConversion"/>
  </si>
  <si>
    <t>4Q19</t>
    <phoneticPr fontId="20" type="noConversion"/>
  </si>
  <si>
    <t>1Q20</t>
    <phoneticPr fontId="20" type="noConversion"/>
  </si>
  <si>
    <t>2Q20</t>
    <phoneticPr fontId="20" type="noConversion"/>
  </si>
  <si>
    <t>3Q20</t>
    <phoneticPr fontId="20" type="noConversion"/>
  </si>
  <si>
    <t>4Q20</t>
    <phoneticPr fontId="20" type="noConversion"/>
  </si>
  <si>
    <t>1Q21</t>
    <phoneticPr fontId="20" type="noConversion"/>
  </si>
  <si>
    <t>2Q21</t>
    <phoneticPr fontId="20" type="noConversion"/>
  </si>
  <si>
    <t>3Q21</t>
    <phoneticPr fontId="20" type="noConversion"/>
  </si>
  <si>
    <t>4Q21</t>
    <phoneticPr fontId="20" type="noConversion"/>
  </si>
  <si>
    <t>1Q22</t>
    <phoneticPr fontId="21" type="noConversion"/>
  </si>
  <si>
    <t>2Q22</t>
    <phoneticPr fontId="21" type="noConversion"/>
  </si>
  <si>
    <t>3Q22</t>
    <phoneticPr fontId="21" type="noConversion"/>
  </si>
  <si>
    <t>1Q23</t>
    <phoneticPr fontId="20" type="noConversion"/>
  </si>
  <si>
    <t>2Q23</t>
    <phoneticPr fontId="20" type="noConversion"/>
  </si>
  <si>
    <t>(단위:원)</t>
    <phoneticPr fontId="21" type="noConversion"/>
  </si>
  <si>
    <t>누적 (단위:억원)</t>
    <phoneticPr fontId="100" type="noConversion"/>
  </si>
  <si>
    <t>1H22</t>
    <phoneticPr fontId="21" type="noConversion"/>
  </si>
  <si>
    <t xml:space="preserve"> 분기 (단위:억원)</t>
    <phoneticPr fontId="100" type="noConversion"/>
  </si>
  <si>
    <t>1H23</t>
    <phoneticPr fontId="21" type="noConversion"/>
  </si>
  <si>
    <t xml:space="preserve">     보험계약 및 재보험계약 관련 금융손익</t>
    <phoneticPr fontId="104" type="noConversion"/>
  </si>
  <si>
    <t>주) 22년부터 K-IFRS17 전환 기준</t>
    <phoneticPr fontId="21" type="noConversion"/>
  </si>
  <si>
    <t xml:space="preserve">  </t>
    <phoneticPr fontId="20" type="noConversion"/>
  </si>
  <si>
    <t xml:space="preserve">                       </t>
    <phoneticPr fontId="20" type="noConversion"/>
  </si>
  <si>
    <t>주) 22.4Q까지 RBC 기준, 23.1Q부터 K-ICS 기준으로, 금리 민감액 매칭율 (국채금리가 1bp(0.01%) 변동시 자산및 부채 가치변동액)</t>
    <phoneticPr fontId="20" type="noConversion"/>
  </si>
  <si>
    <t>2Q23</t>
    <phoneticPr fontId="21" type="noConversion"/>
  </si>
  <si>
    <t>3Q23</t>
    <phoneticPr fontId="21" type="noConversion"/>
  </si>
  <si>
    <t>3Q23</t>
  </si>
  <si>
    <t>3Q23</t>
    <phoneticPr fontId="20" type="noConversion"/>
  </si>
  <si>
    <t>4Q18</t>
  </si>
  <si>
    <t>3. 기타자본잉여금</t>
    <phoneticPr fontId="101" type="noConversion"/>
  </si>
  <si>
    <t>*12개월 평균</t>
    <phoneticPr fontId="20" type="noConversion"/>
  </si>
  <si>
    <t>1H18</t>
    <phoneticPr fontId="20" type="noConversion"/>
  </si>
  <si>
    <t>1H20</t>
    <phoneticPr fontId="20" type="noConversion"/>
  </si>
  <si>
    <t>1H21</t>
    <phoneticPr fontId="20" type="noConversion"/>
  </si>
  <si>
    <t>1H22</t>
    <phoneticPr fontId="20" type="noConversion"/>
  </si>
  <si>
    <t>1H23</t>
    <phoneticPr fontId="20" type="noConversion"/>
  </si>
  <si>
    <t>IV. 기타포괄손익-공정가치측정금융자산</t>
    <phoneticPr fontId="104" type="noConversion"/>
  </si>
  <si>
    <t>메리츠금융지주 연결 재무상태표</t>
    <phoneticPr fontId="21" type="noConversion"/>
  </si>
  <si>
    <t>누적</t>
    <phoneticPr fontId="21" type="noConversion"/>
  </si>
  <si>
    <t>4Q23</t>
    <phoneticPr fontId="20" type="noConversion"/>
  </si>
  <si>
    <t xml:space="preserve"> 1. 보험영업수익</t>
  </si>
  <si>
    <t xml:space="preserve"> 2. 재보험영업수익</t>
  </si>
  <si>
    <t xml:space="preserve"> 3. 이자수익</t>
  </si>
  <si>
    <t xml:space="preserve"> 4. 수수료수익</t>
  </si>
  <si>
    <t xml:space="preserve"> 5. 배당금수익</t>
  </si>
  <si>
    <t xml:space="preserve"> 6. 금융상품투자수익</t>
  </si>
  <si>
    <t xml:space="preserve"> 7. 보험금융수익</t>
  </si>
  <si>
    <t xml:space="preserve"> 8. 리스관련수익</t>
  </si>
  <si>
    <t xml:space="preserve"> 9. 기타영업수익</t>
  </si>
  <si>
    <t xml:space="preserve"> 1. 보험영업비용</t>
  </si>
  <si>
    <t xml:space="preserve"> 2. 재보험영업비용</t>
  </si>
  <si>
    <t xml:space="preserve"> 3. 기타보험사업비용</t>
  </si>
  <si>
    <t xml:space="preserve"> 3. 이자비용</t>
  </si>
  <si>
    <t xml:space="preserve"> 4. 수수료비용</t>
  </si>
  <si>
    <t xml:space="preserve"> 5. 금융상품투자비용</t>
  </si>
  <si>
    <t xml:space="preserve"> 6. 보험금융비용</t>
  </si>
  <si>
    <t xml:space="preserve"> 5. 리스관련비용</t>
  </si>
  <si>
    <t xml:space="preserve"> 6. 판매비와 관리비</t>
  </si>
  <si>
    <t xml:space="preserve"> 7. 기타영업비용</t>
  </si>
  <si>
    <t xml:space="preserve"> 1. 지배주주지분순이익</t>
    <phoneticPr fontId="138" type="noConversion"/>
  </si>
  <si>
    <t xml:space="preserve"> 2. 비지배지분순이익</t>
    <phoneticPr fontId="138" type="noConversion"/>
  </si>
  <si>
    <t xml:space="preserve"> 1. 지배주주지분총포괄손익</t>
    <phoneticPr fontId="138" type="noConversion"/>
  </si>
  <si>
    <t xml:space="preserve"> 2. 비지배지분총포괄손익</t>
    <phoneticPr fontId="138" type="noConversion"/>
  </si>
  <si>
    <t>메리츠화재 재무상태표</t>
    <phoneticPr fontId="21" type="noConversion"/>
  </si>
  <si>
    <t>4Q23</t>
    <phoneticPr fontId="20" type="noConversion"/>
  </si>
  <si>
    <t>4Q23</t>
    <phoneticPr fontId="20" type="noConversion"/>
  </si>
  <si>
    <t>3Q23</t>
    <phoneticPr fontId="21" type="noConversion"/>
  </si>
  <si>
    <t>1H23</t>
    <phoneticPr fontId="21" type="noConversion"/>
  </si>
  <si>
    <t>3Q22</t>
    <phoneticPr fontId="21" type="noConversion"/>
  </si>
  <si>
    <t>1H22</t>
    <phoneticPr fontId="21" type="noConversion"/>
  </si>
  <si>
    <t>1Q22</t>
    <phoneticPr fontId="21" type="noConversion"/>
  </si>
  <si>
    <t>4Q23</t>
    <phoneticPr fontId="21" type="noConversion"/>
  </si>
  <si>
    <t>4Q22</t>
    <phoneticPr fontId="21" type="noConversion"/>
  </si>
  <si>
    <t>4Q23</t>
    <phoneticPr fontId="20" type="noConversion"/>
  </si>
  <si>
    <t>3Q23</t>
    <phoneticPr fontId="20" type="noConversion"/>
  </si>
  <si>
    <t>YoY</t>
    <phoneticPr fontId="138" type="noConversion"/>
  </si>
  <si>
    <t xml:space="preserve"> </t>
    <phoneticPr fontId="138" type="noConversion"/>
  </si>
  <si>
    <t>1Q</t>
  </si>
  <si>
    <t>2Q</t>
  </si>
  <si>
    <t>3Q</t>
  </si>
  <si>
    <t>4Q</t>
  </si>
  <si>
    <t xml:space="preserve"> </t>
    <phoneticPr fontId="138" type="noConversion"/>
  </si>
  <si>
    <t>YTD</t>
    <phoneticPr fontId="20" type="noConversion"/>
  </si>
  <si>
    <t xml:space="preserve"> 신계약 CSM</t>
    <phoneticPr fontId="141" type="noConversion"/>
  </si>
  <si>
    <t xml:space="preserve"> CSM 상각</t>
    <phoneticPr fontId="20" type="noConversion"/>
  </si>
  <si>
    <t xml:space="preserve"> 기말 CSM</t>
    <phoneticPr fontId="141" type="noConversion"/>
  </si>
  <si>
    <t>신계약 CSM</t>
    <phoneticPr fontId="138" type="noConversion"/>
  </si>
  <si>
    <t xml:space="preserve"> 인보험</t>
    <phoneticPr fontId="141" type="noConversion"/>
  </si>
  <si>
    <t xml:space="preserve"> 물보험</t>
    <phoneticPr fontId="141" type="noConversion"/>
  </si>
  <si>
    <t xml:space="preserve"> 저축성</t>
    <phoneticPr fontId="141" type="noConversion"/>
  </si>
  <si>
    <t xml:space="preserve"> 합계</t>
    <phoneticPr fontId="141" type="noConversion"/>
  </si>
  <si>
    <t>신계약 CSM 배수</t>
    <phoneticPr fontId="138" type="noConversion"/>
  </si>
  <si>
    <t>인보험</t>
    <phoneticPr fontId="141" type="noConversion"/>
  </si>
  <si>
    <t>물보험</t>
    <phoneticPr fontId="141" type="noConversion"/>
  </si>
  <si>
    <t xml:space="preserve"> 합계</t>
    <phoneticPr fontId="141" type="noConversion"/>
  </si>
  <si>
    <t xml:space="preserve"> 신계약 CSM</t>
  </si>
  <si>
    <t xml:space="preserve"> 보유계약 CSM</t>
  </si>
  <si>
    <t xml:space="preserve"> 계</t>
  </si>
  <si>
    <t>기시 CSM</t>
    <phoneticPr fontId="141" type="noConversion"/>
  </si>
  <si>
    <t xml:space="preserve"> 이자비용</t>
    <phoneticPr fontId="141" type="noConversion"/>
  </si>
  <si>
    <r>
      <t xml:space="preserve"> 보장성 </t>
    </r>
    <r>
      <rPr>
        <vertAlign val="superscript"/>
        <sz val="10"/>
        <rFont val="맑은 고딕"/>
        <family val="3"/>
        <charset val="129"/>
        <scheme val="minor"/>
      </rPr>
      <t xml:space="preserve"> </t>
    </r>
    <phoneticPr fontId="141" type="noConversion"/>
  </si>
  <si>
    <t>CSM Movement</t>
    <phoneticPr fontId="138" type="noConversion"/>
  </si>
  <si>
    <t>CSM 상각액</t>
    <phoneticPr fontId="138" type="noConversion"/>
  </si>
  <si>
    <t>2023</t>
    <phoneticPr fontId="138" type="noConversion"/>
  </si>
  <si>
    <t>2022</t>
    <phoneticPr fontId="138" type="noConversion"/>
  </si>
  <si>
    <t>(단위:배)</t>
    <phoneticPr fontId="21" type="noConversion"/>
  </si>
  <si>
    <t>(단위:억원)</t>
    <phoneticPr fontId="21" type="noConversion"/>
  </si>
  <si>
    <t xml:space="preserve"> 주) 원수보험 기준</t>
    <phoneticPr fontId="138" type="noConversion"/>
  </si>
  <si>
    <t xml:space="preserve"> 경험조정 등</t>
    <phoneticPr fontId="141" type="noConversion"/>
  </si>
  <si>
    <t>연금/저축</t>
    <phoneticPr fontId="141" type="noConversion"/>
  </si>
  <si>
    <t xml:space="preserve"> 3. 미지급법인세</t>
    <phoneticPr fontId="100" type="noConversion"/>
  </si>
  <si>
    <t>주) 2022년부터 K-IFRS17 기준, 감독목적 기준</t>
    <phoneticPr fontId="100" type="noConversion"/>
  </si>
  <si>
    <t>주) 2022년부터 IFRS17 기준, 감독목적 기준</t>
    <phoneticPr fontId="100" type="noConversion"/>
  </si>
  <si>
    <t xml:space="preserve">1Q23 </t>
  </si>
  <si>
    <t xml:space="preserve">3Q22 </t>
  </si>
  <si>
    <t xml:space="preserve">1Q22 </t>
  </si>
  <si>
    <t>3Q23</t>
    <phoneticPr fontId="100" type="noConversion"/>
  </si>
  <si>
    <t>1Q22</t>
    <phoneticPr fontId="100" type="noConversion"/>
  </si>
  <si>
    <t>3Q22</t>
    <phoneticPr fontId="100" type="noConversion"/>
  </si>
  <si>
    <t>1Q23</t>
    <phoneticPr fontId="21" type="noConversion"/>
  </si>
  <si>
    <t>3Q23</t>
    <phoneticPr fontId="21" type="noConversion"/>
  </si>
  <si>
    <t>1Q24</t>
    <phoneticPr fontId="21" type="noConversion"/>
  </si>
  <si>
    <t>1Q24</t>
    <phoneticPr fontId="100" type="noConversion"/>
  </si>
  <si>
    <t>1Q24</t>
    <phoneticPr fontId="21" type="noConversion"/>
  </si>
  <si>
    <t>1Q24</t>
    <phoneticPr fontId="20" type="noConversion"/>
  </si>
  <si>
    <t>4Q23</t>
  </si>
  <si>
    <t xml:space="preserve">주) 2018년 부터는 K-IFRS 9 기준, 2023.1Q부터는 K-IFRS 17 기준 </t>
    <phoneticPr fontId="21" type="noConversion"/>
  </si>
  <si>
    <t>메리츠화재 손해율</t>
    <phoneticPr fontId="20" type="noConversion"/>
  </si>
  <si>
    <t>주) K-IFRS 4기준 지표, 장기는 원수위험손해율 기준</t>
    <phoneticPr fontId="21" type="noConversion"/>
  </si>
  <si>
    <t>일반 손해율</t>
    <phoneticPr fontId="20" type="noConversion"/>
  </si>
  <si>
    <t>자동차 손해율</t>
    <phoneticPr fontId="20" type="noConversion"/>
  </si>
  <si>
    <t>장기 위험 손해율</t>
    <phoneticPr fontId="20" type="noConversion"/>
  </si>
  <si>
    <t xml:space="preserve"> 누적 (단위:원)</t>
    <phoneticPr fontId="21" type="noConversion"/>
  </si>
  <si>
    <t>CSM상각</t>
    <phoneticPr fontId="21" type="noConversion"/>
  </si>
  <si>
    <t>RA(위험조정변동)</t>
    <phoneticPr fontId="21" type="noConversion"/>
  </si>
  <si>
    <t>예실차 등</t>
    <phoneticPr fontId="21" type="noConversion"/>
  </si>
  <si>
    <t>투자이익</t>
    <phoneticPr fontId="21" type="noConversion"/>
  </si>
  <si>
    <t>보험금융손익</t>
    <phoneticPr fontId="21" type="noConversion"/>
  </si>
  <si>
    <t>분기 (단위:억원)</t>
    <phoneticPr fontId="21" type="noConversion"/>
  </si>
  <si>
    <t>자동차손익</t>
    <phoneticPr fontId="21" type="noConversion"/>
  </si>
  <si>
    <t>일반손익</t>
    <phoneticPr fontId="21" type="noConversion"/>
  </si>
  <si>
    <t xml:space="preserve"> 투자손익</t>
    <phoneticPr fontId="21" type="noConversion"/>
  </si>
  <si>
    <t>세전이익</t>
    <phoneticPr fontId="21" type="noConversion"/>
  </si>
  <si>
    <t>법인세</t>
    <phoneticPr fontId="21" type="noConversion"/>
  </si>
  <si>
    <t>당기순이익</t>
    <phoneticPr fontId="21" type="noConversion"/>
  </si>
  <si>
    <t>CSM 상각</t>
    <phoneticPr fontId="21" type="noConversion"/>
  </si>
  <si>
    <t>RA(위험조정변동)</t>
    <phoneticPr fontId="21" type="noConversion"/>
  </si>
  <si>
    <t>예실차 등</t>
    <phoneticPr fontId="21" type="noConversion"/>
  </si>
  <si>
    <t>투자이익</t>
    <phoneticPr fontId="21" type="noConversion"/>
  </si>
  <si>
    <t>3. 처분전이익잉여금(처리전결손금)</t>
    <phoneticPr fontId="101" type="noConversion"/>
  </si>
  <si>
    <t>비상위험준비금</t>
    <phoneticPr fontId="20" type="noConversion"/>
  </si>
  <si>
    <t>해약환급금준비금</t>
    <phoneticPr fontId="20" type="noConversion"/>
  </si>
  <si>
    <t>기타</t>
    <phoneticPr fontId="20" type="noConversion"/>
  </si>
  <si>
    <t>메리츠화재 Contractual Service Margin (CSM)</t>
    <phoneticPr fontId="21" type="noConversion"/>
  </si>
  <si>
    <t>2Q23</t>
    <phoneticPr fontId="20" type="noConversion"/>
  </si>
  <si>
    <t>인보험</t>
    <phoneticPr fontId="20" type="noConversion"/>
  </si>
  <si>
    <t>인보험</t>
    <phoneticPr fontId="20" type="noConversion"/>
  </si>
  <si>
    <t>가. 임차보증금</t>
    <phoneticPr fontId="101" type="noConversion"/>
  </si>
  <si>
    <t>다.공탁금</t>
    <phoneticPr fontId="101" type="noConversion"/>
  </si>
  <si>
    <t>주) 22.4Q까지 RBC 기준, 23.1Q부터 K-ICS 기준</t>
    <phoneticPr fontId="20" type="noConversion"/>
  </si>
  <si>
    <t>주1) 2023/2/1 메리츠화재 &amp; 2023/4/5일 메리츠증권 포괄적 주식교환 완료</t>
    <phoneticPr fontId="21" type="noConversion"/>
  </si>
  <si>
    <t>2Q</t>
    <phoneticPr fontId="21" type="noConversion"/>
  </si>
  <si>
    <t>1Q24</t>
    <phoneticPr fontId="20" type="noConversion"/>
  </si>
  <si>
    <t>1Q24</t>
    <phoneticPr fontId="20" type="noConversion"/>
  </si>
  <si>
    <t>2Q24</t>
    <phoneticPr fontId="20" type="noConversion"/>
  </si>
  <si>
    <t>2Q24</t>
    <phoneticPr fontId="21" type="noConversion"/>
  </si>
  <si>
    <t xml:space="preserve">카.관계·종속기업투자주식손상차손 </t>
    <phoneticPr fontId="21" type="noConversion"/>
  </si>
  <si>
    <t>1H24</t>
    <phoneticPr fontId="21" type="noConversion"/>
  </si>
  <si>
    <t>1H24</t>
    <phoneticPr fontId="21" type="noConversion"/>
  </si>
  <si>
    <t>1H24</t>
    <phoneticPr fontId="20" type="noConversion"/>
  </si>
  <si>
    <t>1H22</t>
    <phoneticPr fontId="21" type="noConversion"/>
  </si>
  <si>
    <t>3Q22</t>
    <phoneticPr fontId="21" type="noConversion"/>
  </si>
  <si>
    <t>1Q23</t>
    <phoneticPr fontId="21" type="noConversion"/>
  </si>
  <si>
    <t>1H23</t>
    <phoneticPr fontId="21" type="noConversion"/>
  </si>
  <si>
    <t>3Q23</t>
    <phoneticPr fontId="21" type="noConversion"/>
  </si>
  <si>
    <t>1Q24</t>
    <phoneticPr fontId="21" type="noConversion"/>
  </si>
  <si>
    <t>메리츠금융지주 연결 포괄손익계산서</t>
    <phoneticPr fontId="21" type="noConversion"/>
  </si>
  <si>
    <t>(단위:원)</t>
    <phoneticPr fontId="100" type="noConversion"/>
  </si>
  <si>
    <t>(단위:억원)</t>
    <phoneticPr fontId="100" type="noConversion"/>
  </si>
  <si>
    <t>1H24</t>
    <phoneticPr fontId="21" type="noConversion"/>
  </si>
  <si>
    <t>3Q24</t>
    <phoneticPr fontId="21" type="noConversion"/>
  </si>
  <si>
    <t>3Q24</t>
    <phoneticPr fontId="21" type="noConversion"/>
  </si>
  <si>
    <t>3Q24</t>
    <phoneticPr fontId="20" type="noConversion"/>
  </si>
  <si>
    <t>2Q24</t>
    <phoneticPr fontId="20" type="noConversion"/>
  </si>
  <si>
    <t>1H24</t>
    <phoneticPr fontId="20" type="noConversion"/>
  </si>
  <si>
    <t>3Q24</t>
    <phoneticPr fontId="20" type="noConversion"/>
  </si>
  <si>
    <t>2Q24</t>
    <phoneticPr fontId="20" type="noConversion"/>
  </si>
  <si>
    <t>3Q</t>
    <phoneticPr fontId="21" type="noConversion"/>
  </si>
  <si>
    <t>YoY</t>
    <phoneticPr fontId="20" type="noConversion"/>
  </si>
  <si>
    <t xml:space="preserve"> 대출채권</t>
    <phoneticPr fontId="20" type="noConversion"/>
  </si>
  <si>
    <t>3Q24</t>
    <phoneticPr fontId="21" type="noConversion"/>
  </si>
  <si>
    <t>4Q24</t>
    <phoneticPr fontId="21" type="noConversion"/>
  </si>
  <si>
    <t>3Q24</t>
    <phoneticPr fontId="100" type="noConversion"/>
  </si>
  <si>
    <t>3Q24</t>
  </si>
  <si>
    <t>1H24</t>
  </si>
  <si>
    <t>1Q24</t>
  </si>
  <si>
    <t>1H23</t>
  </si>
  <si>
    <t>1H22</t>
  </si>
  <si>
    <t>3Q24</t>
    <phoneticPr fontId="21" type="noConversion"/>
  </si>
  <si>
    <t>4Q</t>
    <phoneticPr fontId="21" type="noConversion"/>
  </si>
  <si>
    <t>3Q24</t>
    <phoneticPr fontId="20" type="noConversion"/>
  </si>
  <si>
    <t>4Q24</t>
    <phoneticPr fontId="20" type="noConversion"/>
  </si>
  <si>
    <t>3Q24</t>
    <phoneticPr fontId="20" type="noConversion"/>
  </si>
  <si>
    <t>3Q24</t>
    <phoneticPr fontId="20" type="noConversion"/>
  </si>
  <si>
    <t>3Q24</t>
    <phoneticPr fontId="20" type="noConversion"/>
  </si>
  <si>
    <t>1Q25</t>
    <phoneticPr fontId="21" type="noConversion"/>
  </si>
  <si>
    <t>1Q25</t>
    <phoneticPr fontId="100" type="noConversion"/>
  </si>
  <si>
    <t>1Q25</t>
    <phoneticPr fontId="21" type="noConversion"/>
  </si>
  <si>
    <t>1Q25</t>
    <phoneticPr fontId="20" type="noConversion"/>
  </si>
  <si>
    <t>4Q24</t>
    <phoneticPr fontId="20" type="noConversion"/>
  </si>
  <si>
    <t>-</t>
    <phoneticPr fontId="20" type="noConversion"/>
  </si>
  <si>
    <t>-</t>
    <phoneticPr fontId="20" type="noConversion"/>
  </si>
  <si>
    <t>4Q24</t>
    <phoneticPr fontId="20" type="noConversion"/>
  </si>
  <si>
    <t>-</t>
    <phoneticPr fontId="20" type="noConversion"/>
  </si>
  <si>
    <t>1Q25</t>
    <phoneticPr fontId="21" type="noConversion"/>
  </si>
  <si>
    <t xml:space="preserve">      </t>
    <phoneticPr fontId="138" type="noConversion"/>
  </si>
  <si>
    <t>월평균</t>
    <phoneticPr fontId="20" type="noConversion"/>
  </si>
  <si>
    <t>누계</t>
    <phoneticPr fontId="20" type="noConversion"/>
  </si>
  <si>
    <t>1Q25</t>
    <phoneticPr fontId="20" type="noConversion"/>
  </si>
  <si>
    <t>4Q24</t>
    <phoneticPr fontId="20" type="noConversion"/>
  </si>
  <si>
    <t>4Q24</t>
    <phoneticPr fontId="20" type="noConversion"/>
  </si>
  <si>
    <t>YTD</t>
    <phoneticPr fontId="20" type="noConversion"/>
  </si>
  <si>
    <t>YTD</t>
    <phoneticPr fontId="20" type="noConversion"/>
  </si>
  <si>
    <t xml:space="preserve"> 자산총계</t>
    <phoneticPr fontId="100" type="noConversion"/>
  </si>
  <si>
    <t>1H25</t>
    <phoneticPr fontId="21" type="noConversion"/>
  </si>
  <si>
    <t>2Q25</t>
    <phoneticPr fontId="20" type="noConversion"/>
  </si>
  <si>
    <t>1H25</t>
    <phoneticPr fontId="138" type="noConversion"/>
  </si>
  <si>
    <t xml:space="preserve">1H22 </t>
  </si>
  <si>
    <t>1H24</t>
    <phoneticPr fontId="138" type="noConversion"/>
  </si>
  <si>
    <t>1H25</t>
    <phoneticPr fontId="21" type="noConversion"/>
  </si>
  <si>
    <t>1H25</t>
    <phoneticPr fontId="20" type="noConversion"/>
  </si>
  <si>
    <t>1H24</t>
    <phoneticPr fontId="21" type="noConversion"/>
  </si>
  <si>
    <t>메리츠화재 손익계산서</t>
    <phoneticPr fontId="21" type="noConversion"/>
  </si>
  <si>
    <t>3Q25</t>
    <phoneticPr fontId="21" type="noConversion"/>
  </si>
  <si>
    <t>2Q25</t>
    <phoneticPr fontId="21" type="noConversion"/>
  </si>
  <si>
    <t>3Q25</t>
    <phoneticPr fontId="20" type="noConversion"/>
  </si>
  <si>
    <t>1H25</t>
    <phoneticPr fontId="100" type="noConversion"/>
  </si>
  <si>
    <t>3Q25</t>
    <phoneticPr fontId="100" type="noConversion"/>
  </si>
  <si>
    <t>(5) 기타예금</t>
    <phoneticPr fontId="101" type="noConversion"/>
  </si>
  <si>
    <t>(4) 정기예금</t>
    <phoneticPr fontId="101" type="noConversion"/>
  </si>
  <si>
    <t>3Q25</t>
    <phoneticPr fontId="20" type="noConversion"/>
  </si>
  <si>
    <t>3Q25</t>
    <phoneticPr fontId="138" type="noConversion"/>
  </si>
  <si>
    <t>3Q24</t>
    <phoneticPr fontId="138" type="noConversion"/>
  </si>
  <si>
    <t>4Q25</t>
    <phoneticPr fontId="20" type="noConversion"/>
  </si>
  <si>
    <t>4Q25</t>
    <phoneticPr fontId="21" type="noConversion"/>
  </si>
  <si>
    <t>주2) ROE : 당기순이익은 지배기업 소유주 지분 기준, 자기자본의 경우 기초 및 매 분기말 잔액을 단순평균하여 산출 기준으로 변경 (지배자본 기준)</t>
    <phoneticPr fontId="21" type="noConversion"/>
  </si>
  <si>
    <t>1Q26</t>
    <phoneticPr fontId="21" type="noConversion"/>
  </si>
  <si>
    <t>1Q26</t>
    <phoneticPr fontId="20" type="noConversion"/>
  </si>
  <si>
    <t>1R22</t>
  </si>
  <si>
    <t>3R22</t>
  </si>
  <si>
    <t>1R23</t>
  </si>
  <si>
    <t>3R23</t>
  </si>
  <si>
    <t>1R24</t>
  </si>
  <si>
    <t>3R24</t>
  </si>
  <si>
    <t>분기 투자이익율</t>
    <phoneticPr fontId="20" type="noConversion"/>
  </si>
  <si>
    <t>1Q26</t>
  </si>
  <si>
    <t>3Q25</t>
  </si>
  <si>
    <t>3Q25</t>
    <phoneticPr fontId="21" type="noConversion"/>
  </si>
  <si>
    <t>분기 투자이익율*</t>
    <phoneticPr fontId="20" type="noConversion"/>
  </si>
  <si>
    <r>
      <t>누적 투자이익율</t>
    </r>
    <r>
      <rPr>
        <sz val="8"/>
        <rFont val="맑은 고딕"/>
        <family val="3"/>
        <charset val="129"/>
      </rPr>
      <t>*</t>
    </r>
    <phoneticPr fontId="20" type="noConversion"/>
  </si>
  <si>
    <t>1Q25</t>
  </si>
  <si>
    <t>2Q23</t>
  </si>
  <si>
    <t>2Q24</t>
  </si>
  <si>
    <t>4Q24</t>
  </si>
  <si>
    <t>2Q25</t>
  </si>
  <si>
    <t>4Q25</t>
  </si>
  <si>
    <t>* GIC 퇴직연금 비용 제외 기준</t>
    <phoneticPr fontId="21" type="noConversion"/>
  </si>
  <si>
    <t>1H25</t>
  </si>
  <si>
    <t>YTD</t>
  </si>
  <si>
    <t>-</t>
    <phoneticPr fontId="21" type="noConversion"/>
  </si>
  <si>
    <t>1Q22</t>
    <phoneticPr fontId="21" type="noConversion"/>
  </si>
  <si>
    <t>II. 기타부채</t>
  </si>
  <si>
    <t>1H26</t>
    <phoneticPr fontId="21" type="noConversion"/>
  </si>
  <si>
    <t>2Q26</t>
    <phoneticPr fontId="21" type="noConversion"/>
  </si>
  <si>
    <t>1H26</t>
  </si>
  <si>
    <t>2Q</t>
    <phoneticPr fontId="20" type="noConversion"/>
  </si>
  <si>
    <t>1H26
YTD</t>
    <phoneticPr fontId="138" type="noConversion"/>
  </si>
  <si>
    <t>-</t>
    <phoneticPr fontId="21" type="noConversion"/>
  </si>
  <si>
    <t>1H26</t>
    <phoneticPr fontId="20" type="noConversion"/>
  </si>
  <si>
    <t>2Q26</t>
    <phoneticPr fontId="20" type="noConversion"/>
  </si>
  <si>
    <t>주1)2Q26 K-ICS 는 잠정치</t>
    <phoneticPr fontId="20" type="noConversion"/>
  </si>
  <si>
    <t>1H26</t>
    <phoneticPr fontId="100" type="noConversion"/>
  </si>
  <si>
    <t>러.부동산처분이익</t>
  </si>
  <si>
    <t>더.부동산처분손실</t>
  </si>
  <si>
    <r>
      <t>메리츠증권 주요 영업지표</t>
    </r>
    <r>
      <rPr>
        <b/>
        <sz val="10"/>
        <color theme="1" tint="0.14999847407452621"/>
        <rFont val="맑은 고딕"/>
        <family val="3"/>
        <charset val="129"/>
        <scheme val="minor"/>
      </rPr>
      <t>(별도기준)</t>
    </r>
    <phoneticPr fontId="100" type="noConversion"/>
  </si>
  <si>
    <t>(단위: 별도 표기 외 억원)</t>
    <phoneticPr fontId="21" type="noConversion"/>
  </si>
  <si>
    <t>1Q17</t>
  </si>
  <si>
    <t>2Q17</t>
  </si>
  <si>
    <t>3Q17</t>
  </si>
  <si>
    <t>4Q17</t>
  </si>
  <si>
    <t>2Q26</t>
  </si>
  <si>
    <t>QoQ</t>
    <phoneticPr fontId="21" type="noConversion"/>
  </si>
  <si>
    <t xml:space="preserve"> </t>
    <phoneticPr fontId="21" type="noConversion"/>
  </si>
  <si>
    <t>시장 일평균거래대금(코스피+코스닥)</t>
    <phoneticPr fontId="21" type="noConversion"/>
  </si>
  <si>
    <r>
      <t>시장 일평균 전체 거래대금</t>
    </r>
    <r>
      <rPr>
        <sz val="8"/>
        <color rgb="FF262626"/>
        <rFont val="맑은 고딕"/>
        <family val="3"/>
        <charset val="129"/>
        <scheme val="minor"/>
      </rPr>
      <t>(조원)</t>
    </r>
    <phoneticPr fontId="21" type="noConversion"/>
  </si>
  <si>
    <r>
      <t>시장 일평균 개인 거래대금</t>
    </r>
    <r>
      <rPr>
        <sz val="8"/>
        <color rgb="FF262626"/>
        <rFont val="맑은 고딕"/>
        <family val="3"/>
        <charset val="129"/>
        <scheme val="minor"/>
      </rPr>
      <t>(조원)</t>
    </r>
    <phoneticPr fontId="21" type="noConversion"/>
  </si>
  <si>
    <t>리테일 고객수 및 자산</t>
    <phoneticPr fontId="138" type="noConversion"/>
  </si>
  <si>
    <r>
      <t>고객수</t>
    </r>
    <r>
      <rPr>
        <sz val="8"/>
        <color rgb="FF262626"/>
        <rFont val="맑은 고딕"/>
        <family val="3"/>
        <charset val="129"/>
        <scheme val="minor"/>
      </rPr>
      <t>(명)</t>
    </r>
    <phoneticPr fontId="21" type="noConversion"/>
  </si>
  <si>
    <t>고객 자산</t>
    <phoneticPr fontId="100" type="noConversion"/>
  </si>
  <si>
    <t>리테일 고객 예탁자산</t>
    <phoneticPr fontId="100" type="noConversion"/>
  </si>
  <si>
    <t>주식자산 등</t>
    <phoneticPr fontId="21" type="noConversion"/>
  </si>
  <si>
    <t>금융상품자산</t>
    <phoneticPr fontId="21" type="noConversion"/>
  </si>
  <si>
    <t>소계</t>
    <phoneticPr fontId="100" type="noConversion"/>
  </si>
  <si>
    <t>리테일 WM 잔고</t>
    <phoneticPr fontId="100" type="noConversion"/>
  </si>
  <si>
    <t>집합투자증권</t>
    <phoneticPr fontId="21" type="noConversion"/>
  </si>
  <si>
    <t>랩어카운트</t>
    <phoneticPr fontId="21" type="noConversion"/>
  </si>
  <si>
    <t>신탁/연금</t>
    <phoneticPr fontId="21" type="noConversion"/>
  </si>
  <si>
    <t>ELS/DLS</t>
    <phoneticPr fontId="21" type="noConversion"/>
  </si>
  <si>
    <t>RP</t>
    <phoneticPr fontId="21" type="noConversion"/>
  </si>
  <si>
    <t>채권/CP</t>
    <phoneticPr fontId="21" type="noConversion"/>
  </si>
  <si>
    <t>종금CMA/발행어음</t>
    <phoneticPr fontId="21" type="noConversion"/>
  </si>
  <si>
    <t>MMW형 CMA</t>
    <phoneticPr fontId="21" type="noConversion"/>
  </si>
  <si>
    <t>금융수지 포트폴리오</t>
    <phoneticPr fontId="100" type="noConversion"/>
  </si>
  <si>
    <t>대출금 등</t>
    <phoneticPr fontId="21" type="noConversion"/>
  </si>
  <si>
    <t>RP매수</t>
    <phoneticPr fontId="21" type="noConversion"/>
  </si>
  <si>
    <t>신용공여금</t>
    <phoneticPr fontId="21" type="noConversion"/>
  </si>
  <si>
    <t>기타</t>
    <phoneticPr fontId="21" type="noConversion"/>
  </si>
  <si>
    <t>CMA 발행어음</t>
    <phoneticPr fontId="100" type="noConversion"/>
  </si>
  <si>
    <t>우발채무</t>
    <phoneticPr fontId="100" type="noConversion"/>
  </si>
  <si>
    <t>약정잔액</t>
    <phoneticPr fontId="21" type="noConversion"/>
  </si>
  <si>
    <t>자기자본</t>
    <phoneticPr fontId="21" type="noConversion"/>
  </si>
  <si>
    <t>약정잔액 비율</t>
    <phoneticPr fontId="21" type="noConversion"/>
  </si>
  <si>
    <t>운용자산 규모</t>
    <phoneticPr fontId="100" type="noConversion"/>
  </si>
  <si>
    <t>주식</t>
    <phoneticPr fontId="21" type="noConversion"/>
  </si>
  <si>
    <t>국공채</t>
    <phoneticPr fontId="21" type="noConversion"/>
  </si>
  <si>
    <t>특수채</t>
    <phoneticPr fontId="21" type="noConversion"/>
  </si>
  <si>
    <t>회사채</t>
    <phoneticPr fontId="21" type="noConversion"/>
  </si>
  <si>
    <t>기업어음증권</t>
    <phoneticPr fontId="21" type="noConversion"/>
  </si>
  <si>
    <t>전자단기사채 등</t>
    <phoneticPr fontId="21" type="noConversion"/>
  </si>
  <si>
    <t>RP매도 잔고</t>
    <phoneticPr fontId="100" type="noConversion"/>
  </si>
  <si>
    <t>ELS/DLS 발행 및 잔고</t>
    <phoneticPr fontId="100" type="noConversion"/>
  </si>
  <si>
    <t>ELS발행</t>
    <phoneticPr fontId="21" type="noConversion"/>
  </si>
  <si>
    <t>ELS잔고</t>
    <phoneticPr fontId="21" type="noConversion"/>
  </si>
  <si>
    <t>DLS발행</t>
    <phoneticPr fontId="21" type="noConversion"/>
  </si>
  <si>
    <t>DLS잔고</t>
    <phoneticPr fontId="21" type="noConversion"/>
  </si>
  <si>
    <t>리스크관리지표</t>
    <phoneticPr fontId="100" type="noConversion"/>
  </si>
  <si>
    <t>신NCR</t>
    <phoneticPr fontId="100" type="noConversion"/>
  </si>
  <si>
    <t>영업용순자본</t>
    <phoneticPr fontId="21" type="noConversion"/>
  </si>
  <si>
    <t>총위험</t>
    <phoneticPr fontId="21" type="noConversion"/>
  </si>
  <si>
    <t>필요자본</t>
    <phoneticPr fontId="21" type="noConversion"/>
  </si>
  <si>
    <t>레버리지비율</t>
    <phoneticPr fontId="100" type="noConversion"/>
  </si>
  <si>
    <t>조정자산</t>
    <phoneticPr fontId="21" type="noConversion"/>
  </si>
  <si>
    <t>조정자기자본</t>
    <phoneticPr fontId="21" type="noConversion"/>
  </si>
  <si>
    <t>자산건전성지표</t>
    <phoneticPr fontId="100" type="noConversion"/>
  </si>
  <si>
    <t>전체 대출채권</t>
    <phoneticPr fontId="100" type="noConversion"/>
  </si>
  <si>
    <t>정상</t>
    <phoneticPr fontId="21" type="noConversion"/>
  </si>
  <si>
    <t>요주의</t>
    <phoneticPr fontId="21" type="noConversion"/>
  </si>
  <si>
    <t>고정이하</t>
    <phoneticPr fontId="21" type="noConversion"/>
  </si>
  <si>
    <t>고정이하 비율</t>
    <phoneticPr fontId="21" type="noConversion"/>
  </si>
  <si>
    <t>대손충당금</t>
    <phoneticPr fontId="21" type="noConversion"/>
  </si>
  <si>
    <t>대손준비금</t>
    <phoneticPr fontId="21" type="noConversion"/>
  </si>
  <si>
    <r>
      <t>메리츠증권 요약 재무제표</t>
    </r>
    <r>
      <rPr>
        <b/>
        <sz val="10"/>
        <color theme="1" tint="0.14999847407452621"/>
        <rFont val="맑은 고딕"/>
        <family val="3"/>
        <charset val="129"/>
        <scheme val="minor"/>
      </rPr>
      <t>(별도기준; 연결기준은 별도 표기)</t>
    </r>
    <phoneticPr fontId="100" type="noConversion"/>
  </si>
  <si>
    <t>(단위: 억원)</t>
    <phoneticPr fontId="21" type="noConversion"/>
  </si>
  <si>
    <t>1Q14</t>
    <phoneticPr fontId="21" type="noConversion"/>
  </si>
  <si>
    <t>2Q14</t>
    <phoneticPr fontId="21" type="noConversion"/>
  </si>
  <si>
    <t>3Q14</t>
    <phoneticPr fontId="21" type="noConversion"/>
  </si>
  <si>
    <t>4Q14</t>
    <phoneticPr fontId="21" type="noConversion"/>
  </si>
  <si>
    <t>1Q15</t>
    <phoneticPr fontId="21" type="noConversion"/>
  </si>
  <si>
    <t>2Q15</t>
    <phoneticPr fontId="21" type="noConversion"/>
  </si>
  <si>
    <t>3Q15</t>
    <phoneticPr fontId="100" type="noConversion"/>
  </si>
  <si>
    <t>4Q15</t>
    <phoneticPr fontId="100" type="noConversion"/>
  </si>
  <si>
    <t>1Q16</t>
    <phoneticPr fontId="100" type="noConversion"/>
  </si>
  <si>
    <t>2Q16</t>
    <phoneticPr fontId="100" type="noConversion"/>
  </si>
  <si>
    <t>3Q16</t>
    <phoneticPr fontId="100" type="noConversion"/>
  </si>
  <si>
    <t>4Q16</t>
    <phoneticPr fontId="100" type="noConversion"/>
  </si>
  <si>
    <t>1Q17</t>
    <phoneticPr fontId="21" type="noConversion"/>
  </si>
  <si>
    <t>2Q17</t>
    <phoneticPr fontId="21" type="noConversion"/>
  </si>
  <si>
    <t>3Q17</t>
    <phoneticPr fontId="21" type="noConversion"/>
  </si>
  <si>
    <t>4Q17</t>
    <phoneticPr fontId="21" type="noConversion"/>
  </si>
  <si>
    <t xml:space="preserve">  </t>
  </si>
  <si>
    <t>순영업수익</t>
    <phoneticPr fontId="21" type="noConversion"/>
  </si>
  <si>
    <t>기업금융</t>
    <phoneticPr fontId="21" type="noConversion"/>
  </si>
  <si>
    <t>금융수지</t>
    <phoneticPr fontId="21" type="noConversion"/>
  </si>
  <si>
    <t>자산운용</t>
    <phoneticPr fontId="21" type="noConversion"/>
  </si>
  <si>
    <t>위탁매매</t>
    <phoneticPr fontId="21" type="noConversion"/>
  </si>
  <si>
    <t>자산관리</t>
    <phoneticPr fontId="21" type="noConversion"/>
  </si>
  <si>
    <r>
      <t>순영업수익</t>
    </r>
    <r>
      <rPr>
        <b/>
        <sz val="8"/>
        <color indexed="63"/>
        <rFont val="맑은 고딕"/>
        <family val="3"/>
        <charset val="129"/>
        <scheme val="minor"/>
      </rPr>
      <t>(사업부문별)</t>
    </r>
    <r>
      <rPr>
        <b/>
        <vertAlign val="superscript"/>
        <sz val="9"/>
        <color indexed="63"/>
        <rFont val="맑은 고딕"/>
        <family val="3"/>
        <charset val="129"/>
        <scheme val="minor"/>
      </rPr>
      <t>1)</t>
    </r>
    <phoneticPr fontId="21" type="noConversion"/>
  </si>
  <si>
    <t>Retail</t>
    <phoneticPr fontId="21" type="noConversion"/>
  </si>
  <si>
    <t>Trading</t>
    <phoneticPr fontId="21" type="noConversion"/>
  </si>
  <si>
    <t>Wholesale</t>
    <phoneticPr fontId="21" type="noConversion"/>
  </si>
  <si>
    <t>판매비와관리비</t>
  </si>
  <si>
    <t>인건비</t>
    <phoneticPr fontId="21" type="noConversion"/>
  </si>
  <si>
    <t>일반관리비</t>
  </si>
  <si>
    <t>감가상각비</t>
  </si>
  <si>
    <t>영업이익</t>
  </si>
  <si>
    <t>영업외손익</t>
  </si>
  <si>
    <t>세전이익</t>
  </si>
  <si>
    <t>당기순이익</t>
  </si>
  <si>
    <t>자산총계</t>
  </si>
  <si>
    <t>부채총계</t>
  </si>
  <si>
    <t>자본총계</t>
  </si>
  <si>
    <t>자본금</t>
  </si>
  <si>
    <r>
      <t>세전ROE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</si>
  <si>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t>세후ROE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</si>
  <si>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영업이익</t>
    </r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</si>
  <si>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영업외손익</t>
    </r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</si>
  <si>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세전이익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</si>
  <si>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당기순이익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</si>
  <si>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자산총계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</si>
  <si>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부채총계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</si>
  <si>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자본총계</t>
    </r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</si>
  <si>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자본금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</si>
  <si>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세전ROE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</si>
  <si>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세후ROE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</si>
  <si>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t>1) 관리회계 기준으로 각 사업부문의 수수료수익 및 비용, 이자손익 등이 포함되어 있음.</t>
    <phoneticPr fontId="21" type="noConversion"/>
  </si>
  <si>
    <t>2) 분기 ROE는 누적 연환산 당기순이익 기준</t>
    <phoneticPr fontId="21" type="noConversion"/>
  </si>
  <si>
    <r>
      <t>메리츠증권 연결 재무상태표</t>
    </r>
    <r>
      <rPr>
        <b/>
        <sz val="11"/>
        <color theme="1" tint="0.14999847407452621"/>
        <rFont val="맑은 고딕"/>
        <family val="3"/>
        <charset val="129"/>
      </rPr>
      <t xml:space="preserve"> </t>
    </r>
    <phoneticPr fontId="100" type="noConversion"/>
  </si>
  <si>
    <t>계정과목명 / (단위:원)</t>
    <phoneticPr fontId="21" type="noConversion"/>
  </si>
  <si>
    <t>a. 현금및예치금</t>
  </si>
  <si>
    <t>1. 현금및현금성자산</t>
  </si>
  <si>
    <t>2. 예치금</t>
  </si>
  <si>
    <t>b. 당기손익_공정가치측정금융자산</t>
  </si>
  <si>
    <t>1. 당기손익-공정가치측정항목</t>
  </si>
  <si>
    <t>2. 파생상품자산</t>
  </si>
  <si>
    <t>3. 파생결합증권</t>
  </si>
  <si>
    <t>b-1. 위험회피목적파생상품자산</t>
  </si>
  <si>
    <t>1. 위험회피목적 파생상품자산</t>
  </si>
  <si>
    <t>c. 당기손익-공정가치측정지정금융자산</t>
  </si>
  <si>
    <t>1. 파생결합증권</t>
  </si>
  <si>
    <t>2. 당기손익인식지정금융자산</t>
    <phoneticPr fontId="21" type="noConversion"/>
  </si>
  <si>
    <t>3. 평가조정액</t>
  </si>
  <si>
    <t>d. 기타포괄손익-공정가치측정금융자산</t>
  </si>
  <si>
    <t>1. 주식 및 출자금</t>
  </si>
  <si>
    <t>2. 채권</t>
  </si>
  <si>
    <t>3. 집합투자증권</t>
  </si>
  <si>
    <t>4. 기업어음증권</t>
    <phoneticPr fontId="21" type="noConversion"/>
  </si>
  <si>
    <t>5. 외화증권</t>
    <phoneticPr fontId="21" type="noConversion"/>
  </si>
  <si>
    <t>6. 기타(기타포괄손익-공정가치측정금융자산)</t>
  </si>
  <si>
    <t>e. 상각후원가측정금융자산</t>
  </si>
  <si>
    <t>1. 채권</t>
  </si>
  <si>
    <t>2. 외화증권</t>
  </si>
  <si>
    <t>3. 기타만기보유금융자산</t>
  </si>
  <si>
    <t>f. 종속기업 및 관계기업 투자지분</t>
  </si>
  <si>
    <t>1. 종속기업 투자지분</t>
  </si>
  <si>
    <t>2. 관계기업 투자지분</t>
  </si>
  <si>
    <t>g. 대출채권</t>
  </si>
  <si>
    <t>1. 콜론</t>
  </si>
  <si>
    <t>2. 신용공여금</t>
  </si>
  <si>
    <t>3. 환매조건부매수</t>
  </si>
  <si>
    <t>4. 대여금</t>
  </si>
  <si>
    <t>5. 대출금</t>
    <phoneticPr fontId="21" type="noConversion"/>
  </si>
  <si>
    <t>6. 대출금(종금)</t>
  </si>
  <si>
    <t>7. 할인어음(종금)</t>
  </si>
  <si>
    <t>8. 매입대출채권</t>
    <phoneticPr fontId="21" type="noConversion"/>
  </si>
  <si>
    <t>9. 대지급금</t>
    <phoneticPr fontId="21" type="noConversion"/>
  </si>
  <si>
    <t>10. 부도채권</t>
    <phoneticPr fontId="21" type="noConversion"/>
  </si>
  <si>
    <t>11. 부도어음</t>
    <phoneticPr fontId="21" type="noConversion"/>
  </si>
  <si>
    <t>12. 사모사채</t>
    <phoneticPr fontId="21" type="noConversion"/>
  </si>
  <si>
    <t>13. 신탁계정대</t>
    <phoneticPr fontId="21" type="noConversion"/>
  </si>
  <si>
    <t>14. 종금계정대</t>
    <phoneticPr fontId="21" type="noConversion"/>
  </si>
  <si>
    <t>15. 기타대출채권</t>
    <phoneticPr fontId="21" type="noConversion"/>
  </si>
  <si>
    <t>16. 대손충당금</t>
    <phoneticPr fontId="21" type="noConversion"/>
  </si>
  <si>
    <t>17. 차가감항목</t>
    <phoneticPr fontId="21" type="noConversion"/>
  </si>
  <si>
    <t>h. CMA운용자산(종금)</t>
  </si>
  <si>
    <t>1. CMA 현금과예금</t>
  </si>
  <si>
    <t>2. CMA 유가증권</t>
  </si>
  <si>
    <t xml:space="preserve">3. CMA 어음 </t>
  </si>
  <si>
    <t>4. CMA 기타</t>
  </si>
  <si>
    <t xml:space="preserve">5. CMA 어음대손충당금 </t>
  </si>
  <si>
    <t>i. 리스자산(종금)</t>
  </si>
  <si>
    <t xml:space="preserve">1. 금융리스채권 </t>
  </si>
  <si>
    <t>2. 선급리스자산</t>
  </si>
  <si>
    <t>3. 운용리스자산</t>
  </si>
  <si>
    <t>4. 기타리스자산</t>
  </si>
  <si>
    <t>j. 유형자산</t>
  </si>
  <si>
    <t>1. 취득원가</t>
  </si>
  <si>
    <t>2. 감가상각누계액(-)</t>
  </si>
  <si>
    <t>3. 손상차손누계액(-)</t>
  </si>
  <si>
    <t>k. 투자부동산</t>
  </si>
  <si>
    <t>l. 무형자산</t>
  </si>
  <si>
    <t>1. 비한정내용연수 무형자산</t>
  </si>
  <si>
    <t>2. 한정내용연수 무형자산</t>
  </si>
  <si>
    <t>3. 손상차손누계액</t>
  </si>
  <si>
    <t>m. 확정급여자산</t>
  </si>
  <si>
    <t>1. 확정급여자산</t>
  </si>
  <si>
    <t>n. 법인세자산</t>
  </si>
  <si>
    <t>1. 당기법인세자산</t>
  </si>
  <si>
    <t>2. 이연법인세자산</t>
  </si>
  <si>
    <t>o. 기타금융자산</t>
  </si>
  <si>
    <t>1. 미수금</t>
  </si>
  <si>
    <t>2. 미수수익</t>
  </si>
  <si>
    <t>3. 보증금</t>
  </si>
  <si>
    <t>4. 미수미결제현물환</t>
  </si>
  <si>
    <t>5. 미회수차액</t>
  </si>
  <si>
    <t>6. 기타자산대손충당금</t>
  </si>
  <si>
    <t>7. 차가감항목</t>
  </si>
  <si>
    <t>p. 기타비금융자산</t>
  </si>
  <si>
    <t>1. 선급금</t>
  </si>
  <si>
    <t>2. 선급비용</t>
  </si>
  <si>
    <t>3. 선급제세</t>
  </si>
  <si>
    <t>4. 선물자기거래정산차금_자산</t>
  </si>
  <si>
    <t>5. 기타의 기타자산</t>
  </si>
  <si>
    <t>a. 예수부채</t>
  </si>
  <si>
    <t>1. 투자자예수금</t>
  </si>
  <si>
    <t>2. 수입담보금</t>
  </si>
  <si>
    <t>3. 리스보증금(종금)</t>
  </si>
  <si>
    <t>4. CMA 수탁금</t>
  </si>
  <si>
    <t>5. 발행어음</t>
  </si>
  <si>
    <t>6. 발행어음(종합금융투자사업자)</t>
  </si>
  <si>
    <t>7. 기타예수부채</t>
  </si>
  <si>
    <t>8. 차가감항목</t>
  </si>
  <si>
    <t>b. 당기손익-공정가치측정금융부채</t>
  </si>
  <si>
    <t>2. 파생상품부채</t>
  </si>
  <si>
    <t>b-1. 위험회피목적파생상품부채</t>
  </si>
  <si>
    <t>1. 위험회피목적 파생상품부채</t>
  </si>
  <si>
    <t>c. 당기손익-공정가치측정지정금융부채</t>
  </si>
  <si>
    <t>1. 매도파생결합증권</t>
  </si>
  <si>
    <t>2. 기타당기손익-공정가치측정지정금융부채</t>
  </si>
  <si>
    <t>d. 차입금</t>
  </si>
  <si>
    <t>1. 콜머니</t>
  </si>
  <si>
    <t>2. 차입금</t>
  </si>
  <si>
    <t>3. 환매조건부매도</t>
  </si>
  <si>
    <t>4. 후순위차입금</t>
  </si>
  <si>
    <t>e. 사채</t>
  </si>
  <si>
    <t>1. 사채</t>
  </si>
  <si>
    <t>2. 후순위사채</t>
  </si>
  <si>
    <t>f. 충당부채</t>
  </si>
  <si>
    <t>1. 채무보증충당부채</t>
  </si>
  <si>
    <t>2. 기타충당부채</t>
  </si>
  <si>
    <t>g. 퇴직급여부채</t>
  </si>
  <si>
    <t>1. 퇴직급여부채</t>
  </si>
  <si>
    <t>h. 법인세부채</t>
  </si>
  <si>
    <t>1. 당기법인세부채</t>
  </si>
  <si>
    <t>2. 이연법인세부채</t>
  </si>
  <si>
    <t>i. 기타금융부채</t>
  </si>
  <si>
    <t>1. 미지급배당금</t>
  </si>
  <si>
    <t>2. 미지급금</t>
  </si>
  <si>
    <t>3. 미지급비용</t>
  </si>
  <si>
    <t>4. 임대보증금</t>
  </si>
  <si>
    <t>5. 미지급미결제현물환</t>
  </si>
  <si>
    <t>6. 미결제차액</t>
  </si>
  <si>
    <t>7. 요구불상환지분</t>
  </si>
  <si>
    <t>8. 리스부채</t>
  </si>
  <si>
    <t>9. 리스보증금</t>
  </si>
  <si>
    <t>10. 차가감항목</t>
    <phoneticPr fontId="21" type="noConversion"/>
  </si>
  <si>
    <t>j. 기타비금융부채</t>
  </si>
  <si>
    <t>1. 선수금</t>
  </si>
  <si>
    <t>2. 선수수익</t>
  </si>
  <si>
    <t>3. 제세금예수금</t>
  </si>
  <si>
    <t>4. 선물자기거래정산차금_부채</t>
  </si>
  <si>
    <t>5. 기타의 기타부채</t>
  </si>
  <si>
    <t>a. 자본금</t>
  </si>
  <si>
    <t>1. 보통주자본금</t>
  </si>
  <si>
    <t>2. 우선주자본금</t>
  </si>
  <si>
    <t>b. 신종자본증권</t>
    <phoneticPr fontId="21" type="noConversion"/>
  </si>
  <si>
    <t>1. 신종자본증권</t>
  </si>
  <si>
    <t>c. 기타자본구성요소</t>
  </si>
  <si>
    <t>1. 자본잉여금</t>
  </si>
  <si>
    <t>2. 자본조정</t>
  </si>
  <si>
    <t>d. 기타포괄손익누계액</t>
  </si>
  <si>
    <t>1. 기타포괄손익-공정가치측정금융자산평가손익</t>
  </si>
  <si>
    <t>2. 지분법자본변동</t>
  </si>
  <si>
    <t>3. 위험회피 파생상품 평가손익</t>
  </si>
  <si>
    <t>4. 해외사업장외화환산손익</t>
  </si>
  <si>
    <t>5. 확정급여부채 재측정요소</t>
  </si>
  <si>
    <t>6. 기타</t>
  </si>
  <si>
    <t>e. 이익잉여금</t>
  </si>
  <si>
    <t>1. 법정적립금</t>
  </si>
  <si>
    <t>2. 신탁사업적립금</t>
  </si>
  <si>
    <t>3. 대손준비금</t>
  </si>
  <si>
    <t>4. 임의적립금</t>
  </si>
  <si>
    <t>5. 미처분이익잉여금</t>
  </si>
  <si>
    <t>f. 비지배지분</t>
  </si>
  <si>
    <t>부채와자본총계</t>
  </si>
  <si>
    <t>메리츠증권 별도 재무상태표</t>
    <phoneticPr fontId="100" type="noConversion"/>
  </si>
  <si>
    <t>메리츠증권 연결 손익계산서</t>
    <phoneticPr fontId="100" type="noConversion"/>
  </si>
  <si>
    <t>1Q18</t>
    <phoneticPr fontId="21" type="noConversion"/>
  </si>
  <si>
    <t>영업수익</t>
    <phoneticPr fontId="21" type="noConversion"/>
  </si>
  <si>
    <t xml:space="preserve"> I. 수수료수익</t>
    <phoneticPr fontId="100" type="noConversion"/>
  </si>
  <si>
    <t>1. 수탁수수료</t>
  </si>
  <si>
    <t>2. 인수및주선수수료</t>
  </si>
  <si>
    <t>3. 집합투자증권취급수수료</t>
  </si>
  <si>
    <t>4. 자산관리수수료</t>
  </si>
  <si>
    <t>5. 기업금융수수료</t>
  </si>
  <si>
    <t>6. 신탁보수</t>
  </si>
  <si>
    <t>7. CMA 운용수수료(종금)</t>
  </si>
  <si>
    <t>8. 기타수수료수익</t>
  </si>
  <si>
    <t xml:space="preserve"> II. 금융상품평가및처분이익</t>
    <phoneticPr fontId="100" type="noConversion"/>
  </si>
  <si>
    <t>1. 당기손익-공정가치측정항목처분이익</t>
  </si>
  <si>
    <t>2. 당기손익-공정가치측정항목평가이익</t>
  </si>
  <si>
    <t>3. 당기손익-공정가치측정지정금융상품처분(상환)이익</t>
  </si>
  <si>
    <t>4. 당기손익-공정가치측정지정금융상품평가이익</t>
  </si>
  <si>
    <t>5. 기타포괄손익-공정가치측정금융자산처분이익</t>
  </si>
  <si>
    <t>6. 기타포괄손익-공정가치측정금융자산손상차손환입</t>
  </si>
  <si>
    <t>7. 상각후원가측정금융자산처분이익</t>
  </si>
  <si>
    <t>8. 기타금융상품관련 이익</t>
  </si>
  <si>
    <t xml:space="preserve"> III. 파생상품평가및처분이익</t>
    <phoneticPr fontId="100" type="noConversion"/>
  </si>
  <si>
    <t>1. 장내파생상품관련이익</t>
  </si>
  <si>
    <t>2. 장외파생상품관련이익</t>
  </si>
  <si>
    <t xml:space="preserve"> IV. 이자수익</t>
    <phoneticPr fontId="100" type="noConversion"/>
  </si>
  <si>
    <t>1. 현금및예치금이자</t>
  </si>
  <si>
    <t>2. 당기손익-공정가치측정금융자산이자</t>
  </si>
  <si>
    <t>3. 기타포괄손익-공정가치측정금융자산이자</t>
  </si>
  <si>
    <t>4. 대출채권이자</t>
  </si>
  <si>
    <t>5. CMA 운용수익(종금)</t>
  </si>
  <si>
    <t>6. 기타이자수익</t>
  </si>
  <si>
    <t xml:space="preserve"> V. 대출채권관련이익</t>
    <phoneticPr fontId="100" type="noConversion"/>
  </si>
  <si>
    <t>1. 대출채권매각이익</t>
  </si>
  <si>
    <t>2. 대손충당금환입</t>
  </si>
  <si>
    <t>3. 기타대출채권관련이익</t>
  </si>
  <si>
    <t xml:space="preserve"> VI. 외환거래이익</t>
    <phoneticPr fontId="100" type="noConversion"/>
  </si>
  <si>
    <t xml:space="preserve">1. 외환차익 </t>
  </si>
  <si>
    <t>2. 외화환산이익</t>
  </si>
  <si>
    <t xml:space="preserve"> VII. 리스수익(종금)</t>
    <phoneticPr fontId="100" type="noConversion"/>
  </si>
  <si>
    <t xml:space="preserve">1. 금융리스이자 </t>
  </si>
  <si>
    <t>2. 운용리스료수입</t>
  </si>
  <si>
    <t>3. 리스자산처분이익</t>
  </si>
  <si>
    <t>4. 기타리스수익</t>
  </si>
  <si>
    <t xml:space="preserve"> VIII. 기타영업수익</t>
    <phoneticPr fontId="100" type="noConversion"/>
  </si>
  <si>
    <t>1. 배당금수익</t>
  </si>
  <si>
    <t>2. 분배금수익</t>
  </si>
  <si>
    <t>3. 기타대손충당금환입</t>
  </si>
  <si>
    <t>4. 충당부채환입액</t>
  </si>
  <si>
    <t>5. 평가조정액환입</t>
  </si>
  <si>
    <t>6. 기타영업수익(기타)</t>
  </si>
  <si>
    <t>영업비용</t>
    <phoneticPr fontId="21" type="noConversion"/>
  </si>
  <si>
    <t xml:space="preserve"> I. 수수료비용</t>
    <phoneticPr fontId="100" type="noConversion"/>
  </si>
  <si>
    <t>1. 매매수수료</t>
  </si>
  <si>
    <t>2. 대차수수료</t>
  </si>
  <si>
    <t>3. 기타수수료비용</t>
  </si>
  <si>
    <t xml:space="preserve"> II. 금융상품평가및처분손실</t>
    <phoneticPr fontId="100" type="noConversion"/>
  </si>
  <si>
    <t>1. 당기손익-공정가치측정항목처분손실</t>
  </si>
  <si>
    <t>2. 당기손익-공정가치측정항목평가손실</t>
  </si>
  <si>
    <t>3. 당기손익인식지정금융상품처분(상환)손실</t>
  </si>
  <si>
    <t>4. 당기손익인식지정금융상품평가손실</t>
  </si>
  <si>
    <t>5. 기타포괄손익-공정가치측정금융자산처분손실</t>
  </si>
  <si>
    <t>6. 기타포괄손익-공정가치측정금융자산신용손실</t>
  </si>
  <si>
    <t>7. 상각후원가측정금융자산처분손실</t>
  </si>
  <si>
    <t>8. 기타금융상품관련 손실</t>
  </si>
  <si>
    <t xml:space="preserve"> III. 파생상품평가및처분손실</t>
    <phoneticPr fontId="100" type="noConversion"/>
  </si>
  <si>
    <t>1. 장내파생상품관련손실</t>
  </si>
  <si>
    <t>2. 장외파생상품관련손실</t>
  </si>
  <si>
    <t xml:space="preserve"> IV. 이자비용</t>
    <phoneticPr fontId="100" type="noConversion"/>
  </si>
  <si>
    <t>1. 예수부채이자</t>
  </si>
  <si>
    <t>2. 차입부채이자</t>
  </si>
  <si>
    <t>3. 사채이자</t>
  </si>
  <si>
    <t>4. 기타이자비용</t>
  </si>
  <si>
    <t xml:space="preserve"> V. 대출채권관련손실</t>
    <phoneticPr fontId="100" type="noConversion"/>
  </si>
  <si>
    <t xml:space="preserve">1. 대출채권매각손실 </t>
  </si>
  <si>
    <t>2. 대손상각비</t>
  </si>
  <si>
    <t>3. 기타대출평가관련손실</t>
  </si>
  <si>
    <t xml:space="preserve"> VI. 외환거래손실</t>
    <phoneticPr fontId="100" type="noConversion"/>
  </si>
  <si>
    <t>1. 외환차손</t>
  </si>
  <si>
    <t>2. 외화환산손실</t>
  </si>
  <si>
    <t xml:space="preserve"> VII. 판매비와관리비</t>
    <phoneticPr fontId="100" type="noConversion"/>
  </si>
  <si>
    <t>1. 인건비</t>
  </si>
  <si>
    <t>2. 일반관리비</t>
  </si>
  <si>
    <t xml:space="preserve"> VIII. 리스비용(종금)</t>
    <phoneticPr fontId="100" type="noConversion"/>
  </si>
  <si>
    <t>1. 운용리스자산감가상각비</t>
  </si>
  <si>
    <t>2. 리스지급수수료</t>
  </si>
  <si>
    <t>3. 리스자산처분손실</t>
  </si>
  <si>
    <t>4. 기타리스비용</t>
  </si>
  <si>
    <t xml:space="preserve"> VIX. 기타영업비용</t>
    <phoneticPr fontId="100" type="noConversion"/>
  </si>
  <si>
    <t>1. 기타대손상각비</t>
  </si>
  <si>
    <t>2. 충당부채전입액</t>
  </si>
  <si>
    <t>3. 평가조정액 전입</t>
  </si>
  <si>
    <t>4. 기타</t>
  </si>
  <si>
    <t>영업외수익</t>
    <phoneticPr fontId="21" type="noConversion"/>
  </si>
  <si>
    <t>1. 유형자산처분이익</t>
  </si>
  <si>
    <t>2. 투자부동산처분이익</t>
  </si>
  <si>
    <t>3. 임대료수익</t>
  </si>
  <si>
    <t>4. 종속회사및관계기업평가및처분이익</t>
  </si>
  <si>
    <t>5. 유무형자산, 기타자산 손상차손환입</t>
  </si>
  <si>
    <t>6. 기타영업외수익</t>
  </si>
  <si>
    <t>영업외비용</t>
    <phoneticPr fontId="21" type="noConversion"/>
  </si>
  <si>
    <t xml:space="preserve">1. 유형자산처분손실 </t>
  </si>
  <si>
    <t>2. 투자부동산처분손실</t>
  </si>
  <si>
    <t>3. 종속회사및관계기업평가및처분손실</t>
  </si>
  <si>
    <t>4. 기부금</t>
  </si>
  <si>
    <t>5. 유무형자산, 기타자산 손상차손</t>
  </si>
  <si>
    <t>6. 기타영업외비용</t>
  </si>
  <si>
    <t>법인세차감전순이익</t>
    <phoneticPr fontId="21" type="noConversion"/>
  </si>
  <si>
    <t>법인세비용</t>
    <phoneticPr fontId="21" type="noConversion"/>
  </si>
  <si>
    <t>메리츠증권 별도 손익계산서</t>
    <phoneticPr fontId="100" type="noConversion"/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</si>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</sst>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9">
    <numFmt numFmtId="41" formatCode="_-* #,##0_-;\-* #,##0_-;_-* &quot;-&quot;_-;_-@_-"/>
    <numFmt numFmtId="43" formatCode="_-* #,##0.00_-;\-* #,##0.00_-;_-* &quot;-&quot;??_-;_-@_-"/>
    <numFmt numFmtId="23" formatCode="\$#,##0_);\(\$#,##0\)"/>
    <numFmt numFmtId="176" formatCode="#,##0_ "/>
    <numFmt numFmtId="177" formatCode="0_ "/>
    <numFmt numFmtId="178" formatCode="#,##0_);[Red]\(#,##0\)"/>
    <numFmt numFmtId="179" formatCode="0.0%"/>
    <numFmt numFmtId="180" formatCode="_ * #,##0_ ;_ * \-#,##0_ ;_ * &quot;-&quot;_ ;_ @_ 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.00_ ;_ * \-#,##0.00_ ;_ * &quot;-&quot;??_ ;_ @_ "/>
    <numFmt numFmtId="184" formatCode="_(&quot;$&quot;* #,##0_);_(&quot;$&quot;* \(#,##0\);_(&quot;$&quot;* &quot;-&quot;??_);_(@_)"/>
    <numFmt numFmtId="185" formatCode="mmm\.yy"/>
    <numFmt numFmtId="186" formatCode="_ &quot;₩&quot;* #,##0_ ;_ &quot;₩&quot;* &quot;₩&quot;\-#,##0_ ;_ &quot;₩&quot;* &quot;-&quot;_ ;_ @_ "/>
    <numFmt numFmtId="187" formatCode="_ &quot;₩&quot;* #,##0.00_ ;_ &quot;₩&quot;* &quot;₩&quot;\-#,##0.00_ ;_ &quot;₩&quot;* &quot;-&quot;??_ ;_ @_ "/>
    <numFmt numFmtId="188" formatCode="_-[$€-2]* #,##0.00_-;\-[$€-2]* #,##0.00_-;_-[$€-2]* &quot;-&quot;??_-"/>
    <numFmt numFmtId="189" formatCode="#,##0.0_);[Red]\(#,##0.0\)"/>
    <numFmt numFmtId="190" formatCode="_(* #,##0.00_);_(* \(#,##0.00\);_(* &quot;-&quot;??_);_(@_)"/>
    <numFmt numFmtId="191" formatCode="&quot;₩&quot;#,##0;&quot;₩&quot;\-#,##0"/>
    <numFmt numFmtId="192" formatCode="0_ ;\-0\ "/>
    <numFmt numFmtId="193" formatCode="0&quot; bp&quot;;;&quot;-- &quot;"/>
    <numFmt numFmtId="194" formatCode="_(&quot;$&quot;* #,##0.00_);_(&quot;$&quot;* \(#,##0.00\);\ &quot;--  &quot;;_(@_)"/>
    <numFmt numFmtId="195" formatCode="&quot;$&quot;#,##0.0_);[Red]\(&quot;$&quot;#,##0.0\)"/>
    <numFmt numFmtId="196" formatCode="#,##0.00000000_);[Red]\(#,##0.00000000\)"/>
    <numFmt numFmtId="197" formatCode="#,##0.000000_);[Red]\(#,##0.000000\)"/>
    <numFmt numFmtId="198" formatCode="0%;[Red]\(0%\)"/>
    <numFmt numFmtId="199" formatCode="dd\-mmm\-yyyy"/>
    <numFmt numFmtId="200" formatCode="mmm\-d\-yyyy"/>
    <numFmt numFmtId="201" formatCode="mmm\-d\-yy"/>
    <numFmt numFmtId="202" formatCode="mmm\-yyyy"/>
    <numFmt numFmtId="203" formatCode="#,##0.00000_);[Red]\(#,##0.00000\)"/>
    <numFmt numFmtId="204" formatCode="#,##0.0000_);[Red]\(#,##0.0000\)"/>
    <numFmt numFmtId="205" formatCode="&quot;$&quot;#,##0.00_);\(&quot;$&quot;#,##0.00\)"/>
    <numFmt numFmtId="206" formatCode="###0_);\(###0\)"/>
    <numFmt numFmtId="207" formatCode="0.000%;[Red]\(0.000%\)"/>
    <numFmt numFmtId="208" formatCode="#,##0;\(#,##0\)"/>
    <numFmt numFmtId="209" formatCode="#,##0.0_);[Red]\(#,##0.0\);&quot;--  &quot;"/>
    <numFmt numFmtId="210" formatCode="#,##0.000_);[Red]\(#,##0.000\)"/>
    <numFmt numFmtId="211" formatCode="#,##0.0_)\ \ ;[Red]\(#,##0.0\)\ \ "/>
    <numFmt numFmtId="212" formatCode="#,##0.0_);[Red]\(#,##0.0\);"/>
    <numFmt numFmtId="213" formatCode="#,##0.00\x_);[Red]\(#,##0.00\x\);&quot;--  &quot;"/>
    <numFmt numFmtId="214" formatCode="#,##0.0_)&quot; &quot;;[Red]\(#,##0.0\)&quot; &quot;"/>
    <numFmt numFmtId="215" formatCode="#,##0.000000000000_);[Red]\(#,##0.000000000000\)"/>
    <numFmt numFmtId="216" formatCode="0.000000%"/>
    <numFmt numFmtId="217" formatCode="#,##0.0\x_);\(#,##0\)"/>
    <numFmt numFmtId="218" formatCode="#,##0.000000000_);[Red]\(#,##0.000000000\)"/>
    <numFmt numFmtId="219" formatCode="0.0%;[Red]\(0.0%\)"/>
    <numFmt numFmtId="220" formatCode="0.0%;[Red]\(0.0%\);&quot;--  &quot;"/>
    <numFmt numFmtId="221" formatCode="0.000%;;&quot;-- &quot;"/>
    <numFmt numFmtId="222" formatCode="0.0000000%"/>
    <numFmt numFmtId="223" formatCode="&quot;$&quot;#,##0.00_);[Red]\(&quot;$&quot;#,##0.00\)"/>
    <numFmt numFmtId="224" formatCode="&quot;Proj &quot;0;;"/>
    <numFmt numFmtId="225" formatCode="0%_);[Red]\(0%\)"/>
    <numFmt numFmtId="226" formatCode="0&quot; bp&quot;"/>
    <numFmt numFmtId="227" formatCode="0.0\x"/>
    <numFmt numFmtId="228" formatCode="0.00_ "/>
    <numFmt numFmtId="229" formatCode="\ #,##0\ ;[Black]\ &quot;△&quot;#,##0"/>
    <numFmt numFmtId="230" formatCode="_-* #,##0.0_-;\-* #,##0.0_-;_-* &quot;-&quot;_-;_-@_-"/>
    <numFmt numFmtId="231" formatCode="0.0%\p"/>
    <numFmt numFmtId="232" formatCode="_-* #,##0_-;\-* #,##0_-;_-* &quot;-&quot;??_-;_-@_-"/>
    <numFmt numFmtId="233" formatCode="#,##0.0"/>
    <numFmt numFmtId="234" formatCode="0.0"/>
    <numFmt numFmtId="235" formatCode="_-* #,##0.0_-;\-* #,##0.0_-;_-* &quot;-&quot;??_-;_-@_-"/>
    <numFmt numFmtId="236" formatCode="[$-F400]h:mm:ss\ AM/PM"/>
    <numFmt numFmtId="237" formatCode="mm&quot;월&quot;\ dd&quot;일&quot;"/>
    <numFmt numFmtId="238" formatCode="#,##0_ ;[Red]\-#,##0\ "/>
    <numFmt numFmtId="239" formatCode="_-* #,##0.00_-;\-* #,##0.00_-;_-* &quot;-&quot;_-;_-@_-"/>
    <numFmt numFmtId="240" formatCode="#,##0.0_ "/>
    <numFmt numFmtId="241" formatCode="0%\p"/>
  </numFmts>
  <fonts count="183">
    <font>
      <sz val="12"/>
      <name val="가는각진제목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2"/>
      <name val="가는각진제목체"/>
      <family val="1"/>
      <charset val="129"/>
    </font>
    <font>
      <sz val="10"/>
      <name val="Arial"/>
      <family val="2"/>
    </font>
    <font>
      <sz val="12"/>
      <name val="뼻뮝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u/>
      <sz val="9.6"/>
      <color indexed="12"/>
      <name val="가는각진제목체"/>
      <family val="1"/>
      <charset val="129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8"/>
      <name val="가는각진제목체"/>
      <family val="1"/>
      <charset val="129"/>
    </font>
    <font>
      <sz val="10"/>
      <name val="굴림체"/>
      <family val="3"/>
      <charset val="129"/>
    </font>
    <font>
      <sz val="9"/>
      <name val="Arial"/>
      <family val="2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b/>
      <sz val="8"/>
      <name val="Arial"/>
      <family val="2"/>
    </font>
    <font>
      <sz val="14"/>
      <name val="뼻뮝"/>
      <family val="3"/>
      <charset val="129"/>
    </font>
    <font>
      <sz val="10"/>
      <name val="바탕체"/>
      <family val="1"/>
      <charset val="129"/>
    </font>
    <font>
      <sz val="10"/>
      <name val="바탕"/>
      <family val="1"/>
      <charset val="129"/>
    </font>
    <font>
      <sz val="10"/>
      <color indexed="24"/>
      <name val="MS Sans Serif"/>
      <family val="2"/>
    </font>
    <font>
      <sz val="16"/>
      <name val="옛체"/>
      <family val="1"/>
      <charset val="129"/>
    </font>
    <font>
      <sz val="12"/>
      <name val="가는각진제목체"/>
      <family val="1"/>
      <charset val="129"/>
    </font>
    <font>
      <sz val="8"/>
      <color indexed="4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i/>
      <sz val="8"/>
      <color indexed="12"/>
      <name val="Arial"/>
      <family val="2"/>
    </font>
    <font>
      <b/>
      <sz val="8"/>
      <color indexed="9"/>
      <name val="Arial"/>
      <family val="2"/>
    </font>
    <font>
      <b/>
      <u/>
      <sz val="8"/>
      <name val="Arial"/>
      <family val="2"/>
    </font>
    <font>
      <sz val="1"/>
      <color indexed="8"/>
      <name val="Courier"/>
      <family val="3"/>
    </font>
    <font>
      <b/>
      <sz val="1"/>
      <color indexed="23"/>
      <name val="Courier"/>
      <family val="3"/>
    </font>
    <font>
      <b/>
      <sz val="1"/>
      <color indexed="8"/>
      <name val="Courier"/>
      <family val="3"/>
    </font>
    <font>
      <u/>
      <sz val="8"/>
      <color indexed="36"/>
      <name val="Arial"/>
      <family val="2"/>
    </font>
    <font>
      <b/>
      <sz val="12"/>
      <name val="Times New Roman"/>
      <family val="1"/>
    </font>
    <font>
      <i/>
      <sz val="8"/>
      <color indexed="23"/>
      <name val="Arial"/>
      <family val="2"/>
    </font>
    <font>
      <sz val="8"/>
      <color indexed="23"/>
      <name val="Arial"/>
      <family val="2"/>
    </font>
    <font>
      <b/>
      <sz val="24"/>
      <color indexed="12"/>
      <name val="Monaco"/>
      <family val="1"/>
    </font>
    <font>
      <u/>
      <sz val="8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39"/>
      <name val="Arial"/>
      <family val="2"/>
    </font>
    <font>
      <sz val="8"/>
      <name val="Helvetica"/>
      <family val="2"/>
    </font>
    <font>
      <sz val="8"/>
      <color indexed="12"/>
      <name val="Helvetica"/>
      <family val="2"/>
    </font>
    <font>
      <sz val="7"/>
      <name val="Small Fonts"/>
      <family val="2"/>
    </font>
    <font>
      <sz val="10"/>
      <name val="Frutiger 45 Light"/>
      <family val="2"/>
    </font>
    <font>
      <i/>
      <sz val="8"/>
      <name val="Arial"/>
      <family val="2"/>
    </font>
    <font>
      <i/>
      <sz val="10"/>
      <color indexed="10"/>
      <name val="Arial"/>
      <family val="2"/>
    </font>
    <font>
      <b/>
      <sz val="8"/>
      <color indexed="18"/>
      <name val="Times New Roman"/>
      <family val="1"/>
    </font>
    <font>
      <sz val="8"/>
      <color indexed="10"/>
      <name val="Arial"/>
      <family val="2"/>
    </font>
    <font>
      <sz val="6"/>
      <name val="Arial"/>
      <family val="2"/>
    </font>
    <font>
      <sz val="7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가는각진제목체"/>
      <family val="1"/>
      <charset val="129"/>
    </font>
    <font>
      <u/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가는각진제목체"/>
      <family val="1"/>
      <charset val="129"/>
    </font>
    <font>
      <b/>
      <sz val="10"/>
      <name val="가는각진제목체"/>
      <family val="1"/>
      <charset val="129"/>
    </font>
    <font>
      <sz val="8"/>
      <name val="맑은 고딕"/>
      <family val="3"/>
      <charset val="129"/>
    </font>
    <font>
      <sz val="20"/>
      <name val="Arial"/>
      <family val="2"/>
    </font>
    <font>
      <b/>
      <sz val="26"/>
      <name val="HY울릉도M"/>
      <family val="1"/>
      <charset val="129"/>
    </font>
    <font>
      <sz val="1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2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20"/>
      <color rgb="FFFF0000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8"/>
      <name val="바탕"/>
      <family val="1"/>
      <charset val="129"/>
    </font>
    <font>
      <vertAlign val="superscript"/>
      <sz val="10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</font>
    <font>
      <b/>
      <sz val="10"/>
      <color theme="1" tint="4.9989318521683403E-2"/>
      <name val="맑은 고딕"/>
      <family val="3"/>
      <charset val="129"/>
    </font>
    <font>
      <b/>
      <sz val="16"/>
      <color theme="1" tint="0.249977111117893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</font>
    <font>
      <b/>
      <sz val="16"/>
      <color theme="1" tint="0.14999847407452621"/>
      <name val="맑은 고딕"/>
      <family val="3"/>
      <charset val="129"/>
      <scheme val="minor"/>
    </font>
    <font>
      <sz val="10"/>
      <color theme="1" tint="0.14999847407452621"/>
      <name val="맑은 고딕"/>
      <family val="3"/>
      <charset val="129"/>
      <scheme val="minor"/>
    </font>
    <font>
      <b/>
      <sz val="16"/>
      <color theme="1" tint="0.1499984740745262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2"/>
      <name val="맑은 고딕"/>
      <family val="1"/>
      <charset val="129"/>
    </font>
    <font>
      <b/>
      <sz val="10"/>
      <name val="Arial"/>
      <family val="2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C00000"/>
      <name val="맑은 고딕"/>
      <family val="3"/>
      <charset val="129"/>
      <scheme val="major"/>
    </font>
    <font>
      <sz val="10"/>
      <name val="맑은 고딕"/>
      <family val="1"/>
      <charset val="129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1"/>
      <name val="가는각진제목체"/>
      <family val="1"/>
      <charset val="129"/>
    </font>
    <font>
      <sz val="8"/>
      <color theme="1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262626"/>
      <name val="맑은 고딕"/>
      <family val="3"/>
      <charset val="129"/>
      <scheme val="minor"/>
    </font>
    <font>
      <sz val="10"/>
      <color rgb="FF262626"/>
      <name val="맑은 고딕"/>
      <family val="3"/>
      <charset val="129"/>
      <scheme val="minor"/>
    </font>
    <font>
      <sz val="8"/>
      <color rgb="FF262626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i/>
      <sz val="10"/>
      <color rgb="FF262626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"/>
      <name val="맑은 고딕"/>
      <family val="3"/>
      <charset val="129"/>
      <scheme val="minor"/>
    </font>
    <font>
      <b/>
      <sz val="8"/>
      <color indexed="63"/>
      <name val="맑은 고딕"/>
      <family val="3"/>
      <charset val="129"/>
      <scheme val="minor"/>
    </font>
    <font>
      <b/>
      <vertAlign val="superscript"/>
      <sz val="9"/>
      <color indexed="63"/>
      <name val="맑은 고딕"/>
      <family val="3"/>
      <charset val="129"/>
      <scheme val="minor"/>
    </font>
    <font>
      <b/>
      <vertAlign val="superscript"/>
      <sz val="10"/>
      <color rgb="FF262626"/>
      <name val="맑은 고딕"/>
      <family val="3"/>
      <charset val="129"/>
      <scheme val="minor"/>
    </font>
    <font>
      <b/>
      <sz val="8"/>
      <color rgb="FF262626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b/>
      <sz val="16"/>
      <color theme="1" tint="0.14999847407452621"/>
      <name val="맑은 고딕"/>
      <family val="3"/>
      <charset val="129"/>
      <scheme val="major"/>
    </font>
    <font>
      <b/>
      <sz val="11"/>
      <color theme="1" tint="0.14999847407452621"/>
      <name val="맑은 고딕"/>
      <family val="3"/>
      <charset val="129"/>
    </font>
    <font>
      <b/>
      <sz val="16"/>
      <color theme="1"/>
      <name val="맑은 고딕"/>
      <family val="3"/>
      <charset val="129"/>
      <scheme val="major"/>
    </font>
    <font>
      <sz val="16"/>
      <name val="가는각진제목체"/>
      <family val="1"/>
      <charset val="129"/>
    </font>
    <font>
      <b/>
      <sz val="18"/>
      <color theme="1"/>
      <name val="맑은 고딕"/>
      <family val="3"/>
      <charset val="129"/>
      <scheme val="major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1D8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6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9797"/>
        <bgColor indexed="64"/>
      </patternFill>
    </fill>
  </fills>
  <borders count="69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rgb="FFEF3B24"/>
      </top>
      <bottom/>
      <diagonal/>
    </border>
    <border>
      <left/>
      <right/>
      <top style="thick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/>
      <top style="thick">
        <color rgb="FFEF3B2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/>
      <bottom style="thick">
        <color rgb="FFEF3B24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ck">
        <color rgb="FFEF3B24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360">
    <xf numFmtId="0" fontId="0" fillId="0" borderId="0"/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0" fontId="7" fillId="0" borderId="0"/>
    <xf numFmtId="0" fontId="7" fillId="0" borderId="0"/>
    <xf numFmtId="0" fontId="7" fillId="0" borderId="0"/>
    <xf numFmtId="0" fontId="81" fillId="2" borderId="0" applyNumberFormat="0" applyBorder="0" applyAlignment="0" applyProtection="0"/>
    <xf numFmtId="0" fontId="81" fillId="3" borderId="0" applyNumberFormat="0" applyBorder="0" applyAlignment="0" applyProtection="0"/>
    <xf numFmtId="0" fontId="81" fillId="4" borderId="0" applyNumberFormat="0" applyBorder="0" applyAlignment="0" applyProtection="0"/>
    <xf numFmtId="0" fontId="81" fillId="5" borderId="0" applyNumberFormat="0" applyBorder="0" applyAlignment="0" applyProtection="0"/>
    <xf numFmtId="0" fontId="81" fillId="6" borderId="0" applyNumberFormat="0" applyBorder="0" applyAlignment="0" applyProtection="0"/>
    <xf numFmtId="0" fontId="81" fillId="7" borderId="0" applyNumberFormat="0" applyBorder="0" applyAlignment="0" applyProtection="0"/>
    <xf numFmtId="0" fontId="26" fillId="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81" fillId="8" borderId="0" applyNumberFormat="0" applyBorder="0" applyAlignment="0" applyProtection="0"/>
    <xf numFmtId="0" fontId="81" fillId="9" borderId="0" applyNumberFormat="0" applyBorder="0" applyAlignment="0" applyProtection="0"/>
    <xf numFmtId="0" fontId="81" fillId="10" borderId="0" applyNumberFormat="0" applyBorder="0" applyAlignment="0" applyProtection="0"/>
    <xf numFmtId="0" fontId="81" fillId="5" borderId="0" applyNumberFormat="0" applyBorder="0" applyAlignment="0" applyProtection="0"/>
    <xf numFmtId="0" fontId="81" fillId="8" borderId="0" applyNumberFormat="0" applyBorder="0" applyAlignment="0" applyProtection="0"/>
    <xf numFmtId="0" fontId="81" fillId="11" borderId="0" applyNumberFormat="0" applyBorder="0" applyAlignment="0" applyProtection="0"/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/>
    <xf numFmtId="0" fontId="82" fillId="9" borderId="0" applyNumberFormat="0" applyBorder="0" applyAlignment="0" applyProtection="0"/>
    <xf numFmtId="0" fontId="82" fillId="10" borderId="0" applyNumberFormat="0" applyBorder="0" applyAlignment="0" applyProtection="0"/>
    <xf numFmtId="0" fontId="82" fillId="13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/>
    <xf numFmtId="0" fontId="82" fillId="17" borderId="0" applyNumberFormat="0" applyBorder="0" applyAlignment="0" applyProtection="0"/>
    <xf numFmtId="0" fontId="82" fillId="18" borderId="0" applyNumberFormat="0" applyBorder="0" applyAlignment="0" applyProtection="0"/>
    <xf numFmtId="0" fontId="82" fillId="13" borderId="0" applyNumberFormat="0" applyBorder="0" applyAlignment="0" applyProtection="0"/>
    <xf numFmtId="0" fontId="82" fillId="14" borderId="0" applyNumberFormat="0" applyBorder="0" applyAlignment="0" applyProtection="0"/>
    <xf numFmtId="0" fontId="82" fillId="19" borderId="0" applyNumberFormat="0" applyBorder="0" applyAlignment="0" applyProtection="0"/>
    <xf numFmtId="181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83" fillId="3" borderId="0" applyNumberFormat="0" applyBorder="0" applyAlignment="0" applyProtection="0"/>
    <xf numFmtId="38" fontId="51" fillId="20" borderId="0" applyNumberFormat="0" applyFont="0" applyBorder="0" applyAlignment="0" applyProtection="0"/>
    <xf numFmtId="38" fontId="16" fillId="0" borderId="0" applyNumberFormat="0" applyFill="0" applyBorder="0" applyAlignment="0" applyProtection="0"/>
    <xf numFmtId="189" fontId="16" fillId="0" borderId="0" applyNumberFormat="0" applyFont="0" applyAlignment="0" applyProtection="0"/>
    <xf numFmtId="38" fontId="16" fillId="0" borderId="0"/>
    <xf numFmtId="3" fontId="52" fillId="0" borderId="0" applyNumberFormat="0" applyFill="0" applyBorder="0" applyAlignment="0" applyProtection="0">
      <alignment wrapText="1"/>
    </xf>
    <xf numFmtId="189" fontId="53" fillId="20" borderId="0" applyNumberFormat="0" applyFont="0" applyBorder="0" applyAlignment="0" applyProtection="0"/>
    <xf numFmtId="192" fontId="7" fillId="21" borderId="0"/>
    <xf numFmtId="189" fontId="53" fillId="0" borderId="2" applyNumberFormat="0" applyFont="0" applyFill="0" applyAlignment="0" applyProtection="0"/>
    <xf numFmtId="193" fontId="54" fillId="22" borderId="0" applyFont="0" applyFill="0" applyBorder="0" applyAlignment="0" applyProtection="0"/>
    <xf numFmtId="0" fontId="14" fillId="0" borderId="0"/>
    <xf numFmtId="0" fontId="84" fillId="23" borderId="3" applyNumberFormat="0" applyAlignment="0" applyProtection="0"/>
    <xf numFmtId="189" fontId="55" fillId="24" borderId="0" applyNumberFormat="0" applyBorder="0" applyAlignment="0" applyProtection="0"/>
    <xf numFmtId="189" fontId="55" fillId="25" borderId="0"/>
    <xf numFmtId="189" fontId="56" fillId="0" borderId="0" applyNumberFormat="0" applyBorder="0" applyAlignment="0" applyProtection="0"/>
    <xf numFmtId="0" fontId="15" fillId="0" borderId="0"/>
    <xf numFmtId="0" fontId="85" fillId="26" borderId="4" applyNumberFormat="0" applyAlignment="0" applyProtection="0"/>
    <xf numFmtId="180" fontId="7" fillId="0" borderId="0" applyFont="0" applyFill="0" applyBorder="0" applyAlignment="0" applyProtection="0"/>
    <xf numFmtId="185" fontId="9" fillId="0" borderId="0"/>
    <xf numFmtId="183" fontId="7" fillId="0" borderId="0" applyFont="0" applyFill="0" applyBorder="0" applyAlignment="0" applyProtection="0"/>
    <xf numFmtId="194" fontId="16" fillId="0" borderId="5" applyFont="0" applyFill="0" applyBorder="0" applyAlignment="0" applyProtection="0"/>
    <xf numFmtId="177" fontId="9" fillId="0" borderId="0" applyFont="0" applyFill="0" applyBorder="0" applyAlignment="0" applyProtection="0"/>
    <xf numFmtId="195" fontId="16" fillId="0" borderId="0" applyFont="0" applyFill="0" applyBorder="0" applyAlignment="0"/>
    <xf numFmtId="196" fontId="7" fillId="0" borderId="0" applyFont="0" applyFill="0" applyBorder="0" applyAlignment="0"/>
    <xf numFmtId="184" fontId="11" fillId="0" borderId="0" applyFont="0" applyFill="0" applyBorder="0" applyAlignment="0" applyProtection="0"/>
    <xf numFmtId="186" fontId="9" fillId="0" borderId="0"/>
    <xf numFmtId="197" fontId="7" fillId="22" borderId="6" applyFill="0" applyBorder="0">
      <alignment horizontal="right"/>
    </xf>
    <xf numFmtId="15" fontId="44" fillId="0" borderId="0" applyFill="0" applyBorder="0" applyAlignment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89" fontId="44" fillId="27" borderId="0" applyFont="0" applyFill="0" applyBorder="0" applyAlignment="0" applyProtection="0"/>
    <xf numFmtId="200" fontId="53" fillId="27" borderId="7" applyFont="0" applyFill="0" applyBorder="0" applyAlignment="0" applyProtection="0"/>
    <xf numFmtId="201" fontId="16" fillId="27" borderId="0" applyFont="0" applyFill="0" applyBorder="0" applyAlignment="0" applyProtection="0"/>
    <xf numFmtId="200" fontId="16" fillId="27" borderId="0" applyFont="0" applyFill="0" applyBorder="0" applyAlignment="0" applyProtection="0"/>
    <xf numFmtId="17" fontId="44" fillId="0" borderId="0" applyFill="0" applyBorder="0">
      <alignment horizontal="right"/>
    </xf>
    <xf numFmtId="202" fontId="44" fillId="0" borderId="8"/>
    <xf numFmtId="189" fontId="16" fillId="0" borderId="0" applyFill="0" applyBorder="0">
      <alignment horizontal="right"/>
    </xf>
    <xf numFmtId="203" fontId="7" fillId="0" borderId="9">
      <alignment horizontal="center"/>
    </xf>
    <xf numFmtId="38" fontId="16" fillId="0" borderId="2" applyFont="0" applyFill="0" applyBorder="0" applyAlignment="0" applyProtection="0"/>
    <xf numFmtId="189" fontId="16" fillId="0" borderId="0" applyFont="0" applyFill="0" applyBorder="0" applyAlignment="0" applyProtection="0"/>
    <xf numFmtId="40" fontId="16" fillId="0" borderId="2" applyFont="0" applyFill="0" applyBorder="0" applyAlignment="0" applyProtection="0"/>
    <xf numFmtId="204" fontId="53" fillId="0" borderId="0" applyFont="0" applyFill="0" applyBorder="0" applyAlignment="0" applyProtection="0"/>
    <xf numFmtId="187" fontId="9" fillId="0" borderId="0"/>
    <xf numFmtId="205" fontId="16" fillId="0" borderId="0"/>
    <xf numFmtId="189" fontId="53" fillId="27" borderId="0" applyNumberFormat="0" applyFont="0" applyBorder="0" applyAlignment="0" applyProtection="0"/>
    <xf numFmtId="188" fontId="9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57" fillId="0" borderId="0">
      <protection locked="0"/>
    </xf>
    <xf numFmtId="0" fontId="58" fillId="0" borderId="0">
      <protection locked="0"/>
    </xf>
    <xf numFmtId="0" fontId="57" fillId="0" borderId="0">
      <protection locked="0"/>
    </xf>
    <xf numFmtId="0" fontId="59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06" fontId="7" fillId="27" borderId="0" applyFont="0" applyFill="0" applyBorder="0" applyAlignment="0"/>
    <xf numFmtId="0" fontId="60" fillId="0" borderId="0" applyNumberFormat="0" applyFill="0" applyBorder="0" applyAlignment="0" applyProtection="0">
      <alignment vertical="top"/>
      <protection locked="0"/>
    </xf>
    <xf numFmtId="38" fontId="16" fillId="0" borderId="10" applyNumberFormat="0" applyFont="0" applyFill="0" applyAlignment="0" applyProtection="0">
      <alignment horizontal="right"/>
    </xf>
    <xf numFmtId="0" fontId="16" fillId="27" borderId="2" applyNumberFormat="0" applyFont="0" applyAlignment="0" applyProtection="0">
      <alignment horizontal="center"/>
    </xf>
    <xf numFmtId="0" fontId="61" fillId="0" borderId="0" applyFont="0" applyFill="0" applyBorder="0" applyAlignment="0" applyProtection="0">
      <alignment horizontal="right"/>
    </xf>
    <xf numFmtId="0" fontId="87" fillId="4" borderId="0" applyNumberFormat="0" applyBorder="0" applyAlignment="0" applyProtection="0"/>
    <xf numFmtId="38" fontId="16" fillId="21" borderId="0" applyNumberFormat="0" applyBorder="0" applyAlignment="0" applyProtection="0"/>
    <xf numFmtId="38" fontId="62" fillId="21" borderId="11" applyNumberFormat="0" applyBorder="0" applyAlignment="0" applyProtection="0">
      <protection hidden="1"/>
    </xf>
    <xf numFmtId="38" fontId="63" fillId="21" borderId="0" applyNumberFormat="0" applyBorder="0" applyAlignment="0" applyProtection="0"/>
    <xf numFmtId="207" fontId="7" fillId="0" borderId="0" applyFill="0" applyBorder="0" applyAlignment="0" applyProtection="0"/>
    <xf numFmtId="0" fontId="17" fillId="0" borderId="0">
      <alignment horizontal="left"/>
    </xf>
    <xf numFmtId="0" fontId="18" fillId="0" borderId="12" applyNumberFormat="0" applyAlignment="0" applyProtection="0">
      <alignment horizontal="left" vertical="center"/>
    </xf>
    <xf numFmtId="0" fontId="18" fillId="0" borderId="13">
      <alignment horizontal="left" vertical="center"/>
    </xf>
    <xf numFmtId="0" fontId="64" fillId="0" borderId="0">
      <alignment horizontal="center"/>
    </xf>
    <xf numFmtId="0" fontId="88" fillId="0" borderId="14" applyNumberFormat="0" applyFill="0" applyAlignment="0" applyProtection="0"/>
    <xf numFmtId="0" fontId="89" fillId="0" borderId="15" applyNumberFormat="0" applyFill="0" applyAlignment="0" applyProtection="0"/>
    <xf numFmtId="0" fontId="90" fillId="0" borderId="16" applyNumberFormat="0" applyFill="0" applyAlignment="0" applyProtection="0"/>
    <xf numFmtId="0" fontId="90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90" fontId="66" fillId="0" borderId="0" applyNumberFormat="0" applyFill="0" applyBorder="0" applyAlignment="0" applyProtection="0"/>
    <xf numFmtId="10" fontId="16" fillId="27" borderId="2" applyNumberFormat="0" applyBorder="0" applyAlignment="0" applyProtection="0"/>
    <xf numFmtId="196" fontId="7" fillId="0" borderId="0"/>
    <xf numFmtId="200" fontId="16" fillId="27" borderId="0" applyFont="0" applyBorder="0" applyAlignment="0" applyProtection="0">
      <protection locked="0"/>
    </xf>
    <xf numFmtId="206" fontId="16" fillId="27" borderId="0" applyFont="0" applyBorder="0" applyAlignment="0">
      <protection locked="0"/>
    </xf>
    <xf numFmtId="189" fontId="16" fillId="0" borderId="0"/>
    <xf numFmtId="189" fontId="16" fillId="0" borderId="0"/>
    <xf numFmtId="10" fontId="16" fillId="27" borderId="0">
      <protection locked="0"/>
    </xf>
    <xf numFmtId="189" fontId="67" fillId="27" borderId="0" applyNumberFormat="0" applyBorder="0" applyAlignment="0">
      <protection locked="0"/>
    </xf>
    <xf numFmtId="0" fontId="91" fillId="7" borderId="3" applyNumberFormat="0" applyAlignment="0" applyProtection="0"/>
    <xf numFmtId="38" fontId="53" fillId="27" borderId="10" applyNumberFormat="0" applyAlignment="0" applyProtection="0">
      <alignment horizontal="right"/>
    </xf>
    <xf numFmtId="189" fontId="16" fillId="21" borderId="0" applyNumberFormat="0" applyFont="0" applyBorder="0" applyAlignment="0" applyProtection="0"/>
    <xf numFmtId="0" fontId="92" fillId="0" borderId="17" applyNumberFormat="0" applyFill="0" applyAlignment="0" applyProtection="0"/>
    <xf numFmtId="14" fontId="53" fillId="22" borderId="0" applyFont="0" applyFill="0" applyBorder="0" applyAlignment="0" applyProtection="0"/>
    <xf numFmtId="201" fontId="7" fillId="27" borderId="8" applyFont="0" applyFill="0" applyBorder="0" applyAlignment="0" applyProtection="0">
      <alignment horizontal="right"/>
    </xf>
    <xf numFmtId="0" fontId="19" fillId="0" borderId="18"/>
    <xf numFmtId="208" fontId="68" fillId="0" borderId="0"/>
    <xf numFmtId="0" fontId="69" fillId="0" borderId="0"/>
    <xf numFmtId="204" fontId="7" fillId="21" borderId="0" applyFont="0" applyBorder="0" applyAlignment="0" applyProtection="0">
      <alignment horizontal="right"/>
      <protection hidden="1"/>
    </xf>
    <xf numFmtId="38" fontId="16" fillId="0" borderId="0" applyNumberFormat="0" applyFont="0" applyFill="0" applyAlignment="0" applyProtection="0"/>
    <xf numFmtId="0" fontId="93" fillId="28" borderId="0" applyNumberFormat="0" applyBorder="0" applyAlignment="0" applyProtection="0"/>
    <xf numFmtId="189" fontId="53" fillId="0" borderId="0" applyNumberFormat="0" applyFont="0" applyBorder="0" applyAlignment="0" applyProtection="0"/>
    <xf numFmtId="37" fontId="70" fillId="0" borderId="0"/>
    <xf numFmtId="209" fontId="16" fillId="0" borderId="0" applyFont="0" applyFill="0" applyBorder="0" applyAlignment="0" applyProtection="0">
      <alignment horizontal="right"/>
    </xf>
    <xf numFmtId="184" fontId="11" fillId="0" borderId="0"/>
    <xf numFmtId="38" fontId="16" fillId="0" borderId="2" applyFont="0" applyFill="0" applyBorder="0" applyAlignment="0" applyProtection="0"/>
    <xf numFmtId="189" fontId="7" fillId="0" borderId="0" applyFont="0" applyFill="0" applyBorder="0" applyAlignment="0"/>
    <xf numFmtId="40" fontId="16" fillId="0" borderId="0" applyFont="0" applyFill="0" applyBorder="0" applyAlignment="0"/>
    <xf numFmtId="210" fontId="16" fillId="0" borderId="0" applyFont="0" applyFill="0" applyBorder="0" applyAlignment="0"/>
    <xf numFmtId="189" fontId="44" fillId="0" borderId="0" applyNumberFormat="0" applyFill="0" applyBorder="0" applyAlignment="0" applyProtection="0"/>
    <xf numFmtId="211" fontId="16" fillId="0" borderId="0" applyFont="0" applyFill="0" applyBorder="0" applyAlignment="0" applyProtection="0"/>
    <xf numFmtId="0" fontId="7" fillId="0" borderId="0"/>
    <xf numFmtId="189" fontId="16" fillId="0" borderId="0"/>
    <xf numFmtId="212" fontId="23" fillId="0" borderId="19" applyFont="0" applyFill="0" applyBorder="0" applyAlignment="0" applyProtection="0"/>
    <xf numFmtId="213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0" fontId="81" fillId="29" borderId="10" applyNumberFormat="0" applyFont="0" applyAlignment="0" applyProtection="0"/>
    <xf numFmtId="38" fontId="44" fillId="25" borderId="2" applyNumberFormat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94" fillId="23" borderId="20" applyNumberFormat="0" applyAlignment="0" applyProtection="0"/>
    <xf numFmtId="0" fontId="71" fillId="0" borderId="8" applyNumberFormat="0">
      <alignment vertical="center"/>
    </xf>
    <xf numFmtId="217" fontId="68" fillId="0" borderId="0"/>
    <xf numFmtId="218" fontId="7" fillId="0" borderId="0" applyFill="0" applyBorder="0" applyAlignment="0" applyProtection="0"/>
    <xf numFmtId="198" fontId="72" fillId="0" borderId="0" applyFill="0" applyBorder="0" applyAlignment="0" applyProtection="0"/>
    <xf numFmtId="219" fontId="72" fillId="0" borderId="0" applyFill="0" applyBorder="0" applyAlignment="0" applyProtection="0"/>
    <xf numFmtId="220" fontId="72" fillId="0" borderId="0" applyFill="0" applyBorder="0" applyAlignment="0" applyProtection="0"/>
    <xf numFmtId="219" fontId="16" fillId="0" borderId="0" applyFont="0" applyFill="0" applyBorder="0" applyAlignment="0"/>
    <xf numFmtId="10" fontId="7" fillId="0" borderId="0" applyFont="0" applyFill="0" applyBorder="0" applyAlignment="0" applyProtection="0"/>
    <xf numFmtId="207" fontId="72" fillId="0" borderId="0" applyFill="0" applyBorder="0" applyAlignment="0" applyProtection="0"/>
    <xf numFmtId="10" fontId="69" fillId="0" borderId="0"/>
    <xf numFmtId="221" fontId="54" fillId="22" borderId="21" applyFont="0" applyFill="0" applyBorder="0" applyAlignment="0" applyProtection="0"/>
    <xf numFmtId="9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38" fontId="16" fillId="25" borderId="0" applyNumberFormat="0" applyFont="0" applyBorder="0" applyAlignment="0" applyProtection="0">
      <alignment horizontal="right"/>
    </xf>
    <xf numFmtId="0" fontId="73" fillId="0" borderId="0" applyNumberFormat="0" applyFill="0" applyBorder="0" applyAlignment="0" applyProtection="0"/>
    <xf numFmtId="223" fontId="74" fillId="0" borderId="22">
      <alignment horizontal="right"/>
    </xf>
    <xf numFmtId="224" fontId="44" fillId="0" borderId="0" applyFill="0" applyBorder="0" applyProtection="0">
      <alignment horizontal="right"/>
    </xf>
    <xf numFmtId="189" fontId="53" fillId="30" borderId="0" applyNumberFormat="0" applyFont="0" applyBorder="0" applyAlignment="0" applyProtection="0"/>
    <xf numFmtId="38" fontId="75" fillId="0" borderId="0" applyNumberFormat="0" applyFill="0" applyBorder="0" applyAlignment="0" applyProtection="0"/>
    <xf numFmtId="189" fontId="75" fillId="0" borderId="0" applyNumberFormat="0" applyFill="0" applyBorder="0" applyAlignment="0" applyProtection="0"/>
    <xf numFmtId="38" fontId="16" fillId="0" borderId="13" applyNumberFormat="0" applyFont="0" applyFill="0" applyAlignment="0" applyProtection="0"/>
    <xf numFmtId="38" fontId="16" fillId="0" borderId="13" applyNumberFormat="0" applyFont="0" applyAlignment="0">
      <alignment horizontal="left" indent="1"/>
    </xf>
    <xf numFmtId="0" fontId="19" fillId="0" borderId="0"/>
    <xf numFmtId="38" fontId="44" fillId="0" borderId="11" applyFont="0"/>
    <xf numFmtId="38" fontId="44" fillId="0" borderId="11" applyFont="0"/>
    <xf numFmtId="1" fontId="76" fillId="0" borderId="0"/>
    <xf numFmtId="189" fontId="77" fillId="0" borderId="0" applyFill="0" applyBorder="0" applyAlignment="0" applyProtection="0">
      <alignment horizontal="right"/>
    </xf>
    <xf numFmtId="225" fontId="7" fillId="0" borderId="0" applyFont="0" applyFill="0" applyBorder="0" applyAlignment="0" applyProtection="0">
      <alignment horizontal="right"/>
    </xf>
    <xf numFmtId="0" fontId="95" fillId="0" borderId="0" applyNumberFormat="0" applyFill="0" applyBorder="0" applyAlignment="0" applyProtection="0"/>
    <xf numFmtId="0" fontId="96" fillId="0" borderId="23" applyNumberFormat="0" applyFill="0" applyAlignment="0" applyProtection="0"/>
    <xf numFmtId="38" fontId="44" fillId="0" borderId="24" applyNumberFormat="0" applyFont="0" applyFill="0" applyAlignment="0">
      <alignment horizontal="left" indent="3"/>
    </xf>
    <xf numFmtId="38" fontId="16" fillId="0" borderId="8" applyNumberFormat="0" applyFont="0" applyFill="0" applyAlignment="0" applyProtection="0"/>
    <xf numFmtId="38" fontId="56" fillId="0" borderId="0" applyNumberFormat="0" applyAlignment="0" applyProtection="0"/>
    <xf numFmtId="226" fontId="7" fillId="0" borderId="0">
      <alignment vertical="center"/>
    </xf>
    <xf numFmtId="0" fontId="97" fillId="0" borderId="0" applyNumberFormat="0" applyFill="0" applyBorder="0" applyAlignment="0" applyProtection="0"/>
    <xf numFmtId="227" fontId="72" fillId="0" borderId="0" applyFont="0" applyFill="0" applyBorder="0" applyAlignment="0" applyProtection="0"/>
    <xf numFmtId="220" fontId="7" fillId="0" borderId="0" applyFont="0" applyFill="0" applyBorder="0" applyAlignment="0"/>
    <xf numFmtId="38" fontId="16" fillId="0" borderId="0"/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3" applyNumberFormat="0" applyAlignment="0" applyProtection="0">
      <alignment vertical="center"/>
    </xf>
    <xf numFmtId="0" fontId="11" fillId="0" borderId="0"/>
    <xf numFmtId="0" fontId="30" fillId="3" borderId="0" applyNumberFormat="0" applyBorder="0" applyAlignment="0" applyProtection="0">
      <alignment vertical="center"/>
    </xf>
    <xf numFmtId="23" fontId="16" fillId="0" borderId="0" applyBorder="0" applyAlignment="0"/>
    <xf numFmtId="0" fontId="43" fillId="0" borderId="0" applyNumberFormat="0" applyFill="0" applyBorder="0" applyAlignment="0" applyProtection="0">
      <alignment vertical="top"/>
      <protection locked="0"/>
    </xf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9" fillId="29" borderId="10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25" applyFont="0" applyFill="0" applyBorder="0" applyAlignment="0" applyProtection="0"/>
    <xf numFmtId="9" fontId="6" fillId="0" borderId="0" applyFont="0" applyFill="0" applyBorder="0" applyAlignment="0" applyProtection="0"/>
    <xf numFmtId="9" fontId="11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8" fillId="0" borderId="0"/>
    <xf numFmtId="0" fontId="47" fillId="0" borderId="2" applyNumberFormat="0" applyFont="0" applyFill="0" applyBorder="0" applyProtection="0">
      <alignment horizontal="centerContinuous" vertical="center"/>
    </xf>
    <xf numFmtId="0" fontId="32" fillId="0" borderId="0" applyNumberFormat="0" applyFill="0" applyBorder="0" applyAlignment="0" applyProtection="0">
      <alignment vertical="center"/>
    </xf>
    <xf numFmtId="0" fontId="33" fillId="26" borderId="4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1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7" fillId="0" borderId="0"/>
    <xf numFmtId="0" fontId="34" fillId="0" borderId="17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6" fillId="0" borderId="0" applyBorder="0" applyAlignment="0">
      <alignment horizontal="right"/>
    </xf>
    <xf numFmtId="0" fontId="36" fillId="7" borderId="3" applyNumberFormat="0" applyAlignment="0" applyProtection="0">
      <alignment vertical="center"/>
    </xf>
    <xf numFmtId="4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Fill="0" applyBorder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50" fillId="0" borderId="0"/>
    <xf numFmtId="0" fontId="42" fillId="23" borderId="20" applyNumberFormat="0" applyAlignment="0" applyProtection="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9" fillId="0" borderId="0"/>
    <xf numFmtId="0" fontId="26" fillId="0" borderId="0">
      <alignment vertical="center"/>
    </xf>
    <xf numFmtId="0" fontId="50" fillId="0" borderId="0"/>
    <xf numFmtId="0" fontId="6" fillId="0" borderId="0"/>
    <xf numFmtId="0" fontId="98" fillId="0" borderId="0"/>
    <xf numFmtId="0" fontId="7" fillId="0" borderId="0"/>
    <xf numFmtId="0" fontId="7" fillId="0" borderId="0"/>
    <xf numFmtId="0" fontId="11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91" fontId="48" fillId="0" borderId="0" applyFont="0" applyFill="0" applyBorder="0" applyAlignment="0" applyProtection="0"/>
    <xf numFmtId="191" fontId="4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13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0"/>
    <xf numFmtId="9" fontId="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159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150">
    <xf numFmtId="0" fontId="0" fillId="0" borderId="0" xfId="0"/>
    <xf numFmtId="0" fontId="25" fillId="31" borderId="0" xfId="335" applyFont="1" applyFill="1" applyAlignment="1">
      <alignment vertical="center"/>
    </xf>
    <xf numFmtId="0" fontId="78" fillId="31" borderId="0" xfId="335" applyFont="1" applyFill="1" applyAlignment="1">
      <alignment horizontal="right" vertical="center"/>
    </xf>
    <xf numFmtId="0" fontId="78" fillId="31" borderId="0" xfId="335" applyFont="1" applyFill="1" applyAlignment="1">
      <alignment vertical="center"/>
    </xf>
    <xf numFmtId="3" fontId="78" fillId="31" borderId="0" xfId="335" applyNumberFormat="1" applyFont="1" applyFill="1" applyAlignment="1">
      <alignment vertical="center"/>
    </xf>
    <xf numFmtId="0" fontId="78" fillId="0" borderId="0" xfId="335" applyFont="1" applyAlignment="1">
      <alignment vertical="center"/>
    </xf>
    <xf numFmtId="0" fontId="78" fillId="0" borderId="0" xfId="336" applyFont="1">
      <alignment vertical="center"/>
    </xf>
    <xf numFmtId="0" fontId="78" fillId="32" borderId="0" xfId="336" applyFont="1" applyFill="1">
      <alignment vertical="center"/>
    </xf>
    <xf numFmtId="0" fontId="78" fillId="32" borderId="0" xfId="336" applyFont="1" applyFill="1" applyBorder="1" applyAlignment="1">
      <alignment horizontal="center" vertical="center" shrinkToFit="1"/>
    </xf>
    <xf numFmtId="179" fontId="7" fillId="32" borderId="0" xfId="265" applyNumberFormat="1" applyFont="1" applyFill="1" applyBorder="1">
      <alignment vertical="center"/>
    </xf>
    <xf numFmtId="179" fontId="78" fillId="32" borderId="0" xfId="268" applyNumberFormat="1" applyFont="1" applyFill="1" applyBorder="1" applyAlignment="1">
      <alignment vertical="center"/>
    </xf>
    <xf numFmtId="179" fontId="7" fillId="32" borderId="8" xfId="265" applyNumberFormat="1" applyFont="1" applyFill="1" applyBorder="1">
      <alignment vertical="center"/>
    </xf>
    <xf numFmtId="179" fontId="78" fillId="32" borderId="8" xfId="268" applyNumberFormat="1" applyFont="1" applyFill="1" applyBorder="1" applyAlignment="1">
      <alignment vertical="center"/>
    </xf>
    <xf numFmtId="0" fontId="78" fillId="32" borderId="26" xfId="336" applyFont="1" applyFill="1" applyBorder="1" applyAlignment="1">
      <alignment horizontal="center" vertical="center" shrinkToFit="1"/>
    </xf>
    <xf numFmtId="0" fontId="99" fillId="31" borderId="0" xfId="338" applyFont="1" applyFill="1" applyAlignment="1" applyProtection="1">
      <alignment horizontal="left" vertical="center" indent="1"/>
    </xf>
    <xf numFmtId="0" fontId="78" fillId="31" borderId="0" xfId="0" applyFont="1" applyFill="1" applyBorder="1" applyAlignment="1">
      <alignment horizontal="left" vertical="center"/>
    </xf>
    <xf numFmtId="3" fontId="78" fillId="31" borderId="0" xfId="0" applyNumberFormat="1" applyFont="1" applyFill="1" applyAlignment="1">
      <alignment vertical="center"/>
    </xf>
    <xf numFmtId="0" fontId="78" fillId="31" borderId="0" xfId="0" applyFont="1" applyFill="1" applyAlignment="1">
      <alignment vertical="center"/>
    </xf>
    <xf numFmtId="3" fontId="78" fillId="31" borderId="0" xfId="0" applyNumberFormat="1" applyFont="1" applyFill="1"/>
    <xf numFmtId="0" fontId="78" fillId="31" borderId="0" xfId="0" applyFont="1" applyFill="1"/>
    <xf numFmtId="0" fontId="79" fillId="31" borderId="0" xfId="335" applyFont="1" applyFill="1" applyAlignment="1">
      <alignment vertical="center"/>
    </xf>
    <xf numFmtId="0" fontId="78" fillId="32" borderId="0" xfId="336" applyFont="1" applyFill="1" applyAlignment="1">
      <alignment horizontal="right" vertical="center"/>
    </xf>
    <xf numFmtId="0" fontId="78" fillId="32" borderId="27" xfId="336" applyFont="1" applyFill="1" applyBorder="1" applyAlignment="1">
      <alignment horizontal="center" vertical="center" shrinkToFit="1"/>
    </xf>
    <xf numFmtId="0" fontId="78" fillId="32" borderId="0" xfId="0" applyFont="1" applyFill="1"/>
    <xf numFmtId="41" fontId="78" fillId="32" borderId="0" xfId="276" applyFont="1" applyFill="1" applyBorder="1" applyAlignment="1">
      <alignment vertical="center"/>
    </xf>
    <xf numFmtId="178" fontId="78" fillId="31" borderId="0" xfId="276" applyNumberFormat="1" applyFont="1" applyFill="1" applyBorder="1" applyAlignment="1">
      <alignment vertical="center"/>
    </xf>
    <xf numFmtId="41" fontId="78" fillId="32" borderId="28" xfId="276" applyFont="1" applyFill="1" applyBorder="1" applyAlignment="1">
      <alignment vertical="center"/>
    </xf>
    <xf numFmtId="41" fontId="78" fillId="32" borderId="29" xfId="276" applyFont="1" applyFill="1" applyBorder="1" applyAlignment="1">
      <alignment vertical="center"/>
    </xf>
    <xf numFmtId="0" fontId="78" fillId="31" borderId="0" xfId="335" applyFont="1" applyFill="1" applyBorder="1" applyAlignment="1">
      <alignment horizontal="right" vertical="center"/>
    </xf>
    <xf numFmtId="41" fontId="78" fillId="31" borderId="0" xfId="335" applyNumberFormat="1" applyFont="1" applyFill="1" applyAlignment="1">
      <alignment vertical="center"/>
    </xf>
    <xf numFmtId="41" fontId="7" fillId="32" borderId="30" xfId="276" applyFont="1" applyFill="1" applyBorder="1" applyAlignment="1">
      <alignment vertical="center"/>
    </xf>
    <xf numFmtId="41" fontId="78" fillId="32" borderId="30" xfId="276" applyFont="1" applyFill="1" applyBorder="1" applyAlignment="1">
      <alignment vertical="center"/>
    </xf>
    <xf numFmtId="41" fontId="7" fillId="32" borderId="29" xfId="276" applyFont="1" applyFill="1" applyBorder="1" applyAlignment="1">
      <alignment vertical="center"/>
    </xf>
    <xf numFmtId="0" fontId="0" fillId="32" borderId="0" xfId="0" applyFill="1"/>
    <xf numFmtId="179" fontId="79" fillId="32" borderId="0" xfId="268" applyNumberFormat="1" applyFont="1" applyFill="1" applyBorder="1" applyAlignment="1">
      <alignment vertical="center"/>
    </xf>
    <xf numFmtId="0" fontId="25" fillId="31" borderId="0" xfId="335" applyFont="1" applyFill="1" applyBorder="1" applyAlignment="1">
      <alignment horizontal="right" vertical="center"/>
    </xf>
    <xf numFmtId="0" fontId="25" fillId="31" borderId="0" xfId="0" applyFont="1" applyFill="1" applyBorder="1" applyAlignment="1">
      <alignment horizontal="center" vertical="center"/>
    </xf>
    <xf numFmtId="179" fontId="25" fillId="31" borderId="0" xfId="260" applyNumberFormat="1" applyFont="1" applyFill="1" applyBorder="1" applyAlignment="1">
      <alignment vertical="center"/>
    </xf>
    <xf numFmtId="179" fontId="24" fillId="31" borderId="0" xfId="260" applyNumberFormat="1" applyFont="1" applyFill="1" applyBorder="1" applyAlignment="1">
      <alignment vertical="center"/>
    </xf>
    <xf numFmtId="0" fontId="25" fillId="31" borderId="0" xfId="0" applyFont="1" applyFill="1"/>
    <xf numFmtId="3" fontId="25" fillId="31" borderId="0" xfId="335" applyNumberFormat="1" applyFont="1" applyFill="1" applyBorder="1" applyAlignment="1">
      <alignment vertical="center"/>
    </xf>
    <xf numFmtId="0" fontId="25" fillId="31" borderId="0" xfId="0" applyFont="1" applyFill="1" applyAlignment="1">
      <alignment vertical="center"/>
    </xf>
    <xf numFmtId="41" fontId="7" fillId="32" borderId="0" xfId="276" applyFont="1" applyFill="1" applyBorder="1" applyAlignment="1">
      <alignment vertical="center"/>
    </xf>
    <xf numFmtId="179" fontId="78" fillId="32" borderId="0" xfId="337" applyNumberFormat="1" applyFont="1" applyFill="1" applyBorder="1">
      <alignment vertical="center"/>
    </xf>
    <xf numFmtId="0" fontId="25" fillId="32" borderId="0" xfId="0" applyFont="1" applyFill="1" applyBorder="1" applyAlignment="1">
      <alignment horizontal="left" vertical="center"/>
    </xf>
    <xf numFmtId="0" fontId="25" fillId="32" borderId="11" xfId="0" applyFont="1" applyFill="1" applyBorder="1" applyAlignment="1">
      <alignment horizontal="left" vertical="center"/>
    </xf>
    <xf numFmtId="0" fontId="25" fillId="32" borderId="8" xfId="0" applyFont="1" applyFill="1" applyBorder="1" applyAlignment="1">
      <alignment horizontal="left" vertical="center"/>
    </xf>
    <xf numFmtId="179" fontId="25" fillId="32" borderId="8" xfId="268" applyNumberFormat="1" applyFont="1" applyFill="1" applyBorder="1" applyAlignment="1">
      <alignment horizontal="right" vertical="center"/>
    </xf>
    <xf numFmtId="41" fontId="25" fillId="32" borderId="11" xfId="276" applyFont="1" applyFill="1" applyBorder="1" applyAlignment="1">
      <alignment horizontal="right" vertical="center"/>
    </xf>
    <xf numFmtId="41" fontId="25" fillId="31" borderId="11" xfId="290" applyFont="1" applyFill="1" applyBorder="1" applyAlignment="1">
      <alignment horizontal="right" vertical="center"/>
    </xf>
    <xf numFmtId="41" fontId="25" fillId="32" borderId="0" xfId="276" applyFont="1" applyFill="1" applyBorder="1" applyAlignment="1">
      <alignment horizontal="right" vertical="center"/>
    </xf>
    <xf numFmtId="41" fontId="25" fillId="31" borderId="0" xfId="290" applyFont="1" applyFill="1" applyBorder="1" applyAlignment="1">
      <alignment horizontal="right" vertical="center"/>
    </xf>
    <xf numFmtId="41" fontId="24" fillId="34" borderId="11" xfId="290" applyFont="1" applyFill="1" applyBorder="1" applyAlignment="1">
      <alignment horizontal="right" vertical="center"/>
    </xf>
    <xf numFmtId="41" fontId="24" fillId="34" borderId="0" xfId="290" applyFont="1" applyFill="1" applyBorder="1" applyAlignment="1">
      <alignment horizontal="right" vertical="center"/>
    </xf>
    <xf numFmtId="179" fontId="24" fillId="34" borderId="8" xfId="268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15" fillId="0" borderId="0" xfId="0" applyFont="1" applyAlignment="1">
      <alignment vertical="center"/>
    </xf>
    <xf numFmtId="0" fontId="11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178" fontId="115" fillId="0" borderId="0" xfId="0" applyNumberFormat="1" applyFont="1" applyAlignment="1">
      <alignment vertical="center"/>
    </xf>
    <xf numFmtId="229" fontId="115" fillId="0" borderId="0" xfId="0" applyNumberFormat="1" applyFont="1" applyAlignment="1">
      <alignment vertical="center"/>
    </xf>
    <xf numFmtId="0" fontId="115" fillId="0" borderId="0" xfId="0" applyFont="1" applyAlignment="1">
      <alignment vertical="center"/>
    </xf>
    <xf numFmtId="229" fontId="115" fillId="0" borderId="0" xfId="0" applyNumberFormat="1" applyFont="1" applyAlignment="1">
      <alignment vertical="center"/>
    </xf>
    <xf numFmtId="41" fontId="24" fillId="32" borderId="11" xfId="290" applyFont="1" applyFill="1" applyBorder="1" applyAlignment="1">
      <alignment horizontal="right" vertical="center"/>
    </xf>
    <xf numFmtId="41" fontId="24" fillId="32" borderId="0" xfId="290" applyFont="1" applyFill="1" applyBorder="1" applyAlignment="1">
      <alignment horizontal="right" vertical="center"/>
    </xf>
    <xf numFmtId="179" fontId="24" fillId="32" borderId="8" xfId="268" applyNumberFormat="1" applyFont="1" applyFill="1" applyBorder="1" applyAlignment="1">
      <alignment horizontal="right" vertical="center"/>
    </xf>
    <xf numFmtId="0" fontId="79" fillId="32" borderId="0" xfId="336" applyFont="1" applyFill="1">
      <alignment vertical="center"/>
    </xf>
    <xf numFmtId="0" fontId="78" fillId="32" borderId="0" xfId="337" applyFont="1" applyFill="1" applyBorder="1" applyAlignment="1">
      <alignment vertical="center"/>
    </xf>
    <xf numFmtId="0" fontId="78" fillId="32" borderId="0" xfId="336" applyFont="1" applyFill="1" applyBorder="1" applyAlignment="1">
      <alignment vertical="center"/>
    </xf>
    <xf numFmtId="0" fontId="117" fillId="0" borderId="0" xfId="0" applyFont="1"/>
    <xf numFmtId="0" fontId="118" fillId="32" borderId="0" xfId="0" applyFont="1" applyFill="1"/>
    <xf numFmtId="0" fontId="78" fillId="32" borderId="36" xfId="336" applyFont="1" applyFill="1" applyBorder="1" applyAlignment="1">
      <alignment horizontal="left" vertical="center" shrinkToFit="1"/>
    </xf>
    <xf numFmtId="0" fontId="78" fillId="32" borderId="37" xfId="336" applyFont="1" applyFill="1" applyBorder="1" applyAlignment="1">
      <alignment horizontal="left" vertical="center" shrinkToFit="1"/>
    </xf>
    <xf numFmtId="41" fontId="7" fillId="32" borderId="30" xfId="276" applyFont="1" applyFill="1" applyBorder="1" applyAlignment="1">
      <alignment horizontal="right" vertical="center"/>
    </xf>
    <xf numFmtId="41" fontId="78" fillId="32" borderId="30" xfId="276" applyFont="1" applyFill="1" applyBorder="1" applyAlignment="1">
      <alignment horizontal="right" vertical="center"/>
    </xf>
    <xf numFmtId="41" fontId="7" fillId="32" borderId="0" xfId="276" applyFont="1" applyFill="1" applyBorder="1" applyAlignment="1">
      <alignment horizontal="right" vertical="center"/>
    </xf>
    <xf numFmtId="41" fontId="78" fillId="32" borderId="0" xfId="276" applyFont="1" applyFill="1" applyBorder="1" applyAlignment="1">
      <alignment horizontal="right" vertical="center"/>
    </xf>
    <xf numFmtId="41" fontId="7" fillId="32" borderId="29" xfId="276" applyFont="1" applyFill="1" applyBorder="1" applyAlignment="1">
      <alignment horizontal="right" vertical="center"/>
    </xf>
    <xf numFmtId="41" fontId="78" fillId="32" borderId="29" xfId="276" applyFont="1" applyFill="1" applyBorder="1" applyAlignment="1">
      <alignment horizontal="right" vertical="center"/>
    </xf>
    <xf numFmtId="179" fontId="7" fillId="32" borderId="0" xfId="265" applyNumberFormat="1" applyFont="1" applyFill="1" applyBorder="1" applyAlignment="1">
      <alignment horizontal="right" vertical="center"/>
    </xf>
    <xf numFmtId="179" fontId="78" fillId="32" borderId="0" xfId="268" applyNumberFormat="1" applyFont="1" applyFill="1" applyBorder="1" applyAlignment="1">
      <alignment horizontal="right" vertical="center"/>
    </xf>
    <xf numFmtId="0" fontId="78" fillId="32" borderId="34" xfId="336" applyFont="1" applyFill="1" applyBorder="1" applyAlignment="1">
      <alignment horizontal="left" vertical="center" shrinkToFit="1"/>
    </xf>
    <xf numFmtId="179" fontId="7" fillId="32" borderId="8" xfId="265" applyNumberFormat="1" applyFont="1" applyFill="1" applyBorder="1" applyAlignment="1">
      <alignment horizontal="right" vertical="center"/>
    </xf>
    <xf numFmtId="179" fontId="78" fillId="32" borderId="8" xfId="268" applyNumberFormat="1" applyFont="1" applyFill="1" applyBorder="1" applyAlignment="1">
      <alignment horizontal="right" vertical="center"/>
    </xf>
    <xf numFmtId="229" fontId="115" fillId="33" borderId="0" xfId="0" applyNumberFormat="1" applyFont="1" applyFill="1" applyAlignment="1">
      <alignment vertical="center"/>
    </xf>
    <xf numFmtId="0" fontId="115" fillId="33" borderId="0" xfId="0" applyFont="1" applyFill="1" applyAlignment="1">
      <alignment vertical="center"/>
    </xf>
    <xf numFmtId="230" fontId="7" fillId="32" borderId="29" xfId="276" applyNumberFormat="1" applyFont="1" applyFill="1" applyBorder="1" applyAlignment="1">
      <alignment vertical="center"/>
    </xf>
    <xf numFmtId="230" fontId="78" fillId="32" borderId="29" xfId="276" applyNumberFormat="1" applyFont="1" applyFill="1" applyBorder="1" applyAlignment="1">
      <alignment vertical="center"/>
    </xf>
    <xf numFmtId="230" fontId="7" fillId="32" borderId="0" xfId="276" applyNumberFormat="1" applyFont="1" applyFill="1" applyBorder="1" applyAlignment="1">
      <alignment vertical="center"/>
    </xf>
    <xf numFmtId="230" fontId="78" fillId="32" borderId="0" xfId="276" applyNumberFormat="1" applyFont="1" applyFill="1" applyBorder="1" applyAlignment="1">
      <alignment vertical="center"/>
    </xf>
    <xf numFmtId="41" fontId="7" fillId="32" borderId="0" xfId="276" applyNumberFormat="1" applyFont="1" applyFill="1" applyBorder="1" applyAlignment="1">
      <alignment horizontal="right" vertical="center"/>
    </xf>
    <xf numFmtId="41" fontId="78" fillId="32" borderId="0" xfId="276" applyNumberFormat="1" applyFont="1" applyFill="1" applyBorder="1" applyAlignment="1">
      <alignment horizontal="right" vertical="center"/>
    </xf>
    <xf numFmtId="229" fontId="115" fillId="35" borderId="0" xfId="0" applyNumberFormat="1" applyFont="1" applyFill="1" applyAlignment="1">
      <alignment vertical="center"/>
    </xf>
    <xf numFmtId="0" fontId="115" fillId="35" borderId="0" xfId="0" applyFont="1" applyFill="1" applyAlignment="1">
      <alignment vertical="center"/>
    </xf>
    <xf numFmtId="229" fontId="115" fillId="32" borderId="0" xfId="0" applyNumberFormat="1" applyFont="1" applyFill="1" applyAlignment="1">
      <alignment vertical="center"/>
    </xf>
    <xf numFmtId="0" fontId="115" fillId="32" borderId="0" xfId="0" applyFont="1" applyFill="1" applyAlignment="1">
      <alignment vertical="center"/>
    </xf>
    <xf numFmtId="0" fontId="102" fillId="32" borderId="0" xfId="0" applyFont="1" applyFill="1"/>
    <xf numFmtId="0" fontId="102" fillId="0" borderId="0" xfId="0" applyFont="1"/>
    <xf numFmtId="176" fontId="121" fillId="32" borderId="0" xfId="276" applyNumberFormat="1" applyFont="1" applyFill="1" applyBorder="1" applyAlignment="1">
      <alignment horizontal="right" vertical="center"/>
    </xf>
    <xf numFmtId="176" fontId="121" fillId="32" borderId="30" xfId="276" applyNumberFormat="1" applyFont="1" applyFill="1" applyBorder="1" applyAlignment="1">
      <alignment horizontal="right" vertical="center"/>
    </xf>
    <xf numFmtId="176" fontId="120" fillId="32" borderId="0" xfId="276" applyNumberFormat="1" applyFont="1" applyFill="1" applyBorder="1" applyAlignment="1">
      <alignment horizontal="right" vertical="center"/>
    </xf>
    <xf numFmtId="176" fontId="121" fillId="32" borderId="32" xfId="276" applyNumberFormat="1" applyFont="1" applyFill="1" applyBorder="1" applyAlignment="1">
      <alignment horizontal="right" vertical="center"/>
    </xf>
    <xf numFmtId="0" fontId="122" fillId="32" borderId="0" xfId="0" applyFont="1" applyFill="1"/>
    <xf numFmtId="176" fontId="102" fillId="32" borderId="0" xfId="0" applyNumberFormat="1" applyFont="1" applyFill="1"/>
    <xf numFmtId="176" fontId="121" fillId="32" borderId="8" xfId="0" applyNumberFormat="1" applyFont="1" applyFill="1" applyBorder="1"/>
    <xf numFmtId="176" fontId="120" fillId="32" borderId="8" xfId="276" applyNumberFormat="1" applyFont="1" applyFill="1" applyBorder="1" applyAlignment="1">
      <alignment horizontal="right" vertical="center"/>
    </xf>
    <xf numFmtId="179" fontId="120" fillId="32" borderId="0" xfId="260" applyNumberFormat="1" applyFont="1" applyFill="1" applyBorder="1" applyAlignment="1">
      <alignment horizontal="right" vertical="center"/>
    </xf>
    <xf numFmtId="0" fontId="123" fillId="36" borderId="0" xfId="0" applyFont="1" applyFill="1" applyAlignment="1">
      <alignment vertical="center"/>
    </xf>
    <xf numFmtId="0" fontId="117" fillId="36" borderId="0" xfId="0" applyFont="1" applyFill="1"/>
    <xf numFmtId="0" fontId="122" fillId="0" borderId="0" xfId="0" applyFont="1"/>
    <xf numFmtId="0" fontId="122" fillId="0" borderId="0" xfId="0" applyFont="1" applyBorder="1"/>
    <xf numFmtId="3" fontId="122" fillId="32" borderId="30" xfId="0" applyNumberFormat="1" applyFont="1" applyFill="1" applyBorder="1" applyAlignment="1">
      <alignment horizontal="right"/>
    </xf>
    <xf numFmtId="3" fontId="122" fillId="32" borderId="28" xfId="0" applyNumberFormat="1" applyFont="1" applyFill="1" applyBorder="1" applyAlignment="1">
      <alignment horizontal="right"/>
    </xf>
    <xf numFmtId="0" fontId="122" fillId="32" borderId="0" xfId="0" applyFont="1" applyFill="1" applyBorder="1" applyAlignment="1">
      <alignment horizontal="left" vertical="center"/>
    </xf>
    <xf numFmtId="3" fontId="122" fillId="32" borderId="29" xfId="0" applyNumberFormat="1" applyFont="1" applyFill="1" applyBorder="1" applyAlignment="1">
      <alignment horizontal="right"/>
    </xf>
    <xf numFmtId="0" fontId="124" fillId="36" borderId="0" xfId="0" applyFont="1" applyFill="1"/>
    <xf numFmtId="0" fontId="78" fillId="31" borderId="0" xfId="335" applyFont="1" applyFill="1" applyBorder="1" applyAlignment="1">
      <alignment vertical="center"/>
    </xf>
    <xf numFmtId="0" fontId="78" fillId="31" borderId="0" xfId="335" applyFont="1" applyFill="1" applyBorder="1" applyAlignment="1">
      <alignment horizontal="left" vertical="center"/>
    </xf>
    <xf numFmtId="3" fontId="78" fillId="32" borderId="0" xfId="335" applyNumberFormat="1" applyFont="1" applyFill="1" applyBorder="1" applyAlignment="1">
      <alignment vertical="center"/>
    </xf>
    <xf numFmtId="179" fontId="78" fillId="31" borderId="0" xfId="260" applyNumberFormat="1" applyFont="1" applyFill="1" applyAlignment="1">
      <alignment vertical="center"/>
    </xf>
    <xf numFmtId="3" fontId="78" fillId="32" borderId="30" xfId="335" applyNumberFormat="1" applyFont="1" applyFill="1" applyBorder="1" applyAlignment="1">
      <alignment vertical="center"/>
    </xf>
    <xf numFmtId="3" fontId="78" fillId="32" borderId="29" xfId="335" applyNumberFormat="1" applyFont="1" applyFill="1" applyBorder="1" applyAlignment="1">
      <alignment vertical="center"/>
    </xf>
    <xf numFmtId="0" fontId="78" fillId="32" borderId="0" xfId="335" applyFont="1" applyFill="1" applyBorder="1" applyAlignment="1">
      <alignment horizontal="left" vertical="center"/>
    </xf>
    <xf numFmtId="0" fontId="78" fillId="32" borderId="0" xfId="335" applyFont="1" applyFill="1" applyBorder="1" applyAlignment="1">
      <alignment vertical="center"/>
    </xf>
    <xf numFmtId="0" fontId="78" fillId="31" borderId="0" xfId="335" applyFont="1" applyFill="1" applyBorder="1" applyAlignment="1">
      <alignment horizontal="center" vertical="center"/>
    </xf>
    <xf numFmtId="0" fontId="79" fillId="31" borderId="0" xfId="335" applyFont="1" applyFill="1" applyBorder="1" applyAlignment="1">
      <alignment horizontal="center" vertical="center"/>
    </xf>
    <xf numFmtId="0" fontId="125" fillId="36" borderId="0" xfId="335" applyFont="1" applyFill="1" applyAlignment="1">
      <alignment vertical="center"/>
    </xf>
    <xf numFmtId="0" fontId="126" fillId="32" borderId="36" xfId="0" applyFont="1" applyFill="1" applyBorder="1" applyAlignment="1">
      <alignment horizontal="center" vertical="center"/>
    </xf>
    <xf numFmtId="176" fontId="122" fillId="32" borderId="0" xfId="276" applyNumberFormat="1" applyFont="1" applyFill="1" applyBorder="1" applyAlignment="1">
      <alignment horizontal="right" vertical="center"/>
    </xf>
    <xf numFmtId="0" fontId="126" fillId="32" borderId="37" xfId="0" applyFont="1" applyFill="1" applyBorder="1" applyAlignment="1">
      <alignment horizontal="center" vertical="center"/>
    </xf>
    <xf numFmtId="176" fontId="122" fillId="32" borderId="30" xfId="276" applyNumberFormat="1" applyFont="1" applyFill="1" applyBorder="1" applyAlignment="1">
      <alignment horizontal="right" vertical="center"/>
    </xf>
    <xf numFmtId="176" fontId="115" fillId="32" borderId="0" xfId="276" applyNumberFormat="1" applyFont="1" applyFill="1" applyBorder="1" applyAlignment="1">
      <alignment horizontal="right" vertical="center"/>
    </xf>
    <xf numFmtId="0" fontId="126" fillId="32" borderId="8" xfId="0" applyFont="1" applyFill="1" applyBorder="1" applyAlignment="1">
      <alignment horizontal="center" vertical="center"/>
    </xf>
    <xf numFmtId="0" fontId="126" fillId="32" borderId="35" xfId="0" applyFont="1" applyFill="1" applyBorder="1" applyAlignment="1">
      <alignment horizontal="center" vertical="center"/>
    </xf>
    <xf numFmtId="176" fontId="122" fillId="32" borderId="32" xfId="276" applyNumberFormat="1" applyFont="1" applyFill="1" applyBorder="1" applyAlignment="1">
      <alignment horizontal="right" vertical="center"/>
    </xf>
    <xf numFmtId="176" fontId="122" fillId="32" borderId="0" xfId="0" applyNumberFormat="1" applyFont="1" applyFill="1"/>
    <xf numFmtId="3" fontId="122" fillId="32" borderId="0" xfId="0" applyNumberFormat="1" applyFont="1" applyFill="1" applyBorder="1" applyAlignment="1">
      <alignment horizontal="right"/>
    </xf>
    <xf numFmtId="0" fontId="78" fillId="36" borderId="0" xfId="0" applyFont="1" applyFill="1"/>
    <xf numFmtId="0" fontId="118" fillId="31" borderId="0" xfId="0" applyFont="1" applyFill="1" applyBorder="1" applyAlignment="1">
      <alignment horizontal="left" vertical="center"/>
    </xf>
    <xf numFmtId="178" fontId="78" fillId="31" borderId="0" xfId="335" applyNumberFormat="1" applyFont="1" applyFill="1" applyBorder="1" applyAlignment="1">
      <alignment vertical="center"/>
    </xf>
    <xf numFmtId="178" fontId="78" fillId="31" borderId="30" xfId="276" applyNumberFormat="1" applyFont="1" applyFill="1" applyBorder="1" applyAlignment="1">
      <alignment vertical="center"/>
    </xf>
    <xf numFmtId="178" fontId="78" fillId="31" borderId="28" xfId="276" applyNumberFormat="1" applyFont="1" applyFill="1" applyBorder="1" applyAlignment="1">
      <alignment vertical="center"/>
    </xf>
    <xf numFmtId="179" fontId="78" fillId="32" borderId="30" xfId="335" applyNumberFormat="1" applyFont="1" applyFill="1" applyBorder="1" applyAlignment="1">
      <alignment vertical="center"/>
    </xf>
    <xf numFmtId="179" fontId="78" fillId="32" borderId="30" xfId="260" applyNumberFormat="1" applyFont="1" applyFill="1" applyBorder="1" applyAlignment="1">
      <alignment vertical="center"/>
    </xf>
    <xf numFmtId="179" fontId="78" fillId="32" borderId="8" xfId="335" applyNumberFormat="1" applyFont="1" applyFill="1" applyBorder="1" applyAlignment="1">
      <alignment vertical="center"/>
    </xf>
    <xf numFmtId="179" fontId="78" fillId="32" borderId="8" xfId="260" applyNumberFormat="1" applyFont="1" applyFill="1" applyBorder="1" applyAlignment="1">
      <alignment vertical="center"/>
    </xf>
    <xf numFmtId="0" fontId="122" fillId="36" borderId="0" xfId="335" applyFont="1" applyFill="1" applyAlignment="1">
      <alignment vertical="center"/>
    </xf>
    <xf numFmtId="0" fontId="78" fillId="31" borderId="30" xfId="335" applyFont="1" applyFill="1" applyBorder="1" applyAlignment="1">
      <alignment horizontal="center" vertical="center"/>
    </xf>
    <xf numFmtId="0" fontId="78" fillId="31" borderId="8" xfId="335" applyFont="1" applyFill="1" applyBorder="1" applyAlignment="1">
      <alignment horizontal="center" vertical="center"/>
    </xf>
    <xf numFmtId="0" fontId="129" fillId="36" borderId="0" xfId="335" applyFont="1" applyFill="1" applyAlignment="1">
      <alignment horizontal="left" vertical="center"/>
    </xf>
    <xf numFmtId="0" fontId="122" fillId="36" borderId="0" xfId="336" applyFont="1" applyFill="1" applyAlignment="1">
      <alignment horizontal="left" vertical="center"/>
    </xf>
    <xf numFmtId="0" fontId="122" fillId="36" borderId="0" xfId="336" applyFont="1" applyFill="1">
      <alignment vertical="center"/>
    </xf>
    <xf numFmtId="0" fontId="78" fillId="32" borderId="8" xfId="336" applyFont="1" applyFill="1" applyBorder="1" applyAlignment="1">
      <alignment vertical="center"/>
    </xf>
    <xf numFmtId="0" fontId="78" fillId="32" borderId="8" xfId="337" applyFont="1" applyFill="1" applyBorder="1" applyAlignment="1">
      <alignment vertical="center"/>
    </xf>
    <xf numFmtId="179" fontId="78" fillId="32" borderId="8" xfId="337" applyNumberFormat="1" applyFont="1" applyFill="1" applyBorder="1">
      <alignment vertical="center"/>
    </xf>
    <xf numFmtId="0" fontId="118" fillId="32" borderId="0" xfId="336" applyFont="1" applyFill="1" applyBorder="1" applyAlignment="1">
      <alignment horizontal="center" vertical="center"/>
    </xf>
    <xf numFmtId="231" fontId="120" fillId="32" borderId="0" xfId="260" applyNumberFormat="1" applyFont="1" applyFill="1" applyBorder="1" applyAlignment="1">
      <alignment horizontal="right" vertical="center"/>
    </xf>
    <xf numFmtId="0" fontId="0" fillId="32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78" fillId="36" borderId="0" xfId="335" applyFont="1" applyFill="1" applyAlignment="1">
      <alignment vertical="center"/>
    </xf>
    <xf numFmtId="179" fontId="24" fillId="34" borderId="0" xfId="268" applyNumberFormat="1" applyFont="1" applyFill="1" applyBorder="1" applyAlignment="1">
      <alignment horizontal="right" vertical="center"/>
    </xf>
    <xf numFmtId="3" fontId="78" fillId="32" borderId="0" xfId="335" quotePrefix="1" applyNumberFormat="1" applyFont="1" applyFill="1" applyBorder="1" applyAlignment="1">
      <alignment horizontal="right" vertical="center"/>
    </xf>
    <xf numFmtId="3" fontId="122" fillId="32" borderId="0" xfId="0" applyNumberFormat="1" applyFont="1" applyFill="1"/>
    <xf numFmtId="41" fontId="78" fillId="32" borderId="0" xfId="335" applyNumberFormat="1" applyFont="1" applyFill="1" applyAlignment="1">
      <alignment vertical="center"/>
    </xf>
    <xf numFmtId="41" fontId="122" fillId="32" borderId="0" xfId="335" applyNumberFormat="1" applyFont="1" applyFill="1" applyAlignment="1">
      <alignment vertical="center"/>
    </xf>
    <xf numFmtId="41" fontId="78" fillId="32" borderId="30" xfId="335" applyNumberFormat="1" applyFont="1" applyFill="1" applyBorder="1" applyAlignment="1">
      <alignment vertical="center"/>
    </xf>
    <xf numFmtId="41" fontId="78" fillId="32" borderId="28" xfId="335" applyNumberFormat="1" applyFont="1" applyFill="1" applyBorder="1" applyAlignment="1">
      <alignment vertical="center"/>
    </xf>
    <xf numFmtId="176" fontId="126" fillId="32" borderId="0" xfId="0" applyNumberFormat="1" applyFont="1" applyFill="1"/>
    <xf numFmtId="179" fontId="78" fillId="32" borderId="0" xfId="260" applyNumberFormat="1" applyFont="1" applyFill="1" applyAlignment="1">
      <alignment vertical="center"/>
    </xf>
    <xf numFmtId="179" fontId="78" fillId="32" borderId="0" xfId="336" applyNumberFormat="1" applyFont="1" applyFill="1">
      <alignment vertical="center"/>
    </xf>
    <xf numFmtId="179" fontId="78" fillId="32" borderId="8" xfId="336" applyNumberFormat="1" applyFont="1" applyFill="1" applyBorder="1">
      <alignment vertical="center"/>
    </xf>
    <xf numFmtId="0" fontId="105" fillId="0" borderId="0" xfId="335" applyFont="1" applyAlignment="1">
      <alignment vertical="center"/>
    </xf>
    <xf numFmtId="0" fontId="133" fillId="0" borderId="0" xfId="335" applyFont="1" applyAlignment="1">
      <alignment vertical="center"/>
    </xf>
    <xf numFmtId="0" fontId="105" fillId="0" borderId="0" xfId="335" applyFont="1" applyFill="1" applyAlignment="1">
      <alignment vertical="center"/>
    </xf>
    <xf numFmtId="0" fontId="105" fillId="0" borderId="0" xfId="335" applyFont="1" applyFill="1" applyBorder="1" applyAlignment="1">
      <alignment vertical="center"/>
    </xf>
    <xf numFmtId="0" fontId="106" fillId="0" borderId="0" xfId="335" applyFont="1" applyFill="1" applyAlignment="1">
      <alignment vertical="center"/>
    </xf>
    <xf numFmtId="0" fontId="107" fillId="0" borderId="0" xfId="335" applyFont="1" applyFill="1" applyAlignment="1">
      <alignment vertical="center"/>
    </xf>
    <xf numFmtId="0" fontId="9" fillId="0" borderId="0" xfId="335" applyFont="1" applyFill="1" applyAlignment="1">
      <alignment vertical="center"/>
    </xf>
    <xf numFmtId="0" fontId="105" fillId="0" borderId="0" xfId="335" applyFont="1" applyAlignment="1">
      <alignment horizontal="center" vertical="center"/>
    </xf>
    <xf numFmtId="0" fontId="78" fillId="32" borderId="0" xfId="336" applyFont="1" applyFill="1" applyBorder="1" applyAlignment="1">
      <alignment horizontal="center" vertical="center" shrinkToFit="1"/>
    </xf>
    <xf numFmtId="0" fontId="114" fillId="32" borderId="0" xfId="336" applyFont="1" applyFill="1" applyBorder="1" applyAlignment="1">
      <alignment vertical="center"/>
    </xf>
    <xf numFmtId="0" fontId="114" fillId="32" borderId="0" xfId="336" applyFont="1" applyFill="1" applyBorder="1" applyAlignment="1">
      <alignment horizontal="center" vertical="center"/>
    </xf>
    <xf numFmtId="41" fontId="79" fillId="32" borderId="0" xfId="276" applyFont="1" applyFill="1" applyBorder="1" applyAlignment="1">
      <alignment horizontal="right" vertical="center"/>
    </xf>
    <xf numFmtId="41" fontId="79" fillId="32" borderId="0" xfId="276" applyNumberFormat="1" applyFont="1" applyFill="1" applyBorder="1" applyAlignment="1">
      <alignment horizontal="right" vertical="center"/>
    </xf>
    <xf numFmtId="179" fontId="79" fillId="32" borderId="0" xfId="268" applyNumberFormat="1" applyFont="1" applyFill="1" applyBorder="1" applyAlignment="1">
      <alignment horizontal="right" vertical="center"/>
    </xf>
    <xf numFmtId="176" fontId="122" fillId="32" borderId="29" xfId="276" applyNumberFormat="1" applyFont="1" applyFill="1" applyBorder="1" applyAlignment="1">
      <alignment horizontal="right" vertical="center"/>
    </xf>
    <xf numFmtId="0" fontId="122" fillId="32" borderId="36" xfId="0" applyFont="1" applyFill="1" applyBorder="1" applyAlignment="1"/>
    <xf numFmtId="0" fontId="122" fillId="32" borderId="29" xfId="0" applyFont="1" applyFill="1" applyBorder="1" applyAlignment="1"/>
    <xf numFmtId="0" fontId="122" fillId="32" borderId="0" xfId="0" applyFont="1" applyFill="1" applyAlignment="1">
      <alignment vertical="center"/>
    </xf>
    <xf numFmtId="0" fontId="78" fillId="31" borderId="28" xfId="335" applyFont="1" applyFill="1" applyBorder="1" applyAlignment="1">
      <alignment horizontal="center" vertical="center"/>
    </xf>
    <xf numFmtId="3" fontId="0" fillId="32" borderId="0" xfId="0" applyNumberFormat="1" applyFill="1"/>
    <xf numFmtId="0" fontId="80" fillId="32" borderId="0" xfId="0" applyFont="1" applyFill="1" applyBorder="1" applyAlignment="1">
      <alignment horizontal="left" vertical="center"/>
    </xf>
    <xf numFmtId="0" fontId="80" fillId="32" borderId="0" xfId="336" applyFont="1" applyFill="1">
      <alignment vertical="center"/>
    </xf>
    <xf numFmtId="0" fontId="0" fillId="0" borderId="0" xfId="0" applyFont="1"/>
    <xf numFmtId="3" fontId="118" fillId="0" borderId="0" xfId="0" applyNumberFormat="1" applyFont="1" applyAlignment="1">
      <alignment vertical="center"/>
    </xf>
    <xf numFmtId="3" fontId="122" fillId="32" borderId="0" xfId="0" applyNumberFormat="1" applyFont="1" applyFill="1" applyBorder="1" applyAlignment="1">
      <alignment horizontal="left" vertical="center"/>
    </xf>
    <xf numFmtId="9" fontId="122" fillId="32" borderId="0" xfId="0" applyNumberFormat="1" applyFont="1" applyFill="1"/>
    <xf numFmtId="178" fontId="115" fillId="32" borderId="0" xfId="0" applyNumberFormat="1" applyFont="1" applyFill="1" applyAlignment="1">
      <alignment vertical="center"/>
    </xf>
    <xf numFmtId="0" fontId="123" fillId="36" borderId="0" xfId="323" applyFont="1" applyFill="1" applyAlignment="1">
      <alignment vertical="center"/>
    </xf>
    <xf numFmtId="179" fontId="102" fillId="0" borderId="0" xfId="260" applyNumberFormat="1" applyFont="1"/>
    <xf numFmtId="0" fontId="78" fillId="32" borderId="0" xfId="0" applyFont="1" applyFill="1" applyBorder="1" applyAlignment="1">
      <alignment horizontal="center" vertical="center"/>
    </xf>
    <xf numFmtId="3" fontId="78" fillId="32" borderId="0" xfId="0" applyNumberFormat="1" applyFont="1" applyFill="1" applyBorder="1" applyAlignment="1">
      <alignment horizontal="right" vertical="center"/>
    </xf>
    <xf numFmtId="179" fontId="78" fillId="32" borderId="0" xfId="260" applyNumberFormat="1" applyFont="1" applyFill="1" applyBorder="1" applyAlignment="1">
      <alignment horizontal="right" vertical="center"/>
    </xf>
    <xf numFmtId="0" fontId="78" fillId="32" borderId="30" xfId="0" applyFont="1" applyFill="1" applyBorder="1" applyAlignment="1">
      <alignment horizontal="center" vertical="center"/>
    </xf>
    <xf numFmtId="10" fontId="78" fillId="32" borderId="30" xfId="0" applyNumberFormat="1" applyFont="1" applyFill="1" applyBorder="1" applyAlignment="1">
      <alignment horizontal="right" vertical="center"/>
    </xf>
    <xf numFmtId="3" fontId="78" fillId="32" borderId="29" xfId="0" applyNumberFormat="1" applyFont="1" applyFill="1" applyBorder="1" applyAlignment="1">
      <alignment horizontal="right" vertical="center"/>
    </xf>
    <xf numFmtId="0" fontId="78" fillId="32" borderId="32" xfId="0" applyFont="1" applyFill="1" applyBorder="1" applyAlignment="1">
      <alignment horizontal="center" vertical="center"/>
    </xf>
    <xf numFmtId="3" fontId="78" fillId="32" borderId="32" xfId="0" applyNumberFormat="1" applyFont="1" applyFill="1" applyBorder="1" applyAlignment="1">
      <alignment horizontal="right" vertical="center"/>
    </xf>
    <xf numFmtId="0" fontId="78" fillId="32" borderId="8" xfId="0" applyFont="1" applyFill="1" applyBorder="1" applyAlignment="1">
      <alignment horizontal="center" vertical="center"/>
    </xf>
    <xf numFmtId="10" fontId="78" fillId="32" borderId="8" xfId="0" applyNumberFormat="1" applyFont="1" applyFill="1" applyBorder="1" applyAlignment="1">
      <alignment horizontal="right" vertical="center"/>
    </xf>
    <xf numFmtId="0" fontId="78" fillId="32" borderId="0" xfId="0" applyFont="1" applyFill="1" applyBorder="1" applyAlignment="1">
      <alignment horizontal="center"/>
    </xf>
    <xf numFmtId="0" fontId="78" fillId="32" borderId="0" xfId="0" applyFont="1" applyFill="1" applyBorder="1" applyAlignment="1">
      <alignment horizontal="right"/>
    </xf>
    <xf numFmtId="0" fontId="79" fillId="32" borderId="0" xfId="0" applyFont="1" applyFill="1" applyBorder="1" applyAlignment="1">
      <alignment horizontal="right"/>
    </xf>
    <xf numFmtId="0" fontId="78" fillId="32" borderId="11" xfId="0" applyFont="1" applyFill="1" applyBorder="1" applyAlignment="1">
      <alignment horizontal="center" vertical="center"/>
    </xf>
    <xf numFmtId="228" fontId="78" fillId="32" borderId="11" xfId="0" applyNumberFormat="1" applyFont="1" applyFill="1" applyBorder="1" applyAlignment="1">
      <alignment horizontal="right" vertical="center"/>
    </xf>
    <xf numFmtId="228" fontId="78" fillId="32" borderId="0" xfId="0" applyNumberFormat="1" applyFont="1" applyFill="1" applyBorder="1" applyAlignment="1">
      <alignment horizontal="right" vertical="center"/>
    </xf>
    <xf numFmtId="0" fontId="78" fillId="32" borderId="0" xfId="0" applyFont="1" applyFill="1" applyBorder="1" applyAlignment="1">
      <alignment horizontal="left" vertical="center"/>
    </xf>
    <xf numFmtId="0" fontId="78" fillId="32" borderId="0" xfId="0" applyFont="1" applyFill="1" applyAlignment="1">
      <alignment horizontal="right"/>
    </xf>
    <xf numFmtId="0" fontId="79" fillId="32" borderId="0" xfId="0" applyFont="1" applyFill="1" applyAlignment="1">
      <alignment horizontal="right"/>
    </xf>
    <xf numFmtId="41" fontId="78" fillId="32" borderId="11" xfId="276" applyFont="1" applyFill="1" applyBorder="1" applyAlignment="1">
      <alignment horizontal="right" vertical="center"/>
    </xf>
    <xf numFmtId="41" fontId="78" fillId="31" borderId="11" xfId="290" applyFont="1" applyFill="1" applyBorder="1" applyAlignment="1">
      <alignment horizontal="right" vertical="center"/>
    </xf>
    <xf numFmtId="41" fontId="78" fillId="32" borderId="11" xfId="290" applyFont="1" applyFill="1" applyBorder="1" applyAlignment="1">
      <alignment horizontal="right" vertical="center"/>
    </xf>
    <xf numFmtId="41" fontId="78" fillId="32" borderId="11" xfId="290" applyFont="1" applyFill="1" applyBorder="1" applyAlignment="1">
      <alignment vertical="center"/>
    </xf>
    <xf numFmtId="41" fontId="78" fillId="32" borderId="0" xfId="290" applyFont="1" applyFill="1" applyBorder="1" applyAlignment="1">
      <alignment horizontal="right" vertical="center"/>
    </xf>
    <xf numFmtId="41" fontId="78" fillId="32" borderId="0" xfId="290" applyFont="1" applyFill="1" applyBorder="1" applyAlignment="1">
      <alignment vertical="center"/>
    </xf>
    <xf numFmtId="0" fontId="78" fillId="32" borderId="34" xfId="336" applyFont="1" applyFill="1" applyBorder="1" applyAlignment="1">
      <alignment horizontal="center" vertical="center" shrinkToFit="1"/>
    </xf>
    <xf numFmtId="3" fontId="122" fillId="32" borderId="0" xfId="282" quotePrefix="1" applyNumberFormat="1" applyFont="1" applyFill="1" applyBorder="1">
      <alignment vertical="center"/>
    </xf>
    <xf numFmtId="3" fontId="115" fillId="32" borderId="0" xfId="319" applyNumberFormat="1" applyFont="1" applyFill="1" applyBorder="1" applyAlignment="1">
      <alignment horizontal="right" vertical="center"/>
    </xf>
    <xf numFmtId="0" fontId="122" fillId="32" borderId="0" xfId="319" applyFont="1" applyFill="1" applyBorder="1" applyAlignment="1">
      <alignment horizontal="left" vertical="center" indent="1"/>
    </xf>
    <xf numFmtId="0" fontId="140" fillId="32" borderId="0" xfId="319" applyFont="1" applyFill="1">
      <alignment vertical="center"/>
    </xf>
    <xf numFmtId="0" fontId="122" fillId="32" borderId="0" xfId="319" applyFont="1" applyFill="1">
      <alignment vertical="center"/>
    </xf>
    <xf numFmtId="176" fontId="122" fillId="32" borderId="0" xfId="319" applyNumberFormat="1" applyFont="1" applyFill="1">
      <alignment vertical="center"/>
    </xf>
    <xf numFmtId="179" fontId="115" fillId="32" borderId="0" xfId="262" applyNumberFormat="1" applyFont="1" applyFill="1">
      <alignment vertical="center"/>
    </xf>
    <xf numFmtId="0" fontId="122" fillId="32" borderId="0" xfId="319" applyFont="1" applyFill="1" applyAlignment="1">
      <alignment horizontal="right" vertical="center"/>
    </xf>
    <xf numFmtId="233" fontId="122" fillId="32" borderId="0" xfId="276" applyNumberFormat="1" applyFont="1" applyFill="1" applyBorder="1" applyAlignment="1">
      <alignment horizontal="right" vertical="center"/>
    </xf>
    <xf numFmtId="0" fontId="122" fillId="32" borderId="0" xfId="319" applyFont="1" applyFill="1" applyBorder="1" applyAlignment="1">
      <alignment horizontal="left" vertical="center"/>
    </xf>
    <xf numFmtId="0" fontId="122" fillId="32" borderId="8" xfId="319" applyFont="1" applyFill="1" applyBorder="1" applyAlignment="1">
      <alignment vertical="center"/>
    </xf>
    <xf numFmtId="0" fontId="122" fillId="32" borderId="18" xfId="319" applyFont="1" applyFill="1" applyBorder="1" applyAlignment="1">
      <alignment horizontal="left" vertical="center"/>
    </xf>
    <xf numFmtId="0" fontId="122" fillId="32" borderId="18" xfId="319" applyFont="1" applyFill="1" applyBorder="1" applyAlignment="1">
      <alignment horizontal="left" vertical="center" indent="1"/>
    </xf>
    <xf numFmtId="0" fontId="122" fillId="32" borderId="0" xfId="319" applyFont="1" applyFill="1" applyBorder="1">
      <alignment vertical="center"/>
    </xf>
    <xf numFmtId="0" fontId="122" fillId="32" borderId="0" xfId="319" applyFont="1" applyFill="1" applyAlignment="1">
      <alignment horizontal="left" vertical="center"/>
    </xf>
    <xf numFmtId="41" fontId="122" fillId="32" borderId="0" xfId="282" applyFont="1" applyFill="1" applyBorder="1">
      <alignment vertical="center"/>
    </xf>
    <xf numFmtId="0" fontId="122" fillId="32" borderId="0" xfId="319" applyFont="1" applyFill="1" applyBorder="1" applyAlignment="1">
      <alignment vertical="center"/>
    </xf>
    <xf numFmtId="0" fontId="122" fillId="32" borderId="30" xfId="319" applyFont="1" applyFill="1" applyBorder="1" applyAlignment="1">
      <alignment vertical="center"/>
    </xf>
    <xf numFmtId="0" fontId="115" fillId="32" borderId="0" xfId="319" applyFont="1" applyFill="1" applyBorder="1" applyAlignment="1">
      <alignment horizontal="left" vertical="center"/>
    </xf>
    <xf numFmtId="0" fontId="122" fillId="32" borderId="24" xfId="319" applyFont="1" applyFill="1" applyBorder="1" applyAlignment="1">
      <alignment horizontal="left" vertical="center"/>
    </xf>
    <xf numFmtId="3" fontId="115" fillId="32" borderId="24" xfId="319" applyNumberFormat="1" applyFont="1" applyFill="1" applyBorder="1" applyAlignment="1">
      <alignment horizontal="right" vertical="center"/>
    </xf>
    <xf numFmtId="0" fontId="115" fillId="32" borderId="0" xfId="319" applyFont="1" applyFill="1" applyAlignment="1">
      <alignment horizontal="right" vertical="center"/>
    </xf>
    <xf numFmtId="233" fontId="115" fillId="32" borderId="0" xfId="319" applyNumberFormat="1" applyFont="1" applyFill="1" applyBorder="1" applyAlignment="1">
      <alignment horizontal="right" vertical="center"/>
    </xf>
    <xf numFmtId="233" fontId="122" fillId="32" borderId="29" xfId="319" applyNumberFormat="1" applyFont="1" applyFill="1" applyBorder="1" applyAlignment="1">
      <alignment horizontal="right" vertical="center"/>
    </xf>
    <xf numFmtId="233" fontId="122" fillId="32" borderId="30" xfId="319" applyNumberFormat="1" applyFont="1" applyFill="1" applyBorder="1" applyAlignment="1">
      <alignment horizontal="right" vertical="center"/>
    </xf>
    <xf numFmtId="233" fontId="115" fillId="32" borderId="24" xfId="319" applyNumberFormat="1" applyFont="1" applyFill="1" applyBorder="1" applyAlignment="1">
      <alignment horizontal="right" vertical="center"/>
    </xf>
    <xf numFmtId="3" fontId="122" fillId="32" borderId="0" xfId="319" applyNumberFormat="1" applyFont="1" applyFill="1" applyBorder="1">
      <alignment vertical="center"/>
    </xf>
    <xf numFmtId="0" fontId="126" fillId="36" borderId="0" xfId="0" applyFont="1" applyFill="1" applyAlignment="1">
      <alignment vertical="center"/>
    </xf>
    <xf numFmtId="0" fontId="122" fillId="36" borderId="0" xfId="0" applyFont="1" applyFill="1"/>
    <xf numFmtId="0" fontId="126" fillId="32" borderId="0" xfId="319" applyFont="1" applyFill="1">
      <alignment vertical="center"/>
    </xf>
    <xf numFmtId="0" fontId="122" fillId="32" borderId="30" xfId="319" applyFont="1" applyFill="1" applyBorder="1" applyAlignment="1">
      <alignment horizontal="left" vertical="center" indent="1"/>
    </xf>
    <xf numFmtId="0" fontId="122" fillId="32" borderId="24" xfId="319" applyFont="1" applyFill="1" applyBorder="1" applyAlignment="1">
      <alignment vertical="center"/>
    </xf>
    <xf numFmtId="3" fontId="122" fillId="32" borderId="30" xfId="282" applyNumberFormat="1" applyFont="1" applyFill="1" applyBorder="1">
      <alignment vertical="center"/>
    </xf>
    <xf numFmtId="3" fontId="122" fillId="32" borderId="29" xfId="276" applyNumberFormat="1" applyFont="1" applyFill="1" applyBorder="1" applyAlignment="1">
      <alignment horizontal="right" vertical="center"/>
    </xf>
    <xf numFmtId="3" fontId="115" fillId="32" borderId="0" xfId="282" applyNumberFormat="1" applyFont="1" applyFill="1" applyBorder="1">
      <alignment vertical="center"/>
    </xf>
    <xf numFmtId="3" fontId="115" fillId="32" borderId="8" xfId="282" applyNumberFormat="1" applyFont="1" applyFill="1" applyBorder="1">
      <alignment vertical="center"/>
    </xf>
    <xf numFmtId="3" fontId="115" fillId="32" borderId="24" xfId="276" applyNumberFormat="1" applyFont="1" applyFill="1" applyBorder="1" applyAlignment="1">
      <alignment horizontal="right" vertical="center"/>
    </xf>
    <xf numFmtId="233" fontId="115" fillId="32" borderId="30" xfId="319" applyNumberFormat="1" applyFont="1" applyFill="1" applyBorder="1" applyAlignment="1">
      <alignment horizontal="right" vertical="center"/>
    </xf>
    <xf numFmtId="3" fontId="122" fillId="32" borderId="0" xfId="276" applyNumberFormat="1" applyFont="1" applyFill="1" applyBorder="1" applyAlignment="1">
      <alignment horizontal="right" vertical="center"/>
    </xf>
    <xf numFmtId="3" fontId="122" fillId="32" borderId="30" xfId="276" applyNumberFormat="1" applyFont="1" applyFill="1" applyBorder="1" applyAlignment="1">
      <alignment horizontal="right" vertical="center"/>
    </xf>
    <xf numFmtId="3" fontId="122" fillId="32" borderId="18" xfId="276" applyNumberFormat="1" applyFont="1" applyFill="1" applyBorder="1" applyAlignment="1">
      <alignment horizontal="right" vertical="center"/>
    </xf>
    <xf numFmtId="3" fontId="122" fillId="32" borderId="30" xfId="282" quotePrefix="1" applyNumberFormat="1" applyFont="1" applyFill="1" applyBorder="1">
      <alignment vertical="center"/>
    </xf>
    <xf numFmtId="3" fontId="122" fillId="32" borderId="18" xfId="282" quotePrefix="1" applyNumberFormat="1" applyFont="1" applyFill="1" applyBorder="1">
      <alignment vertical="center"/>
    </xf>
    <xf numFmtId="0" fontId="122" fillId="32" borderId="36" xfId="319" applyFont="1" applyFill="1" applyBorder="1" applyAlignment="1">
      <alignment horizontal="left" vertical="center"/>
    </xf>
    <xf numFmtId="0" fontId="122" fillId="32" borderId="34" xfId="319" applyFont="1" applyFill="1" applyBorder="1" applyAlignment="1">
      <alignment horizontal="left" vertical="center"/>
    </xf>
    <xf numFmtId="0" fontId="122" fillId="32" borderId="37" xfId="319" applyFont="1" applyFill="1" applyBorder="1" applyAlignment="1">
      <alignment horizontal="left" vertical="center"/>
    </xf>
    <xf numFmtId="9" fontId="122" fillId="32" borderId="0" xfId="260" applyFont="1" applyFill="1" applyBorder="1" applyAlignment="1">
      <alignment horizontal="right" vertical="center"/>
    </xf>
    <xf numFmtId="9" fontId="122" fillId="32" borderId="29" xfId="260" applyFont="1" applyFill="1" applyBorder="1" applyAlignment="1">
      <alignment vertical="center"/>
    </xf>
    <xf numFmtId="9" fontId="122" fillId="32" borderId="0" xfId="260" applyFont="1" applyFill="1" applyBorder="1" applyAlignment="1">
      <alignment vertical="center"/>
    </xf>
    <xf numFmtId="9" fontId="122" fillId="32" borderId="24" xfId="260" applyFont="1" applyFill="1" applyBorder="1" applyAlignment="1">
      <alignment horizontal="right" vertical="center"/>
    </xf>
    <xf numFmtId="234" fontId="122" fillId="32" borderId="0" xfId="276" applyNumberFormat="1" applyFont="1" applyFill="1" applyBorder="1" applyAlignment="1">
      <alignment horizontal="right" vertical="center"/>
    </xf>
    <xf numFmtId="234" fontId="122" fillId="32" borderId="29" xfId="260" applyNumberFormat="1" applyFont="1" applyFill="1" applyBorder="1" applyAlignment="1">
      <alignment horizontal="right" vertical="center"/>
    </xf>
    <xf numFmtId="234" fontId="122" fillId="32" borderId="30" xfId="260" applyNumberFormat="1" applyFont="1" applyFill="1" applyBorder="1" applyAlignment="1">
      <alignment horizontal="right" vertical="center"/>
    </xf>
    <xf numFmtId="234" fontId="115" fillId="32" borderId="0" xfId="260" applyNumberFormat="1" applyFont="1" applyFill="1" applyBorder="1" applyAlignment="1">
      <alignment horizontal="right" vertical="center"/>
    </xf>
    <xf numFmtId="234" fontId="115" fillId="32" borderId="24" xfId="260" applyNumberFormat="1" applyFont="1" applyFill="1" applyBorder="1" applyAlignment="1">
      <alignment horizontal="right" vertical="center"/>
    </xf>
    <xf numFmtId="3" fontId="122" fillId="32" borderId="0" xfId="282" applyNumberFormat="1" applyFont="1" applyFill="1" applyBorder="1">
      <alignment vertical="center"/>
    </xf>
    <xf numFmtId="3" fontId="122" fillId="32" borderId="8" xfId="282" applyNumberFormat="1" applyFont="1" applyFill="1" applyBorder="1">
      <alignment vertical="center"/>
    </xf>
    <xf numFmtId="3" fontId="122" fillId="32" borderId="24" xfId="276" applyNumberFormat="1" applyFont="1" applyFill="1" applyBorder="1" applyAlignment="1">
      <alignment horizontal="right" vertical="center"/>
    </xf>
    <xf numFmtId="0" fontId="122" fillId="32" borderId="31" xfId="319" applyFont="1" applyFill="1" applyBorder="1" applyAlignment="1">
      <alignment horizontal="left" vertical="center"/>
    </xf>
    <xf numFmtId="41" fontId="115" fillId="32" borderId="0" xfId="276" applyFont="1" applyFill="1" applyBorder="1" applyAlignment="1">
      <alignment horizontal="right" vertical="center"/>
    </xf>
    <xf numFmtId="41" fontId="115" fillId="32" borderId="29" xfId="276" applyFont="1" applyFill="1" applyBorder="1" applyAlignment="1">
      <alignment horizontal="right" vertical="center"/>
    </xf>
    <xf numFmtId="41" fontId="115" fillId="32" borderId="30" xfId="276" applyFont="1" applyFill="1" applyBorder="1" applyAlignment="1">
      <alignment horizontal="right" vertical="center"/>
    </xf>
    <xf numFmtId="41" fontId="122" fillId="32" borderId="29" xfId="276" applyFont="1" applyFill="1" applyBorder="1" applyAlignment="1">
      <alignment horizontal="right" vertical="center"/>
    </xf>
    <xf numFmtId="41" fontId="122" fillId="32" borderId="30" xfId="276" applyFont="1" applyFill="1" applyBorder="1" applyAlignment="1">
      <alignment horizontal="right" vertical="center"/>
    </xf>
    <xf numFmtId="233" fontId="115" fillId="32" borderId="29" xfId="319" applyNumberFormat="1" applyFont="1" applyFill="1" applyBorder="1" applyAlignment="1">
      <alignment horizontal="right" vertical="center"/>
    </xf>
    <xf numFmtId="3" fontId="115" fillId="0" borderId="0" xfId="0" applyNumberFormat="1" applyFont="1" applyAlignment="1">
      <alignment vertical="center"/>
    </xf>
    <xf numFmtId="9" fontId="102" fillId="32" borderId="0" xfId="260" applyNumberFormat="1" applyFont="1" applyFill="1"/>
    <xf numFmtId="3" fontId="78" fillId="36" borderId="0" xfId="335" applyNumberFormat="1" applyFont="1" applyFill="1" applyAlignment="1">
      <alignment vertical="center"/>
    </xf>
    <xf numFmtId="41" fontId="122" fillId="32" borderId="0" xfId="319" applyNumberFormat="1" applyFont="1" applyFill="1">
      <alignment vertical="center"/>
    </xf>
    <xf numFmtId="233" fontId="122" fillId="32" borderId="0" xfId="282" quotePrefix="1" applyNumberFormat="1" applyFont="1" applyFill="1" applyBorder="1">
      <alignment vertical="center"/>
    </xf>
    <xf numFmtId="235" fontId="122" fillId="0" borderId="0" xfId="0" applyNumberFormat="1" applyFont="1"/>
    <xf numFmtId="229" fontId="135" fillId="0" borderId="0" xfId="0" applyNumberFormat="1" applyFont="1" applyAlignment="1">
      <alignment vertical="center"/>
    </xf>
    <xf numFmtId="0" fontId="123" fillId="36" borderId="0" xfId="323" applyFont="1" applyFill="1" applyAlignment="1">
      <alignment horizontal="left" vertical="center"/>
    </xf>
    <xf numFmtId="0" fontId="136" fillId="0" borderId="0" xfId="323" applyFont="1" applyBorder="1" applyAlignment="1">
      <alignment horizontal="center" vertical="top"/>
    </xf>
    <xf numFmtId="0" fontId="123" fillId="36" borderId="0" xfId="323" applyFont="1" applyFill="1" applyAlignment="1">
      <alignment horizontal="left" vertical="center"/>
    </xf>
    <xf numFmtId="3" fontId="116" fillId="37" borderId="0" xfId="0" applyNumberFormat="1" applyFont="1" applyFill="1" applyBorder="1" applyAlignment="1">
      <alignment horizontal="right" vertical="center"/>
    </xf>
    <xf numFmtId="228" fontId="78" fillId="32" borderId="46" xfId="0" applyNumberFormat="1" applyFont="1" applyFill="1" applyBorder="1" applyAlignment="1">
      <alignment horizontal="right" vertical="center"/>
    </xf>
    <xf numFmtId="41" fontId="78" fillId="32" borderId="46" xfId="290" applyFont="1" applyFill="1" applyBorder="1" applyAlignment="1">
      <alignment vertical="center"/>
    </xf>
    <xf numFmtId="9" fontId="122" fillId="32" borderId="32" xfId="260" applyFont="1" applyFill="1" applyBorder="1" applyAlignment="1">
      <alignment horizontal="right" vertical="center"/>
    </xf>
    <xf numFmtId="0" fontId="122" fillId="32" borderId="0" xfId="0" applyFont="1" applyFill="1" applyBorder="1" applyAlignment="1">
      <alignment vertical="center"/>
    </xf>
    <xf numFmtId="3" fontId="131" fillId="32" borderId="0" xfId="0" applyNumberFormat="1" applyFont="1" applyFill="1" applyBorder="1" applyAlignment="1">
      <alignment horizontal="right" vertical="center" wrapText="1"/>
    </xf>
    <xf numFmtId="0" fontId="122" fillId="32" borderId="0" xfId="0" applyFont="1" applyFill="1" applyBorder="1" applyAlignment="1"/>
    <xf numFmtId="0" fontId="122" fillId="32" borderId="34" xfId="0" applyFont="1" applyFill="1" applyBorder="1" applyAlignment="1"/>
    <xf numFmtId="0" fontId="122" fillId="32" borderId="0" xfId="0" applyFont="1" applyFill="1" applyBorder="1" applyAlignment="1">
      <alignment vertical="center"/>
    </xf>
    <xf numFmtId="0" fontId="122" fillId="32" borderId="36" xfId="0" applyFont="1" applyFill="1" applyBorder="1" applyAlignment="1">
      <alignment horizontal="left"/>
    </xf>
    <xf numFmtId="0" fontId="122" fillId="32" borderId="34" xfId="0" applyFont="1" applyFill="1" applyBorder="1" applyAlignment="1">
      <alignment horizontal="left"/>
    </xf>
    <xf numFmtId="0" fontId="78" fillId="31" borderId="36" xfId="335" applyFont="1" applyFill="1" applyBorder="1" applyAlignment="1">
      <alignment vertical="center"/>
    </xf>
    <xf numFmtId="0" fontId="78" fillId="31" borderId="34" xfId="335" applyFont="1" applyFill="1" applyBorder="1" applyAlignment="1">
      <alignment vertical="center"/>
    </xf>
    <xf numFmtId="0" fontId="78" fillId="31" borderId="37" xfId="335" applyFont="1" applyFill="1" applyBorder="1" applyAlignment="1">
      <alignment vertical="center"/>
    </xf>
    <xf numFmtId="179" fontId="78" fillId="31" borderId="0" xfId="260" applyNumberFormat="1" applyFont="1" applyFill="1" applyBorder="1" applyAlignment="1">
      <alignment vertical="center"/>
    </xf>
    <xf numFmtId="179" fontId="78" fillId="32" borderId="0" xfId="260" applyNumberFormat="1" applyFont="1" applyFill="1" applyBorder="1" applyAlignment="1">
      <alignment vertical="center"/>
    </xf>
    <xf numFmtId="0" fontId="78" fillId="31" borderId="0" xfId="0" applyFont="1" applyFill="1" applyBorder="1"/>
    <xf numFmtId="179" fontId="78" fillId="31" borderId="0" xfId="260" applyNumberFormat="1" applyFont="1" applyFill="1" applyBorder="1"/>
    <xf numFmtId="179" fontId="78" fillId="31" borderId="8" xfId="260" applyNumberFormat="1" applyFont="1" applyFill="1" applyBorder="1" applyAlignment="1">
      <alignment vertical="center"/>
    </xf>
    <xf numFmtId="0" fontId="80" fillId="32" borderId="0" xfId="0" applyFont="1" applyFill="1" applyBorder="1" applyAlignment="1">
      <alignment horizontal="left" vertical="top"/>
    </xf>
    <xf numFmtId="3" fontId="115" fillId="32" borderId="0" xfId="0" applyNumberFormat="1" applyFont="1" applyFill="1" applyBorder="1" applyAlignment="1">
      <alignment horizontal="left" vertical="center" indent="1"/>
    </xf>
    <xf numFmtId="3" fontId="115" fillId="32" borderId="0" xfId="0" applyNumberFormat="1" applyFont="1" applyFill="1" applyBorder="1" applyAlignment="1">
      <alignment horizontal="left" vertical="center" indent="2"/>
    </xf>
    <xf numFmtId="3" fontId="115" fillId="32" borderId="0" xfId="0" applyNumberFormat="1" applyFont="1" applyFill="1" applyBorder="1" applyAlignment="1">
      <alignment horizontal="left" vertical="center" indent="3"/>
    </xf>
    <xf numFmtId="3" fontId="115" fillId="32" borderId="0" xfId="0" applyNumberFormat="1" applyFont="1" applyFill="1" applyBorder="1" applyAlignment="1">
      <alignment horizontal="left" vertical="center" indent="4"/>
    </xf>
    <xf numFmtId="3" fontId="122" fillId="32" borderId="0" xfId="0" applyNumberFormat="1" applyFont="1" applyFill="1" applyBorder="1" applyAlignment="1">
      <alignment horizontal="left" vertical="center" indent="2"/>
    </xf>
    <xf numFmtId="3" fontId="122" fillId="32" borderId="0" xfId="0" applyNumberFormat="1" applyFont="1" applyFill="1" applyBorder="1" applyAlignment="1">
      <alignment horizontal="left" vertical="center" indent="3"/>
    </xf>
    <xf numFmtId="3" fontId="126" fillId="36" borderId="0" xfId="0" applyNumberFormat="1" applyFont="1" applyFill="1" applyBorder="1" applyAlignment="1">
      <alignment horizontal="left" vertical="center"/>
    </xf>
    <xf numFmtId="3" fontId="116" fillId="36" borderId="0" xfId="0" applyNumberFormat="1" applyFont="1" applyFill="1" applyBorder="1" applyAlignment="1">
      <alignment horizontal="left" vertical="center"/>
    </xf>
    <xf numFmtId="0" fontId="115" fillId="32" borderId="0" xfId="0" applyFont="1" applyFill="1" applyBorder="1" applyAlignment="1">
      <alignment horizontal="left" vertical="center" indent="1"/>
    </xf>
    <xf numFmtId="0" fontId="115" fillId="32" borderId="0" xfId="0" applyFont="1" applyFill="1" applyBorder="1" applyAlignment="1">
      <alignment horizontal="left" vertical="center" indent="2"/>
    </xf>
    <xf numFmtId="0" fontId="115" fillId="32" borderId="0" xfId="0" applyFont="1" applyFill="1" applyBorder="1" applyAlignment="1">
      <alignment horizontal="left" vertical="center" indent="3"/>
    </xf>
    <xf numFmtId="0" fontId="116" fillId="32" borderId="0" xfId="0" applyFont="1" applyFill="1" applyBorder="1" applyAlignment="1">
      <alignment horizontal="left" vertical="center"/>
    </xf>
    <xf numFmtId="0" fontId="131" fillId="32" borderId="0" xfId="0" applyFont="1" applyFill="1" applyBorder="1" applyAlignment="1">
      <alignment horizontal="left" vertical="center" wrapText="1"/>
    </xf>
    <xf numFmtId="3" fontId="131" fillId="32" borderId="0" xfId="0" applyNumberFormat="1" applyFont="1" applyFill="1" applyBorder="1" applyAlignment="1">
      <alignment vertical="center" wrapText="1"/>
    </xf>
    <xf numFmtId="0" fontId="136" fillId="32" borderId="0" xfId="323" applyFont="1" applyFill="1" applyBorder="1" applyAlignment="1">
      <alignment horizontal="center" vertical="top"/>
    </xf>
    <xf numFmtId="0" fontId="121" fillId="32" borderId="0" xfId="0" applyFont="1" applyFill="1" applyBorder="1" applyAlignment="1">
      <alignment horizontal="left" vertical="center" wrapText="1"/>
    </xf>
    <xf numFmtId="3" fontId="121" fillId="32" borderId="0" xfId="0" applyNumberFormat="1" applyFont="1" applyFill="1" applyBorder="1" applyAlignment="1">
      <alignment vertical="center" wrapText="1"/>
    </xf>
    <xf numFmtId="0" fontId="131" fillId="32" borderId="8" xfId="0" applyFont="1" applyFill="1" applyBorder="1" applyAlignment="1">
      <alignment horizontal="left" vertical="center" wrapText="1"/>
    </xf>
    <xf numFmtId="3" fontId="131" fillId="32" borderId="8" xfId="0" applyNumberFormat="1" applyFont="1" applyFill="1" applyBorder="1" applyAlignment="1">
      <alignment vertical="center" wrapText="1"/>
    </xf>
    <xf numFmtId="0" fontId="121" fillId="32" borderId="0" xfId="0" applyFont="1" applyFill="1"/>
    <xf numFmtId="176" fontId="121" fillId="32" borderId="8" xfId="0" applyNumberFormat="1" applyFont="1" applyFill="1" applyBorder="1" applyAlignment="1">
      <alignment vertical="center"/>
    </xf>
    <xf numFmtId="0" fontId="0" fillId="32" borderId="0" xfId="0" applyFill="1" applyBorder="1"/>
    <xf numFmtId="0" fontId="130" fillId="32" borderId="0" xfId="0" applyFont="1" applyFill="1" applyBorder="1" applyAlignment="1">
      <alignment horizontal="left" vertical="center" wrapText="1"/>
    </xf>
    <xf numFmtId="3" fontId="130" fillId="32" borderId="0" xfId="0" applyNumberFormat="1" applyFont="1" applyFill="1" applyBorder="1" applyAlignment="1">
      <alignment horizontal="right" vertical="center" wrapText="1"/>
    </xf>
    <xf numFmtId="0" fontId="130" fillId="32" borderId="0" xfId="0" applyFont="1" applyFill="1" applyBorder="1" applyAlignment="1">
      <alignment horizontal="right" vertical="center" wrapText="1"/>
    </xf>
    <xf numFmtId="0" fontId="136" fillId="32" borderId="0" xfId="323" applyFont="1" applyFill="1" applyBorder="1" applyAlignment="1">
      <alignment horizontal="center" vertical="top"/>
    </xf>
    <xf numFmtId="3" fontId="122" fillId="0" borderId="0" xfId="0" applyNumberFormat="1" applyFont="1"/>
    <xf numFmtId="176" fontId="122" fillId="32" borderId="30" xfId="276" applyNumberFormat="1" applyFont="1" applyFill="1" applyBorder="1" applyAlignment="1">
      <alignment vertical="center"/>
    </xf>
    <xf numFmtId="176" fontId="122" fillId="32" borderId="29" xfId="276" applyNumberFormat="1" applyFont="1" applyFill="1" applyBorder="1" applyAlignment="1">
      <alignment vertical="center"/>
    </xf>
    <xf numFmtId="176" fontId="122" fillId="32" borderId="0" xfId="276" applyNumberFormat="1" applyFont="1" applyFill="1" applyBorder="1" applyAlignment="1">
      <alignment vertical="center"/>
    </xf>
    <xf numFmtId="176" fontId="122" fillId="32" borderId="8" xfId="276" applyNumberFormat="1" applyFont="1" applyFill="1" applyBorder="1" applyAlignment="1">
      <alignment vertical="center"/>
    </xf>
    <xf numFmtId="176" fontId="122" fillId="32" borderId="18" xfId="276" applyNumberFormat="1" applyFont="1" applyFill="1" applyBorder="1" applyAlignment="1">
      <alignment vertical="center"/>
    </xf>
    <xf numFmtId="41" fontId="122" fillId="32" borderId="0" xfId="276" applyFont="1" applyFill="1" applyBorder="1" applyAlignment="1">
      <alignment horizontal="left" vertical="center"/>
    </xf>
    <xf numFmtId="41" fontId="122" fillId="32" borderId="29" xfId="276" applyFont="1" applyFill="1" applyBorder="1" applyAlignment="1">
      <alignment horizontal="left" vertical="center"/>
    </xf>
    <xf numFmtId="41" fontId="122" fillId="32" borderId="30" xfId="276" applyFont="1" applyFill="1" applyBorder="1" applyAlignment="1">
      <alignment horizontal="left" vertical="center"/>
    </xf>
    <xf numFmtId="41" fontId="115" fillId="32" borderId="0" xfId="276" applyFont="1" applyFill="1" applyBorder="1" applyAlignment="1">
      <alignment horizontal="left" vertical="center"/>
    </xf>
    <xf numFmtId="41" fontId="122" fillId="32" borderId="24" xfId="276" applyFont="1" applyFill="1" applyBorder="1" applyAlignment="1">
      <alignment vertical="center"/>
    </xf>
    <xf numFmtId="233" fontId="122" fillId="32" borderId="24" xfId="319" applyNumberFormat="1" applyFont="1" applyFill="1" applyBorder="1" applyAlignment="1">
      <alignment horizontal="right" vertical="center"/>
    </xf>
    <xf numFmtId="234" fontId="122" fillId="32" borderId="0" xfId="319" applyNumberFormat="1" applyFont="1" applyFill="1" applyBorder="1" applyAlignment="1">
      <alignment horizontal="right" vertical="center"/>
    </xf>
    <xf numFmtId="179" fontId="148" fillId="32" borderId="30" xfId="260" applyNumberFormat="1" applyFont="1" applyFill="1" applyBorder="1" applyAlignment="1">
      <alignment vertical="center"/>
    </xf>
    <xf numFmtId="179" fontId="148" fillId="32" borderId="8" xfId="260" applyNumberFormat="1" applyFont="1" applyFill="1" applyBorder="1" applyAlignment="1">
      <alignment vertical="center"/>
    </xf>
    <xf numFmtId="41" fontId="78" fillId="32" borderId="30" xfId="276" applyNumberFormat="1" applyFont="1" applyFill="1" applyBorder="1" applyAlignment="1">
      <alignment horizontal="right" vertical="center"/>
    </xf>
    <xf numFmtId="0" fontId="118" fillId="32" borderId="0" xfId="319" applyFont="1" applyFill="1" applyBorder="1">
      <alignment vertical="center"/>
    </xf>
    <xf numFmtId="179" fontId="115" fillId="32" borderId="0" xfId="260" applyNumberFormat="1" applyFont="1" applyFill="1" applyBorder="1" applyAlignment="1">
      <alignment horizontal="right" vertical="center"/>
    </xf>
    <xf numFmtId="179" fontId="79" fillId="32" borderId="0" xfId="260" applyNumberFormat="1" applyFont="1" applyFill="1" applyBorder="1" applyAlignment="1">
      <alignment horizontal="right" vertical="center"/>
    </xf>
    <xf numFmtId="176" fontId="122" fillId="32" borderId="0" xfId="319" applyNumberFormat="1" applyFont="1" applyFill="1" applyBorder="1" applyAlignment="1">
      <alignment horizontal="left" vertical="center" indent="1"/>
    </xf>
    <xf numFmtId="0" fontId="80" fillId="31" borderId="11" xfId="335" applyFont="1" applyFill="1" applyBorder="1" applyAlignment="1">
      <alignment vertical="top"/>
    </xf>
    <xf numFmtId="0" fontId="147" fillId="36" borderId="0" xfId="335" applyFont="1" applyFill="1" applyAlignment="1">
      <alignment horizontal="left" vertical="center"/>
    </xf>
    <xf numFmtId="3" fontId="150" fillId="32" borderId="30" xfId="282" quotePrefix="1" applyNumberFormat="1" applyFont="1" applyFill="1" applyBorder="1">
      <alignment vertical="center"/>
    </xf>
    <xf numFmtId="0" fontId="149" fillId="36" borderId="0" xfId="335" applyFont="1" applyFill="1" applyAlignment="1">
      <alignment vertical="center"/>
    </xf>
    <xf numFmtId="0" fontId="149" fillId="36" borderId="0" xfId="0" applyFont="1" applyFill="1" applyAlignment="1">
      <alignment vertical="center"/>
    </xf>
    <xf numFmtId="0" fontId="151" fillId="32" borderId="0" xfId="336" applyFont="1" applyFill="1">
      <alignment vertical="center"/>
    </xf>
    <xf numFmtId="0" fontId="151" fillId="36" borderId="0" xfId="335" applyFont="1" applyFill="1" applyAlignment="1">
      <alignment vertical="center"/>
    </xf>
    <xf numFmtId="0" fontId="149" fillId="36" borderId="0" xfId="323" applyFont="1" applyFill="1" applyAlignment="1">
      <alignment vertical="center"/>
    </xf>
    <xf numFmtId="176" fontId="127" fillId="38" borderId="0" xfId="276" applyNumberFormat="1" applyFont="1" applyFill="1" applyBorder="1" applyAlignment="1">
      <alignment horizontal="right" vertical="center"/>
    </xf>
    <xf numFmtId="0" fontId="128" fillId="38" borderId="0" xfId="0" applyFont="1" applyFill="1" applyBorder="1" applyAlignment="1">
      <alignment horizontal="center" vertical="center" wrapText="1"/>
    </xf>
    <xf numFmtId="0" fontId="79" fillId="39" borderId="0" xfId="276" applyNumberFormat="1" applyFont="1" applyFill="1" applyBorder="1" applyAlignment="1">
      <alignment horizontal="center" vertical="center" wrapText="1"/>
    </xf>
    <xf numFmtId="41" fontId="79" fillId="39" borderId="0" xfId="276" applyFont="1" applyFill="1" applyBorder="1" applyAlignment="1">
      <alignment horizontal="center" vertical="center" wrapText="1"/>
    </xf>
    <xf numFmtId="0" fontId="128" fillId="38" borderId="0" xfId="276" applyNumberFormat="1" applyFont="1" applyFill="1" applyBorder="1" applyAlignment="1">
      <alignment horizontal="center" vertical="center" wrapText="1"/>
    </xf>
    <xf numFmtId="0" fontId="128" fillId="38" borderId="0" xfId="0" applyNumberFormat="1" applyFont="1" applyFill="1" applyBorder="1" applyAlignment="1">
      <alignment horizontal="center" vertical="center" wrapText="1"/>
    </xf>
    <xf numFmtId="0" fontId="130" fillId="38" borderId="0" xfId="0" applyFont="1" applyFill="1" applyBorder="1" applyAlignment="1">
      <alignment horizontal="left" vertical="center" wrapText="1"/>
    </xf>
    <xf numFmtId="3" fontId="130" fillId="38" borderId="0" xfId="0" applyNumberFormat="1" applyFont="1" applyFill="1" applyBorder="1" applyAlignment="1">
      <alignment vertical="center" wrapText="1"/>
    </xf>
    <xf numFmtId="3" fontId="127" fillId="38" borderId="0" xfId="0" applyNumberFormat="1" applyFont="1" applyFill="1" applyBorder="1" applyAlignment="1">
      <alignment vertical="center" wrapText="1"/>
    </xf>
    <xf numFmtId="3" fontId="130" fillId="38" borderId="0" xfId="0" applyNumberFormat="1" applyFont="1" applyFill="1" applyBorder="1" applyAlignment="1">
      <alignment horizontal="right" vertical="center" wrapText="1"/>
    </xf>
    <xf numFmtId="0" fontId="130" fillId="38" borderId="47" xfId="0" applyFont="1" applyFill="1" applyBorder="1" applyAlignment="1">
      <alignment horizontal="left" vertical="center" wrapText="1"/>
    </xf>
    <xf numFmtId="3" fontId="130" fillId="38" borderId="47" xfId="0" applyNumberFormat="1" applyFont="1" applyFill="1" applyBorder="1" applyAlignment="1">
      <alignment horizontal="right" vertical="center" wrapText="1"/>
    </xf>
    <xf numFmtId="0" fontId="143" fillId="38" borderId="0" xfId="0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3" fontId="126" fillId="38" borderId="29" xfId="276" applyNumberFormat="1" applyFont="1" applyFill="1" applyBorder="1" applyAlignment="1">
      <alignment horizontal="right" vertical="center"/>
    </xf>
    <xf numFmtId="3" fontId="116" fillId="38" borderId="0" xfId="282" applyNumberFormat="1" applyFont="1" applyFill="1" applyBorder="1">
      <alignment vertical="center"/>
    </xf>
    <xf numFmtId="3" fontId="116" fillId="38" borderId="8" xfId="282" applyNumberFormat="1" applyFont="1" applyFill="1" applyBorder="1">
      <alignment vertical="center"/>
    </xf>
    <xf numFmtId="3" fontId="116" fillId="38" borderId="24" xfId="276" applyNumberFormat="1" applyFont="1" applyFill="1" applyBorder="1" applyAlignment="1">
      <alignment horizontal="right" vertical="center"/>
    </xf>
    <xf numFmtId="41" fontId="126" fillId="38" borderId="0" xfId="276" applyFont="1" applyFill="1" applyBorder="1" applyAlignment="1">
      <alignment horizontal="left" vertical="center"/>
    </xf>
    <xf numFmtId="41" fontId="126" fillId="38" borderId="29" xfId="276" applyFont="1" applyFill="1" applyBorder="1" applyAlignment="1">
      <alignment horizontal="left" vertical="center"/>
    </xf>
    <xf numFmtId="41" fontId="126" fillId="38" borderId="30" xfId="276" applyFont="1" applyFill="1" applyBorder="1" applyAlignment="1">
      <alignment horizontal="left" vertical="center"/>
    </xf>
    <xf numFmtId="41" fontId="126" fillId="38" borderId="24" xfId="276" applyFont="1" applyFill="1" applyBorder="1" applyAlignment="1">
      <alignment vertical="center"/>
    </xf>
    <xf numFmtId="41" fontId="126" fillId="38" borderId="0" xfId="319" applyNumberFormat="1" applyFont="1" applyFill="1" applyBorder="1" applyAlignment="1">
      <alignment horizontal="center" vertical="center"/>
    </xf>
    <xf numFmtId="233" fontId="116" fillId="38" borderId="0" xfId="319" applyNumberFormat="1" applyFont="1" applyFill="1" applyBorder="1" applyAlignment="1">
      <alignment horizontal="right" vertical="center"/>
    </xf>
    <xf numFmtId="233" fontId="126" fillId="38" borderId="29" xfId="319" applyNumberFormat="1" applyFont="1" applyFill="1" applyBorder="1" applyAlignment="1">
      <alignment horizontal="right" vertical="center"/>
    </xf>
    <xf numFmtId="233" fontId="126" fillId="38" borderId="30" xfId="319" applyNumberFormat="1" applyFont="1" applyFill="1" applyBorder="1" applyAlignment="1">
      <alignment horizontal="right" vertical="center"/>
    </xf>
    <xf numFmtId="233" fontId="126" fillId="38" borderId="24" xfId="319" applyNumberFormat="1" applyFont="1" applyFill="1" applyBorder="1" applyAlignment="1">
      <alignment horizontal="right" vertical="center"/>
    </xf>
    <xf numFmtId="233" fontId="126" fillId="38" borderId="0" xfId="319" applyNumberFormat="1" applyFont="1" applyFill="1" applyBorder="1" applyAlignment="1">
      <alignment horizontal="right" vertical="center"/>
    </xf>
    <xf numFmtId="3" fontId="126" fillId="38" borderId="0" xfId="282" quotePrefix="1" applyNumberFormat="1" applyFont="1" applyFill="1" applyBorder="1">
      <alignment vertical="center"/>
    </xf>
    <xf numFmtId="3" fontId="126" fillId="38" borderId="30" xfId="282" quotePrefix="1" applyNumberFormat="1" applyFont="1" applyFill="1" applyBorder="1">
      <alignment vertical="center"/>
    </xf>
    <xf numFmtId="3" fontId="126" fillId="38" borderId="18" xfId="282" quotePrefix="1" applyNumberFormat="1" applyFont="1" applyFill="1" applyBorder="1">
      <alignment vertical="center"/>
    </xf>
    <xf numFmtId="0" fontId="146" fillId="38" borderId="0" xfId="0" applyFont="1" applyFill="1" applyBorder="1" applyAlignment="1">
      <alignment horizontal="center" vertical="center"/>
    </xf>
    <xf numFmtId="3" fontId="79" fillId="38" borderId="0" xfId="335" applyNumberFormat="1" applyFont="1" applyFill="1" applyBorder="1" applyAlignment="1">
      <alignment vertical="center"/>
    </xf>
    <xf numFmtId="3" fontId="78" fillId="38" borderId="0" xfId="335" applyNumberFormat="1" applyFont="1" applyFill="1" applyBorder="1" applyAlignment="1">
      <alignment vertical="center"/>
    </xf>
    <xf numFmtId="0" fontId="144" fillId="38" borderId="0" xfId="335" quotePrefix="1" applyFont="1" applyFill="1" applyBorder="1" applyAlignment="1">
      <alignment horizontal="center" vertical="center"/>
    </xf>
    <xf numFmtId="179" fontId="79" fillId="38" borderId="8" xfId="260" applyNumberFormat="1" applyFont="1" applyFill="1" applyBorder="1" applyAlignment="1">
      <alignment vertical="center"/>
    </xf>
    <xf numFmtId="0" fontId="146" fillId="38" borderId="0" xfId="336" applyFont="1" applyFill="1" applyBorder="1" applyAlignment="1">
      <alignment horizontal="center" vertical="center"/>
    </xf>
    <xf numFmtId="179" fontId="79" fillId="38" borderId="0" xfId="336" applyNumberFormat="1" applyFont="1" applyFill="1">
      <alignment vertical="center"/>
    </xf>
    <xf numFmtId="179" fontId="79" fillId="38" borderId="8" xfId="336" applyNumberFormat="1" applyFont="1" applyFill="1" applyBorder="1">
      <alignment vertical="center"/>
    </xf>
    <xf numFmtId="0" fontId="146" fillId="38" borderId="0" xfId="336" applyFont="1" applyFill="1" applyBorder="1" applyAlignment="1">
      <alignment vertical="center"/>
    </xf>
    <xf numFmtId="0" fontId="146" fillId="38" borderId="0" xfId="337" applyFont="1" applyFill="1" applyBorder="1" applyAlignment="1">
      <alignment horizontal="center" vertical="center"/>
    </xf>
    <xf numFmtId="228" fontId="79" fillId="38" borderId="0" xfId="0" applyNumberFormat="1" applyFont="1" applyFill="1" applyBorder="1" applyAlignment="1">
      <alignment horizontal="right" vertical="center"/>
    </xf>
    <xf numFmtId="3" fontId="116" fillId="38" borderId="0" xfId="276" applyNumberFormat="1" applyFont="1" applyFill="1" applyBorder="1" applyAlignment="1">
      <alignment horizontal="center" vertical="center"/>
    </xf>
    <xf numFmtId="0" fontId="116" fillId="38" borderId="0" xfId="276" applyNumberFormat="1" applyFont="1" applyFill="1" applyBorder="1" applyAlignment="1">
      <alignment horizontal="center" vertical="center"/>
    </xf>
    <xf numFmtId="176" fontId="115" fillId="32" borderId="0" xfId="0" applyNumberFormat="1" applyFont="1" applyFill="1" applyBorder="1" applyAlignment="1">
      <alignment vertical="center"/>
    </xf>
    <xf numFmtId="176" fontId="122" fillId="32" borderId="0" xfId="0" applyNumberFormat="1" applyFont="1" applyFill="1" applyBorder="1" applyAlignment="1">
      <alignment vertical="center"/>
    </xf>
    <xf numFmtId="176" fontId="116" fillId="32" borderId="0" xfId="0" applyNumberFormat="1" applyFont="1" applyFill="1" applyBorder="1" applyAlignment="1">
      <alignment vertical="center"/>
    </xf>
    <xf numFmtId="176" fontId="126" fillId="36" borderId="0" xfId="0" applyNumberFormat="1" applyFont="1" applyFill="1" applyBorder="1" applyAlignment="1">
      <alignment vertical="center"/>
    </xf>
    <xf numFmtId="176" fontId="116" fillId="36" borderId="0" xfId="0" applyNumberFormat="1" applyFont="1" applyFill="1" applyBorder="1" applyAlignment="1">
      <alignment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0" fontId="136" fillId="32" borderId="0" xfId="323" applyFont="1" applyFill="1" applyBorder="1" applyAlignment="1">
      <alignment horizontal="center" vertical="top"/>
    </xf>
    <xf numFmtId="176" fontId="121" fillId="32" borderId="8" xfId="276" applyNumberFormat="1" applyFont="1" applyFill="1" applyBorder="1" applyAlignment="1">
      <alignment horizontal="right" vertical="center"/>
    </xf>
    <xf numFmtId="179" fontId="121" fillId="32" borderId="0" xfId="260" applyNumberFormat="1" applyFont="1" applyFill="1" applyBorder="1" applyAlignment="1">
      <alignment horizontal="right" vertical="center"/>
    </xf>
    <xf numFmtId="233" fontId="122" fillId="32" borderId="0" xfId="319" applyNumberFormat="1" applyFont="1" applyFill="1" applyBorder="1" applyAlignment="1">
      <alignment horizontal="right" vertical="center"/>
    </xf>
    <xf numFmtId="41" fontId="148" fillId="32" borderId="0" xfId="335" applyNumberFormat="1" applyFont="1" applyFill="1" applyAlignment="1">
      <alignment vertical="center"/>
    </xf>
    <xf numFmtId="41" fontId="148" fillId="32" borderId="30" xfId="335" applyNumberFormat="1" applyFont="1" applyFill="1" applyBorder="1" applyAlignment="1">
      <alignment vertical="center"/>
    </xf>
    <xf numFmtId="41" fontId="148" fillId="32" borderId="28" xfId="335" applyNumberFormat="1" applyFont="1" applyFill="1" applyBorder="1" applyAlignment="1">
      <alignment vertical="center"/>
    </xf>
    <xf numFmtId="176" fontId="115" fillId="0" borderId="0" xfId="0" applyNumberFormat="1" applyFont="1" applyAlignment="1">
      <alignment vertical="center"/>
    </xf>
    <xf numFmtId="176" fontId="128" fillId="38" borderId="8" xfId="276" applyNumberFormat="1" applyFont="1" applyFill="1" applyBorder="1" applyAlignment="1">
      <alignment horizontal="right" vertical="center"/>
    </xf>
    <xf numFmtId="179" fontId="127" fillId="38" borderId="0" xfId="260" applyNumberFormat="1" applyFont="1" applyFill="1" applyBorder="1" applyAlignment="1">
      <alignment horizontal="right" vertical="center"/>
    </xf>
    <xf numFmtId="176" fontId="137" fillId="32" borderId="0" xfId="319" applyNumberFormat="1" applyFont="1" applyFill="1">
      <alignment vertical="center"/>
    </xf>
    <xf numFmtId="179" fontId="121" fillId="32" borderId="8" xfId="0" applyNumberFormat="1" applyFont="1" applyFill="1" applyBorder="1" applyAlignment="1">
      <alignment vertical="center"/>
    </xf>
    <xf numFmtId="3" fontId="122" fillId="32" borderId="0" xfId="319" applyNumberFormat="1" applyFont="1" applyFill="1" applyBorder="1" applyAlignment="1">
      <alignment horizontal="left" vertical="center" indent="1"/>
    </xf>
    <xf numFmtId="3" fontId="116" fillId="32" borderId="0" xfId="0" applyNumberFormat="1" applyFont="1" applyFill="1" applyBorder="1" applyAlignment="1">
      <alignment horizontal="right" vertical="center"/>
    </xf>
    <xf numFmtId="41" fontId="115" fillId="32" borderId="0" xfId="276" applyFont="1" applyFill="1" applyAlignment="1">
      <alignment vertical="center"/>
    </xf>
    <xf numFmtId="3" fontId="118" fillId="32" borderId="0" xfId="0" applyNumberFormat="1" applyFont="1" applyFill="1" applyAlignment="1">
      <alignment vertical="center"/>
    </xf>
    <xf numFmtId="20" fontId="78" fillId="31" borderId="0" xfId="0" applyNumberFormat="1" applyFont="1" applyFill="1"/>
    <xf numFmtId="236" fontId="78" fillId="31" borderId="0" xfId="0" applyNumberFormat="1" applyFont="1" applyFill="1"/>
    <xf numFmtId="0" fontId="117" fillId="0" borderId="0" xfId="0" applyFont="1" applyAlignment="1">
      <alignment vertical="center"/>
    </xf>
    <xf numFmtId="0" fontId="113" fillId="0" borderId="0" xfId="0" applyFont="1"/>
    <xf numFmtId="179" fontId="102" fillId="32" borderId="0" xfId="260" applyNumberFormat="1" applyFont="1" applyFill="1"/>
    <xf numFmtId="0" fontId="136" fillId="32" borderId="0" xfId="323" applyFont="1" applyFill="1" applyBorder="1" applyAlignment="1">
      <alignment horizontal="center" vertical="top"/>
    </xf>
    <xf numFmtId="9" fontId="126" fillId="32" borderId="0" xfId="0" applyNumberFormat="1" applyFont="1" applyFill="1"/>
    <xf numFmtId="0" fontId="122" fillId="32" borderId="0" xfId="0" applyFont="1" applyFill="1" applyBorder="1" applyAlignment="1">
      <alignment horizontal="left" vertical="center"/>
    </xf>
    <xf numFmtId="0" fontId="126" fillId="38" borderId="0" xfId="319" applyFont="1" applyFill="1" applyBorder="1" applyAlignment="1">
      <alignment horizontal="center" vertical="center"/>
    </xf>
    <xf numFmtId="0" fontId="136" fillId="32" borderId="0" xfId="323" applyFont="1" applyFill="1" applyBorder="1" applyAlignment="1">
      <alignment horizontal="center" vertical="top"/>
    </xf>
    <xf numFmtId="179" fontId="122" fillId="32" borderId="0" xfId="260" applyNumberFormat="1" applyFont="1" applyFill="1"/>
    <xf numFmtId="0" fontId="136" fillId="32" borderId="0" xfId="323" applyFont="1" applyFill="1" applyBorder="1" applyAlignment="1">
      <alignment vertical="top"/>
    </xf>
    <xf numFmtId="176" fontId="136" fillId="32" borderId="0" xfId="323" applyNumberFormat="1" applyFont="1" applyFill="1" applyBorder="1" applyAlignment="1">
      <alignment vertical="top"/>
    </xf>
    <xf numFmtId="0" fontId="122" fillId="32" borderId="26" xfId="0" applyFont="1" applyFill="1" applyBorder="1" applyAlignment="1"/>
    <xf numFmtId="0" fontId="122" fillId="32" borderId="0" xfId="0" applyFont="1" applyFill="1" applyBorder="1" applyAlignment="1">
      <alignment horizontal="left" vertical="center"/>
    </xf>
    <xf numFmtId="238" fontId="116" fillId="37" borderId="0" xfId="276" applyNumberFormat="1" applyFont="1" applyFill="1" applyBorder="1" applyAlignment="1">
      <alignment horizontal="right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0" fontId="126" fillId="32" borderId="0" xfId="319" applyFont="1" applyFill="1" applyBorder="1" applyAlignment="1">
      <alignment horizontal="center" vertical="center"/>
    </xf>
    <xf numFmtId="179" fontId="0" fillId="0" borderId="0" xfId="260" applyNumberFormat="1" applyFont="1"/>
    <xf numFmtId="9" fontId="122" fillId="32" borderId="30" xfId="260" applyFont="1" applyFill="1" applyBorder="1" applyAlignment="1">
      <alignment horizontal="right" vertical="center"/>
    </xf>
    <xf numFmtId="9" fontId="122" fillId="32" borderId="18" xfId="260" applyFont="1" applyFill="1" applyBorder="1" applyAlignment="1">
      <alignment horizontal="right" vertical="center"/>
    </xf>
    <xf numFmtId="230" fontId="7" fillId="32" borderId="29" xfId="276" applyNumberFormat="1" applyFont="1" applyFill="1" applyBorder="1" applyAlignment="1">
      <alignment horizontal="right" vertical="center"/>
    </xf>
    <xf numFmtId="230" fontId="78" fillId="32" borderId="29" xfId="276" applyNumberFormat="1" applyFont="1" applyFill="1" applyBorder="1" applyAlignment="1">
      <alignment horizontal="right" vertical="center"/>
    </xf>
    <xf numFmtId="230" fontId="7" fillId="32" borderId="0" xfId="276" applyNumberFormat="1" applyFont="1" applyFill="1" applyBorder="1" applyAlignment="1">
      <alignment horizontal="right" vertical="center"/>
    </xf>
    <xf numFmtId="230" fontId="78" fillId="32" borderId="0" xfId="276" applyNumberFormat="1" applyFont="1" applyFill="1" applyBorder="1" applyAlignment="1">
      <alignment horizontal="right" vertical="center"/>
    </xf>
    <xf numFmtId="179" fontId="115" fillId="32" borderId="30" xfId="260" applyNumberFormat="1" applyFont="1" applyFill="1" applyBorder="1" applyAlignment="1">
      <alignment horizontal="right" vertical="center"/>
    </xf>
    <xf numFmtId="179" fontId="115" fillId="32" borderId="32" xfId="260" applyNumberFormat="1" applyFont="1" applyFill="1" applyBorder="1" applyAlignment="1">
      <alignment horizontal="right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41" fontId="115" fillId="32" borderId="24" xfId="319" applyNumberFormat="1" applyFont="1" applyFill="1" applyBorder="1" applyAlignment="1">
      <alignment horizontal="right" vertical="center"/>
    </xf>
    <xf numFmtId="0" fontId="140" fillId="0" borderId="0" xfId="0" applyFont="1" applyAlignment="1">
      <alignment vertical="center"/>
    </xf>
    <xf numFmtId="0" fontId="122" fillId="32" borderId="0" xfId="0" applyFont="1" applyFill="1" applyBorder="1" applyAlignment="1">
      <alignment horizontal="left" vertical="center"/>
    </xf>
    <xf numFmtId="0" fontId="126" fillId="38" borderId="0" xfId="319" applyFont="1" applyFill="1" applyBorder="1" applyAlignment="1">
      <alignment horizontal="center" vertical="center"/>
    </xf>
    <xf numFmtId="179" fontId="79" fillId="32" borderId="0" xfId="260" applyNumberFormat="1" applyFont="1" applyFill="1" applyBorder="1" applyAlignment="1">
      <alignment vertical="center"/>
    </xf>
    <xf numFmtId="41" fontId="79" fillId="32" borderId="28" xfId="276" applyFont="1" applyFill="1" applyBorder="1" applyAlignment="1">
      <alignment horizontal="right" vertical="center"/>
    </xf>
    <xf numFmtId="232" fontId="79" fillId="32" borderId="30" xfId="276" applyNumberFormat="1" applyFont="1" applyFill="1" applyBorder="1" applyAlignment="1">
      <alignment vertical="center"/>
    </xf>
    <xf numFmtId="41" fontId="79" fillId="32" borderId="30" xfId="276" applyFont="1" applyFill="1" applyBorder="1" applyAlignment="1">
      <alignment vertical="center"/>
    </xf>
    <xf numFmtId="41" fontId="79" fillId="32" borderId="29" xfId="276" applyFont="1" applyFill="1" applyBorder="1" applyAlignment="1">
      <alignment vertical="center"/>
    </xf>
    <xf numFmtId="41" fontId="79" fillId="32" borderId="29" xfId="276" applyNumberFormat="1" applyFont="1" applyFill="1" applyBorder="1" applyAlignment="1">
      <alignment vertical="center"/>
    </xf>
    <xf numFmtId="41" fontId="79" fillId="32" borderId="28" xfId="276" applyFont="1" applyFill="1" applyBorder="1" applyAlignment="1">
      <alignment vertical="center"/>
    </xf>
    <xf numFmtId="41" fontId="79" fillId="32" borderId="28" xfId="276" applyNumberFormat="1" applyFont="1" applyFill="1" applyBorder="1" applyAlignment="1">
      <alignment vertical="center"/>
    </xf>
    <xf numFmtId="0" fontId="126" fillId="38" borderId="0" xfId="319" applyFont="1" applyFill="1" applyBorder="1" applyAlignment="1">
      <alignment horizontal="center" vertical="center"/>
    </xf>
    <xf numFmtId="238" fontId="115" fillId="32" borderId="0" xfId="276" applyNumberFormat="1" applyFont="1" applyFill="1" applyAlignment="1">
      <alignment vertical="center"/>
    </xf>
    <xf numFmtId="238" fontId="123" fillId="36" borderId="0" xfId="276" applyNumberFormat="1" applyFont="1" applyFill="1" applyAlignment="1">
      <alignment horizontal="left" vertical="center"/>
    </xf>
    <xf numFmtId="238" fontId="0" fillId="32" borderId="0" xfId="276" applyNumberFormat="1" applyFont="1" applyFill="1" applyAlignment="1">
      <alignment vertical="center"/>
    </xf>
    <xf numFmtId="238" fontId="115" fillId="0" borderId="0" xfId="276" applyNumberFormat="1" applyFont="1" applyAlignment="1">
      <alignment vertical="center"/>
    </xf>
    <xf numFmtId="179" fontId="122" fillId="32" borderId="0" xfId="260" applyNumberFormat="1" applyFont="1" applyFill="1" applyAlignment="1">
      <alignment vertical="center"/>
    </xf>
    <xf numFmtId="179" fontId="152" fillId="32" borderId="30" xfId="260" applyNumberFormat="1" applyFont="1" applyFill="1" applyBorder="1" applyAlignment="1">
      <alignment vertical="center"/>
    </xf>
    <xf numFmtId="179" fontId="152" fillId="32" borderId="8" xfId="260" applyNumberFormat="1" applyFont="1" applyFill="1" applyBorder="1" applyAlignment="1">
      <alignment vertical="center"/>
    </xf>
    <xf numFmtId="176" fontId="127" fillId="32" borderId="0" xfId="276" applyNumberFormat="1" applyFont="1" applyFill="1" applyBorder="1" applyAlignment="1">
      <alignment horizontal="right" vertical="center"/>
    </xf>
    <xf numFmtId="176" fontId="102" fillId="0" borderId="0" xfId="0" applyNumberFormat="1" applyFont="1"/>
    <xf numFmtId="0" fontId="126" fillId="32" borderId="0" xfId="0" applyFont="1" applyFill="1" applyBorder="1" applyAlignment="1"/>
    <xf numFmtId="3" fontId="126" fillId="32" borderId="0" xfId="0" applyNumberFormat="1" applyFont="1" applyFill="1" applyBorder="1" applyAlignment="1">
      <alignment horizontal="right"/>
    </xf>
    <xf numFmtId="0" fontId="126" fillId="0" borderId="0" xfId="0" applyFont="1" applyBorder="1"/>
    <xf numFmtId="0" fontId="126" fillId="0" borderId="0" xfId="0" applyFont="1"/>
    <xf numFmtId="0" fontId="126" fillId="32" borderId="0" xfId="0" applyFont="1" applyFill="1" applyBorder="1" applyAlignment="1">
      <alignment vertical="center"/>
    </xf>
    <xf numFmtId="0" fontId="126" fillId="32" borderId="36" xfId="0" applyFont="1" applyFill="1" applyBorder="1" applyAlignment="1">
      <alignment horizontal="left" vertical="center"/>
    </xf>
    <xf numFmtId="0" fontId="126" fillId="32" borderId="29" xfId="0" applyFont="1" applyFill="1" applyBorder="1" applyAlignment="1">
      <alignment vertical="center"/>
    </xf>
    <xf numFmtId="3" fontId="126" fillId="32" borderId="29" xfId="0" applyNumberFormat="1" applyFont="1" applyFill="1" applyBorder="1" applyAlignment="1">
      <alignment horizontal="right"/>
    </xf>
    <xf numFmtId="233" fontId="126" fillId="32" borderId="29" xfId="0" applyNumberFormat="1" applyFont="1" applyFill="1" applyBorder="1" applyAlignment="1">
      <alignment horizontal="right"/>
    </xf>
    <xf numFmtId="0" fontId="126" fillId="32" borderId="29" xfId="0" applyFont="1" applyFill="1" applyBorder="1" applyAlignment="1"/>
    <xf numFmtId="3" fontId="126" fillId="32" borderId="18" xfId="0" applyNumberFormat="1" applyFont="1" applyFill="1" applyBorder="1" applyAlignment="1">
      <alignment horizontal="right"/>
    </xf>
    <xf numFmtId="176" fontId="116" fillId="32" borderId="30" xfId="276" applyNumberFormat="1" applyFont="1" applyFill="1" applyBorder="1" applyAlignment="1">
      <alignment horizontal="right" vertical="center"/>
    </xf>
    <xf numFmtId="176" fontId="127" fillId="32" borderId="30" xfId="276" applyNumberFormat="1" applyFont="1" applyFill="1" applyBorder="1" applyAlignment="1">
      <alignment horizontal="right" vertical="center"/>
    </xf>
    <xf numFmtId="179" fontId="116" fillId="32" borderId="30" xfId="260" applyNumberFormat="1" applyFont="1" applyFill="1" applyBorder="1" applyAlignment="1">
      <alignment horizontal="right" vertical="center"/>
    </xf>
    <xf numFmtId="0" fontId="103" fillId="0" borderId="0" xfId="0" applyFont="1"/>
    <xf numFmtId="176" fontId="116" fillId="32" borderId="0" xfId="276" applyNumberFormat="1" applyFont="1" applyFill="1" applyBorder="1" applyAlignment="1">
      <alignment horizontal="right" vertical="center"/>
    </xf>
    <xf numFmtId="179" fontId="116" fillId="32" borderId="0" xfId="260" applyNumberFormat="1" applyFont="1" applyFill="1" applyBorder="1" applyAlignment="1">
      <alignment horizontal="right" vertical="center"/>
    </xf>
    <xf numFmtId="176" fontId="116" fillId="32" borderId="28" xfId="276" applyNumberFormat="1" applyFont="1" applyFill="1" applyBorder="1" applyAlignment="1">
      <alignment horizontal="right" vertical="center"/>
    </xf>
    <xf numFmtId="176" fontId="116" fillId="0" borderId="0" xfId="276" applyNumberFormat="1" applyFont="1" applyFill="1" applyBorder="1" applyAlignment="1">
      <alignment horizontal="right" vertical="center"/>
    </xf>
    <xf numFmtId="3" fontId="126" fillId="32" borderId="28" xfId="0" applyNumberFormat="1" applyFont="1" applyFill="1" applyBorder="1" applyAlignment="1">
      <alignment horizontal="right"/>
    </xf>
    <xf numFmtId="0" fontId="126" fillId="32" borderId="0" xfId="0" applyFont="1" applyFill="1" applyBorder="1"/>
    <xf numFmtId="0" fontId="126" fillId="32" borderId="0" xfId="0" applyFont="1" applyFill="1"/>
    <xf numFmtId="3" fontId="79" fillId="38" borderId="0" xfId="335" quotePrefix="1" applyNumberFormat="1" applyFont="1" applyFill="1" applyBorder="1" applyAlignment="1">
      <alignment horizontal="right" vertical="center"/>
    </xf>
    <xf numFmtId="3" fontId="78" fillId="38" borderId="29" xfId="335" applyNumberFormat="1" applyFont="1" applyFill="1" applyBorder="1" applyAlignment="1">
      <alignment vertical="center"/>
    </xf>
    <xf numFmtId="3" fontId="78" fillId="38" borderId="30" xfId="335" applyNumberFormat="1" applyFont="1" applyFill="1" applyBorder="1" applyAlignment="1">
      <alignment vertical="center"/>
    </xf>
    <xf numFmtId="3" fontId="79" fillId="38" borderId="8" xfId="335" applyNumberFormat="1" applyFont="1" applyFill="1" applyBorder="1" applyAlignment="1">
      <alignment vertical="center"/>
    </xf>
    <xf numFmtId="0" fontId="79" fillId="38" borderId="0" xfId="335" applyFont="1" applyFill="1" applyBorder="1" applyAlignment="1">
      <alignment vertical="center"/>
    </xf>
    <xf numFmtId="3" fontId="78" fillId="38" borderId="0" xfId="335" quotePrefix="1" applyNumberFormat="1" applyFont="1" applyFill="1" applyBorder="1" applyAlignment="1">
      <alignment horizontal="right" vertical="center"/>
    </xf>
    <xf numFmtId="179" fontId="79" fillId="38" borderId="0" xfId="260" applyNumberFormat="1" applyFont="1" applyFill="1" applyBorder="1" applyAlignment="1">
      <alignment vertical="center"/>
    </xf>
    <xf numFmtId="41" fontId="148" fillId="38" borderId="0" xfId="335" applyNumberFormat="1" applyFont="1" applyFill="1" applyAlignment="1">
      <alignment vertical="center"/>
    </xf>
    <xf numFmtId="41" fontId="148" fillId="38" borderId="30" xfId="335" applyNumberFormat="1" applyFont="1" applyFill="1" applyBorder="1" applyAlignment="1">
      <alignment vertical="center"/>
    </xf>
    <xf numFmtId="41" fontId="146" fillId="38" borderId="28" xfId="335" applyNumberFormat="1" applyFont="1" applyFill="1" applyBorder="1" applyAlignment="1">
      <alignment vertical="center"/>
    </xf>
    <xf numFmtId="179" fontId="134" fillId="38" borderId="30" xfId="260" applyNumberFormat="1" applyFont="1" applyFill="1" applyBorder="1" applyAlignment="1">
      <alignment vertical="center"/>
    </xf>
    <xf numFmtId="179" fontId="134" fillId="38" borderId="8" xfId="260" applyNumberFormat="1" applyFont="1" applyFill="1" applyBorder="1" applyAlignment="1">
      <alignment vertical="center"/>
    </xf>
    <xf numFmtId="41" fontId="154" fillId="32" borderId="30" xfId="276" applyFont="1" applyFill="1" applyBorder="1" applyAlignment="1">
      <alignment vertical="center"/>
    </xf>
    <xf numFmtId="0" fontId="79" fillId="0" borderId="0" xfId="336" applyFont="1">
      <alignment vertical="center"/>
    </xf>
    <xf numFmtId="0" fontId="79" fillId="32" borderId="26" xfId="336" applyFont="1" applyFill="1" applyBorder="1" applyAlignment="1">
      <alignment horizontal="center" vertical="center" shrinkToFit="1"/>
    </xf>
    <xf numFmtId="0" fontId="79" fillId="32" borderId="36" xfId="336" applyFont="1" applyFill="1" applyBorder="1" applyAlignment="1">
      <alignment horizontal="left" vertical="center" shrinkToFit="1"/>
    </xf>
    <xf numFmtId="41" fontId="154" fillId="32" borderId="29" xfId="276" applyFont="1" applyFill="1" applyBorder="1" applyAlignment="1">
      <alignment vertical="center"/>
    </xf>
    <xf numFmtId="41" fontId="154" fillId="32" borderId="28" xfId="276" applyFont="1" applyFill="1" applyBorder="1" applyAlignment="1">
      <alignment vertical="center"/>
    </xf>
    <xf numFmtId="179" fontId="78" fillId="38" borderId="0" xfId="268" applyNumberFormat="1" applyFont="1" applyFill="1" applyBorder="1" applyAlignment="1">
      <alignment vertical="center"/>
    </xf>
    <xf numFmtId="179" fontId="78" fillId="38" borderId="8" xfId="268" applyNumberFormat="1" applyFont="1" applyFill="1" applyBorder="1" applyAlignment="1">
      <alignment vertical="center"/>
    </xf>
    <xf numFmtId="231" fontId="78" fillId="32" borderId="0" xfId="268" applyNumberFormat="1" applyFont="1" applyFill="1" applyBorder="1" applyAlignment="1">
      <alignment horizontal="right" vertical="center"/>
    </xf>
    <xf numFmtId="231" fontId="78" fillId="32" borderId="8" xfId="268" applyNumberFormat="1" applyFont="1" applyFill="1" applyBorder="1" applyAlignment="1">
      <alignment horizontal="right" vertical="center"/>
    </xf>
    <xf numFmtId="41" fontId="154" fillId="32" borderId="28" xfId="276" applyFont="1" applyFill="1" applyBorder="1" applyAlignment="1">
      <alignment horizontal="right" vertical="center"/>
    </xf>
    <xf numFmtId="179" fontId="79" fillId="32" borderId="30" xfId="260" applyNumberFormat="1" applyFont="1" applyFill="1" applyBorder="1" applyAlignment="1">
      <alignment vertical="center"/>
    </xf>
    <xf numFmtId="231" fontId="78" fillId="32" borderId="29" xfId="268" applyNumberFormat="1" applyFont="1" applyFill="1" applyBorder="1" applyAlignment="1">
      <alignment vertical="center"/>
    </xf>
    <xf numFmtId="231" fontId="78" fillId="32" borderId="8" xfId="268" applyNumberFormat="1" applyFont="1" applyFill="1" applyBorder="1" applyAlignment="1">
      <alignment vertical="center"/>
    </xf>
    <xf numFmtId="231" fontId="78" fillId="32" borderId="0" xfId="260" applyNumberFormat="1" applyFont="1" applyFill="1" applyBorder="1" applyAlignment="1">
      <alignment horizontal="right" vertical="center"/>
    </xf>
    <xf numFmtId="231" fontId="78" fillId="32" borderId="8" xfId="260" applyNumberFormat="1" applyFont="1" applyFill="1" applyBorder="1" applyAlignment="1">
      <alignment horizontal="right" vertical="center"/>
    </xf>
    <xf numFmtId="3" fontId="126" fillId="32" borderId="0" xfId="0" applyNumberFormat="1" applyFont="1" applyFill="1" applyBorder="1" applyAlignment="1">
      <alignment horizontal="right" vertical="center"/>
    </xf>
    <xf numFmtId="9" fontId="122" fillId="32" borderId="0" xfId="260" applyFont="1" applyFill="1"/>
    <xf numFmtId="179" fontId="126" fillId="32" borderId="18" xfId="260" applyNumberFormat="1" applyFont="1" applyFill="1" applyBorder="1" applyAlignment="1">
      <alignment horizontal="right"/>
    </xf>
    <xf numFmtId="179" fontId="126" fillId="32" borderId="0" xfId="260" applyNumberFormat="1" applyFont="1" applyFill="1" applyBorder="1" applyAlignment="1">
      <alignment horizontal="right"/>
    </xf>
    <xf numFmtId="179" fontId="126" fillId="32" borderId="29" xfId="260" applyNumberFormat="1" applyFont="1" applyFill="1" applyBorder="1" applyAlignment="1">
      <alignment horizontal="right"/>
    </xf>
    <xf numFmtId="239" fontId="122" fillId="32" borderId="0" xfId="276" applyNumberFormat="1" applyFont="1" applyFill="1" applyBorder="1" applyAlignment="1">
      <alignment vertical="center"/>
    </xf>
    <xf numFmtId="3" fontId="122" fillId="32" borderId="0" xfId="0" applyNumberFormat="1" applyFont="1" applyFill="1" applyBorder="1" applyAlignment="1">
      <alignment horizontal="left" vertical="center" indent="4"/>
    </xf>
    <xf numFmtId="238" fontId="116" fillId="32" borderId="0" xfId="276" applyNumberFormat="1" applyFont="1" applyFill="1" applyBorder="1" applyAlignment="1">
      <alignment horizontal="right" vertical="center"/>
    </xf>
    <xf numFmtId="0" fontId="122" fillId="32" borderId="0" xfId="0" applyFont="1" applyFill="1" applyBorder="1" applyAlignment="1">
      <alignment horizontal="left" vertical="center" indent="2"/>
    </xf>
    <xf numFmtId="229" fontId="122" fillId="32" borderId="0" xfId="0" applyNumberFormat="1" applyFont="1" applyFill="1" applyAlignment="1">
      <alignment vertical="center"/>
    </xf>
    <xf numFmtId="0" fontId="122" fillId="32" borderId="0" xfId="0" applyFont="1" applyFill="1" applyBorder="1" applyAlignment="1">
      <alignment horizontal="left" vertical="center" indent="3"/>
    </xf>
    <xf numFmtId="0" fontId="122" fillId="32" borderId="0" xfId="0" applyFont="1" applyFill="1" applyBorder="1" applyAlignment="1">
      <alignment horizontal="left" vertical="center" indent="1"/>
    </xf>
    <xf numFmtId="238" fontId="126" fillId="32" borderId="0" xfId="276" applyNumberFormat="1" applyFont="1" applyFill="1" applyBorder="1" applyAlignment="1">
      <alignment horizontal="right" vertical="center"/>
    </xf>
    <xf numFmtId="43" fontId="78" fillId="32" borderId="0" xfId="336" applyNumberFormat="1" applyFont="1" applyFill="1">
      <alignment vertical="center"/>
    </xf>
    <xf numFmtId="0" fontId="122" fillId="32" borderId="0" xfId="0" applyFont="1" applyFill="1" applyBorder="1" applyAlignment="1">
      <alignment horizontal="left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3" fontId="122" fillId="32" borderId="45" xfId="276" applyNumberFormat="1" applyFont="1" applyFill="1" applyBorder="1" applyAlignment="1">
      <alignment horizontal="right" vertical="center"/>
    </xf>
    <xf numFmtId="9" fontId="116" fillId="37" borderId="0" xfId="260" applyFont="1" applyFill="1" applyBorder="1" applyAlignment="1">
      <alignment horizontal="right" vertical="center"/>
    </xf>
    <xf numFmtId="229" fontId="155" fillId="0" borderId="0" xfId="0" applyNumberFormat="1" applyFont="1" applyAlignment="1">
      <alignment vertical="center"/>
    </xf>
    <xf numFmtId="176" fontId="156" fillId="0" borderId="0" xfId="0" applyNumberFormat="1" applyFont="1" applyAlignment="1">
      <alignment vertical="center"/>
    </xf>
    <xf numFmtId="176" fontId="157" fillId="0" borderId="0" xfId="0" applyNumberFormat="1" applyFont="1" applyAlignment="1">
      <alignment vertical="center"/>
    </xf>
    <xf numFmtId="3" fontId="156" fillId="32" borderId="0" xfId="0" applyNumberFormat="1" applyFont="1" applyFill="1" applyAlignment="1">
      <alignment vertical="center"/>
    </xf>
    <xf numFmtId="3" fontId="156" fillId="0" borderId="0" xfId="0" applyNumberFormat="1" applyFont="1" applyAlignment="1">
      <alignment vertical="center"/>
    </xf>
    <xf numFmtId="0" fontId="156" fillId="0" borderId="0" xfId="0" applyFont="1" applyAlignment="1">
      <alignment vertical="center"/>
    </xf>
    <xf numFmtId="3" fontId="132" fillId="32" borderId="0" xfId="0" applyNumberFormat="1" applyFont="1" applyFill="1" applyBorder="1" applyAlignment="1">
      <alignment horizontal="left" vertical="center" indent="1"/>
    </xf>
    <xf numFmtId="3" fontId="132" fillId="32" borderId="0" xfId="0" applyNumberFormat="1" applyFont="1" applyFill="1" applyBorder="1" applyAlignment="1">
      <alignment horizontal="left" vertical="center" indent="2"/>
    </xf>
    <xf numFmtId="0" fontId="153" fillId="0" borderId="0" xfId="0" applyFont="1" applyAlignment="1">
      <alignment vertical="center"/>
    </xf>
    <xf numFmtId="228" fontId="79" fillId="32" borderId="11" xfId="0" applyNumberFormat="1" applyFont="1" applyFill="1" applyBorder="1" applyAlignment="1">
      <alignment horizontal="right" vertical="center"/>
    </xf>
    <xf numFmtId="228" fontId="79" fillId="32" borderId="0" xfId="0" applyNumberFormat="1" applyFont="1" applyFill="1" applyBorder="1" applyAlignment="1">
      <alignment horizontal="right" vertical="center"/>
    </xf>
    <xf numFmtId="41" fontId="0" fillId="0" borderId="0" xfId="276" applyFont="1"/>
    <xf numFmtId="176" fontId="0" fillId="0" borderId="0" xfId="0" applyNumberFormat="1" applyFont="1"/>
    <xf numFmtId="0" fontId="158" fillId="32" borderId="0" xfId="0" applyFont="1" applyFill="1"/>
    <xf numFmtId="0" fontId="126" fillId="38" borderId="0" xfId="319" applyFont="1" applyFill="1" applyBorder="1" applyAlignment="1">
      <alignment horizontal="center" vertical="center"/>
    </xf>
    <xf numFmtId="43" fontId="122" fillId="32" borderId="0" xfId="319" applyNumberFormat="1" applyFont="1" applyFill="1" applyBorder="1" applyAlignment="1">
      <alignment horizontal="left" vertical="center" indent="1"/>
    </xf>
    <xf numFmtId="179" fontId="159" fillId="0" borderId="0" xfId="358" applyNumberFormat="1" applyAlignment="1" applyProtection="1">
      <alignment horizontal="right"/>
    </xf>
    <xf numFmtId="176" fontId="115" fillId="32" borderId="0" xfId="0" applyNumberFormat="1" applyFont="1" applyFill="1" applyAlignment="1">
      <alignment vertical="center"/>
    </xf>
    <xf numFmtId="10" fontId="115" fillId="32" borderId="0" xfId="0" applyNumberFormat="1" applyFont="1" applyFill="1" applyAlignment="1">
      <alignment vertical="center"/>
    </xf>
    <xf numFmtId="41" fontId="79" fillId="32" borderId="30" xfId="276" applyNumberFormat="1" applyFont="1" applyFill="1" applyBorder="1" applyAlignment="1">
      <alignment vertical="center"/>
    </xf>
    <xf numFmtId="41" fontId="78" fillId="32" borderId="0" xfId="276" applyNumberFormat="1" applyFont="1" applyFill="1" applyBorder="1" applyAlignment="1">
      <alignment vertical="center"/>
    </xf>
    <xf numFmtId="41" fontId="78" fillId="32" borderId="30" xfId="276" applyNumberFormat="1" applyFont="1" applyFill="1" applyBorder="1" applyAlignment="1">
      <alignment vertical="center"/>
    </xf>
    <xf numFmtId="41" fontId="78" fillId="32" borderId="29" xfId="276" applyNumberFormat="1" applyFont="1" applyFill="1" applyBorder="1" applyAlignment="1">
      <alignment vertical="center"/>
    </xf>
    <xf numFmtId="41" fontId="78" fillId="32" borderId="29" xfId="276" applyNumberFormat="1" applyFont="1" applyFill="1" applyBorder="1" applyAlignment="1">
      <alignment horizontal="right" vertical="center"/>
    </xf>
    <xf numFmtId="41" fontId="79" fillId="32" borderId="28" xfId="276" applyNumberFormat="1" applyFont="1" applyFill="1" applyBorder="1" applyAlignment="1">
      <alignment horizontal="right" vertical="center"/>
    </xf>
    <xf numFmtId="234" fontId="144" fillId="38" borderId="0" xfId="0" applyNumberFormat="1" applyFont="1" applyFill="1" applyBorder="1" applyAlignment="1">
      <alignment horizontal="center" vertical="center"/>
    </xf>
    <xf numFmtId="1" fontId="144" fillId="38" borderId="0" xfId="0" applyNumberFormat="1" applyFont="1" applyFill="1" applyBorder="1" applyAlignment="1">
      <alignment horizontal="center" vertical="center"/>
    </xf>
    <xf numFmtId="179" fontId="122" fillId="32" borderId="29" xfId="260" applyNumberFormat="1" applyFont="1" applyFill="1" applyBorder="1" applyAlignment="1">
      <alignment horizontal="right"/>
    </xf>
    <xf numFmtId="179" fontId="122" fillId="32" borderId="0" xfId="260" applyNumberFormat="1" applyFont="1" applyFill="1" applyBorder="1" applyAlignment="1">
      <alignment horizontal="right"/>
    </xf>
    <xf numFmtId="179" fontId="122" fillId="32" borderId="30" xfId="260" applyNumberFormat="1" applyFont="1" applyFill="1" applyBorder="1" applyAlignment="1">
      <alignment horizontal="right"/>
    </xf>
    <xf numFmtId="179" fontId="122" fillId="32" borderId="28" xfId="260" applyNumberFormat="1" applyFont="1" applyFill="1" applyBorder="1" applyAlignment="1">
      <alignment horizontal="right"/>
    </xf>
    <xf numFmtId="176" fontId="126" fillId="32" borderId="0" xfId="0" applyNumberFormat="1" applyFont="1" applyFill="1" applyBorder="1" applyAlignment="1">
      <alignment horizontal="right"/>
    </xf>
    <xf numFmtId="176" fontId="126" fillId="32" borderId="0" xfId="276" applyNumberFormat="1" applyFont="1" applyFill="1" applyBorder="1" applyAlignment="1">
      <alignment horizontal="right"/>
    </xf>
    <xf numFmtId="176" fontId="126" fillId="32" borderId="29" xfId="0" applyNumberFormat="1" applyFont="1" applyFill="1" applyBorder="1" applyAlignment="1">
      <alignment horizontal="right"/>
    </xf>
    <xf numFmtId="176" fontId="126" fillId="32" borderId="29" xfId="276" applyNumberFormat="1" applyFont="1" applyFill="1" applyBorder="1" applyAlignment="1">
      <alignment horizontal="right"/>
    </xf>
    <xf numFmtId="176" fontId="122" fillId="32" borderId="29" xfId="0" applyNumberFormat="1" applyFont="1" applyFill="1" applyBorder="1" applyAlignment="1">
      <alignment horizontal="right"/>
    </xf>
    <xf numFmtId="176" fontId="122" fillId="32" borderId="29" xfId="276" applyNumberFormat="1" applyFont="1" applyFill="1" applyBorder="1" applyAlignment="1">
      <alignment horizontal="right"/>
    </xf>
    <xf numFmtId="176" fontId="122" fillId="32" borderId="0" xfId="0" applyNumberFormat="1" applyFont="1" applyFill="1" applyBorder="1" applyAlignment="1">
      <alignment horizontal="right"/>
    </xf>
    <xf numFmtId="176" fontId="122" fillId="32" borderId="0" xfId="276" applyNumberFormat="1" applyFont="1" applyFill="1" applyBorder="1" applyAlignment="1">
      <alignment horizontal="right"/>
    </xf>
    <xf numFmtId="176" fontId="126" fillId="32" borderId="28" xfId="0" applyNumberFormat="1" applyFont="1" applyFill="1" applyBorder="1" applyAlignment="1">
      <alignment horizontal="right"/>
    </xf>
    <xf numFmtId="176" fontId="126" fillId="32" borderId="28" xfId="276" applyNumberFormat="1" applyFont="1" applyFill="1" applyBorder="1" applyAlignment="1">
      <alignment horizontal="right"/>
    </xf>
    <xf numFmtId="176" fontId="122" fillId="32" borderId="30" xfId="0" applyNumberFormat="1" applyFont="1" applyFill="1" applyBorder="1" applyAlignment="1">
      <alignment horizontal="right"/>
    </xf>
    <xf numFmtId="176" fontId="122" fillId="32" borderId="30" xfId="276" applyNumberFormat="1" applyFont="1" applyFill="1" applyBorder="1" applyAlignment="1">
      <alignment horizontal="right"/>
    </xf>
    <xf numFmtId="176" fontId="122" fillId="32" borderId="28" xfId="0" applyNumberFormat="1" applyFont="1" applyFill="1" applyBorder="1" applyAlignment="1">
      <alignment horizontal="right"/>
    </xf>
    <xf numFmtId="176" fontId="122" fillId="32" borderId="28" xfId="276" applyNumberFormat="1" applyFont="1" applyFill="1" applyBorder="1" applyAlignment="1">
      <alignment horizontal="right"/>
    </xf>
    <xf numFmtId="176" fontId="126" fillId="32" borderId="18" xfId="0" applyNumberFormat="1" applyFont="1" applyFill="1" applyBorder="1" applyAlignment="1">
      <alignment horizontal="right"/>
    </xf>
    <xf numFmtId="176" fontId="126" fillId="32" borderId="18" xfId="276" applyNumberFormat="1" applyFont="1" applyFill="1" applyBorder="1" applyAlignment="1">
      <alignment horizontal="right"/>
    </xf>
    <xf numFmtId="0" fontId="78" fillId="32" borderId="13" xfId="0" applyFont="1" applyFill="1" applyBorder="1" applyAlignment="1">
      <alignment horizontal="center" vertical="center"/>
    </xf>
    <xf numFmtId="179" fontId="78" fillId="32" borderId="13" xfId="267" applyNumberFormat="1" applyFont="1" applyFill="1" applyBorder="1" applyAlignment="1">
      <alignment horizontal="right" vertical="center"/>
    </xf>
    <xf numFmtId="179" fontId="78" fillId="32" borderId="13" xfId="268" applyNumberFormat="1" applyFont="1" applyFill="1" applyBorder="1" applyAlignment="1">
      <alignment horizontal="right" vertical="center"/>
    </xf>
    <xf numFmtId="0" fontId="78" fillId="32" borderId="0" xfId="335" applyFont="1" applyFill="1" applyAlignment="1">
      <alignment vertical="center"/>
    </xf>
    <xf numFmtId="0" fontId="122" fillId="32" borderId="0" xfId="0" applyFont="1" applyFill="1" applyBorder="1" applyAlignment="1">
      <alignment horizontal="left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179" fontId="78" fillId="32" borderId="0" xfId="335" applyNumberFormat="1" applyFont="1" applyFill="1" applyBorder="1" applyAlignment="1">
      <alignment vertical="center"/>
    </xf>
    <xf numFmtId="179" fontId="148" fillId="32" borderId="0" xfId="260" applyNumberFormat="1" applyFont="1" applyFill="1" applyBorder="1" applyAlignment="1">
      <alignment vertical="center"/>
    </xf>
    <xf numFmtId="179" fontId="152" fillId="32" borderId="0" xfId="260" applyNumberFormat="1" applyFont="1" applyFill="1" applyBorder="1" applyAlignment="1">
      <alignment vertical="center"/>
    </xf>
    <xf numFmtId="179" fontId="134" fillId="32" borderId="0" xfId="260" applyNumberFormat="1" applyFont="1" applyFill="1" applyBorder="1" applyAlignment="1">
      <alignment vertical="center"/>
    </xf>
    <xf numFmtId="0" fontId="78" fillId="31" borderId="33" xfId="335" applyFont="1" applyFill="1" applyBorder="1" applyAlignment="1">
      <alignment horizontal="center" vertical="center"/>
    </xf>
    <xf numFmtId="179" fontId="78" fillId="32" borderId="33" xfId="260" applyNumberFormat="1" applyFont="1" applyFill="1" applyBorder="1" applyAlignment="1">
      <alignment vertical="center"/>
    </xf>
    <xf numFmtId="179" fontId="148" fillId="32" borderId="33" xfId="260" applyNumberFormat="1" applyFont="1" applyFill="1" applyBorder="1" applyAlignment="1">
      <alignment vertical="center"/>
    </xf>
    <xf numFmtId="179" fontId="152" fillId="32" borderId="33" xfId="260" applyNumberFormat="1" applyFont="1" applyFill="1" applyBorder="1" applyAlignment="1">
      <alignment vertical="center"/>
    </xf>
    <xf numFmtId="179" fontId="134" fillId="38" borderId="33" xfId="260" applyNumberFormat="1" applyFont="1" applyFill="1" applyBorder="1" applyAlignment="1">
      <alignment vertical="center"/>
    </xf>
    <xf numFmtId="3" fontId="116" fillId="32" borderId="0" xfId="0" applyNumberFormat="1" applyFont="1" applyFill="1" applyBorder="1" applyAlignment="1">
      <alignment horizontal="left" vertical="center" indent="1"/>
    </xf>
    <xf numFmtId="176" fontId="126" fillId="32" borderId="0" xfId="0" applyNumberFormat="1" applyFont="1" applyFill="1" applyBorder="1" applyAlignment="1">
      <alignment vertical="center"/>
    </xf>
    <xf numFmtId="176" fontId="122" fillId="0" borderId="0" xfId="0" applyNumberFormat="1" applyFont="1"/>
    <xf numFmtId="240" fontId="126" fillId="32" borderId="29" xfId="276" applyNumberFormat="1" applyFont="1" applyFill="1" applyBorder="1" applyAlignment="1">
      <alignment horizontal="right"/>
    </xf>
    <xf numFmtId="41" fontId="126" fillId="32" borderId="29" xfId="276" applyFont="1" applyFill="1" applyBorder="1" applyAlignment="1">
      <alignment horizontal="right"/>
    </xf>
    <xf numFmtId="41" fontId="79" fillId="38" borderId="30" xfId="276" applyFont="1" applyFill="1" applyBorder="1" applyAlignment="1">
      <alignment horizontal="right" vertical="center"/>
    </xf>
    <xf numFmtId="41" fontId="79" fillId="38" borderId="0" xfId="276" applyFont="1" applyFill="1" applyBorder="1" applyAlignment="1">
      <alignment horizontal="right" vertical="center"/>
    </xf>
    <xf numFmtId="41" fontId="79" fillId="38" borderId="28" xfId="276" applyFont="1" applyFill="1" applyBorder="1" applyAlignment="1">
      <alignment horizontal="right" vertical="center"/>
    </xf>
    <xf numFmtId="179" fontId="78" fillId="38" borderId="0" xfId="260" applyNumberFormat="1" applyFont="1" applyFill="1" applyBorder="1" applyAlignment="1">
      <alignment vertical="center"/>
    </xf>
    <xf numFmtId="179" fontId="78" fillId="38" borderId="8" xfId="260" applyNumberFormat="1" applyFont="1" applyFill="1" applyBorder="1" applyAlignment="1">
      <alignment vertical="center"/>
    </xf>
    <xf numFmtId="41" fontId="79" fillId="38" borderId="30" xfId="276" applyFont="1" applyFill="1" applyBorder="1" applyAlignment="1">
      <alignment vertical="center"/>
    </xf>
    <xf numFmtId="41" fontId="79" fillId="38" borderId="29" xfId="276" applyFont="1" applyFill="1" applyBorder="1" applyAlignment="1">
      <alignment vertical="center"/>
    </xf>
    <xf numFmtId="41" fontId="78" fillId="38" borderId="0" xfId="276" applyFont="1" applyFill="1" applyBorder="1" applyAlignment="1">
      <alignment vertical="center"/>
    </xf>
    <xf numFmtId="41" fontId="78" fillId="38" borderId="30" xfId="276" applyFont="1" applyFill="1" applyBorder="1" applyAlignment="1">
      <alignment vertical="center"/>
    </xf>
    <xf numFmtId="41" fontId="79" fillId="38" borderId="28" xfId="276" applyFont="1" applyFill="1" applyBorder="1" applyAlignment="1">
      <alignment vertical="center"/>
    </xf>
    <xf numFmtId="0" fontId="126" fillId="38" borderId="0" xfId="319" applyFont="1" applyFill="1" applyBorder="1" applyAlignment="1">
      <alignment horizontal="center" vertical="center"/>
    </xf>
    <xf numFmtId="228" fontId="78" fillId="38" borderId="11" xfId="0" applyNumberFormat="1" applyFont="1" applyFill="1" applyBorder="1" applyAlignment="1">
      <alignment horizontal="right" vertical="center"/>
    </xf>
    <xf numFmtId="228" fontId="78" fillId="38" borderId="0" xfId="0" applyNumberFormat="1" applyFont="1" applyFill="1" applyBorder="1" applyAlignment="1">
      <alignment horizontal="right" vertical="center"/>
    </xf>
    <xf numFmtId="179" fontId="122" fillId="32" borderId="0" xfId="260" quotePrefix="1" applyNumberFormat="1" applyFont="1" applyFill="1" applyBorder="1" applyAlignment="1">
      <alignment horizontal="right"/>
    </xf>
    <xf numFmtId="179" fontId="126" fillId="32" borderId="28" xfId="260" quotePrefix="1" applyNumberFormat="1" applyFont="1" applyFill="1" applyBorder="1" applyAlignment="1">
      <alignment horizontal="right"/>
    </xf>
    <xf numFmtId="176" fontId="126" fillId="38" borderId="0" xfId="0" applyNumberFormat="1" applyFont="1" applyFill="1" applyBorder="1" applyAlignment="1">
      <alignment horizontal="right"/>
    </xf>
    <xf numFmtId="176" fontId="126" fillId="38" borderId="29" xfId="0" applyNumberFormat="1" applyFont="1" applyFill="1" applyBorder="1" applyAlignment="1">
      <alignment horizontal="right"/>
    </xf>
    <xf numFmtId="176" fontId="122" fillId="38" borderId="29" xfId="0" applyNumberFormat="1" applyFont="1" applyFill="1" applyBorder="1" applyAlignment="1">
      <alignment horizontal="right"/>
    </xf>
    <xf numFmtId="176" fontId="122" fillId="38" borderId="0" xfId="0" applyNumberFormat="1" applyFont="1" applyFill="1" applyBorder="1" applyAlignment="1">
      <alignment horizontal="right"/>
    </xf>
    <xf numFmtId="176" fontId="126" fillId="38" borderId="28" xfId="0" applyNumberFormat="1" applyFont="1" applyFill="1" applyBorder="1" applyAlignment="1">
      <alignment horizontal="right"/>
    </xf>
    <xf numFmtId="176" fontId="122" fillId="38" borderId="30" xfId="0" applyNumberFormat="1" applyFont="1" applyFill="1" applyBorder="1" applyAlignment="1">
      <alignment horizontal="right"/>
    </xf>
    <xf numFmtId="176" fontId="122" fillId="38" borderId="28" xfId="0" applyNumberFormat="1" applyFont="1" applyFill="1" applyBorder="1" applyAlignment="1">
      <alignment horizontal="right"/>
    </xf>
    <xf numFmtId="176" fontId="126" fillId="38" borderId="18" xfId="0" applyNumberFormat="1" applyFont="1" applyFill="1" applyBorder="1" applyAlignment="1">
      <alignment horizontal="right"/>
    </xf>
    <xf numFmtId="0" fontId="126" fillId="38" borderId="0" xfId="319" applyFont="1" applyFill="1" applyBorder="1" applyAlignment="1">
      <alignment horizontal="center" vertical="center"/>
    </xf>
    <xf numFmtId="179" fontId="78" fillId="32" borderId="33" xfId="335" applyNumberFormat="1" applyFont="1" applyFill="1" applyBorder="1" applyAlignment="1">
      <alignment vertical="center"/>
    </xf>
    <xf numFmtId="0" fontId="78" fillId="31" borderId="32" xfId="335" applyFont="1" applyFill="1" applyBorder="1" applyAlignment="1">
      <alignment horizontal="center" vertical="center"/>
    </xf>
    <xf numFmtId="179" fontId="78" fillId="32" borderId="32" xfId="335" applyNumberFormat="1" applyFont="1" applyFill="1" applyBorder="1" applyAlignment="1">
      <alignment vertical="center"/>
    </xf>
    <xf numFmtId="179" fontId="78" fillId="32" borderId="32" xfId="260" applyNumberFormat="1" applyFont="1" applyFill="1" applyBorder="1" applyAlignment="1">
      <alignment vertical="center"/>
    </xf>
    <xf numFmtId="179" fontId="78" fillId="32" borderId="30" xfId="260" applyNumberFormat="1" applyFont="1" applyFill="1" applyBorder="1" applyAlignment="1">
      <alignment horizontal="right" vertical="center"/>
    </xf>
    <xf numFmtId="179" fontId="78" fillId="32" borderId="29" xfId="260" applyNumberFormat="1" applyFont="1" applyFill="1" applyBorder="1" applyAlignment="1">
      <alignment horizontal="right" vertical="center"/>
    </xf>
    <xf numFmtId="179" fontId="79" fillId="32" borderId="28" xfId="260" applyNumberFormat="1" applyFont="1" applyFill="1" applyBorder="1" applyAlignment="1">
      <alignment horizontal="right" vertical="center"/>
    </xf>
    <xf numFmtId="179" fontId="79" fillId="32" borderId="30" xfId="260" applyNumberFormat="1" applyFont="1" applyFill="1" applyBorder="1" applyAlignment="1">
      <alignment horizontal="right" vertical="center"/>
    </xf>
    <xf numFmtId="0" fontId="126" fillId="38" borderId="0" xfId="0" applyFont="1" applyFill="1" applyBorder="1" applyAlignment="1">
      <alignment horizontal="center" vertical="center"/>
    </xf>
    <xf numFmtId="0" fontId="144" fillId="38" borderId="0" xfId="0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0" fontId="126" fillId="38" borderId="0" xfId="0" applyFont="1" applyFill="1" applyBorder="1" applyAlignment="1">
      <alignment horizontal="center" vertical="center"/>
    </xf>
    <xf numFmtId="0" fontId="122" fillId="32" borderId="0" xfId="0" applyFont="1" applyFill="1" applyBorder="1" applyAlignment="1">
      <alignment horizontal="left" vertical="center"/>
    </xf>
    <xf numFmtId="0" fontId="144" fillId="38" borderId="0" xfId="0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0" fontId="126" fillId="38" borderId="50" xfId="335" quotePrefix="1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0" fontId="0" fillId="32" borderId="0" xfId="0" applyFont="1" applyFill="1"/>
    <xf numFmtId="179" fontId="0" fillId="32" borderId="0" xfId="260" applyNumberFormat="1" applyFont="1" applyFill="1"/>
    <xf numFmtId="0" fontId="145" fillId="32" borderId="0" xfId="335" applyFont="1" applyFill="1" applyAlignment="1">
      <alignment vertical="center"/>
    </xf>
    <xf numFmtId="0" fontId="79" fillId="32" borderId="0" xfId="335" applyFont="1" applyFill="1" applyBorder="1" applyAlignment="1">
      <alignment vertical="center"/>
    </xf>
    <xf numFmtId="0" fontId="79" fillId="38" borderId="0" xfId="335" applyFont="1" applyFill="1" applyBorder="1" applyAlignment="1">
      <alignment horizontal="left" vertical="center"/>
    </xf>
    <xf numFmtId="0" fontId="144" fillId="32" borderId="0" xfId="335" quotePrefix="1" applyFont="1" applyFill="1" applyBorder="1" applyAlignment="1">
      <alignment horizontal="center" vertical="center"/>
    </xf>
    <xf numFmtId="0" fontId="79" fillId="32" borderId="0" xfId="335" applyFont="1" applyFill="1" applyAlignment="1">
      <alignment vertical="center"/>
    </xf>
    <xf numFmtId="0" fontId="78" fillId="0" borderId="0" xfId="335" applyFont="1" applyFill="1" applyAlignment="1">
      <alignment vertical="center"/>
    </xf>
    <xf numFmtId="0" fontId="116" fillId="32" borderId="0" xfId="276" applyNumberFormat="1" applyFont="1" applyFill="1" applyBorder="1" applyAlignment="1">
      <alignment horizontal="center" vertical="center"/>
    </xf>
    <xf numFmtId="237" fontId="119" fillId="32" borderId="0" xfId="276" applyNumberFormat="1" applyFont="1" applyFill="1" applyBorder="1" applyAlignment="1">
      <alignment horizontal="center" vertical="center"/>
    </xf>
    <xf numFmtId="176" fontId="116" fillId="32" borderId="0" xfId="0" applyNumberFormat="1" applyFont="1" applyFill="1" applyBorder="1" applyAlignment="1">
      <alignment horizontal="right" vertical="center"/>
    </xf>
    <xf numFmtId="3" fontId="115" fillId="32" borderId="0" xfId="0" applyNumberFormat="1" applyFont="1" applyFill="1" applyAlignment="1">
      <alignment vertical="center"/>
    </xf>
    <xf numFmtId="176" fontId="116" fillId="32" borderId="0" xfId="0" applyNumberFormat="1" applyFont="1" applyFill="1" applyAlignment="1">
      <alignment vertical="center"/>
    </xf>
    <xf numFmtId="0" fontId="116" fillId="32" borderId="0" xfId="0" applyFont="1" applyFill="1" applyAlignment="1">
      <alignment vertical="center"/>
    </xf>
    <xf numFmtId="0" fontId="115" fillId="32" borderId="0" xfId="0" applyFont="1" applyFill="1" applyBorder="1" applyAlignment="1">
      <alignment vertical="center"/>
    </xf>
    <xf numFmtId="176" fontId="116" fillId="36" borderId="0" xfId="0" applyNumberFormat="1" applyFont="1" applyFill="1" applyBorder="1" applyAlignment="1">
      <alignment horizontal="right" vertical="center"/>
    </xf>
    <xf numFmtId="238" fontId="116" fillId="32" borderId="0" xfId="276" applyNumberFormat="1" applyFont="1" applyFill="1" applyBorder="1" applyAlignment="1">
      <alignment horizontal="center" vertical="center"/>
    </xf>
    <xf numFmtId="229" fontId="115" fillId="32" borderId="0" xfId="0" applyNumberFormat="1" applyFont="1" applyFill="1" applyAlignment="1">
      <alignment horizontal="center" vertical="center"/>
    </xf>
    <xf numFmtId="0" fontId="115" fillId="32" borderId="0" xfId="0" applyFont="1" applyFill="1" applyAlignment="1">
      <alignment horizontal="center" vertical="center"/>
    </xf>
    <xf numFmtId="0" fontId="116" fillId="36" borderId="8" xfId="0" applyFont="1" applyFill="1" applyBorder="1" applyAlignment="1">
      <alignment horizontal="left" vertical="center"/>
    </xf>
    <xf numFmtId="176" fontId="116" fillId="36" borderId="8" xfId="0" applyNumberFormat="1" applyFont="1" applyFill="1" applyBorder="1" applyAlignment="1">
      <alignment vertical="center"/>
    </xf>
    <xf numFmtId="0" fontId="134" fillId="36" borderId="0" xfId="0" applyFont="1" applyFill="1" applyBorder="1" applyAlignment="1">
      <alignment horizontal="left" vertical="center"/>
    </xf>
    <xf numFmtId="0" fontId="116" fillId="36" borderId="0" xfId="0" applyFont="1" applyFill="1" applyBorder="1" applyAlignment="1">
      <alignment horizontal="left" vertical="center"/>
    </xf>
    <xf numFmtId="0" fontId="126" fillId="38" borderId="51" xfId="0" applyFont="1" applyFill="1" applyBorder="1" applyAlignment="1">
      <alignment horizontal="center" vertical="center"/>
    </xf>
    <xf numFmtId="41" fontId="127" fillId="38" borderId="30" xfId="276" applyFont="1" applyFill="1" applyBorder="1" applyAlignment="1">
      <alignment horizontal="right" vertical="center"/>
    </xf>
    <xf numFmtId="41" fontId="121" fillId="38" borderId="0" xfId="276" applyFont="1" applyFill="1" applyBorder="1" applyAlignment="1">
      <alignment horizontal="right" vertical="center"/>
    </xf>
    <xf numFmtId="41" fontId="121" fillId="38" borderId="30" xfId="276" applyFont="1" applyFill="1" applyBorder="1" applyAlignment="1">
      <alignment horizontal="right" vertical="center"/>
    </xf>
    <xf numFmtId="41" fontId="120" fillId="38" borderId="0" xfId="276" applyFont="1" applyFill="1" applyBorder="1" applyAlignment="1">
      <alignment horizontal="right" vertical="center"/>
    </xf>
    <xf numFmtId="41" fontId="127" fillId="38" borderId="0" xfId="276" applyFont="1" applyFill="1" applyBorder="1" applyAlignment="1">
      <alignment horizontal="right" vertical="center"/>
    </xf>
    <xf numFmtId="41" fontId="121" fillId="38" borderId="32" xfId="276" applyFont="1" applyFill="1" applyBorder="1" applyAlignment="1">
      <alignment horizontal="right" vertical="center"/>
    </xf>
    <xf numFmtId="0" fontId="117" fillId="32" borderId="0" xfId="0" applyFont="1" applyFill="1"/>
    <xf numFmtId="0" fontId="126" fillId="38" borderId="52" xfId="0" applyFont="1" applyFill="1" applyBorder="1" applyAlignment="1">
      <alignment horizontal="center" vertical="center"/>
    </xf>
    <xf numFmtId="0" fontId="79" fillId="39" borderId="0" xfId="0" applyFont="1" applyFill="1" applyBorder="1" applyAlignment="1">
      <alignment horizontal="center" vertical="center"/>
    </xf>
    <xf numFmtId="0" fontId="79" fillId="39" borderId="52" xfId="0" applyFont="1" applyFill="1" applyBorder="1" applyAlignment="1">
      <alignment horizontal="center" vertical="center"/>
    </xf>
    <xf numFmtId="176" fontId="78" fillId="40" borderId="0" xfId="276" applyNumberFormat="1" applyFont="1" applyFill="1" applyBorder="1" applyAlignment="1">
      <alignment horizontal="right" vertical="center"/>
    </xf>
    <xf numFmtId="176" fontId="79" fillId="39" borderId="0" xfId="276" applyNumberFormat="1" applyFont="1" applyFill="1" applyBorder="1" applyAlignment="1">
      <alignment horizontal="right" vertical="center"/>
    </xf>
    <xf numFmtId="179" fontId="160" fillId="40" borderId="0" xfId="260" applyNumberFormat="1" applyFont="1" applyFill="1" applyBorder="1" applyAlignment="1">
      <alignment horizontal="right" vertical="center"/>
    </xf>
    <xf numFmtId="176" fontId="78" fillId="40" borderId="8" xfId="276" applyNumberFormat="1" applyFont="1" applyFill="1" applyBorder="1" applyAlignment="1">
      <alignment horizontal="right" vertical="center"/>
    </xf>
    <xf numFmtId="176" fontId="79" fillId="39" borderId="8" xfId="276" applyNumberFormat="1" applyFont="1" applyFill="1" applyBorder="1" applyAlignment="1">
      <alignment horizontal="right" vertical="center"/>
    </xf>
    <xf numFmtId="179" fontId="160" fillId="40" borderId="8" xfId="260" applyNumberFormat="1" applyFont="1" applyFill="1" applyBorder="1" applyAlignment="1">
      <alignment horizontal="right" vertical="center"/>
    </xf>
    <xf numFmtId="41" fontId="126" fillId="32" borderId="0" xfId="276" applyFont="1" applyFill="1" applyBorder="1" applyAlignment="1">
      <alignment horizontal="right"/>
    </xf>
    <xf numFmtId="41" fontId="122" fillId="32" borderId="29" xfId="276" applyFont="1" applyFill="1" applyBorder="1" applyAlignment="1">
      <alignment horizontal="right"/>
    </xf>
    <xf numFmtId="41" fontId="122" fillId="32" borderId="0" xfId="276" applyFont="1" applyFill="1" applyBorder="1" applyAlignment="1">
      <alignment horizontal="right"/>
    </xf>
    <xf numFmtId="41" fontId="126" fillId="32" borderId="28" xfId="276" applyFont="1" applyFill="1" applyBorder="1" applyAlignment="1">
      <alignment horizontal="right"/>
    </xf>
    <xf numFmtId="179" fontId="126" fillId="32" borderId="28" xfId="260" applyNumberFormat="1" applyFont="1" applyFill="1" applyBorder="1" applyAlignment="1">
      <alignment horizontal="right"/>
    </xf>
    <xf numFmtId="41" fontId="122" fillId="32" borderId="30" xfId="276" applyFont="1" applyFill="1" applyBorder="1" applyAlignment="1">
      <alignment horizontal="right"/>
    </xf>
    <xf numFmtId="41" fontId="122" fillId="32" borderId="28" xfId="276" applyFont="1" applyFill="1" applyBorder="1" applyAlignment="1">
      <alignment horizontal="right"/>
    </xf>
    <xf numFmtId="41" fontId="126" fillId="32" borderId="18" xfId="276" applyFont="1" applyFill="1" applyBorder="1" applyAlignment="1">
      <alignment horizontal="right"/>
    </xf>
    <xf numFmtId="230" fontId="116" fillId="38" borderId="0" xfId="276" applyNumberFormat="1" applyFont="1" applyFill="1" applyBorder="1" applyAlignment="1">
      <alignment horizontal="left" vertical="center"/>
    </xf>
    <xf numFmtId="41" fontId="122" fillId="38" borderId="0" xfId="276" applyFont="1" applyFill="1" applyBorder="1" applyAlignment="1">
      <alignment horizontal="left" vertical="center"/>
    </xf>
    <xf numFmtId="3" fontId="122" fillId="38" borderId="29" xfId="276" applyNumberFormat="1" applyFont="1" applyFill="1" applyBorder="1" applyAlignment="1">
      <alignment horizontal="right" vertical="center"/>
    </xf>
    <xf numFmtId="3" fontId="115" fillId="38" borderId="0" xfId="282" applyNumberFormat="1" applyFont="1" applyFill="1" applyBorder="1">
      <alignment vertical="center"/>
    </xf>
    <xf numFmtId="3" fontId="115" fillId="38" borderId="8" xfId="282" applyNumberFormat="1" applyFont="1" applyFill="1" applyBorder="1">
      <alignment vertical="center"/>
    </xf>
    <xf numFmtId="3" fontId="115" fillId="38" borderId="24" xfId="276" applyNumberFormat="1" applyFont="1" applyFill="1" applyBorder="1" applyAlignment="1">
      <alignment horizontal="right" vertical="center"/>
    </xf>
    <xf numFmtId="3" fontId="126" fillId="38" borderId="45" xfId="276" applyNumberFormat="1" applyFont="1" applyFill="1" applyBorder="1" applyAlignment="1">
      <alignment horizontal="right" vertical="center"/>
    </xf>
    <xf numFmtId="233" fontId="122" fillId="38" borderId="0" xfId="319" applyNumberFormat="1" applyFont="1" applyFill="1" applyBorder="1" applyAlignment="1">
      <alignment horizontal="right" vertical="center"/>
    </xf>
    <xf numFmtId="233" fontId="122" fillId="38" borderId="29" xfId="319" applyNumberFormat="1" applyFont="1" applyFill="1" applyBorder="1" applyAlignment="1">
      <alignment horizontal="right" vertical="center"/>
    </xf>
    <xf numFmtId="233" fontId="122" fillId="38" borderId="30" xfId="319" applyNumberFormat="1" applyFont="1" applyFill="1" applyBorder="1" applyAlignment="1">
      <alignment horizontal="right" vertical="center"/>
    </xf>
    <xf numFmtId="233" fontId="115" fillId="38" borderId="0" xfId="319" applyNumberFormat="1" applyFont="1" applyFill="1" applyBorder="1" applyAlignment="1">
      <alignment horizontal="right" vertical="center"/>
    </xf>
    <xf numFmtId="233" fontId="122" fillId="38" borderId="24" xfId="319" applyNumberFormat="1" applyFont="1" applyFill="1" applyBorder="1" applyAlignment="1">
      <alignment horizontal="right" vertical="center"/>
    </xf>
    <xf numFmtId="41" fontId="122" fillId="38" borderId="29" xfId="276" applyFont="1" applyFill="1" applyBorder="1" applyAlignment="1">
      <alignment horizontal="left" vertical="center"/>
    </xf>
    <xf numFmtId="41" fontId="122" fillId="38" borderId="30" xfId="276" applyFont="1" applyFill="1" applyBorder="1" applyAlignment="1">
      <alignment horizontal="left" vertical="center"/>
    </xf>
    <xf numFmtId="41" fontId="115" fillId="38" borderId="0" xfId="276" applyFont="1" applyFill="1" applyBorder="1" applyAlignment="1">
      <alignment horizontal="left" vertical="center"/>
    </xf>
    <xf numFmtId="41" fontId="122" fillId="38" borderId="24" xfId="276" applyFont="1" applyFill="1" applyBorder="1" applyAlignment="1">
      <alignment vertical="center"/>
    </xf>
    <xf numFmtId="3" fontId="122" fillId="38" borderId="0" xfId="282" quotePrefix="1" applyNumberFormat="1" applyFont="1" applyFill="1" applyBorder="1">
      <alignment vertical="center"/>
    </xf>
    <xf numFmtId="3" fontId="122" fillId="38" borderId="30" xfId="282" quotePrefix="1" applyNumberFormat="1" applyFont="1" applyFill="1" applyBorder="1">
      <alignment vertical="center"/>
    </xf>
    <xf numFmtId="3" fontId="122" fillId="38" borderId="18" xfId="282" quotePrefix="1" applyNumberFormat="1" applyFont="1" applyFill="1" applyBorder="1">
      <alignment vertical="center"/>
    </xf>
    <xf numFmtId="9" fontId="122" fillId="32" borderId="0" xfId="260" quotePrefix="1" applyFont="1" applyFill="1" applyBorder="1" applyAlignment="1">
      <alignment horizontal="right" vertical="center"/>
    </xf>
    <xf numFmtId="0" fontId="144" fillId="38" borderId="51" xfId="335" quotePrefix="1" applyFont="1" applyFill="1" applyBorder="1" applyAlignment="1">
      <alignment horizontal="center" vertical="center"/>
    </xf>
    <xf numFmtId="41" fontId="78" fillId="38" borderId="29" xfId="276" applyFont="1" applyFill="1" applyBorder="1" applyAlignment="1">
      <alignment vertical="center"/>
    </xf>
    <xf numFmtId="0" fontId="146" fillId="38" borderId="51" xfId="336" applyFont="1" applyFill="1" applyBorder="1" applyAlignment="1">
      <alignment vertical="center"/>
    </xf>
    <xf numFmtId="41" fontId="134" fillId="32" borderId="30" xfId="276" applyFont="1" applyFill="1" applyBorder="1" applyAlignment="1">
      <alignment vertical="center"/>
    </xf>
    <xf numFmtId="41" fontId="134" fillId="32" borderId="29" xfId="276" applyFont="1" applyFill="1" applyBorder="1" applyAlignment="1">
      <alignment vertical="center"/>
    </xf>
    <xf numFmtId="41" fontId="152" fillId="32" borderId="0" xfId="276" applyFont="1" applyFill="1" applyBorder="1" applyAlignment="1">
      <alignment vertical="center"/>
    </xf>
    <xf numFmtId="41" fontId="152" fillId="32" borderId="30" xfId="276" applyFont="1" applyFill="1" applyBorder="1" applyAlignment="1">
      <alignment vertical="center"/>
    </xf>
    <xf numFmtId="41" fontId="152" fillId="32" borderId="29" xfId="276" applyFont="1" applyFill="1" applyBorder="1" applyAlignment="1">
      <alignment vertical="center"/>
    </xf>
    <xf numFmtId="41" fontId="134" fillId="32" borderId="28" xfId="276" applyFont="1" applyFill="1" applyBorder="1" applyAlignment="1">
      <alignment vertical="center"/>
    </xf>
    <xf numFmtId="179" fontId="152" fillId="32" borderId="0" xfId="268" applyNumberFormat="1" applyFont="1" applyFill="1" applyBorder="1" applyAlignment="1">
      <alignment vertical="center"/>
    </xf>
    <xf numFmtId="179" fontId="152" fillId="32" borderId="8" xfId="268" applyNumberFormat="1" applyFont="1" applyFill="1" applyBorder="1" applyAlignment="1">
      <alignment vertical="center"/>
    </xf>
    <xf numFmtId="3" fontId="79" fillId="41" borderId="0" xfId="0" applyNumberFormat="1" applyFont="1" applyFill="1" applyBorder="1" applyAlignment="1">
      <alignment horizontal="right" vertical="center"/>
    </xf>
    <xf numFmtId="179" fontId="79" fillId="41" borderId="0" xfId="260" applyNumberFormat="1" applyFont="1" applyFill="1" applyBorder="1" applyAlignment="1">
      <alignment horizontal="right" vertical="center"/>
    </xf>
    <xf numFmtId="10" fontId="79" fillId="41" borderId="30" xfId="0" applyNumberFormat="1" applyFont="1" applyFill="1" applyBorder="1" applyAlignment="1">
      <alignment horizontal="right" vertical="center"/>
    </xf>
    <xf numFmtId="3" fontId="79" fillId="41" borderId="29" xfId="0" applyNumberFormat="1" applyFont="1" applyFill="1" applyBorder="1" applyAlignment="1">
      <alignment horizontal="right" vertical="center"/>
    </xf>
    <xf numFmtId="3" fontId="79" fillId="41" borderId="32" xfId="0" applyNumberFormat="1" applyFont="1" applyFill="1" applyBorder="1" applyAlignment="1">
      <alignment horizontal="right" vertical="center"/>
    </xf>
    <xf numFmtId="10" fontId="79" fillId="41" borderId="8" xfId="0" applyNumberFormat="1" applyFont="1" applyFill="1" applyBorder="1" applyAlignment="1">
      <alignment horizontal="right" vertical="center"/>
    </xf>
    <xf numFmtId="228" fontId="78" fillId="38" borderId="46" xfId="0" applyNumberFormat="1" applyFont="1" applyFill="1" applyBorder="1" applyAlignment="1">
      <alignment horizontal="right" vertical="center"/>
    </xf>
    <xf numFmtId="228" fontId="79" fillId="38" borderId="46" xfId="0" applyNumberFormat="1" applyFont="1" applyFill="1" applyBorder="1" applyAlignment="1">
      <alignment horizontal="right" vertical="center"/>
    </xf>
    <xf numFmtId="179" fontId="79" fillId="41" borderId="13" xfId="268" applyNumberFormat="1" applyFont="1" applyFill="1" applyBorder="1" applyAlignment="1">
      <alignment horizontal="right" vertical="center"/>
    </xf>
    <xf numFmtId="41" fontId="79" fillId="41" borderId="46" xfId="290" applyFont="1" applyFill="1" applyBorder="1" applyAlignment="1">
      <alignment vertical="center"/>
    </xf>
    <xf numFmtId="41" fontId="79" fillId="41" borderId="0" xfId="290" applyFont="1" applyFill="1" applyBorder="1" applyAlignment="1">
      <alignment vertical="center"/>
    </xf>
    <xf numFmtId="179" fontId="79" fillId="41" borderId="8" xfId="260" applyNumberFormat="1" applyFont="1" applyFill="1" applyBorder="1" applyAlignment="1">
      <alignment vertical="center"/>
    </xf>
    <xf numFmtId="0" fontId="146" fillId="38" borderId="51" xfId="0" applyFont="1" applyFill="1" applyBorder="1" applyAlignment="1">
      <alignment horizontal="center" vertical="center"/>
    </xf>
    <xf numFmtId="176" fontId="122" fillId="36" borderId="0" xfId="0" applyNumberFormat="1" applyFont="1" applyFill="1" applyBorder="1" applyAlignment="1">
      <alignment vertical="center"/>
    </xf>
    <xf numFmtId="0" fontId="161" fillId="0" borderId="0" xfId="0" applyFont="1" applyAlignment="1">
      <alignment vertical="center"/>
    </xf>
    <xf numFmtId="0" fontId="116" fillId="38" borderId="51" xfId="276" applyNumberFormat="1" applyFont="1" applyFill="1" applyBorder="1" applyAlignment="1">
      <alignment horizontal="center" vertical="center"/>
    </xf>
    <xf numFmtId="238" fontId="116" fillId="32" borderId="0" xfId="0" applyNumberFormat="1" applyFont="1" applyFill="1" applyBorder="1" applyAlignment="1">
      <alignment horizontal="right" vertical="center"/>
    </xf>
    <xf numFmtId="179" fontId="116" fillId="32" borderId="0" xfId="0" applyNumberFormat="1" applyFont="1" applyFill="1" applyBorder="1" applyAlignment="1">
      <alignment horizontal="right" vertical="center"/>
    </xf>
    <xf numFmtId="238" fontId="116" fillId="37" borderId="0" xfId="0" applyNumberFormat="1" applyFont="1" applyFill="1" applyBorder="1" applyAlignment="1">
      <alignment horizontal="right" vertical="center"/>
    </xf>
    <xf numFmtId="41" fontId="79" fillId="38" borderId="29" xfId="276" applyFont="1" applyFill="1" applyBorder="1" applyAlignment="1">
      <alignment horizontal="right" vertical="center"/>
    </xf>
    <xf numFmtId="0" fontId="117" fillId="0" borderId="0" xfId="352" applyFont="1" applyBorder="1" applyAlignment="1">
      <alignment horizontal="center" vertical="center"/>
    </xf>
    <xf numFmtId="0" fontId="117" fillId="0" borderId="0" xfId="352" applyFont="1" applyBorder="1" applyAlignment="1">
      <alignment vertical="center"/>
    </xf>
    <xf numFmtId="0" fontId="117" fillId="0" borderId="0" xfId="352" applyFont="1" applyAlignment="1">
      <alignment vertical="center"/>
    </xf>
    <xf numFmtId="0" fontId="162" fillId="0" borderId="0" xfId="352" applyFont="1" applyAlignment="1">
      <alignment vertical="center"/>
    </xf>
    <xf numFmtId="0" fontId="149" fillId="42" borderId="0" xfId="352" applyFont="1" applyFill="1" applyBorder="1" applyAlignment="1">
      <alignment vertical="center"/>
    </xf>
    <xf numFmtId="0" fontId="164" fillId="42" borderId="0" xfId="352" applyFont="1" applyFill="1" applyBorder="1" applyAlignment="1">
      <alignment vertical="center"/>
    </xf>
    <xf numFmtId="0" fontId="117" fillId="42" borderId="0" xfId="352" applyFont="1" applyFill="1" applyAlignment="1">
      <alignment vertical="center"/>
    </xf>
    <xf numFmtId="0" fontId="165" fillId="0" borderId="0" xfId="352" applyFont="1" applyFill="1" applyBorder="1" applyAlignment="1">
      <alignment vertical="center" wrapText="1"/>
    </xf>
    <xf numFmtId="0" fontId="117" fillId="0" borderId="0" xfId="352" applyFont="1" applyFill="1" applyBorder="1" applyAlignment="1">
      <alignment vertical="center"/>
    </xf>
    <xf numFmtId="0" fontId="162" fillId="0" borderId="0" xfId="352" applyFont="1" applyFill="1" applyAlignment="1">
      <alignment vertical="center"/>
    </xf>
    <xf numFmtId="0" fontId="117" fillId="0" borderId="0" xfId="352" applyFont="1" applyFill="1" applyAlignment="1">
      <alignment vertical="center"/>
    </xf>
    <xf numFmtId="0" fontId="126" fillId="38" borderId="0" xfId="352" applyFont="1" applyFill="1" applyBorder="1" applyAlignment="1">
      <alignment horizontal="center" vertical="center" wrapText="1"/>
    </xf>
    <xf numFmtId="0" fontId="126" fillId="38" borderId="30" xfId="335" quotePrefix="1" applyFont="1" applyFill="1" applyBorder="1" applyAlignment="1">
      <alignment horizontal="center" vertical="center"/>
    </xf>
    <xf numFmtId="0" fontId="126" fillId="38" borderId="0" xfId="335" quotePrefix="1" applyFont="1" applyFill="1" applyBorder="1" applyAlignment="1">
      <alignment horizontal="center" vertical="center"/>
    </xf>
    <xf numFmtId="0" fontId="126" fillId="38" borderId="0" xfId="352" applyFont="1" applyFill="1" applyBorder="1" applyAlignment="1">
      <alignment horizontal="center" vertical="center"/>
    </xf>
    <xf numFmtId="0" fontId="126" fillId="38" borderId="53" xfId="335" quotePrefix="1" applyFont="1" applyFill="1" applyBorder="1" applyAlignment="1">
      <alignment horizontal="center" vertical="center"/>
    </xf>
    <xf numFmtId="0" fontId="166" fillId="0" borderId="46" xfId="352" applyFont="1" applyBorder="1" applyAlignment="1">
      <alignment horizontal="left" vertical="center"/>
    </xf>
    <xf numFmtId="0" fontId="166" fillId="0" borderId="46" xfId="352" applyFont="1" applyBorder="1" applyAlignment="1">
      <alignment horizontal="center" vertical="center" wrapText="1"/>
    </xf>
    <xf numFmtId="0" fontId="166" fillId="32" borderId="46" xfId="352" applyFont="1" applyFill="1" applyBorder="1" applyAlignment="1">
      <alignment horizontal="center" vertical="center" wrapText="1"/>
    </xf>
    <xf numFmtId="0" fontId="166" fillId="38" borderId="46" xfId="352" applyFont="1" applyFill="1" applyBorder="1" applyAlignment="1">
      <alignment horizontal="center" vertical="center" wrapText="1"/>
    </xf>
    <xf numFmtId="9" fontId="166" fillId="32" borderId="46" xfId="353" applyFont="1" applyFill="1" applyBorder="1" applyAlignment="1">
      <alignment horizontal="center" vertical="center" wrapText="1"/>
    </xf>
    <xf numFmtId="0" fontId="167" fillId="0" borderId="0" xfId="352" applyFont="1" applyBorder="1" applyAlignment="1">
      <alignment horizontal="left" vertical="center"/>
    </xf>
    <xf numFmtId="0" fontId="167" fillId="0" borderId="36" xfId="352" applyFont="1" applyBorder="1" applyAlignment="1">
      <alignment horizontal="left" vertical="center" indent="1"/>
    </xf>
    <xf numFmtId="230" fontId="167" fillId="0" borderId="29" xfId="279" applyNumberFormat="1" applyFont="1" applyBorder="1" applyAlignment="1">
      <alignment horizontal="right" vertical="center" wrapText="1"/>
    </xf>
    <xf numFmtId="230" fontId="167" fillId="32" borderId="29" xfId="279" applyNumberFormat="1" applyFont="1" applyFill="1" applyBorder="1" applyAlignment="1">
      <alignment horizontal="right" vertical="center" wrapText="1"/>
    </xf>
    <xf numFmtId="230" fontId="167" fillId="38" borderId="29" xfId="279" applyNumberFormat="1" applyFont="1" applyFill="1" applyBorder="1" applyAlignment="1">
      <alignment horizontal="right" vertical="center" wrapText="1"/>
    </xf>
    <xf numFmtId="9" fontId="167" fillId="32" borderId="29" xfId="353" applyFont="1" applyFill="1" applyBorder="1" applyAlignment="1">
      <alignment horizontal="right" vertical="center" wrapText="1"/>
    </xf>
    <xf numFmtId="0" fontId="167" fillId="0" borderId="54" xfId="352" applyFont="1" applyBorder="1" applyAlignment="1">
      <alignment horizontal="left" vertical="center"/>
    </xf>
    <xf numFmtId="0" fontId="167" fillId="0" borderId="31" xfId="352" applyFont="1" applyBorder="1" applyAlignment="1">
      <alignment horizontal="left" vertical="center" indent="1"/>
    </xf>
    <xf numFmtId="230" fontId="167" fillId="0" borderId="8" xfId="279" applyNumberFormat="1" applyFont="1" applyBorder="1" applyAlignment="1">
      <alignment horizontal="right" vertical="center" wrapText="1"/>
    </xf>
    <xf numFmtId="230" fontId="167" fillId="32" borderId="8" xfId="279" applyNumberFormat="1" applyFont="1" applyFill="1" applyBorder="1" applyAlignment="1">
      <alignment horizontal="right" vertical="center" wrapText="1"/>
    </xf>
    <xf numFmtId="230" fontId="167" fillId="38" borderId="8" xfId="279" applyNumberFormat="1" applyFont="1" applyFill="1" applyBorder="1" applyAlignment="1">
      <alignment horizontal="right" vertical="center" wrapText="1"/>
    </xf>
    <xf numFmtId="9" fontId="167" fillId="32" borderId="8" xfId="353" applyFont="1" applyFill="1" applyBorder="1" applyAlignment="1">
      <alignment horizontal="right" vertical="center" wrapText="1"/>
    </xf>
    <xf numFmtId="41" fontId="167" fillId="0" borderId="29" xfId="279" applyFont="1" applyBorder="1" applyAlignment="1">
      <alignment horizontal="right" vertical="center" wrapText="1"/>
    </xf>
    <xf numFmtId="41" fontId="167" fillId="32" borderId="29" xfId="279" applyFont="1" applyFill="1" applyBorder="1" applyAlignment="1">
      <alignment horizontal="right" vertical="center" wrapText="1"/>
    </xf>
    <xf numFmtId="41" fontId="167" fillId="38" borderId="29" xfId="279" applyFont="1" applyFill="1" applyBorder="1" applyAlignment="1">
      <alignment horizontal="right" vertical="center" wrapText="1"/>
    </xf>
    <xf numFmtId="41" fontId="167" fillId="0" borderId="8" xfId="279" applyFont="1" applyBorder="1" applyAlignment="1">
      <alignment horizontal="right" vertical="center" wrapText="1"/>
    </xf>
    <xf numFmtId="41" fontId="167" fillId="32" borderId="8" xfId="279" applyFont="1" applyFill="1" applyBorder="1" applyAlignment="1">
      <alignment horizontal="right" vertical="center" wrapText="1"/>
    </xf>
    <xf numFmtId="41" fontId="167" fillId="38" borderId="8" xfId="279" applyFont="1" applyFill="1" applyBorder="1" applyAlignment="1">
      <alignment horizontal="right" vertical="center" wrapText="1"/>
    </xf>
    <xf numFmtId="9" fontId="167" fillId="0" borderId="8" xfId="353" applyFont="1" applyFill="1" applyBorder="1" applyAlignment="1">
      <alignment horizontal="right" vertical="center" wrapText="1"/>
    </xf>
    <xf numFmtId="0" fontId="167" fillId="0" borderId="37" xfId="352" applyFont="1" applyBorder="1" applyAlignment="1">
      <alignment horizontal="left" vertical="center" indent="1"/>
    </xf>
    <xf numFmtId="41" fontId="167" fillId="0" borderId="30" xfId="279" applyFont="1" applyBorder="1" applyAlignment="1">
      <alignment horizontal="right" vertical="center" wrapText="1"/>
    </xf>
    <xf numFmtId="41" fontId="167" fillId="32" borderId="30" xfId="279" applyFont="1" applyFill="1" applyBorder="1" applyAlignment="1">
      <alignment horizontal="right" vertical="center" wrapText="1"/>
    </xf>
    <xf numFmtId="41" fontId="167" fillId="38" borderId="30" xfId="279" applyFont="1" applyFill="1" applyBorder="1" applyAlignment="1">
      <alignment horizontal="right" vertical="center" wrapText="1"/>
    </xf>
    <xf numFmtId="9" fontId="167" fillId="32" borderId="30" xfId="353" applyFont="1" applyFill="1" applyBorder="1" applyAlignment="1">
      <alignment horizontal="right" vertical="center" wrapText="1"/>
    </xf>
    <xf numFmtId="0" fontId="166" fillId="0" borderId="54" xfId="352" applyFont="1" applyBorder="1" applyAlignment="1">
      <alignment horizontal="left" vertical="center"/>
    </xf>
    <xf numFmtId="0" fontId="166" fillId="0" borderId="35" xfId="352" applyFont="1" applyBorder="1" applyAlignment="1">
      <alignment horizontal="left" vertical="center" indent="1"/>
    </xf>
    <xf numFmtId="41" fontId="166" fillId="0" borderId="32" xfId="279" applyFont="1" applyBorder="1" applyAlignment="1">
      <alignment horizontal="right" vertical="center" wrapText="1"/>
    </xf>
    <xf numFmtId="41" fontId="166" fillId="32" borderId="32" xfId="279" applyFont="1" applyFill="1" applyBorder="1" applyAlignment="1">
      <alignment horizontal="right" vertical="center" wrapText="1"/>
    </xf>
    <xf numFmtId="41" fontId="166" fillId="38" borderId="32" xfId="279" applyFont="1" applyFill="1" applyBorder="1" applyAlignment="1">
      <alignment horizontal="right" vertical="center" wrapText="1"/>
    </xf>
    <xf numFmtId="9" fontId="166" fillId="32" borderId="32" xfId="353" applyFont="1" applyFill="1" applyBorder="1" applyAlignment="1">
      <alignment horizontal="right" vertical="center" wrapText="1"/>
    </xf>
    <xf numFmtId="0" fontId="169" fillId="0" borderId="0" xfId="352" applyFont="1" applyAlignment="1">
      <alignment vertical="center"/>
    </xf>
    <xf numFmtId="0" fontId="124" fillId="0" borderId="0" xfId="352" applyFont="1" applyAlignment="1">
      <alignment vertical="center"/>
    </xf>
    <xf numFmtId="0" fontId="167" fillId="0" borderId="34" xfId="352" applyFont="1" applyBorder="1" applyAlignment="1">
      <alignment horizontal="left" vertical="center" indent="1"/>
    </xf>
    <xf numFmtId="41" fontId="167" fillId="0" borderId="0" xfId="279" applyFont="1" applyBorder="1" applyAlignment="1">
      <alignment horizontal="right" vertical="center" wrapText="1"/>
    </xf>
    <xf numFmtId="41" fontId="167" fillId="32" borderId="0" xfId="279" applyFont="1" applyFill="1" applyBorder="1" applyAlignment="1">
      <alignment horizontal="right" vertical="center" wrapText="1"/>
    </xf>
    <xf numFmtId="41" fontId="167" fillId="38" borderId="0" xfId="279" applyFont="1" applyFill="1" applyBorder="1" applyAlignment="1">
      <alignment horizontal="right" vertical="center" wrapText="1"/>
    </xf>
    <xf numFmtId="9" fontId="167" fillId="32" borderId="0" xfId="353" applyFont="1" applyFill="1" applyBorder="1" applyAlignment="1">
      <alignment horizontal="right" vertical="center" wrapText="1"/>
    </xf>
    <xf numFmtId="0" fontId="166" fillId="0" borderId="39" xfId="352" applyFont="1" applyBorder="1" applyAlignment="1">
      <alignment horizontal="left" vertical="center"/>
    </xf>
    <xf numFmtId="0" fontId="166" fillId="0" borderId="40" xfId="352" applyFont="1" applyBorder="1" applyAlignment="1">
      <alignment horizontal="left" vertical="center" indent="1"/>
    </xf>
    <xf numFmtId="41" fontId="166" fillId="0" borderId="28" xfId="279" applyFont="1" applyBorder="1" applyAlignment="1">
      <alignment horizontal="right" vertical="center" wrapText="1"/>
    </xf>
    <xf numFmtId="41" fontId="166" fillId="32" borderId="28" xfId="279" applyFont="1" applyFill="1" applyBorder="1" applyAlignment="1">
      <alignment horizontal="right" vertical="center" wrapText="1"/>
    </xf>
    <xf numFmtId="41" fontId="166" fillId="38" borderId="28" xfId="279" applyFont="1" applyFill="1" applyBorder="1" applyAlignment="1">
      <alignment horizontal="right" vertical="center" wrapText="1"/>
    </xf>
    <xf numFmtId="9" fontId="166" fillId="32" borderId="28" xfId="353" applyFont="1" applyFill="1" applyBorder="1" applyAlignment="1">
      <alignment horizontal="right" vertical="center" wrapText="1"/>
    </xf>
    <xf numFmtId="0" fontId="170" fillId="0" borderId="34" xfId="352" applyFont="1" applyBorder="1" applyAlignment="1">
      <alignment horizontal="left" vertical="center" indent="1"/>
    </xf>
    <xf numFmtId="179" fontId="170" fillId="0" borderId="0" xfId="353" applyNumberFormat="1" applyFont="1" applyBorder="1" applyAlignment="1">
      <alignment horizontal="right" vertical="center" wrapText="1"/>
    </xf>
    <xf numFmtId="179" fontId="170" fillId="32" borderId="0" xfId="353" applyNumberFormat="1" applyFont="1" applyFill="1" applyBorder="1" applyAlignment="1">
      <alignment horizontal="right" vertical="center" wrapText="1"/>
    </xf>
    <xf numFmtId="179" fontId="170" fillId="38" borderId="0" xfId="353" applyNumberFormat="1" applyFont="1" applyFill="1" applyBorder="1" applyAlignment="1">
      <alignment horizontal="right" vertical="center" wrapText="1"/>
    </xf>
    <xf numFmtId="241" fontId="170" fillId="32" borderId="0" xfId="353" applyNumberFormat="1" applyFont="1" applyFill="1" applyBorder="1" applyAlignment="1">
      <alignment horizontal="right" vertical="center" wrapText="1"/>
    </xf>
    <xf numFmtId="0" fontId="166" fillId="0" borderId="36" xfId="352" applyFont="1" applyBorder="1" applyAlignment="1">
      <alignment horizontal="left" vertical="center" indent="1"/>
    </xf>
    <xf numFmtId="41" fontId="166" fillId="0" borderId="29" xfId="279" applyFont="1" applyBorder="1" applyAlignment="1">
      <alignment horizontal="right" vertical="center" wrapText="1"/>
    </xf>
    <xf numFmtId="41" fontId="166" fillId="32" borderId="29" xfId="279" applyFont="1" applyFill="1" applyBorder="1" applyAlignment="1">
      <alignment horizontal="right" vertical="center" wrapText="1"/>
    </xf>
    <xf numFmtId="41" fontId="166" fillId="38" borderId="29" xfId="279" applyFont="1" applyFill="1" applyBorder="1" applyAlignment="1">
      <alignment horizontal="right" vertical="center" wrapText="1"/>
    </xf>
    <xf numFmtId="9" fontId="166" fillId="32" borderId="29" xfId="353" applyFont="1" applyFill="1" applyBorder="1" applyAlignment="1">
      <alignment horizontal="right" vertical="center" wrapText="1"/>
    </xf>
    <xf numFmtId="0" fontId="166" fillId="0" borderId="13" xfId="352" applyFont="1" applyBorder="1" applyAlignment="1">
      <alignment horizontal="left" vertical="center"/>
    </xf>
    <xf numFmtId="41" fontId="166" fillId="0" borderId="13" xfId="279" applyFont="1" applyBorder="1" applyAlignment="1">
      <alignment horizontal="right" vertical="center" wrapText="1"/>
    </xf>
    <xf numFmtId="41" fontId="166" fillId="32" borderId="13" xfId="279" applyFont="1" applyFill="1" applyBorder="1" applyAlignment="1">
      <alignment horizontal="right" vertical="center" wrapText="1"/>
    </xf>
    <xf numFmtId="41" fontId="166" fillId="38" borderId="13" xfId="279" applyFont="1" applyFill="1" applyBorder="1" applyAlignment="1">
      <alignment horizontal="right" vertical="center" wrapText="1"/>
    </xf>
    <xf numFmtId="9" fontId="166" fillId="32" borderId="13" xfId="353" applyFont="1" applyFill="1" applyBorder="1" applyAlignment="1">
      <alignment horizontal="right" vertical="center" wrapText="1"/>
    </xf>
    <xf numFmtId="0" fontId="167" fillId="0" borderId="8" xfId="352" applyFont="1" applyBorder="1" applyAlignment="1">
      <alignment horizontal="left" vertical="center"/>
    </xf>
    <xf numFmtId="0" fontId="166" fillId="0" borderId="36" xfId="352" applyFont="1" applyBorder="1" applyAlignment="1">
      <alignment horizontal="left" vertical="center"/>
    </xf>
    <xf numFmtId="233" fontId="166" fillId="0" borderId="29" xfId="352" applyNumberFormat="1" applyFont="1" applyBorder="1" applyAlignment="1">
      <alignment horizontal="right" vertical="center" wrapText="1"/>
    </xf>
    <xf numFmtId="9" fontId="166" fillId="0" borderId="29" xfId="353" applyFont="1" applyBorder="1" applyAlignment="1">
      <alignment horizontal="right" vertical="center" wrapText="1"/>
    </xf>
    <xf numFmtId="9" fontId="166" fillId="38" borderId="29" xfId="353" applyFont="1" applyFill="1" applyBorder="1" applyAlignment="1">
      <alignment horizontal="right" vertical="center" wrapText="1"/>
    </xf>
    <xf numFmtId="241" fontId="166" fillId="32" borderId="29" xfId="353" applyNumberFormat="1" applyFont="1" applyFill="1" applyBorder="1" applyAlignment="1">
      <alignment horizontal="right" vertical="center" wrapText="1"/>
    </xf>
    <xf numFmtId="0" fontId="166" fillId="0" borderId="34" xfId="352" applyFont="1" applyBorder="1" applyAlignment="1">
      <alignment horizontal="left" vertical="center"/>
    </xf>
    <xf numFmtId="233" fontId="166" fillId="0" borderId="0" xfId="352" applyNumberFormat="1" applyFont="1" applyBorder="1" applyAlignment="1">
      <alignment horizontal="right" vertical="center" wrapText="1"/>
    </xf>
    <xf numFmtId="9" fontId="166" fillId="0" borderId="0" xfId="353" applyFont="1" applyBorder="1" applyAlignment="1">
      <alignment horizontal="right" vertical="center" wrapText="1"/>
    </xf>
    <xf numFmtId="9" fontId="166" fillId="32" borderId="0" xfId="353" applyFont="1" applyFill="1" applyBorder="1" applyAlignment="1">
      <alignment horizontal="right" vertical="center" wrapText="1"/>
    </xf>
    <xf numFmtId="9" fontId="166" fillId="38" borderId="0" xfId="353" applyFont="1" applyFill="1" applyBorder="1" applyAlignment="1">
      <alignment horizontal="right" vertical="center" wrapText="1"/>
    </xf>
    <xf numFmtId="241" fontId="166" fillId="32" borderId="0" xfId="353" applyNumberFormat="1" applyFont="1" applyFill="1" applyBorder="1" applyAlignment="1">
      <alignment horizontal="right" vertical="center" wrapText="1"/>
    </xf>
    <xf numFmtId="0" fontId="166" fillId="0" borderId="46" xfId="352" applyFont="1" applyFill="1" applyBorder="1" applyAlignment="1">
      <alignment horizontal="left" vertical="center"/>
    </xf>
    <xf numFmtId="0" fontId="166" fillId="0" borderId="36" xfId="352" applyFont="1" applyFill="1" applyBorder="1" applyAlignment="1">
      <alignment horizontal="left" vertical="center"/>
    </xf>
    <xf numFmtId="0" fontId="167" fillId="0" borderId="34" xfId="352" applyFont="1" applyFill="1" applyBorder="1" applyAlignment="1">
      <alignment horizontal="left" vertical="center" indent="1"/>
    </xf>
    <xf numFmtId="0" fontId="167" fillId="0" borderId="39" xfId="352" applyFont="1" applyBorder="1" applyAlignment="1">
      <alignment horizontal="left" vertical="center"/>
    </xf>
    <xf numFmtId="0" fontId="166" fillId="0" borderId="34" xfId="352" applyFont="1" applyFill="1" applyBorder="1" applyAlignment="1">
      <alignment horizontal="left" vertical="center"/>
    </xf>
    <xf numFmtId="179" fontId="167" fillId="0" borderId="0" xfId="353" applyNumberFormat="1" applyFont="1" applyBorder="1" applyAlignment="1">
      <alignment horizontal="right" vertical="center" wrapText="1"/>
    </xf>
    <xf numFmtId="179" fontId="167" fillId="32" borderId="0" xfId="353" applyNumberFormat="1" applyFont="1" applyFill="1" applyBorder="1" applyAlignment="1">
      <alignment horizontal="right" vertical="center" wrapText="1"/>
    </xf>
    <xf numFmtId="179" fontId="167" fillId="38" borderId="0" xfId="353" applyNumberFormat="1" applyFont="1" applyFill="1" applyBorder="1" applyAlignment="1">
      <alignment horizontal="right" vertical="center" wrapText="1"/>
    </xf>
    <xf numFmtId="231" fontId="167" fillId="32" borderId="0" xfId="353" applyNumberFormat="1" applyFont="1" applyFill="1" applyBorder="1" applyAlignment="1">
      <alignment horizontal="right" vertical="center" wrapText="1"/>
    </xf>
    <xf numFmtId="0" fontId="166" fillId="0" borderId="31" xfId="352" applyFont="1" applyFill="1" applyBorder="1" applyAlignment="1">
      <alignment horizontal="left" vertical="center"/>
    </xf>
    <xf numFmtId="0" fontId="122" fillId="0" borderId="0" xfId="352" applyFont="1" applyBorder="1" applyAlignment="1">
      <alignment vertical="center"/>
    </xf>
    <xf numFmtId="0" fontId="122" fillId="0" borderId="0" xfId="352" applyFont="1" applyAlignment="1">
      <alignment vertical="center"/>
    </xf>
    <xf numFmtId="0" fontId="115" fillId="0" borderId="0" xfId="352" applyFont="1" applyAlignment="1">
      <alignment vertical="center"/>
    </xf>
    <xf numFmtId="0" fontId="117" fillId="0" borderId="0" xfId="352" applyFont="1" applyFill="1" applyBorder="1" applyAlignment="1">
      <alignment horizontal="center" vertical="center"/>
    </xf>
    <xf numFmtId="0" fontId="126" fillId="0" borderId="0" xfId="352" applyFont="1" applyFill="1" applyBorder="1" applyAlignment="1">
      <alignment vertical="center" wrapText="1"/>
    </xf>
    <xf numFmtId="0" fontId="122" fillId="0" borderId="0" xfId="352" applyFont="1" applyFill="1" applyBorder="1" applyAlignment="1">
      <alignment vertical="center"/>
    </xf>
    <xf numFmtId="176" fontId="117" fillId="0" borderId="0" xfId="352" applyNumberFormat="1" applyFont="1" applyFill="1" applyBorder="1" applyAlignment="1">
      <alignment vertical="center"/>
    </xf>
    <xf numFmtId="0" fontId="117" fillId="0" borderId="0" xfId="352" applyFont="1" applyFill="1" applyBorder="1" applyAlignment="1">
      <alignment horizontal="right" vertical="center"/>
    </xf>
    <xf numFmtId="0" fontId="171" fillId="0" borderId="0" xfId="352" applyFont="1" applyFill="1" applyBorder="1" applyAlignment="1">
      <alignment horizontal="right" vertical="center"/>
    </xf>
    <xf numFmtId="0" fontId="172" fillId="38" borderId="0" xfId="352" applyFont="1" applyFill="1" applyBorder="1" applyAlignment="1">
      <alignment horizontal="center" vertical="center" wrapText="1"/>
    </xf>
    <xf numFmtId="0" fontId="126" fillId="38" borderId="53" xfId="352" applyFont="1" applyFill="1" applyBorder="1" applyAlignment="1">
      <alignment horizontal="center" vertical="center" wrapText="1"/>
    </xf>
    <xf numFmtId="0" fontId="166" fillId="0" borderId="46" xfId="352" applyFont="1" applyFill="1" applyBorder="1" applyAlignment="1">
      <alignment horizontal="justify" vertical="center" wrapText="1"/>
    </xf>
    <xf numFmtId="176" fontId="116" fillId="0" borderId="46" xfId="279" applyNumberFormat="1" applyFont="1" applyFill="1" applyBorder="1" applyAlignment="1">
      <alignment horizontal="right" vertical="center" wrapText="1"/>
    </xf>
    <xf numFmtId="176" fontId="116" fillId="32" borderId="46" xfId="279" applyNumberFormat="1" applyFont="1" applyFill="1" applyBorder="1" applyAlignment="1">
      <alignment horizontal="right" vertical="center" wrapText="1"/>
    </xf>
    <xf numFmtId="176" fontId="126" fillId="38" borderId="46" xfId="279" applyNumberFormat="1" applyFont="1" applyFill="1" applyBorder="1" applyAlignment="1">
      <alignment horizontal="right" vertical="center" wrapText="1"/>
    </xf>
    <xf numFmtId="9" fontId="116" fillId="32" borderId="46" xfId="353" applyFont="1" applyFill="1" applyBorder="1" applyAlignment="1">
      <alignment horizontal="right" vertical="center" wrapText="1"/>
    </xf>
    <xf numFmtId="41" fontId="116" fillId="0" borderId="55" xfId="279" applyFont="1" applyFill="1" applyBorder="1" applyAlignment="1">
      <alignment horizontal="right" vertical="center" wrapText="1"/>
    </xf>
    <xf numFmtId="41" fontId="116" fillId="0" borderId="11" xfId="279" applyFont="1" applyFill="1" applyBorder="1" applyAlignment="1">
      <alignment horizontal="right" vertical="center" wrapText="1"/>
    </xf>
    <xf numFmtId="176" fontId="116" fillId="32" borderId="11" xfId="279" applyNumberFormat="1" applyFont="1" applyFill="1" applyBorder="1" applyAlignment="1">
      <alignment horizontal="right" vertical="center" wrapText="1"/>
    </xf>
    <xf numFmtId="176" fontId="126" fillId="38" borderId="11" xfId="279" applyNumberFormat="1" applyFont="1" applyFill="1" applyBorder="1" applyAlignment="1">
      <alignment horizontal="right" vertical="center" wrapText="1"/>
    </xf>
    <xf numFmtId="179" fontId="116" fillId="32" borderId="11" xfId="353" applyNumberFormat="1" applyFont="1" applyFill="1" applyBorder="1" applyAlignment="1">
      <alignment horizontal="right" vertical="center" wrapText="1"/>
    </xf>
    <xf numFmtId="0" fontId="167" fillId="0" borderId="36" xfId="352" applyFont="1" applyFill="1" applyBorder="1" applyAlignment="1">
      <alignment horizontal="left" vertical="center" wrapText="1" indent="1"/>
    </xf>
    <xf numFmtId="176" fontId="167" fillId="0" borderId="29" xfId="279" applyNumberFormat="1" applyFont="1" applyFill="1" applyBorder="1" applyAlignment="1">
      <alignment horizontal="right" vertical="center" wrapText="1"/>
    </xf>
    <xf numFmtId="176" fontId="115" fillId="0" borderId="29" xfId="279" applyNumberFormat="1" applyFont="1" applyFill="1" applyBorder="1" applyAlignment="1">
      <alignment horizontal="right" vertical="center" wrapText="1"/>
    </xf>
    <xf numFmtId="176" fontId="115" fillId="32" borderId="29" xfId="279" applyNumberFormat="1" applyFont="1" applyFill="1" applyBorder="1" applyAlignment="1">
      <alignment horizontal="right" vertical="center" wrapText="1"/>
    </xf>
    <xf numFmtId="176" fontId="122" fillId="38" borderId="29" xfId="279" applyNumberFormat="1" applyFont="1" applyFill="1" applyBorder="1" applyAlignment="1">
      <alignment horizontal="right" vertical="center" wrapText="1"/>
    </xf>
    <xf numFmtId="9" fontId="115" fillId="32" borderId="29" xfId="353" applyFont="1" applyFill="1" applyBorder="1" applyAlignment="1">
      <alignment horizontal="right" vertical="center" wrapText="1"/>
    </xf>
    <xf numFmtId="41" fontId="115" fillId="0" borderId="56" xfId="279" applyFont="1" applyFill="1" applyBorder="1" applyAlignment="1">
      <alignment horizontal="right" vertical="center" wrapText="1"/>
    </xf>
    <xf numFmtId="41" fontId="115" fillId="0" borderId="29" xfId="279" applyFont="1" applyFill="1" applyBorder="1" applyAlignment="1">
      <alignment horizontal="right" vertical="center" wrapText="1"/>
    </xf>
    <xf numFmtId="179" fontId="115" fillId="32" borderId="29" xfId="353" applyNumberFormat="1" applyFont="1" applyFill="1" applyBorder="1" applyAlignment="1">
      <alignment horizontal="right" vertical="center" wrapText="1"/>
    </xf>
    <xf numFmtId="43" fontId="117" fillId="0" borderId="0" xfId="352" applyNumberFormat="1" applyFont="1" applyAlignment="1">
      <alignment vertical="center"/>
    </xf>
    <xf numFmtId="0" fontId="167" fillId="0" borderId="34" xfId="352" applyFont="1" applyFill="1" applyBorder="1" applyAlignment="1">
      <alignment horizontal="left" vertical="center" wrapText="1" indent="1"/>
    </xf>
    <xf numFmtId="176" fontId="167" fillId="0" borderId="0" xfId="279" applyNumberFormat="1" applyFont="1" applyFill="1" applyBorder="1" applyAlignment="1">
      <alignment horizontal="right" vertical="center" wrapText="1"/>
    </xf>
    <xf numFmtId="176" fontId="115" fillId="0" borderId="0" xfId="279" applyNumberFormat="1" applyFont="1" applyFill="1" applyBorder="1" applyAlignment="1">
      <alignment horizontal="right" vertical="center" wrapText="1"/>
    </xf>
    <xf numFmtId="176" fontId="115" fillId="32" borderId="0" xfId="279" applyNumberFormat="1" applyFont="1" applyFill="1" applyBorder="1" applyAlignment="1">
      <alignment horizontal="right" vertical="center" wrapText="1"/>
    </xf>
    <xf numFmtId="176" fontId="122" fillId="38" borderId="0" xfId="279" applyNumberFormat="1" applyFont="1" applyFill="1" applyBorder="1" applyAlignment="1">
      <alignment horizontal="right" vertical="center" wrapText="1"/>
    </xf>
    <xf numFmtId="9" fontId="115" fillId="32" borderId="0" xfId="353" applyFont="1" applyFill="1" applyBorder="1" applyAlignment="1">
      <alignment horizontal="right" vertical="center" wrapText="1"/>
    </xf>
    <xf numFmtId="41" fontId="115" fillId="0" borderId="39" xfId="279" applyFont="1" applyFill="1" applyBorder="1" applyAlignment="1">
      <alignment horizontal="right" vertical="center" wrapText="1"/>
    </xf>
    <xf numFmtId="41" fontId="115" fillId="0" borderId="0" xfId="279" applyFont="1" applyFill="1" applyBorder="1" applyAlignment="1">
      <alignment horizontal="right" vertical="center" wrapText="1"/>
    </xf>
    <xf numFmtId="179" fontId="115" fillId="32" borderId="0" xfId="353" applyNumberFormat="1" applyFont="1" applyFill="1" applyBorder="1" applyAlignment="1">
      <alignment horizontal="right" vertical="center" wrapText="1"/>
    </xf>
    <xf numFmtId="0" fontId="166" fillId="0" borderId="11" xfId="352" applyFont="1" applyBorder="1" applyAlignment="1">
      <alignment horizontal="left" vertical="center"/>
    </xf>
    <xf numFmtId="0" fontId="166" fillId="0" borderId="11" xfId="352" applyFont="1" applyFill="1" applyBorder="1" applyAlignment="1">
      <alignment horizontal="justify" vertical="center" wrapText="1"/>
    </xf>
    <xf numFmtId="176" fontId="116" fillId="0" borderId="11" xfId="279" applyNumberFormat="1" applyFont="1" applyFill="1" applyBorder="1" applyAlignment="1">
      <alignment horizontal="right" vertical="center" wrapText="1"/>
    </xf>
    <xf numFmtId="9" fontId="116" fillId="32" borderId="11" xfId="353" applyFont="1" applyFill="1" applyBorder="1" applyAlignment="1">
      <alignment horizontal="right" vertical="center" wrapText="1"/>
    </xf>
    <xf numFmtId="41" fontId="117" fillId="0" borderId="0" xfId="352" applyNumberFormat="1" applyFont="1" applyAlignment="1">
      <alignment vertical="center"/>
    </xf>
    <xf numFmtId="0" fontId="167" fillId="0" borderId="31" xfId="352" applyFont="1" applyFill="1" applyBorder="1" applyAlignment="1">
      <alignment horizontal="left" vertical="center" wrapText="1" indent="1"/>
    </xf>
    <xf numFmtId="176" fontId="167" fillId="0" borderId="8" xfId="279" applyNumberFormat="1" applyFont="1" applyFill="1" applyBorder="1" applyAlignment="1">
      <alignment horizontal="right" vertical="center" wrapText="1"/>
    </xf>
    <xf numFmtId="176" fontId="115" fillId="0" borderId="8" xfId="279" applyNumberFormat="1" applyFont="1" applyFill="1" applyBorder="1" applyAlignment="1">
      <alignment horizontal="right" vertical="center" wrapText="1"/>
    </xf>
    <xf numFmtId="176" fontId="115" fillId="32" borderId="8" xfId="279" applyNumberFormat="1" applyFont="1" applyFill="1" applyBorder="1" applyAlignment="1">
      <alignment horizontal="right" vertical="center" wrapText="1"/>
    </xf>
    <xf numFmtId="176" fontId="122" fillId="38" borderId="8" xfId="279" applyNumberFormat="1" applyFont="1" applyFill="1" applyBorder="1" applyAlignment="1">
      <alignment horizontal="right" vertical="center" wrapText="1"/>
    </xf>
    <xf numFmtId="9" fontId="115" fillId="32" borderId="8" xfId="353" applyFont="1" applyFill="1" applyBorder="1" applyAlignment="1">
      <alignment horizontal="right" vertical="center" wrapText="1"/>
    </xf>
    <xf numFmtId="41" fontId="115" fillId="0" borderId="54" xfId="279" applyFont="1" applyFill="1" applyBorder="1" applyAlignment="1">
      <alignment horizontal="right" vertical="center" wrapText="1"/>
    </xf>
    <xf numFmtId="41" fontId="115" fillId="0" borderId="8" xfId="279" applyFont="1" applyFill="1" applyBorder="1" applyAlignment="1">
      <alignment horizontal="right" vertical="center" wrapText="1"/>
    </xf>
    <xf numFmtId="179" fontId="115" fillId="32" borderId="8" xfId="353" applyNumberFormat="1" applyFont="1" applyFill="1" applyBorder="1" applyAlignment="1">
      <alignment horizontal="right" vertical="center" wrapText="1"/>
    </xf>
    <xf numFmtId="176" fontId="166" fillId="0" borderId="11" xfId="279" applyNumberFormat="1" applyFont="1" applyFill="1" applyBorder="1" applyAlignment="1">
      <alignment horizontal="right" vertical="center" wrapText="1"/>
    </xf>
    <xf numFmtId="176" fontId="166" fillId="32" borderId="33" xfId="279" applyNumberFormat="1" applyFont="1" applyFill="1" applyBorder="1" applyAlignment="1">
      <alignment horizontal="right" vertical="center" wrapText="1"/>
    </xf>
    <xf numFmtId="176" fontId="126" fillId="38" borderId="33" xfId="279" applyNumberFormat="1" applyFont="1" applyFill="1" applyBorder="1" applyAlignment="1">
      <alignment horizontal="right" vertical="center" wrapText="1"/>
    </xf>
    <xf numFmtId="9" fontId="166" fillId="32" borderId="33" xfId="353" applyFont="1" applyFill="1" applyBorder="1" applyAlignment="1">
      <alignment horizontal="right" vertical="center" wrapText="1"/>
    </xf>
    <xf numFmtId="41" fontId="166" fillId="0" borderId="57" xfId="279" applyFont="1" applyFill="1" applyBorder="1" applyAlignment="1">
      <alignment horizontal="right" vertical="center" wrapText="1"/>
    </xf>
    <xf numFmtId="41" fontId="166" fillId="0" borderId="33" xfId="279" applyFont="1" applyFill="1" applyBorder="1" applyAlignment="1">
      <alignment horizontal="right" vertical="center" wrapText="1"/>
    </xf>
    <xf numFmtId="41" fontId="166" fillId="0" borderId="11" xfId="279" applyFont="1" applyFill="1" applyBorder="1" applyAlignment="1">
      <alignment horizontal="right" vertical="center" wrapText="1"/>
    </xf>
    <xf numFmtId="179" fontId="166" fillId="32" borderId="33" xfId="353" applyNumberFormat="1" applyFont="1" applyFill="1" applyBorder="1" applyAlignment="1">
      <alignment horizontal="right" vertical="center" wrapText="1"/>
    </xf>
    <xf numFmtId="0" fontId="167" fillId="0" borderId="36" xfId="352" applyFont="1" applyFill="1" applyBorder="1" applyAlignment="1">
      <alignment horizontal="left" vertical="center" wrapText="1"/>
    </xf>
    <xf numFmtId="176" fontId="167" fillId="0" borderId="29" xfId="352" applyNumberFormat="1" applyFont="1" applyFill="1" applyBorder="1" applyAlignment="1">
      <alignment horizontal="right" vertical="center" wrapText="1"/>
    </xf>
    <xf numFmtId="176" fontId="115" fillId="0" borderId="29" xfId="352" applyNumberFormat="1" applyFont="1" applyFill="1" applyBorder="1" applyAlignment="1">
      <alignment horizontal="right" vertical="center" wrapText="1"/>
    </xf>
    <xf numFmtId="176" fontId="115" fillId="32" borderId="0" xfId="352" applyNumberFormat="1" applyFont="1" applyFill="1" applyBorder="1" applyAlignment="1">
      <alignment horizontal="right" vertical="center" wrapText="1"/>
    </xf>
    <xf numFmtId="176" fontId="122" fillId="38" borderId="0" xfId="352" applyNumberFormat="1" applyFont="1" applyFill="1" applyBorder="1" applyAlignment="1">
      <alignment horizontal="right" vertical="center" wrapText="1"/>
    </xf>
    <xf numFmtId="9" fontId="115" fillId="32" borderId="0" xfId="353" quotePrefix="1" applyFont="1" applyFill="1" applyBorder="1" applyAlignment="1">
      <alignment horizontal="right" vertical="center" wrapText="1"/>
    </xf>
    <xf numFmtId="41" fontId="115" fillId="0" borderId="39" xfId="352" applyNumberFormat="1" applyFont="1" applyFill="1" applyBorder="1" applyAlignment="1">
      <alignment horizontal="right" vertical="center" wrapText="1"/>
    </xf>
    <xf numFmtId="41" fontId="115" fillId="0" borderId="0" xfId="352" applyNumberFormat="1" applyFont="1" applyFill="1" applyBorder="1" applyAlignment="1">
      <alignment horizontal="right" vertical="center" wrapText="1"/>
    </xf>
    <xf numFmtId="41" fontId="115" fillId="0" borderId="29" xfId="352" applyNumberFormat="1" applyFont="1" applyFill="1" applyBorder="1" applyAlignment="1">
      <alignment horizontal="right" vertical="center" wrapText="1"/>
    </xf>
    <xf numFmtId="176" fontId="122" fillId="38" borderId="29" xfId="352" applyNumberFormat="1" applyFont="1" applyFill="1" applyBorder="1" applyAlignment="1">
      <alignment horizontal="right" vertical="center" wrapText="1"/>
    </xf>
    <xf numFmtId="179" fontId="115" fillId="32" borderId="0" xfId="353" quotePrefix="1" applyNumberFormat="1" applyFont="1" applyFill="1" applyBorder="1" applyAlignment="1">
      <alignment horizontal="right" vertical="center" wrapText="1"/>
    </xf>
    <xf numFmtId="0" fontId="167" fillId="0" borderId="37" xfId="352" applyFont="1" applyFill="1" applyBorder="1" applyAlignment="1">
      <alignment horizontal="left" vertical="center" wrapText="1"/>
    </xf>
    <xf numFmtId="176" fontId="167" fillId="0" borderId="30" xfId="279" applyNumberFormat="1" applyFont="1" applyFill="1" applyBorder="1" applyAlignment="1">
      <alignment horizontal="right" vertical="center" wrapText="1"/>
    </xf>
    <xf numFmtId="176" fontId="115" fillId="0" borderId="30" xfId="279" applyNumberFormat="1" applyFont="1" applyFill="1" applyBorder="1" applyAlignment="1">
      <alignment horizontal="right" vertical="center" wrapText="1"/>
    </xf>
    <xf numFmtId="176" fontId="115" fillId="32" borderId="30" xfId="279" applyNumberFormat="1" applyFont="1" applyFill="1" applyBorder="1" applyAlignment="1">
      <alignment horizontal="right" vertical="center" wrapText="1"/>
    </xf>
    <xf numFmtId="176" fontId="122" fillId="38" borderId="30" xfId="279" applyNumberFormat="1" applyFont="1" applyFill="1" applyBorder="1" applyAlignment="1">
      <alignment horizontal="right" vertical="center" wrapText="1"/>
    </xf>
    <xf numFmtId="9" fontId="115" fillId="32" borderId="30" xfId="353" applyFont="1" applyFill="1" applyBorder="1" applyAlignment="1">
      <alignment horizontal="right" vertical="center" wrapText="1"/>
    </xf>
    <xf numFmtId="41" fontId="115" fillId="0" borderId="38" xfId="279" applyFont="1" applyFill="1" applyBorder="1" applyAlignment="1">
      <alignment horizontal="right" vertical="center" wrapText="1"/>
    </xf>
    <xf numFmtId="41" fontId="115" fillId="0" borderId="30" xfId="279" applyFont="1" applyFill="1" applyBorder="1" applyAlignment="1">
      <alignment horizontal="right" vertical="center" wrapText="1"/>
    </xf>
    <xf numFmtId="179" fontId="115" fillId="32" borderId="30" xfId="353" applyNumberFormat="1" applyFont="1" applyFill="1" applyBorder="1" applyAlignment="1">
      <alignment horizontal="right" vertical="center" wrapText="1"/>
    </xf>
    <xf numFmtId="0" fontId="166" fillId="0" borderId="8" xfId="352" applyFont="1" applyBorder="1" applyAlignment="1">
      <alignment horizontal="left" vertical="center"/>
    </xf>
    <xf numFmtId="0" fontId="166" fillId="0" borderId="8" xfId="352" applyFont="1" applyFill="1" applyBorder="1" applyAlignment="1">
      <alignment horizontal="justify" vertical="center" wrapText="1"/>
    </xf>
    <xf numFmtId="176" fontId="166" fillId="0" borderId="8" xfId="279" applyNumberFormat="1" applyFont="1" applyFill="1" applyBorder="1" applyAlignment="1">
      <alignment horizontal="right" vertical="center" wrapText="1"/>
    </xf>
    <xf numFmtId="176" fontId="116" fillId="0" borderId="8" xfId="279" applyNumberFormat="1" applyFont="1" applyFill="1" applyBorder="1" applyAlignment="1">
      <alignment horizontal="right" vertical="center" wrapText="1"/>
    </xf>
    <xf numFmtId="176" fontId="116" fillId="32" borderId="8" xfId="279" applyNumberFormat="1" applyFont="1" applyFill="1" applyBorder="1" applyAlignment="1">
      <alignment horizontal="right" vertical="center" wrapText="1"/>
    </xf>
    <xf numFmtId="176" fontId="126" fillId="38" borderId="8" xfId="279" applyNumberFormat="1" applyFont="1" applyFill="1" applyBorder="1" applyAlignment="1">
      <alignment horizontal="right" vertical="center" wrapText="1"/>
    </xf>
    <xf numFmtId="9" fontId="116" fillId="32" borderId="8" xfId="353" applyFont="1" applyFill="1" applyBorder="1" applyAlignment="1">
      <alignment horizontal="right" vertical="center" wrapText="1"/>
    </xf>
    <xf numFmtId="41" fontId="116" fillId="0" borderId="54" xfId="279" applyFont="1" applyFill="1" applyBorder="1" applyAlignment="1">
      <alignment horizontal="right" vertical="center" wrapText="1"/>
    </xf>
    <xf numFmtId="41" fontId="116" fillId="0" borderId="32" xfId="279" applyFont="1" applyFill="1" applyBorder="1" applyAlignment="1">
      <alignment horizontal="right" vertical="center" wrapText="1"/>
    </xf>
    <xf numFmtId="41" fontId="116" fillId="0" borderId="8" xfId="279" applyFont="1" applyFill="1" applyBorder="1" applyAlignment="1">
      <alignment horizontal="right" vertical="center" wrapText="1"/>
    </xf>
    <xf numFmtId="179" fontId="116" fillId="32" borderId="8" xfId="353" applyNumberFormat="1" applyFont="1" applyFill="1" applyBorder="1" applyAlignment="1">
      <alignment horizontal="right" vertical="center" wrapText="1"/>
    </xf>
    <xf numFmtId="0" fontId="124" fillId="0" borderId="0" xfId="352" applyFont="1" applyBorder="1" applyAlignment="1">
      <alignment vertical="center"/>
    </xf>
    <xf numFmtId="176" fontId="166" fillId="32" borderId="11" xfId="279" applyNumberFormat="1" applyFont="1" applyFill="1" applyBorder="1" applyAlignment="1">
      <alignment horizontal="right" vertical="center" wrapText="1"/>
    </xf>
    <xf numFmtId="9" fontId="166" fillId="32" borderId="11" xfId="353" applyFont="1" applyFill="1" applyBorder="1" applyAlignment="1">
      <alignment horizontal="right" vertical="center" wrapText="1"/>
    </xf>
    <xf numFmtId="41" fontId="166" fillId="0" borderId="55" xfId="279" applyFont="1" applyFill="1" applyBorder="1" applyAlignment="1">
      <alignment horizontal="right" vertical="center" wrapText="1"/>
    </xf>
    <xf numFmtId="179" fontId="166" fillId="32" borderId="11" xfId="353" applyNumberFormat="1" applyFont="1" applyFill="1" applyBorder="1" applyAlignment="1">
      <alignment horizontal="right" vertical="center" wrapText="1"/>
    </xf>
    <xf numFmtId="0" fontId="166" fillId="0" borderId="0" xfId="352" applyFont="1" applyBorder="1" applyAlignment="1">
      <alignment horizontal="left" vertical="center"/>
    </xf>
    <xf numFmtId="0" fontId="166" fillId="0" borderId="0" xfId="352" applyFont="1" applyFill="1" applyBorder="1" applyAlignment="1">
      <alignment horizontal="justify" vertical="center" wrapText="1"/>
    </xf>
    <xf numFmtId="176" fontId="166" fillId="0" borderId="0" xfId="352" applyNumberFormat="1" applyFont="1" applyFill="1" applyBorder="1" applyAlignment="1">
      <alignment horizontal="right" vertical="center" wrapText="1"/>
    </xf>
    <xf numFmtId="176" fontId="116" fillId="0" borderId="0" xfId="352" applyNumberFormat="1" applyFont="1" applyFill="1" applyBorder="1" applyAlignment="1">
      <alignment horizontal="right" vertical="center" wrapText="1"/>
    </xf>
    <xf numFmtId="176" fontId="116" fillId="32" borderId="0" xfId="352" applyNumberFormat="1" applyFont="1" applyFill="1" applyBorder="1" applyAlignment="1">
      <alignment horizontal="right" vertical="center" wrapText="1"/>
    </xf>
    <xf numFmtId="176" fontId="126" fillId="38" borderId="0" xfId="352" applyNumberFormat="1" applyFont="1" applyFill="1" applyBorder="1" applyAlignment="1">
      <alignment horizontal="right" vertical="center" wrapText="1"/>
    </xf>
    <xf numFmtId="9" fontId="116" fillId="32" borderId="0" xfId="353" applyFont="1" applyFill="1" applyBorder="1" applyAlignment="1">
      <alignment horizontal="right" vertical="center" wrapText="1"/>
    </xf>
    <xf numFmtId="41" fontId="116" fillId="0" borderId="39" xfId="352" applyNumberFormat="1" applyFont="1" applyFill="1" applyBorder="1" applyAlignment="1">
      <alignment horizontal="right" vertical="center" wrapText="1"/>
    </xf>
    <xf numFmtId="41" fontId="116" fillId="0" borderId="0" xfId="352" applyNumberFormat="1" applyFont="1" applyFill="1" applyBorder="1" applyAlignment="1">
      <alignment horizontal="right" vertical="center" wrapText="1"/>
    </xf>
    <xf numFmtId="179" fontId="116" fillId="32" borderId="0" xfId="353" applyNumberFormat="1" applyFont="1" applyFill="1" applyBorder="1" applyAlignment="1">
      <alignment horizontal="right" vertical="center" wrapText="1"/>
    </xf>
    <xf numFmtId="176" fontId="166" fillId="0" borderId="0" xfId="279" applyNumberFormat="1" applyFont="1" applyFill="1" applyBorder="1" applyAlignment="1">
      <alignment horizontal="right" vertical="center" wrapText="1"/>
    </xf>
    <xf numFmtId="176" fontId="116" fillId="0" borderId="0" xfId="279" applyNumberFormat="1" applyFont="1" applyFill="1" applyBorder="1" applyAlignment="1">
      <alignment horizontal="right" vertical="center" wrapText="1"/>
    </xf>
    <xf numFmtId="176" fontId="116" fillId="32" borderId="0" xfId="279" applyNumberFormat="1" applyFont="1" applyFill="1" applyBorder="1" applyAlignment="1">
      <alignment horizontal="right" vertical="center" wrapText="1"/>
    </xf>
    <xf numFmtId="176" fontId="126" fillId="38" borderId="0" xfId="279" applyNumberFormat="1" applyFont="1" applyFill="1" applyBorder="1" applyAlignment="1">
      <alignment horizontal="right" vertical="center" wrapText="1"/>
    </xf>
    <xf numFmtId="41" fontId="116" fillId="0" borderId="39" xfId="279" applyFont="1" applyFill="1" applyBorder="1" applyAlignment="1">
      <alignment horizontal="right" vertical="center" wrapText="1"/>
    </xf>
    <xf numFmtId="41" fontId="116" fillId="0" borderId="0" xfId="279" applyFont="1" applyFill="1" applyBorder="1" applyAlignment="1">
      <alignment horizontal="right" vertical="center" wrapText="1"/>
    </xf>
    <xf numFmtId="0" fontId="167" fillId="0" borderId="35" xfId="352" applyFont="1" applyFill="1" applyBorder="1" applyAlignment="1">
      <alignment horizontal="left" vertical="center" wrapText="1" indent="1"/>
    </xf>
    <xf numFmtId="176" fontId="167" fillId="0" borderId="32" xfId="279" applyNumberFormat="1" applyFont="1" applyFill="1" applyBorder="1" applyAlignment="1">
      <alignment horizontal="right" vertical="center" wrapText="1"/>
    </xf>
    <xf numFmtId="176" fontId="115" fillId="0" borderId="32" xfId="279" applyNumberFormat="1" applyFont="1" applyFill="1" applyBorder="1" applyAlignment="1">
      <alignment horizontal="right" vertical="center" wrapText="1"/>
    </xf>
    <xf numFmtId="176" fontId="115" fillId="32" borderId="32" xfId="279" applyNumberFormat="1" applyFont="1" applyFill="1" applyBorder="1" applyAlignment="1">
      <alignment horizontal="right" vertical="center" wrapText="1"/>
    </xf>
    <xf numFmtId="176" fontId="122" fillId="38" borderId="32" xfId="279" applyNumberFormat="1" applyFont="1" applyFill="1" applyBorder="1" applyAlignment="1">
      <alignment horizontal="right" vertical="center" wrapText="1"/>
    </xf>
    <xf numFmtId="9" fontId="115" fillId="32" borderId="32" xfId="353" applyFont="1" applyFill="1" applyBorder="1" applyAlignment="1">
      <alignment horizontal="right" vertical="center" wrapText="1"/>
    </xf>
    <xf numFmtId="41" fontId="115" fillId="0" borderId="58" xfId="279" applyFont="1" applyFill="1" applyBorder="1" applyAlignment="1">
      <alignment horizontal="right" vertical="center" wrapText="1"/>
    </xf>
    <xf numFmtId="41" fontId="115" fillId="0" borderId="32" xfId="279" applyFont="1" applyFill="1" applyBorder="1" applyAlignment="1">
      <alignment horizontal="right" vertical="center" wrapText="1"/>
    </xf>
    <xf numFmtId="179" fontId="115" fillId="32" borderId="32" xfId="353" applyNumberFormat="1" applyFont="1" applyFill="1" applyBorder="1" applyAlignment="1">
      <alignment horizontal="right" vertical="center" wrapText="1"/>
    </xf>
    <xf numFmtId="0" fontId="166" fillId="0" borderId="0" xfId="352" applyFont="1" applyFill="1" applyBorder="1" applyAlignment="1">
      <alignment horizontal="left" vertical="center"/>
    </xf>
    <xf numFmtId="179" fontId="166" fillId="0" borderId="0" xfId="353" applyNumberFormat="1" applyFont="1" applyFill="1" applyBorder="1" applyAlignment="1">
      <alignment horizontal="right" vertical="center" wrapText="1"/>
    </xf>
    <xf numFmtId="179" fontId="166" fillId="0" borderId="0" xfId="352" applyNumberFormat="1" applyFont="1" applyFill="1" applyBorder="1" applyAlignment="1">
      <alignment horizontal="right" vertical="center" wrapText="1"/>
    </xf>
    <xf numFmtId="179" fontId="116" fillId="0" borderId="0" xfId="352" applyNumberFormat="1" applyFont="1" applyFill="1" applyBorder="1" applyAlignment="1">
      <alignment horizontal="right" vertical="center" wrapText="1"/>
    </xf>
    <xf numFmtId="179" fontId="126" fillId="38" borderId="0" xfId="352" applyNumberFormat="1" applyFont="1" applyFill="1" applyBorder="1" applyAlignment="1">
      <alignment horizontal="right" vertical="center" wrapText="1"/>
    </xf>
    <xf numFmtId="231" fontId="116" fillId="32" borderId="0" xfId="352" applyNumberFormat="1" applyFont="1" applyFill="1" applyBorder="1" applyAlignment="1">
      <alignment horizontal="right" vertical="center" wrapText="1"/>
    </xf>
    <xf numFmtId="179" fontId="116" fillId="0" borderId="39" xfId="352" applyNumberFormat="1" applyFont="1" applyFill="1" applyBorder="1" applyAlignment="1">
      <alignment horizontal="right" vertical="center" wrapText="1"/>
    </xf>
    <xf numFmtId="0" fontId="166" fillId="0" borderId="59" xfId="352" applyFont="1" applyFill="1" applyBorder="1" applyAlignment="1">
      <alignment horizontal="left" vertical="center"/>
    </xf>
    <xf numFmtId="0" fontId="166" fillId="0" borderId="59" xfId="352" applyFont="1" applyFill="1" applyBorder="1" applyAlignment="1">
      <alignment horizontal="justify" vertical="center" wrapText="1"/>
    </xf>
    <xf numFmtId="179" fontId="166" fillId="0" borderId="59" xfId="353" applyNumberFormat="1" applyFont="1" applyFill="1" applyBorder="1" applyAlignment="1">
      <alignment horizontal="right" vertical="center" wrapText="1"/>
    </xf>
    <xf numFmtId="179" fontId="116" fillId="0" borderId="59" xfId="353" applyNumberFormat="1" applyFont="1" applyFill="1" applyBorder="1" applyAlignment="1">
      <alignment horizontal="right" vertical="center" wrapText="1"/>
    </xf>
    <xf numFmtId="179" fontId="116" fillId="0" borderId="8" xfId="353" applyNumberFormat="1" applyFont="1" applyFill="1" applyBorder="1" applyAlignment="1">
      <alignment horizontal="right" vertical="center" wrapText="1"/>
    </xf>
    <xf numFmtId="179" fontId="126" fillId="38" borderId="8" xfId="353" applyNumberFormat="1" applyFont="1" applyFill="1" applyBorder="1" applyAlignment="1">
      <alignment horizontal="right" vertical="center" wrapText="1"/>
    </xf>
    <xf numFmtId="231" fontId="116" fillId="32" borderId="59" xfId="353" applyNumberFormat="1" applyFont="1" applyFill="1" applyBorder="1" applyAlignment="1">
      <alignment horizontal="right" vertical="center" wrapText="1"/>
    </xf>
    <xf numFmtId="179" fontId="116" fillId="0" borderId="60" xfId="353" applyNumberFormat="1" applyFont="1" applyFill="1" applyBorder="1" applyAlignment="1">
      <alignment horizontal="right" vertical="center" wrapText="1"/>
    </xf>
    <xf numFmtId="179" fontId="126" fillId="38" borderId="59" xfId="353" applyNumberFormat="1" applyFont="1" applyFill="1" applyBorder="1" applyAlignment="1">
      <alignment horizontal="right" vertical="center" wrapText="1"/>
    </xf>
    <xf numFmtId="0" fontId="166" fillId="0" borderId="61" xfId="352" applyFont="1" applyFill="1" applyBorder="1" applyAlignment="1">
      <alignment horizontal="left" vertical="center"/>
    </xf>
    <xf numFmtId="0" fontId="166" fillId="0" borderId="61" xfId="352" applyFont="1" applyFill="1" applyBorder="1" applyAlignment="1">
      <alignment horizontal="justify" vertical="center" wrapText="1"/>
    </xf>
    <xf numFmtId="179" fontId="166" fillId="0" borderId="61" xfId="353" applyNumberFormat="1" applyFont="1" applyFill="1" applyBorder="1" applyAlignment="1">
      <alignment horizontal="right" vertical="center" wrapText="1"/>
    </xf>
    <xf numFmtId="179" fontId="116" fillId="0" borderId="61" xfId="353" applyNumberFormat="1" applyFont="1" applyFill="1" applyBorder="1" applyAlignment="1">
      <alignment horizontal="right" vertical="center" wrapText="1"/>
    </xf>
    <xf numFmtId="179" fontId="116" fillId="32" borderId="61" xfId="353" applyNumberFormat="1" applyFont="1" applyFill="1" applyBorder="1" applyAlignment="1">
      <alignment horizontal="right" vertical="center" wrapText="1"/>
    </xf>
    <xf numFmtId="179" fontId="126" fillId="38" borderId="61" xfId="353" applyNumberFormat="1" applyFont="1" applyFill="1" applyBorder="1" applyAlignment="1">
      <alignment horizontal="right" vertical="center" wrapText="1"/>
    </xf>
    <xf numFmtId="231" fontId="116" fillId="32" borderId="61" xfId="353" applyNumberFormat="1" applyFont="1" applyFill="1" applyBorder="1" applyAlignment="1">
      <alignment horizontal="right" vertical="center" wrapText="1"/>
    </xf>
    <xf numFmtId="179" fontId="116" fillId="0" borderId="62" xfId="353" applyNumberFormat="1" applyFont="1" applyFill="1" applyBorder="1" applyAlignment="1">
      <alignment horizontal="right" vertical="center" wrapText="1"/>
    </xf>
    <xf numFmtId="41" fontId="166" fillId="0" borderId="0" xfId="279" applyFont="1" applyFill="1" applyBorder="1" applyAlignment="1">
      <alignment horizontal="right" vertical="center" wrapText="1"/>
    </xf>
    <xf numFmtId="176" fontId="166" fillId="32" borderId="30" xfId="279" applyNumberFormat="1" applyFont="1" applyFill="1" applyBorder="1" applyAlignment="1">
      <alignment horizontal="right" vertical="center" wrapText="1"/>
    </xf>
    <xf numFmtId="176" fontId="126" fillId="38" borderId="30" xfId="359" applyNumberFormat="1" applyFont="1" applyFill="1" applyBorder="1" applyAlignment="1">
      <alignment horizontal="right" vertical="center" wrapText="1"/>
    </xf>
    <xf numFmtId="9" fontId="166" fillId="32" borderId="30" xfId="353" applyFont="1" applyFill="1" applyBorder="1" applyAlignment="1">
      <alignment horizontal="right" vertical="center" wrapText="1"/>
    </xf>
    <xf numFmtId="41" fontId="166" fillId="0" borderId="38" xfId="279" applyFont="1" applyFill="1" applyBorder="1" applyAlignment="1">
      <alignment horizontal="right" vertical="center" wrapText="1"/>
    </xf>
    <xf numFmtId="41" fontId="166" fillId="0" borderId="30" xfId="279" applyFont="1" applyFill="1" applyBorder="1" applyAlignment="1">
      <alignment horizontal="right" vertical="center" wrapText="1"/>
    </xf>
    <xf numFmtId="179" fontId="166" fillId="32" borderId="30" xfId="353" applyNumberFormat="1" applyFont="1" applyFill="1" applyBorder="1" applyAlignment="1">
      <alignment horizontal="right" vertical="center" wrapText="1"/>
    </xf>
    <xf numFmtId="0" fontId="167" fillId="0" borderId="29" xfId="352" applyFont="1" applyFill="1" applyBorder="1" applyAlignment="1">
      <alignment horizontal="right" vertical="center" wrapText="1"/>
    </xf>
    <xf numFmtId="176" fontId="167" fillId="0" borderId="29" xfId="359" applyNumberFormat="1" applyFont="1" applyFill="1" applyBorder="1" applyAlignment="1">
      <alignment horizontal="right" vertical="center" wrapText="1"/>
    </xf>
    <xf numFmtId="176" fontId="115" fillId="0" borderId="29" xfId="359" applyNumberFormat="1" applyFont="1" applyFill="1" applyBorder="1" applyAlignment="1">
      <alignment horizontal="right" vertical="center" wrapText="1"/>
    </xf>
    <xf numFmtId="176" fontId="115" fillId="32" borderId="0" xfId="359" applyNumberFormat="1" applyFont="1" applyFill="1" applyBorder="1" applyAlignment="1">
      <alignment horizontal="right" vertical="center" wrapText="1"/>
    </xf>
    <xf numFmtId="176" fontId="122" fillId="38" borderId="0" xfId="359" applyNumberFormat="1" applyFont="1" applyFill="1" applyBorder="1" applyAlignment="1">
      <alignment horizontal="right" vertical="center" wrapText="1"/>
    </xf>
    <xf numFmtId="41" fontId="167" fillId="0" borderId="30" xfId="279" applyFont="1" applyFill="1" applyBorder="1" applyAlignment="1">
      <alignment horizontal="right" vertical="center" wrapText="1"/>
    </xf>
    <xf numFmtId="176" fontId="122" fillId="38" borderId="30" xfId="359" applyNumberFormat="1" applyFont="1" applyFill="1" applyBorder="1" applyAlignment="1">
      <alignment horizontal="right" vertical="center" wrapText="1"/>
    </xf>
    <xf numFmtId="41" fontId="166" fillId="0" borderId="8" xfId="279" applyFont="1" applyFill="1" applyBorder="1" applyAlignment="1">
      <alignment horizontal="right" vertical="center" wrapText="1"/>
    </xf>
    <xf numFmtId="176" fontId="126" fillId="38" borderId="8" xfId="359" applyNumberFormat="1" applyFont="1" applyFill="1" applyBorder="1" applyAlignment="1">
      <alignment horizontal="right" vertical="center" wrapText="1"/>
    </xf>
    <xf numFmtId="0" fontId="166" fillId="0" borderId="0" xfId="352" applyFont="1" applyFill="1" applyBorder="1" applyAlignment="1">
      <alignment horizontal="right" vertical="center" wrapText="1"/>
    </xf>
    <xf numFmtId="41" fontId="167" fillId="0" borderId="32" xfId="279" applyFont="1" applyFill="1" applyBorder="1" applyAlignment="1">
      <alignment horizontal="right" vertical="center" wrapText="1"/>
    </xf>
    <xf numFmtId="0" fontId="166" fillId="0" borderId="8" xfId="352" applyFont="1" applyFill="1" applyBorder="1" applyAlignment="1">
      <alignment horizontal="left" vertical="center"/>
    </xf>
    <xf numFmtId="179" fontId="166" fillId="0" borderId="8" xfId="353" applyNumberFormat="1" applyFont="1" applyFill="1" applyBorder="1" applyAlignment="1">
      <alignment horizontal="right" vertical="center" wrapText="1"/>
    </xf>
    <xf numFmtId="231" fontId="116" fillId="32" borderId="8" xfId="353" applyNumberFormat="1" applyFont="1" applyFill="1" applyBorder="1" applyAlignment="1">
      <alignment horizontal="right" vertical="center" wrapText="1"/>
    </xf>
    <xf numFmtId="179" fontId="116" fillId="0" borderId="54" xfId="353" applyNumberFormat="1" applyFont="1" applyFill="1" applyBorder="1" applyAlignment="1">
      <alignment horizontal="right" vertical="center" wrapText="1"/>
    </xf>
    <xf numFmtId="0" fontId="177" fillId="0" borderId="0" xfId="352" applyFont="1" applyFill="1" applyBorder="1" applyAlignment="1">
      <alignment vertical="center"/>
    </xf>
    <xf numFmtId="41" fontId="122" fillId="0" borderId="0" xfId="352" applyNumberFormat="1" applyFont="1" applyFill="1" applyBorder="1" applyAlignment="1">
      <alignment vertical="center"/>
    </xf>
    <xf numFmtId="41" fontId="122" fillId="0" borderId="0" xfId="279" applyFont="1" applyFill="1" applyBorder="1" applyAlignment="1">
      <alignment vertical="center"/>
    </xf>
    <xf numFmtId="179" fontId="122" fillId="0" borderId="0" xfId="353" applyNumberFormat="1" applyFont="1" applyFill="1" applyBorder="1" applyAlignment="1">
      <alignment vertical="center"/>
    </xf>
    <xf numFmtId="9" fontId="122" fillId="0" borderId="0" xfId="353" applyFont="1" applyFill="1" applyBorder="1" applyAlignment="1">
      <alignment vertical="center"/>
    </xf>
    <xf numFmtId="0" fontId="118" fillId="0" borderId="0" xfId="352" applyFont="1" applyFill="1" applyBorder="1" applyAlignment="1">
      <alignment vertical="center"/>
    </xf>
    <xf numFmtId="0" fontId="118" fillId="0" borderId="0" xfId="352" applyFont="1" applyAlignment="1">
      <alignment vertical="center"/>
    </xf>
    <xf numFmtId="0" fontId="6" fillId="0" borderId="0" xfId="352" applyBorder="1" applyAlignment="1">
      <alignment vertical="center"/>
    </xf>
    <xf numFmtId="0" fontId="6" fillId="0" borderId="0" xfId="352" applyAlignment="1">
      <alignment vertical="center"/>
    </xf>
    <xf numFmtId="0" fontId="178" fillId="42" borderId="0" xfId="352" applyFont="1" applyFill="1" applyBorder="1" applyAlignment="1">
      <alignment vertical="center"/>
    </xf>
    <xf numFmtId="0" fontId="180" fillId="42" borderId="0" xfId="352" applyFont="1" applyFill="1" applyBorder="1" applyAlignment="1">
      <alignment vertical="center"/>
    </xf>
    <xf numFmtId="0" fontId="181" fillId="0" borderId="0" xfId="352" applyFont="1" applyBorder="1" applyAlignment="1">
      <alignment vertical="center"/>
    </xf>
    <xf numFmtId="0" fontId="6" fillId="0" borderId="63" xfId="352" applyBorder="1" applyAlignment="1">
      <alignment vertical="center"/>
    </xf>
    <xf numFmtId="0" fontId="119" fillId="43" borderId="64" xfId="352" applyFont="1" applyFill="1" applyBorder="1" applyAlignment="1">
      <alignment horizontal="center" vertical="center"/>
    </xf>
    <xf numFmtId="0" fontId="119" fillId="43" borderId="0" xfId="352" applyFont="1" applyFill="1" applyBorder="1" applyAlignment="1">
      <alignment horizontal="center" vertical="center" wrapText="1"/>
    </xf>
    <xf numFmtId="0" fontId="119" fillId="43" borderId="30" xfId="335" quotePrefix="1" applyFont="1" applyFill="1" applyBorder="1" applyAlignment="1">
      <alignment horizontal="center" vertical="center"/>
    </xf>
    <xf numFmtId="0" fontId="119" fillId="43" borderId="0" xfId="335" quotePrefix="1" applyFont="1" applyFill="1" applyBorder="1" applyAlignment="1">
      <alignment horizontal="center" vertical="center"/>
    </xf>
    <xf numFmtId="0" fontId="119" fillId="43" borderId="0" xfId="352" applyFont="1" applyFill="1" applyBorder="1" applyAlignment="1">
      <alignment horizontal="center" vertical="center"/>
    </xf>
    <xf numFmtId="0" fontId="6" fillId="0" borderId="0" xfId="352" applyBorder="1" applyAlignment="1">
      <alignment horizontal="center" vertical="center"/>
    </xf>
    <xf numFmtId="0" fontId="115" fillId="44" borderId="65" xfId="352" applyFont="1" applyFill="1" applyBorder="1" applyAlignment="1">
      <alignment vertical="center"/>
    </xf>
    <xf numFmtId="41" fontId="115" fillId="44" borderId="65" xfId="279" applyFont="1" applyFill="1" applyBorder="1" applyAlignment="1">
      <alignment vertical="center"/>
    </xf>
    <xf numFmtId="0" fontId="115" fillId="37" borderId="65" xfId="352" applyFont="1" applyFill="1" applyBorder="1" applyAlignment="1">
      <alignment vertical="center"/>
    </xf>
    <xf numFmtId="41" fontId="115" fillId="37" borderId="65" xfId="279" applyFont="1" applyFill="1" applyBorder="1" applyAlignment="1">
      <alignment vertical="center"/>
    </xf>
    <xf numFmtId="0" fontId="115" fillId="0" borderId="65" xfId="352" applyFont="1" applyFill="1" applyBorder="1" applyAlignment="1">
      <alignment horizontal="left" vertical="center" indent="1"/>
    </xf>
    <xf numFmtId="41" fontId="115" fillId="0" borderId="65" xfId="279" applyFont="1" applyFill="1" applyBorder="1" applyAlignment="1">
      <alignment vertical="center"/>
    </xf>
    <xf numFmtId="0" fontId="115" fillId="36" borderId="65" xfId="352" applyFont="1" applyFill="1" applyBorder="1" applyAlignment="1">
      <alignment vertical="center"/>
    </xf>
    <xf numFmtId="41" fontId="115" fillId="36" borderId="65" xfId="279" applyFont="1" applyFill="1" applyBorder="1" applyAlignment="1">
      <alignment vertical="center"/>
    </xf>
    <xf numFmtId="0" fontId="119" fillId="43" borderId="66" xfId="335" quotePrefix="1" applyFont="1" applyFill="1" applyBorder="1" applyAlignment="1">
      <alignment horizontal="center" vertical="center"/>
    </xf>
    <xf numFmtId="0" fontId="182" fillId="42" borderId="0" xfId="352" applyFont="1" applyFill="1" applyBorder="1" applyAlignment="1">
      <alignment vertical="center"/>
    </xf>
    <xf numFmtId="41" fontId="119" fillId="43" borderId="64" xfId="279" applyFont="1" applyFill="1" applyBorder="1" applyAlignment="1">
      <alignment horizontal="center" vertical="center"/>
    </xf>
    <xf numFmtId="0" fontId="119" fillId="43" borderId="64" xfId="279" applyNumberFormat="1" applyFont="1" applyFill="1" applyBorder="1" applyAlignment="1">
      <alignment horizontal="center" vertical="center"/>
    </xf>
    <xf numFmtId="0" fontId="119" fillId="43" borderId="66" xfId="279" applyNumberFormat="1" applyFont="1" applyFill="1" applyBorder="1" applyAlignment="1">
      <alignment horizontal="center" vertical="center"/>
    </xf>
    <xf numFmtId="0" fontId="115" fillId="44" borderId="67" xfId="352" applyFont="1" applyFill="1" applyBorder="1" applyAlignment="1">
      <alignment vertical="center"/>
    </xf>
    <xf numFmtId="41" fontId="115" fillId="44" borderId="67" xfId="279" applyFont="1" applyFill="1" applyBorder="1" applyAlignment="1">
      <alignment vertical="center"/>
    </xf>
    <xf numFmtId="41" fontId="115" fillId="44" borderId="68" xfId="279" applyFont="1" applyFill="1" applyBorder="1" applyAlignment="1">
      <alignment vertical="center"/>
    </xf>
    <xf numFmtId="0" fontId="115" fillId="37" borderId="67" xfId="352" applyFont="1" applyFill="1" applyBorder="1" applyAlignment="1">
      <alignment vertical="center"/>
    </xf>
    <xf numFmtId="41" fontId="115" fillId="37" borderId="67" xfId="279" applyFont="1" applyFill="1" applyBorder="1" applyAlignment="1">
      <alignment vertical="center"/>
    </xf>
    <xf numFmtId="41" fontId="115" fillId="37" borderId="68" xfId="279" applyFont="1" applyFill="1" applyBorder="1" applyAlignment="1">
      <alignment vertical="center"/>
    </xf>
    <xf numFmtId="0" fontId="115" fillId="0" borderId="67" xfId="352" applyFont="1" applyFill="1" applyBorder="1" applyAlignment="1">
      <alignment horizontal="left" vertical="center" indent="1"/>
    </xf>
    <xf numFmtId="41" fontId="115" fillId="0" borderId="67" xfId="279" applyFont="1" applyFill="1" applyBorder="1" applyAlignment="1">
      <alignment vertical="center"/>
    </xf>
    <xf numFmtId="41" fontId="115" fillId="0" borderId="68" xfId="279" applyFont="1" applyFill="1" applyBorder="1" applyAlignment="1">
      <alignment vertical="center"/>
    </xf>
    <xf numFmtId="41" fontId="0" fillId="0" borderId="0" xfId="279" applyFont="1" applyAlignment="1">
      <alignment vertical="center"/>
    </xf>
    <xf numFmtId="41" fontId="0" fillId="0" borderId="0" xfId="279" applyFont="1" applyBorder="1" applyAlignment="1">
      <alignment vertical="center"/>
    </xf>
    <xf numFmtId="41" fontId="0" fillId="0" borderId="0" xfId="279" applyFont="1" applyFill="1" applyAlignment="1">
      <alignment vertical="center"/>
    </xf>
    <xf numFmtId="41" fontId="0" fillId="0" borderId="0" xfId="279" applyFont="1" applyFill="1" applyBorder="1" applyAlignment="1">
      <alignment vertical="center"/>
    </xf>
    <xf numFmtId="41" fontId="122" fillId="0" borderId="0" xfId="359" applyFont="1" applyBorder="1" applyAlignment="1">
      <alignment vertical="center"/>
    </xf>
    <xf numFmtId="43" fontId="115" fillId="0" borderId="65" xfId="279" applyNumberFormat="1" applyFont="1" applyFill="1" applyBorder="1" applyAlignment="1">
      <alignment vertical="center"/>
    </xf>
    <xf numFmtId="179" fontId="125" fillId="0" borderId="0" xfId="353" applyNumberFormat="1" applyFont="1" applyFill="1" applyBorder="1" applyAlignment="1">
      <alignment vertical="center"/>
    </xf>
    <xf numFmtId="0" fontId="146" fillId="38" borderId="51" xfId="337" applyFont="1" applyFill="1" applyBorder="1" applyAlignment="1">
      <alignment horizontal="center" vertical="center"/>
    </xf>
    <xf numFmtId="0" fontId="126" fillId="38" borderId="0" xfId="0" applyFont="1" applyFill="1" applyBorder="1" applyAlignment="1">
      <alignment horizontal="center" vertical="center"/>
    </xf>
    <xf numFmtId="0" fontId="116" fillId="32" borderId="0" xfId="0" applyFont="1" applyFill="1" applyBorder="1" applyAlignment="1">
      <alignment horizontal="center" vertical="center"/>
    </xf>
    <xf numFmtId="0" fontId="126" fillId="32" borderId="0" xfId="0" applyFont="1" applyFill="1" applyBorder="1" applyAlignment="1">
      <alignment horizontal="center" vertical="center"/>
    </xf>
    <xf numFmtId="0" fontId="126" fillId="32" borderId="30" xfId="0" applyFont="1" applyFill="1" applyBorder="1" applyAlignment="1">
      <alignment horizontal="center" vertical="center"/>
    </xf>
    <xf numFmtId="0" fontId="127" fillId="32" borderId="0" xfId="0" applyFont="1" applyFill="1" applyBorder="1" applyAlignment="1">
      <alignment horizontal="center" vertical="center"/>
    </xf>
    <xf numFmtId="0" fontId="127" fillId="32" borderId="8" xfId="0" applyFont="1" applyFill="1" applyBorder="1" applyAlignment="1">
      <alignment horizontal="center" vertical="center"/>
    </xf>
    <xf numFmtId="0" fontId="144" fillId="38" borderId="0" xfId="0" applyFont="1" applyFill="1" applyBorder="1" applyAlignment="1">
      <alignment horizontal="center" vertical="center"/>
    </xf>
    <xf numFmtId="0" fontId="126" fillId="32" borderId="18" xfId="0" applyFont="1" applyFill="1" applyBorder="1" applyAlignment="1">
      <alignment horizontal="left" vertical="center"/>
    </xf>
    <xf numFmtId="0" fontId="126" fillId="32" borderId="40" xfId="0" applyFont="1" applyFill="1" applyBorder="1" applyAlignment="1">
      <alignment vertical="center"/>
    </xf>
    <xf numFmtId="0" fontId="126" fillId="32" borderId="28" xfId="0" applyFont="1" applyFill="1" applyBorder="1" applyAlignment="1">
      <alignment vertical="center"/>
    </xf>
    <xf numFmtId="0" fontId="122" fillId="32" borderId="28" xfId="0" applyFont="1" applyFill="1" applyBorder="1" applyAlignment="1">
      <alignment horizontal="left" vertical="center"/>
    </xf>
    <xf numFmtId="0" fontId="126" fillId="32" borderId="29" xfId="0" applyFont="1" applyFill="1" applyBorder="1" applyAlignment="1">
      <alignment horizontal="left" vertical="center"/>
    </xf>
    <xf numFmtId="0" fontId="126" fillId="32" borderId="36" xfId="0" applyFont="1" applyFill="1" applyBorder="1" applyAlignment="1">
      <alignment horizontal="left"/>
    </xf>
    <xf numFmtId="0" fontId="126" fillId="32" borderId="29" xfId="0" applyFont="1" applyFill="1" applyBorder="1" applyAlignment="1">
      <alignment horizontal="left"/>
    </xf>
    <xf numFmtId="0" fontId="122" fillId="32" borderId="0" xfId="0" applyFont="1" applyFill="1" applyBorder="1" applyAlignment="1">
      <alignment horizontal="center"/>
    </xf>
    <xf numFmtId="0" fontId="122" fillId="32" borderId="0" xfId="0" applyFont="1" applyFill="1" applyBorder="1" applyAlignment="1">
      <alignment horizontal="left" vertical="center"/>
    </xf>
    <xf numFmtId="0" fontId="122" fillId="32" borderId="30" xfId="0" applyFont="1" applyFill="1" applyBorder="1" applyAlignment="1">
      <alignment horizontal="left" vertical="center"/>
    </xf>
    <xf numFmtId="0" fontId="122" fillId="32" borderId="45" xfId="319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49" fontId="126" fillId="38" borderId="0" xfId="319" applyNumberFormat="1" applyFont="1" applyFill="1" applyBorder="1" applyAlignment="1">
      <alignment horizontal="center" vertical="center"/>
    </xf>
    <xf numFmtId="179" fontId="126" fillId="38" borderId="0" xfId="262" applyNumberFormat="1" applyFont="1" applyFill="1" applyBorder="1" applyAlignment="1">
      <alignment horizontal="center" vertical="center"/>
    </xf>
    <xf numFmtId="0" fontId="122" fillId="32" borderId="0" xfId="319" applyFont="1" applyFill="1" applyBorder="1" applyAlignment="1">
      <alignment horizontal="center" vertical="center"/>
    </xf>
    <xf numFmtId="0" fontId="126" fillId="38" borderId="51" xfId="319" applyFont="1" applyFill="1" applyBorder="1" applyAlignment="1">
      <alignment horizontal="center" vertical="center" wrapText="1"/>
    </xf>
    <xf numFmtId="0" fontId="126" fillId="38" borderId="51" xfId="335" quotePrefix="1" applyFont="1" applyFill="1" applyBorder="1" applyAlignment="1">
      <alignment horizontal="center" vertical="center"/>
    </xf>
    <xf numFmtId="49" fontId="126" fillId="32" borderId="0" xfId="319" applyNumberFormat="1" applyFont="1" applyFill="1" applyBorder="1" applyAlignment="1">
      <alignment horizontal="center" vertical="center"/>
    </xf>
    <xf numFmtId="0" fontId="126" fillId="32" borderId="0" xfId="319" applyFont="1" applyFill="1" applyBorder="1" applyAlignment="1">
      <alignment horizontal="center" vertical="center"/>
    </xf>
    <xf numFmtId="0" fontId="149" fillId="36" borderId="0" xfId="335" applyFont="1" applyFill="1" applyAlignment="1">
      <alignment horizontal="left" vertical="center"/>
    </xf>
    <xf numFmtId="0" fontId="118" fillId="31" borderId="11" xfId="335" applyFont="1" applyFill="1" applyBorder="1" applyAlignment="1">
      <alignment horizontal="left" vertical="center"/>
    </xf>
    <xf numFmtId="0" fontId="144" fillId="38" borderId="0" xfId="335" applyFont="1" applyFill="1" applyBorder="1" applyAlignment="1">
      <alignment horizontal="center" vertical="center"/>
    </xf>
    <xf numFmtId="0" fontId="79" fillId="38" borderId="8" xfId="335" applyFont="1" applyFill="1" applyBorder="1" applyAlignment="1">
      <alignment horizontal="center" vertical="center"/>
    </xf>
    <xf numFmtId="0" fontId="79" fillId="38" borderId="0" xfId="335" applyFont="1" applyFill="1" applyBorder="1" applyAlignment="1">
      <alignment horizontal="center" vertical="center"/>
    </xf>
    <xf numFmtId="0" fontId="122" fillId="31" borderId="8" xfId="0" applyFont="1" applyFill="1" applyBorder="1" applyAlignment="1">
      <alignment horizontal="center" vertical="center"/>
    </xf>
    <xf numFmtId="0" fontId="122" fillId="31" borderId="0" xfId="0" applyFont="1" applyFill="1" applyBorder="1" applyAlignment="1">
      <alignment horizontal="center" vertical="center"/>
    </xf>
    <xf numFmtId="0" fontId="151" fillId="32" borderId="0" xfId="335" applyFont="1" applyFill="1" applyAlignment="1">
      <alignment horizontal="left" vertical="center"/>
    </xf>
    <xf numFmtId="0" fontId="146" fillId="38" borderId="0" xfId="336" applyFont="1" applyFill="1" applyBorder="1" applyAlignment="1">
      <alignment horizontal="center" vertical="center"/>
    </xf>
    <xf numFmtId="0" fontId="78" fillId="32" borderId="30" xfId="336" applyFont="1" applyFill="1" applyBorder="1" applyAlignment="1">
      <alignment horizontal="center" vertical="center" wrapText="1"/>
    </xf>
    <xf numFmtId="0" fontId="78" fillId="32" borderId="28" xfId="336" applyFont="1" applyFill="1" applyBorder="1" applyAlignment="1">
      <alignment horizontal="center" vertical="center" wrapText="1"/>
    </xf>
    <xf numFmtId="0" fontId="78" fillId="32" borderId="28" xfId="336" applyFont="1" applyFill="1" applyBorder="1" applyAlignment="1">
      <alignment horizontal="center" vertical="center"/>
    </xf>
    <xf numFmtId="0" fontId="144" fillId="38" borderId="0" xfId="336" applyFont="1" applyFill="1" applyBorder="1" applyAlignment="1">
      <alignment horizontal="center" vertical="center"/>
    </xf>
    <xf numFmtId="0" fontId="78" fillId="32" borderId="0" xfId="336" applyFont="1" applyFill="1" applyBorder="1" applyAlignment="1">
      <alignment horizontal="center" vertical="center"/>
    </xf>
    <xf numFmtId="0" fontId="78" fillId="32" borderId="8" xfId="336" applyFont="1" applyFill="1" applyBorder="1" applyAlignment="1">
      <alignment horizontal="center" vertical="center"/>
    </xf>
    <xf numFmtId="0" fontId="78" fillId="32" borderId="41" xfId="336" applyFont="1" applyFill="1" applyBorder="1" applyAlignment="1">
      <alignment horizontal="center" vertical="center" shrinkToFit="1"/>
    </xf>
    <xf numFmtId="0" fontId="78" fillId="32" borderId="42" xfId="336" applyFont="1" applyFill="1" applyBorder="1" applyAlignment="1">
      <alignment horizontal="center" vertical="center" shrinkToFit="1"/>
    </xf>
    <xf numFmtId="0" fontId="78" fillId="32" borderId="34" xfId="336" applyFont="1" applyFill="1" applyBorder="1" applyAlignment="1">
      <alignment horizontal="center" vertical="center" shrinkToFit="1"/>
    </xf>
    <xf numFmtId="0" fontId="78" fillId="32" borderId="0" xfId="336" applyFont="1" applyFill="1" applyBorder="1" applyAlignment="1">
      <alignment horizontal="center" vertical="center" shrinkToFit="1"/>
    </xf>
    <xf numFmtId="0" fontId="78" fillId="32" borderId="36" xfId="336" applyFont="1" applyFill="1" applyBorder="1" applyAlignment="1">
      <alignment horizontal="center" vertical="center" shrinkToFit="1"/>
    </xf>
    <xf numFmtId="0" fontId="78" fillId="32" borderId="29" xfId="336" applyFont="1" applyFill="1" applyBorder="1" applyAlignment="1">
      <alignment horizontal="center" vertical="center" shrinkToFit="1"/>
    </xf>
    <xf numFmtId="0" fontId="78" fillId="32" borderId="43" xfId="336" applyFont="1" applyFill="1" applyBorder="1" applyAlignment="1">
      <alignment horizontal="center" vertical="center" shrinkToFit="1"/>
    </xf>
    <xf numFmtId="0" fontId="78" fillId="32" borderId="49" xfId="336" applyFont="1" applyFill="1" applyBorder="1" applyAlignment="1">
      <alignment horizontal="center" vertical="center" shrinkToFit="1"/>
    </xf>
    <xf numFmtId="0" fontId="79" fillId="32" borderId="40" xfId="336" applyFont="1" applyFill="1" applyBorder="1" applyAlignment="1">
      <alignment horizontal="center" vertical="center" shrinkToFit="1"/>
    </xf>
    <xf numFmtId="0" fontId="79" fillId="32" borderId="28" xfId="336" applyFont="1" applyFill="1" applyBorder="1" applyAlignment="1">
      <alignment horizontal="center" vertical="center" shrinkToFit="1"/>
    </xf>
    <xf numFmtId="0" fontId="79" fillId="32" borderId="44" xfId="336" applyFont="1" applyFill="1" applyBorder="1" applyAlignment="1">
      <alignment horizontal="center" vertical="center" shrinkToFit="1"/>
    </xf>
    <xf numFmtId="0" fontId="79" fillId="32" borderId="48" xfId="336" applyFont="1" applyFill="1" applyBorder="1" applyAlignment="1">
      <alignment horizontal="center" vertical="center" shrinkToFit="1"/>
    </xf>
    <xf numFmtId="0" fontId="78" fillId="32" borderId="39" xfId="336" applyFont="1" applyFill="1" applyBorder="1" applyAlignment="1">
      <alignment horizontal="center" vertical="center" wrapText="1"/>
    </xf>
    <xf numFmtId="0" fontId="78" fillId="32" borderId="39" xfId="336" applyFont="1" applyFill="1" applyBorder="1" applyAlignment="1">
      <alignment horizontal="center" vertical="center"/>
    </xf>
    <xf numFmtId="0" fontId="78" fillId="32" borderId="38" xfId="336" applyFont="1" applyFill="1" applyBorder="1" applyAlignment="1">
      <alignment horizontal="center" vertical="center"/>
    </xf>
    <xf numFmtId="0" fontId="78" fillId="32" borderId="8" xfId="336" applyFont="1" applyFill="1" applyBorder="1" applyAlignment="1">
      <alignment horizontal="center" vertical="center" shrinkToFit="1"/>
    </xf>
    <xf numFmtId="0" fontId="146" fillId="38" borderId="51" xfId="336" applyFont="1" applyFill="1" applyBorder="1" applyAlignment="1">
      <alignment horizontal="center" vertical="center"/>
    </xf>
    <xf numFmtId="0" fontId="118" fillId="38" borderId="8" xfId="352" applyFont="1" applyFill="1" applyBorder="1" applyAlignment="1">
      <alignment horizontal="center" vertical="center" wrapText="1"/>
    </xf>
    <xf numFmtId="0" fontId="118" fillId="38" borderId="8" xfId="352" applyFont="1" applyFill="1" applyBorder="1" applyAlignment="1">
      <alignment horizontal="center" vertical="center"/>
    </xf>
  </cellXfs>
  <cellStyles count="360">
    <cellStyle name="&quot;" xfId="1" xr:uid="{00000000-0005-0000-0000-000000000000}"/>
    <cellStyle name="&quot;_(120515)FY2012 4월 확정_v1_발송" xfId="2" xr:uid="{00000000-0005-0000-0000-000001000000}"/>
    <cellStyle name="&quot;_10월판촉기준최종(본부)" xfId="3" xr:uid="{00000000-0005-0000-0000-000002000000}"/>
    <cellStyle name="&quot;_10월판촉기준최종(본부)_(120515)FY2012 4월 확정_v1_발송" xfId="4" xr:uid="{00000000-0005-0000-0000-000003000000}"/>
    <cellStyle name="&quot;_8월판촉기준" xfId="5" xr:uid="{00000000-0005-0000-0000-000004000000}"/>
    <cellStyle name="&quot;_8월판촉기준_(120515)FY2012 4월 확정_v1_발송" xfId="6" xr:uid="{00000000-0005-0000-0000-000005000000}"/>
    <cellStyle name="&quot;_laroux" xfId="7" xr:uid="{00000000-0005-0000-0000-000006000000}"/>
    <cellStyle name="&quot;_laroux_(120515)FY2012 4월 확정_v1_발송" xfId="8" xr:uid="{00000000-0005-0000-0000-000007000000}"/>
    <cellStyle name="&quot;_laroux_(정산)매출자료(1~3)" xfId="9" xr:uid="{00000000-0005-0000-0000-000008000000}"/>
    <cellStyle name="&quot;_laroux_(정산)매출자료(1~3)_(120515)FY2012 4월 확정_v1_발송" xfId="10" xr:uid="{00000000-0005-0000-0000-000009000000}"/>
    <cellStyle name="&quot;_laroux_2002.7월 (2)" xfId="11" xr:uid="{00000000-0005-0000-0000-00000A000000}"/>
    <cellStyle name="&quot;_laroux_2002.7월 (2)_(120515)FY2012 4월 확정_v1_발송" xfId="12" xr:uid="{00000000-0005-0000-0000-00000B000000}"/>
    <cellStyle name="&quot;_laroux_마케팅팀장1(장기1~5)" xfId="13" xr:uid="{00000000-0005-0000-0000-00000C000000}"/>
    <cellStyle name="&quot;_laroux_마케팅팀장1(장기1~5)_(120515)FY2012 4월 확정_v1_발송" xfId="14" xr:uid="{00000000-0005-0000-0000-00000D000000}"/>
    <cellStyle name="&quot;_laroux_매출자료(4~9)" xfId="15" xr:uid="{00000000-0005-0000-0000-00000E000000}"/>
    <cellStyle name="&quot;_laroux_매출자료(4~9)_(120515)FY2012 4월 확정_v1_발송" xfId="16" xr:uid="{00000000-0005-0000-0000-00000F000000}"/>
    <cellStyle name="&quot;_laroux_목차및매출및중점추진사항(05.19)" xfId="17" xr:uid="{00000000-0005-0000-0000-000010000000}"/>
    <cellStyle name="&quot;_laroux_목차및매출및중점추진사항(05.19)_(120515)FY2012 4월 확정_v1_발송" xfId="18" xr:uid="{00000000-0005-0000-0000-000011000000}"/>
    <cellStyle name="&quot;_laroux_본부정산실적" xfId="19" xr:uid="{00000000-0005-0000-0000-000012000000}"/>
    <cellStyle name="&quot;_laroux_본부정산실적_(120515)FY2012 4월 확정_v1_발송" xfId="20" xr:uid="{00000000-0005-0000-0000-000013000000}"/>
    <cellStyle name="&quot;_laroux_본부팀장WS(03.11.19)" xfId="21" xr:uid="{00000000-0005-0000-0000-000014000000}"/>
    <cellStyle name="&quot;_laroux_본부팀장WS(03.11.19)_(120515)FY2012 4월 확정_v1_발송" xfId="22" xr:uid="{00000000-0005-0000-0000-000015000000}"/>
    <cellStyle name="&quot;_laroux_장기실효해지율자료" xfId="23" xr:uid="{00000000-0005-0000-0000-000016000000}"/>
    <cellStyle name="&quot;_laroux_장기실효해지율자료_(120515)FY2012 4월 확정_v1_발송" xfId="24" xr:uid="{00000000-0005-0000-0000-000017000000}"/>
    <cellStyle name="&quot;_laroux_전월누계 (2)" xfId="25" xr:uid="{00000000-0005-0000-0000-000018000000}"/>
    <cellStyle name="&quot;_laroux_전월누계 (2)_(120515)FY2012 4월 확정_v1_발송" xfId="26" xr:uid="{00000000-0005-0000-0000-000019000000}"/>
    <cellStyle name="&quot;_laroux_지점마케팅-중점사항" xfId="27" xr:uid="{00000000-0005-0000-0000-00001A000000}"/>
    <cellStyle name="&quot;_laroux_지점마케팅-중점사항_(120515)FY2012 4월 확정_v1_발송" xfId="28" xr:uid="{00000000-0005-0000-0000-00001B000000}"/>
    <cellStyle name="&quot;_laroux_지점마케팅팀장회의(03.12.17)" xfId="29" xr:uid="{00000000-0005-0000-0000-00001C000000}"/>
    <cellStyle name="&quot;_laroux_지점마케팅팀장회의(03.12.17)_(120515)FY2012 4월 확정_v1_발송" xfId="30" xr:uid="{00000000-0005-0000-0000-00001D000000}"/>
    <cellStyle name="&quot;_laroux_지점마케팅팀장회의(04.05.19)" xfId="31" xr:uid="{00000000-0005-0000-0000-00001E000000}"/>
    <cellStyle name="&quot;_laroux_지점마케팅팀장회의(04.05.19)_(120515)FY2012 4월 확정_v1_발송" xfId="32" xr:uid="{00000000-0005-0000-0000-00001F000000}"/>
    <cellStyle name="&quot;_laroux_최근3개월" xfId="33" xr:uid="{00000000-0005-0000-0000-000020000000}"/>
    <cellStyle name="&quot;_laroux_최근3개월_(120515)FY2012 4월 확정_v1_발송" xfId="34" xr:uid="{00000000-0005-0000-0000-000021000000}"/>
    <cellStyle name="&quot;_laroux_회의표지" xfId="35" xr:uid="{00000000-0005-0000-0000-000022000000}"/>
    <cellStyle name="&quot;_laroux_회의표지_(120515)FY2012 4월 확정_v1_발송" xfId="36" xr:uid="{00000000-0005-0000-0000-000023000000}"/>
    <cellStyle name="&quot;_그룹편성" xfId="37" xr:uid="{00000000-0005-0000-0000-000024000000}"/>
    <cellStyle name="&quot;_그룹편성_(120515)FY2012 4월 확정_v1_발송" xfId="38" xr:uid="{00000000-0005-0000-0000-000025000000}"/>
    <cellStyle name="&quot;_매출자료(4~9)" xfId="39" xr:uid="{00000000-0005-0000-0000-000026000000}"/>
    <cellStyle name="&quot;_매출자료(4~9)_(120515)FY2012 4월 확정_v1_발송" xfId="40" xr:uid="{00000000-0005-0000-0000-000027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41" xr:uid="{00000000-0005-0000-0000-000028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42" xr:uid="{00000000-0005-0000-0000-000029000000}"/>
    <cellStyle name="]_^[꺞_x0008_?" xfId="43" xr:uid="{00000000-0005-0000-0000-00002A000000}"/>
    <cellStyle name="20% - Accent1" xfId="44" xr:uid="{00000000-0005-0000-0000-00002B000000}"/>
    <cellStyle name="20% - Accent2" xfId="45" xr:uid="{00000000-0005-0000-0000-00002C000000}"/>
    <cellStyle name="20% - Accent3" xfId="46" xr:uid="{00000000-0005-0000-0000-00002D000000}"/>
    <cellStyle name="20% - Accent4" xfId="47" xr:uid="{00000000-0005-0000-0000-00002E000000}"/>
    <cellStyle name="20% - Accent5" xfId="48" xr:uid="{00000000-0005-0000-0000-00002F000000}"/>
    <cellStyle name="20% - Accent6" xfId="49" xr:uid="{00000000-0005-0000-0000-000030000000}"/>
    <cellStyle name="20% - 강조색1" xfId="50" builtinId="30" customBuiltin="1"/>
    <cellStyle name="20% - 강조색2" xfId="51" builtinId="34" customBuiltin="1"/>
    <cellStyle name="20% - 강조색3" xfId="52" builtinId="38" customBuiltin="1"/>
    <cellStyle name="20% - 강조색4" xfId="53" builtinId="42" customBuiltin="1"/>
    <cellStyle name="20% - 강조색5" xfId="54" builtinId="46" customBuiltin="1"/>
    <cellStyle name="20% - 강조색6" xfId="55" builtinId="50" customBuiltin="1"/>
    <cellStyle name="40% - Accent1" xfId="56" xr:uid="{00000000-0005-0000-0000-000037000000}"/>
    <cellStyle name="40% - Accent2" xfId="57" xr:uid="{00000000-0005-0000-0000-000038000000}"/>
    <cellStyle name="40% - Accent3" xfId="58" xr:uid="{00000000-0005-0000-0000-000039000000}"/>
    <cellStyle name="40% - Accent4" xfId="59" xr:uid="{00000000-0005-0000-0000-00003A000000}"/>
    <cellStyle name="40% - Accent5" xfId="60" xr:uid="{00000000-0005-0000-0000-00003B000000}"/>
    <cellStyle name="40% - Accent6" xfId="61" xr:uid="{00000000-0005-0000-0000-00003C000000}"/>
    <cellStyle name="40% - 강조색1" xfId="62" builtinId="31" customBuiltin="1"/>
    <cellStyle name="40% - 강조색2" xfId="63" builtinId="35" customBuiltin="1"/>
    <cellStyle name="40% - 강조색3" xfId="64" builtinId="39" customBuiltin="1"/>
    <cellStyle name="40% - 강조색4" xfId="65" builtinId="43" customBuiltin="1"/>
    <cellStyle name="40% - 강조색5" xfId="66" builtinId="47" customBuiltin="1"/>
    <cellStyle name="40% - 강조색6" xfId="67" builtinId="51" customBuiltin="1"/>
    <cellStyle name="60% - Accent1" xfId="68" xr:uid="{00000000-0005-0000-0000-000043000000}"/>
    <cellStyle name="60% - Accent2" xfId="69" xr:uid="{00000000-0005-0000-0000-000044000000}"/>
    <cellStyle name="60% - Accent3" xfId="70" xr:uid="{00000000-0005-0000-0000-000045000000}"/>
    <cellStyle name="60% - Accent4" xfId="71" xr:uid="{00000000-0005-0000-0000-000046000000}"/>
    <cellStyle name="60% - Accent5" xfId="72" xr:uid="{00000000-0005-0000-0000-000047000000}"/>
    <cellStyle name="60% - Accent6" xfId="73" xr:uid="{00000000-0005-0000-0000-000048000000}"/>
    <cellStyle name="60% - 강조색1" xfId="74" builtinId="32" customBuiltin="1"/>
    <cellStyle name="60% - 강조색2" xfId="75" builtinId="36" customBuiltin="1"/>
    <cellStyle name="60% - 강조색3" xfId="76" builtinId="40" customBuiltin="1"/>
    <cellStyle name="60% - 강조색4" xfId="77" builtinId="44" customBuiltin="1"/>
    <cellStyle name="60% - 강조색5" xfId="78" builtinId="48" customBuiltin="1"/>
    <cellStyle name="60% - 강조색6" xfId="79" builtinId="52" customBuiltin="1"/>
    <cellStyle name="Accent1" xfId="80" xr:uid="{00000000-0005-0000-0000-00004F000000}"/>
    <cellStyle name="Accent2" xfId="81" xr:uid="{00000000-0005-0000-0000-000050000000}"/>
    <cellStyle name="Accent3" xfId="82" xr:uid="{00000000-0005-0000-0000-000051000000}"/>
    <cellStyle name="Accent4" xfId="83" xr:uid="{00000000-0005-0000-0000-000052000000}"/>
    <cellStyle name="Accent5" xfId="84" xr:uid="{00000000-0005-0000-0000-000053000000}"/>
    <cellStyle name="Accent6" xfId="85" xr:uid="{00000000-0005-0000-0000-000054000000}"/>
    <cellStyle name="AeE­ [0]_±aA¸" xfId="86" xr:uid="{00000000-0005-0000-0000-000055000000}"/>
    <cellStyle name="AeE­_±aA¸" xfId="87" xr:uid="{00000000-0005-0000-0000-000056000000}"/>
    <cellStyle name="AÞ¸¶ [0]_±aA¸" xfId="88" xr:uid="{00000000-0005-0000-0000-000057000000}"/>
    <cellStyle name="AÞ¸¶_±aA¸" xfId="89" xr:uid="{00000000-0005-0000-0000-000058000000}"/>
    <cellStyle name="Bad" xfId="90" xr:uid="{00000000-0005-0000-0000-000059000000}"/>
    <cellStyle name="bb" xfId="91" xr:uid="{00000000-0005-0000-0000-00005A000000}"/>
    <cellStyle name="black" xfId="92" xr:uid="{00000000-0005-0000-0000-00005B000000}"/>
    <cellStyle name="blank" xfId="93" xr:uid="{00000000-0005-0000-0000-00005C000000}"/>
    <cellStyle name="bloue" xfId="94" xr:uid="{00000000-0005-0000-0000-00005D000000}"/>
    <cellStyle name="blue" xfId="95" xr:uid="{00000000-0005-0000-0000-00005E000000}"/>
    <cellStyle name="blue2" xfId="96" xr:uid="{00000000-0005-0000-0000-00005F000000}"/>
    <cellStyle name="BookMult" xfId="97" xr:uid="{00000000-0005-0000-0000-000060000000}"/>
    <cellStyle name="box" xfId="98" xr:uid="{00000000-0005-0000-0000-000061000000}"/>
    <cellStyle name="bp--" xfId="99" xr:uid="{00000000-0005-0000-0000-000062000000}"/>
    <cellStyle name="C￥AØ_¿u°￡¿a¾aº¸°i" xfId="100" xr:uid="{00000000-0005-0000-0000-000063000000}"/>
    <cellStyle name="Calculation" xfId="101" xr:uid="{00000000-0005-0000-0000-000064000000}"/>
    <cellStyle name="cate" xfId="102" xr:uid="{00000000-0005-0000-0000-000065000000}"/>
    <cellStyle name="cate1" xfId="103" xr:uid="{00000000-0005-0000-0000-000066000000}"/>
    <cellStyle name="cate2" xfId="104" xr:uid="{00000000-0005-0000-0000-000067000000}"/>
    <cellStyle name="category" xfId="105" xr:uid="{00000000-0005-0000-0000-000068000000}"/>
    <cellStyle name="Check Cell" xfId="106" xr:uid="{00000000-0005-0000-0000-000069000000}"/>
    <cellStyle name="Comma [0]_ SG&amp;A Bridge " xfId="107" xr:uid="{00000000-0005-0000-0000-00006A000000}"/>
    <cellStyle name="comma zerodec" xfId="108" xr:uid="{00000000-0005-0000-0000-00006B000000}"/>
    <cellStyle name="Comma_ SG&amp;A Bridge " xfId="109" xr:uid="{00000000-0005-0000-0000-00006C000000}"/>
    <cellStyle name="Currency--" xfId="110" xr:uid="{00000000-0005-0000-0000-00006D000000}"/>
    <cellStyle name="Currency [0]_ SG&amp;A Bridge " xfId="111" xr:uid="{00000000-0005-0000-0000-00006E000000}"/>
    <cellStyle name="Currency [1]" xfId="112" xr:uid="{00000000-0005-0000-0000-00006F000000}"/>
    <cellStyle name="Currency [2]" xfId="113" xr:uid="{00000000-0005-0000-0000-000070000000}"/>
    <cellStyle name="Currency_ SG&amp;A Bridge " xfId="114" xr:uid="{00000000-0005-0000-0000-000071000000}"/>
    <cellStyle name="Currency1" xfId="115" xr:uid="{00000000-0005-0000-0000-000072000000}"/>
    <cellStyle name="Date" xfId="116" xr:uid="{00000000-0005-0000-0000-000073000000}"/>
    <cellStyle name="Date [d-mmm-yy]" xfId="117" xr:uid="{00000000-0005-0000-0000-000074000000}"/>
    <cellStyle name="Date [mm-dd-yy]" xfId="118" xr:uid="{00000000-0005-0000-0000-000075000000}"/>
    <cellStyle name="Date [mm-dd-yyyy]" xfId="119" xr:uid="{00000000-0005-0000-0000-000076000000}"/>
    <cellStyle name="Date [mm-d-yy]" xfId="120" xr:uid="{00000000-0005-0000-0000-000077000000}"/>
    <cellStyle name="Date [mm-d-yyyy]" xfId="121" xr:uid="{00000000-0005-0000-0000-000078000000}"/>
    <cellStyle name="Date [mmm-d-yy]" xfId="122" xr:uid="{00000000-0005-0000-0000-000079000000}"/>
    <cellStyle name="Date [mmm-d-yyyy]" xfId="123" xr:uid="{00000000-0005-0000-0000-00007A000000}"/>
    <cellStyle name="Date [mmm-yy]" xfId="124" xr:uid="{00000000-0005-0000-0000-00007B000000}"/>
    <cellStyle name="Date [mmm-yyyy]" xfId="125" xr:uid="{00000000-0005-0000-0000-00007C000000}"/>
    <cellStyle name="Date2" xfId="126" xr:uid="{00000000-0005-0000-0000-00007D000000}"/>
    <cellStyle name="Date2h" xfId="127" xr:uid="{00000000-0005-0000-0000-00007E000000}"/>
    <cellStyle name="dec0" xfId="128" xr:uid="{00000000-0005-0000-0000-00007F000000}"/>
    <cellStyle name="dec1" xfId="129" xr:uid="{00000000-0005-0000-0000-000080000000}"/>
    <cellStyle name="dec2" xfId="130" xr:uid="{00000000-0005-0000-0000-000081000000}"/>
    <cellStyle name="dec4" xfId="131" xr:uid="{00000000-0005-0000-0000-000082000000}"/>
    <cellStyle name="Dollar (zero dec)" xfId="132" xr:uid="{00000000-0005-0000-0000-000083000000}"/>
    <cellStyle name="dollars" xfId="133" xr:uid="{00000000-0005-0000-0000-000084000000}"/>
    <cellStyle name="egg" xfId="134" xr:uid="{00000000-0005-0000-0000-000085000000}"/>
    <cellStyle name="Euro" xfId="135" xr:uid="{00000000-0005-0000-0000-000086000000}"/>
    <cellStyle name="Explanatory Text" xfId="136" xr:uid="{00000000-0005-0000-0000-000087000000}"/>
    <cellStyle name="F2" xfId="137" xr:uid="{00000000-0005-0000-0000-000088000000}"/>
    <cellStyle name="F3" xfId="138" xr:uid="{00000000-0005-0000-0000-000089000000}"/>
    <cellStyle name="F4" xfId="139" xr:uid="{00000000-0005-0000-0000-00008A000000}"/>
    <cellStyle name="F5" xfId="140" xr:uid="{00000000-0005-0000-0000-00008B000000}"/>
    <cellStyle name="F6" xfId="141" xr:uid="{00000000-0005-0000-0000-00008C000000}"/>
    <cellStyle name="F7" xfId="142" xr:uid="{00000000-0005-0000-0000-00008D000000}"/>
    <cellStyle name="F8" xfId="143" xr:uid="{00000000-0005-0000-0000-00008E000000}"/>
    <cellStyle name="Fixed [0]" xfId="144" xr:uid="{00000000-0005-0000-0000-00008F000000}"/>
    <cellStyle name="Followed Hyperlink_Assum - IS" xfId="145" xr:uid="{00000000-0005-0000-0000-000090000000}"/>
    <cellStyle name="gbox" xfId="146" xr:uid="{00000000-0005-0000-0000-000091000000}"/>
    <cellStyle name="gchoose" xfId="147" xr:uid="{00000000-0005-0000-0000-000092000000}"/>
    <cellStyle name="gen" xfId="148" xr:uid="{00000000-0005-0000-0000-000093000000}"/>
    <cellStyle name="Good" xfId="149" xr:uid="{00000000-0005-0000-0000-000094000000}"/>
    <cellStyle name="Grey" xfId="150" xr:uid="{00000000-0005-0000-0000-000095000000}"/>
    <cellStyle name="grey2" xfId="151" xr:uid="{00000000-0005-0000-0000-000096000000}"/>
    <cellStyle name="greyl" xfId="152" xr:uid="{00000000-0005-0000-0000-000097000000}"/>
    <cellStyle name="GrowthRate" xfId="153" xr:uid="{00000000-0005-0000-0000-000098000000}"/>
    <cellStyle name="HEADER" xfId="154" xr:uid="{00000000-0005-0000-0000-000099000000}"/>
    <cellStyle name="Header1" xfId="155" xr:uid="{00000000-0005-0000-0000-00009A000000}"/>
    <cellStyle name="Header2" xfId="156" xr:uid="{00000000-0005-0000-0000-00009B000000}"/>
    <cellStyle name="heading" xfId="157" xr:uid="{00000000-0005-0000-0000-00009C000000}"/>
    <cellStyle name="Heading 1" xfId="158" xr:uid="{00000000-0005-0000-0000-00009D000000}"/>
    <cellStyle name="Heading 2" xfId="159" xr:uid="{00000000-0005-0000-0000-00009E000000}"/>
    <cellStyle name="Heading 3" xfId="160" xr:uid="{00000000-0005-0000-0000-00009F000000}"/>
    <cellStyle name="Heading 4" xfId="161" xr:uid="{00000000-0005-0000-0000-0000A0000000}"/>
    <cellStyle name="Hyperlink_Assum - IS" xfId="162" xr:uid="{00000000-0005-0000-0000-0000A1000000}"/>
    <cellStyle name="Input" xfId="163" xr:uid="{00000000-0005-0000-0000-0000A2000000}"/>
    <cellStyle name="Input [yellow]" xfId="164" xr:uid="{00000000-0005-0000-0000-0000A3000000}"/>
    <cellStyle name="Input Currency" xfId="165" xr:uid="{00000000-0005-0000-0000-0000A4000000}"/>
    <cellStyle name="Input Date" xfId="166" xr:uid="{00000000-0005-0000-0000-0000A5000000}"/>
    <cellStyle name="Input Fixed [0]" xfId="167" xr:uid="{00000000-0005-0000-0000-0000A6000000}"/>
    <cellStyle name="Input Normal" xfId="168" xr:uid="{00000000-0005-0000-0000-0000A7000000}"/>
    <cellStyle name="Input Percent" xfId="169" xr:uid="{00000000-0005-0000-0000-0000A8000000}"/>
    <cellStyle name="Input Percent [2]" xfId="170" xr:uid="{00000000-0005-0000-0000-0000A9000000}"/>
    <cellStyle name="Input Titles" xfId="171" xr:uid="{00000000-0005-0000-0000-0000AA000000}"/>
    <cellStyle name="Input_제90기 성과급_4월" xfId="172" xr:uid="{00000000-0005-0000-0000-0000AB000000}"/>
    <cellStyle name="ip" xfId="173" xr:uid="{00000000-0005-0000-0000-0000AC000000}"/>
    <cellStyle name="label" xfId="174" xr:uid="{00000000-0005-0000-0000-0000AD000000}"/>
    <cellStyle name="Linked Cell" xfId="175" xr:uid="{00000000-0005-0000-0000-0000AE000000}"/>
    <cellStyle name="m/d/yyyy" xfId="176" xr:uid="{00000000-0005-0000-0000-0000AF000000}"/>
    <cellStyle name="Magic" xfId="177" xr:uid="{00000000-0005-0000-0000-0000B0000000}"/>
    <cellStyle name="Model" xfId="178" xr:uid="{00000000-0005-0000-0000-0000B1000000}"/>
    <cellStyle name="ModelCool" xfId="179" xr:uid="{00000000-0005-0000-0000-0000B2000000}"/>
    <cellStyle name="ModelCoolInput" xfId="180" xr:uid="{00000000-0005-0000-0000-0000B3000000}"/>
    <cellStyle name="NA is zero" xfId="181" xr:uid="{00000000-0005-0000-0000-0000B4000000}"/>
    <cellStyle name="nb" xfId="182" xr:uid="{00000000-0005-0000-0000-0000B5000000}"/>
    <cellStyle name="Neutral" xfId="183" xr:uid="{00000000-0005-0000-0000-0000B6000000}"/>
    <cellStyle name="nf" xfId="184" xr:uid="{00000000-0005-0000-0000-0000B7000000}"/>
    <cellStyle name="no dec" xfId="185" xr:uid="{00000000-0005-0000-0000-0000B8000000}"/>
    <cellStyle name="Normal--" xfId="186" xr:uid="{00000000-0005-0000-0000-0000B9000000}"/>
    <cellStyle name="Normal - Style1" xfId="187" xr:uid="{00000000-0005-0000-0000-0000BA000000}"/>
    <cellStyle name="Normal [0]" xfId="188" xr:uid="{00000000-0005-0000-0000-0000BB000000}"/>
    <cellStyle name="Normal [1]" xfId="189" xr:uid="{00000000-0005-0000-0000-0000BC000000}"/>
    <cellStyle name="Normal [2]" xfId="190" xr:uid="{00000000-0005-0000-0000-0000BD000000}"/>
    <cellStyle name="Normal [3]" xfId="191" xr:uid="{00000000-0005-0000-0000-0000BE000000}"/>
    <cellStyle name="Normal Bold" xfId="192" xr:uid="{00000000-0005-0000-0000-0000BF000000}"/>
    <cellStyle name="Normal Pct" xfId="193" xr:uid="{00000000-0005-0000-0000-0000C0000000}"/>
    <cellStyle name="Normal_ SG&amp;A Bridge " xfId="194" xr:uid="{00000000-0005-0000-0000-0000C1000000}"/>
    <cellStyle name="NormalMultiple" xfId="195" xr:uid="{00000000-0005-0000-0000-0000C2000000}"/>
    <cellStyle name="NormalWhiteOut" xfId="196" xr:uid="{00000000-0005-0000-0000-0000C3000000}"/>
    <cellStyle name="NormalX" xfId="197" xr:uid="{00000000-0005-0000-0000-0000C4000000}"/>
    <cellStyle name="NormalxShadow" xfId="198" xr:uid="{00000000-0005-0000-0000-0000C5000000}"/>
    <cellStyle name="Note" xfId="199" xr:uid="{00000000-0005-0000-0000-0000C6000000}"/>
    <cellStyle name="noteb" xfId="200" xr:uid="{00000000-0005-0000-0000-0000C7000000}"/>
    <cellStyle name="NPPESalesPct" xfId="201" xr:uid="{00000000-0005-0000-0000-0000C8000000}"/>
    <cellStyle name="NWI%S" xfId="202" xr:uid="{00000000-0005-0000-0000-0000C9000000}"/>
    <cellStyle name="Output" xfId="203" xr:uid="{00000000-0005-0000-0000-0000CA000000}"/>
    <cellStyle name="pb_table_format_bottomonly" xfId="204" xr:uid="{00000000-0005-0000-0000-0000CB000000}"/>
    <cellStyle name="PEMult" xfId="205" xr:uid="{00000000-0005-0000-0000-0000CC000000}"/>
    <cellStyle name="per" xfId="206" xr:uid="{00000000-0005-0000-0000-0000CD000000}"/>
    <cellStyle name="Percent [0]" xfId="207" xr:uid="{00000000-0005-0000-0000-0000CE000000}"/>
    <cellStyle name="Percent [1]" xfId="208" xr:uid="{00000000-0005-0000-0000-0000CF000000}"/>
    <cellStyle name="Percent [1] --" xfId="209" xr:uid="{00000000-0005-0000-0000-0000D0000000}"/>
    <cellStyle name="Percent [1]_Assum - IS" xfId="210" xr:uid="{00000000-0005-0000-0000-0000D1000000}"/>
    <cellStyle name="Percent [2]" xfId="211" xr:uid="{00000000-0005-0000-0000-0000D2000000}"/>
    <cellStyle name="Percent [3]" xfId="212" xr:uid="{00000000-0005-0000-0000-0000D3000000}"/>
    <cellStyle name="Percent Input" xfId="213" xr:uid="{00000000-0005-0000-0000-0000D4000000}"/>
    <cellStyle name="Percent[3]--" xfId="214" xr:uid="{00000000-0005-0000-0000-0000D5000000}"/>
    <cellStyle name="Percent_~0709245" xfId="215" xr:uid="{00000000-0005-0000-0000-0000D6000000}"/>
    <cellStyle name="PercentSales" xfId="216" xr:uid="{00000000-0005-0000-0000-0000D7000000}"/>
    <cellStyle name="pink" xfId="217" xr:uid="{00000000-0005-0000-0000-0000D8000000}"/>
    <cellStyle name="Placeholder" xfId="218" xr:uid="{00000000-0005-0000-0000-0000D9000000}"/>
    <cellStyle name="Price" xfId="219" xr:uid="{00000000-0005-0000-0000-0000DA000000}"/>
    <cellStyle name="Proj" xfId="220" xr:uid="{00000000-0005-0000-0000-0000DB000000}"/>
    <cellStyle name="purple" xfId="221" xr:uid="{00000000-0005-0000-0000-0000DC000000}"/>
    <cellStyle name="red" xfId="222" xr:uid="{00000000-0005-0000-0000-0000DD000000}"/>
    <cellStyle name="Red Font" xfId="223" xr:uid="{00000000-0005-0000-0000-0000DE000000}"/>
    <cellStyle name="sel" xfId="224" xr:uid="{00000000-0005-0000-0000-0000DF000000}"/>
    <cellStyle name="st" xfId="225" xr:uid="{00000000-0005-0000-0000-0000E0000000}"/>
    <cellStyle name="subhead" xfId="226" xr:uid="{00000000-0005-0000-0000-0000E1000000}"/>
    <cellStyle name="t" xfId="227" xr:uid="{00000000-0005-0000-0000-0000E2000000}"/>
    <cellStyle name="t_(120515)FY2012 4월 확정_v1_발송" xfId="228" xr:uid="{00000000-0005-0000-0000-0000E3000000}"/>
    <cellStyle name="Tag" xfId="229" xr:uid="{00000000-0005-0000-0000-0000E4000000}"/>
    <cellStyle name="TFCF" xfId="230" xr:uid="{00000000-0005-0000-0000-0000E5000000}"/>
    <cellStyle name="Times" xfId="231" xr:uid="{00000000-0005-0000-0000-0000E6000000}"/>
    <cellStyle name="Title" xfId="232" xr:uid="{00000000-0005-0000-0000-0000E7000000}"/>
    <cellStyle name="Total" xfId="233" xr:uid="{00000000-0005-0000-0000-0000E8000000}"/>
    <cellStyle name="tt" xfId="234" xr:uid="{00000000-0005-0000-0000-0000E9000000}"/>
    <cellStyle name="und" xfId="235" xr:uid="{00000000-0005-0000-0000-0000EA000000}"/>
    <cellStyle name="undb" xfId="236" xr:uid="{00000000-0005-0000-0000-0000EB000000}"/>
    <cellStyle name="Unit k" xfId="237" xr:uid="{00000000-0005-0000-0000-0000EC000000}"/>
    <cellStyle name="Warning Text" xfId="238" xr:uid="{00000000-0005-0000-0000-0000ED000000}"/>
    <cellStyle name="x" xfId="239" xr:uid="{00000000-0005-0000-0000-0000EE000000}"/>
    <cellStyle name="Years" xfId="240" xr:uid="{00000000-0005-0000-0000-0000EF000000}"/>
    <cellStyle name="yellow" xfId="241" xr:uid="{00000000-0005-0000-0000-0000F0000000}"/>
    <cellStyle name="강조색1" xfId="242" builtinId="29" customBuiltin="1"/>
    <cellStyle name="강조색2" xfId="243" builtinId="33" customBuiltin="1"/>
    <cellStyle name="강조색3" xfId="244" builtinId="37" customBuiltin="1"/>
    <cellStyle name="강조색4" xfId="245" builtinId="41" customBuiltin="1"/>
    <cellStyle name="강조색5" xfId="246" builtinId="45" customBuiltin="1"/>
    <cellStyle name="강조색6" xfId="247" builtinId="49" customBuiltin="1"/>
    <cellStyle name="경고문" xfId="248" builtinId="11" customBuiltin="1"/>
    <cellStyle name="계산" xfId="249" builtinId="22" customBuiltin="1"/>
    <cellStyle name="굴림체" xfId="250" xr:uid="{00000000-0005-0000-0000-0000F9000000}"/>
    <cellStyle name="나쁨" xfId="251" builtinId="27" customBuiltin="1"/>
    <cellStyle name="달러" xfId="252" xr:uid="{00000000-0005-0000-0000-0000FB000000}"/>
    <cellStyle name="뒤에 오는 하이퍼링크_01년주요산업전망1" xfId="253" xr:uid="{00000000-0005-0000-0000-0000FC000000}"/>
    <cellStyle name="똿뗦먛귟 [0.00]_PRODUCT DETAIL Q1" xfId="254" xr:uid="{00000000-0005-0000-0000-0000FD000000}"/>
    <cellStyle name="똿뗦먛귟_PRODUCT DETAIL Q1" xfId="255" xr:uid="{00000000-0005-0000-0000-0000FE000000}"/>
    <cellStyle name="메모" xfId="256" builtinId="10" customBuiltin="1"/>
    <cellStyle name="믅됞 [0.00]_PRODUCT DETAIL Q1" xfId="257" xr:uid="{00000000-0005-0000-0000-000000010000}"/>
    <cellStyle name="믅됞_PRODUCT DETAIL Q1" xfId="258" xr:uid="{00000000-0005-0000-0000-000001010000}"/>
    <cellStyle name="백만" xfId="259" xr:uid="{00000000-0005-0000-0000-000002010000}"/>
    <cellStyle name="백분율" xfId="260" builtinId="5"/>
    <cellStyle name="백분율 10" xfId="347" xr:uid="{00000000-0005-0000-0000-000004010000}"/>
    <cellStyle name="백분율 11" xfId="350" xr:uid="{00000000-0005-0000-0000-000005010000}"/>
    <cellStyle name="백분율 12" xfId="355" xr:uid="{00000000-0005-0000-0000-000006010000}"/>
    <cellStyle name="백분율 17" xfId="261" xr:uid="{00000000-0005-0000-0000-000007010000}"/>
    <cellStyle name="백분율 2" xfId="262" xr:uid="{00000000-0005-0000-0000-000008010000}"/>
    <cellStyle name="백분율 2 12" xfId="263" xr:uid="{00000000-0005-0000-0000-000009010000}"/>
    <cellStyle name="백분율 2 12 2" xfId="345" xr:uid="{00000000-0005-0000-0000-00000A010000}"/>
    <cellStyle name="백분율 2 2" xfId="353" xr:uid="{00000000-0005-0000-0000-00000B010000}"/>
    <cellStyle name="백분율 3" xfId="264" xr:uid="{00000000-0005-0000-0000-00000C010000}"/>
    <cellStyle name="백분율 4" xfId="265" xr:uid="{00000000-0005-0000-0000-00000D010000}"/>
    <cellStyle name="백분율 5" xfId="266" xr:uid="{00000000-0005-0000-0000-00000E010000}"/>
    <cellStyle name="백분율 6" xfId="267" xr:uid="{00000000-0005-0000-0000-00000F010000}"/>
    <cellStyle name="백분율 6 2" xfId="268" xr:uid="{00000000-0005-0000-0000-000010010000}"/>
    <cellStyle name="백분율 7" xfId="269" xr:uid="{00000000-0005-0000-0000-000011010000}"/>
    <cellStyle name="백분율 8" xfId="270" xr:uid="{00000000-0005-0000-0000-000012010000}"/>
    <cellStyle name="백분율 9" xfId="343" xr:uid="{00000000-0005-0000-0000-000013010000}"/>
    <cellStyle name="보통" xfId="271" builtinId="28" customBuiltin="1"/>
    <cellStyle name="뷭?_BOOKSHIP" xfId="272" xr:uid="{00000000-0005-0000-0000-000015010000}"/>
    <cellStyle name="선택중앙" xfId="273" xr:uid="{00000000-0005-0000-0000-000016010000}"/>
    <cellStyle name="설명 텍스트" xfId="274" builtinId="53" customBuiltin="1"/>
    <cellStyle name="셀 확인" xfId="275" builtinId="23" customBuiltin="1"/>
    <cellStyle name="쉼표 [0]" xfId="276" builtinId="6"/>
    <cellStyle name="쉼표 [0] 10" xfId="346" xr:uid="{00000000-0005-0000-0000-00001A010000}"/>
    <cellStyle name="쉼표 [0] 11" xfId="349" xr:uid="{00000000-0005-0000-0000-00001B010000}"/>
    <cellStyle name="쉼표 [0] 12" xfId="354" xr:uid="{00000000-0005-0000-0000-00001C010000}"/>
    <cellStyle name="쉼표 [0] 13" xfId="359" xr:uid="{00000000-0005-0000-0000-00001D010000}"/>
    <cellStyle name="쉼표 [0] 16" xfId="277" xr:uid="{00000000-0005-0000-0000-00001E010000}"/>
    <cellStyle name="쉼표 [0] 2" xfId="278" xr:uid="{00000000-0005-0000-0000-00001F010000}"/>
    <cellStyle name="쉼표 [0] 2 15" xfId="279" xr:uid="{00000000-0005-0000-0000-000020010000}"/>
    <cellStyle name="쉼표 [0] 2 2" xfId="280" xr:uid="{00000000-0005-0000-0000-000021010000}"/>
    <cellStyle name="쉼표 [0] 2 2 2 18" xfId="281" xr:uid="{00000000-0005-0000-0000-000022010000}"/>
    <cellStyle name="쉼표 [0] 2 3" xfId="282" xr:uid="{00000000-0005-0000-0000-000023010000}"/>
    <cellStyle name="쉼표 [0] 2 30" xfId="283" xr:uid="{00000000-0005-0000-0000-000024010000}"/>
    <cellStyle name="쉼표 [0] 2 4" xfId="284" xr:uid="{00000000-0005-0000-0000-000025010000}"/>
    <cellStyle name="쉼표 [0] 3" xfId="285" xr:uid="{00000000-0005-0000-0000-000026010000}"/>
    <cellStyle name="쉼표 [0] 3 2" xfId="357" xr:uid="{00000000-0005-0000-0000-000027010000}"/>
    <cellStyle name="쉼표 [0] 4" xfId="286" xr:uid="{00000000-0005-0000-0000-000028010000}"/>
    <cellStyle name="쉼표 [0] 5" xfId="287" xr:uid="{00000000-0005-0000-0000-000029010000}"/>
    <cellStyle name="쉼표 [0] 5 2" xfId="288" xr:uid="{00000000-0005-0000-0000-00002A010000}"/>
    <cellStyle name="쉼표 [0] 6" xfId="289" xr:uid="{00000000-0005-0000-0000-00002B010000}"/>
    <cellStyle name="쉼표 [0] 6 2" xfId="290" xr:uid="{00000000-0005-0000-0000-00002C010000}"/>
    <cellStyle name="쉼표 [0] 7" xfId="291" xr:uid="{00000000-0005-0000-0000-00002D010000}"/>
    <cellStyle name="쉼표 [0] 8" xfId="292" xr:uid="{00000000-0005-0000-0000-00002E010000}"/>
    <cellStyle name="쉼표 [0] 9" xfId="342" xr:uid="{00000000-0005-0000-0000-00002F010000}"/>
    <cellStyle name="스타일 1" xfId="293" xr:uid="{00000000-0005-0000-0000-000030010000}"/>
    <cellStyle name="연결된 셀" xfId="294" builtinId="24" customBuiltin="1"/>
    <cellStyle name="요약" xfId="295" builtinId="25" customBuiltin="1"/>
    <cellStyle name="원화" xfId="296" xr:uid="{00000000-0005-0000-0000-000033010000}"/>
    <cellStyle name="입력" xfId="297" builtinId="20" customBuiltin="1"/>
    <cellStyle name="자리수" xfId="298" xr:uid="{00000000-0005-0000-0000-000035010000}"/>
    <cellStyle name="자리수0" xfId="299" xr:uid="{00000000-0005-0000-0000-000036010000}"/>
    <cellStyle name="제목" xfId="300" builtinId="15" customBuiltin="1"/>
    <cellStyle name="제목 1" xfId="301" builtinId="16" customBuiltin="1"/>
    <cellStyle name="제목 2" xfId="302" builtinId="17" customBuiltin="1"/>
    <cellStyle name="제목 3" xfId="303" builtinId="18" customBuiltin="1"/>
    <cellStyle name="제목 4" xfId="304" builtinId="19" customBuiltin="1"/>
    <cellStyle name="제목1" xfId="305" xr:uid="{00000000-0005-0000-0000-00003C010000}"/>
    <cellStyle name="좋음" xfId="306" builtinId="26" customBuiltin="1"/>
    <cellStyle name="지정되지 않음" xfId="307" xr:uid="{00000000-0005-0000-0000-00003E010000}"/>
    <cellStyle name="출력" xfId="308" builtinId="21" customBuiltin="1"/>
    <cellStyle name="콤마 [0]_(02.12)손익개선계획" xfId="309" xr:uid="{00000000-0005-0000-0000-000040010000}"/>
    <cellStyle name="콤마_(02.12)손익개선계획" xfId="310" xr:uid="{00000000-0005-0000-0000-000041010000}"/>
    <cellStyle name="퍼센트" xfId="311" xr:uid="{00000000-0005-0000-0000-000042010000}"/>
    <cellStyle name="표준" xfId="0" builtinId="0"/>
    <cellStyle name="표준 10" xfId="312" xr:uid="{00000000-0005-0000-0000-000044010000}"/>
    <cellStyle name="표준 10 29" xfId="313" xr:uid="{00000000-0005-0000-0000-000045010000}"/>
    <cellStyle name="표준 11" xfId="314" xr:uid="{00000000-0005-0000-0000-000046010000}"/>
    <cellStyle name="표준 11 2" xfId="315" xr:uid="{00000000-0005-0000-0000-000047010000}"/>
    <cellStyle name="표준 12" xfId="344" xr:uid="{00000000-0005-0000-0000-000048010000}"/>
    <cellStyle name="표준 13" xfId="348" xr:uid="{00000000-0005-0000-0000-000049010000}"/>
    <cellStyle name="표준 14" xfId="351" xr:uid="{00000000-0005-0000-0000-00004A010000}"/>
    <cellStyle name="표준 15" xfId="356" xr:uid="{00000000-0005-0000-0000-00004B010000}"/>
    <cellStyle name="표준 16" xfId="358" xr:uid="{00000000-0005-0000-0000-00004C010000}"/>
    <cellStyle name="표준 2" xfId="316" xr:uid="{00000000-0005-0000-0000-00004D010000}"/>
    <cellStyle name="표준 2 10" xfId="317" xr:uid="{00000000-0005-0000-0000-00004E010000}"/>
    <cellStyle name="표준 2 2" xfId="318" xr:uid="{00000000-0005-0000-0000-00004F010000}"/>
    <cellStyle name="표준 2 3" xfId="319" xr:uid="{00000000-0005-0000-0000-000050010000}"/>
    <cellStyle name="표준 2 4" xfId="320" xr:uid="{00000000-0005-0000-0000-000051010000}"/>
    <cellStyle name="표준 2 5" xfId="352" xr:uid="{00000000-0005-0000-0000-000052010000}"/>
    <cellStyle name="표준 2_(120116)12월확정_v2" xfId="321" xr:uid="{00000000-0005-0000-0000-000053010000}"/>
    <cellStyle name="표준 3" xfId="322" xr:uid="{00000000-0005-0000-0000-000054010000}"/>
    <cellStyle name="표준 3 2" xfId="323" xr:uid="{00000000-0005-0000-0000-000055010000}"/>
    <cellStyle name="표준 3_링크본_(MeritzFM)201112(k)" xfId="324" xr:uid="{00000000-0005-0000-0000-000056010000}"/>
    <cellStyle name="표준 4" xfId="325" xr:uid="{00000000-0005-0000-0000-000057010000}"/>
    <cellStyle name="표준 5" xfId="326" xr:uid="{00000000-0005-0000-0000-000058010000}"/>
    <cellStyle name="표준 6" xfId="327" xr:uid="{00000000-0005-0000-0000-000059010000}"/>
    <cellStyle name="표준 7" xfId="328" xr:uid="{00000000-0005-0000-0000-00005A010000}"/>
    <cellStyle name="표준 8" xfId="329" xr:uid="{00000000-0005-0000-0000-00005B010000}"/>
    <cellStyle name="표준 8 2" xfId="330" xr:uid="{00000000-0005-0000-0000-00005C010000}"/>
    <cellStyle name="표준 86" xfId="331" xr:uid="{00000000-0005-0000-0000-00005D010000}"/>
    <cellStyle name="표준 87" xfId="332" xr:uid="{00000000-0005-0000-0000-00005E010000}"/>
    <cellStyle name="표준 9" xfId="333" xr:uid="{00000000-0005-0000-0000-00005F010000}"/>
    <cellStyle name="標準_Akia(F）-8" xfId="334" xr:uid="{00000000-0005-0000-0000-000060010000}"/>
    <cellStyle name="표준_factbook0307" xfId="335" xr:uid="{00000000-0005-0000-0000-000061010000}"/>
    <cellStyle name="표준_상품별신계약_발송 (7)" xfId="336" xr:uid="{00000000-0005-0000-0000-000062010000}"/>
    <cellStyle name="표준_장기보험 유지율 추이_2" xfId="337" xr:uid="{00000000-0005-0000-0000-000063010000}"/>
    <cellStyle name="하이퍼링크" xfId="338" builtinId="8"/>
    <cellStyle name="하이퍼링크 2" xfId="339" xr:uid="{00000000-0005-0000-0000-000065010000}"/>
    <cellStyle name="화폐기호" xfId="340" xr:uid="{00000000-0005-0000-0000-000066010000}"/>
    <cellStyle name="화폐기호0" xfId="341" xr:uid="{00000000-0005-0000-0000-000067010000}"/>
  </cellStyles>
  <dxfs count="0"/>
  <tableStyles count="0" defaultTableStyle="TableStyleMedium9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42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28.xml"/><Relationship Id="rId63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49.xml"/><Relationship Id="rId84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70.xml"/><Relationship Id="rId16" Type="http://schemas.openxmlformats.org/officeDocument/2006/relationships/worksheet" Target="worksheets/sheet16.xml"/><Relationship Id="rId107" Type="http://schemas.openxmlformats.org/officeDocument/2006/relationships/calcChain" Target="calcChain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60.xml"/><Relationship Id="rId102" Type="http://schemas.openxmlformats.org/officeDocument/2006/relationships/externalLink" Target="externalLinks/externalLink8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1.xml"/><Relationship Id="rId95" Type="http://schemas.openxmlformats.org/officeDocument/2006/relationships/externalLink" Target="externalLinks/externalLink76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43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50.xml"/><Relationship Id="rId80" Type="http://schemas.openxmlformats.org/officeDocument/2006/relationships/externalLink" Target="externalLinks/externalLink61.xml"/><Relationship Id="rId85" Type="http://schemas.openxmlformats.org/officeDocument/2006/relationships/externalLink" Target="externalLinks/externalLink6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40.xml"/><Relationship Id="rId103" Type="http://schemas.openxmlformats.org/officeDocument/2006/relationships/externalLink" Target="externalLinks/externalLink84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54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43.xml"/><Relationship Id="rId70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64.xml"/><Relationship Id="rId88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7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38.xml"/><Relationship Id="rId10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33.xml"/><Relationship Id="rId60" Type="http://schemas.openxmlformats.org/officeDocument/2006/relationships/externalLink" Target="externalLinks/externalLink41.xml"/><Relationship Id="rId65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54.xml"/><Relationship Id="rId78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62.xml"/><Relationship Id="rId86" Type="http://schemas.openxmlformats.org/officeDocument/2006/relationships/externalLink" Target="externalLinks/externalLink67.xml"/><Relationship Id="rId94" Type="http://schemas.openxmlformats.org/officeDocument/2006/relationships/externalLink" Target="externalLinks/externalLink75.xml"/><Relationship Id="rId99" Type="http://schemas.openxmlformats.org/officeDocument/2006/relationships/externalLink" Target="externalLinks/externalLink80.xml"/><Relationship Id="rId101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31.xml"/><Relationship Id="rId55" Type="http://schemas.openxmlformats.org/officeDocument/2006/relationships/externalLink" Target="externalLinks/externalLink36.xml"/><Relationship Id="rId76" Type="http://schemas.openxmlformats.org/officeDocument/2006/relationships/externalLink" Target="externalLinks/externalLink57.xml"/><Relationship Id="rId97" Type="http://schemas.openxmlformats.org/officeDocument/2006/relationships/externalLink" Target="externalLinks/externalLink78.xml"/><Relationship Id="rId104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2.xml"/><Relationship Id="rId92" Type="http://schemas.openxmlformats.org/officeDocument/2006/relationships/externalLink" Target="externalLinks/externalLink7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5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66" Type="http://schemas.openxmlformats.org/officeDocument/2006/relationships/externalLink" Target="externalLinks/externalLink47.xml"/><Relationship Id="rId87" Type="http://schemas.openxmlformats.org/officeDocument/2006/relationships/externalLink" Target="externalLinks/externalLink68.xml"/><Relationship Id="rId61" Type="http://schemas.openxmlformats.org/officeDocument/2006/relationships/externalLink" Target="externalLinks/externalLink42.xml"/><Relationship Id="rId82" Type="http://schemas.openxmlformats.org/officeDocument/2006/relationships/externalLink" Target="externalLinks/externalLink6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37.xml"/><Relationship Id="rId77" Type="http://schemas.openxmlformats.org/officeDocument/2006/relationships/externalLink" Target="externalLinks/externalLink58.xml"/><Relationship Id="rId100" Type="http://schemas.openxmlformats.org/officeDocument/2006/relationships/externalLink" Target="externalLinks/externalLink81.xml"/><Relationship Id="rId105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2.xml"/><Relationship Id="rId72" Type="http://schemas.openxmlformats.org/officeDocument/2006/relationships/externalLink" Target="externalLinks/externalLink53.xml"/><Relationship Id="rId93" Type="http://schemas.openxmlformats.org/officeDocument/2006/relationships/externalLink" Target="externalLinks/externalLink74.xml"/><Relationship Id="rId98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6.xml"/><Relationship Id="rId46" Type="http://schemas.openxmlformats.org/officeDocument/2006/relationships/externalLink" Target="externalLinks/externalLink27.xml"/><Relationship Id="rId67" Type="http://schemas.openxmlformats.org/officeDocument/2006/relationships/externalLink" Target="externalLinks/externalLink4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504088</xdr:colOff>
      <xdr:row>14</xdr:row>
      <xdr:rowOff>166098</xdr:rowOff>
    </xdr:from>
    <xdr:to>
      <xdr:col>9</xdr:col>
      <xdr:colOff>399338</xdr:colOff>
      <xdr:row>16</xdr:row>
      <xdr:rowOff>87176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704488" y="5338173"/>
          <a:ext cx="3857650" cy="568778"/>
        </a:xfrm>
        <a:prstGeom prst="rect">
          <a:avLst/>
        </a:prstGeom>
        <a:solidFill>
          <a:srgbClr val="FFFFFF">
            <a:alpha val="0"/>
          </a:srgbClr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altLang="ko-KR" sz="2000" b="1" i="0" strike="noStrike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INVESTOR RELATIONS</a:t>
          </a:r>
          <a:endParaRPr lang="en-US" altLang="ko-KR" sz="2000" b="1" i="0" strike="noStrike" baseline="0">
            <a:solidFill>
              <a:schemeClr val="bg1">
                <a:lumMod val="50000"/>
              </a:schemeClr>
            </a:solidFill>
            <a:latin typeface="Pretendard ExtraBold" panose="02000903000000020004" pitchFamily="50" charset="-127"/>
            <a:ea typeface="Pretendard ExtraBold" panose="02000903000000020004" pitchFamily="50" charset="-127"/>
            <a:cs typeface="Pretendard ExtraBold" panose="02000903000000020004" pitchFamily="50" charset="-127"/>
          </a:endParaRPr>
        </a:p>
      </xdr:txBody>
    </xdr:sp>
    <xdr:clientData/>
  </xdr:twoCellAnchor>
  <xdr:twoCellAnchor>
    <xdr:from>
      <xdr:col>2</xdr:col>
      <xdr:colOff>446315</xdr:colOff>
      <xdr:row>6</xdr:row>
      <xdr:rowOff>176893</xdr:rowOff>
    </xdr:from>
    <xdr:to>
      <xdr:col>11</xdr:col>
      <xdr:colOff>199922</xdr:colOff>
      <xdr:row>10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46515" y="2758168"/>
          <a:ext cx="6840207" cy="1118508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4500"/>
            </a:lnSpc>
          </a:pPr>
          <a:r>
            <a:rPr lang="en-US" altLang="ko-KR" sz="3200" b="0" baseline="0">
              <a:solidFill>
                <a:schemeClr val="tx1"/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FACTSHEET</a:t>
          </a:r>
        </a:p>
        <a:p>
          <a:pPr algn="ctr">
            <a:lnSpc>
              <a:spcPts val="1100"/>
            </a:lnSpc>
          </a:pPr>
          <a:r>
            <a:rPr lang="en-US" altLang="ko-KR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(</a:t>
          </a:r>
          <a:r>
            <a:rPr lang="ko-KR" altLang="en-US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외부감사인 검토전</a:t>
          </a:r>
          <a:r>
            <a:rPr lang="en-US" altLang="ko-KR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)</a:t>
          </a:r>
          <a:endParaRPr lang="ko-KR" altLang="en-US" sz="1200" b="0">
            <a:solidFill>
              <a:schemeClr val="bg1">
                <a:lumMod val="50000"/>
              </a:schemeClr>
            </a:solidFill>
            <a:latin typeface="Pretendard ExtraBold" panose="02000903000000020004" pitchFamily="50" charset="-127"/>
            <a:ea typeface="Pretendard ExtraBold" panose="02000903000000020004" pitchFamily="50" charset="-127"/>
            <a:cs typeface="Pretendard ExtraBold" panose="02000903000000020004" pitchFamily="50" charset="-127"/>
          </a:endParaRPr>
        </a:p>
      </xdr:txBody>
    </xdr:sp>
    <xdr:clientData/>
  </xdr:twoCellAnchor>
  <xdr:twoCellAnchor editAs="oneCell">
    <xdr:from>
      <xdr:col>5</xdr:col>
      <xdr:colOff>95250</xdr:colOff>
      <xdr:row>4</xdr:row>
      <xdr:rowOff>333375</xdr:rowOff>
    </xdr:from>
    <xdr:to>
      <xdr:col>8</xdr:col>
      <xdr:colOff>657225</xdr:colOff>
      <xdr:row>6</xdr:row>
      <xdr:rowOff>209550</xdr:rowOff>
    </xdr:to>
    <xdr:pic>
      <xdr:nvPicPr>
        <xdr:cNvPr id="1201" name="그림 5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352550"/>
          <a:ext cx="296227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488418</xdr:colOff>
      <xdr:row>1</xdr:row>
      <xdr:rowOff>94530</xdr:rowOff>
    </xdr:from>
    <xdr:ext cx="1901638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378185B8-1EC1-4ED4-8799-E3F0692DE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7968" y="246930"/>
          <a:ext cx="190163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1092812</xdr:colOff>
      <xdr:row>1</xdr:row>
      <xdr:rowOff>79241</xdr:rowOff>
    </xdr:from>
    <xdr:ext cx="1909642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3E9FF917-840C-43E5-B017-5E29710FB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6387" y="260216"/>
          <a:ext cx="1909642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1259804</xdr:colOff>
      <xdr:row>1</xdr:row>
      <xdr:rowOff>86959</xdr:rowOff>
    </xdr:from>
    <xdr:ext cx="1911985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8B89B04D-57BB-462E-AF07-C36F5419A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004" y="267934"/>
          <a:ext cx="191198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279587</xdr:colOff>
      <xdr:row>1</xdr:row>
      <xdr:rowOff>82364</xdr:rowOff>
    </xdr:from>
    <xdr:ext cx="1887072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72ADEAF1-3F15-423C-B4F6-B528C56E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2162" y="387164"/>
          <a:ext cx="1887072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403412</xdr:colOff>
      <xdr:row>1</xdr:row>
      <xdr:rowOff>51066</xdr:rowOff>
    </xdr:from>
    <xdr:to>
      <xdr:col>30</xdr:col>
      <xdr:colOff>720539</xdr:colOff>
      <xdr:row>1</xdr:row>
      <xdr:rowOff>338010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3324" y="219154"/>
          <a:ext cx="1953186" cy="286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338976</xdr:colOff>
      <xdr:row>1</xdr:row>
      <xdr:rowOff>101413</xdr:rowOff>
    </xdr:from>
    <xdr:to>
      <xdr:col>35</xdr:col>
      <xdr:colOff>704849</xdr:colOff>
      <xdr:row>1</xdr:row>
      <xdr:rowOff>368113</xdr:rowOff>
    </xdr:to>
    <xdr:pic>
      <xdr:nvPicPr>
        <xdr:cNvPr id="6203" name="그림 1">
          <a:extLst>
            <a:ext uri="{FF2B5EF4-FFF2-40B4-BE49-F238E27FC236}">
              <a16:creationId xmlns:a16="http://schemas.microsoft.com/office/drawing/2014/main" id="{00000000-0008-0000-0600-00003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5226" y="330013"/>
          <a:ext cx="1889873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781050</xdr:colOff>
      <xdr:row>9</xdr:row>
      <xdr:rowOff>0</xdr:rowOff>
    </xdr:from>
    <xdr:to>
      <xdr:col>22</xdr:col>
      <xdr:colOff>20583</xdr:colOff>
      <xdr:row>9</xdr:row>
      <xdr:rowOff>0</xdr:rowOff>
    </xdr:to>
    <xdr:sp macro="" textlink="">
      <xdr:nvSpPr>
        <xdr:cNvPr id="8210" name="Text Box 18">
          <a:extLst>
            <a:ext uri="{FF2B5EF4-FFF2-40B4-BE49-F238E27FC236}">
              <a16:creationId xmlns:a16="http://schemas.microsoft.com/office/drawing/2014/main" id="{00000000-0008-0000-0700-000012200000}"/>
            </a:ext>
          </a:extLst>
        </xdr:cNvPr>
        <xdr:cNvSpPr txBox="1">
          <a:spLocks noChangeArrowheads="1"/>
        </xdr:cNvSpPr>
      </xdr:nvSpPr>
      <xdr:spPr bwMode="auto">
        <a:xfrm>
          <a:off x="8391525" y="11582400"/>
          <a:ext cx="247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(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억원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,%)</a:t>
          </a:r>
        </a:p>
      </xdr:txBody>
    </xdr:sp>
    <xdr:clientData/>
  </xdr:twoCellAnchor>
  <xdr:oneCellAnchor>
    <xdr:from>
      <xdr:col>34</xdr:col>
      <xdr:colOff>149944</xdr:colOff>
      <xdr:row>1</xdr:row>
      <xdr:rowOff>52555</xdr:rowOff>
    </xdr:from>
    <xdr:ext cx="1924050" cy="285750"/>
    <xdr:pic>
      <xdr:nvPicPr>
        <xdr:cNvPr id="4" name="그림 3">
          <a:extLst>
            <a:ext uri="{FF2B5EF4-FFF2-40B4-BE49-F238E27FC236}">
              <a16:creationId xmlns:a16="http://schemas.microsoft.com/office/drawing/2014/main" id="{0B971566-E8B4-4F95-A852-491726B7A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7494" y="271630"/>
          <a:ext cx="1924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9</xdr:row>
      <xdr:rowOff>0</xdr:rowOff>
    </xdr:from>
    <xdr:to>
      <xdr:col>17</xdr:col>
      <xdr:colOff>0</xdr:colOff>
      <xdr:row>9</xdr:row>
      <xdr:rowOff>47625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9867900" y="2952750"/>
          <a:ext cx="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(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단위 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: 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억원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,%)</a:t>
          </a:r>
        </a:p>
      </xdr:txBody>
    </xdr:sp>
    <xdr:clientData/>
  </xdr:twoCellAnchor>
  <xdr:twoCellAnchor>
    <xdr:from>
      <xdr:col>17</xdr:col>
      <xdr:colOff>0</xdr:colOff>
      <xdr:row>7</xdr:row>
      <xdr:rowOff>219075</xdr:rowOff>
    </xdr:from>
    <xdr:to>
      <xdr:col>17</xdr:col>
      <xdr:colOff>0</xdr:colOff>
      <xdr:row>11</xdr:row>
      <xdr:rowOff>200025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9867900" y="2486025"/>
          <a:ext cx="0" cy="1352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400"/>
            </a:lnSpc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24,253</a:t>
          </a:r>
        </a:p>
      </xdr:txBody>
    </xdr:sp>
    <xdr:clientData/>
  </xdr:twoCellAnchor>
  <xdr:twoCellAnchor>
    <xdr:from>
      <xdr:col>17</xdr:col>
      <xdr:colOff>0</xdr:colOff>
      <xdr:row>11</xdr:row>
      <xdr:rowOff>28575</xdr:rowOff>
    </xdr:from>
    <xdr:to>
      <xdr:col>17</xdr:col>
      <xdr:colOff>0</xdr:colOff>
      <xdr:row>11</xdr:row>
      <xdr:rowOff>219075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9867900" y="366712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24,110</a:t>
          </a:r>
        </a:p>
      </xdr:txBody>
    </xdr:sp>
    <xdr:clientData/>
  </xdr:twoCellAnchor>
  <xdr:twoCellAnchor editAs="oneCell">
    <xdr:from>
      <xdr:col>32</xdr:col>
      <xdr:colOff>745654</xdr:colOff>
      <xdr:row>1</xdr:row>
      <xdr:rowOff>78222</xdr:rowOff>
    </xdr:from>
    <xdr:to>
      <xdr:col>34</xdr:col>
      <xdr:colOff>807284</xdr:colOff>
      <xdr:row>1</xdr:row>
      <xdr:rowOff>320002</xdr:rowOff>
    </xdr:to>
    <xdr:pic>
      <xdr:nvPicPr>
        <xdr:cNvPr id="8428" name="그림 4">
          <a:extLst>
            <a:ext uri="{FF2B5EF4-FFF2-40B4-BE49-F238E27FC236}">
              <a16:creationId xmlns:a16="http://schemas.microsoft.com/office/drawing/2014/main" id="{00000000-0008-0000-0800-0000E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3379" y="306822"/>
          <a:ext cx="1909480" cy="24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317687</xdr:colOff>
      <xdr:row>1</xdr:row>
      <xdr:rowOff>88526</xdr:rowOff>
    </xdr:from>
    <xdr:ext cx="1977838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467329F7-CACA-4711-83E0-C56162E3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1962" y="393326"/>
          <a:ext cx="197783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464484</xdr:colOff>
      <xdr:row>1</xdr:row>
      <xdr:rowOff>87405</xdr:rowOff>
    </xdr:from>
    <xdr:to>
      <xdr:col>34</xdr:col>
      <xdr:colOff>830355</xdr:colOff>
      <xdr:row>1</xdr:row>
      <xdr:rowOff>363630</xdr:rowOff>
    </xdr:to>
    <xdr:pic>
      <xdr:nvPicPr>
        <xdr:cNvPr id="3" name="그림 4">
          <a:extLst>
            <a:ext uri="{FF2B5EF4-FFF2-40B4-BE49-F238E27FC236}">
              <a16:creationId xmlns:a16="http://schemas.microsoft.com/office/drawing/2014/main" id="{F150AD88-1567-4B87-ADD8-6AFE3A506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6884" y="316005"/>
          <a:ext cx="2118471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1600200</xdr:colOff>
      <xdr:row>1</xdr:row>
      <xdr:rowOff>74520</xdr:rowOff>
    </xdr:from>
    <xdr:ext cx="1885390" cy="294349"/>
    <xdr:pic>
      <xdr:nvPicPr>
        <xdr:cNvPr id="3" name="그림 1">
          <a:extLst>
            <a:ext uri="{FF2B5EF4-FFF2-40B4-BE49-F238E27FC236}">
              <a16:creationId xmlns:a16="http://schemas.microsoft.com/office/drawing/2014/main" id="{5CB245F2-ACCE-4CF9-AB1F-E8CAA11B9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5495"/>
          <a:ext cx="1885390" cy="29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830036</xdr:colOff>
      <xdr:row>1</xdr:row>
      <xdr:rowOff>90083</xdr:rowOff>
    </xdr:from>
    <xdr:ext cx="2076286" cy="272862"/>
    <xdr:pic>
      <xdr:nvPicPr>
        <xdr:cNvPr id="4" name="그림 1">
          <a:extLst>
            <a:ext uri="{FF2B5EF4-FFF2-40B4-BE49-F238E27FC236}">
              <a16:creationId xmlns:a16="http://schemas.microsoft.com/office/drawing/2014/main" id="{C8B750C4-4C61-4559-BF7A-1376CCEBF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1679" y="266976"/>
          <a:ext cx="2076286" cy="272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238124</xdr:colOff>
      <xdr:row>1</xdr:row>
      <xdr:rowOff>127636</xdr:rowOff>
    </xdr:from>
    <xdr:ext cx="1898623" cy="266700"/>
    <xdr:pic>
      <xdr:nvPicPr>
        <xdr:cNvPr id="2" name="그림 2">
          <a:extLst>
            <a:ext uri="{FF2B5EF4-FFF2-40B4-BE49-F238E27FC236}">
              <a16:creationId xmlns:a16="http://schemas.microsoft.com/office/drawing/2014/main" id="{03E13FD1-D630-4CFA-9D4A-FAB1FF235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4" y="280036"/>
          <a:ext cx="1898623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285750</xdr:colOff>
      <xdr:row>1</xdr:row>
      <xdr:rowOff>124049</xdr:rowOff>
    </xdr:from>
    <xdr:to>
      <xdr:col>72</xdr:col>
      <xdr:colOff>574750</xdr:colOff>
      <xdr:row>1</xdr:row>
      <xdr:rowOff>390749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93D62B31-88F9-4D62-AE51-DED015CE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76449"/>
          <a:ext cx="1889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657225</xdr:colOff>
      <xdr:row>1</xdr:row>
      <xdr:rowOff>125506</xdr:rowOff>
    </xdr:from>
    <xdr:ext cx="1830705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56536A31-9723-47EB-BB28-1D430FC0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277906"/>
          <a:ext cx="183070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657225</xdr:colOff>
      <xdr:row>1</xdr:row>
      <xdr:rowOff>127747</xdr:rowOff>
    </xdr:from>
    <xdr:ext cx="1830705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AF5D26B9-9E66-4D29-8DE4-7175F640A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280147"/>
          <a:ext cx="183070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600075</xdr:colOff>
      <xdr:row>1</xdr:row>
      <xdr:rowOff>144780</xdr:rowOff>
    </xdr:from>
    <xdr:ext cx="1814569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18CEA213-8348-4BF5-8F68-98604549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297180"/>
          <a:ext cx="1814569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542925</xdr:colOff>
      <xdr:row>1</xdr:row>
      <xdr:rowOff>127635</xdr:rowOff>
    </xdr:from>
    <xdr:ext cx="1833618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9069B085-0215-47B6-8349-5BD500820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80035"/>
          <a:ext cx="183361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9345;&#44592;/1.M.Report/2.Report/1.Monthly%20Report/DM2004-Jan.(040209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.178\&#44228;&#47532;&#45812;&#45817;\Documents%20and%20Settings\kli_admin\&#48148;&#53461;%20&#54868;&#47732;\&#49552;&#51061;&#44228;&#49328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2004&#45380;\&#44033;&#51333;&#44048;&#49324;\6&#50900;&#48152;&#44592;&#44048;&#49324;\&#48372;&#51613;&#44552;&#47749;&#494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2004&#45380;\&#44208;&#49328;&#51333;&#54633;\6&#50900;\&#44208;&#49328;&#48372;&#44256;\6&#50900;&#51204;&#49328;PL(&#51228;&#49884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y%20Documents/&#44228;&#50557;&#51088;&#48176;&#45817;/FY2001/2002.05.03/DATA/2002.02%20&#50948;&#54744;&#49552;&#54644;&#5098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33;&#49437;&#50724;&#487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djookim\My%20Documents\&#44048;&#49324;\&#48516;&#48152;&#44592;&#44160;&#53664;\LG&#52852;&#46300;\2002&#45380;&#48152;&#44592;\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668;&#50865;\&#50900;&#47568;&#48372;&#44256;&#49436;\&#48372;&#44256;&#49436;\&#50900;&#47568;&#48372;&#44256;&#49436;\200302\&#48376;&#48512;&#51109;&#45784;&#48372;&#44256;&#49436;&#50640;&#49436;%20&#45224;&#51008;&#49884;&#5394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~1\meritz\LOCALS~1\Temp\1-5%20&#48324;&#51648;&#51228;26&#54840;_&#49552;&#48372;%202.&#51116;&#47924;&#54788;&#54889;_&#45796;.&#51088;&#48376;&#51201;&#51221;&#49457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as.fss.or.kr/&#44608;&#54805;&#50896;/5.&#51008;&#54665;&#44048;&#46021;&#44397;/&#44221;&#50689;&#51648;&#46020;&#54016;/2004-200%20&#52649;&#45817;&#44552;(ALL)/2007-05%20&#50629;&#51333;&#48324;%20&#52649;&#45817;&#44552;&#51201;&#47549;%20&#52264;&#48324;&#54868;/2%20&#44036;&#45812;&#54924;%20&#50504;&#44148;/&#51116;&#44221;&#48512;&#54801;&#51032;/&#50629;&#51333;&#48324;%20&#50668;&#49888;&#44552;&#5052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0A1\&#50672;&#48393;&#54217;&#44032;\FY99&#54032;&#47588;&#44288;&#47532;&#51088;%20&#50629;&#51201;&#54217;&#44032;(95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49688;&#44221;\01.IR\2023\&#54588;&#54000;\PT%20DATA_1Q23_v1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&amp;A%20&#51221;&#48372;&#44288;&#47532;\Hong%20Kong\FPB\DDM\FPBankDDM_v15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&#44208;&#49328;\&#44228;&#51221;&#49888;&#49444;\&#49888;&#44228;&#51221;&#44284;&#47785;&#52404;&#44228;&#44060;&#51221;200011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4592;&#50629;&#44277;&#44060;\&#49888;&#45824;&#50577;\&#48516;&#49437;&#51312;&#49436;\&#47588;&#52636;&#50896;&#4403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4592;&#50629;&#44277;&#44060;\&#49340;&#49457;&#50644;&#51648;\&#48516;&#49437;&#51312;&#49436;\&#50836;&#50557;&#51116;&#4792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user\My%20Documents\&#51088;&#47308;&#49892;\sap2004071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288;\&#51116;&#47924;&#51228;&#54364;\WINDOWS\&#48148;&#53461;%20&#54868;&#47732;\&#54924;&#44228;\2003&#45380;&#54924;&#44228;&#44048;&#49324;\&#48152;&#44592;\03.06&#49552;&#51061;&#47749;&#49464;&#49436;-&#51228;&#526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y%20Documents/&#44228;&#50557;&#51088;&#48176;&#45817;/FY2001/2002.05.03/DATA/&#50948;&#49552;199908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04_&#51109;&#44592;&#53685;&#44228;(&#44208;&#49328;)/07ITNewProject/To%20DAIN/20050304/&#51204;&#54364;&#45936;&#51060;&#5344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&amp;A%20&#51221;&#48372;&#44288;&#47532;\WINDOWS\Temporary%20Internet%20Files\Content.IE5\C9EDDXUY\Accretion%20dilution%20analysis%20020502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BS98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372;&#44256;&#49436;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WORK\&#44592;&#47568;&#44048;&#49324;\2001&#45380;&#44592;&#47568;\sk&#51613;&#44428;\&#50641;&#49472;&#51088;&#47308;\&#49324;&#50629;&#44228;&#54925;\&#51064;&#44148;&#4870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&#50900;&#47568;&#48372;&#44256;\&#51221;&#48372;&#48512;\9904-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44;&#50808;&#44592;&#54217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user\My%20Documents\&#46160;&#47336;&#48393;\&#51088;&#49328;&#50976;&#46041;&#54868;\&#44208;&#49328;(2004&#45380;)\8&#50900;\6&#50900;\Derivatives_wp042Q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eliminary%20valuation%20using%20DDM%20(0321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JEBAIK\My%20Documents\FSS\&#50900;&#48372;&#50808;\&#49464;&#52825;%20&#44060;&#51221;(20090324)\&#49552;&#48372;&#50629;&#47924;&#48372;&#44256;&#49436;\&#51456;&#48708;&#44552;&#52628;&#51221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101\&#47532;&#49828;&#53356;&#44288;&#47532;&#54016;%20&#50629;&#47924;%20&#51221;&#47532;\WINKOR\Temporary%20Internet%20Files\Content.IE5\0PKT8BMP\&#44552;&#50997;&#44592;&#44288;%20&#50629;&#47924;&#48372;&#44256;&#49436;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5936;&#51060;&#53552;-D\2004&#45380;%20&#44208;&#49328;\200402\bs-pl\bs(&#48372;&#51221;&#54980;)04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51452;&#49885;&#50948;&#54744;&#50529;(2004.5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ini%20work%20II/&#51076;&#49884;&#51089;&#50629;/&#51201;&#50857;&#51060;&#5098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dministrator\My%20Documents\Salt_Meritz\&#51116;&#47924;&#44148;&#51204;&#49457;&#48708;&#50984;%20&#48372;&#44256;\2004.3.31\cpa%20&#49688;&#51221;&#51204;\2004&#45380;3&#50900;\&#44552;&#47532;&#50948;&#54744;&#50529;&#49328;&#5122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lm$\DOCUME~1\ADMINI~1\LOCALS~1\Temp\3&#50900;&#47568;%20&#51088;&#47308;\03-03-31(&#52292;&#44428;)-new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72;&#54744;&#49688;&#47532;_&#44608;&#51452;&#55148;\&#48372;&#54744;_&#49688;&#47532;\&#51088;&#46041;&#52264;\CLM_&#51089;&#50629;\200209\CLM_&#51089;&#50629;\CLM2002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DMINI~1\LOCALS~1\Temp\2003.12&#50900;%20(&#50689;&#50629;&#50857;&#49692;&#51088;&#48376;&#48708;&#50984;)%20-%20&#54869;&#51221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.101.5.20/&#44148;&#51204;&#49457;/0003/&#52264;&#44552;&#48516;&#4744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NCR&#49328;&#51221;&#45236;&#50669;(2005.09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0A1\&#50672;&#48393;&#54217;&#44032;\My%20Documents\&#44221;&#50689;&#54217;&#44032;\FY98\&#51216;&#54252;&#54217;&#44032;\&#54616;&#48152;&#44592;%20&#44592;&#52488;&#51088;&#47308;\&#54217;&#44032;&#5050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40;&#44592;&#50629;&#47924;2/&#50689;&#50629;&#54924;&#51032;/&#51648;&#51216;&#51109;&#54924;&#51032;/4&#50900;&#51648;&#51216;&#51109;&#54924;&#51032;/The%20Answers%20to%20Questions/The%20Answers%20to%20Questions-20020319/&#49552;&#50724;&#44277;/profile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2;&#50689;\&#48516;&#49437;\&#51109;&#44592;&#48372;&#51204;\&#49552;&#50724;&#44277;%20&#51089;&#49457;&#51088;&#47308;\The%20Answers%20to%20Questions\&#49552;&#50724;&#44277;\profile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MONTH\9909\FUNDAPA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9733;FY2007%20&#49324;&#50629;&#44228;&#54925;\01.%20&#51228;&#52636;&#51088;&#47308;$\&#51068;&#48152;\My%20Documents\2007&#51088;&#48372;&#49884;&#51109;\&#49884;&#51109;&#51204;&#47581;\&#51060;&#4414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lm$\DOCUME~1\ADMINI~1\LOCALS~1\Temp\9&#50900;&#47568;&#51088;&#47308;\&#51613;&#44048;&#50836;&#51064;&#48516;&#49437;(2003.09%20CPA&#49688;&#51221;&#54980;%20vs%202003.06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&#51221;&#48372;&#49884;&#49828;&#53596;&#48512;/&#44221;&#50689;&#44592;&#54925;&#54016;/&#51060;&#51116;&#54788;/&#48372;&#51333;&#48324;%20&#45572;&#44228;%20&#49324;&#50629;&#48708;(20030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3)/0403/&#46041;&#50629;&#49324;/kjs0302/&#49688;&#47532;&#44288;&#47144;/&#51109;&#44592;/&#51060;&#50896;&#48516;&#49437;/&#51060;&#50896;&#48516;&#49437;(FY'03)/0306/kjs0302/&#49688;&#47532;&#44288;&#47144;/&#51109;&#44592;/&#51060;&#50896;&#48516;&#49437;/&#51060;&#50896;&#48516;&#49437;(FY'03)/0305/mini%20work%20II/&#51076;&#49884;&#51089;&#50629;/&#51201;&#50857;&#51060;&#5098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053;&#50896;\LG&#52880;&#54588;&#53448;\&#44053;&#50896;\G.C%20TECH\&#48516;&#49437;&#51312;&#49436;\WINDOWS\&#48148;&#53461;%20&#54868;&#47732;\&#48516;&#49437;&#51312;&#49436;(&#44305;&#51204;&#51088;)_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472;&#46356;&#45936;&#51060;&#53440;\&#49324;&#51204;&#44160;&#53664;\&#51116;&#47924;&#51228;&#54364;(KIS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50629;&#47924;&#54260;&#45908;\&#48372;&#44256;&#49436;\&#51088;&#49328;&#44148;&#51204;&#49457;\&#47112;&#51060;&#54021;\&#51204;&#49328;&#48512;&#48156;&#49569;&#51088;&#47308;(1&#50900;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54840;\&#44592;&#54925;&#54016;(&#51064;&#49688;\&#44592;&#54925;&#54016;\&#49324;&#50629;&#44228;&#54925;\&#49373;&#49328;&#49457;&#48516;&#49437;(&#44553;&#50668;base-&#54028;&#53944;&#51109;2001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105203625/&#48148;&#53461;%20&#54868;&#47732;/&#54788;&#51116;%20&#44160;&#53664;&#51473;/FY2011%20&#50696;&#49328;&#44228;&#54925;/Database/&#9733;&#51452;&#44288;&#50696;&#49328;%20database_1&#52264;_v4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376;&#48512;&#48324;&#49552;&#54644;&#50984;(200005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260727_IR%20DATA%20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202104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 GWP"/>
      <sheetName val="B. Plan"/>
      <sheetName val="C. G-Total"/>
      <sheetName val="1.AMX"/>
      <sheetName val="2.KEBCS"/>
      <sheetName val="2-1.KEBCS(GET)"/>
      <sheetName val="2-2.KEB(POM)"/>
      <sheetName val="3.DEBEC"/>
      <sheetName val="4.DEBANK"/>
      <sheetName val="5.CJ"/>
      <sheetName val="5-1.CJ(Seoul)"/>
      <sheetName val="5-2.CJ(Daegu)"/>
      <sheetName val="5-3.CJ(TV)"/>
      <sheetName val="6.E-biz"/>
      <sheetName val="7.New"/>
      <sheetName val="8.Others"/>
      <sheetName val="PAIRR"/>
      <sheetName val="201010"/>
      <sheetName val="code"/>
      <sheetName val="회사제시PL"/>
      <sheetName val="A__GWP"/>
      <sheetName val="B__Plan"/>
      <sheetName val="C__G-Total"/>
      <sheetName val="1_AMX"/>
      <sheetName val="2_KEBCS"/>
      <sheetName val="2-1_KEBCS(GET)"/>
      <sheetName val="2-2_KEB(POM)"/>
      <sheetName val="3_DEBEC"/>
      <sheetName val="4_DEBANK"/>
      <sheetName val="5_CJ"/>
      <sheetName val="5-1_CJ(Seoul)"/>
      <sheetName val="5-2_CJ(Daegu)"/>
      <sheetName val="5-3_CJ(TV)"/>
      <sheetName val="6_E-biz"/>
      <sheetName val="7_New"/>
      <sheetName val="8_Others"/>
      <sheetName val="PAIRR4K1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>
        <row r="4">
          <cell r="BL4" t="str">
            <v>{APP1}prsI21..T81~g</v>
          </cell>
        </row>
        <row r="25">
          <cell r="J25" t="str">
            <v>Year 1</v>
          </cell>
          <cell r="K25" t="str">
            <v>Year 2</v>
          </cell>
          <cell r="L25" t="str">
            <v>Year 3</v>
          </cell>
          <cell r="M25" t="str">
            <v>Year 4</v>
          </cell>
          <cell r="N25" t="str">
            <v>Year 5</v>
          </cell>
          <cell r="O25" t="str">
            <v>Year 6</v>
          </cell>
          <cell r="P25" t="str">
            <v>Year 7</v>
          </cell>
          <cell r="Q25" t="str">
            <v>Year 8</v>
          </cell>
          <cell r="R25" t="str">
            <v>Year 9</v>
          </cell>
          <cell r="S25" t="str">
            <v>Year 10</v>
          </cell>
        </row>
        <row r="57">
          <cell r="J57">
            <v>227990776.40679246</v>
          </cell>
          <cell r="K57">
            <v>144996708.32657394</v>
          </cell>
          <cell r="L57">
            <v>91028205.140891254</v>
          </cell>
          <cell r="M57">
            <v>378545550.82901406</v>
          </cell>
          <cell r="N57">
            <v>340690995.74611253</v>
          </cell>
          <cell r="O57">
            <v>306621896.1715014</v>
          </cell>
          <cell r="P57">
            <v>275959706.55435121</v>
          </cell>
          <cell r="Q57">
            <v>248363735.89891607</v>
          </cell>
          <cell r="R57">
            <v>223527362.30902454</v>
          </cell>
          <cell r="S57">
            <v>201174626.07812202</v>
          </cell>
        </row>
        <row r="73">
          <cell r="J73">
            <v>-196350292.83147478</v>
          </cell>
          <cell r="K73">
            <v>838337713.37422776</v>
          </cell>
          <cell r="L73">
            <v>672601002.75995255</v>
          </cell>
          <cell r="M73">
            <v>445606475.28616917</v>
          </cell>
          <cell r="N73">
            <v>401045827.75755227</v>
          </cell>
          <cell r="O73">
            <v>360941244.98179686</v>
          </cell>
          <cell r="P73">
            <v>324847120.48361748</v>
          </cell>
          <cell r="Q73">
            <v>292362408.43525565</v>
          </cell>
          <cell r="R73">
            <v>263126167.59172985</v>
          </cell>
          <cell r="S73">
            <v>236813550.83255723</v>
          </cell>
        </row>
      </sheetData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계산서(총괄)"/>
      <sheetName val="97년추정손익계산서"/>
      <sheetName val="반기_유가증권"/>
      <sheetName val="국외감가상각내역0103"/>
      <sheetName val="2담당0113"/>
      <sheetName val="1담당01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임차보증금현황04.6.30"/>
      <sheetName val="sap`04.7.14"/>
      <sheetName val="Cover"/>
      <sheetName val="COMBINED"/>
      <sheetName val="VALSTAT"/>
      <sheetName val="품의예산"/>
      <sheetName val="INTERCO LOAN"/>
      <sheetName val="적용환율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Control"/>
      <sheetName val="사업계획서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손익합산"/>
      <sheetName val="시산표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7.5 재질별 수율"/>
      <sheetName val="SUMMARY"/>
      <sheetName val="지역개발"/>
      <sheetName val="고정자산원본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rjt_Tbl"/>
      <sheetName val="Prjt_excl_GI"/>
      <sheetName val="임차보증금현황04_6_30"/>
      <sheetName val="7_5_재질별_수율"/>
      <sheetName val="3.Loan Mix"/>
      <sheetName val="Variable"/>
      <sheetName val="10K4"/>
      <sheetName val="보고"/>
      <sheetName val="COMPS"/>
      <sheetName val="2 카드채권(대출포함)"/>
      <sheetName val="적용환율"/>
      <sheetName val="2담당0113"/>
      <sheetName val="1담당0113"/>
      <sheetName val="Prjt_Tbl1"/>
      <sheetName val="Prjt_excl_GI1"/>
      <sheetName val="임차보증금현황04_6_301"/>
      <sheetName val="7_5_재질별_수율1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유림골조"/>
      <sheetName val="BM_NEW2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양식3"/>
      <sheetName val="Master Sheet"/>
      <sheetName val="Sheet (2)"/>
      <sheetName val="이자수익보조부"/>
      <sheetName val="영업본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지급이자와할인료(직매각)"/>
      <sheetName val="경영비율 "/>
      <sheetName val="수정시산표"/>
      <sheetName val="dongia (2)"/>
      <sheetName val="CHITIET"/>
      <sheetName val="Parm"/>
      <sheetName val="ControlNoLinks"/>
      <sheetName val="DE"/>
      <sheetName val="처리99누"/>
      <sheetName val="포장99누"/>
      <sheetName val="가동99누"/>
      <sheetName val="재처99누"/>
      <sheetName val="카드채권(대출포함)"/>
      <sheetName val="Prjt_Tbl4"/>
      <sheetName val="Prjt_excl_GI4"/>
      <sheetName val="7_5_재질별_수율4"/>
      <sheetName val="임차보증금현황04_6_304"/>
      <sheetName val="3_Loan_Mix2"/>
      <sheetName val="2_카드채권(대출포함)2"/>
      <sheetName val="원단위_1계_2계2"/>
      <sheetName val="full_(2)2"/>
      <sheetName val="PRESS_DATA2"/>
      <sheetName val="seat-sdn_only2"/>
      <sheetName val="2_대외공문2"/>
      <sheetName val="sap`04_7_141"/>
      <sheetName val="Master_Sheet"/>
      <sheetName val="Sheet_(2)"/>
      <sheetName val="WACC_(INCOMPLETE!!)"/>
      <sheetName val="경영비율_"/>
      <sheetName val="dongia_(2)"/>
      <sheetName val="참조"/>
      <sheetName val="환율추세"/>
      <sheetName val="← 참고자료 (AC422)"/>
      <sheetName val="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총괄표"/>
      <sheetName val="지역본부"/>
      <sheetName val="인수기간별손해율"/>
      <sheetName val="1-3,4총괄"/>
      <sheetName val="1-5총괄"/>
      <sheetName val="2.상품(당월)"/>
      <sheetName val="2.상품(FY누계)"/>
      <sheetName val="2.상품(직전누계)"/>
      <sheetName val="3-1지점1월"/>
      <sheetName val="3-1지점누계"/>
      <sheetName val="4-1물건1년"/>
      <sheetName val="4-2물건누계"/>
      <sheetName val="5.운전자총괄"/>
      <sheetName val="유지율-월납수정"/>
      <sheetName val="유지율-월납기준"/>
      <sheetName val="성향별유지율-월납수정"/>
      <sheetName val="성향별유지율-월납기준"/>
      <sheetName val="별첨1"/>
      <sheetName val="물가지수"/>
      <sheetName val="IS"/>
      <sheetName val="Detailed 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시설이용권명세서"/>
      <sheetName val="Sheet1"/>
      <sheetName val="임차보증금현황04.6.30"/>
      <sheetName val="합동별(기표용)"/>
      <sheetName val="정의"/>
      <sheetName val="정산표"/>
      <sheetName val="일일0113"/>
      <sheetName val="Sheet3"/>
      <sheetName val="월중평잔"/>
      <sheetName val="기중평잔"/>
      <sheetName val="성적표96"/>
      <sheetName val="코드"/>
      <sheetName val="code"/>
      <sheetName val="COMBINED"/>
      <sheetName val="VALSTAT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#REF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미지급보험금"/>
      <sheetName val="손해조사비"/>
      <sheetName val="건수"/>
      <sheetName val="지급보험금"/>
      <sheetName val="수선비"/>
      <sheetName val="f_BS"/>
      <sheetName val="인건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Revenue Net of Losses"/>
      <sheetName val="INCOME"/>
      <sheetName val="SNC REV"/>
      <sheetName val="실적"/>
      <sheetName val="임차보증금"/>
      <sheetName val="2. 11년 이전 신용위험평가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BACKDATA"/>
      <sheetName val="RUL2"/>
      <sheetName val="DATA"/>
      <sheetName val="Configuration"/>
      <sheetName val="JournalSummary"/>
      <sheetName val="WorkFile"/>
      <sheetName val="R&amp;D"/>
      <sheetName val="1_MDF1공장8"/>
      <sheetName val="Index"/>
      <sheetName val="IMPROVED (3)"/>
      <sheetName val="LS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19">
          <cell r="F119">
            <v>767.404</v>
          </cell>
        </row>
      </sheetData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>
        <row r="119">
          <cell r="F119">
            <v>767.404</v>
          </cell>
        </row>
      </sheetData>
      <sheetData sheetId="33">
        <row r="119">
          <cell r="F119">
            <v>767.404</v>
          </cell>
        </row>
      </sheetData>
      <sheetData sheetId="34">
        <row r="119">
          <cell r="F119">
            <v>767.404</v>
          </cell>
        </row>
      </sheetData>
      <sheetData sheetId="35">
        <row r="119">
          <cell r="F119">
            <v>767.404</v>
          </cell>
        </row>
      </sheetData>
      <sheetData sheetId="36">
        <row r="119">
          <cell r="F119">
            <v>767.404</v>
          </cell>
        </row>
      </sheetData>
      <sheetData sheetId="37">
        <row r="119">
          <cell r="F119">
            <v>767.404</v>
          </cell>
        </row>
      </sheetData>
      <sheetData sheetId="38">
        <row r="119">
          <cell r="F119">
            <v>767.404</v>
          </cell>
        </row>
      </sheetData>
      <sheetData sheetId="39">
        <row r="119">
          <cell r="F119">
            <v>767.404</v>
          </cell>
        </row>
      </sheetData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9">
          <cell r="F119">
            <v>767.404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19">
          <cell r="F119">
            <v>767.404</v>
          </cell>
        </row>
      </sheetData>
      <sheetData sheetId="265">
        <row r="119">
          <cell r="F119">
            <v>767.404</v>
          </cell>
        </row>
      </sheetData>
      <sheetData sheetId="266">
        <row r="119">
          <cell r="F119">
            <v>767.404</v>
          </cell>
        </row>
      </sheetData>
      <sheetData sheetId="267">
        <row r="119">
          <cell r="F119">
            <v>767.404</v>
          </cell>
        </row>
      </sheetData>
      <sheetData sheetId="268">
        <row r="119">
          <cell r="F119">
            <v>767.404</v>
          </cell>
        </row>
      </sheetData>
      <sheetData sheetId="269">
        <row r="119">
          <cell r="F119">
            <v>767.404</v>
          </cell>
        </row>
      </sheetData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분석목적"/>
      <sheetName val="요건검토"/>
      <sheetName val="평가요약"/>
      <sheetName val="자산가치"/>
      <sheetName val="수익가치"/>
      <sheetName val="재무제표"/>
      <sheetName val="대차대조표"/>
      <sheetName val="손익계산서"/>
      <sheetName val="자산추정"/>
      <sheetName val="부채추정"/>
      <sheetName val="자본추정"/>
      <sheetName val="회사현황"/>
      <sheetName val="유가증권 분석"/>
      <sheetName val="매출액간지"/>
      <sheetName val="매출액추정방법"/>
      <sheetName val="매출액명세서"/>
      <sheetName val="월별매출명세"/>
      <sheetName val="분기별매출명세서"/>
      <sheetName val="봉제완구"/>
      <sheetName val="봉제완구추정"/>
      <sheetName val="그래프, 시장"/>
      <sheetName val="프라스틱"/>
      <sheetName val="프라스틱추정"/>
      <sheetName val="팬시용품"/>
      <sheetName val="인원현황"/>
      <sheetName val="급여추정(판관비,잡급)"/>
      <sheetName val="퇴직급여배분"/>
      <sheetName val="퇴직급여추정"/>
      <sheetName val="당기지급액추정"/>
      <sheetName val="상각비추정"/>
      <sheetName val="투자계획"/>
      <sheetName val="판관비간지"/>
      <sheetName val="판관비"/>
      <sheetName val="무형자산상각"/>
      <sheetName val="영업외간지"/>
      <sheetName val="영업외수익"/>
      <sheetName val="영업외수익추정"/>
      <sheetName val="영업외비용"/>
      <sheetName val="영업외비용추정"/>
      <sheetName val="비교PL"/>
      <sheetName val="비교BS"/>
      <sheetName val="Sheet1"/>
      <sheetName val="보종별,계정별 사업비"/>
      <sheetName val="본부유지율"/>
      <sheetName val="인수기간별S"/>
      <sheetName val="부원달성"/>
      <sheetName val="테이블"/>
      <sheetName val="정산표"/>
      <sheetName val="f_BS"/>
      <sheetName val="종석오빠"/>
      <sheetName val="1.외주공사"/>
      <sheetName val="2.직영공사"/>
      <sheetName val="붙임2-1  지급조서명세서(2001년분)"/>
      <sheetName val="8월차잔"/>
      <sheetName val="해외 기술훈련비 (합계)"/>
      <sheetName val="요약PL"/>
      <sheetName val="호프"/>
      <sheetName val="출금실적"/>
      <sheetName val="월확9601"/>
      <sheetName val="재무현황"/>
      <sheetName val="외화가수금"/>
      <sheetName val="현금"/>
      <sheetName val="1유리"/>
      <sheetName val="98지급계획"/>
      <sheetName val="추가예산"/>
      <sheetName val="점포집계표"/>
      <sheetName val="지점집계표"/>
      <sheetName val="세금"/>
      <sheetName val="유가증권_분석"/>
      <sheetName val="그래프,_시장"/>
      <sheetName val="보종별,계정별_사업비"/>
      <sheetName val="1_외주공사"/>
      <sheetName val="2_직영공사"/>
      <sheetName val="붙임2-1__지급조서명세서(2001년분)"/>
      <sheetName val="해외_기술훈련비_(합계)"/>
      <sheetName val="유가증권_분석1"/>
      <sheetName val="그래프,_시장1"/>
      <sheetName val="보종별,계정별_사업비1"/>
      <sheetName val="1_외주공사1"/>
      <sheetName val="2_직영공사1"/>
      <sheetName val="붙임2-1__지급조서명세서(2001년분)1"/>
      <sheetName val="해외_기술훈련비_(합계)1"/>
      <sheetName val="성화"/>
      <sheetName val="spc 배관견적"/>
      <sheetName val="조명율표"/>
      <sheetName val="후강전선관"/>
      <sheetName val="유가증권_분석2"/>
      <sheetName val="그래프,_시장2"/>
      <sheetName val="보종별,계정별_사업비2"/>
      <sheetName val="1_외주공사2"/>
      <sheetName val="2_직영공사2"/>
      <sheetName val="붙임2-1__지급조서명세서(2001년분)2"/>
      <sheetName val="해외_기술훈련비_(합계)2"/>
      <sheetName val="spc_배관견적"/>
      <sheetName val="정의"/>
      <sheetName val="118.세금과공과"/>
      <sheetName val="제품단가.."/>
      <sheetName val="정율표"/>
      <sheetName val="경영지표"/>
      <sheetName val="9월제조원가"/>
      <sheetName val="충전"/>
      <sheetName val="영업.일1"/>
      <sheetName val="감가상각비대체내역"/>
      <sheetName val="영업_일1"/>
      <sheetName val="완성차 미수금"/>
      <sheetName val="건물"/>
      <sheetName val="월별선적현황"/>
      <sheetName val="제품별DATA"/>
      <sheetName val="제조담배분석"/>
      <sheetName val="기타자료"/>
      <sheetName val="1월"/>
      <sheetName val="제안서"/>
      <sheetName val="행정표준(1)"/>
      <sheetName val="행정표준(2)"/>
      <sheetName val="소기"/>
      <sheetName val="부서코드표"/>
      <sheetName val="첨부1"/>
      <sheetName val="기준CODE TABLE_양식"/>
      <sheetName val="기본"/>
      <sheetName val="기준표1"/>
      <sheetName val="원가"/>
      <sheetName val="보정사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5월전산시산표L4"/>
      <sheetName val="Data"/>
      <sheetName val="3월"/>
      <sheetName val="06"/>
      <sheetName val="sap`04.7.14"/>
      <sheetName val="기타계열"/>
      <sheetName val="CC_Mfg"/>
      <sheetName val="Sheet1"/>
      <sheetName val="Cover"/>
      <sheetName val="고정자산원본"/>
      <sheetName val="총원명부"/>
      <sheetName val="9703"/>
      <sheetName val="00.08계정"/>
      <sheetName val="20040630USDKRWPositionReport"/>
      <sheetName val="200301(9)"/>
      <sheetName val="200206(2)"/>
      <sheetName val="200211(7)"/>
      <sheetName val="to Carlyle 0825"/>
      <sheetName val="실적"/>
      <sheetName val="신구계정대사표"/>
      <sheetName val="DBS"/>
      <sheetName val="보정전"/>
      <sheetName val="당행Data"/>
      <sheetName val="Parm"/>
      <sheetName val="평점별 등급별 연대현황"/>
      <sheetName val="From.DW"/>
      <sheetName val="Basic_Inform"/>
      <sheetName val="97년추정손익계산서"/>
      <sheetName val="midas"/>
      <sheetName val="기간별잔액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WP_Hist ABC"/>
      <sheetName val="차주일반정보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  <sheetName val="COMBINED"/>
      <sheetName val="VALST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1_시나리오"/>
      <sheetName val="주요재무비율"/>
      <sheetName val="연체대출"/>
      <sheetName val="Report"/>
      <sheetName val="PL_별도"/>
      <sheetName val="기타손익관련_기초데이터"/>
      <sheetName val="이차관련_기초데이터"/>
      <sheetName val="재보_기타_월별"/>
      <sheetName val="116.세금과공과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1.2 (1)"/>
      <sheetName val="생산량"/>
      <sheetName val="시산표"/>
      <sheetName val="별첨 코드"/>
      <sheetName val="임차보증금현황04_6_302"/>
      <sheetName val="INTERCO_LOAN1"/>
      <sheetName val="sap`04_7_141"/>
      <sheetName val="39_세전이익현황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5월"/>
      <sheetName val="1-2. 예산부서"/>
      <sheetName val="(시트3) 금융회사코드 등"/>
      <sheetName val="일류화 추진 과제"/>
      <sheetName val="24년 1월 일정계획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(시트3)_금융회사코드_등"/>
      <sheetName val="1-2__예산부서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추가자료3_1"/>
      <sheetName val="Policy Reserve_GA"/>
      <sheetName val="VUL_Current"/>
      <sheetName val="Fees Table 1205"/>
      <sheetName val="Cum Variance"/>
      <sheetName val="Capital"/>
      <sheetName val="구분자목록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00'미수"/>
      <sheetName val="CN001_시계열"/>
      <sheetName val="보험료예실차"/>
      <sheetName val="수행현황"/>
      <sheetName val="대정예"/>
      <sheetName val="(감사인) RA Shock_2025_손해율"/>
      <sheetName val="(감사인) RA_Shcok_2025_해지율"/>
      <sheetName val="(감사인) RA_Shock_2025_사업비율"/>
      <sheetName val="ASB"/>
      <sheetName val="별첨4"/>
      <sheetName val="임차보증금현황04_6_305"/>
      <sheetName val="INTERCO_LOAN4"/>
      <sheetName val="sap`04_7_144"/>
      <sheetName val="US_Codes4"/>
      <sheetName val="39_세전이익현황4"/>
      <sheetName val="18_조달운용(말잔)4"/>
      <sheetName val="전체(2012_012)4"/>
      <sheetName val="전체(2012_09)4"/>
      <sheetName val="리드코프_1월4"/>
      <sheetName val="2_2__항목_설명3"/>
      <sheetName val="2_2__항목설명23"/>
      <sheetName val="부채결산_Back_data3"/>
      <sheetName val="2_2__항목설명3"/>
      <sheetName val="116_세금과공과2"/>
      <sheetName val="(붙임1)_대상조합내역2"/>
      <sheetName val="(붙임2)_조합_점검자_정보2"/>
      <sheetName val="(붙임3)_조합_자체_점검결과2"/>
      <sheetName val="(붙임4)_대출참여_금융회사_명세2"/>
      <sheetName val="(시트3)_금융회사코드_등2"/>
      <sheetName val="1_2_(1)2"/>
      <sheetName val="별첨_코드2"/>
      <sheetName val="1-2__예산부서2"/>
      <sheetName val="일류화_추진_과제1"/>
      <sheetName val="24년_1월_일정계획1"/>
      <sheetName val="1_외주공사1"/>
      <sheetName val="2_직영공사1"/>
      <sheetName val="1_할인율1"/>
      <sheetName val="2_외부지표금리1"/>
      <sheetName val="3_펀드별자산비중1"/>
      <sheetName val="매도가능_기타"/>
      <sheetName val="당월_전월_증감비교(변경기준)"/>
      <sheetName val="양식1_해약률_15-(3)"/>
      <sheetName val="아파트_기성내역서"/>
      <sheetName val="Policy_Reserve_GA"/>
      <sheetName val="Fees_Table_1205"/>
      <sheetName val="Cum_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체율 (2)"/>
      <sheetName val="실행월별연체(건수)"/>
      <sheetName val="실행월연체data"/>
      <sheetName val="경과기간별 연체"/>
      <sheetName val="경과기간별 연체(비율만)"/>
      <sheetName val="연체율(구)"/>
      <sheetName val="접수구분별 연체율추이"/>
      <sheetName val="10K4"/>
      <sheetName val="IS"/>
      <sheetName val="forecasted_BS"/>
      <sheetName val="forecasted_IS"/>
      <sheetName val="7"/>
      <sheetName val="Assumption"/>
      <sheetName val=" 견적서"/>
      <sheetName val="0814_5만이하"/>
      <sheetName val="backdata"/>
      <sheetName val="당좌차월"/>
      <sheetName val="Links"/>
      <sheetName val="Lead"/>
      <sheetName val="#REF"/>
      <sheetName val="NORMAL"/>
      <sheetName val="폐토수익화 "/>
      <sheetName val="본부장님보고서에서 남은시트"/>
      <sheetName val="sap`04.7.14"/>
      <sheetName val="TaxCalc"/>
      <sheetName val="출장소"/>
      <sheetName val="지점"/>
      <sheetName val="Ⅱ1-0타"/>
      <sheetName val="총량"/>
      <sheetName val="정의"/>
      <sheetName val="연체대출"/>
      <sheetName val="COMBINED"/>
      <sheetName val="VALSTAT"/>
      <sheetName val="손익합산"/>
      <sheetName val="97년추정손익계산서"/>
      <sheetName val="code"/>
      <sheetName val="합병BS"/>
      <sheetName val="COMPS"/>
      <sheetName val="Sheet3"/>
      <sheetName val="Table"/>
      <sheetName val=""/>
      <sheetName val="연체율_(2)"/>
      <sheetName val="경과기간별_연체"/>
      <sheetName val="경과기간별_연체(비율만)"/>
      <sheetName val="접수구분별_연체율추이"/>
      <sheetName val="_견적서"/>
      <sheetName val="폐토수익화_"/>
      <sheetName val="본부장님보고서에서_남은시트"/>
      <sheetName val="sap`04_7_14"/>
      <sheetName val="Receive Data"/>
      <sheetName val="PVFP&amp;OG"/>
      <sheetName val="00.08계정"/>
      <sheetName val="2담당0113"/>
      <sheetName val="1담당0113"/>
      <sheetName val="분당임차변경"/>
      <sheetName val="신전산소항목시산표(5월)"/>
      <sheetName val="임차보증금현황04.6.30"/>
      <sheetName val="유통망계획"/>
      <sheetName val="연체율_(2)1"/>
      <sheetName val="경과기간별_연체1"/>
      <sheetName val="경과기간별_연체(비율만)1"/>
      <sheetName val="접수구분별_연체율추이1"/>
      <sheetName val="sap`04_7_141"/>
      <sheetName val="_견적서1"/>
      <sheetName val="본부장님보고서에서_남은시트1"/>
      <sheetName val="폐토수익화_1"/>
      <sheetName val="00_08계정"/>
      <sheetName val="Receive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I028-지급여력비율"/>
      <sheetName val="AI198-장기손해보험중 해지환급금 초과적립금액"/>
      <sheetName val="AI030-신종자본증권 및 후순위채무액 등 명세"/>
      <sheetName val="AI184-지분법적용투자주식 명세"/>
      <sheetName val="AI250-총괄RBC비율"/>
      <sheetName val="AI251-기준금액"/>
      <sheetName val="AI252-보험(장기)"/>
      <sheetName val="(신설)AI270-보험(장기_위험보험료)"/>
      <sheetName val="(신설)AI271-보험(장기_발생손해액)"/>
      <sheetName val="(신설)AI272-보험(장기_손해율)"/>
      <sheetName val="AI253-보험(장기_재보)"/>
      <sheetName val="AI258-금리"/>
      <sheetName val="(신설)AI273-보험부채익스포져"/>
      <sheetName val="(신설)AI274-보험료적립금"/>
      <sheetName val="(신설)AI275-미경과보험료적립금"/>
      <sheetName val="(신설)AI276-해약공제액"/>
      <sheetName val="(신설)AI277-약관대출잔액"/>
      <sheetName val="AI259-신용(총괄)"/>
      <sheetName val="AI260-신용(유가증권)"/>
      <sheetName val="AI261-신용(대출채권)"/>
      <sheetName val="AI262-신용(기타)"/>
      <sheetName val="AI263-시장"/>
      <sheetName val="AI264-시장(외환)"/>
      <sheetName val="1-5 별지제26호_손보 2.재무현황_다.자본적정성"/>
      <sheetName val="Sheet3"/>
      <sheetName val="AI198-장기손해보험중_해지환급금_초과적립금액"/>
      <sheetName val="AI030-신종자본증권_및_후순위채무액_등_명세"/>
      <sheetName val="AI184-지분법적용투자주식_명세"/>
      <sheetName val="1-5_별지제26호_손보_2_재무현황_다_자본적정성"/>
      <sheetName val="201803예정"/>
      <sheetName val="AI198-장기손해보험중_해지환급금_초과적립금액1"/>
      <sheetName val="AI030-신종자본증권_및_후순위채무액_등_명세1"/>
      <sheetName val="AI184-지분법적용투자주식_명세1"/>
      <sheetName val="1-5_별지제26호_손보_2_재무현황_다_자본적정성1"/>
      <sheetName val="AI198-장기손해보험중_해지환급금_초과적립금액2"/>
      <sheetName val="AI030-신종자본증권_및_후순위채무액_등_명세2"/>
      <sheetName val="AI184-지분법적용투자주식_명세2"/>
      <sheetName val="1-5_별지제26호_손보_2_재무현황_다_자본적정성2"/>
      <sheetName val="나라장터 드롭박스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(업종별)"/>
      <sheetName val="합병분개 Adj"/>
      <sheetName val="대지급금(외화)"/>
      <sheetName val="보험금"/>
      <sheetName val="업종별 여신금액"/>
      <sheetName val="Sheet1"/>
      <sheetName val="Per"/>
      <sheetName val="대환취급"/>
      <sheetName val="97년추정손익계산서"/>
      <sheetName val="Sheet1 (2)"/>
      <sheetName val="10월 급여"/>
      <sheetName val="종합일지"/>
      <sheetName val="갑지"/>
      <sheetName val="실행"/>
      <sheetName val="WACC"/>
      <sheetName val="Parameters"/>
      <sheetName val="Input_ACCT"/>
      <sheetName val="Input_HLTH"/>
      <sheetName val="Input_LTLH"/>
      <sheetName val="Input_LTLL"/>
      <sheetName val="Input_ROFF"/>
      <sheetName val="Input_STSV"/>
      <sheetName val="Input_VAR"/>
      <sheetName val=" 3_업무규제준수현황(160720_개정)_개정후(법제처 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테이블"/>
      <sheetName val="부원달성"/>
      <sheetName val="피벗"/>
      <sheetName val="세금"/>
      <sheetName val="7"/>
      <sheetName val="속보앞경.실"/>
      <sheetName val="주력3건이이상자현황"/>
      <sheetName val="점포별계획본부"/>
      <sheetName val="대출유지.2"/>
      <sheetName val="원본 (2)"/>
      <sheetName val="사원-업무분장"/>
      <sheetName val="basic_info"/>
      <sheetName val="코드정의"/>
      <sheetName val="속보앞경_실"/>
      <sheetName val="대출유지_2"/>
      <sheetName val="원본_(2)"/>
      <sheetName val="李룀메"/>
      <sheetName val="골프3-12 (2)"/>
      <sheetName val="현재적용이율"/>
      <sheetName val="속보앞경_실1"/>
      <sheetName val="대출유지_21"/>
      <sheetName val="원본_(2)1"/>
      <sheetName val="골프3-12_(2)"/>
      <sheetName val="속보앞경_실2"/>
      <sheetName val="대출유지_22"/>
      <sheetName val="원본_(2)2"/>
      <sheetName val="골프3-12_(2)1"/>
      <sheetName val="속보앞경_실3"/>
      <sheetName val="대출유지_23"/>
      <sheetName val="원본_(2)3"/>
      <sheetName val="골프3-12_(2)2"/>
      <sheetName val="성적표96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자금손익총괄"/>
      <sheetName val="forecasted_BS"/>
      <sheetName val="forecasted_IS"/>
      <sheetName val="대환취급"/>
      <sheetName val="機器明細(MC)"/>
      <sheetName val="플래티늄미디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적용환율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재고자산"/>
      <sheetName val="대환취급"/>
      <sheetName val="Sheet"/>
      <sheetName val="PL"/>
      <sheetName val="신탁계정-상각보정명세"/>
      <sheetName val="1995년 섹터별 매출"/>
      <sheetName val="합병분개 Adj"/>
      <sheetName val="1998 P &amp; L"/>
      <sheetName val="97년추정손익계산서"/>
      <sheetName val="Data"/>
      <sheetName val="보고"/>
      <sheetName val="결손금"/>
      <sheetName val="Balance sheet"/>
      <sheetName val="f_BS"/>
      <sheetName val="f_IS"/>
      <sheetName val="RATE"/>
      <sheetName val="ST_INVEST"/>
      <sheetName val="Bank charge"/>
      <sheetName val="정산표"/>
      <sheetName val="손익1월"/>
      <sheetName val="X-3 ENG"/>
      <sheetName val="Sheet3"/>
      <sheetName val="Basic_Inform"/>
      <sheetName val="공문(본지점간)"/>
      <sheetName val="외화자금현황"/>
      <sheetName val="99선급비용"/>
      <sheetName val="공통"/>
      <sheetName val="9-1차이내역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계정code"/>
      <sheetName val="Publishing Plan(Edit)"/>
      <sheetName val="3620SE"/>
      <sheetName val="2담당0113"/>
      <sheetName val="1담당0113"/>
      <sheetName val="권리분석"/>
      <sheetName val="별제권_정리담보권"/>
      <sheetName val="Asset9809CAK"/>
      <sheetName val="LU"/>
      <sheetName val="종합일지"/>
      <sheetName val="보험금"/>
      <sheetName val="조건"/>
      <sheetName val="총수신_속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서울(안)"/>
      <sheetName val="10K4"/>
      <sheetName val="Assumption"/>
      <sheetName val="Ⅱ1-0타"/>
      <sheetName val="?????????(5?)"/>
      <sheetName val="Assumptions"/>
      <sheetName val="2.대외공문"/>
      <sheetName val="BSHO Report"/>
      <sheetName val="Front"/>
      <sheetName val="Check Sheet"/>
      <sheetName val="PLHO Report"/>
      <sheetName val="PLHOENG"/>
      <sheetName val="Asset adj"/>
      <sheetName val="수율생산"/>
      <sheetName val="수보제한 (2)"/>
      <sheetName val="Reinsurance_월보"/>
      <sheetName val="4. Data 요약"/>
      <sheetName val="전행순위"/>
      <sheetName val="2002PL"/>
      <sheetName val="Table"/>
      <sheetName val="Projections 2"/>
      <sheetName val="SMSTemp"/>
      <sheetName val="8월"/>
      <sheetName val="7월"/>
      <sheetName val="6월"/>
      <sheetName val="9월"/>
      <sheetName val="초회"/>
      <sheetName val="상반기손익차2총괄"/>
      <sheetName val="NORMAL"/>
      <sheetName val="점별(추정)"/>
      <sheetName val="제조경비"/>
      <sheetName val="GOE Budget"/>
      <sheetName val="Sheet1"/>
      <sheetName val="세부PL"/>
      <sheetName val="시산표"/>
      <sheetName val="CapMult"/>
      <sheetName val="Industry Indices"/>
      <sheetName val="보고서"/>
      <sheetName val="Links"/>
      <sheetName val="폐토수익화 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LIST"/>
      <sheetName val="IMPORT"/>
      <sheetName val="importhead"/>
      <sheetName val="TEMPLATE"/>
      <sheetName val="Settings"/>
      <sheetName val="손익계산서"/>
      <sheetName val="대차대조표"/>
      <sheetName val="Comments"/>
      <sheetName val="BA (2)"/>
      <sheetName val="CP (2)"/>
      <sheetName val="전사 (2)"/>
      <sheetName val="Index"/>
      <sheetName val="9-1차이내역.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IFRS 9规定"/>
      <sheetName val="계획"/>
      <sheetName val="F라인"/>
      <sheetName val="수정시산표"/>
      <sheetName val="제조원가명세서"/>
      <sheetName val="이자율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Usd"/>
      <sheetName val="BOJUNGGM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rance17 IS (1)"/>
      <sheetName val="Insurance17 IS (2)"/>
      <sheetName val="지주_PAGE4"/>
      <sheetName val="지주_PAGE5"/>
      <sheetName val="지주_PAGE6"/>
      <sheetName val="지주_PAGE7"/>
      <sheetName val="화재_PAGE8"/>
      <sheetName val="CSM"/>
      <sheetName val="화재_PAGE9"/>
      <sheetName val="화재_PAGE10"/>
      <sheetName val="화재_PAGE11"/>
      <sheetName val="화재 (4)"/>
      <sheetName val="주요지표"/>
      <sheetName val="PT DATA_1Q23_v1"/>
    </sheetNames>
    <definedNames>
      <definedName name="bb" refersTo="#REF!"/>
      <definedName name="cc" refersTo="#REF!"/>
      <definedName name="dftr" refersTo="#REF!"/>
      <definedName name="dret" refersTo="#REF!"/>
      <definedName name="eee" refersTo="#REF!"/>
      <definedName name="gfds" refersTo="#REF!"/>
      <definedName name="hhhh" refersTo="#REF!"/>
      <definedName name="Module1.초기화2" refersTo="#REF!"/>
      <definedName name="nhy" refersTo="#REF!"/>
      <definedName name="nnnn" refersTo="#REF!"/>
      <definedName name="oit" refersTo="#REF!"/>
      <definedName name="okk" refersTo="#REF!"/>
      <definedName name="ssss" refersTo="#REF!"/>
      <definedName name="tytu" refersTo="#REF!"/>
      <definedName name="wadasd" refersTo="#REF!"/>
      <definedName name="ygbi" refersTo="#REF!"/>
      <definedName name="생산성수정본" refersTo="#REF!"/>
      <definedName name="생산성수정본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layDialog"/>
      <sheetName val="PrintDialog"/>
      <sheetName val="Storage"/>
      <sheetName val="MacroEcon"/>
      <sheetName val="AssetQ"/>
      <sheetName val="R-V of Ass."/>
      <sheetName val="R-V of Liab."/>
      <sheetName val="Non-int. inc."/>
      <sheetName val="Oper. Exp"/>
      <sheetName val="Inc. Stat"/>
      <sheetName val="BS assumption"/>
      <sheetName val="NTA adjustment calc"/>
      <sheetName val="Reg.Cap."/>
      <sheetName val="B-S"/>
      <sheetName val="Ratios"/>
      <sheetName val="Valuation"/>
      <sheetName val="AccreDil"/>
      <sheetName val="YHCODE"/>
      <sheetName val="외화금융(97-03)"/>
      <sheetName val="회사제시"/>
      <sheetName val="소형B"/>
      <sheetName val="WBS98"/>
      <sheetName val="FPBankDDM_v15c"/>
      <sheetName val="108.수선비"/>
      <sheetName val="CompanyInput"/>
      <sheetName val=""/>
      <sheetName val="R-V_of_Ass_"/>
      <sheetName val="R-V_of_Liab_"/>
      <sheetName val="Non-int__inc_"/>
      <sheetName val="Oper__Exp"/>
      <sheetName val="Inc__Stat"/>
      <sheetName val="BS_assumption"/>
      <sheetName val="NTA_adjustment_calc"/>
      <sheetName val="Reg_Cap_"/>
      <sheetName val="108_수선비"/>
      <sheetName val="수금 "/>
      <sheetName val="12월정산수금현황"/>
      <sheetName val="Price List"/>
      <sheetName val="Scrap"/>
      <sheetName val="RE9604"/>
      <sheetName val="인력현황2000"/>
      <sheetName val="R-V_of_Ass_1"/>
      <sheetName val="R-V_of_Liab_1"/>
      <sheetName val="Non-int__inc_1"/>
      <sheetName val="Oper__Exp1"/>
      <sheetName val="Inc__Stat1"/>
      <sheetName val="BS_assumption1"/>
      <sheetName val="NTA_adjustment_calc1"/>
      <sheetName val="Reg_Cap_1"/>
      <sheetName val="108_수선비1"/>
      <sheetName val="수금_"/>
      <sheetName val="Price_List"/>
      <sheetName val="R-V_of_Ass_2"/>
      <sheetName val="R-V_of_Liab_2"/>
      <sheetName val="Non-int__inc_2"/>
      <sheetName val="Oper__Exp2"/>
      <sheetName val="Inc__Stat2"/>
      <sheetName val="BS_assumption2"/>
      <sheetName val="NTA_adjustment_calc2"/>
      <sheetName val="Reg_Cap_2"/>
      <sheetName val="108_수선비2"/>
      <sheetName val="수금_1"/>
      <sheetName val="Price_List1"/>
      <sheetName val="계산내역서"/>
      <sheetName val="급여대장(관리)"/>
      <sheetName val="거래처코드"/>
      <sheetName val="Sheet2"/>
      <sheetName val="Template"/>
      <sheetName val="송전기본"/>
      <sheetName val="대차대조표-공시형"/>
      <sheetName val="PRT_BS"/>
      <sheetName val="PRT_PL"/>
      <sheetName val="Bond_bdb"/>
      <sheetName val="완성차 미수금"/>
      <sheetName val=" new Codes used"/>
      <sheetName val="대차대조"/>
      <sheetName val="BS"/>
      <sheetName val="A1"/>
      <sheetName val="완성차_미수금"/>
      <sheetName val="_new_Codes_used"/>
      <sheetName val="손익계산서"/>
      <sheetName val="이익잉여금처분계산서"/>
      <sheetName val="용역원가명세서"/>
      <sheetName val="현금흐름표"/>
      <sheetName val="자산가치"/>
      <sheetName val="engline"/>
      <sheetName val="2.대외공문"/>
      <sheetName val="계실5-1"/>
      <sheetName val="Cement IS"/>
      <sheetName val="분기별손익(백만원)"/>
      <sheetName val="제품분류코드"/>
      <sheetName val="SEV"/>
      <sheetName val="시산표"/>
      <sheetName val="공정가치"/>
      <sheetName val="업무담당"/>
      <sheetName val="CaratPrévisions "/>
      <sheetName val="CaratRM99Division "/>
      <sheetName val="CaratRMDivision"/>
      <sheetName val="CaratRSBDivision"/>
    </sheetNames>
    <sheetDataSet>
      <sheetData sheetId="0"/>
      <sheetData sheetId="1"/>
      <sheetData sheetId="2" refreshError="1">
        <row r="8">
          <cell r="D8">
            <v>2</v>
          </cell>
        </row>
        <row r="17">
          <cell r="D17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신계정과목체계개정20001104"/>
      <sheetName val="SUB MAIN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화"/>
      <sheetName val="보고"/>
      <sheetName val="현재적용이율"/>
      <sheetName val="Storage"/>
      <sheetName val="NTA adjustment calc"/>
      <sheetName val="손익계산서"/>
      <sheetName val="이익잉여금처분계산서"/>
      <sheetName val="용역원가명세서"/>
      <sheetName val="현금흐름표"/>
      <sheetName val="__"/>
      <sheetName val="인력현황2000"/>
      <sheetName val="SALE&amp;COST"/>
      <sheetName val="BS Prior"/>
      <sheetName val="Threshold Table"/>
      <sheetName val="제조부문배부"/>
      <sheetName val="program"/>
      <sheetName val="comparables"/>
      <sheetName val="Deduction"/>
      <sheetName val="conclusion"/>
      <sheetName val="FRC"/>
      <sheetName val="BA"/>
      <sheetName val="매출원가"/>
      <sheetName val="#REF"/>
      <sheetName val="Sheet3"/>
      <sheetName val="기초데이타"/>
      <sheetName val="표지"/>
      <sheetName val="목차"/>
      <sheetName val="분석의 목적"/>
      <sheetName val="요건검토"/>
      <sheetName val="본질가치"/>
      <sheetName val="자산가치"/>
      <sheetName val="수익가치"/>
      <sheetName val="요약BS"/>
      <sheetName val="BS추정근거"/>
      <sheetName val="요약PL"/>
      <sheetName val="업계현황01"/>
      <sheetName val="업계현황02"/>
      <sheetName val="업계현황03"/>
      <sheetName val="회사현황01"/>
      <sheetName val="회사현황02"/>
      <sheetName val="매출집계표"/>
      <sheetName val="내수집계"/>
      <sheetName val="수출집계"/>
      <sheetName val="추정개요"/>
      <sheetName val="수량추정"/>
      <sheetName val="가격추정"/>
      <sheetName val="Sheet4"/>
      <sheetName val="매출원가추정"/>
      <sheetName val="제조원가추정"/>
      <sheetName val="원재료비 추정"/>
      <sheetName val="제조경비추정"/>
      <sheetName val="환산매출(판관집계앞)"/>
      <sheetName val="판관집계표"/>
      <sheetName val="판관추정명세"/>
      <sheetName val="인건비"/>
      <sheetName val="급여추정명세표(회사측안)"/>
      <sheetName val="퇴직급여"/>
      <sheetName val="감가상각명세"/>
      <sheetName val="자산상각"/>
      <sheetName val="영업외수지집계"/>
      <sheetName val="영업외수지 명세"/>
      <sheetName val="수입이자추정"/>
      <sheetName val="지급이자추정"/>
      <sheetName val="외환손익"/>
      <sheetName val="사업성비교"/>
      <sheetName val="상대가치"/>
      <sheetName val="유사회사선정"/>
      <sheetName val="순자산비교"/>
      <sheetName val="유사회사주가"/>
      <sheetName val="Sheet1"/>
      <sheetName val="리스료추정"/>
      <sheetName val="국내생산량"/>
      <sheetName val="회사현황04"/>
      <sheetName val="국내전망"/>
      <sheetName val="수출추정"/>
      <sheetName val="Excess Calc"/>
      <sheetName val="6410 사채 LS"/>
      <sheetName val="매출"/>
      <sheetName val="적용환율"/>
      <sheetName val="1_當期시산표"/>
      <sheetName val="WTB_IFRS_20101231"/>
      <sheetName val="WTB_IFRS_20100331"/>
      <sheetName val="NTA_adjustment_calc"/>
      <sheetName val="BS_Prior"/>
      <sheetName val="Threshold_Table"/>
      <sheetName val="분석의_목적"/>
      <sheetName val="원재료비_추정"/>
      <sheetName val="영업외수지_명세"/>
      <sheetName val="Excess_Calc"/>
      <sheetName val="6410_사채_LS"/>
      <sheetName val="Basic"/>
      <sheetName val="Controls"/>
      <sheetName val="INFO"/>
      <sheetName val="월별제조비용"/>
      <sheetName val="118.세금과공과"/>
      <sheetName val="NTA_adjustment_calc1"/>
      <sheetName val="BS_Prior1"/>
      <sheetName val="Threshold_Table1"/>
      <sheetName val="분석의_목적1"/>
      <sheetName val="원재료비_추정1"/>
      <sheetName val="영업외수지_명세1"/>
      <sheetName val="Excess_Calc1"/>
      <sheetName val="6410_사채_LS1"/>
      <sheetName val="118_세금과공과"/>
      <sheetName val="NTA_adjustment_calc2"/>
      <sheetName val="BS_Prior2"/>
      <sheetName val="Threshold_Table2"/>
      <sheetName val="분석의_목적2"/>
      <sheetName val="원재료비_추정2"/>
      <sheetName val="영업외수지_명세2"/>
      <sheetName val="Excess_Calc2"/>
      <sheetName val="6410_사채_LS2"/>
      <sheetName val="118_세금과공과1"/>
      <sheetName val="PBS"/>
      <sheetName val="간접비내역-1"/>
      <sheetName val="정의"/>
      <sheetName val="VXXXXXX"/>
      <sheetName val="평가결과_등급"/>
      <sheetName val="후강전선관"/>
      <sheetName val="일위대가"/>
      <sheetName val="spc 배관견적"/>
      <sheetName val="조명율표"/>
      <sheetName val="전전"/>
      <sheetName val="AKL"/>
      <sheetName val="Price List"/>
      <sheetName val="1-1-1-2"/>
      <sheetName val="5사남"/>
      <sheetName val="매출원가 LEAD"/>
      <sheetName val="02년상반"/>
      <sheetName val="원가계산의 문제점"/>
      <sheetName val="2001상반"/>
      <sheetName val="매출채권"/>
      <sheetName val="재고자산"/>
      <sheetName val="매입채무 LEAD"/>
      <sheetName val="법인세비용"/>
      <sheetName val="Tickmarks"/>
      <sheetName val="XREF"/>
      <sheetName val="무형"/>
      <sheetName val="Price_List"/>
      <sheetName val="경제성분석"/>
      <sheetName val="T6-6(2)"/>
      <sheetName val="월미수수익집계표"/>
      <sheetName val="WBS98"/>
      <sheetName val="공문"/>
      <sheetName val="KPI sheet"/>
      <sheetName val="BAL.(TTL)"/>
      <sheetName val="Index"/>
      <sheetName val="Mstr COA"/>
      <sheetName val="대차대조표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Assumptions"/>
      <sheetName val="COMPS"/>
      <sheetName val="97년추정손익계산서"/>
      <sheetName val="대환취급"/>
      <sheetName val="00.08계정"/>
      <sheetName val="BS Prior"/>
      <sheetName val="Threshold Table"/>
      <sheetName val="Center"/>
      <sheetName val="Company"/>
      <sheetName val="Account"/>
      <sheetName val="Tables"/>
      <sheetName val="xlSVH_T"/>
      <sheetName val="적용환율"/>
      <sheetName val="Data"/>
      <sheetName val="Start"/>
      <sheetName val="xlSVH_A"/>
      <sheetName val="1999-"/>
      <sheetName val="code"/>
      <sheetName val="WBS"/>
      <sheetName val="종합일지"/>
      <sheetName val="소매_신용"/>
      <sheetName val="특정상품(비소매)"/>
      <sheetName val="비소매신용"/>
      <sheetName val="US Codes"/>
      <sheetName val="Sheet2"/>
      <sheetName val="Sheet1"/>
      <sheetName val="원시"/>
      <sheetName val="Variables"/>
      <sheetName val="신전산소항목시산표(5월)"/>
      <sheetName val="sap`04.7.14"/>
      <sheetName val="control sheet"/>
      <sheetName val="Parms"/>
      <sheetName val="MIS cost unit code"/>
      <sheetName val="7월등급별"/>
      <sheetName val="WACC"/>
      <sheetName val="손익1월"/>
      <sheetName val="임차보증금현황04.6.30"/>
      <sheetName val="0-Basics"/>
      <sheetName val="Assumption"/>
      <sheetName val="3월"/>
      <sheetName val="Comments"/>
      <sheetName val="FY0201"/>
      <sheetName val="확인서"/>
      <sheetName val="완성차 미수금"/>
      <sheetName val="카드분사(론분개)"/>
      <sheetName val="코드"/>
      <sheetName val="DB"/>
      <sheetName val="보험금"/>
      <sheetName val="조건"/>
      <sheetName val="대미환산"/>
      <sheetName val="Menu"/>
      <sheetName val="TEXT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대차총괄"/>
      <sheetName val="LU"/>
      <sheetName val="합병분개 Adj"/>
      <sheetName val="Corrected Misstatements"/>
      <sheetName val="MetaData"/>
      <sheetName val="원화평가-2001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Input Screen"/>
      <sheetName val="Control"/>
      <sheetName val="Borrower"/>
      <sheetName val="Master (2)"/>
      <sheetName val="YHCODE"/>
      <sheetName val="GCMD"/>
      <sheetName val="Master Sheet"/>
      <sheetName val="C_Sum(2)"/>
      <sheetName val="P1 Br Overall KPI"/>
      <sheetName val="Kong"/>
      <sheetName val="SUB MAIN"/>
      <sheetName val="compare2"/>
      <sheetName val="DW SEC"/>
      <sheetName val="LG SEC"/>
      <sheetName val="Income_adj by 지은 "/>
      <sheetName val="Basic_Information"/>
      <sheetName val="#REF"/>
      <sheetName val="IncStmt"/>
      <sheetName val="유효성검사"/>
      <sheetName val="CBeng(HP11)"/>
      <sheetName val="countries"/>
      <sheetName val="other"/>
      <sheetName val="결정단가"/>
      <sheetName val="CF"/>
      <sheetName val="IS"/>
      <sheetName val="Table"/>
      <sheetName val="카드채권(대출포함)"/>
      <sheetName val="Oct"/>
      <sheetName val="Operations"/>
      <sheetName val="LIST"/>
      <sheetName val="SALE&amp;COST"/>
      <sheetName val="ref"/>
      <sheetName val="ABS benefit chk"/>
      <sheetName val="defaults"/>
      <sheetName val="Scenario"/>
      <sheetName val="claim"/>
      <sheetName val="expenses"/>
      <sheetName val="Pricing"/>
      <sheetName val="admin"/>
      <sheetName val="Ass"/>
      <sheetName val="Sheet3"/>
      <sheetName val="Basic_Inform"/>
      <sheetName val="해외출자현황(원본틀)"/>
      <sheetName val="ProfitLoss"/>
      <sheetName val="Database"/>
      <sheetName val="Inputs"/>
      <sheetName val="Model"/>
      <sheetName val="control_sheet"/>
      <sheetName val="완성차_미수금"/>
      <sheetName val="sap`04_7_14"/>
      <sheetName val="자산번호"/>
      <sheetName val="1월"/>
      <sheetName val="자금매트릭스"/>
      <sheetName val="일별예수금기일도래표"/>
      <sheetName val="FRC"/>
      <sheetName val="수입기본부"/>
      <sheetName val="1_當期시산표"/>
      <sheetName val="tmpexcel (2)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Index"/>
      <sheetName val="기준환율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Leasing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양행"/>
      <sheetName val="4b Consolidated PL"/>
      <sheetName val="Sch7a (토요일)"/>
      <sheetName val="PRT_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Assumptions"/>
      <sheetName val="Accts"/>
      <sheetName val="Menu data"/>
      <sheetName val="Main"/>
      <sheetName val="Sheet2"/>
      <sheetName val="FY0201"/>
      <sheetName val="손익계산서"/>
      <sheetName val="대차대조표"/>
      <sheetName val="controll"/>
      <sheetName val="#REF"/>
      <sheetName val="분석적검토(대차)"/>
      <sheetName val="5300"/>
      <sheetName val="연장집계 (2)"/>
      <sheetName val="00.08계정"/>
      <sheetName val="krsec08"/>
      <sheetName val="종합일지"/>
      <sheetName val="97년추정손익계산서"/>
      <sheetName val="T6-6(2)"/>
      <sheetName val="COMPS"/>
      <sheetName val="1.총괄표"/>
      <sheetName val="기타계열"/>
      <sheetName val="적용환율"/>
      <sheetName val="1995년 섹터별 매출"/>
      <sheetName val="Controlsheet"/>
      <sheetName val="Comments"/>
      <sheetName val="Sheet1 (2)"/>
      <sheetName val="대차대조표-공시형"/>
      <sheetName val="25"/>
      <sheetName val="완성차 미수금"/>
      <sheetName val="code"/>
      <sheetName val="수율생산"/>
      <sheetName val="Calcs for Sensitivy"/>
      <sheetName val="DCF Inputs"/>
      <sheetName val="차입금"/>
      <sheetName val="기초자료"/>
      <sheetName val="임차보증금현황04.6.30"/>
      <sheetName val="고정자산원본"/>
      <sheetName val="양식"/>
      <sheetName val="백암비스타내역"/>
      <sheetName val="건물"/>
      <sheetName val="SALE&amp;COST"/>
      <sheetName val="Table"/>
      <sheetName val="IMCI-Assumptions (Mgt.)"/>
      <sheetName val="Variables"/>
      <sheetName val="2420,2421직전단계2"/>
      <sheetName val="main_map"/>
      <sheetName val="환율"/>
      <sheetName val="BS"/>
      <sheetName val="명원분석"/>
      <sheetName val="tax1"/>
      <sheetName val="1_當期시산표"/>
      <sheetName val="결손금"/>
      <sheetName val="0-Basics"/>
      <sheetName val="AKL"/>
      <sheetName val="신전산소항목시산표(5월)"/>
      <sheetName val="A000070(4)"/>
      <sheetName val="개별자료"/>
      <sheetName val="기본정보"/>
      <sheetName val="1"/>
      <sheetName val="소매_신용"/>
      <sheetName val="특정상품(비소매)"/>
      <sheetName val="비소매신용"/>
      <sheetName val="대차총괄"/>
      <sheetName val="BA"/>
      <sheetName val="WBS"/>
      <sheetName val="WACC"/>
      <sheetName val="대환취급"/>
      <sheetName val="보험금"/>
      <sheetName val="01_tool"/>
      <sheetName val="AP"/>
      <sheetName val="MKI TB"/>
      <sheetName val="노무비"/>
      <sheetName val="Sheet1"/>
      <sheetName val="3월"/>
      <sheetName val="가정"/>
      <sheetName val="RE"/>
      <sheetName val="I"/>
      <sheetName val="급여지급"/>
      <sheetName val="환율021231"/>
      <sheetName val="기본데이터"/>
      <sheetName val="10.1.청산가치"/>
      <sheetName val="FRC"/>
      <sheetName val="Master Sheet"/>
      <sheetName val="C_Sum(2)"/>
      <sheetName val="P1 Br Overall KPI"/>
      <sheetName val="Model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DW SEC"/>
      <sheetName val="LG SEC"/>
      <sheetName val="別紙２"/>
      <sheetName val="외화월급"/>
      <sheetName val="Ⅱ1-0타"/>
      <sheetName val="Cover"/>
      <sheetName val="YHCODE"/>
      <sheetName val="Borrower"/>
      <sheetName val="5월전산시산표L4"/>
      <sheetName val="Code Design"/>
      <sheetName val="확인서"/>
      <sheetName val="control sheet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RATE"/>
      <sheetName val="comparables"/>
      <sheetName val="Deduction"/>
      <sheetName val="other"/>
      <sheetName val="conclusion"/>
      <sheetName val="결정단가"/>
      <sheetName val="Setup"/>
      <sheetName val="TABLES"/>
      <sheetName val="Consolidated"/>
      <sheetName val="historical"/>
      <sheetName val="Scenario"/>
      <sheetName val="대미환산"/>
      <sheetName val="BS Prior"/>
      <sheetName val="Threshold Table"/>
      <sheetName val="성화"/>
      <sheetName val="CHECKSHEET"/>
      <sheetName val="f_BS"/>
      <sheetName val="LIST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해외출자현황(원본틀)"/>
      <sheetName val="products"/>
      <sheetName val="output"/>
      <sheetName val="input"/>
      <sheetName val="대차대조"/>
      <sheetName val="f_IS"/>
      <sheetName val="합병분개 Adj"/>
      <sheetName val="기감액자산"/>
      <sheetName val="설비-자산"/>
      <sheetName val="불용자산list"/>
      <sheetName val="CC"/>
      <sheetName val="DH BS 03"/>
      <sheetName val="history"/>
      <sheetName val="표준CoA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첨부1"/>
      <sheetName val="판매46"/>
      <sheetName val="한계원가"/>
      <sheetName val="9-1차이내역"/>
      <sheetName val="INIT"/>
      <sheetName val="외화금융(97-03)"/>
      <sheetName val="PL"/>
      <sheetName val="TEMP1"/>
      <sheetName val="TEMP2"/>
      <sheetName val="기대회수율산정"/>
      <sheetName val="기대회수Schedule"/>
      <sheetName val="Control"/>
      <sheetName val="2.대외공문"/>
      <sheetName val="program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2-2.매출분석"/>
      <sheetName val="@공통코드"/>
      <sheetName val="환산매출"/>
      <sheetName val="2.주요계수총괄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송전기본"/>
      <sheetName val="OtherKPI"/>
      <sheetName val="매  출"/>
      <sheetName val="노동부"/>
      <sheetName val="Basic_Information"/>
      <sheetName val="F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4 노임단가"/>
      <sheetName val="3.일위대가"/>
      <sheetName val="도급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PL"/>
      <sheetName val="분류표지"/>
      <sheetName val="요약BS"/>
      <sheetName val="BS추정근거"/>
      <sheetName val="부재료입고집계"/>
      <sheetName val="표지"/>
      <sheetName val="목차"/>
      <sheetName val="분석의 목적"/>
      <sheetName val="요건검토"/>
      <sheetName val="본질가치"/>
      <sheetName val="자산가치"/>
      <sheetName val="수익가치"/>
      <sheetName val="업계현황01"/>
      <sheetName val="업계현황02"/>
      <sheetName val="업계현황03"/>
      <sheetName val="회사현황01"/>
      <sheetName val="회사현황02"/>
      <sheetName val="매출집계표"/>
      <sheetName val="내수집계"/>
      <sheetName val="수출집계"/>
      <sheetName val="추정개요"/>
      <sheetName val="수량추정"/>
      <sheetName val="가격추정"/>
      <sheetName val="Sheet4"/>
      <sheetName val="매출원가추정"/>
      <sheetName val="제조원가추정"/>
      <sheetName val="원재료비 추정"/>
      <sheetName val="제조경비추정"/>
      <sheetName val="환산매출(판관집계앞)"/>
      <sheetName val="판관집계표"/>
      <sheetName val="판관추정명세"/>
      <sheetName val="인건비"/>
      <sheetName val="급여추정명세표(회사측안)"/>
      <sheetName val="퇴직급여"/>
      <sheetName val="감가상각명세"/>
      <sheetName val="자산상각"/>
      <sheetName val="영업외수지집계"/>
      <sheetName val="영업외수지 명세"/>
      <sheetName val="수입이자추정"/>
      <sheetName val="지급이자추정"/>
      <sheetName val="외환손익"/>
      <sheetName val="사업성비교"/>
      <sheetName val="상대가치"/>
      <sheetName val="유사회사선정"/>
      <sheetName val="순자산비교"/>
      <sheetName val="유사회사주가"/>
      <sheetName val="Sheet1"/>
      <sheetName val="리스료추정"/>
      <sheetName val="국내생산량"/>
      <sheetName val="회사현황04"/>
      <sheetName val="국내전망"/>
      <sheetName val="수출추정"/>
      <sheetName val="__PL"/>
      <sheetName val="COMBINED"/>
      <sheetName val="VALSTAT"/>
      <sheetName val="A401 WBS"/>
      <sheetName val="월결산자료(재무)"/>
      <sheetName val="VER1-update"/>
      <sheetName val="BS(Data)"/>
      <sheetName val="BS Mapping"/>
      <sheetName val="2 카드채권(대출포함)"/>
      <sheetName val="성화"/>
      <sheetName val="공용정보"/>
      <sheetName val="#REF"/>
      <sheetName val="수입"/>
      <sheetName val="118.세금과공과"/>
      <sheetName val="108.수선비"/>
      <sheetName val="요약재무"/>
      <sheetName val="만기"/>
      <sheetName val="대차대조표"/>
      <sheetName val="#1 Basic"/>
      <sheetName val="시산표"/>
      <sheetName val="7 (2)"/>
      <sheetName val="f_BS"/>
      <sheetName val="H200"/>
      <sheetName val="분석의_목적"/>
      <sheetName val="원재료비_추정"/>
      <sheetName val="영업외수지_명세"/>
      <sheetName val="A401_WBS"/>
      <sheetName val="BS_Mapping"/>
      <sheetName val="2_카드채권(대출포함)"/>
      <sheetName val="118_세금과공과"/>
      <sheetName val="108_수선비"/>
      <sheetName val="#1_Basic"/>
      <sheetName val="7_(2)"/>
      <sheetName val="손익"/>
      <sheetName val="연돌일위집계"/>
      <sheetName val="d^^b"/>
      <sheetName val="合成単価作成表-BLDG"/>
      <sheetName val="96갑지"/>
      <sheetName val="Cust"/>
      <sheetName val="건물"/>
      <sheetName val="분석의_목적1"/>
      <sheetName val="원재료비_추정1"/>
      <sheetName val="영업외수지_명세1"/>
      <sheetName val="A401_WBS1"/>
      <sheetName val="BS_Mapping1"/>
      <sheetName val="2_카드채권(대출포함)1"/>
      <sheetName val="118_세금과공과1"/>
      <sheetName val="108_수선비1"/>
      <sheetName val="#1_Basic1"/>
      <sheetName val="7_(2)1"/>
      <sheetName val="급여인상효과-연간부담분"/>
      <sheetName val="정산표"/>
      <sheetName val="분석의_목적2"/>
      <sheetName val="원재료비_추정2"/>
      <sheetName val="영업외수지_명세2"/>
      <sheetName val="A401_WBS2"/>
      <sheetName val="BS_Mapping2"/>
      <sheetName val="2_카드채권(대출포함)2"/>
      <sheetName val="118_세금과공과2"/>
      <sheetName val="108_수선비2"/>
      <sheetName val="#1_Basic2"/>
      <sheetName val="7_(2)2"/>
      <sheetName val="10한빛"/>
      <sheetName val="B"/>
      <sheetName val="경영현황"/>
      <sheetName val="해외생산"/>
      <sheetName val="미수"/>
      <sheetName val="SALE&amp;COST"/>
      <sheetName val="국내"/>
      <sheetName val="00'미수"/>
      <sheetName val="외화"/>
      <sheetName val="월별판매계획(대구)"/>
      <sheetName val="BASIC"/>
      <sheetName val="코드"/>
      <sheetName val="총자본금기준"/>
      <sheetName val="2"/>
      <sheetName val="DB"/>
      <sheetName val="고정1"/>
      <sheetName val="조선소시수"/>
      <sheetName val="I"/>
      <sheetName val="00생산실적"/>
      <sheetName val="요인별시수추이"/>
      <sheetName val="기준코드"/>
      <sheetName val="효율계획(당월)"/>
      <sheetName val="전체실적"/>
      <sheetName val="분석의_목적4"/>
      <sheetName val="원재료비_추정4"/>
      <sheetName val="영업외수지_명세4"/>
      <sheetName val="분석의_목적3"/>
      <sheetName val="원재료비_추정3"/>
      <sheetName val="영업외수지_명세3"/>
      <sheetName val="수익성 분석"/>
      <sheetName val="월별제조비용"/>
      <sheetName val="pay7"/>
      <sheetName val="Gen Assumptions"/>
      <sheetName val="Monthly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폐토수익화 "/>
      <sheetName val="보고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대차분석"/>
      <sheetName val="손익분석"/>
      <sheetName val="#REF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1995년 섹터별 매출"/>
      <sheetName val="대출금"/>
      <sheetName val="백암비스타내역"/>
      <sheetName val="확인서"/>
      <sheetName val="Assumption"/>
      <sheetName val="단기차입금"/>
      <sheetName val="Sheet3"/>
      <sheetName val="Sheet1 (3)"/>
      <sheetName val="건물"/>
      <sheetName val="Inputs"/>
      <sheetName val="StandAlne"/>
      <sheetName val="97년추정손익계산서"/>
      <sheetName val="COMPS"/>
      <sheetName val="손익1월"/>
      <sheetName val="월 Capa"/>
      <sheetName val="경수97.02"/>
      <sheetName val="Balance Sheet"/>
      <sheetName val="Income Statement"/>
      <sheetName val="A"/>
      <sheetName val="00.08계정"/>
      <sheetName val="수정시산표"/>
      <sheetName val="39기"/>
      <sheetName val="공통비"/>
      <sheetName val="Variables"/>
      <sheetName val="pre-anal손익계산서"/>
      <sheetName val="pre-anal대차대조표"/>
      <sheetName val="원자재수불(최종)"/>
      <sheetName val="Cover"/>
      <sheetName val="Cust"/>
      <sheetName val="Excess Calc"/>
      <sheetName val="적용환율"/>
      <sheetName val="0-Basics"/>
      <sheetName val="분석mast"/>
      <sheetName val="수익증권명세서(매도가능)"/>
      <sheetName val="신전산소항목시산표(5월)"/>
      <sheetName val="10월 급여"/>
      <sheetName val="종합일지"/>
      <sheetName val="소매_신용"/>
      <sheetName val="특정상품(비소매)"/>
      <sheetName val="비소매신용"/>
      <sheetName val="직공비"/>
      <sheetName val="관세구분시트"/>
      <sheetName val="대환취급"/>
      <sheetName val="krsec08"/>
      <sheetName val="Sheet2"/>
      <sheetName val="노무비"/>
      <sheetName val="1.외주공사"/>
      <sheetName val="2.직영공사"/>
      <sheetName val="Condition"/>
      <sheetName val="Code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sap`04.7.14"/>
      <sheetName val="AKL"/>
      <sheetName val="FTE"/>
      <sheetName val="대차대조표-공시형"/>
      <sheetName val="C-Lead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index"/>
      <sheetName val="July."/>
      <sheetName val="System"/>
      <sheetName val="Tables"/>
      <sheetName val="Sheet1 (2)"/>
      <sheetName val="전신전화가입권"/>
      <sheetName val="Assumptions"/>
      <sheetName val="F12"/>
      <sheetName val="F3"/>
      <sheetName val="C100 LEAD"/>
      <sheetName val="YTD"/>
      <sheetName val="Bu03"/>
      <sheetName val="보험금"/>
      <sheetName val="Customer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분당임차변경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1-1"/>
      <sheetName val="종목코드"/>
      <sheetName val="감가상각비"/>
      <sheetName val="수입2"/>
      <sheetName val="A1"/>
      <sheetName val="PO4 - Staff Exp"/>
      <sheetName val="source"/>
      <sheetName val="유화"/>
      <sheetName val="합병분개 Adj"/>
      <sheetName val="FS"/>
      <sheetName val="PPC기"/>
      <sheetName val="소기"/>
      <sheetName val="대기"/>
      <sheetName val="합기"/>
      <sheetName val="메뉴얼1(기본정보)"/>
      <sheetName val="Sensitivity"/>
      <sheetName val="서식시트"/>
      <sheetName val="Lists"/>
      <sheetName val="Payout-HurdleNotReached"/>
      <sheetName val="Incentive_Paid_Out"/>
      <sheetName val="Pay Out Tables"/>
      <sheetName val="Sales_Rep_Details"/>
      <sheetName val="Actual_Sales_Results"/>
      <sheetName val="0.1 KEY ASSUMPTIONS"/>
      <sheetName val="0.2 SCENARIO"/>
      <sheetName val="0. CONTROL"/>
      <sheetName val="무형"/>
      <sheetName val="내역"/>
      <sheetName val="고정자산원본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반기_유가증권"/>
      <sheetName val="96실용"/>
      <sheetName val="입찰"/>
      <sheetName val="총상담"/>
      <sheetName val="현경"/>
      <sheetName val="기타현황"/>
      <sheetName val="TEMP1"/>
      <sheetName val="TEMP2"/>
      <sheetName val="영업CF적용방안선택"/>
      <sheetName val="수입"/>
      <sheetName val="제품마스타"/>
      <sheetName val="3110-2"/>
      <sheetName val="Controls"/>
      <sheetName val="Approval status(QTAK)"/>
      <sheetName val="Extra strand"/>
      <sheetName val="보고서"/>
      <sheetName val="단가조정"/>
      <sheetName val="본문1"/>
      <sheetName val="계획"/>
      <sheetName val="TNC"/>
      <sheetName val="1. PS_bond"/>
      <sheetName val="급여지급"/>
      <sheetName val="2003손익"/>
      <sheetName val="CLM-MP"/>
      <sheetName val="SALTAB97"/>
      <sheetName val="감가상각"/>
      <sheetName val="InformationPartag?"/>
      <sheetName val="Stock d'id?s"/>
      <sheetName val="Donn?s Flux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NO.2-1"/>
      <sheetName val="Sheet01S"/>
      <sheetName val=""/>
      <sheetName val="Chart"/>
      <sheetName val="조직도_99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control sheet"/>
      <sheetName val="CRU"/>
      <sheetName val="PRO"/>
      <sheetName val="Ky"/>
      <sheetName val="J00"/>
      <sheetName val="경제성분석"/>
      <sheetName val="JAN94RIG"/>
      <sheetName val="당기TB"/>
      <sheetName val="완성차 미수금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계산 DATA 입력"/>
      <sheetName val="상세 계산 내역"/>
      <sheetName val="계산정보"/>
      <sheetName val="Notes "/>
      <sheetName val="9609Aß"/>
      <sheetName val="cus"/>
      <sheetName val="성화"/>
      <sheetName val="addl cost"/>
      <sheetName val="accumdeprn"/>
      <sheetName val="업무분장 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잉여금,_현금흐름"/>
      <sheetName val="주요경영지표계산_(2)"/>
      <sheetName val="대차대조표_(2)"/>
      <sheetName val="손익계산서_(2)"/>
      <sheetName val="Significant Processes"/>
      <sheetName val="00_08계정"/>
      <sheetName val="매출분석적 검토"/>
      <sheetName val="기본정보"/>
      <sheetName val="Valuation(new)"/>
      <sheetName val="실사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  <sheetName val="Supplyၒ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>
        <row r="2">
          <cell r="E2">
            <v>0.2</v>
          </cell>
        </row>
      </sheetData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인력현황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계정"/>
      <sheetName val="손익03.06 "/>
      <sheetName val="수입이자"/>
      <sheetName val="할부이자"/>
      <sheetName val="팩이자"/>
      <sheetName val="일이자"/>
      <sheetName val="ESCO이자"/>
      <sheetName val="예이자"/>
      <sheetName val="유가이자"/>
      <sheetName val="리스수익"/>
      <sheetName val="금융이자"/>
      <sheetName val="선급리스"/>
      <sheetName val="운용수입"/>
      <sheetName val="금융채권처분익"/>
      <sheetName val="신기술"/>
      <sheetName val="투자주식처분익"/>
      <sheetName val="배당금수익"/>
      <sheetName val="수입수수료"/>
      <sheetName val="할부수수료"/>
      <sheetName val="일반수수료"/>
      <sheetName val="기타수수료"/>
      <sheetName val="기타영업수익"/>
      <sheetName val="유가처분익"/>
      <sheetName val="유가처분익내역"/>
      <sheetName val="이자비용"/>
      <sheetName val="사채이자"/>
      <sheetName val="사채이자명세"/>
      <sheetName val="일반제출"/>
      <sheetName val="수수료"/>
      <sheetName val="유가처분손내역"/>
      <sheetName val="감액손실"/>
      <sheetName val="기타영비"/>
      <sheetName val="영업외수입이자"/>
      <sheetName val="고정처분익"/>
      <sheetName val="잡수익"/>
      <sheetName val="잡손실"/>
      <sheetName val="인력현황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인건비"/>
      <sheetName val="합병분개 Adj"/>
      <sheetName val="손익계산서"/>
      <sheetName val="대차대조표"/>
      <sheetName val="Links"/>
      <sheetName val="Lead"/>
      <sheetName val="US Codes"/>
      <sheetName val="sap`04.7.14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2담당0113"/>
      <sheetName val="1담당0113"/>
      <sheetName val="WBS"/>
      <sheetName val="보정전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div"/>
      <sheetName val="전체자료(기말시점)"/>
      <sheetName val="선수(보조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97yr-end-usgaap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표지"/>
      <sheetName val="Sheet1"/>
      <sheetName val="Sheet2"/>
      <sheetName val="총괄표"/>
      <sheetName val="지역본부"/>
      <sheetName val="1-3,4총괄"/>
      <sheetName val="1-5총괄"/>
      <sheetName val="1-6,7총괄"/>
      <sheetName val="2.상품(CY누계)"/>
      <sheetName val="2.상품(직전1년)"/>
      <sheetName val="3-1지점1월"/>
      <sheetName val="3-1지점누계"/>
      <sheetName val="4-1물건1년"/>
      <sheetName val="4-2물건누계"/>
      <sheetName val="5.운전자총괄"/>
      <sheetName val="5-1.위험보험료"/>
      <sheetName val="5-2.발생손해액"/>
      <sheetName val="설명"/>
      <sheetName val="7"/>
      <sheetName val="COMP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업제경비"/>
      <sheetName val="전표1"/>
      <sheetName val="전표2(solcost)"/>
      <sheetName val="세부작업SOL.COST"/>
      <sheetName val="MAPING"/>
      <sheetName val="TMRSalary"/>
      <sheetName val="#REF"/>
      <sheetName val="7"/>
      <sheetName val="Sheet1"/>
      <sheetName val="PAIR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ggle"/>
      <sheetName val="Range"/>
      <sheetName val="BS"/>
      <sheetName val="IS"/>
      <sheetName val="IS assumptions"/>
      <sheetName val="BS assumptions"/>
      <sheetName val="RegCap"/>
      <sheetName val="AssetQuality"/>
      <sheetName val="Ratios"/>
      <sheetName val="Valuation"/>
      <sheetName val="Sensitivities"/>
      <sheetName val="Assumptions"/>
      <sheetName val="Synergies"/>
      <sheetName val="Synergies Workings"/>
      <sheetName val="Seoulbank Income Statements"/>
      <sheetName val="Seoulbank Balance Sheets"/>
      <sheetName val="Estimates and Assumptions"/>
      <sheetName val="TransStructure"/>
      <sheetName val="NOL_schedule_SeoulBank"/>
      <sheetName val="Contribution"/>
      <sheetName val="CompanyInput"/>
      <sheetName val="Capital"/>
      <sheetName val="Capital revised"/>
      <sheetName val="EPS breakeven mix"/>
      <sheetName val="ValueMath"/>
      <sheetName val="Loans_deposits"/>
      <sheetName val="Ownership"/>
      <sheetName val="Sheet1"/>
      <sheetName val="NewValumath"/>
      <sheetName val="ExRatio"/>
      <sheetName val="Korean Market"/>
      <sheetName val="NewCoDialog"/>
      <sheetName val="PrintDialog"/>
      <sheetName val="인력현황2000"/>
      <sheetName val="Start"/>
      <sheetName val="MAPING"/>
      <sheetName val="성화"/>
      <sheetName val="사업계획서 (2)"/>
      <sheetName val="Sheet3"/>
      <sheetName val="유통망계획"/>
      <sheetName val="Account_Code"/>
      <sheetName val="연결Mapping"/>
      <sheetName val="IS_assumptions"/>
      <sheetName val="BS_assumptions"/>
      <sheetName val="Synergies_Workings"/>
      <sheetName val="Seoulbank_Income_Statements"/>
      <sheetName val="Seoulbank_Balance_Sheets"/>
      <sheetName val="Estimates_and_Assumptions"/>
      <sheetName val="Capital_revised"/>
      <sheetName val="EPS_breakeven_mix"/>
      <sheetName val="Korean_Market"/>
      <sheetName val="사업계획서_(2)"/>
      <sheetName val="Storage"/>
      <sheetName val="NTA adjustment calc"/>
      <sheetName val="전체실적"/>
      <sheetName val="항목"/>
      <sheetName val="Accretion dilution analysis 020"/>
      <sheetName val="Id"/>
      <sheetName val="Intro2"/>
      <sheetName val="손익계산서"/>
      <sheetName val="이익잉여금처분계산서"/>
      <sheetName val="용역원가명세서"/>
      <sheetName val="현금흐름표"/>
      <sheetName val="KA011205"/>
      <sheetName val="Price List"/>
      <sheetName val="IGACP"/>
      <sheetName val="INVACCR"/>
      <sheetName val="고정자산원본"/>
      <sheetName val="AP"/>
      <sheetName val="profit&amp;loss"/>
      <sheetName val="EA-00101"/>
      <sheetName val="TCA"/>
      <sheetName val="IS_assumptions1"/>
      <sheetName val="BS_assumptions1"/>
      <sheetName val="Synergies_Workings1"/>
      <sheetName val="Seoulbank_Income_Statements1"/>
      <sheetName val="Seoulbank_Balance_Sheets1"/>
      <sheetName val="Estimates_and_Assumptions1"/>
      <sheetName val="Capital_revised1"/>
      <sheetName val="EPS_breakeven_mix1"/>
      <sheetName val="Korean_Market1"/>
      <sheetName val="사업계획서_(2)1"/>
      <sheetName val="NTA_adjustment_calc"/>
      <sheetName val="Accretion_dilution_analysis_020"/>
      <sheetName val="Price_List"/>
      <sheetName val="IS_assumptions2"/>
      <sheetName val="BS_assumptions2"/>
      <sheetName val="Synergies_Workings2"/>
      <sheetName val="Seoulbank_Income_Statements2"/>
      <sheetName val="Seoulbank_Balance_Sheets2"/>
      <sheetName val="Estimates_and_Assumptions2"/>
      <sheetName val="Capital_revised2"/>
      <sheetName val="EPS_breakeven_mix2"/>
      <sheetName val="Korean_Market2"/>
      <sheetName val="사업계획서_(2)2"/>
      <sheetName val="NTA_adjustment_calc1"/>
      <sheetName val="Accretion_dilution_analysis_021"/>
      <sheetName val="Price_List1"/>
      <sheetName val="자본금99(수)"/>
      <sheetName val="매출원가_회사제시"/>
      <sheetName val="CP"/>
      <sheetName val="PV"/>
      <sheetName val="argl(1)"/>
      <sheetName val="Closing Payment Adjust"/>
      <sheetName val="조건"/>
      <sheetName val="배부표"/>
      <sheetName val="MM"/>
      <sheetName val="통계자료"/>
      <sheetName val="계정"/>
      <sheetName val="거래처"/>
      <sheetName val="Int-Invst"/>
      <sheetName val="Disclosure"/>
      <sheetName val="Select"/>
      <sheetName val="예적금"/>
      <sheetName val="IN"/>
      <sheetName val="제품(수출)매출"/>
      <sheetName val="상품보조수불"/>
      <sheetName val="제조원가계산서 (2)"/>
      <sheetName val="제품입고(생산)"/>
      <sheetName val="Combined Portfolio"/>
      <sheetName val="93상각비"/>
      <sheetName val="ML"/>
      <sheetName val="8월현금흐름표"/>
      <sheetName val="손익분석"/>
      <sheetName val="Index"/>
      <sheetName val="AP HK"/>
      <sheetName val="IS_assumptions4"/>
      <sheetName val="BS_assumptions4"/>
      <sheetName val="Synergies_Workings4"/>
      <sheetName val="Seoulbank_Income_Statements4"/>
      <sheetName val="Seoulbank_Balance_Sheets4"/>
      <sheetName val="Estimates_and_Assumptions4"/>
      <sheetName val="Capital_revised4"/>
      <sheetName val="EPS_breakeven_mix4"/>
      <sheetName val="Korean_Market4"/>
      <sheetName val="IS_assumptions3"/>
      <sheetName val="BS_assumptions3"/>
      <sheetName val="Synergies_Workings3"/>
      <sheetName val="Seoulbank_Income_Statements3"/>
      <sheetName val="Seoulbank_Balance_Sheets3"/>
      <sheetName val="Estimates_and_Assumptions3"/>
      <sheetName val="Capital_revised3"/>
      <sheetName val="EPS_breakeven_mix3"/>
      <sheetName val="Korean_Market3"/>
      <sheetName val="미지급이자(분쟁대상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BS98"/>
      <sheetName val="목록"/>
      <sheetName val="MOTOR"/>
      <sheetName val="BAU-ITEMLIST"/>
      <sheetName val="Sheet1"/>
      <sheetName val="제조98"/>
      <sheetName val="controll"/>
      <sheetName val="선적일정"/>
      <sheetName val="#REF"/>
      <sheetName val="3620SE"/>
      <sheetName val="품-(주)코①"/>
      <sheetName val="제품수불"/>
      <sheetName val="MAIN"/>
      <sheetName val="CompanyInput"/>
      <sheetName val="forecasted_BS"/>
      <sheetName val="forecasted_IS"/>
      <sheetName val="인력현황2000"/>
      <sheetName val=" 견적서"/>
      <sheetName val="A"/>
      <sheetName val="9월15원본"/>
      <sheetName val="Köpfe"/>
      <sheetName val="Links"/>
      <sheetName val="Lead"/>
      <sheetName val="Int-Invst"/>
      <sheetName val="Disclosure"/>
      <sheetName val="Select"/>
      <sheetName val="급여등록"/>
      <sheetName val="급여명세서"/>
      <sheetName val="년"/>
      <sheetName val="환율"/>
      <sheetName val="항목"/>
      <sheetName val="예산M12A"/>
      <sheetName val="차수"/>
      <sheetName val="표지"/>
      <sheetName val="공무부"/>
      <sheetName val="W-DT "/>
      <sheetName val="Price List"/>
      <sheetName val="지점분석00"/>
      <sheetName val="공조생기"/>
      <sheetName val="Pricing 3 year"/>
      <sheetName val="견적집계표"/>
      <sheetName val="Macro2"/>
      <sheetName val="기계장치"/>
      <sheetName val="Start"/>
      <sheetName val="자본금99(수)"/>
      <sheetName val="유통망계획"/>
      <sheetName val="DT"/>
      <sheetName val="최종"/>
      <sheetName val="전체실적"/>
      <sheetName val="시산"/>
      <sheetName val="물량산출근거"/>
      <sheetName val="매출"/>
      <sheetName val="년차계산분"/>
      <sheetName val="BUBIDBOR"/>
      <sheetName val="부품별TOT"/>
      <sheetName val="정규직"/>
      <sheetName val="MUL96"/>
      <sheetName val="재료비"/>
      <sheetName val="정부노임단가"/>
      <sheetName val="Macro1"/>
      <sheetName val="6월수불"/>
      <sheetName val="광주"/>
      <sheetName val="PSA T7"/>
      <sheetName val="Controls"/>
      <sheetName val="LIST"/>
      <sheetName val="배부표"/>
      <sheetName val="PILOT품"/>
      <sheetName val="M96현황-동아"/>
      <sheetName val="금형품의서"/>
      <sheetName val="TV법인별"/>
      <sheetName val="숨김"/>
      <sheetName val="CODE3"/>
      <sheetName val="MM"/>
      <sheetName val="SETUP Energy consumption"/>
      <sheetName val="인건비"/>
      <sheetName val="MCC제원"/>
      <sheetName val="DATA"/>
      <sheetName val="0102"/>
      <sheetName val="산정표"/>
      <sheetName val="DOM TDD12"/>
      <sheetName val="수출"/>
      <sheetName val="하이마트 주소록"/>
      <sheetName val="감가상각"/>
      <sheetName val="기타"/>
      <sheetName val="대행업체현황"/>
      <sheetName val="전자SM담당명부"/>
      <sheetName val="생산"/>
      <sheetName val="VLOOK"/>
      <sheetName val="입고(VCR)"/>
      <sheetName val="환률"/>
      <sheetName val="부대"/>
      <sheetName val="Holidays"/>
      <sheetName val="JAPAN"/>
      <sheetName val="Æo°¡±aAØ"/>
      <sheetName val="현금"/>
      <sheetName val="미지급이자(분쟁대상)"/>
      <sheetName val="Margins"/>
      <sheetName val="AP HK"/>
      <sheetName val="IN"/>
      <sheetName val="제품(수출)매출"/>
      <sheetName val="상품보조수불"/>
      <sheetName val="제조원가계산서 (2)"/>
      <sheetName val="제품입고(생산)"/>
      <sheetName val="Id"/>
      <sheetName val="Intro2"/>
      <sheetName val="Combined Portfolio"/>
      <sheetName val="93상각비"/>
      <sheetName val="ML"/>
      <sheetName val="예적금"/>
      <sheetName val="매입Data"/>
      <sheetName val="매출Data"/>
      <sheetName val="jan"/>
      <sheetName val="argl(1)"/>
      <sheetName val="KA6"/>
      <sheetName val="주택대출일보"/>
      <sheetName val="주택대출요약"/>
      <sheetName val="6월인원"/>
      <sheetName val="5월"/>
      <sheetName val="DEHACO"/>
      <sheetName val="사업부계"/>
      <sheetName val="DEHAMEX"/>
      <sheetName val="압축기"/>
      <sheetName val="냉장고계"/>
      <sheetName val="118.세금과공과"/>
      <sheetName val="현장"/>
      <sheetName val="학교기부"/>
      <sheetName val="01공사별계획"/>
      <sheetName val="JI"/>
      <sheetName val="상선가"/>
      <sheetName val="선가"/>
      <sheetName val="주요재무비율"/>
      <sheetName val="직 간접재료비1"/>
      <sheetName val="차입현황 (보관용)0201"/>
      <sheetName val="R2_0908"/>
      <sheetName val="직종인원"/>
      <sheetName val="SUD"/>
      <sheetName val="재공품"/>
      <sheetName val="01 IstGuV"/>
      <sheetName val="관리대장(2001장비)"/>
      <sheetName val="Condition"/>
      <sheetName val="Ⅱ1-0타"/>
      <sheetName val="기초자료"/>
      <sheetName val="수입"/>
      <sheetName val="차액보증"/>
      <sheetName val="OD5000"/>
      <sheetName val="BAL(이력관리)"/>
      <sheetName val="무형자산명세"/>
      <sheetName val="분류"/>
      <sheetName val="판관비분류"/>
      <sheetName val="선박_판관비"/>
      <sheetName val="세목별"/>
      <sheetName val="중연"/>
      <sheetName val="MRS세부"/>
      <sheetName val="New Valuation"/>
      <sheetName val="수주계획"/>
      <sheetName val="BS(Don't Prt)"/>
      <sheetName val="LeadSchedule"/>
      <sheetName val="현금및예치금집계표"/>
      <sheetName val="Assumptions"/>
      <sheetName val="조건"/>
      <sheetName val="BS"/>
      <sheetName val="Net PL"/>
      <sheetName val="수기평가자료"/>
      <sheetName val="KHEATEX"/>
      <sheetName val="사월"/>
      <sheetName val="삼월"/>
      <sheetName val="오월"/>
      <sheetName val="이월"/>
      <sheetName val="일월"/>
      <sheetName val="total(F)"/>
      <sheetName val="Marshal"/>
      <sheetName val="8.12"/>
      <sheetName val="원본"/>
      <sheetName val="DS-최종"/>
      <sheetName val="94-96"/>
      <sheetName val="Revenue Model Feed"/>
      <sheetName val="BS07.05"/>
      <sheetName val="BS07.04"/>
      <sheetName val="%관리보수계산내역"/>
      <sheetName val="96수출"/>
      <sheetName val="과목별 집계표"/>
      <sheetName val="2월"/>
      <sheetName val="ASIAPAC_POS_template"/>
      <sheetName val="1.팀장성과평가표-영업직군"/>
      <sheetName val="Summary"/>
      <sheetName val="고정자산원본"/>
      <sheetName val="성화"/>
      <sheetName val="완성차 미수금"/>
      <sheetName val="Storage"/>
      <sheetName val="NTA adjustment calc"/>
      <sheetName val="대차대조"/>
      <sheetName val="품종코드"/>
      <sheetName val="A(1)"/>
      <sheetName val="01_tool"/>
      <sheetName val="Tbom-tot"/>
      <sheetName val="종합"/>
      <sheetName val="Closing Payment Adjust"/>
      <sheetName val="당기TB"/>
      <sheetName val="분기별데이타"/>
      <sheetName val="월별데이타"/>
      <sheetName val="RES"/>
      <sheetName val="Z41,Z42 이외total"/>
      <sheetName val="차체"/>
      <sheetName val="CAUDIT"/>
      <sheetName val="2-2.매출분석"/>
      <sheetName val="JUYO"/>
      <sheetName val="급여내역서"/>
      <sheetName val="산출데이타"/>
      <sheetName val="검색"/>
      <sheetName val="7.5 재질별 수율"/>
      <sheetName val="Sheet5"/>
      <sheetName val="Sheet6 (3)"/>
      <sheetName val="PSA_T7"/>
      <sheetName val="SETUP_Energy_consumption"/>
      <sheetName val="DOM_TDD12"/>
      <sheetName val="_견적서"/>
      <sheetName val="W-DT_"/>
      <sheetName val="하이마트_주소록"/>
      <sheetName val="Price_List"/>
      <sheetName val="Pricing_3_year"/>
      <sheetName val="직_간접재료비1"/>
      <sheetName val="차입현황_(보관용)0201"/>
      <sheetName val="New_Valuation"/>
      <sheetName val="213"/>
      <sheetName val="1.2 PV(BEV)"/>
      <sheetName val="1.1 PV(DCF)"/>
      <sheetName val="0.Assumption"/>
      <sheetName val="118_세금과공과"/>
      <sheetName val="AP_HK"/>
      <sheetName val="BS(Don't_Prt)"/>
      <sheetName val="01_IstGuV"/>
      <sheetName val="Net_PL"/>
      <sheetName val="제조원가계산서_(2)"/>
      <sheetName val="Combined_Portfolio"/>
      <sheetName val="지출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-표지"/>
      <sheetName val="보-차례"/>
      <sheetName val="보-개요"/>
      <sheetName val="보-경영분석비율"/>
      <sheetName val="보-재무제표"/>
      <sheetName val="보-유가평가(수익)"/>
      <sheetName val="보-유가평가(자산)"/>
      <sheetName val="WB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 견적서"/>
      <sheetName val="소매_신용"/>
      <sheetName val="특정상품(비소매)"/>
      <sheetName val="비소매신용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10K4"/>
      <sheetName val="보정전"/>
      <sheetName val="forecasted_BS"/>
      <sheetName val="forecasted_IS"/>
      <sheetName val="summary"/>
      <sheetName val="4b Consolidated PL"/>
      <sheetName val="M.H"/>
      <sheetName val="Sch Index"/>
      <sheetName val="법정관리MART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WACC"/>
      <sheetName val="0096판보"/>
      <sheetName val="table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Sheet3"/>
      <sheetName val="YHCODE"/>
      <sheetName val="LIST"/>
      <sheetName val="6월가격"/>
      <sheetName val="Usd"/>
      <sheetName val="COMBINED"/>
      <sheetName val="VALSTAT"/>
      <sheetName val="전행순위"/>
      <sheetName val="sap`04.7.14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TaxCalc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LBL Chart"/>
      <sheetName val="LTL_Chart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  <sheetName val="JULY"/>
      <sheetName val="수정시산표"/>
      <sheetName val="销售费用凭证检查"/>
      <sheetName val="Settlement-0117"/>
      <sheetName val="WIP STATUS"/>
      <sheetName val="TargetReports"/>
      <sheetName val="Internals"/>
      <sheetName val="KIINAS"/>
      <sheetName val="#REF!"/>
      <sheetName val="Total C3C1R"/>
      <sheetName val="Rank Sorting Result"/>
      <sheetName val="YIELD"/>
      <sheetName val="Sheet4"/>
      <sheetName val="Repayment_Summary1"/>
      <sheetName val="Validation_source1"/>
      <sheetName val="NOTE_29"/>
      <sheetName val="HURST_PL"/>
      <sheetName val="CESET_PL"/>
      <sheetName val="EAM_PL"/>
      <sheetName val="EAME_PL"/>
      <sheetName val="FSD_PL"/>
      <sheetName val="HAC_PL"/>
      <sheetName val="IMD_PL"/>
      <sheetName val="PLANT_PL"/>
      <sheetName val="PLASET_PL"/>
      <sheetName val="03_06_费用明细"/>
      <sheetName val="production_cost"/>
      <sheetName val="WIP_STATUS"/>
      <sheetName val="Total_C3C1R"/>
      <sheetName val="Rank_Sorting_Result"/>
      <sheetName val="TP RNG Trend"/>
      <sheetName val="1. Trend"/>
      <sheetName val="Matrix, Flow"/>
      <sheetName val="Report"/>
      <sheetName val="Data Validation"/>
      <sheetName val="Cut Limit Resistance"/>
      <sheetName val="AP10 03-03-20"/>
      <sheetName val="AP10 05-01-20"/>
      <sheetName val="AP10 06-03-20"/>
      <sheetName val="Chuck assemble SP"/>
      <sheetName val="Inspection"/>
      <sheetName val="RAW 2020"/>
      <sheetName val="RPN Stdr"/>
      <sheetName val="Trend (2)"/>
      <sheetName val="Raw"/>
      <sheetName val="데이타 유효성 검사_데이타도구"/>
      <sheetName val="Machine"/>
      <sheetName val="category"/>
      <sheetName val="DETAIL IN"/>
      <sheetName val="Inspector"/>
      <sheetName val="유효성"/>
      <sheetName val="Sheet6"/>
      <sheetName val="PNT-QUOT-#3"/>
      <sheetName val="COAT&amp;WRAP-QIOT-#3"/>
      <sheetName val="Verification"/>
      <sheetName val="Raw Strip"/>
      <sheetName val="2021 Unit Costs"/>
      <sheetName val="데이타유효성검사"/>
      <sheetName val="F-66B"/>
      <sheetName val="0-76D"/>
      <sheetName val="SUBS 107C"/>
      <sheetName val="SNAP 107C"/>
      <sheetName val="SUBS 74B"/>
      <sheetName val="SNAP 74B"/>
      <sheetName val="報表-2001.8"/>
      <sheetName val="選項"/>
      <sheetName val="工作表1"/>
      <sheetName val="費用清單"/>
      <sheetName val="Names"/>
      <sheetName val=""/>
      <sheetName val="Machine Profile"/>
      <sheetName val="1stBO~RHT CAPA"/>
      <sheetName val="기초평가 결과"/>
      <sheetName val="온도cycle"/>
      <sheetName val="상세내역"/>
      <sheetName val="P2"/>
      <sheetName val="Source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10K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1"/>
      <sheetName val="Sheet1"/>
      <sheetName val="본부고정이하현황(월말)"/>
      <sheetName val="정리별분류"/>
      <sheetName val="증감내역"/>
      <sheetName val="shn"/>
      <sheetName val="사업본부별"/>
      <sheetName val="9월(일별)"/>
      <sheetName val="9월(현장별)"/>
      <sheetName val="10월(일별)"/>
      <sheetName val="10월(현장별)"/>
      <sheetName val="11월(일별) "/>
      <sheetName val="11월(현장별)"/>
      <sheetName val="11월(어음결재)"/>
      <sheetName val="12월(일별) "/>
      <sheetName val="12월(현장별)"/>
      <sheetName val="12월(어음결재)"/>
      <sheetName val="상환스케쥴"/>
      <sheetName val="상환총괄"/>
      <sheetName val="양도자산부채"/>
      <sheetName val="지원사항1"/>
      <sheetName val="지원사항 2"/>
      <sheetName val="지원사항3"/>
      <sheetName val="연도별수주계획"/>
      <sheetName val="동종업계"/>
      <sheetName val="#REF"/>
      <sheetName val="List"/>
      <sheetName val="Field Change Notice"/>
      <sheetName val="waiver request"/>
      <sheetName val="ENWA(OUT)"/>
      <sheetName val="from KNPC"/>
      <sheetName val="HDEC Site Memo"/>
      <sheetName val="KNPC Site Memo"/>
      <sheetName val="from HDEC"/>
      <sheetName val="7.6.3.BOQ"/>
      <sheetName val="7.6.3(A) AG Piping"/>
      <sheetName val="7.6.3(B) UG Piping"/>
      <sheetName val="7.6.3(C) INSUL"/>
      <sheetName val="7.6.3(D) PAINT"/>
      <sheetName val="7.6.3(E) NDE"/>
      <sheetName val="7.6.3(F) Sup't"/>
      <sheetName val="7.6.3(G) CHEMICAL CL"/>
      <sheetName val="7.6.3(H) Steam"/>
      <sheetName val="DCN Status "/>
      <sheetName val="FCN Status"/>
      <sheetName val="packing cover"/>
      <sheetName val="packing list"/>
      <sheetName val="Invoice cover"/>
      <sheetName val="invoice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FX Exposure_Nov00"/>
      <sheetName val="USdebt"/>
      <sheetName val="debtmonth"/>
      <sheetName val="purchasing"/>
      <sheetName val="Exposure0007"/>
      <sheetName val="FX Exposure0011_BOD"/>
      <sheetName val="FX Exposure_Apr2001"/>
      <sheetName val="부표목록"/>
      <sheetName val="추정PL"/>
      <sheetName val="매출액(내수)"/>
      <sheetName val="시장현황"/>
      <sheetName val="매출원가"/>
      <sheetName val="원재료비(내수)"/>
      <sheetName val="과거매출액대비구성비"/>
      <sheetName val="판관비"/>
      <sheetName val="인건비"/>
      <sheetName val="영업외"/>
      <sheetName val="지급이자"/>
      <sheetName val="감가상각"/>
      <sheetName val="유보금"/>
      <sheetName val="제세산출"/>
      <sheetName val="운전자금"/>
      <sheetName val="1회전자금(참고)"/>
      <sheetName val="1회전기간(참고)"/>
      <sheetName val="현금수지예상표"/>
      <sheetName val="영업후조성자금"/>
      <sheetName val="#REF!"/>
      <sheetName val="10한빛"/>
      <sheetName val="118.세금과공과"/>
      <sheetName val="WK16"/>
      <sheetName val="200712(법인)"/>
      <sheetName val="200712(해외현지법인계)"/>
      <sheetName val="Sheet2"/>
      <sheetName val="예산서"/>
      <sheetName val="ABUT수량-A1"/>
      <sheetName val="견적"/>
      <sheetName val="정부노임단가"/>
      <sheetName val="작성요약"/>
      <sheetName val="표지"/>
      <sheetName val="목차"/>
      <sheetName val="1.사업개요"/>
      <sheetName val="2.총괄표"/>
      <sheetName val="3.설계총괄(확정)"/>
      <sheetName val="3.전문외주(확정)"/>
      <sheetName val="3.설계총괄(정산)"/>
      <sheetName val="3.전문외주(정산)"/>
      <sheetName val="전문외주비 (Third Party)"/>
      <sheetName val="4.인력(확정)"/>
      <sheetName val="4.인력(조정)"/>
      <sheetName val="4.인력(정산)"/>
      <sheetName val="5.경비내역(확정)"/>
      <sheetName val="운영계획"/>
      <sheetName val="SOFTWARE"/>
      <sheetName val="5.현장경비(확정)"/>
      <sheetName val="5.경비내역(정산)"/>
      <sheetName val="5.현장경비(정산)"/>
      <sheetName val="7.자금수지"/>
      <sheetName val="(참고)제수당현황"/>
      <sheetName val="MH합계"/>
      <sheetName val="6.프로젝트"/>
      <sheetName val="6.PCM"/>
      <sheetName val="6.프로세스"/>
      <sheetName val="6.프로세스-1"/>
      <sheetName val="6.안전"/>
      <sheetName val="6.MR"/>
      <sheetName val="6.MS"/>
      <sheetName val="6.MT"/>
      <sheetName val="6.MM"/>
      <sheetName val="6.MY"/>
      <sheetName val="6.MH"/>
      <sheetName val="6.배관"/>
      <sheetName val="6.전기"/>
      <sheetName val="6.계장"/>
      <sheetName val="6.토목"/>
      <sheetName val="6.건축"/>
      <sheetName val="실행MH비교"/>
      <sheetName val="입찰MH비교"/>
      <sheetName val="규모비교"/>
      <sheetName val="내역서"/>
      <sheetName val="details"/>
      <sheetName val="Bend_fact "/>
      <sheetName val="total-mse제외"/>
      <sheetName val="P-PM"/>
      <sheetName val="P-품질"/>
      <sheetName val="P-토목"/>
      <sheetName val="P-건축"/>
      <sheetName val="P-기계"/>
      <sheetName val="P-원자력"/>
      <sheetName val="P-배관"/>
      <sheetName val="P-전기"/>
      <sheetName val="P-계장"/>
      <sheetName val="P-인허가"/>
      <sheetName val="P-공통"/>
      <sheetName val="P-SGN"/>
      <sheetName val="P-MSE"/>
      <sheetName val="95년12월말"/>
      <sheetName val="현금"/>
      <sheetName val="D-3"/>
      <sheetName val="다이꾸"/>
      <sheetName val="노임"/>
      <sheetName val="BID"/>
      <sheetName val="견적 집계"/>
      <sheetName val="BOQ"/>
      <sheetName val="F-302"/>
      <sheetName val="수안보-MBR1"/>
      <sheetName val="회사99"/>
      <sheetName val="DOC"/>
      <sheetName val="공사비 내역 (가)"/>
      <sheetName val="상반기손익차2총괄"/>
      <sheetName val="설치공사"/>
      <sheetName val="일위대가목차"/>
      <sheetName val="전차선로 물량표"/>
      <sheetName val="한강운반비"/>
      <sheetName val="현장관리비"/>
      <sheetName val="도급양식"/>
      <sheetName val="예산"/>
      <sheetName val="실행내역"/>
      <sheetName val="하조서"/>
      <sheetName val="전기내역서(총계)"/>
      <sheetName val="공통(20-91)"/>
      <sheetName val="조도계산서 (도서)"/>
      <sheetName val="화재 탐지 설비"/>
      <sheetName val="PROCESS"/>
      <sheetName val="공사비PK5월"/>
      <sheetName val="h-013211-2"/>
      <sheetName val="현황CODE"/>
      <sheetName val="손익현황"/>
      <sheetName val="comm"/>
      <sheetName val="CALCULATION"/>
      <sheetName val="산근"/>
      <sheetName val="노무비"/>
      <sheetName val="비용flux test"/>
      <sheetName val="보정전"/>
      <sheetName val="사급자재"/>
      <sheetName val="부대공내역서적용수량"/>
      <sheetName val="부대공(집계)"/>
      <sheetName val="낙석방지책"/>
      <sheetName val="난간"/>
      <sheetName val="교통안내표지판"/>
      <sheetName val="교통표지판기초"/>
      <sheetName val="교통표지판기초단위"/>
      <sheetName val="조경공사"/>
      <sheetName val="工완성공사율"/>
      <sheetName val="SKETCH"/>
      <sheetName val="LOADS"/>
      <sheetName val="단가비교표"/>
      <sheetName val="IN"/>
      <sheetName val="간접비총괄 (2)"/>
      <sheetName val="Total"/>
      <sheetName val="직원동원SCH"/>
      <sheetName val="COVER"/>
      <sheetName val="summary"/>
      <sheetName val="Sum-Equipment"/>
      <sheetName val="Sum-Piping"/>
      <sheetName val="1-1"/>
      <sheetName val="1-2"/>
      <sheetName val="1-3"/>
      <sheetName val="2-1"/>
      <sheetName val="2-2"/>
      <sheetName val="2-3"/>
      <sheetName val="Dir-Manpower"/>
      <sheetName val="Indir-Manpower"/>
      <sheetName val="Equip-Sch"/>
      <sheetName val="Elec. Power"/>
      <sheetName val="동원(3)"/>
      <sheetName val="예정(3)"/>
      <sheetName val="품셈집계"/>
      <sheetName val="97 사업추정(WEKI)"/>
      <sheetName val="설계흐름도"/>
      <sheetName val="6PILE  (돌출)"/>
      <sheetName val="Sheet1 (2)"/>
      <sheetName val="기준액"/>
      <sheetName val="실행자재"/>
      <sheetName val="법인6-2(11)호(을)"/>
      <sheetName val="당좌차월"/>
      <sheetName val="OD5000"/>
      <sheetName val="Sheet5"/>
      <sheetName val="(10.bis OGB_hours ratio)"/>
      <sheetName val="Base_Data"/>
      <sheetName val="개비온집계"/>
      <sheetName val="개비온 단위"/>
      <sheetName val="동결보온"/>
      <sheetName val="과천MAIN"/>
      <sheetName val="JUCK"/>
      <sheetName val="FORMULA"/>
      <sheetName val="TOEC"/>
      <sheetName val="필리핀"/>
      <sheetName val="실행철강하도"/>
      <sheetName val="4002"/>
      <sheetName val="Piping Cost"/>
      <sheetName val="PipWT"/>
      <sheetName val="설비"/>
      <sheetName val="釤.전기"/>
      <sheetName val="DCS"/>
      <sheetName val="ANALYSER"/>
      <sheetName val="자압1"/>
      <sheetName val="Euro-conversion"/>
      <sheetName val="out_prog"/>
      <sheetName val="선적schedule (2)"/>
      <sheetName val="FWBS7000,8000"/>
      <sheetName val="CABLE"/>
      <sheetName val="T6-6(2)"/>
      <sheetName val="2008년"/>
      <sheetName val="1담당0113"/>
      <sheetName val="2담당0113"/>
      <sheetName val="Ⅱ1-0타"/>
      <sheetName val="현금및현금등가물"/>
      <sheetName val="일보"/>
      <sheetName val="청산공사"/>
      <sheetName val="CW Piping Work"/>
      <sheetName val="종배수관"/>
      <sheetName val="Basis"/>
      <sheetName val="인원계획"/>
      <sheetName val="piping"/>
      <sheetName val="Mtl Summary"/>
      <sheetName val="철수현황"/>
      <sheetName val="Hoja3"/>
      <sheetName val="Hoja2"/>
      <sheetName val="교각계산"/>
      <sheetName val="가도공"/>
      <sheetName val="P.M 별"/>
      <sheetName val="주사무실종합"/>
      <sheetName val="eq_data"/>
      <sheetName val="Steam-Sys"/>
      <sheetName val="BQ List"/>
      <sheetName val="TABLE2-2 OSBL-(SITE PREP)"/>
      <sheetName val="07"/>
      <sheetName val="07월"/>
      <sheetName val="07월분"/>
      <sheetName val="5월 회원사 배분 명세서(2)"/>
      <sheetName val="어음청구서"/>
      <sheetName val="예비비청구서"/>
      <sheetName val="배수내역 (2)"/>
      <sheetName val="영업2"/>
      <sheetName val="영업3"/>
      <sheetName val="Testing"/>
      <sheetName val="ITstk"/>
      <sheetName val="Tipo Terzi"/>
      <sheetName val="Salary"/>
      <sheetName val="PumpSpec"/>
      <sheetName val="DATA"/>
      <sheetName val="Spread_sht"/>
      <sheetName val="소화실적"/>
      <sheetName val="BQ(Piping)"/>
      <sheetName val="Income Statement"/>
      <sheetName val="frmm HDEC"/>
      <sheetName val="개시전표"/>
      <sheetName val="공사집계"/>
      <sheetName val="BM DATA SHEET"/>
      <sheetName val="DPRKMHDT"/>
      <sheetName val="ITEM"/>
      <sheetName val="new급여T(4을-운전)"/>
      <sheetName val="LOPCALC"/>
      <sheetName val="MOB-MAN1"/>
      <sheetName val="Graph (LGEN)"/>
      <sheetName val="터널조도"/>
      <sheetName val="11월(일별)_"/>
      <sheetName val="12월(일별)_"/>
      <sheetName val="지원사항_2"/>
      <sheetName val="7_6_3_BOQ"/>
      <sheetName val="7_6_3(A)_AG_Piping"/>
      <sheetName val="7_6_3(B)_UG_Piping"/>
      <sheetName val="7_6_3(C)_INSUL"/>
      <sheetName val="7_6_3(D)_PAINT"/>
      <sheetName val="7_6_3(E)_NDE"/>
      <sheetName val="7_6_3(F)_Sup't"/>
      <sheetName val="7_6_3(G)_CHEMICAL_CL"/>
      <sheetName val="7_6_3(H)_Steam"/>
      <sheetName val="Field_Change_Notice"/>
      <sheetName val="waiver_request"/>
      <sheetName val="from_KNPC"/>
      <sheetName val="HDEC_Site_Memo"/>
      <sheetName val="KNPC_Site_Memo"/>
      <sheetName val="from_HDEC"/>
      <sheetName val="packing_cover"/>
      <sheetName val="packing_list"/>
      <sheetName val="Invoice_cover"/>
      <sheetName val="DCN_Status_"/>
      <sheetName val="FCN_Status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1_사업개요"/>
      <sheetName val="2_총괄표"/>
      <sheetName val="3_설계총괄(확정)"/>
      <sheetName val="3_전문외주(확정)"/>
      <sheetName val="3_설계총괄(정산)"/>
      <sheetName val="3_전문외주(정산)"/>
      <sheetName val="전문외주비_(Third_Party)"/>
      <sheetName val="4_인력(확정)"/>
      <sheetName val="4_인력(조정)"/>
      <sheetName val="4_인력(정산)"/>
      <sheetName val="5_경비내역(확정)"/>
      <sheetName val="5_현장경비(확정)"/>
      <sheetName val="5_경비내역(정산)"/>
      <sheetName val="5_현장경비(정산)"/>
      <sheetName val="7_자금수지"/>
      <sheetName val="6_프로젝트"/>
      <sheetName val="6_PCM"/>
      <sheetName val="6_프로세스"/>
      <sheetName val="6_프로세스-1"/>
      <sheetName val="6_안전"/>
      <sheetName val="6_MR"/>
      <sheetName val="6_MS"/>
      <sheetName val="6_MT"/>
      <sheetName val="6_MM"/>
      <sheetName val="6_MY"/>
      <sheetName val="6_MH"/>
      <sheetName val="6_배관"/>
      <sheetName val="6_전기"/>
      <sheetName val="6_계장"/>
      <sheetName val="6_토목"/>
      <sheetName val="6_건축"/>
      <sheetName val="Bend_fact_"/>
      <sheetName val="공사비_내역_(가)"/>
      <sheetName val="견적_집계"/>
      <sheetName val="전차선로_물량표"/>
      <sheetName val="조도계산서_(도서)"/>
      <sheetName val="화재_탐지_설비"/>
      <sheetName val="Elec__Power"/>
      <sheetName val="97_사업추정(WEKI)"/>
      <sheetName val="간접비총괄_(2)"/>
      <sheetName val="개비온_단위"/>
      <sheetName val="(10_bis_OGB_hours_ratio)"/>
      <sheetName val="Sheet1_(2)"/>
      <sheetName val="6PILE__(돌출)"/>
      <sheetName val="선적schedule_(2)"/>
      <sheetName val="釤_전기"/>
      <sheetName val="Piping_Cost"/>
      <sheetName val="CW_Piping_Work"/>
      <sheetName val="M_ACT_Other.Inputs"/>
      <sheetName val="basic_info"/>
      <sheetName val="parameter5"/>
      <sheetName val="parameter2"/>
      <sheetName val="parameter1"/>
      <sheetName val="parameter4"/>
      <sheetName val="parameter3"/>
      <sheetName val="借積IQ"/>
      <sheetName val="기둥(원형)"/>
      <sheetName val="차수"/>
      <sheetName val="전체내역 (2)"/>
      <sheetName val="15 문제점"/>
      <sheetName val="Civil"/>
      <sheetName val="영동"/>
      <sheetName val="MOTOR"/>
      <sheetName val="경비"/>
      <sheetName val="General Data"/>
      <sheetName val="1998"/>
      <sheetName val="1999"/>
      <sheetName val="2000"/>
      <sheetName val="감평-수정완료"/>
      <sheetName val="Calcs for Sensitivy"/>
      <sheetName val="DCF Inputs"/>
      <sheetName val="T1"/>
      <sheetName val="10K4"/>
      <sheetName val="5.1 본사"/>
      <sheetName val="반기_유가증권"/>
      <sheetName val="업무연락"/>
      <sheetName val="A"/>
      <sheetName val="COMPS"/>
      <sheetName val="Assumption"/>
      <sheetName val="AcctTable"/>
      <sheetName val="손익요약(미사용)"/>
      <sheetName val="인수현황표020930"/>
      <sheetName val="013199"/>
      <sheetName val="cash"/>
      <sheetName val="토지조서"/>
      <sheetName val="DDR"/>
      <sheetName val="Macro1"/>
      <sheetName val="Master Sheet"/>
      <sheetName val="GiaVL"/>
      <sheetName val="간접비(1)"/>
      <sheetName val="계정코드"/>
      <sheetName val="108.수선비"/>
      <sheetName val="A-A"/>
      <sheetName val="국외감가상각내역0103"/>
      <sheetName val="지급자재"/>
      <sheetName val="생산"/>
      <sheetName val="비품"/>
      <sheetName val="선적schedule޹⾗_x0005__x0000_"/>
      <sheetName val="선적schedule蓸1蔼1"/>
      <sheetName val="여주,이천(명세)"/>
      <sheetName val="VESSEL"/>
      <sheetName val="DATE"/>
      <sheetName val="Actbase"/>
      <sheetName val="내역서 "/>
      <sheetName val="Macro2"/>
      <sheetName val="Rekap A"/>
      <sheetName val="Sohar담수Target"/>
      <sheetName val="자압"/>
      <sheetName val="COPING"/>
      <sheetName val="panel board installation"/>
      <sheetName val="FORM-3"/>
      <sheetName val="Units"/>
      <sheetName val="Instructions"/>
      <sheetName val="Sheet3"/>
      <sheetName val="Default_Magics"/>
      <sheetName val="Code_Magics"/>
      <sheetName val="갑지"/>
      <sheetName val="El(Increased)"/>
      <sheetName val="간접비내역-1"/>
      <sheetName val="ELECTRICAL"/>
      <sheetName val="NOMUBI"/>
      <sheetName val="cement"/>
      <sheetName val="FORM_3"/>
      <sheetName val="자문요청"/>
      <sheetName val="건내용"/>
      <sheetName val="최민영집계25"/>
      <sheetName val="»ç¾÷º»ºÎº°"/>
      <sheetName val="9¿ù(ÀÏº°)"/>
      <sheetName val="9¿ù(ÇöÀåº°)"/>
      <sheetName val="10¿ù(ÀÏº°)"/>
      <sheetName val="10¿ù(ÇöÀåº°)"/>
      <sheetName val="11¿ù(ÀÏº°) "/>
      <sheetName val="11¿ù(ÇöÀåº°)"/>
      <sheetName val="11¿ù(¾îÀ½°áÀç)"/>
      <sheetName val="12¿ù(ÀÏº°) "/>
      <sheetName val="12¿ù(ÇöÀåº°)"/>
      <sheetName val="12¿ù(¾îÀ½°áÀç)"/>
      <sheetName val="»óÈ¯½ºÄÉÁì"/>
      <sheetName val="»óÈ¯ÃÑ°ý"/>
      <sheetName val="¾çµµÀÚ»êºÎÃ¤"/>
      <sheetName val="Áö¿ø»çÇ×1"/>
      <sheetName val="Áö¿ø»çÇ× 2"/>
      <sheetName val="Áö¿ø»çÇ×3"/>
      <sheetName val="¿¬µµº°¼öÁÖ°èÈ¹"/>
      <sheetName val="µ¿Á¾¾÷°è"/>
      <sheetName val="ÀÛ¼º¿ä¾à"/>
      <sheetName val="Ç¥Áö"/>
      <sheetName val="¸ñÂ÷"/>
      <sheetName val="1.»ç¾÷°³¿ä"/>
      <sheetName val="2.ÃÑ°ýÇ¥"/>
      <sheetName val="3.¼³°èÃÑ°ý(È®Á¤)"/>
      <sheetName val="3.Àü¹®¿ÜÁÖ(È®Á¤)"/>
      <sheetName val="3.¼³°èÃÑ°ý(Á¤»ê)"/>
      <sheetName val="3.Àü¹®¿ÜÁÖ(Á¤»ê)"/>
      <sheetName val="Àü¹®¿ÜÁÖºñ (Third Party)"/>
      <sheetName val="4.ÀÎ·Â(È®Á¤)"/>
      <sheetName val="4.ÀÎ·Â(Á¶Á¤)"/>
      <sheetName val="4.ÀÎ·Â(Á¤»ê)"/>
      <sheetName val="5.°æºñ³»¿ª(È®Á¤)"/>
      <sheetName val="¿î¿µ°èÈ¹"/>
      <sheetName val="5.ÇöÀå°æºñ(È®Á¤)"/>
      <sheetName val="5.°æºñ³»¿ª(Á¤»ê)"/>
      <sheetName val="5.ÇöÀå°æºñ(Á¤»ê)"/>
      <sheetName val="7.ÀÚ±Ý¼öÁö"/>
      <sheetName val="(Âü°í)Á¦¼ö´çÇöÈ²"/>
      <sheetName val="MHÇÕ°è"/>
      <sheetName val="6.ÇÁ·ÎÁ§Æ®"/>
      <sheetName val="6.ÇÁ·Î¼¼½º"/>
      <sheetName val="6.ÇÁ·Î¼¼½º-1"/>
      <sheetName val="6.¾ÈÀü"/>
      <sheetName val="6.¹è°ü"/>
      <sheetName val="6.Àü±â"/>
      <sheetName val="6.°èÀå"/>
      <sheetName val="6.Åä¸ñ"/>
      <sheetName val="6.°ÇÃà"/>
      <sheetName val="½ÇÇàMHºñ±³"/>
      <sheetName val="ÀÔÂûMHºñ±³"/>
      <sheetName val="±Ô¸ðºñ±³"/>
      <sheetName val="Á¤ºÎ³ëÀÓ´Ü°¡"/>
      <sheetName val="¿¹»ê¼­"/>
      <sheetName val="ABUT¼ö·®-A1"/>
      <sheetName val="°ßÀû"/>
      <sheetName val="³»¿ª¼­"/>
      <sheetName val="°ßÀû Áý°è"/>
      <sheetName val="total-mseÁ¦¿Ü"/>
      <sheetName val="P-Ç°Áú"/>
      <sheetName val="P-Åä¸ñ"/>
      <sheetName val="P-°ÇÃà"/>
      <sheetName val="P-±â°è"/>
      <sheetName val="P-¿øÀÚ·Â"/>
      <sheetName val="P-¹è°ü"/>
      <sheetName val="P-Àü±â"/>
      <sheetName val="P-°èÀå"/>
      <sheetName val="P-ÀÎÇã°¡"/>
      <sheetName val="P-°øÅë"/>
      <sheetName val="´ÙÀÌ²Ù"/>
      <sheetName val="95³â12¿ù¸»"/>
      <sheetName val="Çö±Ý"/>
      <sheetName val="³ëÀÓ"/>
      <sheetName val="¼ö¾Èº¸-MBR1"/>
      <sheetName val="´Ü°¡ºñ±³Ç¥"/>
      <sheetName val="È¸»ç99"/>
      <sheetName val="°ø»çºñ ³»¿ª (°¡)"/>
      <sheetName val="ÇöÈ²CODE"/>
      <sheetName val="¼ÕÀÍÇöÈ²"/>
      <sheetName val="°ø»çºñPK5¿ù"/>
      <sheetName val="»ê±Ù"/>
      <sheetName val="»ó¹Ý±â¼ÕÀÍÂ÷2ÃÑ°ý"/>
      <sheetName val="¼³Ä¡°ø»ç"/>
      <sheetName val="ÀÏÀ§´ë°¡¸ñÂ÷"/>
      <sheetName val="ÀüÂ÷¼±·Î ¹°·®Ç¥"/>
      <sheetName val="Links"/>
      <sheetName val="Lead"/>
      <sheetName val="forecasted_BS"/>
      <sheetName val="forecasted_IS"/>
      <sheetName val="폐토수익화 "/>
      <sheetName val="ÇÑ°­¿î¹Ýºñ"/>
      <sheetName val="ÇöÀå°ü¸®ºñ"/>
      <sheetName val="µµ±Þ¾ç½Ä"/>
      <sheetName val="¿¹»ê"/>
      <sheetName val="½ÇÇà³»¿ª"/>
      <sheetName val="ÇÏÁ¶¼­"/>
      <sheetName val="Àü±â³»¿ª¼­(ÃÑ°è)"/>
      <sheetName val="°øÅë(20-91)"/>
      <sheetName val="Á¶µµ°è»ê¼­ (µµ¼­)"/>
      <sheetName val="È­Àç Å½Áö ¼³ºñ"/>
      <sheetName val="³ë¹«ºñ"/>
      <sheetName val="Íï¿Ï¼º°ø»çÀ²"/>
      <sheetName val="»ç±ÞÀÚÀç"/>
      <sheetName val="ºÎ´ë°ø³»¿ª¼­Àû¿ë¼ö·®"/>
      <sheetName val="ºÎ´ë°ø(Áý°è)"/>
      <sheetName val="³«¼®¹æÁöÃ¥"/>
      <sheetName val="³­°£"/>
      <sheetName val="±³Åë¾È³»Ç¥ÁöÆÇ"/>
      <sheetName val="±³ÅëÇ¥ÁöÆÇ±âÃÊ"/>
      <sheetName val="±³ÅëÇ¥ÁöÆÇ±âÃÊ´ÜÀ§"/>
      <sheetName val="Á¶°æ°ø»ç"/>
      <sheetName val="°úÃµMAIN"/>
      <sheetName val="97 »ç¾÷ÃßÁ¤(WEKI)"/>
      <sheetName val="Á÷¿øµ¿¿øSCH"/>
      <sheetName val="°£Á¢ºñÃÑ°ý (2)"/>
      <sheetName val="I_O Module"/>
      <sheetName val="I_O List"/>
      <sheetName val="건장설비"/>
      <sheetName val="실행비교"/>
      <sheetName val="연돌일위집계"/>
      <sheetName val="steam table"/>
      <sheetName val="DRUM"/>
      <sheetName val="SE-611"/>
      <sheetName val="Instruction"/>
      <sheetName val="1월"/>
      <sheetName val="전신환매도율"/>
      <sheetName val="차집관로내역"/>
      <sheetName val="Piping(Methanol)"/>
      <sheetName val="집계표"/>
      <sheetName val="인원동원계획"/>
      <sheetName val="123"/>
      <sheetName val="와동25-3(변경)"/>
      <sheetName val=" 견적서"/>
      <sheetName val="SHEET 19"/>
      <sheetName val="FPU"/>
      <sheetName val="HRD"/>
      <sheetName val="Pipe Calc"/>
      <sheetName val="선적schedule_x0005__x0000__x0000_"/>
      <sheetName val="보험료표"/>
      <sheetName val="종합일지"/>
      <sheetName val="Pier 3"/>
      <sheetName val="계장공사"/>
      <sheetName val="설계조건"/>
      <sheetName val="투찰"/>
      <sheetName val="신호등일위대가"/>
      <sheetName val="부속동"/>
      <sheetName val="OE"/>
      <sheetName val="PULLING SUPT등"/>
      <sheetName val="변품8-37"/>
      <sheetName val="내역서적용수량"/>
      <sheetName val="배수관공"/>
      <sheetName val="기타공"/>
      <sheetName val="배수집계"/>
      <sheetName val="단가조사서"/>
      <sheetName val="산출내역서집계표"/>
      <sheetName val="바닥판"/>
      <sheetName val="손익계산서"/>
      <sheetName val="대차대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대출품의"/>
      <sheetName val="국외감가상각0106"/>
      <sheetName val="이익처분"/>
      <sheetName val="T6-6(2)"/>
      <sheetName val="조건"/>
      <sheetName val="2180"/>
      <sheetName val="15160 ARTT"/>
      <sheetName val="인원"/>
      <sheetName val="공통비"/>
      <sheetName val="basic_info"/>
      <sheetName val="STC3"/>
      <sheetName val="연습장소"/>
      <sheetName val="HERO01"/>
      <sheetName val="본부예산"/>
      <sheetName val="현금예금"/>
      <sheetName val="Pivot자료"/>
      <sheetName val="손익합산"/>
      <sheetName val="5.1 본사"/>
      <sheetName val="합손"/>
      <sheetName val="정기적금"/>
      <sheetName val="관세"/>
      <sheetName val="예수금"/>
      <sheetName val="인쇄BS"/>
      <sheetName val="97년추정손익계산서"/>
      <sheetName val="기계"/>
      <sheetName val="Ⅱ1-0타"/>
      <sheetName val="MAIN"/>
      <sheetName val="ENG"/>
      <sheetName val="CONT"/>
      <sheetName val="수정분개"/>
      <sheetName val="연체대출 (2)"/>
      <sheetName val="은행 위험가중자산(대차대조표)"/>
      <sheetName val="bs"/>
      <sheetName val="합판1-4"/>
      <sheetName val="대출금"/>
      <sheetName val="J100"/>
      <sheetName val="매도가능 기타"/>
      <sheetName val="01_성적표"/>
      <sheetName val="개발실"/>
      <sheetName val="월별합산"/>
      <sheetName val="RE9604"/>
      <sheetName val="PL,보정"/>
      <sheetName val="KEY"/>
      <sheetName val="보험금"/>
      <sheetName val="97건물"/>
      <sheetName val="forecasted_BS"/>
      <sheetName val="forecasted_IS"/>
      <sheetName val="현금"/>
      <sheetName val="RD제품개발투자비(매가)"/>
      <sheetName val="LAST_DS"/>
      <sheetName val="Links"/>
      <sheetName val="Lead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Assumptions"/>
      <sheetName val="variable"/>
      <sheetName val="LTEURPSY"/>
      <sheetName val="Update"/>
      <sheetName val="P&amp;L"/>
      <sheetName val="LIST"/>
      <sheetName val="대신증권"/>
      <sheetName val="충주"/>
      <sheetName val="00.08계정"/>
      <sheetName val="2006_Reval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5.전사투자계획종함안"/>
      <sheetName val="2담당0113"/>
      <sheetName val="1담당0113"/>
      <sheetName val="YHCODE"/>
      <sheetName val="매출채권"/>
      <sheetName val="#REF"/>
      <sheetName val="XLUTIL"/>
      <sheetName val="Sales"/>
      <sheetName val="BSLA"/>
      <sheetName val="부가세신고자료"/>
      <sheetName val="계수Raw"/>
      <sheetName val="Mon-0100"/>
      <sheetName val="Yr03,04,05,06PLs-1"/>
      <sheetName val="자료"/>
      <sheetName val="장교"/>
      <sheetName val="자금SCHEDULE"/>
      <sheetName val="4b Consolidated PL"/>
      <sheetName val="BA2303(개정)"/>
      <sheetName val="표준방법"/>
      <sheetName val="단자차입일별"/>
      <sheetName val="PRIO_HKD"/>
      <sheetName val="PRIO_USD"/>
      <sheetName val="Macro"/>
      <sheetName val="현황CODE"/>
      <sheetName val="손익현황"/>
      <sheetName val="SCH-4"/>
      <sheetName val="대환취급"/>
      <sheetName val="Assign"/>
      <sheetName val="A (3)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AI162-대손충당금적립률"/>
      <sheetName val="소호"/>
      <sheetName val="매출예산96"/>
      <sheetName val="US Treasury"/>
      <sheetName val="Europe Treasury"/>
      <sheetName val="TOTAL-PL"/>
      <sheetName val="받check"/>
      <sheetName val="COMBINED"/>
      <sheetName val="VALSTAT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PL_VN"/>
      <sheetName val="공급설비"/>
      <sheetName val="장차입"/>
      <sheetName val="우수"/>
      <sheetName val="(BS,CF)-BACK"/>
      <sheetName val="ALL TRADES"/>
      <sheetName val="Sch9  Guarantees and lawsuits"/>
      <sheetName val="A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  <sheetName val="화재 탐지 설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기평"/>
      <sheetName val="국외감가상각내역0103"/>
      <sheetName val="LIST"/>
      <sheetName val="반기_유가증권"/>
      <sheetName val="#REF!"/>
      <sheetName val="#REF"/>
      <sheetName val="Macro1"/>
      <sheetName val="HERO01"/>
      <sheetName val="STC3"/>
      <sheetName val="배부표"/>
      <sheetName val="XREF"/>
      <sheetName val="000 김양섭 O"/>
      <sheetName val="개인별장비관리"/>
      <sheetName val="301  금성근"/>
      <sheetName val="현금예금"/>
      <sheetName val="BS"/>
      <sheetName val="해외기평"/>
      <sheetName val="임차보증금현황04.6.30"/>
      <sheetName val="대출품의"/>
      <sheetName val="예수금"/>
      <sheetName val="11.17-11.23"/>
      <sheetName val="11.24-11.30"/>
      <sheetName val="기계"/>
      <sheetName val="매도가능 기타"/>
      <sheetName val="CMA_Calculations"/>
      <sheetName val="부실채권"/>
      <sheetName val="기준"/>
      <sheetName val="data"/>
      <sheetName val="보증어음분류"/>
      <sheetName val="사모사채분류"/>
      <sheetName val="개인법인구분"/>
      <sheetName val="본부예산"/>
      <sheetName val="손익합산"/>
      <sheetName val="합판1-4"/>
      <sheetName val="Sensitivity 3 Yrs"/>
      <sheetName val="Sheet1"/>
      <sheetName val="이익처분"/>
      <sheetName val="현금"/>
      <sheetName val="인건비"/>
      <sheetName val="forecasted_BS"/>
      <sheetName val="forecasted_IS"/>
      <sheetName val="Links"/>
      <sheetName val="Lead"/>
      <sheetName val="Reprice GAP"/>
      <sheetName val="충주"/>
      <sheetName val="basic_info"/>
      <sheetName val="Sales"/>
      <sheetName val="수정시산표"/>
      <sheetName val="10K4"/>
      <sheetName val="뒤차축소"/>
      <sheetName val="종합일지"/>
      <sheetName val="제품분류코드"/>
      <sheetName val="Sheet2"/>
      <sheetName val="공통비"/>
      <sheetName val="Cashflow(spc)ABCP"/>
      <sheetName val="2006_Reval"/>
      <sheetName val="매출채권"/>
      <sheetName val="A (3)"/>
      <sheetName val="주요기준"/>
      <sheetName val="대환취급"/>
      <sheetName val="월별합산"/>
      <sheetName val="대차대조표"/>
      <sheetName val="환율"/>
      <sheetName val="Assumptions"/>
      <sheetName val="NORMAL"/>
      <sheetName val="평잔"/>
      <sheetName val="Ⅱ1-0타"/>
      <sheetName val="계획"/>
      <sheetName val="적심사표"/>
      <sheetName val="Security"/>
      <sheetName val="계수Raw"/>
      <sheetName val="신전산소항목시산표(5월)"/>
      <sheetName val="입력자료"/>
      <sheetName val="WPL"/>
      <sheetName val="RE9604"/>
      <sheetName val="PickLists"/>
      <sheetName val="COMPS"/>
      <sheetName val="옥분수불"/>
      <sheetName val="Parameters"/>
      <sheetName val="상용_mp"/>
      <sheetName val="概算報告書"/>
      <sheetName val="감평-수정완료"/>
      <sheetName val="월별생산"/>
      <sheetName val="SUMMARY"/>
      <sheetName val="000_김양섭_O"/>
      <sheetName val="301__금성근"/>
      <sheetName val="임차보증금현황04_6_30"/>
      <sheetName val="11_17-11_23"/>
      <sheetName val="11_24-11_30"/>
      <sheetName val="Sensitivity_3_Yrs"/>
      <sheetName val="매도가능_기타"/>
      <sheetName val="Reprice_GAP"/>
      <sheetName val="A_(3)"/>
      <sheetName val="요약"/>
      <sheetName val="대신증권"/>
      <sheetName val="AA200"/>
      <sheetName val="YHCODE"/>
      <sheetName val="000_김양섭_O1"/>
      <sheetName val="301__금성근1"/>
      <sheetName val="임차보증금현황04_6_301"/>
      <sheetName val="11_17-11_231"/>
      <sheetName val="11_24-11_301"/>
      <sheetName val="Sensitivity_3_Yrs1"/>
      <sheetName val="매도가능_기타1"/>
      <sheetName val="Reprice_GAP1"/>
      <sheetName val="A_(3)1"/>
      <sheetName val="LAST_DS"/>
      <sheetName val="부가세신고자료"/>
      <sheetName val="수정분개"/>
      <sheetName val="15160 ARTT"/>
      <sheetName val="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석"/>
      <sheetName val="파생상품"/>
      <sheetName val="파생리드"/>
      <sheetName val="자본조정"/>
      <sheetName val="사채잔액"/>
      <sheetName val="YHCODE"/>
      <sheetName val="반기_유가증권"/>
      <sheetName val="form_14-3"/>
      <sheetName val="부장급 명단"/>
      <sheetName val="Main"/>
      <sheetName val="00.08계정"/>
      <sheetName val="Ⅱ1-0타"/>
      <sheetName val="국외감가상각내역0103"/>
      <sheetName val="Manual"/>
      <sheetName val="전체실적"/>
      <sheetName val="TaxCalc"/>
      <sheetName val="J100"/>
      <sheetName val="동해title"/>
      <sheetName val="외화금융(97-03)"/>
      <sheetName val="EMCK CX700"/>
      <sheetName val="TB(2)"/>
      <sheetName val="준비금_과거지급율이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ation sensitivities"/>
      <sheetName val="Summary (Charger)"/>
      <sheetName val="Summary (Turbo) "/>
      <sheetName val="Storag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미수이자"/>
      <sheetName val="수보명세(당월)"/>
      <sheetName val="보험금명세(당월)"/>
      <sheetName val="주요비율-낙관"/>
      <sheetName val="Ⅰ-1"/>
      <sheetName val="FX"/>
      <sheetName val="부동산"/>
      <sheetName val="master"/>
      <sheetName val="Results"/>
      <sheetName val="국외감가상각내역0103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합동별(기표용)"/>
      <sheetName val="form_14-3"/>
      <sheetName val="INFO"/>
      <sheetName val="Spreadsheet Information"/>
      <sheetName val="시산표"/>
      <sheetName val="감면"/>
      <sheetName val="이익처분"/>
      <sheetName val="반기_유가증권"/>
      <sheetName val="Repayment Summary"/>
      <sheetName val="기준환율"/>
      <sheetName val="갑지"/>
      <sheetName val="실행"/>
      <sheetName val="TABLE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LGap_Disc_Liabs&amp;Cap"/>
      <sheetName val="redbtb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성적표96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>
        <row r="6">
          <cell r="D6" t="str">
            <v>US Code</v>
          </cell>
        </row>
      </sheetData>
      <sheetData sheetId="44">
        <row r="6">
          <cell r="D6" t="str">
            <v>US Code</v>
          </cell>
        </row>
      </sheetData>
      <sheetData sheetId="45">
        <row r="6">
          <cell r="D6" t="str">
            <v>US Code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6">
          <cell r="D6" t="str">
            <v>US Code</v>
          </cell>
        </row>
      </sheetData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 refreshError="1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전성1"/>
      <sheetName val="건전2"/>
      <sheetName val="건전3"/>
      <sheetName val="연체"/>
      <sheetName val="대손충당금 적립"/>
      <sheetName val="거액고정"/>
      <sheetName val="부실징후"/>
      <sheetName val="가pl1"/>
      <sheetName val="PL2"/>
      <sheetName val="PL3"/>
      <sheetName val="PL4"/>
      <sheetName val="이자증감1"/>
      <sheetName val="비이자증감"/>
      <sheetName val="유가증권 수익1"/>
      <sheetName val="생보험금"/>
      <sheetName val="손보험금"/>
      <sheetName val="생보험료"/>
      <sheetName val="손보험료"/>
      <sheetName val="생계약자"/>
      <sheetName val="손계약자"/>
      <sheetName val="금융기관 업무보고서B"/>
      <sheetName val="본부유지율"/>
      <sheetName val="인수기간별S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전산원장"/>
      <sheetName val="PL Down"/>
      <sheetName val="10월판관"/>
      <sheetName val="01_성적표"/>
      <sheetName val="수정분개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실별집계"/>
      <sheetName val="Update"/>
      <sheetName val="P&amp;L"/>
      <sheetName val="⑤항목별1"/>
      <sheetName val="①매출"/>
      <sheetName val="9612-D2"/>
      <sheetName val="자료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hmsim"/>
      <sheetName val="보정전"/>
      <sheetName val="f3"/>
      <sheetName val="DATA"/>
      <sheetName val="Sheet3"/>
      <sheetName val="US Codes"/>
      <sheetName val="본부예산"/>
      <sheetName val="인건비"/>
      <sheetName val="SCH-4"/>
      <sheetName val="요약PL"/>
      <sheetName val="forecasted_BS"/>
      <sheetName val="forecasted_IS"/>
      <sheetName val="미수수익(적금)"/>
      <sheetName val="Requirement(Work Crew)"/>
      <sheetName val="급여테이블"/>
      <sheetName val="의료보험표준보수액"/>
      <sheetName val="합계9509"/>
      <sheetName val="Manual"/>
      <sheetName val="편성 vs 배정"/>
      <sheetName val="93상각비"/>
      <sheetName val="세부내역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configure"/>
      <sheetName val="제조원가명세서"/>
      <sheetName val="Macro1"/>
      <sheetName val="은행 연결위험가중자산(대차대조표)"/>
      <sheetName val="XREF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VT-HD"/>
      <sheetName val="1. Assumptions"/>
      <sheetName val="보험금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  <sheetName val="불일치che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差額調査用"/>
      <sheetName val="1. Assumptions"/>
      <sheetName val="정공공사"/>
      <sheetName val="forecasted_BS"/>
      <sheetName val="forecasted_IS"/>
      <sheetName val="부재예실"/>
      <sheetName val="이익처분"/>
      <sheetName val="손익"/>
      <sheetName val="반기_유가증권"/>
      <sheetName val="정산표"/>
      <sheetName val="손익합산"/>
      <sheetName val="시산표"/>
      <sheetName val="조정명세서"/>
      <sheetName val="6호기"/>
      <sheetName val="공통비"/>
      <sheetName val="감사일어"/>
      <sheetName val="8100"/>
      <sheetName val="00'미수"/>
      <sheetName val="Sheet3"/>
      <sheetName val="임차DB"/>
      <sheetName val="본점"/>
      <sheetName val="제출용BS(한일+할부)"/>
      <sheetName val="pre-anal손익계산서"/>
      <sheetName val="pre-anal대차대조표"/>
      <sheetName val="조정전"/>
      <sheetName val="플래티늄미디어"/>
      <sheetName val="만기"/>
      <sheetName val="xxxxxx"/>
      <sheetName val="Yr_1997"/>
      <sheetName val="차수"/>
      <sheetName val="Sch9"/>
      <sheetName val="원가계산"/>
      <sheetName val="유가증권"/>
      <sheetName val="3월"/>
      <sheetName val="국문FS(제조원가 반영전)"/>
      <sheetName val="2담당0113"/>
      <sheetName val="1담당0113"/>
      <sheetName val="p.3 Disc"/>
      <sheetName val="EXPAN-1"/>
      <sheetName val="93상각비"/>
      <sheetName val="Lap"/>
      <sheetName val="9612-D2"/>
      <sheetName val="대차대조표"/>
      <sheetName val="손익계산서"/>
      <sheetName val="지분법평가"/>
      <sheetName val="LS"/>
      <sheetName val="XREF"/>
      <sheetName val="LIST"/>
      <sheetName val="9월15원본"/>
      <sheetName val="YHCODE"/>
      <sheetName val="CODE"/>
      <sheetName val="금융"/>
      <sheetName val="은행"/>
      <sheetName val="리스"/>
      <sheetName val="보험"/>
      <sheetName val="주요비율-낙관"/>
      <sheetName val="Ⅰ-1"/>
      <sheetName val="US Codes"/>
      <sheetName val="성적96"/>
      <sheetName val="Usd"/>
      <sheetName val="선급금1"/>
      <sheetName val="f_BS"/>
      <sheetName val="보험금"/>
      <sheetName val="Requirement(Work Crew)"/>
      <sheetName val="BC100_pending"/>
      <sheetName val="Main"/>
      <sheetName val="매출(영업 VS 경리)"/>
      <sheetName val="율표"/>
      <sheetName val="f_IS"/>
      <sheetName val="합병BS"/>
      <sheetName val="0930PLENG"/>
      <sheetName val="Ⅱ1-0타"/>
      <sheetName val="잔액검증"/>
      <sheetName val="hmsim"/>
      <sheetName val="현재"/>
      <sheetName val="CJE집계"/>
      <sheetName val="Sheet1"/>
      <sheetName val="상품주식"/>
      <sheetName val="기준"/>
      <sheetName val="FAB별"/>
      <sheetName val="한세A4PL"/>
      <sheetName val="재고자산미실현이익제거"/>
      <sheetName val="basic_info"/>
      <sheetName val="Lists"/>
      <sheetName val="Sheet1 (2)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#REF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차입금상환Sch"/>
      <sheetName val="P.L"/>
      <sheetName val="★국가별 Exposure(보증인반영)"/>
      <sheetName val="1.CRMS Data"/>
      <sheetName val="2-2.매출분석"/>
      <sheetName val="MMD"/>
      <sheetName val="ExchRate"/>
      <sheetName val="12-ARTT(신호근)"/>
      <sheetName val="잡경비"/>
      <sheetName val="5423"/>
      <sheetName val="국외감가상각내역0103"/>
      <sheetName val="Util"/>
      <sheetName val="폐토수익화 "/>
      <sheetName val="보고"/>
      <sheetName val="00.08계정"/>
      <sheetName val="COMPS"/>
      <sheetName val="투자기타"/>
      <sheetName val="2.대외공문"/>
      <sheetName val="인건비"/>
      <sheetName val="공정별인건비"/>
      <sheetName val="Loan"/>
      <sheetName val="판매98"/>
      <sheetName val="DATE"/>
      <sheetName val="rate_table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약정_수수료"/>
      <sheetName val="만기현황(금전신탁)"/>
      <sheetName val="차입금상환Sch(신한반영)"/>
      <sheetName val="FA Register"/>
      <sheetName val="7 (2)"/>
      <sheetName val="Oper Amount"/>
      <sheetName val="Sheet2"/>
      <sheetName val="제품분류코드"/>
      <sheetName val="기타예금_신탁예금_일별잔액"/>
      <sheetName val="WPL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各月细目"/>
      <sheetName val="수정시산표"/>
      <sheetName val="현장"/>
      <sheetName val="매출채권"/>
      <sheetName val="기타당좌자산"/>
      <sheetName val="5500"/>
      <sheetName val="기초자료"/>
      <sheetName val="시가기준수익율"/>
      <sheetName val="WBS"/>
      <sheetName val="상품제품월별매출"/>
      <sheetName val="Property"/>
      <sheetName val=" 견적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조회총괄"/>
      <sheetName val="환률"/>
      <sheetName val="부대"/>
      <sheetName val="단"/>
      <sheetName val="작성자"/>
      <sheetName val="합병분개 Adj"/>
      <sheetName val="Parameters"/>
      <sheetName val="비품(94이전)"/>
      <sheetName val="Tables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Sheet1_(2)2"/>
      <sheetName val="K-1_유형자산리드2"/>
      <sheetName val="P_L2"/>
      <sheetName val="1_CRMS_Data2"/>
      <sheetName val="★국가별_Exposure(보증인반영)1"/>
      <sheetName val="2-2_매출분석2"/>
      <sheetName val="폐토수익화_2"/>
      <sheetName val="00_08계정2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ISB_Report"/>
      <sheetName val="Results"/>
      <sheetName val="BS Prior"/>
      <sheetName val="Threshold Table"/>
      <sheetName val="Underlyings"/>
      <sheetName val="미수이자"/>
      <sheetName val="Macro2"/>
      <sheetName val="Cover"/>
      <sheetName val="관계회사거래내역및 채권채무잔액 99"/>
      <sheetName val="Administration"/>
      <sheetName val="BS"/>
      <sheetName val="식음료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1__Assumptions4"/>
      <sheetName val="Sheet1_(2)3"/>
      <sheetName val="K-1_유형자산리드3"/>
      <sheetName val="P_L3"/>
      <sheetName val="2-2_매출분석3"/>
      <sheetName val="★국가별_Exposure(보증인반영)2"/>
      <sheetName val="1_CRMS_Data3"/>
      <sheetName val="폐토수익화_3"/>
      <sheetName val="00_08계정3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월별손익"/>
      <sheetName val="보정사항"/>
      <sheetName val="테이블"/>
      <sheetName val="FX_Rate"/>
      <sheetName val="CAJE_CRJE"/>
      <sheetName val="Sale_&amp;_ENR"/>
      <sheetName val="Repayment Summary"/>
      <sheetName val="Sheet5"/>
      <sheetName val="Foreign Exchange Rates"/>
      <sheetName val="INCOME STATEMENT INPUT"/>
      <sheetName val="Data Input Sheet"/>
      <sheetName val="PAJE,PRJE"/>
      <sheetName val="WTB"/>
      <sheetName val="협력업체단기대여금"/>
      <sheetName val="주임종단기대여금(창원)"/>
      <sheetName val="SCFP94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협조전"/>
      <sheetName val="[성적96.xls]______BYUN________9_5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VAS-BS"/>
      <sheetName val="DI-ESTI"/>
      <sheetName val="p_3_Disc5"/>
      <sheetName val="US_Codes5"/>
      <sheetName val="국문FS(제조원가_반영전)5"/>
      <sheetName val="Requirement(Work_Crew)5"/>
      <sheetName val="매출(영업_VS_경리)5"/>
      <sheetName val="1__Assumptions5"/>
      <sheetName val="P_L4"/>
      <sheetName val="Sheet1_(2)4"/>
      <sheetName val="K-1_유형자산리드4"/>
      <sheetName val="폐토수익화_4"/>
      <sheetName val="00_08계정4"/>
      <sheetName val="1_CRMS_Data4"/>
      <sheetName val="2-2_매출분석4"/>
      <sheetName val="★국가별_Exposure(보증인반영)3"/>
      <sheetName val="2_대외공문3"/>
      <sheetName val="FA_Register3"/>
      <sheetName val="7_(2)3"/>
      <sheetName val="Oper_Amount3"/>
      <sheetName val="매출채권_lead3"/>
      <sheetName val="_견적서2"/>
      <sheetName val="Balance_Sheet2"/>
      <sheetName val="GP1_P&amp;L2"/>
      <sheetName val="합병분개_Adj2"/>
      <sheetName val="BS_Prior1"/>
      <sheetName val="Threshold_Table1"/>
      <sheetName val="관계회사거래내역및_채권채무잔액_991"/>
      <sheetName val="장기채무명세서(97_12_31)1"/>
      <sheetName val="FX_Rate1"/>
      <sheetName val="CAJE_CRJE1"/>
      <sheetName val="영업_일11"/>
      <sheetName val="Sale_&amp;_ENR1"/>
      <sheetName val="control_sheet"/>
      <sheetName val="일일자금_"/>
      <sheetName val="Repayment_Summary"/>
      <sheetName val="Foreign_Exchange_Rates"/>
      <sheetName val="INCOME_STATEMENT_INPUT"/>
      <sheetName val="Data_Input_Sheet"/>
      <sheetName val="[성적96_xls]______BYUN________9_4"/>
      <sheetName val="[성적96_xls]______BYUN________9_2"/>
      <sheetName val="[성적96_xls]______BYUN________9_3"/>
      <sheetName val="대손충당금설정_02_12월"/>
      <sheetName val="회전일수별_채권"/>
      <sheetName val="[성적96_xls]______BYUN________9_5"/>
      <sheetName val="AJE,RJE"/>
      <sheetName val="현금흐름표"/>
      <sheetName val="매출"/>
      <sheetName val="vapoc-00p12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完"/>
      <sheetName val="Repayment_Summary1"/>
      <sheetName val="일일자금_1"/>
      <sheetName val="TLCF"/>
      <sheetName val="BS(4)"/>
      <sheetName val="CONFIG"/>
      <sheetName val="동해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S영업외손익(연결)"/>
      <sheetName val="연체대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손익합산"/>
      <sheetName val="hmsim"/>
      <sheetName val="Data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가정"/>
      <sheetName val="Assumptions"/>
      <sheetName val="개인별급여명세서"/>
      <sheetName val="부장급 명단"/>
      <sheetName val="본봉표"/>
      <sheetName val="률표"/>
      <sheetName val="전체현황"/>
      <sheetName val="#REF"/>
      <sheetName val="93상각비"/>
      <sheetName val="Sheet5"/>
      <sheetName val="수신,비율"/>
      <sheetName val="CashFlow(중간집계)"/>
      <sheetName val="2. 담보명세"/>
      <sheetName val="마케팅예산"/>
      <sheetName val="00.08계정"/>
      <sheetName val="f_BS"/>
      <sheetName val="기감액자산"/>
      <sheetName val="설비-자산"/>
      <sheetName val="불용자산list"/>
      <sheetName val="CC"/>
      <sheetName val="분당임차변경"/>
      <sheetName val="Sheet1"/>
      <sheetName val="Configuration"/>
      <sheetName val="JournalSummary"/>
      <sheetName val="2담당0113"/>
      <sheetName val="1담당0113"/>
      <sheetName val="협조전"/>
      <sheetName val="liste des zones"/>
      <sheetName val="대성상사"/>
      <sheetName val="금융"/>
      <sheetName val="기본데이터"/>
      <sheetName val="10.1.청산가치"/>
      <sheetName val="Ⅱ1-0타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채무관계인등록현황"/>
      <sheetName val="US Codes"/>
      <sheetName val="정의"/>
      <sheetName val="반기_유가증권"/>
      <sheetName val="인건비"/>
      <sheetName val="COMBINED"/>
      <sheetName val="VALSTAT"/>
      <sheetName val="정산표"/>
      <sheetName val="2_대외공문2"/>
      <sheetName val="Master_(2)2"/>
      <sheetName val="부장급_명단2"/>
      <sheetName val="2__담보명세"/>
      <sheetName val="00_08계정2"/>
      <sheetName val="liste_des_zones"/>
      <sheetName val="10_1_청산가치"/>
      <sheetName val="1__Assumptions"/>
      <sheetName val="2-2_매출분석"/>
      <sheetName val="US_Codes"/>
      <sheetName val="기초자료"/>
      <sheetName val="pr34"/>
      <sheetName val="재료율"/>
      <sheetName val="HP1AMLIST"/>
      <sheetName val="계열사현황종합"/>
      <sheetName val="보고서"/>
      <sheetName val="PL,보정"/>
      <sheetName val="Parameters"/>
      <sheetName val="3.손익"/>
      <sheetName val="4.원가"/>
      <sheetName val="configure"/>
      <sheetName val="금리분석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Links"/>
      <sheetName val="Lead"/>
      <sheetName val="forecasted_BS"/>
      <sheetName val="forecasted_IS"/>
      <sheetName val="손익계산서"/>
      <sheetName val="대차대조표"/>
      <sheetName val="Sheet39"/>
      <sheetName val="97년 투입원가명세서"/>
      <sheetName val="97년직간접외주비"/>
      <sheetName val="98년직간접외주비"/>
      <sheetName val="CoA map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감가상각"/>
      <sheetName val="COMPS"/>
      <sheetName val="REF"/>
      <sheetName val="보고"/>
      <sheetName val="f_IS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참조 자료"/>
      <sheetName val="참고자료"/>
      <sheetName val="경리통보"/>
      <sheetName val="MMD"/>
      <sheetName val="합병분개 Adj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수금 "/>
      <sheetName val="신용조회 요청 템플릿 (참고자료)"/>
      <sheetName val="DTCT"/>
      <sheetName val="참조_자료"/>
      <sheetName val="인쇄BS"/>
      <sheetName val="variable"/>
      <sheetName val="도급"/>
      <sheetName val="업무규제한도관리-분기보"/>
      <sheetName val="퇴사_템플릿_(참고자료)"/>
      <sheetName val="입사_템플릿_(참고자료)"/>
      <sheetName val="input data"/>
      <sheetName val="LTFX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데이타"/>
      <sheetName val="식재인부"/>
      <sheetName val="Codes"/>
      <sheetName val="노무비"/>
      <sheetName val="신전산소항목시산표(5월)"/>
      <sheetName val="임차보증금현황04.6.30"/>
      <sheetName val="BS"/>
      <sheetName val="TB"/>
      <sheetName val="input_data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입찰안"/>
      <sheetName val="I_3 상품및서비스위험"/>
      <sheetName val="I_2. 고객위험"/>
      <sheetName val="손익"/>
      <sheetName val="지분법적용주식Leadsheet(1)"/>
      <sheetName val="분류표"/>
      <sheetName val="퇴사 템플릿"/>
      <sheetName val="Assumption"/>
      <sheetName val="기본정보"/>
      <sheetName val="Link"/>
      <sheetName val="경매비용 산출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  <sheetData sheetId="397" refreshError="1"/>
      <sheetData sheetId="39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"/>
      <sheetName val="준비금_과거지급율이용"/>
    </sheetNames>
    <sheetDataSet>
      <sheetData sheetId="0" refreshError="1">
        <row r="204">
          <cell r="D204">
            <v>49442411515</v>
          </cell>
        </row>
      </sheetData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Ⅱ1-0타"/>
      <sheetName val="종합일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1999.03.31"/>
      <sheetName val="합동별(기표용)"/>
      <sheetName val="보고"/>
      <sheetName val="ROOT "/>
      <sheetName val="금리분석"/>
      <sheetName val="J"/>
      <sheetName val="출금실적"/>
      <sheetName val="#REF"/>
      <sheetName val="관련부서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추정PL_1안"/>
      <sheetName val="5월"/>
      <sheetName val="분당임차변경"/>
      <sheetName val="HR 8.PJ건강"/>
      <sheetName val="HR 1.PJ기본급"/>
      <sheetName val="HR 2.PJ상여"/>
      <sheetName val="LIST"/>
      <sheetName val="세금"/>
      <sheetName val="연체대출_(2)"/>
      <sheetName val="6_취합중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INFO"/>
      <sheetName val="조회총괄"/>
      <sheetName val="성과급테이블"/>
      <sheetName val="코드목록"/>
      <sheetName val="신규구입자산"/>
      <sheetName val="주요업무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통화별 전체_rawdata"/>
      <sheetName val="temp1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____"/>
      <sheetName val="3.판관비명세서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무형자산명세"/>
      <sheetName val="대출채권 Lead"/>
      <sheetName val="BOD Plan"/>
      <sheetName val="전체내역"/>
      <sheetName val="자료"/>
      <sheetName val="상환익(2001년도)"/>
      <sheetName val="통합지보건전성(0201)"/>
      <sheetName val="유가증권현황"/>
      <sheetName val="기준"/>
      <sheetName val="US Codes"/>
      <sheetName val="정의"/>
      <sheetName val="Sch9"/>
      <sheetName val="2001Org"/>
      <sheetName val="F45"/>
      <sheetName val="WACC"/>
      <sheetName val="LeadSchedule"/>
      <sheetName val="ISB_Report"/>
      <sheetName val="8월차잔"/>
      <sheetName val="99노임기준"/>
      <sheetName val="단가대비표"/>
      <sheetName val="일위대가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준비금_과거지급율이용"/>
      <sheetName val="BSLA"/>
      <sheetName val="Lead"/>
      <sheetName val="포장비"/>
      <sheetName val="CLAIM"/>
      <sheetName val="data"/>
      <sheetName val="f3"/>
      <sheetName val="대출채권_Lead"/>
      <sheetName val="BOD_Plan"/>
      <sheetName val="US_Codes"/>
      <sheetName val="연체대출_(2)4"/>
      <sheetName val="6_취합중4"/>
      <sheetName val="1999_03_314"/>
      <sheetName val="2__담보명세4"/>
      <sheetName val="ROOT_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11.경비실적(배부후)"/>
      <sheetName val="23.연간 이자비용"/>
      <sheetName val="14.2013년실적"/>
      <sheetName val="경리통보"/>
      <sheetName val="시험연구비상각"/>
      <sheetName val="BOD_Plan1"/>
      <sheetName val="US_Codes1"/>
      <sheetName val="대출채권_Lead1"/>
      <sheetName val="전행순위"/>
      <sheetName val="인건비"/>
      <sheetName val="직종인원"/>
      <sheetName val="매출(본)"/>
      <sheetName val=" 연차수당 직무급화 소요재원_20180529.xlsx"/>
      <sheetName val="상각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実装LINE工程 "/>
      <sheetName val="YHCODE"/>
      <sheetName val="index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저장품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표지"/>
      <sheetName val="chart"/>
      <sheetName val="day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일일자금 "/>
      <sheetName val="건강보험"/>
      <sheetName val="고용보험"/>
      <sheetName val="국민연금"/>
      <sheetName val="전직원인건비"/>
      <sheetName val="Target3_1912"/>
      <sheetName val="RECON"/>
      <sheetName val="실행철강하도"/>
      <sheetName val="2.지분법적용주식Leadsheet(회사제시)"/>
      <sheetName val="기타예금_신탁예금_일별잔액"/>
      <sheetName val="호남2"/>
      <sheetName val="기준정보"/>
      <sheetName val="경비"/>
      <sheetName val="F5"/>
      <sheetName val="R&amp;D"/>
      <sheetName val="Sheet72"/>
      <sheetName val="Sheet75"/>
      <sheetName val="노임이"/>
      <sheetName val="Coding"/>
      <sheetName val="국외감가상각내역0103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BS(4)"/>
      <sheetName val="아파트 기성내역서"/>
      <sheetName val="회사정보"/>
      <sheetName val="2_지분법적용주식Leadsheet(회사제시)1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정공공사"/>
      <sheetName val="11월사업계획대실적"/>
      <sheetName val="2_지분법적용주식Leadsheet(회사제시)2"/>
      <sheetName val="산출근거"/>
      <sheetName val="비주거용"/>
      <sheetName val="partlist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안산기계장치"/>
      <sheetName val="95월별매출"/>
      <sheetName val="Sheet110"/>
      <sheetName val="Sheet7522"/>
      <sheetName val="Project Table"/>
      <sheetName val="목표세부명세"/>
      <sheetName val="기초코드"/>
      <sheetName val="카드"/>
      <sheetName val="기초자료"/>
      <sheetName val="감가상각LS (2)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임차보증금현황04.6.30"/>
      <sheetName val="발전외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Assumptions"/>
      <sheetName val="HR_8_PJ건ၒ_x0000_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목록"/>
      <sheetName val="사  업  비  수  지  예  산  서"/>
      <sheetName val="Project_Table"/>
      <sheetName val="임차보증금현황04_6_30"/>
      <sheetName val="감가상각LS_(2)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keymultinputs"/>
      <sheetName val="캔개발배경"/>
      <sheetName val="캔판매목표"/>
      <sheetName val="시장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一覧"/>
      <sheetName val="전체내역 (2)"/>
      <sheetName val="input shipments"/>
      <sheetName val="신규건수2"/>
      <sheetName val="4월신규_new"/>
      <sheetName val="Sheet113"/>
      <sheetName val="Sheet103"/>
      <sheetName val="현금과예금(부산)"/>
      <sheetName val="HSA"/>
      <sheetName val="2020년(2020년환율)"/>
      <sheetName val="Leedsheet"/>
      <sheetName val="상품별명세(200606)"/>
      <sheetName val="21.4월거래"/>
      <sheetName val="목표"/>
      <sheetName val="가정사항"/>
      <sheetName val="12.상품"/>
      <sheetName val="연체대출_(2)13"/>
      <sheetName val="6_취합중13"/>
      <sheetName val="1999_03_3113"/>
      <sheetName val="ROOT_13"/>
      <sheetName val="2__담보명세13"/>
      <sheetName val="HR_8_PJ건강13"/>
      <sheetName val="HR_1_PJ기본급13"/>
      <sheetName val="HR_2_PJ상여13"/>
      <sheetName val="GTI_(2)11"/>
      <sheetName val="GTI_(3)11"/>
      <sheetName val="re_(3)11"/>
      <sheetName val="아시아_1호564011"/>
      <sheetName val="bs_(3)11"/>
      <sheetName val="유류분_반환11"/>
      <sheetName val="_투자자산11"/>
      <sheetName val="_유형자산11"/>
      <sheetName val="_유형자산증가TOT11"/>
      <sheetName val="_유형자산감소TOT11"/>
      <sheetName val="_감가상각Overall11"/>
      <sheetName val="_무형자산11"/>
      <sheetName val="_이연자산11"/>
      <sheetName val="_단기차입금11"/>
      <sheetName val="_고정부채11"/>
      <sheetName val="_기타의고정부채11"/>
      <sheetName val="_퇴직추계액11"/>
      <sheetName val="_판관비11"/>
      <sheetName val="_퇴직금TOT11"/>
      <sheetName val="_자본11"/>
      <sheetName val="_제조원가211"/>
      <sheetName val="_제조경비TOT11"/>
      <sheetName val="_급여Overall11"/>
      <sheetName val="TUL_memo11"/>
      <sheetName val="어음,수표_Controll_Sheet11"/>
      <sheetName val="어음,수표_폐기현황11"/>
      <sheetName val="통화별_전체_rawdata11"/>
      <sheetName val="00-03_익스포져11"/>
      <sheetName val="3_판관비명세서11"/>
      <sheetName val="평산_v1_xlsx10"/>
      <sheetName val="BOD_Plan10"/>
      <sheetName val="US_Codes10"/>
      <sheetName val="대출채권_Lead10"/>
      <sheetName val="11_경비실적(배부후)8"/>
      <sheetName val="23_연간_이자비용8"/>
      <sheetName val="14_2013년실적8"/>
      <sheetName val="_연차수당_직무급화_소요재원_20180529_xlsx8"/>
      <sheetName val="C_F=출금표7"/>
      <sheetName val="実装LINE工程_7"/>
      <sheetName val="Summary_Rec7"/>
      <sheetName val="1185855,_21102517"/>
      <sheetName val="1185860,_21102537"/>
      <sheetName val="2130115,_2130215,_21320007"/>
      <sheetName val="월별_추이7"/>
      <sheetName val="순이자마진_추이7"/>
      <sheetName val="영업_일17"/>
      <sheetName val="3-1_연령별_개선율7"/>
      <sheetName val="2_지분법적용주식Leadsheet(회사제시)6"/>
      <sheetName val="일일자금_6"/>
      <sheetName val="Sheet1_(2)5"/>
      <sheetName val="아파트_기성내역서5"/>
      <sheetName val="sap`04_7_144"/>
      <sheetName val="Project_Table1"/>
      <sheetName val="감가상각LS_(2)1"/>
      <sheetName val="임차보증금현황04_6_301"/>
      <sheetName val="(99)-상품제품수불_-본지점1"/>
      <sheetName val="사__업__비__수__지__예__산__서1"/>
      <sheetName val="차주별_Cash_Flow_&amp;_차주별_낙찰대금(최종)"/>
      <sheetName val="I_3_상품및서비스위험"/>
      <sheetName val="I_2__고객위험"/>
      <sheetName val="Non-Statistical_Sampling_Master"/>
      <sheetName val="Two_Step_Revenue_Testing_Master"/>
      <sheetName val="Global_Data"/>
      <sheetName val="전체내역_(2)"/>
      <sheetName val="input_shipments"/>
      <sheetName val="유형자산(5700)"/>
      <sheetName val="임금"/>
      <sheetName val="LS"/>
      <sheetName val="basic_info"/>
      <sheetName val="신전산소항목시산표(5월)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>
        <row r="9">
          <cell r="A9">
            <v>80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>
        <row r="9">
          <cell r="A9">
            <v>1010051</v>
          </cell>
        </row>
      </sheetData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9">
          <cell r="A9">
            <v>1010051</v>
          </cell>
        </row>
      </sheetData>
      <sheetData sheetId="307">
        <row r="9">
          <cell r="A9">
            <v>1010051</v>
          </cell>
        </row>
      </sheetData>
      <sheetData sheetId="308">
        <row r="9">
          <cell r="A9">
            <v>1010051</v>
          </cell>
        </row>
      </sheetData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>
        <row r="9">
          <cell r="A9">
            <v>1010051</v>
          </cell>
        </row>
      </sheetData>
      <sheetData sheetId="345">
        <row r="9">
          <cell r="A9">
            <v>1010051</v>
          </cell>
        </row>
      </sheetData>
      <sheetData sheetId="346">
        <row r="9">
          <cell r="A9">
            <v>1010051</v>
          </cell>
        </row>
      </sheetData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>
        <row r="9">
          <cell r="A9">
            <v>1010051</v>
          </cell>
        </row>
      </sheetData>
      <sheetData sheetId="449">
        <row r="9">
          <cell r="A9">
            <v>1010051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 refreshError="1"/>
      <sheetData sheetId="461" refreshError="1"/>
      <sheetData sheetId="462" refreshError="1"/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>
        <row r="9">
          <cell r="A9">
            <v>1010051</v>
          </cell>
        </row>
      </sheetData>
      <sheetData sheetId="511">
        <row r="9">
          <cell r="A9">
            <v>1010051</v>
          </cell>
        </row>
      </sheetData>
      <sheetData sheetId="512">
        <row r="9">
          <cell r="A9">
            <v>1010051</v>
          </cell>
        </row>
      </sheetData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>
        <row r="9">
          <cell r="A9">
            <v>1010051</v>
          </cell>
        </row>
      </sheetData>
      <sheetData sheetId="516">
        <row r="9">
          <cell r="A9">
            <v>1010051</v>
          </cell>
        </row>
      </sheetData>
      <sheetData sheetId="517">
        <row r="9">
          <cell r="A9">
            <v>1010051</v>
          </cell>
        </row>
      </sheetData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9">
          <cell r="A9">
            <v>1010051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 refreshError="1"/>
      <sheetData sheetId="658" refreshError="1"/>
      <sheetData sheetId="659">
        <row r="9">
          <cell r="A9">
            <v>1010051</v>
          </cell>
        </row>
      </sheetData>
      <sheetData sheetId="660" refreshError="1"/>
      <sheetData sheetId="661" refreshError="1"/>
      <sheetData sheetId="662" refreshError="1"/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>
        <row r="9">
          <cell r="A9">
            <v>1010051</v>
          </cell>
        </row>
      </sheetData>
      <sheetData sheetId="720">
        <row r="9">
          <cell r="A9">
            <v>1010051</v>
          </cell>
        </row>
      </sheetData>
      <sheetData sheetId="721">
        <row r="9">
          <cell r="A9">
            <v>1010051</v>
          </cell>
        </row>
      </sheetData>
      <sheetData sheetId="722" refreshError="1"/>
      <sheetData sheetId="723" refreshError="1"/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>
        <row r="9">
          <cell r="A9">
            <v>1010051</v>
          </cell>
        </row>
      </sheetData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>
        <row r="9">
          <cell r="A9">
            <v>1010051</v>
          </cell>
        </row>
      </sheetData>
      <sheetData sheetId="790">
        <row r="9">
          <cell r="A9">
            <v>1010051</v>
          </cell>
        </row>
      </sheetData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>
        <row r="9">
          <cell r="A9">
            <v>1010051</v>
          </cell>
        </row>
      </sheetData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>
        <row r="9">
          <cell r="A9">
            <v>1010051</v>
          </cell>
        </row>
      </sheetData>
      <sheetData sheetId="805">
        <row r="9">
          <cell r="A9">
            <v>1010051</v>
          </cell>
        </row>
      </sheetData>
      <sheetData sheetId="806">
        <row r="9">
          <cell r="A9">
            <v>1010051</v>
          </cell>
        </row>
      </sheetData>
      <sheetData sheetId="807">
        <row r="9">
          <cell r="A9">
            <v>1010051</v>
          </cell>
        </row>
      </sheetData>
      <sheetData sheetId="808">
        <row r="9">
          <cell r="A9">
            <v>1010051</v>
          </cell>
        </row>
      </sheetData>
      <sheetData sheetId="809">
        <row r="9">
          <cell r="A9">
            <v>1010051</v>
          </cell>
        </row>
      </sheetData>
      <sheetData sheetId="810">
        <row r="9">
          <cell r="A9">
            <v>1010051</v>
          </cell>
        </row>
      </sheetData>
      <sheetData sheetId="811">
        <row r="9">
          <cell r="A9">
            <v>1010051</v>
          </cell>
        </row>
      </sheetData>
      <sheetData sheetId="812">
        <row r="9">
          <cell r="A9">
            <v>1010051</v>
          </cell>
        </row>
      </sheetData>
      <sheetData sheetId="813">
        <row r="9">
          <cell r="A9">
            <v>1010051</v>
          </cell>
        </row>
      </sheetData>
      <sheetData sheetId="814">
        <row r="9">
          <cell r="A9">
            <v>1010051</v>
          </cell>
        </row>
      </sheetData>
      <sheetData sheetId="815">
        <row r="9">
          <cell r="A9">
            <v>1010051</v>
          </cell>
        </row>
      </sheetData>
      <sheetData sheetId="816"/>
      <sheetData sheetId="817">
        <row r="9">
          <cell r="A9">
            <v>1010051</v>
          </cell>
        </row>
      </sheetData>
      <sheetData sheetId="818"/>
      <sheetData sheetId="819"/>
      <sheetData sheetId="820"/>
      <sheetData sheetId="821">
        <row r="9">
          <cell r="A9">
            <v>1010051</v>
          </cell>
        </row>
      </sheetData>
      <sheetData sheetId="822"/>
      <sheetData sheetId="823">
        <row r="9">
          <cell r="A9">
            <v>1010051</v>
          </cell>
        </row>
      </sheetData>
      <sheetData sheetId="824">
        <row r="9">
          <cell r="A9">
            <v>1010051</v>
          </cell>
        </row>
      </sheetData>
      <sheetData sheetId="825">
        <row r="9">
          <cell r="A9">
            <v>1010051</v>
          </cell>
        </row>
      </sheetData>
      <sheetData sheetId="826">
        <row r="9">
          <cell r="A9">
            <v>1010051</v>
          </cell>
        </row>
      </sheetData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>
        <row r="9">
          <cell r="A9">
            <v>1010051</v>
          </cell>
        </row>
      </sheetData>
      <sheetData sheetId="864">
        <row r="9">
          <cell r="A9">
            <v>1010051</v>
          </cell>
        </row>
      </sheetData>
      <sheetData sheetId="865" refreshError="1"/>
      <sheetData sheetId="866" refreshError="1"/>
      <sheetData sheetId="867">
        <row r="9">
          <cell r="A9">
            <v>1010051</v>
          </cell>
        </row>
      </sheetData>
      <sheetData sheetId="868">
        <row r="9">
          <cell r="A9">
            <v>1010051</v>
          </cell>
        </row>
      </sheetData>
      <sheetData sheetId="869">
        <row r="9">
          <cell r="A9">
            <v>1010051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>
        <row r="9">
          <cell r="A9">
            <v>1010051</v>
          </cell>
        </row>
      </sheetData>
      <sheetData sheetId="917">
        <row r="9">
          <cell r="A9">
            <v>1010051</v>
          </cell>
        </row>
      </sheetData>
      <sheetData sheetId="918">
        <row r="9">
          <cell r="A9">
            <v>1010051</v>
          </cell>
        </row>
      </sheetData>
      <sheetData sheetId="919">
        <row r="9">
          <cell r="A9">
            <v>1010051</v>
          </cell>
        </row>
      </sheetData>
      <sheetData sheetId="920">
        <row r="9">
          <cell r="A9">
            <v>1010051</v>
          </cell>
        </row>
      </sheetData>
      <sheetData sheetId="921">
        <row r="9">
          <cell r="A9">
            <v>1010051</v>
          </cell>
        </row>
      </sheetData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>
        <row r="9">
          <cell r="A9">
            <v>1010051</v>
          </cell>
        </row>
      </sheetData>
      <sheetData sheetId="934">
        <row r="9">
          <cell r="A9">
            <v>1010051</v>
          </cell>
        </row>
      </sheetData>
      <sheetData sheetId="935">
        <row r="9">
          <cell r="A9">
            <v>1010051</v>
          </cell>
        </row>
      </sheetData>
      <sheetData sheetId="936">
        <row r="9">
          <cell r="A9">
            <v>1010051</v>
          </cell>
        </row>
      </sheetData>
      <sheetData sheetId="937">
        <row r="9">
          <cell r="A9">
            <v>1010051</v>
          </cell>
        </row>
      </sheetData>
      <sheetData sheetId="938">
        <row r="9">
          <cell r="A9">
            <v>1010051</v>
          </cell>
        </row>
      </sheetData>
      <sheetData sheetId="939">
        <row r="9">
          <cell r="A9">
            <v>1010051</v>
          </cell>
        </row>
      </sheetData>
      <sheetData sheetId="940">
        <row r="9">
          <cell r="A9">
            <v>1010051</v>
          </cell>
        </row>
      </sheetData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>
        <row r="9">
          <cell r="A9">
            <v>1010051</v>
          </cell>
        </row>
      </sheetData>
      <sheetData sheetId="1002"/>
      <sheetData sheetId="1003">
        <row r="9">
          <cell r="A9">
            <v>1010051</v>
          </cell>
        </row>
      </sheetData>
      <sheetData sheetId="1004">
        <row r="9">
          <cell r="A9">
            <v>1010051</v>
          </cell>
        </row>
      </sheetData>
      <sheetData sheetId="1005">
        <row r="9">
          <cell r="A9">
            <v>1010051</v>
          </cell>
        </row>
      </sheetData>
      <sheetData sheetId="1006">
        <row r="9">
          <cell r="A9">
            <v>1010051</v>
          </cell>
        </row>
      </sheetData>
      <sheetData sheetId="1007"/>
      <sheetData sheetId="1008">
        <row r="9">
          <cell r="A9">
            <v>1010051</v>
          </cell>
        </row>
      </sheetData>
      <sheetData sheetId="1009">
        <row r="9">
          <cell r="A9">
            <v>1010051</v>
          </cell>
        </row>
      </sheetData>
      <sheetData sheetId="1010">
        <row r="9">
          <cell r="A9">
            <v>1010051</v>
          </cell>
        </row>
      </sheetData>
      <sheetData sheetId="1011">
        <row r="9">
          <cell r="A9">
            <v>1010051</v>
          </cell>
        </row>
      </sheetData>
      <sheetData sheetId="1012"/>
      <sheetData sheetId="1013"/>
      <sheetData sheetId="1014"/>
      <sheetData sheetId="1015"/>
      <sheetData sheetId="1016">
        <row r="9">
          <cell r="A9">
            <v>1010051</v>
          </cell>
        </row>
      </sheetData>
      <sheetData sheetId="1017">
        <row r="9">
          <cell r="A9">
            <v>1010051</v>
          </cell>
        </row>
      </sheetData>
      <sheetData sheetId="1018"/>
      <sheetData sheetId="1019"/>
      <sheetData sheetId="1020"/>
      <sheetData sheetId="1021">
        <row r="9">
          <cell r="A9">
            <v>1010051</v>
          </cell>
        </row>
      </sheetData>
      <sheetData sheetId="1022">
        <row r="9">
          <cell r="A9">
            <v>1010051</v>
          </cell>
        </row>
      </sheetData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인건비"/>
      <sheetName val="전체내역"/>
      <sheetName val="분개장"/>
      <sheetName val="연체대출"/>
      <sheetName val="갑지"/>
      <sheetName val="실행"/>
      <sheetName val="WACC"/>
      <sheetName val="118.세금과공과"/>
      <sheetName val="data"/>
      <sheetName val="센타별증감현황"/>
      <sheetName val="안전관리실"/>
      <sheetName val="Thru0003(cpa-자금)"/>
      <sheetName val="코드"/>
      <sheetName val="보정사항"/>
      <sheetName val="정산표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인원"/>
      <sheetName val="은행관리점등록점이다른회원명세"/>
      <sheetName val="conclusion"/>
      <sheetName val="Deduction"/>
      <sheetName val="other"/>
      <sheetName val="f_BS"/>
      <sheetName val="초회"/>
      <sheetName val="@공통코드"/>
      <sheetName val="대환취급"/>
      <sheetName val="출금실적"/>
      <sheetName val="공통속성"/>
      <sheetName val="2. 담보명세"/>
      <sheetName val="분당임차변경"/>
      <sheetName val="basic_info"/>
      <sheetName val="Ⅱ1-0타"/>
      <sheetName val="LIST"/>
      <sheetName val="건물"/>
      <sheetName val="팀스텔"/>
      <sheetName val="Code"/>
      <sheetName val="합동별(기표용)"/>
      <sheetName val="성적표96"/>
      <sheetName val="YHCODE"/>
      <sheetName val="국외감가상각내역0103"/>
      <sheetName val="選択肢"/>
      <sheetName val="HR 8.PJ건강"/>
      <sheetName val="HR 1.PJ기본급"/>
      <sheetName val="HR 2.PJ상여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24期建物付属"/>
      <sheetName val="24期什器備品"/>
      <sheetName val="매도가능 기타"/>
      <sheetName val="표지어음"/>
      <sheetName val="fxrate"/>
      <sheetName val="상품입고집계"/>
      <sheetName val="평가예상(200308)"/>
      <sheetName val="WBS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2.대외공문"/>
      <sheetName val="LS"/>
      <sheetName val="지급융통"/>
      <sheetName val="수입"/>
      <sheetName val="리드"/>
      <sheetName val="Macro3"/>
      <sheetName val="Inputs"/>
      <sheetName val="Mult-3yr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보정전"/>
      <sheetName val="갑지"/>
      <sheetName val="실행"/>
      <sheetName val="Manual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기본"/>
      <sheetName val="출고"/>
      <sheetName val="입고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갑지"/>
      <sheetName val="실행"/>
      <sheetName val="보험료분해TB_(2)1"/>
      <sheetName val="보험료분해TB_(2)"/>
      <sheetName val="정의"/>
      <sheetName val="잉여금"/>
      <sheetName val="손익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적용이율"/>
      <sheetName val="이율변동내역"/>
      <sheetName val="약관대출이율 변동내역"/>
      <sheetName val="본부유지율"/>
      <sheetName val="인수기간별S"/>
      <sheetName val="INSTRUMENT"/>
      <sheetName val="Data"/>
      <sheetName val="REF"/>
      <sheetName val="99선급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Master"/>
      <sheetName val="Tax adj."/>
      <sheetName val="Reversal_Tax adj."/>
      <sheetName val="민감도"/>
      <sheetName val="교환국"/>
      <sheetName val="기지국"/>
      <sheetName val="기타"/>
      <sheetName val="원격국"/>
      <sheetName val="주장비"/>
      <sheetName val="중계국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LIST"/>
      <sheetName val="정일"/>
      <sheetName val="정의"/>
      <sheetName val="총괄표"/>
      <sheetName val="8100"/>
      <sheetName val="회전율"/>
      <sheetName val="회사전체"/>
      <sheetName val="TEMP"/>
      <sheetName val="JA"/>
      <sheetName val="금융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이자"/>
      <sheetName val="변제"/>
      <sheetName val="상환대상"/>
      <sheetName val="95하"/>
      <sheetName val="25.보증금(임차보증금외)"/>
      <sheetName val="갑지"/>
      <sheetName val="실행"/>
      <sheetName val="표준CoA"/>
      <sheetName val="Tranche"/>
      <sheetName val="대환취급"/>
      <sheetName val="상품입력"/>
      <sheetName val="CODE"/>
      <sheetName val="수정시산표"/>
      <sheetName val="2담당0113"/>
      <sheetName val="매각대상(전체)"/>
      <sheetName val="회사정보"/>
      <sheetName val="대출채권"/>
      <sheetName val="INSTRUMENT"/>
      <sheetName val="재료비"/>
      <sheetName val="매출.물동명세"/>
      <sheetName val="경락률"/>
      <sheetName val="법원비용"/>
      <sheetName val="LoanList"/>
      <sheetName val="잔존년수"/>
      <sheetName val="항고구분"/>
      <sheetName val="경매회차하락률"/>
      <sheetName val="급여명세표(정규직)"/>
      <sheetName val="TB"/>
      <sheetName val="회사개황최종"/>
      <sheetName val="매입매출(입력)"/>
      <sheetName val="97년추정손익계산서"/>
      <sheetName val="급여테이블"/>
      <sheetName val="의료보험표준보수액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BS"/>
      <sheetName val="IS"/>
      <sheetName val="공통"/>
      <sheetName val="관리별정촉탁-기초data"/>
      <sheetName val="총괄집계"/>
      <sheetName val="업체개요"/>
      <sheetName val="1담당0113"/>
      <sheetName val="생산판매재고"/>
      <sheetName val="지점장"/>
      <sheetName val="손익합산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환율시트"/>
      <sheetName val="계정code"/>
      <sheetName val="24.보증금(전신전화가입권)"/>
      <sheetName val="basic_info"/>
      <sheetName val="Main"/>
      <sheetName val="계수원본(99.2.28)"/>
      <sheetName val="17(L)_원가배부(규격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sap`04.7.14"/>
      <sheetName val="초회계획"/>
      <sheetName val="현금"/>
      <sheetName val="작성자"/>
      <sheetName val="본부별실적"/>
      <sheetName val="전월포함실적(0101-0110)"/>
      <sheetName val="비용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1"/>
      <sheetName val="txt(보정)"/>
      <sheetName val="96제조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Check"/>
      <sheetName val="Links"/>
      <sheetName val="Lead"/>
      <sheetName val="절대지우지말것"/>
      <sheetName val="ROOT "/>
      <sheetName val="권리분석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인스탄스 정의"/>
      <sheetName val="기초자료"/>
      <sheetName val="이익처분"/>
      <sheetName val="주석 Interface(BS)"/>
      <sheetName val="코드상세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월별"/>
      <sheetName val="99생산계획 (1,300)"/>
      <sheetName val="고호석"/>
      <sheetName val="국민년금전환금"/>
      <sheetName val="년월차수당"/>
      <sheetName val="상여금"/>
      <sheetName val="상환여부"/>
      <sheetName val="순자본(증권+운용사)"/>
      <sheetName val="계정과목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1999"/>
      <sheetName val="일자"/>
      <sheetName val="환율"/>
      <sheetName val="배정조정"/>
      <sheetName val="기초"/>
      <sheetName val="주요기준"/>
      <sheetName val="임차보증금현황04.6.30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상조회"/>
      <sheetName val="의보"/>
      <sheetName val="생산직잔업"/>
      <sheetName val="98상품수불(기초)"/>
      <sheetName val="98제품수불부"/>
      <sheetName val="tc result"/>
      <sheetName val="인원자료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상여총괄보고용"/>
      <sheetName val="2011년 연봉_이의신청반영전"/>
      <sheetName val="leasing"/>
      <sheetName val="SUMMARY"/>
      <sheetName val="controll"/>
      <sheetName val="config"/>
      <sheetName val="경기남부"/>
      <sheetName val="입력항목"/>
      <sheetName val="담보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>
        <row r="2">
          <cell r="A2" t="str">
            <v>100001</v>
          </cell>
        </row>
      </sheetData>
      <sheetData sheetId="11">
        <row r="2">
          <cell r="A2" t="str">
            <v>100001</v>
          </cell>
        </row>
      </sheetData>
      <sheetData sheetId="12" refreshError="1"/>
      <sheetData sheetId="13">
        <row r="2">
          <cell r="A2" t="str">
            <v>100001</v>
          </cell>
        </row>
      </sheetData>
      <sheetData sheetId="14">
        <row r="2">
          <cell r="A2" t="str">
            <v>100001</v>
          </cell>
        </row>
      </sheetData>
      <sheetData sheetId="15">
        <row r="2">
          <cell r="A2" t="str">
            <v>100001</v>
          </cell>
        </row>
      </sheetData>
      <sheetData sheetId="16">
        <row r="2">
          <cell r="A2" t="str">
            <v>100001</v>
          </cell>
        </row>
      </sheetData>
      <sheetData sheetId="17">
        <row r="2">
          <cell r="A2" t="str">
            <v>100001</v>
          </cell>
        </row>
      </sheetData>
      <sheetData sheetId="18">
        <row r="2">
          <cell r="A2" t="str">
            <v>100001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2">
          <cell r="A2" t="str">
            <v>100001</v>
          </cell>
        </row>
      </sheetData>
      <sheetData sheetId="87" refreshError="1"/>
      <sheetData sheetId="88">
        <row r="2">
          <cell r="A2" t="str">
            <v>100001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2">
          <cell r="A2" t="str">
            <v>100001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A2" t="str">
            <v>100001</v>
          </cell>
        </row>
      </sheetData>
      <sheetData sheetId="103">
        <row r="2">
          <cell r="A2" t="str">
            <v>100001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 refreshError="1"/>
      <sheetData sheetId="243">
        <row r="2">
          <cell r="A2" t="str">
            <v>100001</v>
          </cell>
        </row>
      </sheetData>
      <sheetData sheetId="244">
        <row r="2">
          <cell r="A2" t="str">
            <v>100001</v>
          </cell>
        </row>
      </sheetData>
      <sheetData sheetId="245" refreshError="1"/>
      <sheetData sheetId="246">
        <row r="2">
          <cell r="A2" t="str">
            <v>100001</v>
          </cell>
        </row>
      </sheetData>
      <sheetData sheetId="247">
        <row r="2">
          <cell r="A2" t="str">
            <v>100001</v>
          </cell>
        </row>
      </sheetData>
      <sheetData sheetId="248">
        <row r="2">
          <cell r="A2" t="str">
            <v>100001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2">
          <cell r="A2" t="str">
            <v>100001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2">
          <cell r="A2" t="str">
            <v>100001</v>
          </cell>
        </row>
      </sheetData>
      <sheetData sheetId="320">
        <row r="2">
          <cell r="A2" t="str">
            <v>100001</v>
          </cell>
        </row>
      </sheetData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리(총괄)"/>
      <sheetName val="개별위험"/>
      <sheetName val="시장위험"/>
      <sheetName val="현재적용이율"/>
    </sheetNames>
    <sheetDataSet>
      <sheetData sheetId="0" refreshError="1">
        <row r="1">
          <cell r="D1">
            <v>38077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틀"/>
      <sheetName val="03-03-31"/>
      <sheetName val="시장위험"/>
      <sheetName val="개별위험"/>
      <sheetName val="금리(총괄)"/>
      <sheetName val="주식"/>
    </sheetNames>
    <sheetDataSet>
      <sheetData sheetId="0" refreshError="1"/>
      <sheetData sheetId="1" refreshError="1"/>
      <sheetData sheetId="2" refreshError="1">
        <row r="3">
          <cell r="P3">
            <v>37711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2001지급준비금"/>
      <sheetName val="clm작업"/>
      <sheetName val="분류"/>
      <sheetName val="물가지수"/>
      <sheetName val="C.L.M_200003"/>
      <sheetName val="C.L.M_200103"/>
      <sheetName val="C.L.M_200203"/>
      <sheetName val="C.L.M_200203 (개정)"/>
      <sheetName val="C.L.M_200203 (개정_APM) "/>
      <sheetName val="Sheet1"/>
      <sheetName val="C.L.M_200206 "/>
      <sheetName val="C.L.M_200206  (개정)"/>
      <sheetName val="count"/>
      <sheetName val="지급준비금계산표"/>
      <sheetName val="C_L_M_200003"/>
      <sheetName val="C_L_M_200103"/>
      <sheetName val="C_L_M_200203"/>
      <sheetName val="C_L_M_200203_(개정)"/>
      <sheetName val="C_L_M_200203_(개정_APM)_"/>
      <sheetName val="C_L_M_200206_"/>
      <sheetName val="C_L_M_200206__(개정)"/>
      <sheetName val="보종별,계정별 사업비"/>
      <sheetName val="시장위험"/>
      <sheetName val="가입플랜"/>
      <sheetName val="위험율(급수)"/>
      <sheetName val="213"/>
      <sheetName val="현재적용이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보고서"/>
      <sheetName val="순자본 산정"/>
      <sheetName val="총위험액 산정"/>
      <sheetName val="산정방식"/>
      <sheetName val="5%초과항목 세부내역"/>
      <sheetName val="10%변동항목 변동사유"/>
      <sheetName val="자산부채비율 산정"/>
      <sheetName val="경영실태평가비율"/>
      <sheetName val="경영실태평가비율_데이터"/>
      <sheetName val="순자본항목"/>
      <sheetName val="거래상대방위험 산정"/>
      <sheetName val="시장위험 산정"/>
      <sheetName val="기초위험 산정"/>
      <sheetName val="기초위험 산정-old"/>
      <sheetName val="대손충당금"/>
      <sheetName val="투자유가증권"/>
      <sheetName val="증안기금"/>
      <sheetName val="임차보증금(서울)"/>
      <sheetName val="임차보증금(지방)"/>
      <sheetName val="전세권"/>
      <sheetName val="주식"/>
      <sheetName val="기타상품유가증권"/>
      <sheetName val="외화주식"/>
      <sheetName val="금리(총괄)"/>
      <sheetName val="금리(개별)"/>
      <sheetName val="금리(일반시장)"/>
      <sheetName val="금리선물"/>
      <sheetName val="수익증권"/>
      <sheetName val="외환위험액"/>
      <sheetName val="외환선도"/>
      <sheetName val="인수위험"/>
      <sheetName val="차입유가증권"/>
      <sheetName val="RP매도"/>
      <sheetName val="신용공여금"/>
      <sheetName val="미수금(총괄)"/>
      <sheetName val="미수채권(감사실)"/>
      <sheetName val="증권미수금(주식)"/>
      <sheetName val="증권미수금(선물옵션)"/>
      <sheetName val="기타미수금"/>
      <sheetName val="기초위험액"/>
      <sheetName val="대차대조표 12.31"/>
      <sheetName val="손익계산서02"/>
      <sheetName val="손익계산서03"/>
      <sheetName val="물가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L1" t="str">
            <v>단위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(2)"/>
      <sheetName val="kwamok(2)"/>
      <sheetName val="Sheet1"/>
      <sheetName val="현재가치할인차금명세 (2)"/>
      <sheetName val="현재가치할인차금명세"/>
      <sheetName val="kwamok"/>
      <sheetName val="CIF"/>
      <sheetName val="대지급금(외화)"/>
      <sheetName val="종합일지"/>
      <sheetName val="f_BS"/>
      <sheetName val="f_IS"/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합병분개 Adj"/>
      <sheetName val="US Codes"/>
      <sheetName val="ROOT "/>
      <sheetName val="basic_info"/>
      <sheetName val="GOE Budget"/>
      <sheetName val="MAIN"/>
      <sheetName val="Sheet2"/>
      <sheetName val="3백이하"/>
      <sheetName val="#REF"/>
      <sheetName val="율반영"/>
      <sheetName val="INSTRUMENT"/>
      <sheetName val="분당임차변경"/>
      <sheetName val="Sheet1 (2)"/>
      <sheetName val="10월 급여"/>
      <sheetName val="코드"/>
      <sheetName val="CJE집계"/>
      <sheetName val="(사)판관비"/>
      <sheetName val="(사)손익"/>
      <sheetName val="정의"/>
      <sheetName val="연체대출"/>
      <sheetName val="갑지"/>
      <sheetName val="실행"/>
      <sheetName val="합동별(기표용)"/>
      <sheetName val="성적표96"/>
      <sheetName val="차금분류"/>
      <sheetName val="대환취급"/>
      <sheetName val="정산표"/>
      <sheetName val="Lists"/>
      <sheetName val="LIST"/>
      <sheetName val="주식가치"/>
      <sheetName val="일반관리비(선급보험료)-총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보고서"/>
      <sheetName val="순자본 산정"/>
      <sheetName val="총위험액 산정"/>
      <sheetName val="산정방식"/>
      <sheetName val="5%초과항목 세부내역"/>
      <sheetName val="10%변동항목 변동사유"/>
      <sheetName val="순자본항목"/>
      <sheetName val="시장위험 산정"/>
      <sheetName val="거래상대방위험 산정"/>
      <sheetName val="기초위험 산정"/>
      <sheetName val="대손충당금"/>
      <sheetName val="투자유가증권"/>
      <sheetName val="임차보증금(서울)"/>
      <sheetName val="임차보증금(지방)"/>
      <sheetName val="전세권"/>
      <sheetName val="외화주식"/>
      <sheetName val="옵션위험"/>
      <sheetName val="수익증권"/>
      <sheetName val="외환위험액"/>
      <sheetName val="인수위험"/>
      <sheetName val="차입유가증권"/>
      <sheetName val="파생상품"/>
      <sheetName val="RP매도"/>
      <sheetName val="신용공여금"/>
      <sheetName val="미수금(총괄)"/>
      <sheetName val="미수채권"/>
      <sheetName val="증권미수금(주식)"/>
      <sheetName val="증권미수금(선물옵션)"/>
      <sheetName val="채권미수금"/>
      <sheetName val="기타미수금"/>
      <sheetName val="기초위험액"/>
      <sheetName val="대차대조표"/>
      <sheetName val="자산부채비율 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">
          <cell r="A4" t="str">
            <v>1000000</v>
          </cell>
          <cell r="B4">
            <v>1087082.8353132335</v>
          </cell>
        </row>
        <row r="5">
          <cell r="A5" t="str">
            <v>1100000</v>
          </cell>
          <cell r="B5">
            <v>985489.00250823365</v>
          </cell>
        </row>
        <row r="6">
          <cell r="A6" t="str">
            <v>1102000</v>
          </cell>
          <cell r="B6">
            <v>3547.4162489999999</v>
          </cell>
        </row>
        <row r="7">
          <cell r="A7" t="str">
            <v>1101000</v>
          </cell>
          <cell r="B7">
            <v>1.9939999999999999E-2</v>
          </cell>
        </row>
        <row r="8">
          <cell r="A8" t="str">
            <v>1102030</v>
          </cell>
          <cell r="B8">
            <v>0</v>
          </cell>
        </row>
        <row r="9">
          <cell r="A9" t="str">
            <v>1102020</v>
          </cell>
          <cell r="B9">
            <v>389.19450799999998</v>
          </cell>
        </row>
        <row r="10">
          <cell r="A10" t="str">
            <v>1102010</v>
          </cell>
          <cell r="B10">
            <v>2001.864687</v>
          </cell>
        </row>
        <row r="11">
          <cell r="A11" t="str">
            <v>1139020</v>
          </cell>
          <cell r="B11">
            <v>1141.3371139999999</v>
          </cell>
        </row>
        <row r="12">
          <cell r="A12" t="str">
            <v>1102040</v>
          </cell>
          <cell r="B12">
            <v>15</v>
          </cell>
        </row>
        <row r="13">
          <cell r="A13" t="str">
            <v>1102050</v>
          </cell>
          <cell r="B13">
            <v>0</v>
          </cell>
        </row>
        <row r="14">
          <cell r="A14" t="str">
            <v>1104000</v>
          </cell>
          <cell r="B14">
            <v>195242.451524</v>
          </cell>
        </row>
        <row r="15">
          <cell r="A15" t="str">
            <v>1104010</v>
          </cell>
          <cell r="B15">
            <v>20.939900000000002</v>
          </cell>
        </row>
        <row r="16">
          <cell r="A16" t="str">
            <v>1104011</v>
          </cell>
          <cell r="B16">
            <v>20.939900000000002</v>
          </cell>
        </row>
        <row r="17">
          <cell r="A17" t="str">
            <v>1104027</v>
          </cell>
          <cell r="B17">
            <v>192314.92011800001</v>
          </cell>
        </row>
        <row r="18">
          <cell r="A18" t="str">
            <v>1104028</v>
          </cell>
          <cell r="B18">
            <v>139827.266344</v>
          </cell>
        </row>
        <row r="19">
          <cell r="A19" t="str">
            <v>1104029</v>
          </cell>
          <cell r="B19">
            <v>52487.653773999999</v>
          </cell>
        </row>
        <row r="20">
          <cell r="A20" t="str">
            <v>1104031</v>
          </cell>
          <cell r="B20">
            <v>2168.7750000000001</v>
          </cell>
        </row>
        <row r="21">
          <cell r="A21" t="str">
            <v>1104090</v>
          </cell>
          <cell r="B21">
            <v>737.816506</v>
          </cell>
        </row>
        <row r="22">
          <cell r="A22" t="str">
            <v>1123990</v>
          </cell>
          <cell r="B22">
            <v>594867.19340700004</v>
          </cell>
        </row>
        <row r="23">
          <cell r="A23" t="str">
            <v>1124000</v>
          </cell>
          <cell r="B23">
            <v>594867.19340700004</v>
          </cell>
        </row>
        <row r="24">
          <cell r="A24" t="str">
            <v>1124010</v>
          </cell>
          <cell r="B24">
            <v>48552.737650000003</v>
          </cell>
        </row>
        <row r="25">
          <cell r="A25" t="str">
            <v>1124030</v>
          </cell>
          <cell r="B25">
            <v>469391.00380300003</v>
          </cell>
        </row>
        <row r="26">
          <cell r="A26" t="str">
            <v>1124040</v>
          </cell>
          <cell r="B26">
            <v>19832.843970999998</v>
          </cell>
        </row>
        <row r="27">
          <cell r="A27" t="str">
            <v>1124050</v>
          </cell>
          <cell r="B27">
            <v>35155.326809999999</v>
          </cell>
        </row>
        <row r="28">
          <cell r="A28" t="str">
            <v>1124049</v>
          </cell>
          <cell r="B28">
            <v>35155.326809999999</v>
          </cell>
        </row>
        <row r="29">
          <cell r="A29" t="str">
            <v>1139030</v>
          </cell>
          <cell r="B29">
            <v>21927.757473000001</v>
          </cell>
        </row>
        <row r="30">
          <cell r="A30" t="str">
            <v>1139031</v>
          </cell>
          <cell r="B30">
            <v>4542.1314700000003</v>
          </cell>
        </row>
        <row r="31">
          <cell r="A31" t="str">
            <v>1139032</v>
          </cell>
          <cell r="B31">
            <v>17385.626003000001</v>
          </cell>
        </row>
        <row r="32">
          <cell r="A32" t="str">
            <v>1124060</v>
          </cell>
          <cell r="B32">
            <v>7.5236999999999998</v>
          </cell>
        </row>
        <row r="33">
          <cell r="A33" t="str">
            <v>1125099</v>
          </cell>
          <cell r="B33">
            <v>122.52000000004386</v>
          </cell>
        </row>
        <row r="34">
          <cell r="A34" t="str">
            <v>1105000</v>
          </cell>
          <cell r="B34">
            <v>46741.452023999998</v>
          </cell>
        </row>
        <row r="35">
          <cell r="A35" t="str">
            <v>1103000</v>
          </cell>
          <cell r="B35">
            <v>5000</v>
          </cell>
        </row>
        <row r="36">
          <cell r="A36" t="str">
            <v>1105010</v>
          </cell>
          <cell r="B36">
            <v>40717.608752</v>
          </cell>
        </row>
        <row r="37">
          <cell r="A37" t="str">
            <v>1110000</v>
          </cell>
          <cell r="B37">
            <v>19169.916616999999</v>
          </cell>
        </row>
        <row r="38">
          <cell r="A38" t="str">
            <v>1110050</v>
          </cell>
          <cell r="B38">
            <v>0</v>
          </cell>
        </row>
        <row r="39">
          <cell r="A39" t="str">
            <v>1113000</v>
          </cell>
          <cell r="B39">
            <v>987.76932499999998</v>
          </cell>
        </row>
        <row r="40">
          <cell r="A40" t="str">
            <v>1115000</v>
          </cell>
          <cell r="B40">
            <v>20559.92281</v>
          </cell>
        </row>
        <row r="41">
          <cell r="A41" t="str">
            <v>1121000</v>
          </cell>
          <cell r="B41">
            <v>23.843271999999999</v>
          </cell>
        </row>
        <row r="42">
          <cell r="A42" t="str">
            <v>1121030</v>
          </cell>
          <cell r="B42">
            <v>23.843271999999999</v>
          </cell>
        </row>
        <row r="43">
          <cell r="A43" t="str">
            <v>1128000</v>
          </cell>
          <cell r="B43">
            <v>1000</v>
          </cell>
        </row>
        <row r="44">
          <cell r="A44" t="str">
            <v>1106000</v>
          </cell>
          <cell r="B44">
            <v>148464.09647823361</v>
          </cell>
        </row>
        <row r="45">
          <cell r="A45" t="str">
            <v>1122000</v>
          </cell>
          <cell r="B45">
            <v>140215.293321</v>
          </cell>
        </row>
        <row r="46">
          <cell r="A46" t="str">
            <v>1122010</v>
          </cell>
          <cell r="B46">
            <v>16161.287045999999</v>
          </cell>
        </row>
        <row r="47">
          <cell r="A47" t="str">
            <v>1122050</v>
          </cell>
          <cell r="B47">
            <v>90094.782539000007</v>
          </cell>
        </row>
        <row r="48">
          <cell r="A48" t="str">
            <v>1122070</v>
          </cell>
          <cell r="B48">
            <v>33065.892752</v>
          </cell>
        </row>
        <row r="49">
          <cell r="A49" t="str">
            <v>1122030</v>
          </cell>
          <cell r="B49">
            <v>893.33098399999994</v>
          </cell>
        </row>
        <row r="50">
          <cell r="A50" t="str">
            <v>1123000</v>
          </cell>
          <cell r="B50">
            <v>4227.9962459999997</v>
          </cell>
        </row>
        <row r="51">
          <cell r="A51" t="str">
            <v>1123010</v>
          </cell>
          <cell r="B51">
            <v>0.162052</v>
          </cell>
        </row>
        <row r="52">
          <cell r="A52" t="str">
            <v>1123030</v>
          </cell>
          <cell r="B52">
            <v>1E-3</v>
          </cell>
        </row>
        <row r="53">
          <cell r="A53" t="str">
            <v>1123050</v>
          </cell>
          <cell r="B53">
            <v>2381.1117370000002</v>
          </cell>
        </row>
        <row r="54">
          <cell r="A54" t="str">
            <v>1123090</v>
          </cell>
          <cell r="B54">
            <v>101.03882</v>
          </cell>
        </row>
        <row r="55">
          <cell r="A55" t="str">
            <v>1123110</v>
          </cell>
          <cell r="B55">
            <v>1745.6826370000001</v>
          </cell>
        </row>
        <row r="56">
          <cell r="A56" t="str">
            <v>1132000</v>
          </cell>
          <cell r="B56">
            <v>2903.4535430000001</v>
          </cell>
        </row>
        <row r="57">
          <cell r="A57" t="str">
            <v>1132010</v>
          </cell>
          <cell r="B57">
            <v>2462.2598619999999</v>
          </cell>
        </row>
        <row r="58">
          <cell r="A58" t="str">
            <v>1132040</v>
          </cell>
          <cell r="B58">
            <v>441.19368100000003</v>
          </cell>
        </row>
        <row r="59">
          <cell r="A59" t="str">
            <v>1135000</v>
          </cell>
          <cell r="B59">
            <v>392.41144400000002</v>
          </cell>
        </row>
        <row r="60">
          <cell r="A60" t="str">
            <v>1118999</v>
          </cell>
          <cell r="B60">
            <v>2.3360332972628544E-7</v>
          </cell>
        </row>
        <row r="61">
          <cell r="A61" t="str">
            <v>1129000</v>
          </cell>
          <cell r="B61">
            <v>231.162915</v>
          </cell>
        </row>
        <row r="62">
          <cell r="A62" t="str">
            <v>1129200</v>
          </cell>
          <cell r="B62">
            <v>231.162915</v>
          </cell>
        </row>
        <row r="63">
          <cell r="A63" t="str">
            <v>1140000</v>
          </cell>
          <cell r="B63">
            <v>493.77900899999997</v>
          </cell>
        </row>
        <row r="64">
          <cell r="A64" t="str">
            <v>1107000</v>
          </cell>
          <cell r="B64">
            <v>-3496.1271740000002</v>
          </cell>
        </row>
        <row r="65">
          <cell r="A65" t="str">
            <v>1107010</v>
          </cell>
          <cell r="B65">
            <v>-203.588044</v>
          </cell>
        </row>
        <row r="66">
          <cell r="A66" t="str">
            <v>1107030</v>
          </cell>
          <cell r="B66">
            <v>-22.477162</v>
          </cell>
        </row>
        <row r="67">
          <cell r="A67" t="str">
            <v>1123130</v>
          </cell>
          <cell r="B67">
            <v>-5</v>
          </cell>
        </row>
        <row r="68">
          <cell r="A68" t="str">
            <v>1122100</v>
          </cell>
          <cell r="B68">
            <v>-2413.1537119999998</v>
          </cell>
        </row>
        <row r="69">
          <cell r="A69" t="str">
            <v>1122200</v>
          </cell>
          <cell r="B69">
            <v>-393.52572300000003</v>
          </cell>
        </row>
        <row r="70">
          <cell r="A70" t="str">
            <v>1107060</v>
          </cell>
          <cell r="B70">
            <v>-458.38253300000002</v>
          </cell>
        </row>
        <row r="71">
          <cell r="A71" t="str">
            <v>1200000</v>
          </cell>
          <cell r="B71">
            <v>101593.832805</v>
          </cell>
        </row>
        <row r="72">
          <cell r="A72" t="str">
            <v>1201000</v>
          </cell>
          <cell r="B72">
            <v>30124.375480999999</v>
          </cell>
        </row>
        <row r="73">
          <cell r="A73" t="str">
            <v>1201070</v>
          </cell>
          <cell r="B73">
            <v>26810.665166999999</v>
          </cell>
        </row>
        <row r="74">
          <cell r="A74" t="str">
            <v>1201010</v>
          </cell>
          <cell r="B74">
            <v>7638.4403750000001</v>
          </cell>
        </row>
        <row r="75">
          <cell r="A75" t="str">
            <v>1302040</v>
          </cell>
          <cell r="B75">
            <v>50.1</v>
          </cell>
        </row>
        <row r="76">
          <cell r="A76" t="str">
            <v>1302030</v>
          </cell>
          <cell r="B76">
            <v>19122.124791999999</v>
          </cell>
        </row>
        <row r="77">
          <cell r="A77" t="str">
            <v>1303000</v>
          </cell>
          <cell r="B77">
            <v>3313.7103139999999</v>
          </cell>
        </row>
        <row r="78">
          <cell r="A78" t="str">
            <v>1304000</v>
          </cell>
          <cell r="B78">
            <v>3313.7103139999999</v>
          </cell>
        </row>
        <row r="79">
          <cell r="A79" t="str">
            <v>1202000</v>
          </cell>
          <cell r="B79">
            <v>26070.740803000001</v>
          </cell>
        </row>
        <row r="80">
          <cell r="A80" t="str">
            <v>1202010</v>
          </cell>
          <cell r="B80">
            <v>33.9</v>
          </cell>
        </row>
        <row r="81">
          <cell r="A81" t="str">
            <v>1202030</v>
          </cell>
          <cell r="B81">
            <v>2989.4779400000002</v>
          </cell>
        </row>
        <row r="82">
          <cell r="A82" t="str">
            <v>1202040</v>
          </cell>
          <cell r="B82">
            <v>19494.645148</v>
          </cell>
        </row>
        <row r="83">
          <cell r="A83" t="str">
            <v>1412000</v>
          </cell>
          <cell r="B83">
            <v>420</v>
          </cell>
        </row>
        <row r="84">
          <cell r="A84" t="str">
            <v>1403000</v>
          </cell>
          <cell r="B84">
            <v>196.27276800000001</v>
          </cell>
        </row>
        <row r="85">
          <cell r="A85" t="str">
            <v>1414000</v>
          </cell>
          <cell r="B85">
            <v>18877.372380000001</v>
          </cell>
        </row>
        <row r="86">
          <cell r="A86" t="str">
            <v>1415010</v>
          </cell>
          <cell r="B86">
            <v>1</v>
          </cell>
        </row>
        <row r="87">
          <cell r="A87" t="str">
            <v>1307000</v>
          </cell>
          <cell r="B87">
            <v>3552.7177150000002</v>
          </cell>
        </row>
        <row r="88">
          <cell r="A88" t="str">
            <v>1203000</v>
          </cell>
          <cell r="B88">
            <v>43177.556454999998</v>
          </cell>
        </row>
        <row r="89">
          <cell r="A89" t="str">
            <v>1203010</v>
          </cell>
          <cell r="B89">
            <v>-57061.356217</v>
          </cell>
        </row>
        <row r="90">
          <cell r="A90" t="str">
            <v>1601000</v>
          </cell>
          <cell r="B90">
            <v>14029.057507</v>
          </cell>
        </row>
        <row r="91">
          <cell r="A91" t="str">
            <v>1602000</v>
          </cell>
          <cell r="B91">
            <v>23091.980967</v>
          </cell>
        </row>
        <row r="92">
          <cell r="A92" t="str">
            <v>1606000</v>
          </cell>
          <cell r="B92">
            <v>931.03053899999998</v>
          </cell>
        </row>
        <row r="93">
          <cell r="A93" t="str">
            <v>1608000</v>
          </cell>
          <cell r="B93">
            <v>62134.970658999999</v>
          </cell>
        </row>
        <row r="94">
          <cell r="A94" t="str">
            <v>1613000</v>
          </cell>
          <cell r="B94">
            <v>51.872999999999998</v>
          </cell>
        </row>
        <row r="95">
          <cell r="A95" t="str">
            <v>1204000</v>
          </cell>
          <cell r="B95">
            <v>2221.1600659999999</v>
          </cell>
        </row>
        <row r="96">
          <cell r="A96" t="str">
            <v>1204010</v>
          </cell>
          <cell r="B96">
            <v>20846.598333000002</v>
          </cell>
        </row>
        <row r="97">
          <cell r="A97" t="str">
            <v>1419000</v>
          </cell>
          <cell r="B97">
            <v>18584.645719</v>
          </cell>
        </row>
        <row r="98">
          <cell r="A98" t="str">
            <v>1421000</v>
          </cell>
          <cell r="B98">
            <v>1354.4310700000001</v>
          </cell>
        </row>
        <row r="99">
          <cell r="A99" t="str">
            <v>1422100</v>
          </cell>
          <cell r="B99">
            <v>907.52154399999995</v>
          </cell>
        </row>
        <row r="100">
          <cell r="A100" t="str">
            <v>1415999</v>
          </cell>
          <cell r="B100">
            <v>2099.384219</v>
          </cell>
        </row>
        <row r="101">
          <cell r="A101" t="str">
            <v>1416000</v>
          </cell>
          <cell r="B101">
            <v>2099.384219</v>
          </cell>
        </row>
        <row r="102">
          <cell r="A102" t="str">
            <v>1204020</v>
          </cell>
          <cell r="B102">
            <v>1788.893335</v>
          </cell>
        </row>
        <row r="103">
          <cell r="A103" t="str">
            <v>1204030</v>
          </cell>
          <cell r="B103">
            <v>50</v>
          </cell>
        </row>
        <row r="104">
          <cell r="A104" t="str">
            <v>1701000</v>
          </cell>
          <cell r="B104">
            <v>50</v>
          </cell>
        </row>
        <row r="105">
          <cell r="A105" t="str">
            <v>1204040</v>
          </cell>
          <cell r="B105">
            <v>0</v>
          </cell>
        </row>
        <row r="106">
          <cell r="A106" t="str">
            <v>1204050</v>
          </cell>
          <cell r="B106">
            <v>-22563.715821000002</v>
          </cell>
        </row>
        <row r="107">
          <cell r="A107" t="str">
            <v>1402000</v>
          </cell>
          <cell r="B107">
            <v>-14.94739</v>
          </cell>
        </row>
        <row r="108">
          <cell r="A108" t="str">
            <v>1204052</v>
          </cell>
          <cell r="B108">
            <v>-20277.232843000002</v>
          </cell>
        </row>
        <row r="109">
          <cell r="A109" t="str">
            <v>1204053</v>
          </cell>
          <cell r="B109">
            <v>-1788.893335</v>
          </cell>
        </row>
        <row r="110">
          <cell r="A110" t="str">
            <v>1204054</v>
          </cell>
          <cell r="B110">
            <v>-482.64225299999998</v>
          </cell>
        </row>
        <row r="111">
          <cell r="A111" t="str">
            <v>2000000</v>
          </cell>
          <cell r="B111">
            <v>861554.31718124403</v>
          </cell>
        </row>
        <row r="112">
          <cell r="A112" t="str">
            <v>2100000</v>
          </cell>
          <cell r="B112">
            <v>859791.28448824398</v>
          </cell>
        </row>
        <row r="113">
          <cell r="A113" t="str">
            <v>2103000</v>
          </cell>
          <cell r="B113">
            <v>278400</v>
          </cell>
        </row>
        <row r="114">
          <cell r="A114" t="str">
            <v>2102000</v>
          </cell>
          <cell r="B114">
            <v>20000</v>
          </cell>
        </row>
        <row r="115">
          <cell r="A115" t="str">
            <v>2102010</v>
          </cell>
          <cell r="B115">
            <v>2000</v>
          </cell>
        </row>
        <row r="116">
          <cell r="A116" t="str">
            <v>2101000</v>
          </cell>
          <cell r="B116">
            <v>18000</v>
          </cell>
        </row>
        <row r="117">
          <cell r="A117" t="str">
            <v>2116000</v>
          </cell>
          <cell r="B117">
            <v>152637.41</v>
          </cell>
        </row>
        <row r="118">
          <cell r="A118" t="str">
            <v>2111000</v>
          </cell>
          <cell r="B118">
            <v>203246.72663200001</v>
          </cell>
        </row>
        <row r="119">
          <cell r="A119" t="str">
            <v>2111010</v>
          </cell>
          <cell r="B119">
            <v>135601.80009</v>
          </cell>
        </row>
        <row r="120">
          <cell r="A120" t="str">
            <v>2111019</v>
          </cell>
          <cell r="B120">
            <v>62089.059140999991</v>
          </cell>
        </row>
        <row r="121">
          <cell r="A121" t="str">
            <v>2111040</v>
          </cell>
          <cell r="B121">
            <v>2523.7099710000002</v>
          </cell>
        </row>
        <row r="122">
          <cell r="A122" t="str">
            <v>2111060</v>
          </cell>
          <cell r="B122">
            <v>2626.6778370000002</v>
          </cell>
        </row>
        <row r="123">
          <cell r="A123" t="str">
            <v>2111100</v>
          </cell>
          <cell r="B123">
            <v>405.47959300000002</v>
          </cell>
        </row>
        <row r="124">
          <cell r="A124" t="str">
            <v>2111500</v>
          </cell>
          <cell r="B124">
            <v>56006.761899999998</v>
          </cell>
        </row>
        <row r="125">
          <cell r="A125" t="str">
            <v>2111510</v>
          </cell>
          <cell r="B125">
            <v>5891.0119000000004</v>
          </cell>
        </row>
        <row r="126">
          <cell r="A126" t="str">
            <v>2111520</v>
          </cell>
          <cell r="B126">
            <v>50115.75</v>
          </cell>
        </row>
        <row r="127">
          <cell r="A127" t="str">
            <v>2111599</v>
          </cell>
          <cell r="B127">
            <v>24.300000010146725</v>
          </cell>
        </row>
        <row r="128">
          <cell r="A128" t="str">
            <v>2108000</v>
          </cell>
          <cell r="B128">
            <v>149476.08595623387</v>
          </cell>
        </row>
        <row r="129">
          <cell r="A129" t="str">
            <v>2123000</v>
          </cell>
          <cell r="B129">
            <v>7.3959609999999998</v>
          </cell>
        </row>
        <row r="130">
          <cell r="A130" t="str">
            <v>2108010</v>
          </cell>
          <cell r="B130">
            <v>30.13776</v>
          </cell>
        </row>
        <row r="131">
          <cell r="A131" t="str">
            <v>2110000</v>
          </cell>
          <cell r="B131">
            <v>134953.506441</v>
          </cell>
        </row>
        <row r="132">
          <cell r="A132" t="str">
            <v>2122000</v>
          </cell>
          <cell r="B132">
            <v>5253.5070340000002</v>
          </cell>
        </row>
        <row r="133">
          <cell r="A133" t="str">
            <v>2113000</v>
          </cell>
          <cell r="B133">
            <v>765.6</v>
          </cell>
        </row>
        <row r="134">
          <cell r="A134" t="str">
            <v>2113010</v>
          </cell>
          <cell r="B134">
            <v>765.6</v>
          </cell>
        </row>
        <row r="135">
          <cell r="A135" t="str">
            <v>2113999</v>
          </cell>
          <cell r="B135">
            <v>2.3389666456841672E-7</v>
          </cell>
        </row>
        <row r="136">
          <cell r="A136" t="str">
            <v>2111070</v>
          </cell>
          <cell r="B136">
            <v>1032.0507130000001</v>
          </cell>
        </row>
        <row r="137">
          <cell r="A137" t="str">
            <v>2126000</v>
          </cell>
          <cell r="B137">
            <v>2910</v>
          </cell>
        </row>
        <row r="138">
          <cell r="A138" t="str">
            <v>2131000</v>
          </cell>
          <cell r="B138">
            <v>15.71</v>
          </cell>
        </row>
        <row r="139">
          <cell r="A139" t="str">
            <v>2131200</v>
          </cell>
          <cell r="B139">
            <v>15.71</v>
          </cell>
        </row>
        <row r="140">
          <cell r="A140" t="str">
            <v>2131500</v>
          </cell>
          <cell r="B140">
            <v>2202.3895069999999</v>
          </cell>
        </row>
        <row r="141">
          <cell r="A141" t="str">
            <v>2132000</v>
          </cell>
          <cell r="B141">
            <v>2305.78854</v>
          </cell>
        </row>
        <row r="142">
          <cell r="A142" t="str">
            <v>2200000</v>
          </cell>
          <cell r="B142">
            <v>1763.0326930000001</v>
          </cell>
        </row>
        <row r="143">
          <cell r="A143" t="str">
            <v>2207000</v>
          </cell>
          <cell r="B143">
            <v>154.40219999999999</v>
          </cell>
        </row>
        <row r="144">
          <cell r="A144" t="str">
            <v>2210000</v>
          </cell>
          <cell r="B144">
            <v>1608.6304929999999</v>
          </cell>
        </row>
        <row r="145">
          <cell r="A145" t="str">
            <v>3000000</v>
          </cell>
          <cell r="B145">
            <v>225528.51813198961</v>
          </cell>
        </row>
        <row r="146">
          <cell r="A146" t="str">
            <v>3100000</v>
          </cell>
          <cell r="B146">
            <v>173482.19</v>
          </cell>
        </row>
        <row r="147">
          <cell r="A147" t="str">
            <v>3103000</v>
          </cell>
          <cell r="B147">
            <v>173482.19</v>
          </cell>
        </row>
        <row r="148">
          <cell r="A148" t="str">
            <v>3200000</v>
          </cell>
          <cell r="B148">
            <v>28324.438664000001</v>
          </cell>
        </row>
        <row r="149">
          <cell r="A149" t="str">
            <v>3201010</v>
          </cell>
          <cell r="B149">
            <v>25909.159899999999</v>
          </cell>
        </row>
        <row r="150">
          <cell r="A150" t="str">
            <v>3201040</v>
          </cell>
          <cell r="B150">
            <v>95.726460000000003</v>
          </cell>
        </row>
        <row r="151">
          <cell r="A151" t="str">
            <v>3201050</v>
          </cell>
          <cell r="B151">
            <v>2319.5523039999998</v>
          </cell>
        </row>
        <row r="152">
          <cell r="A152" t="str">
            <v>3300000</v>
          </cell>
          <cell r="B152">
            <v>25060.170765989606</v>
          </cell>
        </row>
        <row r="153">
          <cell r="A153" t="str">
            <v>3301000</v>
          </cell>
          <cell r="B153">
            <v>7775.4429099999998</v>
          </cell>
        </row>
        <row r="154">
          <cell r="A154" t="str">
            <v>3308000</v>
          </cell>
          <cell r="B154">
            <v>1371.63051</v>
          </cell>
        </row>
        <row r="155">
          <cell r="A155" t="str">
            <v>3303000</v>
          </cell>
          <cell r="B155">
            <v>10665.395168999999</v>
          </cell>
        </row>
        <row r="156">
          <cell r="A156" t="str">
            <v>3304000</v>
          </cell>
          <cell r="B156">
            <v>5247.7021769896037</v>
          </cell>
        </row>
        <row r="157">
          <cell r="A157" t="str">
            <v>3304010</v>
          </cell>
          <cell r="B157">
            <v>-1.0396191600413373E-8</v>
          </cell>
        </row>
        <row r="158">
          <cell r="A158" t="str">
            <v>3304020</v>
          </cell>
          <cell r="B158">
            <v>5247.7021770000001</v>
          </cell>
        </row>
        <row r="159">
          <cell r="A159" t="str">
            <v>3400000</v>
          </cell>
          <cell r="B159">
            <v>-1338.2812980000001</v>
          </cell>
        </row>
        <row r="160">
          <cell r="A160" t="str">
            <v>3402000</v>
          </cell>
          <cell r="B160">
            <v>-4572.1017000000002</v>
          </cell>
        </row>
        <row r="161">
          <cell r="A161" t="str">
            <v>3406000</v>
          </cell>
          <cell r="B161">
            <v>2390.8185450000001</v>
          </cell>
        </row>
        <row r="162">
          <cell r="A162" t="str">
            <v>3408100</v>
          </cell>
          <cell r="B162">
            <v>843.00185699999997</v>
          </cell>
        </row>
        <row r="163">
          <cell r="A163" t="str">
            <v>3800000</v>
          </cell>
          <cell r="B163">
            <v>225528.51813198961</v>
          </cell>
        </row>
        <row r="164">
          <cell r="A164" t="str">
            <v>3900000</v>
          </cell>
          <cell r="B164">
            <v>1087082.8353132335</v>
          </cell>
        </row>
        <row r="165">
          <cell r="A165" t="str">
            <v>5000000</v>
          </cell>
          <cell r="B165">
            <v>4638802.1071539996</v>
          </cell>
        </row>
        <row r="166">
          <cell r="A166" t="str">
            <v>5010000</v>
          </cell>
          <cell r="B166">
            <v>3212340.8023029999</v>
          </cell>
        </row>
        <row r="167">
          <cell r="A167" t="str">
            <v>5020000</v>
          </cell>
          <cell r="B167">
            <v>19507.440775999999</v>
          </cell>
        </row>
        <row r="168">
          <cell r="A168" t="str">
            <v>5040000</v>
          </cell>
          <cell r="B168">
            <v>1406953.8640749999</v>
          </cell>
        </row>
        <row r="169">
          <cell r="A169" t="str">
            <v>5400000</v>
          </cell>
          <cell r="B169">
            <v>0</v>
          </cell>
        </row>
        <row r="170">
          <cell r="A170" t="str">
            <v>5410301</v>
          </cell>
          <cell r="B170">
            <v>0</v>
          </cell>
        </row>
        <row r="171">
          <cell r="A171" t="str">
            <v>5410302</v>
          </cell>
          <cell r="B171">
            <v>0</v>
          </cell>
        </row>
        <row r="172">
          <cell r="A172" t="str">
            <v>5412000</v>
          </cell>
          <cell r="B172">
            <v>0</v>
          </cell>
        </row>
        <row r="173">
          <cell r="A173" t="str">
            <v>5412110</v>
          </cell>
          <cell r="B173">
            <v>0</v>
          </cell>
        </row>
        <row r="174">
          <cell r="A174" t="str">
            <v>5412120</v>
          </cell>
          <cell r="B174">
            <v>0</v>
          </cell>
        </row>
        <row r="175">
          <cell r="A175" t="str">
            <v>5410402</v>
          </cell>
          <cell r="B175">
            <v>0</v>
          </cell>
        </row>
        <row r="176">
          <cell r="A176" t="str">
            <v>5410102</v>
          </cell>
          <cell r="B176">
            <v>0</v>
          </cell>
        </row>
        <row r="177">
          <cell r="A177" t="str">
            <v>5410201</v>
          </cell>
          <cell r="B177">
            <v>0</v>
          </cell>
        </row>
        <row r="178">
          <cell r="A178" t="str">
            <v>5410202</v>
          </cell>
          <cell r="B178">
            <v>0</v>
          </cell>
        </row>
        <row r="179">
          <cell r="A179" t="str">
            <v>5500000</v>
          </cell>
          <cell r="B179">
            <v>0</v>
          </cell>
        </row>
        <row r="180">
          <cell r="A180" t="str">
            <v>5520000</v>
          </cell>
          <cell r="B180">
            <v>0</v>
          </cell>
        </row>
        <row r="181">
          <cell r="A181" t="str">
            <v>5520100</v>
          </cell>
          <cell r="B181">
            <v>0</v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</sheetData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가족관리_자동차"/>
      <sheetName val="금액별"/>
      <sheetName val="#REF"/>
      <sheetName val="세금"/>
      <sheetName val="테이블"/>
      <sheetName val="부원달성"/>
      <sheetName val="고객_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  <sheetName val="7 (2)"/>
      <sheetName val="7 (3)"/>
      <sheetName val="7 (4)"/>
      <sheetName val="selling"/>
      <sheetName val="selling-%"/>
      <sheetName val="소형B"/>
      <sheetName val="현재적용이율"/>
      <sheetName val="세금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  <sheetName val="7 (2)"/>
      <sheetName val="7 (3)"/>
      <sheetName val="7 (4)"/>
      <sheetName val="selling"/>
      <sheetName val="selling-%"/>
      <sheetName val="현재적용이율"/>
      <sheetName val="7_(2)"/>
      <sheetName val="7_(3)"/>
      <sheetName val="7_(4)"/>
      <sheetName val="7_(2)1"/>
      <sheetName val="7_(3)1"/>
      <sheetName val="7_(4)1"/>
      <sheetName val="7_(2)2"/>
      <sheetName val="7_(3)2"/>
      <sheetName val="7_(4)2"/>
      <sheetName val="7_(2)3"/>
      <sheetName val="7_(3)3"/>
      <sheetName val="7_(4)3"/>
      <sheetName val="2000년 충당금자료"/>
      <sheetName val="7_(2)4"/>
      <sheetName val="7_(3)4"/>
      <sheetName val="7_(4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4.4 EaR 요약(BIS 표준)"/>
      <sheetName val="2.1 금리감응갭"/>
      <sheetName val="5.6 VaR 요약(확률적)"/>
      <sheetName val="22.보증금(전화가입권)"/>
      <sheetName val="SALE"/>
      <sheetName val="보증금(전신전화가입권)"/>
      <sheetName val="월할경비"/>
      <sheetName val="조건"/>
      <sheetName val="률표"/>
      <sheetName val="정기적금"/>
      <sheetName val="종합일지"/>
      <sheetName val="Sheet1 (2)"/>
      <sheetName val="10월 급여"/>
      <sheetName val="회수율"/>
      <sheetName val="code"/>
      <sheetName val="상품입력"/>
      <sheetName val="원재료입력"/>
      <sheetName val="코드"/>
      <sheetName val="원본"/>
      <sheetName val="정의"/>
      <sheetName val="인원"/>
      <sheetName val="Sheet2"/>
      <sheetName val="2.상각보정명세"/>
      <sheetName val="목표고객속보"/>
      <sheetName val="대지급금(외화)"/>
      <sheetName val="주주명부&lt;끝&gt;"/>
      <sheetName val="63지점"/>
      <sheetName val="2005년6월김문환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당월손익계산서★"/>
      <sheetName val="받을어음할인및 융통어음"/>
      <sheetName val="Ⅱ1-0타"/>
      <sheetName val="현재가치할인차금명세"/>
      <sheetName val="성적표96"/>
      <sheetName val="경제성분석"/>
      <sheetName val="미지급금으로 대체"/>
      <sheetName val="NYDATA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0107"/>
      <sheetName val="LU"/>
      <sheetName val="국외감가상각내역0103"/>
      <sheetName val="이익처분"/>
      <sheetName val="반기_유가증권"/>
      <sheetName val="총괄원장"/>
      <sheetName val="2004년하반기 경평반영_민원반영영업점"/>
      <sheetName val="CashFlow(중간집계)"/>
      <sheetName val="Menu_Link"/>
      <sheetName val="TB"/>
      <sheetName val="당년매출집계"/>
      <sheetName val="시장금리추이(원화)"/>
      <sheetName val="받을어음할인및_융통어음"/>
      <sheetName val="미지급금으로_대체"/>
      <sheetName val="계정code"/>
      <sheetName val="Lists"/>
      <sheetName val="LAST_DS"/>
      <sheetName val="말잔"/>
      <sheetName val="평잔"/>
      <sheetName val="주요 가정"/>
      <sheetName val="연체대출"/>
      <sheetName val="세금"/>
      <sheetName val="합병BS"/>
      <sheetName val="환율INDEX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아파트 기성내역서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아파트진행률"/>
      <sheetName val="MasterCode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계수원본(99.2.28)"/>
      <sheetName val="분당임차변경"/>
      <sheetName val="LIST"/>
      <sheetName val="control sheet"/>
      <sheetName val="대차대조표"/>
      <sheetName val="Links"/>
      <sheetName val="Lead"/>
      <sheetName val="발생"/>
      <sheetName val="1차가공"/>
      <sheetName val="대차합동"/>
      <sheetName val="출자한도1031"/>
      <sheetName val="정기적금"/>
      <sheetName val="Reporting_Package-국내"/>
      <sheetName val="취소"/>
      <sheetName val="갑지"/>
      <sheetName val="실행"/>
      <sheetName val="부채"/>
      <sheetName val="Menu_Link"/>
      <sheetName val="매입수불자재"/>
      <sheetName val="부동산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Sheet1"/>
      <sheetName val="PL,보정"/>
      <sheetName val="대지급금(외화)"/>
      <sheetName val="Ⅱ1-0타"/>
      <sheetName val="60명당사(총괄)"/>
      <sheetName val="CashFlow(중간집계)"/>
      <sheetName val="법원비용"/>
      <sheetName val="정의"/>
      <sheetName val="COBS"/>
      <sheetName val="손익계산서"/>
      <sheetName val="현장경상비"/>
      <sheetName val="표지(0810)"/>
      <sheetName val="2.상각보정명세"/>
      <sheetName val="code"/>
      <sheetName val="상품입력"/>
      <sheetName val="원재료입력"/>
      <sheetName val="설치수량"/>
      <sheetName val="BM_NEW2"/>
      <sheetName val="제조원가명세서"/>
      <sheetName val="f_BS"/>
      <sheetName val="f_IS"/>
      <sheetName val="Sheet1 (2)"/>
      <sheetName val="10월 급여"/>
      <sheetName val="유효값"/>
      <sheetName val="퇴직영수증"/>
      <sheetName val="10월판관"/>
      <sheetName val="구매"/>
      <sheetName val="시산표"/>
      <sheetName val="주주명부&lt;끝&gt;"/>
      <sheetName val="93상각비"/>
      <sheetName val="일수"/>
      <sheetName val="우수 부진영업점"/>
      <sheetName val="고정비"/>
      <sheetName val="보증금(전신전화가입권)"/>
      <sheetName val="자본금"/>
      <sheetName val="회사정보"/>
      <sheetName val="적금및발행어음계산"/>
      <sheetName val="2011년_1Q_IFRS"/>
      <sheetName val="매도평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Ⅰ-1"/>
      <sheetName val="주요비율-낙관"/>
      <sheetName val="S영업외손익(연결)"/>
      <sheetName val="코드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이익부문"/>
      <sheetName val="목표고객속보"/>
      <sheetName val="전계정"/>
      <sheetName val="합동별(기표용)"/>
      <sheetName val="건물명세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대출금"/>
      <sheetName val="반제품생산량(12월월간)"/>
      <sheetName val="프린트입출고(누적)"/>
      <sheetName val="설정(한도)"/>
      <sheetName val="00'미수"/>
      <sheetName val="전산원장"/>
      <sheetName val="위기상황 평가(1105)"/>
      <sheetName val="원가"/>
      <sheetName val="발생집계"/>
      <sheetName val="외화"/>
      <sheetName val="설정기준"/>
      <sheetName val="#REF"/>
      <sheetName val="BOM"/>
      <sheetName val="해외견학"/>
      <sheetName val="2003 하반기 목표기초"/>
      <sheetName val="외상매출금현황-수정분 A2"/>
      <sheetName val="공통"/>
      <sheetName val="부도어음관리현황1"/>
      <sheetName val="퇴직급여충당금명세서"/>
      <sheetName val="AP"/>
      <sheetName val="060930"/>
      <sheetName val="★MS"/>
      <sheetName val="당월손익계산서★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시실누(모) "/>
      <sheetName val="현우실적"/>
      <sheetName val="Ctrl"/>
      <sheetName val="목표설정"/>
      <sheetName val="&lt;DataBook표지&gt; "/>
      <sheetName val=""/>
      <sheetName val="종합일지"/>
      <sheetName val="연체대출"/>
      <sheetName val="점소신청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원가계산"/>
      <sheetName val="장판지"/>
      <sheetName val="특수요인"/>
      <sheetName val="3백이하"/>
      <sheetName val="1월--7월"/>
      <sheetName val="8월--12월"/>
      <sheetName val="시황"/>
      <sheetName val="표지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계정code"/>
      <sheetName val="fwd"/>
      <sheetName val="명목GDPRData"/>
      <sheetName val="기준정보"/>
      <sheetName val="입력장표"/>
      <sheetName val="인건비"/>
      <sheetName val="Input_Infor"/>
      <sheetName val="lookup"/>
      <sheetName val="이름"/>
      <sheetName val="주요 가정"/>
      <sheetName val="정부노임단가"/>
      <sheetName val="추심사번(신)"/>
      <sheetName val="6층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환율INDEX"/>
      <sheetName val="조립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미지급금으로 대체"/>
      <sheetName val="1995년_섹터별_릤출"/>
      <sheetName val="63지점"/>
      <sheetName val="대구은행"/>
      <sheetName val="Header"/>
      <sheetName val="sapactivexlhiddensheet"/>
      <sheetName val="2004년하반기 경평반영_민원반영영업점"/>
      <sheetName val="Macro2"/>
      <sheetName val="FAB별"/>
      <sheetName val="이수관 점포코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미착기계"/>
      <sheetName val="유통망계획"/>
      <sheetName val="SPC(3차)"/>
      <sheetName val="미실현손익명세서"/>
      <sheetName val="INV"/>
      <sheetName val="조립지적"/>
      <sheetName val="P&amp;L By Stock"/>
      <sheetName val="YHCODE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Tog"/>
      <sheetName val="KPMG IS-MAPPING"/>
      <sheetName val="C&amp;I Total"/>
      <sheetName val="공통속성"/>
      <sheetName val="사원명부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sap`04_7_141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営業以外_評価賞与1"/>
      <sheetName val="00_08계정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기본 FACTOR"/>
      <sheetName val="Payroll Walkthrough - 4"/>
      <sheetName val="집계표"/>
      <sheetName val="뒤차축소"/>
      <sheetName val="작업불가"/>
      <sheetName val="마감장"/>
      <sheetName val="시뮬레이션정보"/>
      <sheetName val="은행(반납후) "/>
      <sheetName val="기은전산"/>
      <sheetName val="퇴직금"/>
      <sheetName val="퇴충98"/>
      <sheetName val="4월"/>
      <sheetName val="제출용BS(한일+할부)"/>
      <sheetName val="무형"/>
      <sheetName val="FS-Consol"/>
      <sheetName val="JT3.0견적-구1"/>
      <sheetName val="종합"/>
      <sheetName val="MAPING"/>
      <sheetName val="9_25"/>
      <sheetName val="Net_PL"/>
      <sheetName val="R_data_-_PF대출(건별)"/>
      <sheetName val="합병분개_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은행수정후국내"/>
      <sheetName val="은행수정후국외"/>
      <sheetName val="예치금"/>
      <sheetName val="유가증권"/>
      <sheetName val="대출채권"/>
      <sheetName val="유형자산"/>
      <sheetName val="잡자산"/>
      <sheetName val="예수금"/>
      <sheetName val="차입금"/>
      <sheetName val="퇴직급여충당금"/>
      <sheetName val="지급보증"/>
      <sheetName val="잡부채"/>
      <sheetName val="담보제공"/>
      <sheetName val="보험가입"/>
      <sheetName val="이자있는"/>
      <sheetName val="주식매입선택권"/>
      <sheetName val="외화"/>
      <sheetName val="파생"/>
      <sheetName val="우발"/>
      <sheetName val="Sheet2"/>
      <sheetName val="Sheet3"/>
      <sheetName val="#REF"/>
      <sheetName val="유가증권분류코드(2006.6.16)"/>
      <sheetName val="basic_info"/>
      <sheetName val="Model"/>
      <sheetName val="output"/>
      <sheetName val="data"/>
      <sheetName val="95하U$가격"/>
      <sheetName val="#REF!"/>
      <sheetName val="계수원본(99.2.28)"/>
      <sheetName val="대차대조표"/>
      <sheetName val="BM_NEW2"/>
      <sheetName val="LIST"/>
      <sheetName val="분당임차변경"/>
      <sheetName val="11.17-11.23"/>
      <sheetName val="11.24-11.30"/>
      <sheetName val="전환대상"/>
      <sheetName val="발생"/>
      <sheetName val="취소"/>
      <sheetName val="표지(0810)"/>
      <sheetName val="FUNDAPAD"/>
      <sheetName val="Macro3"/>
      <sheetName val="국외감가상각내역0103"/>
      <sheetName val="Ⅱ1-0타"/>
      <sheetName val="발생집계"/>
      <sheetName val="95년간접비"/>
      <sheetName val="93상각비"/>
      <sheetName val="대환취급"/>
      <sheetName val="일반관리비(선급보험료)-총무"/>
      <sheetName val="10K4"/>
      <sheetName val="Ctrl"/>
      <sheetName val="반기_유가증권"/>
      <sheetName val="유배당상품"/>
      <sheetName val="보증금(전신전화가입권)"/>
      <sheetName val="부서별손익 (부)"/>
      <sheetName val="금리보조"/>
      <sheetName val="당년매출집계"/>
      <sheetName val="엘지엠알오"/>
      <sheetName val="Sheet1 (2)"/>
      <sheetName val="10월 급여"/>
      <sheetName val="Cover"/>
      <sheetName val="060930"/>
      <sheetName val="원본"/>
      <sheetName val="손익합산"/>
      <sheetName val="00'미수"/>
      <sheetName val="HERO01"/>
      <sheetName val="조흥은행"/>
      <sheetName val="A1"/>
      <sheetName val="LH3 동양시스템"/>
      <sheetName val="5월 DATA"/>
      <sheetName val="계정code"/>
      <sheetName val="정기적금"/>
      <sheetName val="1"/>
      <sheetName val="퇴직영수증"/>
      <sheetName val="대지급금(외화)"/>
      <sheetName val="10.31"/>
      <sheetName val="기초자료"/>
      <sheetName val="손익계산서"/>
      <sheetName val="일위대가"/>
      <sheetName val="대차"/>
      <sheetName val="시네마입금"/>
      <sheetName val="수정시산표"/>
      <sheetName val="별제권_정리담보권1"/>
      <sheetName val="목표고객속보"/>
      <sheetName val="1차가공"/>
      <sheetName val="적금및발행어음계산"/>
      <sheetName val="회사정보"/>
      <sheetName val="고정비"/>
      <sheetName val="3백이하"/>
      <sheetName val="YHCODE"/>
      <sheetName val="정의"/>
      <sheetName val="특수요인"/>
      <sheetName val="말잔"/>
      <sheetName val="손익"/>
      <sheetName val="성적표96"/>
      <sheetName val="이익처분"/>
      <sheetName val="명목GDPRData"/>
      <sheetName val="종합일지"/>
      <sheetName val="환율INDEX"/>
      <sheetName val="외상매출금현황-수정분 A2"/>
      <sheetName val="INSTRUMENT"/>
      <sheetName val="유가증권분류코드(2006_6_16)"/>
      <sheetName val="계수원본(99_2_28)"/>
      <sheetName val="11_17-11_23"/>
      <sheetName val="11_24-11_30"/>
      <sheetName val="부서별손익_(부)"/>
      <sheetName val="LH3_동양시스템"/>
      <sheetName val="5월_DATA"/>
      <sheetName val="Sheet1_(2)"/>
      <sheetName val="10월_급여"/>
      <sheetName val="10_31"/>
      <sheetName val="연체대출"/>
      <sheetName val="GeneralInfo"/>
      <sheetName val="f_BS"/>
      <sheetName val="f_IS"/>
      <sheetName val="U3.1"/>
      <sheetName val="근로영수증"/>
      <sheetName val="외상매출금현황-수정분_A2"/>
      <sheetName val="유가증권분류코드(2006_6_16)2"/>
      <sheetName val="계수원본(99_2_28)2"/>
      <sheetName val="11_17-11_232"/>
      <sheetName val="11_24-11_302"/>
      <sheetName val="부서별손익_(부)2"/>
      <sheetName val="LH3_동양시스템2"/>
      <sheetName val="5월_DATA2"/>
      <sheetName val="10_312"/>
      <sheetName val="Sheet1_(2)2"/>
      <sheetName val="10월_급여2"/>
      <sheetName val="외상매출금현황-수정분_A22"/>
      <sheetName val="유가증권분류코드(2006_6_16)1"/>
      <sheetName val="계수원본(99_2_28)1"/>
      <sheetName val="11_17-11_231"/>
      <sheetName val="11_24-11_301"/>
      <sheetName val="부서별손익_(부)1"/>
      <sheetName val="LH3_동양시스템1"/>
      <sheetName val="5월_DATA1"/>
      <sheetName val="10_311"/>
      <sheetName val="Sheet1_(2)1"/>
      <sheetName val="10월_급여1"/>
      <sheetName val="외상매출금현황-수정분_A21"/>
      <sheetName val="유가증권분류코드(2006_6_16)4"/>
      <sheetName val="계수원본(99_2_28)4"/>
      <sheetName val="11_17-11_234"/>
      <sheetName val="11_24-11_304"/>
      <sheetName val="부서별손익_(부)4"/>
      <sheetName val="LH3_동양시스템4"/>
      <sheetName val="5월_DATA4"/>
      <sheetName val="10_314"/>
      <sheetName val="Sheet1_(2)4"/>
      <sheetName val="10월_급여4"/>
      <sheetName val="외상매출금현황-수정분_A24"/>
      <sheetName val="유가증권분류코드(2006_6_16)3"/>
      <sheetName val="계수원본(99_2_28)3"/>
      <sheetName val="11_17-11_233"/>
      <sheetName val="11_24-11_303"/>
      <sheetName val="부서별손익_(부)3"/>
      <sheetName val="LH3_동양시스템3"/>
      <sheetName val="5월_DATA3"/>
      <sheetName val="10_313"/>
      <sheetName val="Sheet1_(2)3"/>
      <sheetName val="10월_급여3"/>
      <sheetName val="외상매출금현황-수정분_A23"/>
      <sheetName val="200502"/>
      <sheetName val="A (3)"/>
      <sheetName val="시산표"/>
      <sheetName val="3-4현"/>
      <sheetName val="3-3현"/>
      <sheetName val=""/>
      <sheetName val="24.보증금(전신전화가입권)"/>
      <sheetName val="Company"/>
      <sheetName val="(BS,CF)-BACK"/>
      <sheetName val="보험금"/>
      <sheetName val="4담보주식"/>
      <sheetName val="계정과목"/>
      <sheetName val="환율시트"/>
      <sheetName val="0212"/>
      <sheetName val="평가표"/>
      <sheetName val="Lists"/>
      <sheetName val="갑지"/>
      <sheetName val="실행"/>
      <sheetName val="유가증권분류코드(2006_6_16)5"/>
      <sheetName val="계수원본(99_2_28)5"/>
      <sheetName val="11_17-11_235"/>
      <sheetName val="11_24-11_305"/>
      <sheetName val="부서별손익_(부)5"/>
      <sheetName val="LH3_동양시스템5"/>
      <sheetName val="5월_DATA5"/>
      <sheetName val="Sheet1_(2)5"/>
      <sheetName val="10월_급여5"/>
      <sheetName val="10_315"/>
      <sheetName val="외상매출금현황-수정분_A25"/>
      <sheetName val="U3_1"/>
      <sheetName val="A_(3)"/>
      <sheetName val="1.외주공사"/>
      <sheetName val="2.직영공사"/>
      <sheetName val="원가"/>
      <sheetName val="주주명부&lt;끝&gt;"/>
      <sheetName val="지급보증금"/>
      <sheetName val="A2"/>
      <sheetName val="입력"/>
      <sheetName val="현금예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부원달성"/>
      <sheetName val="테이블"/>
      <sheetName val="대출유지.2"/>
      <sheetName val="월별MS(당월)"/>
      <sheetName val="Sto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NCR"/>
      <sheetName val="표지"/>
      <sheetName val="자산부채비율"/>
      <sheetName val="경영실태평가비율"/>
      <sheetName val="경영실태평가비율data"/>
      <sheetName val="대환취급"/>
      <sheetName val="부원달성"/>
      <sheetName val="테이블"/>
      <sheetName val="시장위험"/>
      <sheetName val="세금"/>
      <sheetName val="피벗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종별..2"/>
      <sheetName val="보종별,계정별 사업비"/>
      <sheetName val="w"/>
      <sheetName val="x"/>
      <sheetName val="y"/>
      <sheetName val="z"/>
      <sheetName val="7"/>
      <sheetName val="Sheet1"/>
      <sheetName val="작업"/>
      <sheetName val="붙임2-1  지급조서명세서(2001년분)"/>
      <sheetName val="대환취급"/>
      <sheetName val="사업자등록증"/>
      <sheetName val="부원달성"/>
      <sheetName val="테이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적용이율"/>
      <sheetName val="이율변동내역"/>
      <sheetName val="약관대출이율 변동내역"/>
      <sheetName val="손익계산서"/>
      <sheetName val="이익잉여금처분계산서"/>
      <sheetName val="용역원가명세서"/>
      <sheetName val="현금흐름표"/>
      <sheetName val="보종별,계정별 사업비"/>
      <sheetName val="2.손익계산서"/>
      <sheetName val="f_B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10K4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종금공고BS"/>
      <sheetName val="공고용BS(은행+종금)"/>
      <sheetName val="조회총괄"/>
      <sheetName val="f_BS"/>
      <sheetName val="BOK차입"/>
      <sheetName val="11.17-11.23"/>
      <sheetName val="11.24-11.30"/>
      <sheetName val="95WBS"/>
      <sheetName val="공통"/>
      <sheetName val="적용환율"/>
      <sheetName val="sap`04.7.14"/>
      <sheetName val="별첨1"/>
      <sheetName val="별첨2"/>
      <sheetName val="수정시산표"/>
      <sheetName val="통합BS(0608)"/>
      <sheetName val="1차가공"/>
      <sheetName val="97년추정손익계산서"/>
      <sheetName val="불일치회선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순수통장"/>
      <sheetName val="적립수신"/>
      <sheetName val="수당data"/>
      <sheetName val="data"/>
      <sheetName val="보험금"/>
      <sheetName val="분당임차변경"/>
      <sheetName val="basic_info"/>
      <sheetName val="총괄"/>
      <sheetName val="본사"/>
      <sheetName val="11_17-11_23"/>
      <sheetName val="11_24-11_30"/>
      <sheetName val="sap`04_7_14"/>
      <sheetName val="수출입외형_속보"/>
      <sheetName val="판가반영"/>
      <sheetName val="fxrate"/>
      <sheetName val="06"/>
      <sheetName val="대손준비금보고서 화면"/>
      <sheetName val="계수원본(99.2.28)"/>
      <sheetName val="LIST"/>
      <sheetName val="US Codes"/>
      <sheetName val="96수표어음"/>
      <sheetName val="fwd"/>
      <sheetName val="CashFlow(중간집계)"/>
      <sheetName val="LoanList"/>
      <sheetName val="Sheet7"/>
      <sheetName val="시나리오"/>
      <sheetName val="대지급금(외화)"/>
      <sheetName val="Ⅱ1-0타"/>
      <sheetName val="자보사업실적표(원단위-03.31)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6660"/>
      <sheetName val="1-2선물환"/>
      <sheetName val="기타코드"/>
      <sheetName val="세무서코드"/>
      <sheetName val="Assumptions"/>
      <sheetName val="합병BS"/>
      <sheetName val="sap`04.7.14"/>
      <sheetName val="CPR등록"/>
      <sheetName val="9-1차이내역"/>
      <sheetName val="조회총괄"/>
      <sheetName val="자본확정추정BSPL(시뮬2006년~구매제외)-수정FLC기"/>
      <sheetName val="Ⅱ1-0타"/>
      <sheetName val="Links"/>
      <sheetName val="Lead"/>
      <sheetName val="9-1차이내역."/>
      <sheetName val="조건"/>
      <sheetName val="손익계산서"/>
      <sheetName val="프로그램현황(연결주석)"/>
      <sheetName val="프로그램현황(결산)"/>
      <sheetName val="그래프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신탁0106-가사"/>
      <sheetName val="신탁0106-기사"/>
      <sheetName val="은행0106-가사"/>
      <sheetName val="은행0106-기사"/>
      <sheetName val="파생거래익"/>
      <sheetName val="총괄"/>
      <sheetName val="본사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CashFlow(중간집계)"/>
      <sheetName val="LoanList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수출입외형_속보"/>
      <sheetName val="10월 급여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원데이타(1)"/>
      <sheetName val="108.수선비"/>
      <sheetName val="B"/>
      <sheetName val="지점"/>
      <sheetName val="카드회원수"/>
      <sheetName val="1"/>
      <sheetName val="MA1702B"/>
      <sheetName val="회사정보"/>
      <sheetName val="계정code"/>
      <sheetName val="#REF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TBUS"/>
      <sheetName val="관계사"/>
      <sheetName val="fwd"/>
      <sheetName val="불일치회선"/>
      <sheetName val="수탁현황"/>
      <sheetName val="종합"/>
      <sheetName val="당행Data"/>
      <sheetName val="시나리오"/>
      <sheetName val="연체대출"/>
      <sheetName val="갑지"/>
      <sheetName val="실행"/>
      <sheetName val="성적표96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감가상각"/>
      <sheetName val="支払手形"/>
      <sheetName val="雑収"/>
      <sheetName val="계정과목"/>
      <sheetName val="환율시트"/>
      <sheetName val="95WBS"/>
      <sheetName val="공통"/>
      <sheetName val="R data - PF대출(건별)"/>
      <sheetName val="연체 (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FORM01"/>
      <sheetName val="CONFIG"/>
      <sheetName val="대형원계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Assumption"/>
      <sheetName val="단기차입금"/>
      <sheetName val="선수금"/>
      <sheetName val="외상매출"/>
      <sheetName val="기본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할사항"/>
      <sheetName val="과거데이터"/>
      <sheetName val="표지"/>
      <sheetName val="목차"/>
      <sheetName val="등록요건"/>
      <sheetName val="사업현황"/>
      <sheetName val="본질가치임시"/>
      <sheetName val="자산가치임시"/>
      <sheetName val="수익가치임시"/>
      <sheetName val="BSPL"/>
      <sheetName val="SALE"/>
      <sheetName val="SALE원가"/>
      <sheetName val="제조원가,재료비명세2"/>
      <sheetName val="인건비2"/>
      <sheetName val="인건비2-1"/>
      <sheetName val="인건비2-2"/>
      <sheetName val="감가상각명세2"/>
      <sheetName val="감가상가명세2-1"/>
      <sheetName val="영업외손익2"/>
      <sheetName val="지분법"/>
      <sheetName val="환율추정"/>
      <sheetName val="이자발생자산부채현황"/>
      <sheetName val="수입이자지급이자"/>
      <sheetName val="외환손익"/>
      <sheetName val="연구개발비"/>
      <sheetName val="간지"/>
      <sheetName val="무형자산상각2"/>
      <sheetName val="이연자산상각2"/>
      <sheetName val="지급수수료2"/>
      <sheetName val="상품매출원가자료"/>
      <sheetName val="생산수량자료"/>
      <sheetName val="원재료자료"/>
      <sheetName val="상품매출자료"/>
      <sheetName val="매출자료2"/>
      <sheetName val="매출자료1"/>
      <sheetName val="인건비자료"/>
      <sheetName val="부속명세서2"/>
      <sheetName val="이용회원증감"/>
      <sheetName val="유출입구조"/>
      <sheetName val="연속이용"/>
      <sheetName val="취급액구간별"/>
      <sheetName val="총한도"/>
      <sheetName val="한도증감_당월"/>
      <sheetName val="한도구간별"/>
      <sheetName val="한도구간별(비중)"/>
      <sheetName val="발급기간별"/>
      <sheetName val="이용목적"/>
      <sheetName val="SVC경로별"/>
      <sheetName val="SVC이자율"/>
      <sheetName val="SVC잔액구간별_회원"/>
      <sheetName val="SVC잔액구간별_금액"/>
      <sheetName val="고액이용자"/>
      <sheetName val="다중채무자"/>
      <sheetName val="300&amp;300_보류"/>
      <sheetName val="GCL"/>
      <sheetName val="SVC직군별"/>
      <sheetName val="f_BS"/>
      <sheetName val="#REF!"/>
      <sheetName val="수신금리_3"/>
      <sheetName val="대환취급"/>
      <sheetName val="산출기준(파견전산실)"/>
      <sheetName val="Ⅱ1-0타"/>
      <sheetName val="환율시트"/>
      <sheetName val="현금흐름표"/>
      <sheetName val="요약표"/>
      <sheetName val="code"/>
      <sheetName val="basic_info"/>
      <sheetName val="A1"/>
      <sheetName val="IntercompanyAROct2001"/>
      <sheetName val="민감도"/>
      <sheetName val="fwd09"/>
      <sheetName val="#REF"/>
      <sheetName val="플래티늄미디어"/>
      <sheetName val="가정"/>
      <sheetName val="수입"/>
      <sheetName val="97년추정손익계산서"/>
      <sheetName val="2. Loan Concentration"/>
      <sheetName val="합병BS"/>
      <sheetName val="onshore FCL"/>
      <sheetName val="장기채무명세서(97.12.31)"/>
      <sheetName val="분석조서(광전자)_1"/>
      <sheetName val="유동자산"/>
      <sheetName val="총괄"/>
      <sheetName val="본사"/>
      <sheetName val="정의"/>
      <sheetName val="보험금"/>
      <sheetName val="COMBINED"/>
      <sheetName val="VALSTAT"/>
      <sheetName val="Lead"/>
      <sheetName val="보정사항"/>
      <sheetName val="총수신_속보"/>
      <sheetName val="sap`04.7.14"/>
      <sheetName val="FX-OPT"/>
      <sheetName val="2010.08"/>
      <sheetName val="변경�"/>
      <sheetName val="과거�"/>
      <sheetName val="표"/>
      <sheetName val="목"/>
      <sheetName val="등록"/>
      <sheetName val="사업"/>
      <sheetName val="본질가"/>
      <sheetName val="자산가"/>
      <sheetName val="수익가"/>
      <sheetName val="SALE원"/>
      <sheetName val="제조원가,재"/>
      <sheetName val="인건"/>
      <sheetName val="인건비"/>
      <sheetName val="감가상�"/>
      <sheetName val="감가상가�"/>
      <sheetName val="영업외"/>
      <sheetName val="지�"/>
      <sheetName val="환율"/>
      <sheetName val="이자발생자"/>
      <sheetName val="수입이자"/>
      <sheetName val="외환"/>
      <sheetName val="연구�"/>
      <sheetName val="간"/>
      <sheetName val="무형자�"/>
      <sheetName val="이연자�"/>
      <sheetName val="지급수"/>
      <sheetName val="상품매출"/>
      <sheetName val="생산수"/>
      <sheetName val="원재�"/>
      <sheetName val="상품매"/>
      <sheetName val="매출�"/>
      <sheetName val="부속명"/>
      <sheetName val="조건"/>
      <sheetName val="45,46"/>
      <sheetName val="SUMMARY"/>
      <sheetName val="Sheet1 (2)"/>
      <sheetName val="10월 급여"/>
      <sheetName val="임금"/>
      <sheetName val="MA1702B"/>
      <sheetName val="12.21~1.20접수처리전체"/>
      <sheetName val="식음료"/>
      <sheetName val="정산표"/>
      <sheetName val="1"/>
      <sheetName val="인근점포"/>
      <sheetName val="조회총괄"/>
      <sheetName val="3월"/>
      <sheetName val="LIST"/>
      <sheetName val="當期시산표(결재)"/>
      <sheetName val="조흥은행"/>
      <sheetName val="재무제표3년"/>
      <sheetName val="단기(수익증권03)"/>
      <sheetName val="단위업무코드"/>
      <sheetName val="신공항A-9(원가수정)"/>
      <sheetName val="기본정보"/>
      <sheetName val="4월"/>
      <sheetName val="수정시산표"/>
      <sheetName val="@공통코드"/>
      <sheetName val="Assumption"/>
      <sheetName val="data"/>
      <sheetName val="분당임차변경"/>
      <sheetName val="합동별(기표용)"/>
      <sheetName val="모델,설비"/>
      <sheetName val="추가_결산부속명세"/>
      <sheetName val="2.손익계산서"/>
      <sheetName val="R data - PF대출(건별)"/>
      <sheetName val="TBUS"/>
      <sheetName val="Sheet1"/>
      <sheetName val="매출 (3)"/>
      <sheetName val="보정자료전체"/>
      <sheetName val="보정전BS(세분류)"/>
      <sheetName val="COMPS"/>
      <sheetName val="Packaging cost Back Data"/>
      <sheetName val="Scenario"/>
      <sheetName val="base"/>
      <sheetName val="현재적용이율"/>
      <sheetName val="제품(수출)매출"/>
      <sheetName val="일자"/>
      <sheetName val="2__Loan_Concentration"/>
      <sheetName val="onshore_FCL"/>
      <sheetName val="장기채무명세서(97_12_31)"/>
      <sheetName val="수당data"/>
      <sheetName val="Sheet7"/>
      <sheetName val="주식보유"/>
      <sheetName val="志岐シール"/>
      <sheetName val="fw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업체개요"/>
      <sheetName val="대차대조표"/>
      <sheetName val="손익계산서"/>
      <sheetName val="이익잉여금처분계산서"/>
      <sheetName val="용역원가명세서"/>
      <sheetName val="현금흐름표"/>
      <sheetName val="temp"/>
      <sheetName val="meta"/>
      <sheetName val="highlight"/>
      <sheetName val="Convert"/>
      <sheetName val="현재적용이율"/>
      <sheetName val="자산가치"/>
      <sheetName val="재무제표(KIS)"/>
      <sheetName val="보험금"/>
      <sheetName val="본부유지율"/>
      <sheetName val="월결산자료"/>
      <sheetName val="Sheet2"/>
      <sheetName val="VER1-update"/>
      <sheetName val="10매출"/>
      <sheetName val="KA011205"/>
      <sheetName val="1-1-1-1"/>
      <sheetName val="상여 (2)"/>
      <sheetName val="본사감가상각대장(비품)"/>
      <sheetName val="당기추가완료"/>
      <sheetName val="97년"/>
      <sheetName val="tsuga"/>
      <sheetName val="일반관리비(선급보험료)-총무"/>
      <sheetName val="선수금"/>
      <sheetName val="총괄-1"/>
      <sheetName val="경비공통"/>
      <sheetName val="산업은행 경영지표"/>
      <sheetName val="요약PL"/>
      <sheetName val="상여_(2)"/>
      <sheetName val="산업은행_경영지표"/>
      <sheetName val="부원달성"/>
      <sheetName val="테이블"/>
      <sheetName val="주식"/>
      <sheetName val="98실적"/>
      <sheetName val="이자율"/>
      <sheetName val="CODE"/>
      <sheetName val="상여_(2)1"/>
      <sheetName val="산업은행_경영지표1"/>
      <sheetName val="평가결과_사본"/>
      <sheetName val="퇴직충당금(3.31)(국문)"/>
      <sheetName val="표지"/>
      <sheetName val="당초"/>
      <sheetName val="성화"/>
      <sheetName val="하조서"/>
      <sheetName val="내역서"/>
      <sheetName val="상여_(2)2"/>
      <sheetName val="산업은행_경영지표2"/>
      <sheetName val="퇴직충당금(3_31)(국문)"/>
      <sheetName val="급여인상효과-연간부담분"/>
      <sheetName val="서울판관-공통부문"/>
      <sheetName val="정산표"/>
      <sheetName val="집연95"/>
      <sheetName val="연평잔"/>
      <sheetName val="차수"/>
      <sheetName val="외화금융(97-03)"/>
      <sheetName val="99선급비용"/>
      <sheetName val="선급비용"/>
      <sheetName val="대차"/>
      <sheetName val="민감도"/>
      <sheetName val="building"/>
      <sheetName val="시험연구비상각"/>
      <sheetName val="대구파크쿨링타워"/>
      <sheetName val="타과목"/>
      <sheetName val="@공통코드"/>
      <sheetName val="주요재무비율"/>
      <sheetName val="점수"/>
      <sheetName val="프로젝트목록"/>
      <sheetName val="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월 (2)"/>
      <sheetName val="사모사채등"/>
      <sheetName val="법정,화의,워크아웃"/>
      <sheetName val="1월 (2)"/>
      <sheetName val="보험금"/>
      <sheetName val="성적표96"/>
      <sheetName val="f_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분석2000"/>
      <sheetName val="분석2000-1"/>
      <sheetName val="분석2000-2"/>
      <sheetName val="파트장별 분석(2)"/>
      <sheetName val="파트장별분석"/>
      <sheetName val="신규수익요약"/>
      <sheetName val="개인별(영업)"/>
      <sheetName val="분석2000-3(개인별)"/>
      <sheetName val="구인력현황"/>
      <sheetName val="인력현황2000"/>
      <sheetName val="영업계획_2000분"/>
      <sheetName val="영업계획_팀별"/>
      <sheetName val="분석"/>
      <sheetName val="인력현황"/>
      <sheetName val="손익계산서"/>
      <sheetName val="대차대조표"/>
      <sheetName val="성화"/>
      <sheetName val="NTA adjustment calc"/>
      <sheetName val="Storage"/>
      <sheetName val="생산성분석(급여base-파트장2001)"/>
      <sheetName val="이익잉여금처분계산서"/>
      <sheetName val="용역원가명세서"/>
      <sheetName val="현금흐름표"/>
      <sheetName val="파트장별_분석(2)"/>
      <sheetName val="NTA_adjustment_calc"/>
      <sheetName val="파트장별_분석(2)1"/>
      <sheetName val="NTA_adjustment_calc1"/>
      <sheetName val="파트장별_분석(2)2"/>
      <sheetName val="NTA_adjustment_cal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방법"/>
      <sheetName val="database_일반경비"/>
      <sheetName val="database_손해조사비"/>
      <sheetName val="database_자산"/>
      <sheetName val="Sheet4"/>
      <sheetName val="손익계산서"/>
      <sheetName val="이익잉여금처분계산서"/>
      <sheetName val="용역원가명세서"/>
      <sheetName val="현금흐름표"/>
      <sheetName val="Sheet1"/>
    </sheetNames>
    <sheetDataSet>
      <sheetData sheetId="0">
        <row r="2">
          <cell r="A2" t="str">
            <v>일반경비</v>
          </cell>
        </row>
        <row r="3">
          <cell r="A3" t="str">
            <v>기타신계약비</v>
          </cell>
        </row>
        <row r="4">
          <cell r="A4" t="str">
            <v>광고선전비</v>
          </cell>
        </row>
        <row r="5">
          <cell r="A5" t="str">
            <v>수수료</v>
          </cell>
        </row>
        <row r="6">
          <cell r="A6" t="str">
            <v>인쇄비</v>
          </cell>
        </row>
        <row r="7">
          <cell r="A7" t="str">
            <v>교육훈련비</v>
          </cell>
        </row>
        <row r="8">
          <cell r="A8" t="str">
            <v>일반경비(신계약비 제외)</v>
          </cell>
        </row>
        <row r="9">
          <cell r="A9" t="str">
            <v>손해조사비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인수기간별S"/>
      <sheetName val="PV"/>
      <sheetName val="상품성향별손해율1"/>
      <sheetName val="유지율-월납기준"/>
      <sheetName val="유지율-월납수정"/>
      <sheetName val="PV-기준"/>
      <sheetName val="PV-수정"/>
      <sheetName val="본부유지율"/>
      <sheetName val="부서수당"/>
      <sheetName val="data"/>
      <sheetName val="Sheet1"/>
      <sheetName val="원수IBNR"/>
      <sheetName val="출재IBNR"/>
      <sheetName val="인력현황2000"/>
      <sheetName val="4-2물건누계"/>
      <sheetName val="Master"/>
      <sheetName val="현재적용이율"/>
      <sheetName val="1.외주공사"/>
      <sheetName val="2.직영공사"/>
      <sheetName val="TEMP1"/>
      <sheetName val="TEMP2"/>
      <sheetName val="BS"/>
      <sheetName val="본부별손해율(20000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00_주주환원"/>
      <sheetName val="00_배당가능"/>
      <sheetName val="00_ROEROA"/>
      <sheetName val="00_자사주-신탁"/>
      <sheetName val="00_주당지표"/>
      <sheetName val="00_주주명부"/>
      <sheetName val="00_유동주식"/>
      <sheetName val="01_계열사별PL"/>
      <sheetName val="01_그룹충당금"/>
      <sheetName val="01_그룹PF"/>
      <sheetName val="01_그룹연체율"/>
      <sheetName val="02_화재BSPL"/>
      <sheetName val="02_K-ICS"/>
      <sheetName val="02_기본자본"/>
      <sheetName val="02_K-ICS산출내역"/>
      <sheetName val="02_자산운용"/>
      <sheetName val="02_보유이원"/>
      <sheetName val="02_해약환급금"/>
      <sheetName val="02_부담이율"/>
      <sheetName val="02_자산건전성"/>
      <sheetName val="02_dv01"/>
      <sheetName val="02_CSM"/>
      <sheetName val="CSM"/>
      <sheetName val="02_CSM move"/>
      <sheetName val="02_CSM배수"/>
      <sheetName val="02_무저해지비율"/>
      <sheetName val="02_갱신비중"/>
      <sheetName val="02_실손정보"/>
      <sheetName val="02_실손손해율"/>
      <sheetName val="02_실손 요율"/>
      <sheetName val="02_2504 장기 요율조정"/>
      <sheetName val="02_유지율"/>
      <sheetName val="02_침투율가입률"/>
      <sheetName val="02_업계BSPL"/>
      <sheetName val="02_업계세부PL"/>
      <sheetName val="02_업계세부BS"/>
      <sheetName val="02_업계예실차"/>
      <sheetName val="02_4기준 손익"/>
      <sheetName val="02_4기준지표"/>
    </sheetNames>
    <sheetDataSet>
      <sheetData sheetId="0" refreshError="1"/>
      <sheetData sheetId="1" refreshError="1"/>
      <sheetData sheetId="2" refreshError="1"/>
      <sheetData sheetId="3">
        <row r="12">
          <cell r="J12">
            <v>0.14477807740825913</v>
          </cell>
          <cell r="AM12">
            <v>0.25369488566126192</v>
          </cell>
          <cell r="AN12">
            <v>0.26757513241073327</v>
          </cell>
        </row>
      </sheetData>
      <sheetData sheetId="4" refreshError="1"/>
      <sheetData sheetId="5">
        <row r="5">
          <cell r="Q5">
            <v>11102.391022964524</v>
          </cell>
          <cell r="S5">
            <v>3925.9976338419815</v>
          </cell>
          <cell r="T5">
            <v>8588.7511062238482</v>
          </cell>
        </row>
        <row r="6">
          <cell r="S6">
            <v>64348.342709225704</v>
          </cell>
          <cell r="T6">
            <v>68642.038905612324</v>
          </cell>
        </row>
      </sheetData>
      <sheetData sheetId="6" refreshError="1"/>
      <sheetData sheetId="7" refreshError="1"/>
      <sheetData sheetId="8">
        <row r="15">
          <cell r="C15">
            <v>5582.6703698400006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57">
          <cell r="AX57">
            <v>5854332.9347170005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showGridLines="0" tabSelected="1" view="pageBreakPreview" zoomScale="115" zoomScaleNormal="70" zoomScaleSheetLayoutView="115" zoomScalePageLayoutView="40" workbookViewId="0"/>
  </sheetViews>
  <sheetFormatPr defaultColWidth="8.88671875" defaultRowHeight="25.5"/>
  <cols>
    <col min="1" max="8" width="9.33203125" style="171" customWidth="1"/>
    <col min="9" max="16384" width="8.88671875" style="171"/>
  </cols>
  <sheetData>
    <row r="1" spans="1:8">
      <c r="A1" s="171" t="s">
        <v>463</v>
      </c>
    </row>
    <row r="2" spans="1:8">
      <c r="H2" s="172"/>
    </row>
    <row r="3" spans="1:8">
      <c r="A3" s="173"/>
      <c r="B3" s="174"/>
      <c r="C3" s="174"/>
      <c r="D3" s="174"/>
      <c r="E3" s="174"/>
      <c r="F3" s="174"/>
      <c r="G3" s="174"/>
      <c r="H3" s="174"/>
    </row>
    <row r="4" spans="1:8" ht="3.75" customHeight="1">
      <c r="A4" s="173"/>
      <c r="B4" s="173"/>
      <c r="C4" s="173"/>
      <c r="D4" s="173"/>
      <c r="E4" s="173"/>
      <c r="F4" s="173"/>
      <c r="G4" s="173"/>
      <c r="H4" s="173"/>
    </row>
    <row r="5" spans="1:8" ht="77.25" customHeight="1">
      <c r="A5" s="175" t="s">
        <v>464</v>
      </c>
    </row>
    <row r="6" spans="1:8" ht="45.75" customHeight="1">
      <c r="A6" s="173"/>
    </row>
    <row r="7" spans="1:8">
      <c r="A7" s="173"/>
    </row>
    <row r="8" spans="1:8">
      <c r="A8" s="173"/>
    </row>
    <row r="9" spans="1:8">
      <c r="A9" s="173"/>
      <c r="B9" s="176"/>
      <c r="C9" s="176"/>
      <c r="D9" s="176"/>
      <c r="E9" s="176"/>
      <c r="F9" s="176"/>
      <c r="G9" s="176"/>
      <c r="H9" s="173"/>
    </row>
    <row r="10" spans="1:8">
      <c r="A10" s="173"/>
      <c r="B10" s="177"/>
      <c r="C10" s="176"/>
      <c r="D10" s="176"/>
      <c r="E10" s="176"/>
      <c r="F10" s="176"/>
      <c r="G10" s="176"/>
      <c r="H10" s="173"/>
    </row>
    <row r="11" spans="1:8">
      <c r="A11" s="173"/>
      <c r="B11" s="177"/>
      <c r="C11" s="176"/>
      <c r="D11" s="176"/>
      <c r="E11" s="176"/>
      <c r="F11" s="176"/>
      <c r="G11" s="176"/>
      <c r="H11" s="173"/>
    </row>
    <row r="12" spans="1:8">
      <c r="A12" s="173"/>
    </row>
    <row r="13" spans="1:8">
      <c r="A13" s="173"/>
    </row>
    <row r="15" spans="1:8">
      <c r="E15" s="178"/>
    </row>
  </sheetData>
  <phoneticPr fontId="21" type="noConversion"/>
  <printOptions horizontalCentered="1"/>
  <pageMargins left="0.51181102362204722" right="0.47244094488188981" top="0.98425196850393704" bottom="0.35433070866141736" header="0.51181102362204722" footer="0.23622047244094491"/>
  <pageSetup paperSize="9" scale="56" orientation="portrait" useFirstPageNumber="1" verticalDpi="52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  <pageSetUpPr fitToPage="1"/>
  </sheetPr>
  <dimension ref="A1:Y67"/>
  <sheetViews>
    <sheetView view="pageBreakPreview" zoomScaleNormal="85" zoomScaleSheetLayoutView="100" workbookViewId="0">
      <pane xSplit="2" topLeftCell="C1" activePane="topRight" state="frozen"/>
      <selection activeCell="L16" sqref="L16"/>
      <selection pane="topRight" activeCell="AD31" sqref="AD31"/>
    </sheetView>
  </sheetViews>
  <sheetFormatPr defaultColWidth="8.88671875" defaultRowHeight="12"/>
  <cols>
    <col min="1" max="1" width="8.88671875" style="97"/>
    <col min="2" max="2" width="16.88671875" style="97" bestFit="1" customWidth="1"/>
    <col min="3" max="6" width="10" style="97" customWidth="1"/>
    <col min="7" max="9" width="10" style="97" hidden="1" customWidth="1"/>
    <col min="10" max="10" width="10" style="97" customWidth="1"/>
    <col min="11" max="13" width="10" style="97" hidden="1" customWidth="1"/>
    <col min="14" max="14" width="10" style="97" customWidth="1"/>
    <col min="15" max="17" width="10" style="97" hidden="1" customWidth="1"/>
    <col min="18" max="24" width="10" style="97" customWidth="1"/>
    <col min="25" max="16384" width="8.88671875" style="97"/>
  </cols>
  <sheetData>
    <row r="1" spans="1:2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</row>
    <row r="2" spans="1:25" s="69" customFormat="1" ht="35.25" customHeight="1">
      <c r="A2" s="371" t="s">
        <v>433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2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</row>
    <row r="4" spans="1:25" ht="12.75" thickBot="1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</row>
    <row r="5" spans="1:25" s="96" customFormat="1" ht="22.5" customHeight="1" thickTop="1">
      <c r="A5" s="1090" t="s">
        <v>457</v>
      </c>
      <c r="B5" s="1090"/>
      <c r="C5" s="663">
        <v>2018</v>
      </c>
      <c r="D5" s="663">
        <v>2019</v>
      </c>
      <c r="E5" s="663">
        <v>2020</v>
      </c>
      <c r="F5" s="663">
        <v>2021</v>
      </c>
      <c r="G5" s="663" t="s">
        <v>712</v>
      </c>
      <c r="H5" s="663" t="s">
        <v>458</v>
      </c>
      <c r="I5" s="663" t="s">
        <v>425</v>
      </c>
      <c r="J5" s="663">
        <v>2022</v>
      </c>
      <c r="K5" s="663" t="s">
        <v>388</v>
      </c>
      <c r="L5" s="663" t="s">
        <v>460</v>
      </c>
      <c r="M5" s="663" t="s">
        <v>468</v>
      </c>
      <c r="N5" s="663">
        <v>2023</v>
      </c>
      <c r="O5" s="663" t="s">
        <v>637</v>
      </c>
      <c r="P5" s="663" t="s">
        <v>610</v>
      </c>
      <c r="Q5" s="663" t="s">
        <v>635</v>
      </c>
      <c r="R5" s="663">
        <v>2024</v>
      </c>
      <c r="S5" s="663" t="s">
        <v>702</v>
      </c>
      <c r="T5" s="663" t="s">
        <v>666</v>
      </c>
      <c r="U5" s="663" t="s">
        <v>699</v>
      </c>
      <c r="V5" s="663">
        <v>2025</v>
      </c>
      <c r="W5" s="666" t="s">
        <v>697</v>
      </c>
      <c r="X5" s="695" t="s">
        <v>714</v>
      </c>
      <c r="Y5" s="666" t="s">
        <v>285</v>
      </c>
    </row>
    <row r="6" spans="1:25" s="508" customFormat="1" ht="21.75" customHeight="1">
      <c r="A6" s="1091" t="s">
        <v>288</v>
      </c>
      <c r="B6" s="1091"/>
      <c r="C6" s="505">
        <v>4800.5600000000004</v>
      </c>
      <c r="D6" s="505">
        <v>1631.11</v>
      </c>
      <c r="E6" s="505">
        <v>6803.72</v>
      </c>
      <c r="F6" s="505">
        <v>10728.689999999988</v>
      </c>
      <c r="G6" s="505">
        <v>2045.4881595900006</v>
      </c>
      <c r="H6" s="505">
        <v>4872.5744228999974</v>
      </c>
      <c r="I6" s="505">
        <v>7530.8078036799998</v>
      </c>
      <c r="J6" s="505">
        <v>8491.9273619200103</v>
      </c>
      <c r="K6" s="505">
        <v>2516.2176972500019</v>
      </c>
      <c r="L6" s="506">
        <v>4713.2485355899989</v>
      </c>
      <c r="M6" s="506">
        <v>7724.9470585199961</v>
      </c>
      <c r="N6" s="506">
        <v>8778.7058683000068</v>
      </c>
      <c r="O6" s="506">
        <v>2883.0980953700018</v>
      </c>
      <c r="P6" s="506">
        <v>6061.7357429399999</v>
      </c>
      <c r="Q6" s="506">
        <v>9008.4712283499903</v>
      </c>
      <c r="R6" s="506">
        <v>8640.2919121000014</v>
      </c>
      <c r="S6" s="506">
        <v>2054.9752744899997</v>
      </c>
      <c r="T6" s="506">
        <v>4184.2821381899994</v>
      </c>
      <c r="U6" s="506">
        <v>5626.0444027899939</v>
      </c>
      <c r="V6" s="506">
        <v>8074.2933553300099</v>
      </c>
      <c r="W6" s="506">
        <v>1738.1643363600015</v>
      </c>
      <c r="X6" s="696">
        <v>3754.5807164600046</v>
      </c>
      <c r="Y6" s="507">
        <v>-0.10269417967973626</v>
      </c>
    </row>
    <row r="7" spans="1:25" ht="21.75" customHeight="1">
      <c r="A7" s="1092"/>
      <c r="B7" s="127" t="s">
        <v>289</v>
      </c>
      <c r="C7" s="128">
        <v>73546.31</v>
      </c>
      <c r="D7" s="128">
        <v>84833.279999999999</v>
      </c>
      <c r="E7" s="128">
        <v>97298.2</v>
      </c>
      <c r="F7" s="128">
        <v>105509.65</v>
      </c>
      <c r="G7" s="128">
        <v>19472.165483960001</v>
      </c>
      <c r="H7" s="128">
        <v>39223.896592899997</v>
      </c>
      <c r="I7" s="128">
        <v>60618.30416467</v>
      </c>
      <c r="J7" s="128">
        <v>81863.765272360004</v>
      </c>
      <c r="K7" s="128">
        <v>21465.98625935</v>
      </c>
      <c r="L7" s="98">
        <v>43130.873856699996</v>
      </c>
      <c r="M7" s="98">
        <v>65048.743865359997</v>
      </c>
      <c r="N7" s="98">
        <v>87340.669031840007</v>
      </c>
      <c r="O7" s="98">
        <v>22659.97520941</v>
      </c>
      <c r="P7" s="98">
        <v>45142.123059580001</v>
      </c>
      <c r="Q7" s="98">
        <v>67968.493163609994</v>
      </c>
      <c r="R7" s="98">
        <v>90324.992804509995</v>
      </c>
      <c r="S7" s="98">
        <v>23802.20910118</v>
      </c>
      <c r="T7" s="98">
        <v>47789.228185929998</v>
      </c>
      <c r="U7" s="98">
        <v>72292.688419069993</v>
      </c>
      <c r="V7" s="98">
        <v>96113.504892900004</v>
      </c>
      <c r="W7" s="98">
        <v>25625.34743292</v>
      </c>
      <c r="X7" s="697">
        <v>51767.480688720003</v>
      </c>
      <c r="Y7" s="364">
        <v>8.3245799394627396E-2</v>
      </c>
    </row>
    <row r="8" spans="1:25" ht="21.75" customHeight="1">
      <c r="A8" s="1093"/>
      <c r="B8" s="129" t="s">
        <v>290</v>
      </c>
      <c r="C8" s="130">
        <v>68745.75</v>
      </c>
      <c r="D8" s="130">
        <v>83202.17</v>
      </c>
      <c r="E8" s="130">
        <v>90494.48</v>
      </c>
      <c r="F8" s="130">
        <v>94780.96</v>
      </c>
      <c r="G8" s="130">
        <v>17426.677324370001</v>
      </c>
      <c r="H8" s="130">
        <v>34351.322169999999</v>
      </c>
      <c r="I8" s="130">
        <v>53087.496360990001</v>
      </c>
      <c r="J8" s="130">
        <v>73371.837910439994</v>
      </c>
      <c r="K8" s="130">
        <v>18949.768562099998</v>
      </c>
      <c r="L8" s="99">
        <v>38417.625321109997</v>
      </c>
      <c r="M8" s="99">
        <v>57323.79680684</v>
      </c>
      <c r="N8" s="99">
        <v>78561.96316354</v>
      </c>
      <c r="O8" s="99">
        <v>19776.877114039999</v>
      </c>
      <c r="P8" s="99">
        <v>39080.387316640001</v>
      </c>
      <c r="Q8" s="99">
        <v>58960.021935260003</v>
      </c>
      <c r="R8" s="99">
        <v>81684.700892409994</v>
      </c>
      <c r="S8" s="99">
        <v>21747.233826690001</v>
      </c>
      <c r="T8" s="99">
        <v>43604.946047739999</v>
      </c>
      <c r="U8" s="99">
        <v>66666.644016279999</v>
      </c>
      <c r="V8" s="99">
        <v>88039.211537569994</v>
      </c>
      <c r="W8" s="99">
        <v>23887.183096559998</v>
      </c>
      <c r="X8" s="698">
        <v>48012.899972259998</v>
      </c>
      <c r="Y8" s="468">
        <v>0.10108839303903827</v>
      </c>
    </row>
    <row r="9" spans="1:25" s="508" customFormat="1" ht="21.75" customHeight="1">
      <c r="A9" s="1091" t="s">
        <v>57</v>
      </c>
      <c r="B9" s="1091"/>
      <c r="C9" s="505">
        <v>11374.54</v>
      </c>
      <c r="D9" s="505">
        <v>12763.34</v>
      </c>
      <c r="E9" s="505">
        <v>13148.11</v>
      </c>
      <c r="F9" s="505">
        <v>14385.439999999999</v>
      </c>
      <c r="G9" s="505">
        <v>4387.5648449600003</v>
      </c>
      <c r="H9" s="505">
        <v>8392.0220538299982</v>
      </c>
      <c r="I9" s="505">
        <v>13331.247789649999</v>
      </c>
      <c r="J9" s="505">
        <v>19574.077917529998</v>
      </c>
      <c r="K9" s="505">
        <v>4017.0768870700003</v>
      </c>
      <c r="L9" s="506">
        <v>8582.5300079099998</v>
      </c>
      <c r="M9" s="506">
        <v>15112.52688451</v>
      </c>
      <c r="N9" s="506">
        <v>20504.630378909998</v>
      </c>
      <c r="O9" s="506">
        <v>5065.7731599299996</v>
      </c>
      <c r="P9" s="506">
        <v>10150.83620243</v>
      </c>
      <c r="Q9" s="506">
        <v>15207.64977156</v>
      </c>
      <c r="R9" s="506">
        <v>20444.005316430001</v>
      </c>
      <c r="S9" s="506">
        <v>5578.2304047100006</v>
      </c>
      <c r="T9" s="506">
        <v>10958.666174519998</v>
      </c>
      <c r="U9" s="506">
        <v>16107.278295569999</v>
      </c>
      <c r="V9" s="506">
        <v>21096.674635099997</v>
      </c>
      <c r="W9" s="506">
        <v>4671.0140716599999</v>
      </c>
      <c r="X9" s="696">
        <v>9667.7443215699986</v>
      </c>
      <c r="Y9" s="507">
        <v>-0.11779917668735296</v>
      </c>
    </row>
    <row r="10" spans="1:25" ht="21.75" customHeight="1">
      <c r="A10" s="1092"/>
      <c r="B10" s="127" t="s">
        <v>50</v>
      </c>
      <c r="C10" s="128">
        <v>15631.87</v>
      </c>
      <c r="D10" s="128">
        <v>18316.21</v>
      </c>
      <c r="E10" s="128">
        <v>18244.650000000001</v>
      </c>
      <c r="F10" s="128">
        <v>19124.98</v>
      </c>
      <c r="G10" s="128">
        <v>6125.0249108300004</v>
      </c>
      <c r="H10" s="128">
        <v>12248.134682579999</v>
      </c>
      <c r="I10" s="128">
        <v>19906.849571769999</v>
      </c>
      <c r="J10" s="128">
        <v>29412.44724646</v>
      </c>
      <c r="K10" s="128">
        <v>8607.8921205900006</v>
      </c>
      <c r="L10" s="98">
        <v>17837.000609679999</v>
      </c>
      <c r="M10" s="98">
        <v>29131.44894437</v>
      </c>
      <c r="N10" s="98">
        <v>39038.839538569999</v>
      </c>
      <c r="O10" s="98">
        <v>9748.7764980899992</v>
      </c>
      <c r="P10" s="98">
        <v>19430.856333060001</v>
      </c>
      <c r="Q10" s="98">
        <v>29563.624776000001</v>
      </c>
      <c r="R10" s="98">
        <v>40217.06897842</v>
      </c>
      <c r="S10" s="98">
        <v>10657.301935060001</v>
      </c>
      <c r="T10" s="98">
        <v>21097.265506979998</v>
      </c>
      <c r="U10" s="98">
        <v>31154.036449989999</v>
      </c>
      <c r="V10" s="98">
        <v>41459.079041689998</v>
      </c>
      <c r="W10" s="98">
        <v>10089.41682208</v>
      </c>
      <c r="X10" s="697">
        <v>21053.636477489999</v>
      </c>
      <c r="Y10" s="364">
        <v>-2.0679945216390827E-3</v>
      </c>
    </row>
    <row r="11" spans="1:25" ht="21.75" customHeight="1">
      <c r="A11" s="1093"/>
      <c r="B11" s="129" t="s">
        <v>51</v>
      </c>
      <c r="C11" s="130">
        <v>4257.33</v>
      </c>
      <c r="D11" s="130">
        <v>5552.87</v>
      </c>
      <c r="E11" s="130">
        <v>5096.54</v>
      </c>
      <c r="F11" s="130">
        <v>4739.54</v>
      </c>
      <c r="G11" s="130">
        <v>1737.4600658700001</v>
      </c>
      <c r="H11" s="130">
        <v>3856.1126287500001</v>
      </c>
      <c r="I11" s="130">
        <v>6575.6017821200003</v>
      </c>
      <c r="J11" s="130">
        <v>9838.3693289300008</v>
      </c>
      <c r="K11" s="130">
        <v>4590.8152335200002</v>
      </c>
      <c r="L11" s="99">
        <v>9254.4706017699991</v>
      </c>
      <c r="M11" s="99">
        <v>14018.92205986</v>
      </c>
      <c r="N11" s="99">
        <v>18534.20915966</v>
      </c>
      <c r="O11" s="99">
        <v>4683.0033381599997</v>
      </c>
      <c r="P11" s="99">
        <v>9280.0201306300005</v>
      </c>
      <c r="Q11" s="99">
        <v>14355.975004440001</v>
      </c>
      <c r="R11" s="99">
        <v>19773.06366199</v>
      </c>
      <c r="S11" s="99">
        <v>5079.0715303500001</v>
      </c>
      <c r="T11" s="99">
        <v>10138.59933246</v>
      </c>
      <c r="U11" s="99">
        <v>15046.75815442</v>
      </c>
      <c r="V11" s="99">
        <v>20362.404406590002</v>
      </c>
      <c r="W11" s="99">
        <v>5418.4027504200003</v>
      </c>
      <c r="X11" s="698">
        <v>11385.892155920001</v>
      </c>
      <c r="Y11" s="468">
        <v>0.12302417548611833</v>
      </c>
    </row>
    <row r="12" spans="1:25" s="508" customFormat="1" ht="21.75" customHeight="1">
      <c r="A12" s="1091" t="s">
        <v>291</v>
      </c>
      <c r="B12" s="1091"/>
      <c r="C12" s="505">
        <v>3858.95</v>
      </c>
      <c r="D12" s="505">
        <v>3882.04</v>
      </c>
      <c r="E12" s="505">
        <v>5010.46</v>
      </c>
      <c r="F12" s="505">
        <v>5990.8200000000006</v>
      </c>
      <c r="G12" s="505">
        <v>1555.75107658</v>
      </c>
      <c r="H12" s="505">
        <v>3708.4524744099999</v>
      </c>
      <c r="I12" s="505">
        <v>5130.5220304499999</v>
      </c>
      <c r="J12" s="505">
        <v>6443.6053769199998</v>
      </c>
      <c r="K12" s="505">
        <v>1270.2590075999999</v>
      </c>
      <c r="L12" s="506">
        <v>2765.3658767400002</v>
      </c>
      <c r="M12" s="506">
        <v>4181.9216217100002</v>
      </c>
      <c r="N12" s="506">
        <v>5828.5432352799999</v>
      </c>
      <c r="O12" s="506">
        <v>1104.2151940899998</v>
      </c>
      <c r="P12" s="506">
        <v>2211.7411785200002</v>
      </c>
      <c r="Q12" s="506">
        <v>3411.6698436199999</v>
      </c>
      <c r="R12" s="506">
        <v>4967.2737002000003</v>
      </c>
      <c r="S12" s="506">
        <v>1072.5224379000001</v>
      </c>
      <c r="T12" s="506">
        <v>2333.7489825299999</v>
      </c>
      <c r="U12" s="506">
        <v>4496.8948926999992</v>
      </c>
      <c r="V12" s="506">
        <v>6523.4780777199994</v>
      </c>
      <c r="W12" s="506">
        <v>1504.31651809</v>
      </c>
      <c r="X12" s="696">
        <v>3314.4834832300003</v>
      </c>
      <c r="Y12" s="507">
        <v>0.42023992641950447</v>
      </c>
    </row>
    <row r="13" spans="1:25" ht="21.75" customHeight="1">
      <c r="A13" s="1092"/>
      <c r="B13" s="127" t="s">
        <v>52</v>
      </c>
      <c r="C13" s="128">
        <v>5035.3900000000003</v>
      </c>
      <c r="D13" s="128">
        <v>4576.9799999999996</v>
      </c>
      <c r="E13" s="128">
        <v>5750.22</v>
      </c>
      <c r="F13" s="128">
        <v>7136.52</v>
      </c>
      <c r="G13" s="128">
        <v>1934.48992505</v>
      </c>
      <c r="H13" s="128">
        <v>4381.7552018799997</v>
      </c>
      <c r="I13" s="128">
        <v>6127.83776519</v>
      </c>
      <c r="J13" s="128">
        <v>7688.6933151599997</v>
      </c>
      <c r="K13" s="128">
        <v>1505.53417511</v>
      </c>
      <c r="L13" s="98">
        <v>3206.0318076200001</v>
      </c>
      <c r="M13" s="98">
        <v>4934.65184116</v>
      </c>
      <c r="N13" s="98">
        <v>6794.7046611699998</v>
      </c>
      <c r="O13" s="98">
        <v>1400.1733561799999</v>
      </c>
      <c r="P13" s="98">
        <v>2766.83644757</v>
      </c>
      <c r="Q13" s="98">
        <v>4199.8964866699998</v>
      </c>
      <c r="R13" s="98">
        <v>5980.5783864900004</v>
      </c>
      <c r="S13" s="98">
        <v>1411.73080286</v>
      </c>
      <c r="T13" s="98">
        <v>3087.2471015199999</v>
      </c>
      <c r="U13" s="98">
        <v>5744.2538854799996</v>
      </c>
      <c r="V13" s="98">
        <v>8314.9627798199999</v>
      </c>
      <c r="W13" s="98">
        <v>2160.31650949</v>
      </c>
      <c r="X13" s="697">
        <v>4918.8772519000004</v>
      </c>
      <c r="Y13" s="364">
        <v>0.59328913110913639</v>
      </c>
    </row>
    <row r="14" spans="1:25" ht="21.75" customHeight="1">
      <c r="A14" s="1093"/>
      <c r="B14" s="129" t="s">
        <v>292</v>
      </c>
      <c r="C14" s="130">
        <v>1176.44</v>
      </c>
      <c r="D14" s="130">
        <v>694.94</v>
      </c>
      <c r="E14" s="130">
        <v>739.76</v>
      </c>
      <c r="F14" s="130">
        <v>1145.7</v>
      </c>
      <c r="G14" s="130">
        <v>378.73884846999999</v>
      </c>
      <c r="H14" s="130">
        <v>673.30272747000004</v>
      </c>
      <c r="I14" s="130">
        <v>997.31573474000004</v>
      </c>
      <c r="J14" s="130">
        <v>1245.0879382400001</v>
      </c>
      <c r="K14" s="130">
        <v>235.27516750999999</v>
      </c>
      <c r="L14" s="99">
        <v>440.66593088000002</v>
      </c>
      <c r="M14" s="99">
        <v>752.73021945000005</v>
      </c>
      <c r="N14" s="99">
        <v>966.16142589000003</v>
      </c>
      <c r="O14" s="99">
        <v>295.95816208999997</v>
      </c>
      <c r="P14" s="99">
        <v>555.09526904999996</v>
      </c>
      <c r="Q14" s="99">
        <v>788.22664305000001</v>
      </c>
      <c r="R14" s="99">
        <v>1013.3046862899999</v>
      </c>
      <c r="S14" s="99">
        <v>339.20836495999998</v>
      </c>
      <c r="T14" s="99">
        <v>753.49811898999997</v>
      </c>
      <c r="U14" s="99">
        <v>1247.3589927800001</v>
      </c>
      <c r="V14" s="99">
        <v>1791.4847021</v>
      </c>
      <c r="W14" s="99">
        <v>655.9999914</v>
      </c>
      <c r="X14" s="698">
        <v>1604.3937686700001</v>
      </c>
      <c r="Y14" s="468">
        <v>1.1292604828536974</v>
      </c>
    </row>
    <row r="15" spans="1:25" s="508" customFormat="1" ht="21.75" customHeight="1">
      <c r="A15" s="1091" t="s">
        <v>293</v>
      </c>
      <c r="B15" s="1091"/>
      <c r="C15" s="505">
        <v>3000.8978503799999</v>
      </c>
      <c r="D15" s="505">
        <v>8604.28064266</v>
      </c>
      <c r="E15" s="505">
        <v>7022.530399350002</v>
      </c>
      <c r="F15" s="505">
        <v>6900.390000000014</v>
      </c>
      <c r="G15" s="505">
        <v>2974.9408569299994</v>
      </c>
      <c r="H15" s="505">
        <v>2255.1068446199934</v>
      </c>
      <c r="I15" s="505">
        <v>3348.6714374500443</v>
      </c>
      <c r="J15" s="505">
        <v>2242.3425487100612</v>
      </c>
      <c r="K15" s="505">
        <v>1796.8627797100053</v>
      </c>
      <c r="L15" s="506">
        <v>3199.7894744100049</v>
      </c>
      <c r="M15" s="506">
        <v>2111.9955077000195</v>
      </c>
      <c r="N15" s="506">
        <v>526.47501082002418</v>
      </c>
      <c r="O15" s="506">
        <v>498.04909070000576</v>
      </c>
      <c r="P15" s="506">
        <v>3212.4778638299904</v>
      </c>
      <c r="Q15" s="506">
        <v>5349.3684209600033</v>
      </c>
      <c r="R15" s="506">
        <v>5266.7784655500436</v>
      </c>
      <c r="S15" s="506">
        <v>593.76107707000483</v>
      </c>
      <c r="T15" s="506">
        <v>3816.1736932800122</v>
      </c>
      <c r="U15" s="506">
        <v>5992.6983392100083</v>
      </c>
      <c r="V15" s="506">
        <v>3072.4646846600226</v>
      </c>
      <c r="W15" s="506">
        <v>3586.6333933600108</v>
      </c>
      <c r="X15" s="696">
        <v>7615.5017860899679</v>
      </c>
      <c r="Y15" s="507">
        <v>0.99558573539256856</v>
      </c>
    </row>
    <row r="16" spans="1:25" ht="21.75" customHeight="1">
      <c r="A16" s="1092"/>
      <c r="B16" s="127" t="s">
        <v>53</v>
      </c>
      <c r="C16" s="128">
        <v>77991.339855090002</v>
      </c>
      <c r="D16" s="128">
        <v>115424.64461084001</v>
      </c>
      <c r="E16" s="128">
        <v>163412.69980668</v>
      </c>
      <c r="F16" s="128">
        <v>224514.50999999998</v>
      </c>
      <c r="G16" s="128">
        <v>104820.36701165</v>
      </c>
      <c r="H16" s="128">
        <v>245953.52109058</v>
      </c>
      <c r="I16" s="128">
        <v>419552.91325555003</v>
      </c>
      <c r="J16" s="128">
        <v>553218.55948424002</v>
      </c>
      <c r="K16" s="128">
        <v>143425.14337100001</v>
      </c>
      <c r="L16" s="98">
        <v>241902.60489645999</v>
      </c>
      <c r="M16" s="98">
        <v>334329.23519469</v>
      </c>
      <c r="N16" s="98">
        <v>452409.37146742002</v>
      </c>
      <c r="O16" s="98">
        <v>91829.570621780003</v>
      </c>
      <c r="P16" s="98">
        <v>170526.17583175999</v>
      </c>
      <c r="Q16" s="98">
        <v>245202.95553477999</v>
      </c>
      <c r="R16" s="98">
        <v>329222.42334018002</v>
      </c>
      <c r="S16" s="98">
        <v>46431.536611490803</v>
      </c>
      <c r="T16" s="98">
        <v>103843.59641916081</v>
      </c>
      <c r="U16" s="98">
        <v>140331.32184669</v>
      </c>
      <c r="V16" s="98">
        <v>206686.53376280001</v>
      </c>
      <c r="W16" s="98">
        <v>125268.36106890001</v>
      </c>
      <c r="X16" s="697">
        <v>278034.28937776998</v>
      </c>
      <c r="Y16" s="364">
        <v>1.6774331683919628</v>
      </c>
    </row>
    <row r="17" spans="1:25" ht="21.75" customHeight="1">
      <c r="A17" s="1093"/>
      <c r="B17" s="129" t="s">
        <v>54</v>
      </c>
      <c r="C17" s="130">
        <v>74990.442004709999</v>
      </c>
      <c r="D17" s="130">
        <v>106820.36396818001</v>
      </c>
      <c r="E17" s="130">
        <v>156390.16940733002</v>
      </c>
      <c r="F17" s="130">
        <v>217614.11999999997</v>
      </c>
      <c r="G17" s="130">
        <v>101845.42615472</v>
      </c>
      <c r="H17" s="130">
        <v>243698.41424596001</v>
      </c>
      <c r="I17" s="130">
        <v>416204.24181809998</v>
      </c>
      <c r="J17" s="130">
        <v>550976.21693552996</v>
      </c>
      <c r="K17" s="130">
        <v>141628.28059129001</v>
      </c>
      <c r="L17" s="99">
        <v>238702.81542204999</v>
      </c>
      <c r="M17" s="99">
        <v>332217.23968698998</v>
      </c>
      <c r="N17" s="99">
        <v>451882.89645659999</v>
      </c>
      <c r="O17" s="99">
        <v>91331.521531079998</v>
      </c>
      <c r="P17" s="99">
        <v>167313.69796793</v>
      </c>
      <c r="Q17" s="99">
        <v>239853.58711381999</v>
      </c>
      <c r="R17" s="99">
        <v>323955.64487462997</v>
      </c>
      <c r="S17" s="99">
        <v>45837.775534420798</v>
      </c>
      <c r="T17" s="99">
        <v>100027.4227258808</v>
      </c>
      <c r="U17" s="99">
        <v>134338.62350747999</v>
      </c>
      <c r="V17" s="99">
        <v>203614.06907813999</v>
      </c>
      <c r="W17" s="99">
        <v>121681.72767553999</v>
      </c>
      <c r="X17" s="698">
        <v>270418.78759168001</v>
      </c>
      <c r="Y17" s="468">
        <v>1.7034465171890574</v>
      </c>
    </row>
    <row r="18" spans="1:25" ht="21.75" customHeight="1">
      <c r="A18" s="1091" t="s">
        <v>55</v>
      </c>
      <c r="B18" s="1091"/>
      <c r="C18" s="131">
        <v>15010.65</v>
      </c>
      <c r="D18" s="131">
        <v>17257.29</v>
      </c>
      <c r="E18" s="131">
        <v>18264.03</v>
      </c>
      <c r="F18" s="131">
        <v>20055.18</v>
      </c>
      <c r="G18" s="131">
        <v>2424.4836478100001</v>
      </c>
      <c r="H18" s="131">
        <v>4012.73387387</v>
      </c>
      <c r="I18" s="131">
        <v>6092.0144161300004</v>
      </c>
      <c r="J18" s="131">
        <v>7820.0196857600004</v>
      </c>
      <c r="K18" s="131">
        <v>1532.52976644</v>
      </c>
      <c r="L18" s="100">
        <v>3593.2161284399999</v>
      </c>
      <c r="M18" s="100">
        <v>5376.6458619200002</v>
      </c>
      <c r="N18" s="100">
        <v>6303.3308865299996</v>
      </c>
      <c r="O18" s="100">
        <v>1843.2733166400001</v>
      </c>
      <c r="P18" s="100">
        <v>3872.9544481100002</v>
      </c>
      <c r="Q18" s="100">
        <v>6197.95837682</v>
      </c>
      <c r="R18" s="100">
        <v>7429.4568814300001</v>
      </c>
      <c r="S18" s="100">
        <v>2082.05906671</v>
      </c>
      <c r="T18" s="100">
        <v>4578.1092657999998</v>
      </c>
      <c r="U18" s="100">
        <v>6885.0221530299996</v>
      </c>
      <c r="V18" s="100">
        <v>10039.571173009999</v>
      </c>
      <c r="W18" s="100">
        <v>2951.8413581300001</v>
      </c>
      <c r="X18" s="699">
        <v>6128.4858779599999</v>
      </c>
      <c r="Y18" s="364">
        <v>0.33864998018763548</v>
      </c>
    </row>
    <row r="19" spans="1:25" s="508" customFormat="1" ht="21.75" customHeight="1">
      <c r="A19" s="1091" t="s">
        <v>294</v>
      </c>
      <c r="B19" s="1091"/>
      <c r="C19" s="509">
        <v>8024.29</v>
      </c>
      <c r="D19" s="509">
        <v>9623.4699999999993</v>
      </c>
      <c r="E19" s="509">
        <v>13720.8</v>
      </c>
      <c r="F19" s="509">
        <v>17950.169999999998</v>
      </c>
      <c r="G19" s="509">
        <v>8539.2612902500005</v>
      </c>
      <c r="H19" s="509">
        <v>15215.42192189</v>
      </c>
      <c r="I19" s="509">
        <v>23249.234645100001</v>
      </c>
      <c r="J19" s="509">
        <v>28931.933519319999</v>
      </c>
      <c r="K19" s="509">
        <v>8067.8866051900004</v>
      </c>
      <c r="L19" s="492">
        <v>15667.71776621</v>
      </c>
      <c r="M19" s="492">
        <v>23754.745210519999</v>
      </c>
      <c r="N19" s="492">
        <v>29335.02360678</v>
      </c>
      <c r="O19" s="492">
        <v>7707.8622234499999</v>
      </c>
      <c r="P19" s="492">
        <v>17763.836539610002</v>
      </c>
      <c r="Q19" s="492">
        <v>26779.200887669998</v>
      </c>
      <c r="R19" s="492">
        <v>31888.892512850001</v>
      </c>
      <c r="S19" s="492">
        <v>7217.4301274600002</v>
      </c>
      <c r="T19" s="492">
        <v>16714.761722719999</v>
      </c>
      <c r="U19" s="492">
        <v>25337.893777239999</v>
      </c>
      <c r="V19" s="492">
        <v>28727.339579799998</v>
      </c>
      <c r="W19" s="492">
        <v>8548.2869613399998</v>
      </c>
      <c r="X19" s="700">
        <v>18223.824429389999</v>
      </c>
      <c r="Y19" s="510">
        <v>9.0283231774627382E-2</v>
      </c>
    </row>
    <row r="20" spans="1:25" ht="21.75" customHeight="1">
      <c r="A20" s="1091" t="s">
        <v>56</v>
      </c>
      <c r="B20" s="1091"/>
      <c r="C20" s="131">
        <v>686.44</v>
      </c>
      <c r="D20" s="131">
        <v>1352.91</v>
      </c>
      <c r="E20" s="131">
        <v>-829.63</v>
      </c>
      <c r="F20" s="131">
        <v>1026.28</v>
      </c>
      <c r="G20" s="131">
        <v>-39.795016779999997</v>
      </c>
      <c r="H20" s="131">
        <v>23.979465789999999</v>
      </c>
      <c r="I20" s="131">
        <v>394.38938782000002</v>
      </c>
      <c r="J20" s="131">
        <v>205.82088580999999</v>
      </c>
      <c r="K20" s="131">
        <v>134.57549856</v>
      </c>
      <c r="L20" s="100">
        <v>110.15892756</v>
      </c>
      <c r="M20" s="100">
        <v>-185.09694218000001</v>
      </c>
      <c r="N20" s="100">
        <v>-895.77981825999996</v>
      </c>
      <c r="O20" s="100">
        <v>384.11283025</v>
      </c>
      <c r="P20" s="100">
        <v>202.32224309</v>
      </c>
      <c r="Q20" s="100">
        <v>-208.89535885999999</v>
      </c>
      <c r="R20" s="100">
        <v>-477.43918258999997</v>
      </c>
      <c r="S20" s="100">
        <v>1173.5364908199999</v>
      </c>
      <c r="T20" s="100">
        <v>1666.3566097</v>
      </c>
      <c r="U20" s="100">
        <v>1966.5741109000001</v>
      </c>
      <c r="V20" s="100">
        <v>2888.1743968800001</v>
      </c>
      <c r="W20" s="100">
        <v>661.00289038999995</v>
      </c>
      <c r="X20" s="699">
        <v>1730.9236767499999</v>
      </c>
      <c r="Y20" s="364">
        <v>3.8747448579823596E-2</v>
      </c>
    </row>
    <row r="21" spans="1:25" s="508" customFormat="1" ht="21.75" customHeight="1">
      <c r="A21" s="1091" t="s">
        <v>295</v>
      </c>
      <c r="B21" s="1091"/>
      <c r="C21" s="509">
        <v>6401.03</v>
      </c>
      <c r="D21" s="509">
        <v>7870.88</v>
      </c>
      <c r="E21" s="509">
        <v>9253.0400000000009</v>
      </c>
      <c r="F21" s="509">
        <v>13832.47</v>
      </c>
      <c r="G21" s="509">
        <v>6343.1535187700001</v>
      </c>
      <c r="H21" s="509">
        <v>11251.065232679999</v>
      </c>
      <c r="I21" s="509">
        <v>17418.553316149999</v>
      </c>
      <c r="J21" s="509">
        <v>21333.40042799</v>
      </c>
      <c r="K21" s="509">
        <v>6036.7042894899996</v>
      </c>
      <c r="L21" s="492">
        <v>11802.997870040001</v>
      </c>
      <c r="M21" s="492">
        <v>17604.538277209998</v>
      </c>
      <c r="N21" s="492">
        <v>21253.765834329999</v>
      </c>
      <c r="O21" s="492">
        <v>5912.9034095400002</v>
      </c>
      <c r="P21" s="492">
        <v>13274.636159019999</v>
      </c>
      <c r="Q21" s="492">
        <v>19834.936929579999</v>
      </c>
      <c r="R21" s="100">
        <v>23334.336383509999</v>
      </c>
      <c r="S21" s="492">
        <v>6208.3347332900003</v>
      </c>
      <c r="T21" s="492">
        <v>13584.01533188</v>
      </c>
      <c r="U21" s="492">
        <v>20267.91231091</v>
      </c>
      <c r="V21" s="492">
        <v>23501.346436250002</v>
      </c>
      <c r="W21" s="492">
        <v>6802.2898759899999</v>
      </c>
      <c r="X21" s="700">
        <v>14716.011087790001</v>
      </c>
      <c r="Y21" s="510">
        <v>8.3332926844785549E-2</v>
      </c>
    </row>
    <row r="22" spans="1:25" ht="21.75" customHeight="1">
      <c r="A22" s="132"/>
      <c r="B22" s="133" t="s">
        <v>296</v>
      </c>
      <c r="C22" s="134">
        <v>3141.7</v>
      </c>
      <c r="D22" s="134">
        <v>3983.7</v>
      </c>
      <c r="E22" s="134">
        <v>4897.1499999999996</v>
      </c>
      <c r="F22" s="134">
        <v>7892.22</v>
      </c>
      <c r="G22" s="134">
        <v>4093.9078117899999</v>
      </c>
      <c r="H22" s="134">
        <v>7241.62394958</v>
      </c>
      <c r="I22" s="134">
        <v>11342.928938470001</v>
      </c>
      <c r="J22" s="134">
        <v>13917.22307804</v>
      </c>
      <c r="K22" s="134">
        <v>5287.4080754200004</v>
      </c>
      <c r="L22" s="101">
        <v>11027.32014242</v>
      </c>
      <c r="M22" s="101">
        <v>16798.990116069999</v>
      </c>
      <c r="N22" s="101">
        <v>20417.488633389999</v>
      </c>
      <c r="O22" s="101">
        <v>5857.6882454699999</v>
      </c>
      <c r="P22" s="101">
        <v>13159.171355189999</v>
      </c>
      <c r="Q22" s="101">
        <v>19658.472827230002</v>
      </c>
      <c r="R22" s="101">
        <v>23060.964800270001</v>
      </c>
      <c r="S22" s="101">
        <v>6098.3376778299998</v>
      </c>
      <c r="T22" s="101">
        <v>13349.499401859999</v>
      </c>
      <c r="U22" s="101">
        <v>19896.451955789998</v>
      </c>
      <c r="V22" s="101">
        <v>23003.597335170001</v>
      </c>
      <c r="W22" s="101">
        <v>6669.6872097799996</v>
      </c>
      <c r="X22" s="701">
        <v>14420.334056899999</v>
      </c>
      <c r="Y22" s="469">
        <v>8.021534162478039E-2</v>
      </c>
    </row>
    <row r="23" spans="1:25" ht="15.6" customHeight="1">
      <c r="A23" s="70" t="s">
        <v>313</v>
      </c>
      <c r="B23" s="102"/>
      <c r="C23" s="102"/>
      <c r="D23" s="102"/>
      <c r="E23" s="102"/>
      <c r="F23" s="102"/>
      <c r="G23" s="102"/>
      <c r="H23" s="102"/>
      <c r="I23" s="102"/>
      <c r="J23" s="135"/>
      <c r="K23" s="135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02"/>
      <c r="Y23" s="96"/>
    </row>
    <row r="24" spans="1:25" ht="13.5">
      <c r="A24" s="102" t="s">
        <v>323</v>
      </c>
      <c r="B24" s="102"/>
      <c r="C24" s="135"/>
      <c r="D24" s="135"/>
      <c r="E24" s="135"/>
      <c r="F24" s="135"/>
      <c r="G24" s="135"/>
      <c r="H24" s="135"/>
      <c r="I24" s="135"/>
      <c r="J24" s="135"/>
      <c r="K24" s="135"/>
      <c r="L24" s="452"/>
      <c r="M24" s="135"/>
      <c r="N24" s="452"/>
      <c r="O24" s="452"/>
      <c r="P24" s="135"/>
      <c r="Q24" s="135"/>
      <c r="R24" s="452"/>
      <c r="S24" s="452"/>
      <c r="T24" s="452"/>
      <c r="U24" s="452"/>
      <c r="V24" s="452"/>
      <c r="W24" s="452"/>
      <c r="X24" s="102"/>
      <c r="Y24" s="96"/>
    </row>
    <row r="25" spans="1:25" ht="14.25" thickBot="1">
      <c r="A25" s="102"/>
      <c r="B25" s="102"/>
      <c r="C25" s="102"/>
      <c r="D25" s="102"/>
      <c r="E25" s="102"/>
      <c r="F25" s="102"/>
      <c r="G25" s="102"/>
      <c r="H25" s="102"/>
      <c r="I25" s="102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02"/>
      <c r="Y25" s="96"/>
    </row>
    <row r="26" spans="1:25" s="96" customFormat="1" ht="22.5" customHeight="1" thickTop="1">
      <c r="A26" s="1090" t="s">
        <v>459</v>
      </c>
      <c r="B26" s="1090"/>
      <c r="C26" s="663">
        <v>2018</v>
      </c>
      <c r="D26" s="663">
        <v>2019</v>
      </c>
      <c r="E26" s="663">
        <v>2020</v>
      </c>
      <c r="F26" s="663">
        <v>2021</v>
      </c>
      <c r="G26" s="663" t="s">
        <v>390</v>
      </c>
      <c r="H26" s="663" t="s">
        <v>424</v>
      </c>
      <c r="I26" s="663" t="s">
        <v>425</v>
      </c>
      <c r="J26" s="663" t="s">
        <v>426</v>
      </c>
      <c r="K26" s="663" t="s">
        <v>388</v>
      </c>
      <c r="L26" s="663" t="s">
        <v>703</v>
      </c>
      <c r="M26" s="663" t="s">
        <v>468</v>
      </c>
      <c r="N26" s="663" t="s">
        <v>567</v>
      </c>
      <c r="O26" s="663" t="s">
        <v>637</v>
      </c>
      <c r="P26" s="663" t="s">
        <v>704</v>
      </c>
      <c r="Q26" s="663" t="s">
        <v>635</v>
      </c>
      <c r="R26" s="663" t="s">
        <v>705</v>
      </c>
      <c r="S26" s="663" t="s">
        <v>702</v>
      </c>
      <c r="T26" s="663" t="s">
        <v>706</v>
      </c>
      <c r="U26" s="663" t="s">
        <v>698</v>
      </c>
      <c r="V26" s="663" t="s">
        <v>707</v>
      </c>
      <c r="W26" s="666" t="s">
        <v>697</v>
      </c>
      <c r="X26" s="695" t="s">
        <v>715</v>
      </c>
      <c r="Y26" s="666" t="s">
        <v>285</v>
      </c>
    </row>
    <row r="27" spans="1:25" s="508" customFormat="1" ht="21.75" customHeight="1">
      <c r="A27" s="1091" t="s">
        <v>288</v>
      </c>
      <c r="B27" s="1091"/>
      <c r="C27" s="505">
        <v>4800.5600000000004</v>
      </c>
      <c r="D27" s="505">
        <v>1631.11</v>
      </c>
      <c r="E27" s="505">
        <v>6803.72</v>
      </c>
      <c r="F27" s="505">
        <v>10728.689999999988</v>
      </c>
      <c r="G27" s="505">
        <v>2045.4881595900006</v>
      </c>
      <c r="H27" s="505">
        <v>2827.0862633099969</v>
      </c>
      <c r="I27" s="505">
        <v>2658.2333807800023</v>
      </c>
      <c r="J27" s="505">
        <v>961.11955824001052</v>
      </c>
      <c r="K27" s="505">
        <v>2516.2176972500019</v>
      </c>
      <c r="L27" s="505">
        <v>2197.030838339997</v>
      </c>
      <c r="M27" s="506">
        <v>3011.6985229299971</v>
      </c>
      <c r="N27" s="506">
        <v>1053.7588097800108</v>
      </c>
      <c r="O27" s="506">
        <v>2883.0980953700018</v>
      </c>
      <c r="P27" s="506">
        <v>3178.6376475699981</v>
      </c>
      <c r="Q27" s="506">
        <v>2946.7354854099904</v>
      </c>
      <c r="R27" s="506">
        <v>-368.17931624998891</v>
      </c>
      <c r="S27" s="506">
        <v>2054.9752744899997</v>
      </c>
      <c r="T27" s="506">
        <v>2129.3068636999997</v>
      </c>
      <c r="U27" s="506">
        <v>1441.7622645999945</v>
      </c>
      <c r="V27" s="506">
        <v>2448.248952540016</v>
      </c>
      <c r="W27" s="506">
        <v>1738.1643363600015</v>
      </c>
      <c r="X27" s="696">
        <v>2016.4163801000032</v>
      </c>
      <c r="Y27" s="507">
        <v>-5.3017479783929233E-2</v>
      </c>
    </row>
    <row r="28" spans="1:25" ht="21.75" customHeight="1">
      <c r="A28" s="1092"/>
      <c r="B28" s="127" t="s">
        <v>289</v>
      </c>
      <c r="C28" s="128">
        <v>73546.31</v>
      </c>
      <c r="D28" s="128">
        <v>84833.279999999999</v>
      </c>
      <c r="E28" s="128">
        <v>97298.2</v>
      </c>
      <c r="F28" s="128">
        <v>105509.65</v>
      </c>
      <c r="G28" s="128">
        <v>19472.165483960001</v>
      </c>
      <c r="H28" s="128">
        <v>19751.731108939995</v>
      </c>
      <c r="I28" s="128">
        <v>21394.407571770003</v>
      </c>
      <c r="J28" s="128">
        <v>21245.461107690004</v>
      </c>
      <c r="K28" s="128">
        <v>21465.98625935</v>
      </c>
      <c r="L28" s="128">
        <v>21664.887597349996</v>
      </c>
      <c r="M28" s="98">
        <v>21917.87000866</v>
      </c>
      <c r="N28" s="98">
        <v>22291.92516648001</v>
      </c>
      <c r="O28" s="98">
        <v>22659.97520941</v>
      </c>
      <c r="P28" s="98">
        <v>22482.14785017</v>
      </c>
      <c r="Q28" s="98">
        <v>22826.370104029993</v>
      </c>
      <c r="R28" s="98">
        <v>22356.499640900001</v>
      </c>
      <c r="S28" s="98">
        <v>23802.20910118</v>
      </c>
      <c r="T28" s="98">
        <v>23987.019084749998</v>
      </c>
      <c r="U28" s="98">
        <v>24503.460233139995</v>
      </c>
      <c r="V28" s="98">
        <v>23820.816473830011</v>
      </c>
      <c r="W28" s="98">
        <v>25625.34743292</v>
      </c>
      <c r="X28" s="697">
        <v>26142.133255800003</v>
      </c>
      <c r="Y28" s="364">
        <v>8.9845018400812604E-2</v>
      </c>
    </row>
    <row r="29" spans="1:25" ht="21.75" customHeight="1">
      <c r="A29" s="1093"/>
      <c r="B29" s="129" t="s">
        <v>290</v>
      </c>
      <c r="C29" s="130">
        <v>68745.75</v>
      </c>
      <c r="D29" s="130">
        <v>83202.17</v>
      </c>
      <c r="E29" s="130">
        <v>90494.48</v>
      </c>
      <c r="F29" s="130">
        <v>94780.96</v>
      </c>
      <c r="G29" s="130">
        <v>17426.677324370001</v>
      </c>
      <c r="H29" s="130">
        <v>16924.644845629999</v>
      </c>
      <c r="I29" s="130">
        <v>18736.174190990001</v>
      </c>
      <c r="J29" s="130">
        <v>20284.341549449993</v>
      </c>
      <c r="K29" s="130">
        <v>18949.768562099998</v>
      </c>
      <c r="L29" s="128">
        <v>19467.856759009999</v>
      </c>
      <c r="M29" s="99">
        <v>18906.171485730003</v>
      </c>
      <c r="N29" s="99">
        <v>21238.1663567</v>
      </c>
      <c r="O29" s="99">
        <v>19776.877114039999</v>
      </c>
      <c r="P29" s="99">
        <v>19303.510202600002</v>
      </c>
      <c r="Q29" s="99">
        <v>19879.634618620003</v>
      </c>
      <c r="R29" s="99">
        <v>22724.67895714999</v>
      </c>
      <c r="S29" s="99">
        <v>21747.233826690001</v>
      </c>
      <c r="T29" s="99">
        <v>21857.712221049998</v>
      </c>
      <c r="U29" s="99">
        <v>23061.69796854</v>
      </c>
      <c r="V29" s="99">
        <v>21372.567521289995</v>
      </c>
      <c r="W29" s="99">
        <v>23887.183096559998</v>
      </c>
      <c r="X29" s="698">
        <v>24125.7168757</v>
      </c>
      <c r="Y29" s="468">
        <v>0.10376221590408741</v>
      </c>
    </row>
    <row r="30" spans="1:25" s="508" customFormat="1" ht="21.75" customHeight="1">
      <c r="A30" s="1091" t="s">
        <v>57</v>
      </c>
      <c r="B30" s="1091"/>
      <c r="C30" s="505">
        <v>11374.54</v>
      </c>
      <c r="D30" s="505">
        <v>12763.34</v>
      </c>
      <c r="E30" s="505">
        <v>13148.11</v>
      </c>
      <c r="F30" s="505">
        <v>14385.439999999999</v>
      </c>
      <c r="G30" s="505">
        <v>4387.5648449600003</v>
      </c>
      <c r="H30" s="505">
        <v>4004.4572088699979</v>
      </c>
      <c r="I30" s="505">
        <v>4939.2257358200004</v>
      </c>
      <c r="J30" s="505">
        <v>6242.8301278799991</v>
      </c>
      <c r="K30" s="505">
        <v>4017.0768870700003</v>
      </c>
      <c r="L30" s="511">
        <v>4565.4531208399994</v>
      </c>
      <c r="M30" s="506">
        <v>6529.9968766000002</v>
      </c>
      <c r="N30" s="506">
        <v>5392.1034943999985</v>
      </c>
      <c r="O30" s="506">
        <v>5065.7731599299996</v>
      </c>
      <c r="P30" s="506">
        <v>5085.0630425000008</v>
      </c>
      <c r="Q30" s="506">
        <v>5056.8135691299995</v>
      </c>
      <c r="R30" s="506">
        <v>5236.3555448700008</v>
      </c>
      <c r="S30" s="506">
        <v>5578.2304047100006</v>
      </c>
      <c r="T30" s="506">
        <v>5380.4357698099975</v>
      </c>
      <c r="U30" s="506">
        <v>5148.6121210500005</v>
      </c>
      <c r="V30" s="506">
        <v>4989.3963395299979</v>
      </c>
      <c r="W30" s="506">
        <v>4671.0140716599999</v>
      </c>
      <c r="X30" s="696">
        <v>4996.7302499099987</v>
      </c>
      <c r="Y30" s="507">
        <v>-7.1314952229891371E-2</v>
      </c>
    </row>
    <row r="31" spans="1:25" ht="21.75" customHeight="1">
      <c r="A31" s="1092"/>
      <c r="B31" s="127" t="s">
        <v>50</v>
      </c>
      <c r="C31" s="128">
        <v>15631.87</v>
      </c>
      <c r="D31" s="128">
        <v>18316.21</v>
      </c>
      <c r="E31" s="128">
        <v>18244.650000000001</v>
      </c>
      <c r="F31" s="128">
        <v>19124.98</v>
      </c>
      <c r="G31" s="128">
        <v>6125.0249108300004</v>
      </c>
      <c r="H31" s="128">
        <v>6123.1097717499988</v>
      </c>
      <c r="I31" s="128">
        <v>7658.7148891899997</v>
      </c>
      <c r="J31" s="128">
        <v>9505.5976746900014</v>
      </c>
      <c r="K31" s="128">
        <v>8607.8921205900006</v>
      </c>
      <c r="L31" s="128">
        <v>9229.1084890899983</v>
      </c>
      <c r="M31" s="98">
        <v>11294.448334690002</v>
      </c>
      <c r="N31" s="98">
        <v>9907.3905941999983</v>
      </c>
      <c r="O31" s="98">
        <v>9748.7764980899992</v>
      </c>
      <c r="P31" s="98">
        <v>9682.0798349700017</v>
      </c>
      <c r="Q31" s="98">
        <v>10132.76844294</v>
      </c>
      <c r="R31" s="98">
        <v>10653.44420242</v>
      </c>
      <c r="S31" s="98">
        <v>10657.301935060001</v>
      </c>
      <c r="T31" s="98">
        <v>10439.963571919998</v>
      </c>
      <c r="U31" s="98">
        <v>10056.77094301</v>
      </c>
      <c r="V31" s="98">
        <v>10305.042591699999</v>
      </c>
      <c r="W31" s="98">
        <v>10089.41682208</v>
      </c>
      <c r="X31" s="697">
        <v>10964.219655409999</v>
      </c>
      <c r="Y31" s="364">
        <v>5.0216275169778779E-2</v>
      </c>
    </row>
    <row r="32" spans="1:25" ht="21.75" customHeight="1">
      <c r="A32" s="1093"/>
      <c r="B32" s="129" t="s">
        <v>51</v>
      </c>
      <c r="C32" s="130">
        <v>4257.33</v>
      </c>
      <c r="D32" s="130">
        <v>5552.87</v>
      </c>
      <c r="E32" s="130">
        <v>5096.54</v>
      </c>
      <c r="F32" s="130">
        <v>4739.54</v>
      </c>
      <c r="G32" s="130">
        <v>1737.4600658700001</v>
      </c>
      <c r="H32" s="130">
        <v>2118.65256288</v>
      </c>
      <c r="I32" s="130">
        <v>2719.4891533700002</v>
      </c>
      <c r="J32" s="130">
        <v>3262.7675468100006</v>
      </c>
      <c r="K32" s="130">
        <v>4590.8152335200002</v>
      </c>
      <c r="L32" s="128">
        <v>4663.6553682499989</v>
      </c>
      <c r="M32" s="99">
        <v>4764.4514580900013</v>
      </c>
      <c r="N32" s="99">
        <v>4515.2870997999999</v>
      </c>
      <c r="O32" s="99">
        <v>4683.0033381599997</v>
      </c>
      <c r="P32" s="99">
        <v>4597.0167924700008</v>
      </c>
      <c r="Q32" s="99">
        <v>5075.9548738100002</v>
      </c>
      <c r="R32" s="99">
        <v>5417.088657549999</v>
      </c>
      <c r="S32" s="99">
        <v>5079.0715303500001</v>
      </c>
      <c r="T32" s="99">
        <v>5059.5278021100003</v>
      </c>
      <c r="U32" s="99">
        <v>4908.1588219599998</v>
      </c>
      <c r="V32" s="99">
        <v>5315.6462521700014</v>
      </c>
      <c r="W32" s="99">
        <v>5418.4027504200003</v>
      </c>
      <c r="X32" s="698">
        <v>5967.4894055000004</v>
      </c>
      <c r="Y32" s="468">
        <v>0.17945579882204599</v>
      </c>
    </row>
    <row r="33" spans="1:25" s="508" customFormat="1" ht="21.75" customHeight="1">
      <c r="A33" s="1091" t="s">
        <v>291</v>
      </c>
      <c r="B33" s="1091"/>
      <c r="C33" s="505">
        <v>3858.95</v>
      </c>
      <c r="D33" s="505">
        <v>3882.04</v>
      </c>
      <c r="E33" s="505">
        <v>5010.46</v>
      </c>
      <c r="F33" s="505">
        <v>5990.8200000000006</v>
      </c>
      <c r="G33" s="505">
        <v>1555.75107658</v>
      </c>
      <c r="H33" s="505">
        <v>2152.7013978300001</v>
      </c>
      <c r="I33" s="505">
        <v>1422.06955604</v>
      </c>
      <c r="J33" s="505">
        <v>1313.0833464699999</v>
      </c>
      <c r="K33" s="505">
        <v>1270.2590075999999</v>
      </c>
      <c r="L33" s="511">
        <v>1495.1068691400003</v>
      </c>
      <c r="M33" s="506">
        <v>1416.55574497</v>
      </c>
      <c r="N33" s="506">
        <v>1646.6216135699997</v>
      </c>
      <c r="O33" s="506">
        <v>1104.2151940899998</v>
      </c>
      <c r="P33" s="506">
        <v>1107.5259844300003</v>
      </c>
      <c r="Q33" s="506">
        <v>1199.9286650999998</v>
      </c>
      <c r="R33" s="506">
        <v>1555.6038565800004</v>
      </c>
      <c r="S33" s="506">
        <v>1072.5224379000001</v>
      </c>
      <c r="T33" s="506">
        <v>1261.2265446299998</v>
      </c>
      <c r="U33" s="506">
        <v>2163.1459101699993</v>
      </c>
      <c r="V33" s="506">
        <v>2026.5831850200002</v>
      </c>
      <c r="W33" s="506">
        <v>1504.31651809</v>
      </c>
      <c r="X33" s="696">
        <v>1810.1669651400002</v>
      </c>
      <c r="Y33" s="507">
        <v>0.43524331361979107</v>
      </c>
    </row>
    <row r="34" spans="1:25" ht="21.75" customHeight="1">
      <c r="A34" s="1092"/>
      <c r="B34" s="127" t="s">
        <v>52</v>
      </c>
      <c r="C34" s="128">
        <v>5035.3900000000003</v>
      </c>
      <c r="D34" s="128">
        <v>4576.9799999999996</v>
      </c>
      <c r="E34" s="128">
        <v>5750.22</v>
      </c>
      <c r="F34" s="128">
        <v>7136.52</v>
      </c>
      <c r="G34" s="128">
        <v>1934.48992505</v>
      </c>
      <c r="H34" s="128">
        <v>2447.2652768299995</v>
      </c>
      <c r="I34" s="128">
        <v>1746.0825633100003</v>
      </c>
      <c r="J34" s="128">
        <v>1560.8555499699996</v>
      </c>
      <c r="K34" s="128">
        <v>1505.53417511</v>
      </c>
      <c r="L34" s="185">
        <v>1700.4976325100001</v>
      </c>
      <c r="M34" s="98">
        <v>1728.6200335399999</v>
      </c>
      <c r="N34" s="98">
        <v>1860.0528200099998</v>
      </c>
      <c r="O34" s="98">
        <v>1400.1733561799999</v>
      </c>
      <c r="P34" s="98">
        <v>1366.6630913900001</v>
      </c>
      <c r="Q34" s="98">
        <v>1433.0600390999998</v>
      </c>
      <c r="R34" s="98">
        <v>1780.6818998200006</v>
      </c>
      <c r="S34" s="98">
        <v>1411.73080286</v>
      </c>
      <c r="T34" s="98">
        <v>1675.5162986599998</v>
      </c>
      <c r="U34" s="98">
        <v>2657.0067839599997</v>
      </c>
      <c r="V34" s="98">
        <v>2570.7088943400004</v>
      </c>
      <c r="W34" s="98">
        <v>2160.31650949</v>
      </c>
      <c r="X34" s="697">
        <v>2758.5607424100003</v>
      </c>
      <c r="Y34" s="364">
        <v>0.64639445442349275</v>
      </c>
    </row>
    <row r="35" spans="1:25" ht="21.75" customHeight="1">
      <c r="A35" s="1093"/>
      <c r="B35" s="129" t="s">
        <v>292</v>
      </c>
      <c r="C35" s="130">
        <v>1176.44</v>
      </c>
      <c r="D35" s="130">
        <v>694.94</v>
      </c>
      <c r="E35" s="130">
        <v>739.76</v>
      </c>
      <c r="F35" s="130">
        <v>1145.7</v>
      </c>
      <c r="G35" s="130">
        <v>378.73884846999999</v>
      </c>
      <c r="H35" s="130">
        <v>294.56387900000004</v>
      </c>
      <c r="I35" s="130">
        <v>324.01300727</v>
      </c>
      <c r="J35" s="130">
        <v>247.77220350000005</v>
      </c>
      <c r="K35" s="130">
        <v>235.27516750999999</v>
      </c>
      <c r="L35" s="130">
        <v>205.39076337000003</v>
      </c>
      <c r="M35" s="99">
        <v>312.06428857000003</v>
      </c>
      <c r="N35" s="99">
        <v>213.43120643999998</v>
      </c>
      <c r="O35" s="99">
        <v>295.95816208999997</v>
      </c>
      <c r="P35" s="99">
        <v>259.13710695999998</v>
      </c>
      <c r="Q35" s="99">
        <v>233.13137400000005</v>
      </c>
      <c r="R35" s="99">
        <v>225.07804323999994</v>
      </c>
      <c r="S35" s="99">
        <v>339.20836495999998</v>
      </c>
      <c r="T35" s="99">
        <v>414.28975402999998</v>
      </c>
      <c r="U35" s="99">
        <v>493.86087379000014</v>
      </c>
      <c r="V35" s="99">
        <v>544.12570931999994</v>
      </c>
      <c r="W35" s="99">
        <v>655.9999914</v>
      </c>
      <c r="X35" s="698">
        <v>948.3937772700001</v>
      </c>
      <c r="Y35" s="468">
        <v>1.2892040366543172</v>
      </c>
    </row>
    <row r="36" spans="1:25" s="508" customFormat="1" ht="21.75" customHeight="1">
      <c r="A36" s="1091" t="s">
        <v>293</v>
      </c>
      <c r="B36" s="1091"/>
      <c r="C36" s="505">
        <v>3000.8978503799999</v>
      </c>
      <c r="D36" s="505">
        <v>8604.28064266</v>
      </c>
      <c r="E36" s="505">
        <v>7022.530399350002</v>
      </c>
      <c r="F36" s="505">
        <v>6900.390000000014</v>
      </c>
      <c r="G36" s="505">
        <v>2974.9408569299994</v>
      </c>
      <c r="H36" s="505">
        <v>-719.83401231000607</v>
      </c>
      <c r="I36" s="505">
        <v>1093.564592830051</v>
      </c>
      <c r="J36" s="505">
        <v>-1106.3288887399831</v>
      </c>
      <c r="K36" s="505">
        <v>1796.8627797100053</v>
      </c>
      <c r="L36" s="505">
        <v>1402.9266946999996</v>
      </c>
      <c r="M36" s="506">
        <v>-1087.7939667099854</v>
      </c>
      <c r="N36" s="506">
        <v>-1585.5204968799953</v>
      </c>
      <c r="O36" s="506">
        <v>498.04909070000576</v>
      </c>
      <c r="P36" s="506">
        <v>2714.4287731299846</v>
      </c>
      <c r="Q36" s="506">
        <v>2136.8905571300129</v>
      </c>
      <c r="R36" s="506">
        <v>-82.589955409959657</v>
      </c>
      <c r="S36" s="506">
        <v>593.76107707000483</v>
      </c>
      <c r="T36" s="506">
        <v>3222.4126162100074</v>
      </c>
      <c r="U36" s="506">
        <v>2176.524645929996</v>
      </c>
      <c r="V36" s="506">
        <v>-2920.2336545499857</v>
      </c>
      <c r="W36" s="506">
        <v>3586.6333933600108</v>
      </c>
      <c r="X36" s="696">
        <v>4028.8683927299571</v>
      </c>
      <c r="Y36" s="507">
        <v>0.25026459133853907</v>
      </c>
    </row>
    <row r="37" spans="1:25" ht="21.75" customHeight="1">
      <c r="A37" s="1092"/>
      <c r="B37" s="127" t="s">
        <v>53</v>
      </c>
      <c r="C37" s="128">
        <v>77991.339855090002</v>
      </c>
      <c r="D37" s="128">
        <v>115424.64461084001</v>
      </c>
      <c r="E37" s="128">
        <v>163412.69980668</v>
      </c>
      <c r="F37" s="128">
        <v>224514.50999999998</v>
      </c>
      <c r="G37" s="128">
        <v>104820.36701165</v>
      </c>
      <c r="H37" s="128">
        <v>141133.15407893001</v>
      </c>
      <c r="I37" s="128">
        <v>173599.39216497002</v>
      </c>
      <c r="J37" s="128">
        <v>133665.64622868999</v>
      </c>
      <c r="K37" s="128">
        <v>143425.14337100001</v>
      </c>
      <c r="L37" s="185">
        <v>98477.461525459978</v>
      </c>
      <c r="M37" s="98">
        <v>92426.630298230011</v>
      </c>
      <c r="N37" s="98">
        <v>118080.13627273001</v>
      </c>
      <c r="O37" s="98">
        <v>91829.570621780003</v>
      </c>
      <c r="P37" s="98">
        <v>78696.605209979985</v>
      </c>
      <c r="Q37" s="98">
        <v>74676.779703020002</v>
      </c>
      <c r="R37" s="98">
        <v>84019.467805400025</v>
      </c>
      <c r="S37" s="98">
        <v>46431.536611490803</v>
      </c>
      <c r="T37" s="98">
        <v>57412.059807670004</v>
      </c>
      <c r="U37" s="98">
        <v>36487.725427529193</v>
      </c>
      <c r="V37" s="98">
        <v>66355.211916110013</v>
      </c>
      <c r="W37" s="98">
        <v>125268.36106890001</v>
      </c>
      <c r="X37" s="697">
        <v>152765.92830886997</v>
      </c>
      <c r="Y37" s="364">
        <v>1.6608682708935154</v>
      </c>
    </row>
    <row r="38" spans="1:25" ht="21.75" customHeight="1">
      <c r="A38" s="1093"/>
      <c r="B38" s="129" t="s">
        <v>54</v>
      </c>
      <c r="C38" s="130">
        <v>74990.442004709999</v>
      </c>
      <c r="D38" s="130">
        <v>106820.36396818001</v>
      </c>
      <c r="E38" s="130">
        <v>156390.16940733002</v>
      </c>
      <c r="F38" s="130">
        <v>217614.11999999997</v>
      </c>
      <c r="G38" s="130">
        <v>101845.42615472</v>
      </c>
      <c r="H38" s="130">
        <v>141852.98809124</v>
      </c>
      <c r="I38" s="130">
        <v>172505.82757213997</v>
      </c>
      <c r="J38" s="130">
        <v>134771.97511742997</v>
      </c>
      <c r="K38" s="130">
        <v>141628.28059129001</v>
      </c>
      <c r="L38" s="130">
        <v>97074.534830759978</v>
      </c>
      <c r="M38" s="99">
        <v>93514.424264939997</v>
      </c>
      <c r="N38" s="99">
        <v>119665.65676961001</v>
      </c>
      <c r="O38" s="99">
        <v>91331.521531079998</v>
      </c>
      <c r="P38" s="99">
        <v>75982.176436850001</v>
      </c>
      <c r="Q38" s="99">
        <v>72539.889145889989</v>
      </c>
      <c r="R38" s="99">
        <v>84102.057760809985</v>
      </c>
      <c r="S38" s="99">
        <v>45837.775534420798</v>
      </c>
      <c r="T38" s="99">
        <v>54189.647191459997</v>
      </c>
      <c r="U38" s="99">
        <v>34311.200781599196</v>
      </c>
      <c r="V38" s="99">
        <v>69275.445570659998</v>
      </c>
      <c r="W38" s="99">
        <v>121681.72767553999</v>
      </c>
      <c r="X38" s="698">
        <v>148737.05991614002</v>
      </c>
      <c r="Y38" s="468">
        <v>1.7447504758728192</v>
      </c>
    </row>
    <row r="39" spans="1:25" ht="21.75" customHeight="1">
      <c r="A39" s="1091" t="s">
        <v>55</v>
      </c>
      <c r="B39" s="1091"/>
      <c r="C39" s="131">
        <v>15010.65</v>
      </c>
      <c r="D39" s="131">
        <v>17257.29</v>
      </c>
      <c r="E39" s="131">
        <v>18264.03</v>
      </c>
      <c r="F39" s="131">
        <v>20055.18</v>
      </c>
      <c r="G39" s="131">
        <v>2424.4836478100001</v>
      </c>
      <c r="H39" s="131">
        <v>1588.2502260599999</v>
      </c>
      <c r="I39" s="131">
        <v>2079.2805422600004</v>
      </c>
      <c r="J39" s="131">
        <v>1728.0052696299999</v>
      </c>
      <c r="K39" s="131">
        <v>1532.52976644</v>
      </c>
      <c r="L39" s="131">
        <v>2060.6863619999999</v>
      </c>
      <c r="M39" s="100">
        <v>1783.4297334800003</v>
      </c>
      <c r="N39" s="100">
        <v>926.68502460999935</v>
      </c>
      <c r="O39" s="100">
        <v>1843.2733166400001</v>
      </c>
      <c r="P39" s="100">
        <v>2029.6811314700001</v>
      </c>
      <c r="Q39" s="100">
        <v>2325.0039287099999</v>
      </c>
      <c r="R39" s="100">
        <v>1231.4985046100001</v>
      </c>
      <c r="S39" s="100">
        <v>2082.05906671</v>
      </c>
      <c r="T39" s="100">
        <v>2496.0501990899998</v>
      </c>
      <c r="U39" s="100">
        <v>2306.9128872299998</v>
      </c>
      <c r="V39" s="100">
        <v>3154.5490199799997</v>
      </c>
      <c r="W39" s="100">
        <v>2951.8413581300001</v>
      </c>
      <c r="X39" s="699">
        <v>3176.6445198299998</v>
      </c>
      <c r="Y39" s="364">
        <v>0.27266852284786913</v>
      </c>
    </row>
    <row r="40" spans="1:25" s="508" customFormat="1" ht="21.75" customHeight="1">
      <c r="A40" s="1091" t="s">
        <v>294</v>
      </c>
      <c r="B40" s="1091"/>
      <c r="C40" s="509">
        <v>8024.29</v>
      </c>
      <c r="D40" s="509">
        <v>9623.4699999999993</v>
      </c>
      <c r="E40" s="509">
        <v>13720.8</v>
      </c>
      <c r="F40" s="512">
        <v>17950.169999999998</v>
      </c>
      <c r="G40" s="512">
        <v>8539.2612902500005</v>
      </c>
      <c r="H40" s="509">
        <v>6676.1606316399993</v>
      </c>
      <c r="I40" s="509">
        <v>8033.8127232100014</v>
      </c>
      <c r="J40" s="509">
        <v>5682.6988742199974</v>
      </c>
      <c r="K40" s="509">
        <v>8067.8866051900004</v>
      </c>
      <c r="L40" s="509">
        <v>7599.8311610199999</v>
      </c>
      <c r="M40" s="492">
        <v>8087.0274443099988</v>
      </c>
      <c r="N40" s="492">
        <v>5580.2783962600006</v>
      </c>
      <c r="O40" s="492">
        <v>7707.8622234499999</v>
      </c>
      <c r="P40" s="492">
        <v>10055.974316160002</v>
      </c>
      <c r="Q40" s="492">
        <v>9015.3643480599967</v>
      </c>
      <c r="R40" s="492">
        <v>5109.691625180003</v>
      </c>
      <c r="S40" s="492">
        <v>7217.4301274600002</v>
      </c>
      <c r="T40" s="492">
        <v>9497.3315952599987</v>
      </c>
      <c r="U40" s="492">
        <v>8623.1320545199997</v>
      </c>
      <c r="V40" s="492">
        <v>3389.4458025599997</v>
      </c>
      <c r="W40" s="492">
        <v>8548.2869613399998</v>
      </c>
      <c r="X40" s="700">
        <v>9675.537468049999</v>
      </c>
      <c r="Y40" s="510">
        <v>1.8763783385107979E-2</v>
      </c>
    </row>
    <row r="41" spans="1:25" ht="21.75" customHeight="1">
      <c r="A41" s="1091" t="s">
        <v>56</v>
      </c>
      <c r="B41" s="1091"/>
      <c r="C41" s="131">
        <v>686.44</v>
      </c>
      <c r="D41" s="131">
        <v>1352.91</v>
      </c>
      <c r="E41" s="131">
        <v>-829.63</v>
      </c>
      <c r="F41" s="131">
        <v>1026.28</v>
      </c>
      <c r="G41" s="131">
        <v>-39.795016779999997</v>
      </c>
      <c r="H41" s="131">
        <v>63.774482569999996</v>
      </c>
      <c r="I41" s="131">
        <v>370.40992203000002</v>
      </c>
      <c r="J41" s="131">
        <v>-188.56850201000003</v>
      </c>
      <c r="K41" s="131">
        <v>134.57549856</v>
      </c>
      <c r="L41" s="131">
        <v>-24.416571000000005</v>
      </c>
      <c r="M41" s="100">
        <v>-295.25586973999998</v>
      </c>
      <c r="N41" s="100">
        <v>-710.68287607999991</v>
      </c>
      <c r="O41" s="100">
        <v>384.11283025</v>
      </c>
      <c r="P41" s="100">
        <v>-181.79058716</v>
      </c>
      <c r="Q41" s="100">
        <v>-411.21760195000002</v>
      </c>
      <c r="R41" s="100">
        <v>-268.54382372999999</v>
      </c>
      <c r="S41" s="100">
        <v>1173.5364908199999</v>
      </c>
      <c r="T41" s="100">
        <v>492.82011888000011</v>
      </c>
      <c r="U41" s="100">
        <v>300.21750120000002</v>
      </c>
      <c r="V41" s="100">
        <v>921.60028598000008</v>
      </c>
      <c r="W41" s="100">
        <v>661.00289038999995</v>
      </c>
      <c r="X41" s="699">
        <v>1069.92078636</v>
      </c>
      <c r="Y41" s="364">
        <v>1.1710168586289429</v>
      </c>
    </row>
    <row r="42" spans="1:25" s="508" customFormat="1" ht="21.75" customHeight="1">
      <c r="A42" s="1091" t="s">
        <v>295</v>
      </c>
      <c r="B42" s="1091"/>
      <c r="C42" s="509">
        <v>6401.03</v>
      </c>
      <c r="D42" s="509">
        <v>7870.88</v>
      </c>
      <c r="E42" s="509">
        <v>9253.0400000000009</v>
      </c>
      <c r="F42" s="509">
        <v>13832.47</v>
      </c>
      <c r="G42" s="509">
        <v>6343.1535187700001</v>
      </c>
      <c r="H42" s="509">
        <v>4907.911713909999</v>
      </c>
      <c r="I42" s="509">
        <v>6167.4880834699998</v>
      </c>
      <c r="J42" s="509">
        <v>3914.8471118400012</v>
      </c>
      <c r="K42" s="509">
        <v>6036.7042894899996</v>
      </c>
      <c r="L42" s="509">
        <v>5766.293580550001</v>
      </c>
      <c r="M42" s="492">
        <v>5801.5404071699977</v>
      </c>
      <c r="N42" s="492">
        <v>3649.2275571200007</v>
      </c>
      <c r="O42" s="492">
        <v>5912.9034095400002</v>
      </c>
      <c r="P42" s="492">
        <v>7361.7327494799993</v>
      </c>
      <c r="Q42" s="492">
        <v>6560.3007705599994</v>
      </c>
      <c r="R42" s="492">
        <v>3499.3994539300002</v>
      </c>
      <c r="S42" s="492">
        <v>6208.3347332900003</v>
      </c>
      <c r="T42" s="492">
        <v>7375.68059859</v>
      </c>
      <c r="U42" s="492">
        <v>6683.8969790299998</v>
      </c>
      <c r="V42" s="492">
        <v>3233.4341253400016</v>
      </c>
      <c r="W42" s="492">
        <v>6802.2898759899999</v>
      </c>
      <c r="X42" s="700">
        <v>7913.7212118000007</v>
      </c>
      <c r="Y42" s="510">
        <v>7.2947927451312955E-2</v>
      </c>
    </row>
    <row r="43" spans="1:25" ht="21.75" customHeight="1">
      <c r="A43" s="132"/>
      <c r="B43" s="133" t="s">
        <v>296</v>
      </c>
      <c r="C43" s="134">
        <v>3141.7</v>
      </c>
      <c r="D43" s="134">
        <v>3983.7</v>
      </c>
      <c r="E43" s="134">
        <v>4897.1499999999996</v>
      </c>
      <c r="F43" s="134">
        <v>7892.22</v>
      </c>
      <c r="G43" s="134">
        <v>4093.9078117899999</v>
      </c>
      <c r="H43" s="134">
        <v>3147.7161377900002</v>
      </c>
      <c r="I43" s="134">
        <v>4101.3049888900005</v>
      </c>
      <c r="J43" s="134">
        <v>2574.29413957</v>
      </c>
      <c r="K43" s="134">
        <v>5287.4080754200004</v>
      </c>
      <c r="L43" s="134">
        <v>5739.9120669999993</v>
      </c>
      <c r="M43" s="101">
        <v>5771.6699736499995</v>
      </c>
      <c r="N43" s="101">
        <v>3618.4985173200002</v>
      </c>
      <c r="O43" s="101">
        <v>5857.6882454699999</v>
      </c>
      <c r="P43" s="101">
        <v>7301.4831097199994</v>
      </c>
      <c r="Q43" s="101">
        <v>6499.3014720400024</v>
      </c>
      <c r="R43" s="101">
        <v>3402.4919730399997</v>
      </c>
      <c r="S43" s="101">
        <v>6098.3376778299998</v>
      </c>
      <c r="T43" s="101">
        <v>7251.1617240299993</v>
      </c>
      <c r="U43" s="101">
        <v>6546.9525539299993</v>
      </c>
      <c r="V43" s="101">
        <v>3107.1453793800029</v>
      </c>
      <c r="W43" s="101">
        <v>6669.6872097799996</v>
      </c>
      <c r="X43" s="701">
        <v>7750.6468471199996</v>
      </c>
      <c r="Y43" s="469">
        <v>6.8883462002334195E-2</v>
      </c>
    </row>
    <row r="44" spans="1:25" ht="15.6" customHeight="1">
      <c r="A44" s="70" t="s">
        <v>313</v>
      </c>
      <c r="B44" s="102"/>
      <c r="C44" s="102"/>
      <c r="D44" s="102"/>
      <c r="E44" s="102"/>
      <c r="F44" s="102"/>
      <c r="G44" s="102"/>
      <c r="H44" s="102"/>
      <c r="I44" s="102"/>
      <c r="J44" s="135"/>
      <c r="K44" s="135"/>
      <c r="L44" s="135"/>
      <c r="M44" s="196"/>
      <c r="N44" s="167"/>
      <c r="O44" s="196"/>
      <c r="P44" s="196"/>
      <c r="Q44" s="448"/>
      <c r="R44" s="167"/>
      <c r="S44" s="167"/>
      <c r="T44" s="167"/>
      <c r="U44" s="167"/>
      <c r="V44" s="167"/>
      <c r="W44" s="167"/>
      <c r="X44" s="102"/>
      <c r="Y44" s="96"/>
    </row>
    <row r="45" spans="1:25" ht="13.5">
      <c r="A45" s="102" t="s">
        <v>323</v>
      </c>
      <c r="B45" s="102"/>
      <c r="C45" s="102"/>
      <c r="D45" s="102"/>
      <c r="E45" s="102"/>
      <c r="F45" s="102"/>
      <c r="G45" s="102"/>
      <c r="H45" s="102"/>
      <c r="I45" s="102"/>
      <c r="J45" s="135"/>
      <c r="K45" s="102"/>
      <c r="L45" s="135"/>
      <c r="M45" s="135"/>
      <c r="N45" s="135"/>
      <c r="O45" s="135"/>
      <c r="P45" s="135"/>
      <c r="Q45" s="135"/>
      <c r="R45" s="135"/>
      <c r="S45" s="135"/>
      <c r="T45" s="545"/>
      <c r="U45" s="545"/>
      <c r="V45" s="545"/>
      <c r="W45" s="135"/>
      <c r="X45" s="135"/>
      <c r="Y45" s="96"/>
    </row>
    <row r="46" spans="1:25" ht="14.25" thickBot="1">
      <c r="A46" s="102"/>
      <c r="B46" s="96"/>
      <c r="C46" s="96"/>
      <c r="D46" s="96"/>
      <c r="E46" s="96"/>
      <c r="F46" s="96"/>
      <c r="G46" s="96"/>
      <c r="H46" s="96"/>
      <c r="I46" s="96"/>
      <c r="J46" s="103"/>
      <c r="K46" s="96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96"/>
    </row>
    <row r="47" spans="1:25" s="672" customFormat="1" ht="19.5" customHeight="1">
      <c r="A47" s="1090" t="s">
        <v>620</v>
      </c>
      <c r="B47" s="1090"/>
      <c r="C47" s="663">
        <v>2018</v>
      </c>
      <c r="D47" s="663">
        <v>2019</v>
      </c>
      <c r="E47" s="663">
        <v>2020</v>
      </c>
      <c r="F47" s="663">
        <v>2021</v>
      </c>
      <c r="G47" s="663" t="s">
        <v>690</v>
      </c>
      <c r="H47" s="663" t="s">
        <v>458</v>
      </c>
      <c r="I47" s="663" t="s">
        <v>691</v>
      </c>
      <c r="J47" s="663">
        <v>2022</v>
      </c>
      <c r="K47" s="663" t="s">
        <v>692</v>
      </c>
      <c r="L47" s="663" t="s">
        <v>460</v>
      </c>
      <c r="M47" s="663" t="s">
        <v>693</v>
      </c>
      <c r="N47" s="663">
        <v>2023</v>
      </c>
      <c r="O47" s="663" t="s">
        <v>694</v>
      </c>
      <c r="P47" s="663" t="s">
        <v>610</v>
      </c>
      <c r="Q47" s="663" t="s">
        <v>695</v>
      </c>
      <c r="R47" s="663">
        <v>2024</v>
      </c>
      <c r="S47" s="663" t="s">
        <v>702</v>
      </c>
      <c r="T47" s="663" t="s">
        <v>671</v>
      </c>
      <c r="U47" s="663" t="s">
        <v>698</v>
      </c>
      <c r="V47" s="663" t="s">
        <v>707</v>
      </c>
      <c r="W47" s="704" t="s">
        <v>697</v>
      </c>
      <c r="X47" s="705" t="s">
        <v>716</v>
      </c>
      <c r="Y47" s="704" t="s">
        <v>710</v>
      </c>
    </row>
    <row r="48" spans="1:25" ht="19.5" customHeight="1">
      <c r="A48" s="1094" t="s">
        <v>297</v>
      </c>
      <c r="B48" s="1094"/>
      <c r="C48" s="100">
        <v>522052.20231352001</v>
      </c>
      <c r="D48" s="100">
        <v>617640.73697496997</v>
      </c>
      <c r="E48" s="100">
        <v>695644.25579402002</v>
      </c>
      <c r="F48" s="100">
        <v>820309.36760088999</v>
      </c>
      <c r="G48" s="100">
        <v>833812.56802233995</v>
      </c>
      <c r="H48" s="100">
        <v>856083.51092331996</v>
      </c>
      <c r="I48" s="100">
        <v>871910.39490592002</v>
      </c>
      <c r="J48" s="100">
        <v>889773.99369676004</v>
      </c>
      <c r="K48" s="100">
        <v>948434.58556603</v>
      </c>
      <c r="L48" s="100">
        <v>959261.58031446999</v>
      </c>
      <c r="M48" s="100">
        <v>948717.33389812999</v>
      </c>
      <c r="N48" s="100">
        <v>1022358.42680189</v>
      </c>
      <c r="O48" s="100">
        <v>1031047.38986875</v>
      </c>
      <c r="P48" s="98">
        <v>1048542.8243215299</v>
      </c>
      <c r="Q48" s="98">
        <v>1118983.2997125401</v>
      </c>
      <c r="R48" s="98">
        <v>1155782.4711285799</v>
      </c>
      <c r="S48" s="98">
        <v>1196833.1285397599</v>
      </c>
      <c r="T48" s="98">
        <v>1242453.45101678</v>
      </c>
      <c r="U48" s="98">
        <v>1326894.65217132</v>
      </c>
      <c r="V48" s="98">
        <v>1354579.83800835</v>
      </c>
      <c r="W48" s="706">
        <v>1443992.5992129401</v>
      </c>
      <c r="X48" s="707">
        <v>1485479.7313062199</v>
      </c>
      <c r="Y48" s="708">
        <v>9.66350521578212E-2</v>
      </c>
    </row>
    <row r="49" spans="1:25" ht="19.5" customHeight="1">
      <c r="A49" s="1094" t="s">
        <v>298</v>
      </c>
      <c r="B49" s="1094"/>
      <c r="C49" s="100">
        <v>467505.83507923997</v>
      </c>
      <c r="D49" s="100">
        <v>558022.05729092006</v>
      </c>
      <c r="E49" s="100">
        <v>626871.16178385995</v>
      </c>
      <c r="F49" s="100">
        <v>751476.47740949003</v>
      </c>
      <c r="G49" s="100">
        <v>765052.13924172998</v>
      </c>
      <c r="H49" s="100">
        <v>779586.96781368996</v>
      </c>
      <c r="I49" s="100">
        <v>788316.30980145</v>
      </c>
      <c r="J49" s="100">
        <v>804354.28574825998</v>
      </c>
      <c r="K49" s="100">
        <v>860228.36397014</v>
      </c>
      <c r="L49" s="100">
        <v>865941.84234183002</v>
      </c>
      <c r="M49" s="100">
        <v>849505.40541557001</v>
      </c>
      <c r="N49" s="100">
        <v>921386.57614258002</v>
      </c>
      <c r="O49" s="100">
        <v>932437.22074774001</v>
      </c>
      <c r="P49" s="98">
        <v>946155.51909179997</v>
      </c>
      <c r="Q49" s="98">
        <v>1011729.43271285</v>
      </c>
      <c r="R49" s="98">
        <v>1046482.1108485</v>
      </c>
      <c r="S49" s="98">
        <v>1089023.0799815101</v>
      </c>
      <c r="T49" s="98">
        <v>1129497.68093018</v>
      </c>
      <c r="U49" s="98">
        <v>1212853.2657864799</v>
      </c>
      <c r="V49" s="98">
        <v>1241967.75797045</v>
      </c>
      <c r="W49" s="706">
        <v>1326027.9282193501</v>
      </c>
      <c r="X49" s="707">
        <v>1357589.0049056001</v>
      </c>
      <c r="Y49" s="708">
        <v>9.3095208142996766E-2</v>
      </c>
    </row>
    <row r="50" spans="1:25" ht="19.5" customHeight="1">
      <c r="A50" s="1095" t="s">
        <v>299</v>
      </c>
      <c r="B50" s="1095"/>
      <c r="C50" s="104">
        <v>54546.367234279998</v>
      </c>
      <c r="D50" s="104">
        <v>59618.679684050003</v>
      </c>
      <c r="E50" s="104">
        <v>68773.094010159999</v>
      </c>
      <c r="F50" s="104">
        <v>68832.890191400002</v>
      </c>
      <c r="G50" s="105">
        <v>68760.428780610004</v>
      </c>
      <c r="H50" s="105">
        <v>76496.543109630002</v>
      </c>
      <c r="I50" s="105">
        <v>83594.085104469996</v>
      </c>
      <c r="J50" s="105">
        <v>85419.707948499999</v>
      </c>
      <c r="K50" s="105">
        <v>88206.221595890005</v>
      </c>
      <c r="L50" s="105">
        <v>93319.737972639996</v>
      </c>
      <c r="M50" s="105">
        <v>99211.928482560004</v>
      </c>
      <c r="N50" s="105">
        <v>100971.85065931</v>
      </c>
      <c r="O50" s="105">
        <v>98610.169121009996</v>
      </c>
      <c r="P50" s="427">
        <v>102387.30522973</v>
      </c>
      <c r="Q50" s="427">
        <v>107253.86699969</v>
      </c>
      <c r="R50" s="427">
        <v>109300.36028008</v>
      </c>
      <c r="S50" s="427">
        <v>107810.04855825</v>
      </c>
      <c r="T50" s="427">
        <v>112955.77008659999</v>
      </c>
      <c r="U50" s="427">
        <v>114041.38638484001</v>
      </c>
      <c r="V50" s="427">
        <v>112612.0800379</v>
      </c>
      <c r="W50" s="709">
        <v>117964.67099359</v>
      </c>
      <c r="X50" s="710">
        <v>127890.72640062</v>
      </c>
      <c r="Y50" s="711">
        <v>0.13567502134387288</v>
      </c>
    </row>
    <row r="51" spans="1:25" ht="13.5">
      <c r="A51" s="102" t="s">
        <v>324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96"/>
      <c r="Y51" s="96"/>
    </row>
    <row r="52" spans="1:25" ht="12.75" thickBo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</row>
    <row r="53" spans="1:25" s="672" customFormat="1" ht="19.5" customHeight="1">
      <c r="A53" s="1090" t="s">
        <v>619</v>
      </c>
      <c r="B53" s="1090"/>
      <c r="C53" s="663">
        <v>2018</v>
      </c>
      <c r="D53" s="663">
        <v>2019</v>
      </c>
      <c r="E53" s="663">
        <v>2020</v>
      </c>
      <c r="F53" s="663">
        <v>2021</v>
      </c>
      <c r="G53" s="663" t="s">
        <v>690</v>
      </c>
      <c r="H53" s="663" t="s">
        <v>458</v>
      </c>
      <c r="I53" s="663" t="s">
        <v>691</v>
      </c>
      <c r="J53" s="663">
        <v>2022</v>
      </c>
      <c r="K53" s="663" t="s">
        <v>692</v>
      </c>
      <c r="L53" s="663" t="s">
        <v>460</v>
      </c>
      <c r="M53" s="663" t="s">
        <v>693</v>
      </c>
      <c r="N53" s="663">
        <v>2023</v>
      </c>
      <c r="O53" s="663" t="s">
        <v>694</v>
      </c>
      <c r="P53" s="663" t="s">
        <v>621</v>
      </c>
      <c r="Q53" s="663" t="s">
        <v>695</v>
      </c>
      <c r="R53" s="663">
        <v>2024</v>
      </c>
      <c r="S53" s="663" t="s">
        <v>702</v>
      </c>
      <c r="T53" s="663" t="s">
        <v>671</v>
      </c>
      <c r="U53" s="663" t="s">
        <v>698</v>
      </c>
      <c r="V53" s="663" t="s">
        <v>707</v>
      </c>
      <c r="W53" s="666" t="str">
        <f>W47</f>
        <v>1Q26</v>
      </c>
      <c r="X53" s="703" t="str">
        <f>X47</f>
        <v>1H26</v>
      </c>
      <c r="Y53" s="666" t="s">
        <v>285</v>
      </c>
    </row>
    <row r="54" spans="1:25" ht="18" customHeight="1">
      <c r="A54" s="1094" t="s">
        <v>300</v>
      </c>
      <c r="B54" s="1094"/>
      <c r="C54" s="106">
        <v>0.14477807740825913</v>
      </c>
      <c r="D54" s="106">
        <v>0.14677409979460762</v>
      </c>
      <c r="E54" s="106">
        <v>0.16042703799324373</v>
      </c>
      <c r="F54" s="106">
        <v>0.22825291385753607</v>
      </c>
      <c r="G54" s="106">
        <v>0.36982525418478723</v>
      </c>
      <c r="H54" s="106">
        <v>0.32793738886350221</v>
      </c>
      <c r="I54" s="106">
        <v>0.35358563798638071</v>
      </c>
      <c r="J54" s="106">
        <v>0.31843806991163126</v>
      </c>
      <c r="K54" s="106">
        <v>0.42533538088705408</v>
      </c>
      <c r="L54" s="106">
        <v>0.3526527158913943</v>
      </c>
      <c r="M54" s="106">
        <v>0.31807634839538595</v>
      </c>
      <c r="N54" s="106">
        <v>0.27043352553066541</v>
      </c>
      <c r="O54" s="106">
        <v>0.24824538676950256</v>
      </c>
      <c r="P54" s="428">
        <v>0.27692838195360436</v>
      </c>
      <c r="Q54" s="428">
        <v>0.27238371167186665</v>
      </c>
      <c r="R54" s="428">
        <v>0.23732026964442021</v>
      </c>
      <c r="S54" s="428">
        <v>0.24594575069061572</v>
      </c>
      <c r="T54" s="428">
        <v>0.26659975862802776</v>
      </c>
      <c r="U54" s="428">
        <v>0.26262779273885023</v>
      </c>
      <c r="V54" s="428">
        <v>0.22673806932912691</v>
      </c>
      <c r="W54" s="428">
        <f>'[84]00_ROEROA'!$AM$12</f>
        <v>0.25369488566126192</v>
      </c>
      <c r="X54" s="435">
        <f>'[84]00_ROEROA'!$AN$12</f>
        <v>0.26757513241073327</v>
      </c>
      <c r="Y54" s="156">
        <f>X54-T54</f>
        <v>9.7537378270551311E-4</v>
      </c>
    </row>
    <row r="55" spans="1:25" ht="18" customHeight="1">
      <c r="A55" s="1094" t="s">
        <v>61</v>
      </c>
      <c r="B55" s="1094"/>
      <c r="C55" s="100">
        <v>17896.452414831801</v>
      </c>
      <c r="D55" s="100">
        <v>20001.096054517358</v>
      </c>
      <c r="E55" s="100">
        <v>25360.676721762768</v>
      </c>
      <c r="F55" s="100">
        <v>28804.979854349192</v>
      </c>
      <c r="G55" s="100">
        <v>28034.903700311919</v>
      </c>
      <c r="H55" s="100">
        <v>24701.779590538812</v>
      </c>
      <c r="I55" s="100">
        <v>24281.281856544025</v>
      </c>
      <c r="J55" s="100">
        <v>26436.023967436166</v>
      </c>
      <c r="K55" s="98">
        <v>44419.291258882586</v>
      </c>
      <c r="L55" s="98">
        <v>50733.945312029144</v>
      </c>
      <c r="M55" s="98">
        <v>51512.322352632757</v>
      </c>
      <c r="N55" s="98">
        <v>52162.971756580875</v>
      </c>
      <c r="O55" s="98">
        <v>48972.000704519094</v>
      </c>
      <c r="P55" s="98">
        <v>51146.720217499911</v>
      </c>
      <c r="Q55" s="98">
        <v>53456.819511360314</v>
      </c>
      <c r="R55" s="98">
        <v>54488.7336464443</v>
      </c>
      <c r="S55" s="98">
        <v>54536.024002857579</v>
      </c>
      <c r="T55" s="98">
        <v>57518.892923993561</v>
      </c>
      <c r="U55" s="98">
        <v>58870.146963750602</v>
      </c>
      <c r="V55" s="98">
        <v>59139.358304289708</v>
      </c>
      <c r="W55" s="98">
        <f>'[84]00_주당지표'!$S$6</f>
        <v>64348.342709225704</v>
      </c>
      <c r="X55" s="375">
        <f>'[84]00_주당지표'!$T$6</f>
        <v>68642.038905612324</v>
      </c>
      <c r="Y55" s="106">
        <f>X55/T55-1</f>
        <v>0.19338247689010779</v>
      </c>
    </row>
    <row r="56" spans="1:25" ht="18" customHeight="1">
      <c r="A56" s="1095" t="s">
        <v>62</v>
      </c>
      <c r="B56" s="1095"/>
      <c r="C56" s="341">
        <v>2068.1284698266891</v>
      </c>
      <c r="D56" s="341">
        <v>2715.9978202602092</v>
      </c>
      <c r="E56" s="341">
        <v>3571.4528347443761</v>
      </c>
      <c r="F56" s="341">
        <v>5903.9009037190244</v>
      </c>
      <c r="G56" s="341">
        <v>2604.3615919065046</v>
      </c>
      <c r="H56" s="341">
        <v>4307.1422843555893</v>
      </c>
      <c r="I56" s="341">
        <v>6911.5759042434038</v>
      </c>
      <c r="J56" s="341">
        <v>8371.1837177934649</v>
      </c>
      <c r="K56" s="341">
        <v>3473.1559629306284</v>
      </c>
      <c r="L56" s="341">
        <v>6261.7479065048728</v>
      </c>
      <c r="M56" s="341">
        <v>9087.6870123161771</v>
      </c>
      <c r="N56" s="341">
        <v>10967.17401421415</v>
      </c>
      <c r="O56" s="341">
        <v>3044.4670866820388</v>
      </c>
      <c r="P56" s="341">
        <v>6893.6473864793725</v>
      </c>
      <c r="Q56" s="341">
        <v>10378.951307343434</v>
      </c>
      <c r="R56" s="341">
        <v>12238.425759909995</v>
      </c>
      <c r="S56" s="341">
        <v>3353.3969617666608</v>
      </c>
      <c r="T56" s="341">
        <v>7390.1288548878174</v>
      </c>
      <c r="U56" s="341">
        <v>11102.391022964524</v>
      </c>
      <c r="V56" s="341">
        <v>12903.376801098102</v>
      </c>
      <c r="W56" s="341">
        <f>'[84]00_주당지표'!$S$5</f>
        <v>3925.9976338419815</v>
      </c>
      <c r="X56" s="434">
        <f>'[84]00_주당지표'!$T$5</f>
        <v>8588.7511062238482</v>
      </c>
      <c r="Y56" s="437">
        <f>X56/T56-1</f>
        <v>0.16219233451433857</v>
      </c>
    </row>
    <row r="57" spans="1:25" ht="13.5">
      <c r="A57" s="102" t="s">
        <v>325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03"/>
      <c r="M57" s="103"/>
      <c r="N57" s="103"/>
      <c r="O57" s="103"/>
      <c r="P57" s="446"/>
      <c r="Q57" s="103"/>
      <c r="R57" s="103"/>
      <c r="S57" s="103"/>
      <c r="T57" s="103"/>
      <c r="U57" s="103"/>
      <c r="V57" s="103"/>
      <c r="W57" s="103"/>
      <c r="X57" s="96"/>
      <c r="Y57" s="96"/>
    </row>
    <row r="58" spans="1:25" ht="13.5">
      <c r="A58" s="340" t="s">
        <v>602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96"/>
      <c r="Y58" s="96"/>
    </row>
    <row r="59" spans="1:25" ht="13.5">
      <c r="A59" s="576" t="s">
        <v>687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96"/>
      <c r="Y59" s="96"/>
    </row>
    <row r="60" spans="1:25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</row>
    <row r="61" spans="1:25">
      <c r="W61" s="493"/>
      <c r="Y61" s="96"/>
    </row>
    <row r="62" spans="1:25"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</row>
    <row r="63" spans="1:25" s="193" customFormat="1" ht="14.25">
      <c r="C63" s="575"/>
      <c r="D63" s="575"/>
      <c r="E63" s="575"/>
      <c r="F63" s="575"/>
      <c r="J63" s="575"/>
      <c r="K63" s="575"/>
      <c r="O63" s="575"/>
    </row>
    <row r="64" spans="1:25" s="193" customFormat="1" ht="14.25">
      <c r="C64" s="574"/>
      <c r="D64" s="574"/>
      <c r="E64" s="574"/>
      <c r="F64" s="574"/>
      <c r="G64" s="461"/>
      <c r="H64" s="574"/>
      <c r="I64" s="574"/>
      <c r="J64" s="574"/>
      <c r="K64" s="461"/>
      <c r="L64" s="461"/>
      <c r="M64" s="574"/>
      <c r="N64" s="574"/>
      <c r="O64" s="574"/>
      <c r="P64" s="461"/>
      <c r="Q64" s="461"/>
      <c r="R64" s="461"/>
      <c r="S64" s="461"/>
      <c r="T64" s="461"/>
      <c r="U64" s="461"/>
      <c r="V64" s="461"/>
      <c r="W64" s="461"/>
      <c r="X64" s="461"/>
    </row>
    <row r="65" spans="21:24" s="193" customFormat="1" ht="14.25"/>
    <row r="66" spans="21:24" s="193" customFormat="1" ht="14.25">
      <c r="U66" s="575"/>
      <c r="V66" s="575"/>
      <c r="W66" s="575"/>
      <c r="X66" s="575"/>
    </row>
    <row r="67" spans="21:24" s="193" customFormat="1" ht="14.25"/>
  </sheetData>
  <mergeCells count="34">
    <mergeCell ref="A47:B47"/>
    <mergeCell ref="A48:B48"/>
    <mergeCell ref="A42:B42"/>
    <mergeCell ref="A28:A29"/>
    <mergeCell ref="A30:B30"/>
    <mergeCell ref="A31:A32"/>
    <mergeCell ref="A37:A38"/>
    <mergeCell ref="A39:B39"/>
    <mergeCell ref="A40:B40"/>
    <mergeCell ref="A27:B27"/>
    <mergeCell ref="A33:B33"/>
    <mergeCell ref="A34:A35"/>
    <mergeCell ref="A36:B36"/>
    <mergeCell ref="A41:B41"/>
    <mergeCell ref="A49:B49"/>
    <mergeCell ref="A55:B55"/>
    <mergeCell ref="A56:B56"/>
    <mergeCell ref="A50:B50"/>
    <mergeCell ref="A53:B53"/>
    <mergeCell ref="A54:B54"/>
    <mergeCell ref="A12:B12"/>
    <mergeCell ref="A13:A14"/>
    <mergeCell ref="A15:B15"/>
    <mergeCell ref="A26:B26"/>
    <mergeCell ref="A16:A17"/>
    <mergeCell ref="A18:B18"/>
    <mergeCell ref="A19:B19"/>
    <mergeCell ref="A20:B20"/>
    <mergeCell ref="A21:B21"/>
    <mergeCell ref="A5:B5"/>
    <mergeCell ref="A6:B6"/>
    <mergeCell ref="A7:A8"/>
    <mergeCell ref="A9:B9"/>
    <mergeCell ref="A10:A11"/>
  </mergeCells>
  <phoneticPr fontId="21" type="noConversion"/>
  <pageMargins left="0.7" right="0.7" top="0.75" bottom="0.75" header="0.3" footer="0.3"/>
  <pageSetup paperSize="9" scale="4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  <pageSetUpPr fitToPage="1"/>
  </sheetPr>
  <dimension ref="A1:U71"/>
  <sheetViews>
    <sheetView view="pageBreakPreview" zoomScaleNormal="100" zoomScaleSheetLayoutView="100" workbookViewId="0">
      <pane xSplit="1" topLeftCell="B1" activePane="topRight" state="frozen"/>
      <selection activeCell="AD31" sqref="AD31"/>
      <selection pane="topRight" activeCell="AD31" sqref="AD31"/>
    </sheetView>
  </sheetViews>
  <sheetFormatPr defaultRowHeight="14.25"/>
  <cols>
    <col min="1" max="1" width="36.33203125" customWidth="1"/>
    <col min="2" max="10" width="17.88671875" hidden="1" customWidth="1"/>
    <col min="11" max="13" width="18.77734375" hidden="1" customWidth="1"/>
    <col min="14" max="18" width="18.77734375" customWidth="1"/>
    <col min="19" max="20" width="18.5546875" bestFit="1" customWidth="1"/>
  </cols>
  <sheetData>
    <row r="1" spans="1:2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21" s="69" customFormat="1" ht="35.25" customHeight="1">
      <c r="A2" s="371" t="s">
        <v>618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</row>
    <row r="3" spans="1:21" ht="15" thickBo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21" s="33" customFormat="1" ht="23.25" customHeight="1" thickTop="1">
      <c r="A4" s="376" t="s">
        <v>574</v>
      </c>
      <c r="B4" s="377" t="s">
        <v>391</v>
      </c>
      <c r="C4" s="378" t="s">
        <v>612</v>
      </c>
      <c r="D4" s="376" t="s">
        <v>613</v>
      </c>
      <c r="E4" s="379">
        <v>2022</v>
      </c>
      <c r="F4" s="377" t="s">
        <v>614</v>
      </c>
      <c r="G4" s="376" t="s">
        <v>615</v>
      </c>
      <c r="H4" s="376" t="s">
        <v>616</v>
      </c>
      <c r="I4" s="380">
        <v>2023</v>
      </c>
      <c r="J4" s="380" t="s">
        <v>617</v>
      </c>
      <c r="K4" s="380" t="s">
        <v>609</v>
      </c>
      <c r="L4" s="380" t="s">
        <v>632</v>
      </c>
      <c r="M4" s="380">
        <v>2024</v>
      </c>
      <c r="N4" s="380" t="s">
        <v>656</v>
      </c>
      <c r="O4" s="380" t="s">
        <v>666</v>
      </c>
      <c r="P4" s="380" t="s">
        <v>675</v>
      </c>
      <c r="Q4" s="380">
        <v>2025</v>
      </c>
      <c r="R4" s="380" t="s">
        <v>688</v>
      </c>
      <c r="S4" s="695" t="s">
        <v>714</v>
      </c>
    </row>
    <row r="5" spans="1:21" s="33" customFormat="1" ht="21" customHeight="1">
      <c r="A5" s="381" t="s">
        <v>328</v>
      </c>
      <c r="B5" s="382">
        <v>13235204733149</v>
      </c>
      <c r="C5" s="382">
        <v>30180730756794</v>
      </c>
      <c r="D5" s="382">
        <v>50620590475718</v>
      </c>
      <c r="E5" s="382">
        <v>67218346531822</v>
      </c>
      <c r="F5" s="382">
        <v>17500455592605</v>
      </c>
      <c r="G5" s="382">
        <v>30607651117046</v>
      </c>
      <c r="H5" s="382">
        <v>43344407984558</v>
      </c>
      <c r="I5" s="382">
        <v>58558358469900</v>
      </c>
      <c r="J5" s="382">
        <v>12563849568546</v>
      </c>
      <c r="K5" s="382">
        <v>23786599167197</v>
      </c>
      <c r="L5" s="382">
        <v>34693496996106</v>
      </c>
      <c r="M5" s="382">
        <v>46574506350960</v>
      </c>
      <c r="N5" s="382">
        <v>8230277845059.0801</v>
      </c>
      <c r="O5" s="382">
        <v>17581733721359.08</v>
      </c>
      <c r="P5" s="382">
        <v>24952230060123</v>
      </c>
      <c r="Q5" s="382">
        <v>35257408047721</v>
      </c>
      <c r="R5" s="382">
        <v>16314344183339</v>
      </c>
      <c r="S5" s="382">
        <v>35577428379588</v>
      </c>
      <c r="T5" s="190"/>
      <c r="U5" s="673"/>
    </row>
    <row r="6" spans="1:21" ht="21" customHeight="1">
      <c r="A6" s="333" t="s">
        <v>482</v>
      </c>
      <c r="B6" s="334">
        <v>1862614630433</v>
      </c>
      <c r="C6" s="334">
        <v>3764489192298</v>
      </c>
      <c r="D6" s="334">
        <v>5725090952019</v>
      </c>
      <c r="E6" s="334">
        <v>7765359188264</v>
      </c>
      <c r="F6" s="334">
        <v>2039248739873</v>
      </c>
      <c r="G6" s="334">
        <v>4111332433134</v>
      </c>
      <c r="H6" s="334">
        <v>6233825113040</v>
      </c>
      <c r="I6" s="334">
        <v>8369737816337</v>
      </c>
      <c r="J6" s="334">
        <v>2191948748407</v>
      </c>
      <c r="K6" s="334">
        <v>4369064755909</v>
      </c>
      <c r="L6" s="334">
        <v>6581596386289</v>
      </c>
      <c r="M6" s="334">
        <v>8731605997573</v>
      </c>
      <c r="N6" s="334">
        <v>2251147970295</v>
      </c>
      <c r="O6" s="334">
        <v>4521129624973</v>
      </c>
      <c r="P6" s="334">
        <v>6844984258676</v>
      </c>
      <c r="Q6" s="334">
        <v>9136820731332</v>
      </c>
      <c r="R6" s="334">
        <v>2438971718910</v>
      </c>
      <c r="S6" s="334">
        <v>4937208302440</v>
      </c>
    </row>
    <row r="7" spans="1:21" ht="21" customHeight="1">
      <c r="A7" s="333" t="s">
        <v>483</v>
      </c>
      <c r="B7" s="334">
        <v>81054865375</v>
      </c>
      <c r="C7" s="334">
        <v>149570695858</v>
      </c>
      <c r="D7" s="334">
        <v>323008270105</v>
      </c>
      <c r="E7" s="334">
        <v>404244534444</v>
      </c>
      <c r="F7" s="334">
        <v>100931867599</v>
      </c>
      <c r="G7" s="334">
        <v>190113163995</v>
      </c>
      <c r="H7" s="334">
        <v>249989740752</v>
      </c>
      <c r="I7" s="334">
        <v>338396222723</v>
      </c>
      <c r="J7" s="334">
        <v>69864552608</v>
      </c>
      <c r="K7" s="334">
        <v>133001527452</v>
      </c>
      <c r="L7" s="334">
        <v>198122863901</v>
      </c>
      <c r="M7" s="334">
        <v>272973931091</v>
      </c>
      <c r="N7" s="334">
        <v>122827331960</v>
      </c>
      <c r="O7" s="334">
        <v>244986854338</v>
      </c>
      <c r="P7" s="334">
        <v>365976005309</v>
      </c>
      <c r="Q7" s="334">
        <v>440961841627</v>
      </c>
      <c r="R7" s="334">
        <v>117777674358</v>
      </c>
      <c r="S7" s="334">
        <v>226720110671</v>
      </c>
    </row>
    <row r="8" spans="1:21" ht="21" customHeight="1">
      <c r="A8" s="333" t="s">
        <v>484</v>
      </c>
      <c r="B8" s="334">
        <v>612502491083</v>
      </c>
      <c r="C8" s="334">
        <v>1224813468258</v>
      </c>
      <c r="D8" s="334">
        <v>1990684957177</v>
      </c>
      <c r="E8" s="334">
        <v>2941244724646</v>
      </c>
      <c r="F8" s="334">
        <v>860789212059</v>
      </c>
      <c r="G8" s="334">
        <v>1783700060968</v>
      </c>
      <c r="H8" s="334">
        <v>2913144894437</v>
      </c>
      <c r="I8" s="334">
        <v>3903883953857</v>
      </c>
      <c r="J8" s="334">
        <v>974877649809</v>
      </c>
      <c r="K8" s="334">
        <v>1943085633306</v>
      </c>
      <c r="L8" s="334">
        <v>2956362477600</v>
      </c>
      <c r="M8" s="334">
        <v>4021706897842</v>
      </c>
      <c r="N8" s="334">
        <v>1065730193506</v>
      </c>
      <c r="O8" s="334">
        <v>2109726550698</v>
      </c>
      <c r="P8" s="334">
        <v>3115403644999</v>
      </c>
      <c r="Q8" s="334">
        <v>4145907904169</v>
      </c>
      <c r="R8" s="334">
        <v>1008941682208</v>
      </c>
      <c r="S8" s="334">
        <v>2105363647749</v>
      </c>
    </row>
    <row r="9" spans="1:21" ht="21" customHeight="1">
      <c r="A9" s="333" t="s">
        <v>485</v>
      </c>
      <c r="B9" s="334">
        <v>193448992505</v>
      </c>
      <c r="C9" s="334">
        <v>438175520188</v>
      </c>
      <c r="D9" s="334">
        <v>612783776519</v>
      </c>
      <c r="E9" s="334">
        <v>768869331516</v>
      </c>
      <c r="F9" s="334">
        <v>150553417511</v>
      </c>
      <c r="G9" s="334">
        <v>320603180762</v>
      </c>
      <c r="H9" s="334">
        <v>493465184116</v>
      </c>
      <c r="I9" s="334">
        <v>679470466117</v>
      </c>
      <c r="J9" s="334">
        <v>140017335618</v>
      </c>
      <c r="K9" s="334">
        <v>276683644757</v>
      </c>
      <c r="L9" s="334">
        <v>419989648667</v>
      </c>
      <c r="M9" s="334">
        <v>598057838649</v>
      </c>
      <c r="N9" s="334">
        <v>141173080286</v>
      </c>
      <c r="O9" s="334">
        <v>308724710152</v>
      </c>
      <c r="P9" s="334">
        <v>574425388548</v>
      </c>
      <c r="Q9" s="334">
        <v>831496277982</v>
      </c>
      <c r="R9" s="334">
        <v>216031650949</v>
      </c>
      <c r="S9" s="334">
        <v>491887725190</v>
      </c>
    </row>
    <row r="10" spans="1:21" s="33" customFormat="1" ht="21" customHeight="1">
      <c r="A10" s="333" t="s">
        <v>486</v>
      </c>
      <c r="B10" s="334">
        <v>34320306160</v>
      </c>
      <c r="C10" s="334">
        <v>54786702410</v>
      </c>
      <c r="D10" s="334">
        <v>66824255942</v>
      </c>
      <c r="E10" s="334">
        <v>80699110962</v>
      </c>
      <c r="F10" s="334">
        <v>35249515880</v>
      </c>
      <c r="G10" s="334">
        <v>54555263321</v>
      </c>
      <c r="H10" s="334">
        <v>65435558000</v>
      </c>
      <c r="I10" s="334">
        <v>63690533894</v>
      </c>
      <c r="J10" s="334">
        <v>29089697761</v>
      </c>
      <c r="K10" s="334">
        <v>49048633808</v>
      </c>
      <c r="L10" s="334">
        <v>59637629415</v>
      </c>
      <c r="M10" s="334">
        <v>283891933381</v>
      </c>
      <c r="N10" s="334">
        <v>103094159002</v>
      </c>
      <c r="O10" s="334">
        <v>174684838530</v>
      </c>
      <c r="P10" s="334">
        <v>245534080301</v>
      </c>
      <c r="Q10" s="334">
        <v>468199663682</v>
      </c>
      <c r="R10" s="334">
        <v>159064276744</v>
      </c>
      <c r="S10" s="334">
        <v>238439728869</v>
      </c>
    </row>
    <row r="11" spans="1:21" s="33" customFormat="1" ht="21" customHeight="1">
      <c r="A11" s="333" t="s">
        <v>487</v>
      </c>
      <c r="B11" s="334">
        <v>9629844131168</v>
      </c>
      <c r="C11" s="334">
        <v>22572603974680</v>
      </c>
      <c r="D11" s="334">
        <v>38468869796679</v>
      </c>
      <c r="E11" s="334">
        <v>51450458649993</v>
      </c>
      <c r="F11" s="334">
        <v>13366117926707</v>
      </c>
      <c r="G11" s="334">
        <v>22345353849574</v>
      </c>
      <c r="H11" s="334">
        <v>30984344435279</v>
      </c>
      <c r="I11" s="334">
        <v>42445957572260</v>
      </c>
      <c r="J11" s="334">
        <v>8529672607366</v>
      </c>
      <c r="K11" s="334">
        <v>15737681903473</v>
      </c>
      <c r="L11" s="334">
        <v>22605958923774</v>
      </c>
      <c r="M11" s="334">
        <v>29940004018058</v>
      </c>
      <c r="N11" s="334">
        <v>3775296066372</v>
      </c>
      <c r="O11" s="334">
        <v>7890481270329</v>
      </c>
      <c r="P11" s="334">
        <v>10476841689100</v>
      </c>
      <c r="Q11" s="334">
        <v>15645347106570</v>
      </c>
      <c r="R11" s="334">
        <v>10009714583684</v>
      </c>
      <c r="S11" s="334">
        <v>22443861822639</v>
      </c>
    </row>
    <row r="12" spans="1:21" s="33" customFormat="1" ht="21" customHeight="1">
      <c r="A12" s="333" t="s">
        <v>488</v>
      </c>
      <c r="B12" s="334">
        <v>3547052588</v>
      </c>
      <c r="C12" s="334">
        <v>8329771134</v>
      </c>
      <c r="D12" s="334">
        <v>13731194343</v>
      </c>
      <c r="E12" s="334">
        <v>16772804528</v>
      </c>
      <c r="F12" s="334">
        <v>6418018463</v>
      </c>
      <c r="G12" s="334">
        <v>11641788541</v>
      </c>
      <c r="H12" s="334">
        <v>21059532744</v>
      </c>
      <c r="I12" s="334">
        <v>25932864124</v>
      </c>
      <c r="J12" s="334">
        <v>4184219926</v>
      </c>
      <c r="K12" s="334">
        <v>12146022597</v>
      </c>
      <c r="L12" s="334">
        <v>17130066171</v>
      </c>
      <c r="M12" s="334">
        <v>27919351787</v>
      </c>
      <c r="N12" s="334">
        <v>6245607863</v>
      </c>
      <c r="O12" s="334">
        <v>12806339282</v>
      </c>
      <c r="P12" s="334">
        <v>18308577922</v>
      </c>
      <c r="Q12" s="334">
        <v>33567916331</v>
      </c>
      <c r="R12" s="334">
        <v>5785350024</v>
      </c>
      <c r="S12" s="334">
        <v>12819655761</v>
      </c>
    </row>
    <row r="13" spans="1:21" s="33" customFormat="1" ht="21" customHeight="1">
      <c r="A13" s="333" t="s">
        <v>489</v>
      </c>
      <c r="B13" s="334">
        <v>48267066678</v>
      </c>
      <c r="C13" s="334">
        <v>99758350589</v>
      </c>
      <c r="D13" s="334">
        <v>154531630661</v>
      </c>
      <c r="E13" s="334">
        <v>210603739275</v>
      </c>
      <c r="F13" s="334">
        <v>57116359071</v>
      </c>
      <c r="G13" s="334">
        <v>114179177627</v>
      </c>
      <c r="H13" s="334">
        <v>171632912800</v>
      </c>
      <c r="I13" s="334">
        <v>233782986506</v>
      </c>
      <c r="J13" s="334">
        <v>60309889451</v>
      </c>
      <c r="K13" s="334">
        <v>123566293119</v>
      </c>
      <c r="L13" s="334">
        <v>189377287392</v>
      </c>
      <c r="M13" s="334">
        <v>257270605981</v>
      </c>
      <c r="N13" s="334">
        <v>69154998379</v>
      </c>
      <c r="O13" s="334">
        <v>140914177317</v>
      </c>
      <c r="P13" s="334">
        <v>216636730371</v>
      </c>
      <c r="Q13" s="334">
        <v>295127208405</v>
      </c>
      <c r="R13" s="334">
        <v>80166686569</v>
      </c>
      <c r="S13" s="334">
        <v>164123827489</v>
      </c>
    </row>
    <row r="14" spans="1:21" s="33" customFormat="1" ht="21" customHeight="1">
      <c r="A14" s="333" t="s">
        <v>490</v>
      </c>
      <c r="B14" s="334">
        <v>769605197159</v>
      </c>
      <c r="C14" s="334">
        <v>1868203081379</v>
      </c>
      <c r="D14" s="334">
        <v>3265065642273</v>
      </c>
      <c r="E14" s="334">
        <v>3580094448194</v>
      </c>
      <c r="F14" s="334">
        <v>884030535442</v>
      </c>
      <c r="G14" s="334">
        <v>1676172199124</v>
      </c>
      <c r="H14" s="334">
        <v>2211510613390</v>
      </c>
      <c r="I14" s="334">
        <v>2497506054082</v>
      </c>
      <c r="J14" s="334">
        <v>563884867600</v>
      </c>
      <c r="K14" s="334">
        <v>1142320752776</v>
      </c>
      <c r="L14" s="334">
        <v>1665321712897</v>
      </c>
      <c r="M14" s="334">
        <v>2441075776598</v>
      </c>
      <c r="N14" s="334">
        <v>695608437396.07996</v>
      </c>
      <c r="O14" s="334">
        <v>2178279355740.0801</v>
      </c>
      <c r="P14" s="334">
        <v>3094119684897</v>
      </c>
      <c r="Q14" s="334">
        <v>4259979397623</v>
      </c>
      <c r="R14" s="334">
        <v>2277890559893</v>
      </c>
      <c r="S14" s="334">
        <v>4957003558780</v>
      </c>
    </row>
    <row r="15" spans="1:21" s="33" customFormat="1" ht="21" customHeight="1">
      <c r="A15" s="381" t="s">
        <v>329</v>
      </c>
      <c r="B15" s="382">
        <v>12381278604124</v>
      </c>
      <c r="C15" s="382">
        <v>28659188564605</v>
      </c>
      <c r="D15" s="382">
        <v>48295667011208</v>
      </c>
      <c r="E15" s="382">
        <v>64325153179890</v>
      </c>
      <c r="F15" s="382">
        <v>16693666932086</v>
      </c>
      <c r="G15" s="382">
        <v>29040879340425</v>
      </c>
      <c r="H15" s="382">
        <v>40968933463506</v>
      </c>
      <c r="I15" s="382">
        <v>55624856109222</v>
      </c>
      <c r="J15" s="382">
        <v>11793063346201</v>
      </c>
      <c r="K15" s="382">
        <v>22010215513236</v>
      </c>
      <c r="L15" s="382">
        <v>32015576907339</v>
      </c>
      <c r="M15" s="382">
        <v>43385617099675</v>
      </c>
      <c r="N15" s="382">
        <v>7508534832313.0801</v>
      </c>
      <c r="O15" s="382">
        <v>15910257549087.08</v>
      </c>
      <c r="P15" s="382">
        <v>22418440682399</v>
      </c>
      <c r="Q15" s="382">
        <v>32384674089741</v>
      </c>
      <c r="R15" s="382">
        <v>15459515487205</v>
      </c>
      <c r="S15" s="382">
        <v>33755045936649</v>
      </c>
    </row>
    <row r="16" spans="1:21" s="33" customFormat="1" ht="21" customHeight="1">
      <c r="A16" s="333" t="s">
        <v>491</v>
      </c>
      <c r="B16" s="334">
        <v>1423542034074</v>
      </c>
      <c r="C16" s="334">
        <v>2840503818714</v>
      </c>
      <c r="D16" s="334">
        <v>4454093666317</v>
      </c>
      <c r="E16" s="334">
        <v>6013373230499</v>
      </c>
      <c r="F16" s="334">
        <v>1606531471914</v>
      </c>
      <c r="G16" s="334">
        <v>3168795714308</v>
      </c>
      <c r="H16" s="334">
        <v>4445490156290</v>
      </c>
      <c r="I16" s="334">
        <v>6217470046479</v>
      </c>
      <c r="J16" s="334">
        <v>1631740656519</v>
      </c>
      <c r="K16" s="334">
        <v>3172214822220</v>
      </c>
      <c r="L16" s="334">
        <v>4821987188729</v>
      </c>
      <c r="M16" s="334">
        <v>6721407590568</v>
      </c>
      <c r="N16" s="334">
        <v>1814096784644</v>
      </c>
      <c r="O16" s="334">
        <v>3655654092765</v>
      </c>
      <c r="P16" s="334">
        <v>5618246134916</v>
      </c>
      <c r="Q16" s="334">
        <v>7359599723954</v>
      </c>
      <c r="R16" s="334">
        <v>2018408975317</v>
      </c>
      <c r="S16" s="334">
        <v>4052723550026</v>
      </c>
    </row>
    <row r="17" spans="1:21" s="33" customFormat="1" ht="21" customHeight="1">
      <c r="A17" s="333" t="s">
        <v>492</v>
      </c>
      <c r="B17" s="334">
        <v>102809916098</v>
      </c>
      <c r="C17" s="334">
        <v>203803619764</v>
      </c>
      <c r="D17" s="334">
        <v>310684678120</v>
      </c>
      <c r="E17" s="334">
        <v>451726630783</v>
      </c>
      <c r="F17" s="334">
        <v>137935108959</v>
      </c>
      <c r="G17" s="334">
        <v>268708872080</v>
      </c>
      <c r="H17" s="334">
        <v>566223534848</v>
      </c>
      <c r="I17" s="334">
        <v>726081922453</v>
      </c>
      <c r="J17" s="334">
        <v>152422111498</v>
      </c>
      <c r="K17" s="334">
        <v>295121351924</v>
      </c>
      <c r="L17" s="334">
        <v>441726380482</v>
      </c>
      <c r="M17" s="334">
        <v>593294922438</v>
      </c>
      <c r="N17" s="334">
        <v>175058850479</v>
      </c>
      <c r="O17" s="334">
        <v>333407575689</v>
      </c>
      <c r="P17" s="334">
        <v>490045013408</v>
      </c>
      <c r="Q17" s="334">
        <v>658951967185</v>
      </c>
      <c r="R17" s="334">
        <v>179056018627</v>
      </c>
      <c r="S17" s="334">
        <v>356166799759</v>
      </c>
    </row>
    <row r="18" spans="1:21" s="33" customFormat="1" ht="21" customHeight="1">
      <c r="A18" s="333" t="s">
        <v>493</v>
      </c>
      <c r="B18" s="334">
        <v>81569521867</v>
      </c>
      <c r="C18" s="334">
        <v>109670817867</v>
      </c>
      <c r="D18" s="334">
        <v>108216198454</v>
      </c>
      <c r="E18" s="334">
        <v>278831174915</v>
      </c>
      <c r="F18" s="334">
        <v>-12870343239</v>
      </c>
      <c r="G18" s="334">
        <v>70561975736</v>
      </c>
      <c r="H18" s="334">
        <v>217401776294</v>
      </c>
      <c r="I18" s="334">
        <v>238648984000</v>
      </c>
      <c r="J18" s="334">
        <v>14096714422</v>
      </c>
      <c r="K18" s="334">
        <v>82221393463</v>
      </c>
      <c r="L18" s="334">
        <v>95026594587</v>
      </c>
      <c r="M18" s="334">
        <v>134545732236</v>
      </c>
      <c r="N18" s="334">
        <v>17510917396</v>
      </c>
      <c r="O18" s="334">
        <v>39959349125</v>
      </c>
      <c r="P18" s="334">
        <v>59853812187</v>
      </c>
      <c r="Q18" s="334">
        <v>110131244742</v>
      </c>
      <c r="R18" s="334">
        <v>19244796519</v>
      </c>
      <c r="S18" s="334">
        <v>44792137482</v>
      </c>
    </row>
    <row r="19" spans="1:21" s="33" customFormat="1" ht="21" customHeight="1">
      <c r="A19" s="333" t="s">
        <v>494</v>
      </c>
      <c r="B19" s="334">
        <v>173746006587</v>
      </c>
      <c r="C19" s="334">
        <v>385611262875</v>
      </c>
      <c r="D19" s="334">
        <v>657560178212</v>
      </c>
      <c r="E19" s="334">
        <v>983836932893</v>
      </c>
      <c r="F19" s="334">
        <v>459081523352</v>
      </c>
      <c r="G19" s="334">
        <v>925447060177</v>
      </c>
      <c r="H19" s="334">
        <v>1401892205986</v>
      </c>
      <c r="I19" s="334">
        <v>1853420915966</v>
      </c>
      <c r="J19" s="334">
        <v>468300333816</v>
      </c>
      <c r="K19" s="334">
        <v>928002013063</v>
      </c>
      <c r="L19" s="334">
        <v>1435597500444</v>
      </c>
      <c r="M19" s="334">
        <v>1977306366199</v>
      </c>
      <c r="N19" s="334">
        <v>507907153035</v>
      </c>
      <c r="O19" s="334">
        <v>1013859933246</v>
      </c>
      <c r="P19" s="334">
        <v>1504675815442</v>
      </c>
      <c r="Q19" s="334">
        <v>2036240440659</v>
      </c>
      <c r="R19" s="334">
        <v>541840275042</v>
      </c>
      <c r="S19" s="334">
        <v>1138589215592</v>
      </c>
    </row>
    <row r="20" spans="1:21" s="33" customFormat="1" ht="21" customHeight="1">
      <c r="A20" s="333" t="s">
        <v>495</v>
      </c>
      <c r="B20" s="334">
        <v>37873884847</v>
      </c>
      <c r="C20" s="334">
        <v>67330272747</v>
      </c>
      <c r="D20" s="334">
        <v>99731573474</v>
      </c>
      <c r="E20" s="334">
        <v>124508793824</v>
      </c>
      <c r="F20" s="334">
        <v>23527516751</v>
      </c>
      <c r="G20" s="334">
        <v>44066593088</v>
      </c>
      <c r="H20" s="334">
        <v>75273021945</v>
      </c>
      <c r="I20" s="334">
        <v>96616142589</v>
      </c>
      <c r="J20" s="334">
        <v>29595816209</v>
      </c>
      <c r="K20" s="334">
        <v>55509526905</v>
      </c>
      <c r="L20" s="334">
        <v>78822664305</v>
      </c>
      <c r="M20" s="334">
        <v>101330468629</v>
      </c>
      <c r="N20" s="334">
        <v>33920836496</v>
      </c>
      <c r="O20" s="334">
        <v>75349811899</v>
      </c>
      <c r="P20" s="334">
        <v>124735899278</v>
      </c>
      <c r="Q20" s="334">
        <v>179148470210</v>
      </c>
      <c r="R20" s="334">
        <v>65599999140</v>
      </c>
      <c r="S20" s="334">
        <v>160439376867</v>
      </c>
    </row>
    <row r="21" spans="1:21" s="33" customFormat="1" ht="21" customHeight="1">
      <c r="A21" s="333" t="s">
        <v>496</v>
      </c>
      <c r="B21" s="334">
        <v>9594724509988</v>
      </c>
      <c r="C21" s="334">
        <v>22998976183715</v>
      </c>
      <c r="D21" s="334">
        <v>39383413373250</v>
      </c>
      <c r="E21" s="334">
        <v>51896488601126</v>
      </c>
      <c r="F21" s="334">
        <v>13461677480634</v>
      </c>
      <c r="G21" s="334">
        <v>22617811766586</v>
      </c>
      <c r="H21" s="334">
        <v>31511982394869</v>
      </c>
      <c r="I21" s="334">
        <v>42902636235343</v>
      </c>
      <c r="J21" s="334">
        <v>8735179771023</v>
      </c>
      <c r="K21" s="334">
        <v>15843212977100</v>
      </c>
      <c r="L21" s="334">
        <v>22553783795500</v>
      </c>
      <c r="M21" s="334">
        <v>30204570222093</v>
      </c>
      <c r="N21" s="334">
        <v>3917048768728.0801</v>
      </c>
      <c r="O21" s="334">
        <v>7745480168525.0801</v>
      </c>
      <c r="P21" s="334">
        <v>10354235350502</v>
      </c>
      <c r="Q21" s="334">
        <v>16207069505637</v>
      </c>
      <c r="R21" s="334">
        <v>9882914882523</v>
      </c>
      <c r="S21" s="334">
        <v>22067163505443</v>
      </c>
    </row>
    <row r="22" spans="1:21" s="33" customFormat="1" ht="21" customHeight="1">
      <c r="A22" s="333" t="s">
        <v>497</v>
      </c>
      <c r="B22" s="334">
        <v>134746260398</v>
      </c>
      <c r="C22" s="334">
        <v>281153960655</v>
      </c>
      <c r="D22" s="334">
        <v>435755093208</v>
      </c>
      <c r="E22" s="334">
        <v>593252754847</v>
      </c>
      <c r="F22" s="334">
        <v>163380618576</v>
      </c>
      <c r="G22" s="334">
        <v>333695969987</v>
      </c>
      <c r="H22" s="334">
        <v>503264213252</v>
      </c>
      <c r="I22" s="334">
        <v>673995363422</v>
      </c>
      <c r="J22" s="334">
        <v>179428228965</v>
      </c>
      <c r="K22" s="334">
        <v>358481164057</v>
      </c>
      <c r="L22" s="334">
        <v>537262029728</v>
      </c>
      <c r="M22" s="334">
        <v>719221843999</v>
      </c>
      <c r="N22" s="334">
        <v>168056830150</v>
      </c>
      <c r="O22" s="334">
        <v>331473587195</v>
      </c>
      <c r="P22" s="334">
        <v>498519441117</v>
      </c>
      <c r="Q22" s="334">
        <v>675238217876</v>
      </c>
      <c r="R22" s="334">
        <v>172008519193</v>
      </c>
      <c r="S22" s="334">
        <v>347607509959</v>
      </c>
    </row>
    <row r="23" spans="1:21" s="33" customFormat="1" ht="21" customHeight="1">
      <c r="A23" s="333" t="s">
        <v>498</v>
      </c>
      <c r="B23" s="334">
        <v>26369028108</v>
      </c>
      <c r="C23" s="334">
        <v>54871744581</v>
      </c>
      <c r="D23" s="334">
        <v>84042868044</v>
      </c>
      <c r="E23" s="334">
        <v>115747284000</v>
      </c>
      <c r="F23" s="334">
        <v>32106084479</v>
      </c>
      <c r="G23" s="334">
        <v>63209042698</v>
      </c>
      <c r="H23" s="334">
        <v>94644844210</v>
      </c>
      <c r="I23" s="334">
        <v>127294070480</v>
      </c>
      <c r="J23" s="334">
        <v>35365162901</v>
      </c>
      <c r="K23" s="334">
        <v>70328334463</v>
      </c>
      <c r="L23" s="334">
        <v>107451943795</v>
      </c>
      <c r="M23" s="334">
        <v>144303497622</v>
      </c>
      <c r="N23" s="334">
        <v>40545598753</v>
      </c>
      <c r="O23" s="334">
        <v>81469650544</v>
      </c>
      <c r="P23" s="334">
        <v>124544232272</v>
      </c>
      <c r="Q23" s="334">
        <v>167715939235</v>
      </c>
      <c r="R23" s="334">
        <v>46063966472</v>
      </c>
      <c r="S23" s="334">
        <v>94331539973</v>
      </c>
    </row>
    <row r="24" spans="1:21" s="33" customFormat="1" ht="21" customHeight="1">
      <c r="A24" s="333" t="s">
        <v>499</v>
      </c>
      <c r="B24" s="334">
        <v>242448364781</v>
      </c>
      <c r="C24" s="334">
        <v>401273387387</v>
      </c>
      <c r="D24" s="334">
        <v>609201441613</v>
      </c>
      <c r="E24" s="334">
        <v>782001968576</v>
      </c>
      <c r="F24" s="334">
        <v>153252976644</v>
      </c>
      <c r="G24" s="334">
        <v>359321612844</v>
      </c>
      <c r="H24" s="334">
        <v>537664586192</v>
      </c>
      <c r="I24" s="334">
        <v>630333088653</v>
      </c>
      <c r="J24" s="334">
        <v>184327331664</v>
      </c>
      <c r="K24" s="334">
        <v>387295444811</v>
      </c>
      <c r="L24" s="334">
        <v>619795837682</v>
      </c>
      <c r="M24" s="334">
        <v>742945688143</v>
      </c>
      <c r="N24" s="334">
        <v>208205906671</v>
      </c>
      <c r="O24" s="334">
        <v>457810926580</v>
      </c>
      <c r="P24" s="334">
        <v>688502215303</v>
      </c>
      <c r="Q24" s="334">
        <v>1003957117301</v>
      </c>
      <c r="R24" s="334">
        <v>295184135813</v>
      </c>
      <c r="S24" s="334">
        <v>612848587796</v>
      </c>
    </row>
    <row r="25" spans="1:21" s="33" customFormat="1" ht="21" customHeight="1">
      <c r="A25" s="333" t="s">
        <v>500</v>
      </c>
      <c r="B25" s="334">
        <v>563449077376</v>
      </c>
      <c r="C25" s="334">
        <v>1315993496300</v>
      </c>
      <c r="D25" s="334">
        <v>2152967940516</v>
      </c>
      <c r="E25" s="334">
        <v>3085385808427</v>
      </c>
      <c r="F25" s="334">
        <v>669044494016</v>
      </c>
      <c r="G25" s="334">
        <v>1189260732921</v>
      </c>
      <c r="H25" s="334">
        <v>1615096729620</v>
      </c>
      <c r="I25" s="334">
        <v>2158359339837</v>
      </c>
      <c r="J25" s="334">
        <v>362607219184</v>
      </c>
      <c r="K25" s="334">
        <v>817828485230</v>
      </c>
      <c r="L25" s="334">
        <v>1324122972087</v>
      </c>
      <c r="M25" s="334">
        <v>2046690767748</v>
      </c>
      <c r="N25" s="334">
        <v>626183185961</v>
      </c>
      <c r="O25" s="334">
        <v>2175792453519</v>
      </c>
      <c r="P25" s="334">
        <v>2955082767974</v>
      </c>
      <c r="Q25" s="334">
        <v>3986621462942</v>
      </c>
      <c r="R25" s="334">
        <v>2239193918559</v>
      </c>
      <c r="S25" s="334">
        <v>4880383713752</v>
      </c>
    </row>
    <row r="26" spans="1:21" s="33" customFormat="1" ht="21" customHeight="1">
      <c r="A26" s="381" t="s">
        <v>330</v>
      </c>
      <c r="B26" s="382">
        <v>853926129025</v>
      </c>
      <c r="C26" s="382">
        <v>1521542192189</v>
      </c>
      <c r="D26" s="382">
        <v>2324923464510</v>
      </c>
      <c r="E26" s="382">
        <v>2893193351932</v>
      </c>
      <c r="F26" s="382">
        <v>806788660519</v>
      </c>
      <c r="G26" s="382">
        <v>1566771776621</v>
      </c>
      <c r="H26" s="382">
        <v>2375474521052</v>
      </c>
      <c r="I26" s="382">
        <v>2933502360678</v>
      </c>
      <c r="J26" s="382">
        <v>770786222345</v>
      </c>
      <c r="K26" s="382">
        <v>1776383653961</v>
      </c>
      <c r="L26" s="382">
        <v>2677920088767</v>
      </c>
      <c r="M26" s="382">
        <v>3188889251285</v>
      </c>
      <c r="N26" s="382">
        <v>721743012746</v>
      </c>
      <c r="O26" s="382">
        <v>1671476172272</v>
      </c>
      <c r="P26" s="382">
        <v>2533789377724</v>
      </c>
      <c r="Q26" s="382">
        <v>2872733957980</v>
      </c>
      <c r="R26" s="382">
        <v>854828696134</v>
      </c>
      <c r="S26" s="382">
        <v>1822382442939</v>
      </c>
      <c r="T26" s="190"/>
      <c r="U26" s="673"/>
    </row>
    <row r="27" spans="1:21" s="193" customFormat="1" ht="21" customHeight="1">
      <c r="A27" s="333" t="s">
        <v>331</v>
      </c>
      <c r="B27" s="334">
        <v>-3979501678</v>
      </c>
      <c r="C27" s="334">
        <v>2397946579</v>
      </c>
      <c r="D27" s="334">
        <v>39438938782</v>
      </c>
      <c r="E27" s="334">
        <v>20582088581</v>
      </c>
      <c r="F27" s="334">
        <v>13457549856</v>
      </c>
      <c r="G27" s="334">
        <v>11015892756</v>
      </c>
      <c r="H27" s="334">
        <v>-18509694218</v>
      </c>
      <c r="I27" s="334">
        <v>-89577981826</v>
      </c>
      <c r="J27" s="334">
        <v>38411283025</v>
      </c>
      <c r="K27" s="334">
        <v>20232224309</v>
      </c>
      <c r="L27" s="334">
        <v>-20889535886</v>
      </c>
      <c r="M27" s="334">
        <v>-47743918259</v>
      </c>
      <c r="N27" s="334">
        <v>117353649082</v>
      </c>
      <c r="O27" s="334">
        <v>166635660970</v>
      </c>
      <c r="P27" s="334">
        <v>196657411090</v>
      </c>
      <c r="Q27" s="334">
        <v>288817439688</v>
      </c>
      <c r="R27" s="334">
        <v>66100289039</v>
      </c>
      <c r="S27" s="334">
        <v>173092367675</v>
      </c>
    </row>
    <row r="28" spans="1:21" s="33" customFormat="1" ht="21" customHeight="1">
      <c r="A28" s="381" t="s">
        <v>332</v>
      </c>
      <c r="B28" s="382">
        <v>849946627347</v>
      </c>
      <c r="C28" s="382">
        <v>1523940138768</v>
      </c>
      <c r="D28" s="382">
        <v>2364362403292</v>
      </c>
      <c r="E28" s="382">
        <v>2913775440513</v>
      </c>
      <c r="F28" s="382">
        <v>820246210375</v>
      </c>
      <c r="G28" s="382">
        <v>1577787669377</v>
      </c>
      <c r="H28" s="382">
        <v>2356964826834</v>
      </c>
      <c r="I28" s="382">
        <v>2843924378852</v>
      </c>
      <c r="J28" s="382">
        <v>809197505370</v>
      </c>
      <c r="K28" s="382">
        <v>1796615878270</v>
      </c>
      <c r="L28" s="382">
        <v>2657030552881</v>
      </c>
      <c r="M28" s="382">
        <v>3141145333026</v>
      </c>
      <c r="N28" s="382">
        <v>839096661828</v>
      </c>
      <c r="O28" s="382">
        <v>1838111833242</v>
      </c>
      <c r="P28" s="382">
        <v>2730446788814</v>
      </c>
      <c r="Q28" s="382">
        <v>3161551397668</v>
      </c>
      <c r="R28" s="382">
        <v>920928985173</v>
      </c>
      <c r="S28" s="382">
        <v>1995474810614</v>
      </c>
    </row>
    <row r="29" spans="1:21" s="193" customFormat="1" ht="21" customHeight="1">
      <c r="A29" s="333" t="s">
        <v>333</v>
      </c>
      <c r="B29" s="334">
        <v>215931501764</v>
      </c>
      <c r="C29" s="334">
        <v>397766865726</v>
      </c>
      <c r="D29" s="334">
        <v>621272607699</v>
      </c>
      <c r="E29" s="334">
        <v>778540573182</v>
      </c>
      <c r="F29" s="334">
        <v>217131208741</v>
      </c>
      <c r="G29" s="334">
        <v>398750710438</v>
      </c>
      <c r="H29" s="334">
        <v>597152508128</v>
      </c>
      <c r="I29" s="334">
        <v>719189304434</v>
      </c>
      <c r="J29" s="334">
        <v>217907164416</v>
      </c>
      <c r="K29" s="334">
        <v>469152262368</v>
      </c>
      <c r="L29" s="334">
        <v>673536859923</v>
      </c>
      <c r="M29" s="334">
        <v>807711694675</v>
      </c>
      <c r="N29" s="334">
        <v>218263188499</v>
      </c>
      <c r="O29" s="334">
        <v>479710300054</v>
      </c>
      <c r="P29" s="334">
        <v>703655557723</v>
      </c>
      <c r="Q29" s="334">
        <v>811416754043</v>
      </c>
      <c r="R29" s="334">
        <v>240699997574</v>
      </c>
      <c r="S29" s="334">
        <v>523873701835</v>
      </c>
    </row>
    <row r="30" spans="1:21" s="33" customFormat="1" ht="21" customHeight="1">
      <c r="A30" s="381" t="s">
        <v>334</v>
      </c>
      <c r="B30" s="382">
        <v>634015125583</v>
      </c>
      <c r="C30" s="382">
        <v>1126173273042</v>
      </c>
      <c r="D30" s="382">
        <v>1743089795593</v>
      </c>
      <c r="E30" s="382">
        <v>2135234867331</v>
      </c>
      <c r="F30" s="382">
        <v>603115001634</v>
      </c>
      <c r="G30" s="382">
        <v>1179036958939</v>
      </c>
      <c r="H30" s="382">
        <v>1759812318706</v>
      </c>
      <c r="I30" s="382">
        <v>2124735074418</v>
      </c>
      <c r="J30" s="382">
        <v>591290340954</v>
      </c>
      <c r="K30" s="382">
        <v>1327463615902</v>
      </c>
      <c r="L30" s="382">
        <v>1983493692958</v>
      </c>
      <c r="M30" s="382">
        <v>2333433638351</v>
      </c>
      <c r="N30" s="382">
        <v>620833473329</v>
      </c>
      <c r="O30" s="382">
        <v>1358401533188</v>
      </c>
      <c r="P30" s="382">
        <v>2026791231091</v>
      </c>
      <c r="Q30" s="382">
        <v>2350134643625</v>
      </c>
      <c r="R30" s="382">
        <v>680228987599</v>
      </c>
      <c r="S30" s="382">
        <v>1471601108779</v>
      </c>
    </row>
    <row r="31" spans="1:21" s="193" customFormat="1" ht="21" customHeight="1">
      <c r="A31" s="333" t="s">
        <v>335</v>
      </c>
      <c r="B31" s="334">
        <v>300226294</v>
      </c>
      <c r="C31" s="334">
        <v>-1066749774</v>
      </c>
      <c r="D31" s="334">
        <v>-1234463978</v>
      </c>
      <c r="E31" s="334">
        <v>-1894824532</v>
      </c>
      <c r="F31" s="334">
        <v>555427315</v>
      </c>
      <c r="G31" s="334">
        <v>1262828065</v>
      </c>
      <c r="H31" s="334">
        <v>641509015</v>
      </c>
      <c r="I31" s="334">
        <v>641509015</v>
      </c>
      <c r="J31" s="334">
        <v>0</v>
      </c>
      <c r="K31" s="334">
        <v>0</v>
      </c>
      <c r="L31" s="334">
        <v>0</v>
      </c>
      <c r="M31" s="334">
        <v>0</v>
      </c>
      <c r="N31" s="334">
        <v>0</v>
      </c>
      <c r="O31" s="334">
        <v>0</v>
      </c>
      <c r="P31" s="334">
        <v>0</v>
      </c>
      <c r="Q31" s="334">
        <v>0</v>
      </c>
      <c r="R31" s="334">
        <v>0</v>
      </c>
      <c r="S31" s="334">
        <v>0</v>
      </c>
    </row>
    <row r="32" spans="1:21" s="33" customFormat="1" ht="21" customHeight="1">
      <c r="A32" s="381" t="s">
        <v>336</v>
      </c>
      <c r="B32" s="382">
        <v>634315351877</v>
      </c>
      <c r="C32" s="382">
        <v>1125106523268</v>
      </c>
      <c r="D32" s="382">
        <v>1741855331615</v>
      </c>
      <c r="E32" s="382">
        <v>2133340042799</v>
      </c>
      <c r="F32" s="382">
        <v>603670428949</v>
      </c>
      <c r="G32" s="382">
        <v>1180299787004</v>
      </c>
      <c r="H32" s="382">
        <v>1760453827721</v>
      </c>
      <c r="I32" s="382">
        <v>2125376583433</v>
      </c>
      <c r="J32" s="382">
        <v>591290340954</v>
      </c>
      <c r="K32" s="382">
        <v>1327463615902</v>
      </c>
      <c r="L32" s="382">
        <v>1983493692958</v>
      </c>
      <c r="M32" s="382">
        <v>2333433638351</v>
      </c>
      <c r="N32" s="382">
        <v>620833473329</v>
      </c>
      <c r="O32" s="382">
        <v>1358401533188</v>
      </c>
      <c r="P32" s="382">
        <v>2026791231091</v>
      </c>
      <c r="Q32" s="382">
        <v>2350134643625</v>
      </c>
      <c r="R32" s="382">
        <v>680228987599</v>
      </c>
      <c r="S32" s="382">
        <v>1471601108779</v>
      </c>
      <c r="T32" s="190"/>
      <c r="U32" s="673"/>
    </row>
    <row r="33" spans="1:19" ht="21" customHeight="1">
      <c r="A33" s="336" t="s">
        <v>501</v>
      </c>
      <c r="B33" s="337">
        <v>409390781179</v>
      </c>
      <c r="C33" s="337">
        <v>724162394958</v>
      </c>
      <c r="D33" s="337">
        <v>1134292893847</v>
      </c>
      <c r="E33" s="337">
        <v>1391722307804</v>
      </c>
      <c r="F33" s="337">
        <v>528740807542</v>
      </c>
      <c r="G33" s="337">
        <v>1102732014242</v>
      </c>
      <c r="H33" s="337">
        <v>1679899011607</v>
      </c>
      <c r="I33" s="337">
        <v>2041748863339</v>
      </c>
      <c r="J33" s="337">
        <v>585768824547</v>
      </c>
      <c r="K33" s="337">
        <v>1315917135519</v>
      </c>
      <c r="L33" s="337">
        <v>1965847282723</v>
      </c>
      <c r="M33" s="337">
        <v>2306096480027</v>
      </c>
      <c r="N33" s="337">
        <v>609833767783</v>
      </c>
      <c r="O33" s="337">
        <v>1334949940186</v>
      </c>
      <c r="P33" s="337">
        <v>1989645195579</v>
      </c>
      <c r="Q33" s="337">
        <v>2300359733517</v>
      </c>
      <c r="R33" s="337">
        <v>666968720978</v>
      </c>
      <c r="S33" s="337">
        <v>1442033405690</v>
      </c>
    </row>
    <row r="34" spans="1:19" ht="21" customHeight="1">
      <c r="A34" s="336" t="s">
        <v>502</v>
      </c>
      <c r="B34" s="337">
        <v>224924570698</v>
      </c>
      <c r="C34" s="337">
        <v>400944128310</v>
      </c>
      <c r="D34" s="337">
        <v>607562437768</v>
      </c>
      <c r="E34" s="337">
        <v>741617734995</v>
      </c>
      <c r="F34" s="337">
        <v>74929621407</v>
      </c>
      <c r="G34" s="337">
        <v>77567772762</v>
      </c>
      <c r="H34" s="337">
        <v>80554816114</v>
      </c>
      <c r="I34" s="337">
        <v>83627720094</v>
      </c>
      <c r="J34" s="337">
        <v>5521516407</v>
      </c>
      <c r="K34" s="337">
        <v>11546480383</v>
      </c>
      <c r="L34" s="337">
        <v>17646410235</v>
      </c>
      <c r="M34" s="337">
        <v>27337158324</v>
      </c>
      <c r="N34" s="337">
        <v>10999705546</v>
      </c>
      <c r="O34" s="337">
        <v>23451593002</v>
      </c>
      <c r="P34" s="337">
        <v>37146035512</v>
      </c>
      <c r="Q34" s="337">
        <v>49774910108</v>
      </c>
      <c r="R34" s="337">
        <v>13260266621</v>
      </c>
      <c r="S34" s="337">
        <v>29567703089</v>
      </c>
    </row>
    <row r="35" spans="1:19" s="33" customFormat="1" ht="21" customHeight="1">
      <c r="A35" s="381" t="s">
        <v>337</v>
      </c>
      <c r="B35" s="382">
        <v>419161391432</v>
      </c>
      <c r="C35" s="382">
        <v>761215070620</v>
      </c>
      <c r="D35" s="382">
        <v>866795155107</v>
      </c>
      <c r="E35" s="382">
        <v>728871604792</v>
      </c>
      <c r="F35" s="382">
        <v>15921074262</v>
      </c>
      <c r="G35" s="382">
        <v>126152086811</v>
      </c>
      <c r="H35" s="382">
        <v>329058851741</v>
      </c>
      <c r="I35" s="382">
        <v>272127426558</v>
      </c>
      <c r="J35" s="382">
        <v>-482969706908</v>
      </c>
      <c r="K35" s="382">
        <v>-569064283494</v>
      </c>
      <c r="L35" s="382">
        <v>-696041827331</v>
      </c>
      <c r="M35" s="382">
        <v>-683519926713</v>
      </c>
      <c r="N35" s="382">
        <v>-445761696578</v>
      </c>
      <c r="O35" s="382">
        <v>-489544385959</v>
      </c>
      <c r="P35" s="382">
        <v>-722608801205</v>
      </c>
      <c r="Q35" s="382">
        <v>-563711362091</v>
      </c>
      <c r="R35" s="382">
        <v>-20906039013</v>
      </c>
      <c r="S35" s="382">
        <v>256958307712</v>
      </c>
    </row>
    <row r="36" spans="1:19" s="193" customFormat="1" ht="21" customHeight="1">
      <c r="A36" s="333" t="s">
        <v>338</v>
      </c>
      <c r="B36" s="334">
        <v>421771994277</v>
      </c>
      <c r="C36" s="334">
        <v>694240301291</v>
      </c>
      <c r="D36" s="334">
        <v>800139940917</v>
      </c>
      <c r="E36" s="334">
        <v>675303919062</v>
      </c>
      <c r="F36" s="334">
        <v>13599433604</v>
      </c>
      <c r="G36" s="334">
        <v>99003012117</v>
      </c>
      <c r="H36" s="334">
        <v>310797580703</v>
      </c>
      <c r="I36" s="334">
        <v>256003403852</v>
      </c>
      <c r="J36" s="334">
        <v>-485336546493</v>
      </c>
      <c r="K36" s="334">
        <v>-659800358521</v>
      </c>
      <c r="L36" s="334">
        <v>-771861751722</v>
      </c>
      <c r="M36" s="334">
        <v>-760016599116</v>
      </c>
      <c r="N36" s="334">
        <v>-437908398983</v>
      </c>
      <c r="O36" s="334">
        <v>-504745614107</v>
      </c>
      <c r="P36" s="334">
        <v>-755320813983</v>
      </c>
      <c r="Q36" s="334">
        <v>-619646748198</v>
      </c>
      <c r="R36" s="334">
        <v>-11094505455</v>
      </c>
      <c r="S36" s="334">
        <v>90275896478</v>
      </c>
    </row>
    <row r="37" spans="1:19" s="33" customFormat="1" ht="21" customHeight="1">
      <c r="A37" s="333" t="s">
        <v>461</v>
      </c>
      <c r="B37" s="334">
        <v>1299960643505</v>
      </c>
      <c r="C37" s="334">
        <v>2529372928583</v>
      </c>
      <c r="D37" s="334">
        <v>3257279733200</v>
      </c>
      <c r="E37" s="334">
        <v>2894593118342</v>
      </c>
      <c r="F37" s="334">
        <v>-515879493309</v>
      </c>
      <c r="G37" s="334">
        <v>-135656140438</v>
      </c>
      <c r="H37" s="334">
        <v>433812453221</v>
      </c>
      <c r="I37" s="334">
        <v>-1177866776327</v>
      </c>
      <c r="J37" s="334">
        <v>-161410813060</v>
      </c>
      <c r="K37" s="334">
        <v>-717501651355</v>
      </c>
      <c r="L37" s="334">
        <v>-1545502141487</v>
      </c>
      <c r="M37" s="334">
        <v>-1645780074309</v>
      </c>
      <c r="N37" s="334">
        <v>-1047086231137</v>
      </c>
      <c r="O37" s="334">
        <v>-562729606785</v>
      </c>
      <c r="P37" s="334">
        <v>-467810452231</v>
      </c>
      <c r="Q37" s="334">
        <v>683648090890</v>
      </c>
      <c r="R37" s="334">
        <v>1252461098855</v>
      </c>
      <c r="S37" s="334">
        <v>2415235792544</v>
      </c>
    </row>
    <row r="38" spans="1:19" ht="21" customHeight="1">
      <c r="A38" s="333" t="s">
        <v>339</v>
      </c>
      <c r="B38" s="334">
        <v>-835210624517</v>
      </c>
      <c r="C38" s="334">
        <v>-1742967144108</v>
      </c>
      <c r="D38" s="334">
        <v>-2350165487474</v>
      </c>
      <c r="E38" s="334">
        <v>-2093665090936</v>
      </c>
      <c r="F38" s="334">
        <v>511388463654</v>
      </c>
      <c r="G38" s="334">
        <v>188851013818</v>
      </c>
      <c r="H38" s="334">
        <v>-119717066041</v>
      </c>
      <c r="I38" s="334">
        <v>1135397334702</v>
      </c>
      <c r="J38" s="334">
        <v>-228821126941</v>
      </c>
      <c r="K38" s="334">
        <v>87635130272</v>
      </c>
      <c r="L38" s="334">
        <v>641251887521</v>
      </c>
      <c r="M38" s="334">
        <v>685185037568</v>
      </c>
      <c r="N38" s="334">
        <v>443111139254</v>
      </c>
      <c r="O38" s="334">
        <v>70482355584</v>
      </c>
      <c r="P38" s="334">
        <v>-186807365489</v>
      </c>
      <c r="Q38" s="334">
        <v>-906256997680</v>
      </c>
      <c r="R38" s="334">
        <v>-951884254745</v>
      </c>
      <c r="S38" s="334">
        <v>-1677960726453</v>
      </c>
    </row>
    <row r="39" spans="1:19" ht="21" customHeight="1">
      <c r="A39" s="333" t="s">
        <v>340</v>
      </c>
      <c r="B39" s="334">
        <v>-795914839</v>
      </c>
      <c r="C39" s="334">
        <v>171283656</v>
      </c>
      <c r="D39" s="334">
        <v>11618016815</v>
      </c>
      <c r="E39" s="334">
        <v>947706835</v>
      </c>
      <c r="F39" s="334">
        <v>5688721506</v>
      </c>
      <c r="G39" s="334">
        <v>6350866719</v>
      </c>
      <c r="H39" s="334">
        <v>9551210322</v>
      </c>
      <c r="I39" s="334">
        <v>2850934644</v>
      </c>
      <c r="J39" s="334">
        <v>6919787943</v>
      </c>
      <c r="K39" s="334">
        <v>11550868909</v>
      </c>
      <c r="L39" s="334">
        <v>4190988186</v>
      </c>
      <c r="M39" s="334">
        <v>21979429793</v>
      </c>
      <c r="N39" s="334">
        <v>-1466207064</v>
      </c>
      <c r="O39" s="334">
        <v>-15698534946</v>
      </c>
      <c r="P39" s="334">
        <v>-11044870673</v>
      </c>
      <c r="Q39" s="334">
        <v>-7619659485</v>
      </c>
      <c r="R39" s="334">
        <v>8783303212</v>
      </c>
      <c r="S39" s="334">
        <v>10478179316</v>
      </c>
    </row>
    <row r="40" spans="1:19" ht="21" customHeight="1">
      <c r="A40" s="333" t="s">
        <v>341</v>
      </c>
      <c r="B40" s="334">
        <v>-42182109872</v>
      </c>
      <c r="C40" s="334">
        <v>-92336766858</v>
      </c>
      <c r="D40" s="334">
        <v>-118592321702</v>
      </c>
      <c r="E40" s="334">
        <v>-127919603616</v>
      </c>
      <c r="F40" s="334">
        <v>12300355781</v>
      </c>
      <c r="G40" s="334">
        <v>38807216770</v>
      </c>
      <c r="H40" s="334">
        <v>-14016923511</v>
      </c>
      <c r="I40" s="334">
        <v>297002758475</v>
      </c>
      <c r="J40" s="334">
        <v>-102024394479</v>
      </c>
      <c r="K40" s="334">
        <v>-42366499185</v>
      </c>
      <c r="L40" s="334">
        <v>127739228281</v>
      </c>
      <c r="M40" s="334">
        <v>175504288526</v>
      </c>
      <c r="N40" s="334">
        <v>167532899966</v>
      </c>
      <c r="O40" s="334">
        <v>3456188354</v>
      </c>
      <c r="P40" s="334">
        <v>-88407288006</v>
      </c>
      <c r="Q40" s="334">
        <v>-388888031643</v>
      </c>
      <c r="R40" s="334">
        <v>-321414625249</v>
      </c>
      <c r="S40" s="334">
        <v>-658437321422</v>
      </c>
    </row>
    <row r="41" spans="1:19" ht="21" customHeight="1">
      <c r="A41" s="333" t="s">
        <v>342</v>
      </c>
      <c r="B41" s="334">
        <v>0</v>
      </c>
      <c r="C41" s="334">
        <v>18</v>
      </c>
      <c r="D41" s="334">
        <v>78</v>
      </c>
      <c r="E41" s="334">
        <v>1347788437</v>
      </c>
      <c r="F41" s="334">
        <v>101385972</v>
      </c>
      <c r="G41" s="334">
        <v>650055248</v>
      </c>
      <c r="H41" s="334">
        <v>1167906712</v>
      </c>
      <c r="I41" s="334">
        <v>-1380847642</v>
      </c>
      <c r="J41" s="334">
        <v>44</v>
      </c>
      <c r="K41" s="334">
        <v>881792838</v>
      </c>
      <c r="L41" s="334">
        <v>458285777</v>
      </c>
      <c r="M41" s="334">
        <v>3094719306</v>
      </c>
      <c r="N41" s="334">
        <v>-2</v>
      </c>
      <c r="O41" s="334">
        <v>-256016314</v>
      </c>
      <c r="P41" s="334">
        <v>-1250837584</v>
      </c>
      <c r="Q41" s="334">
        <v>-530150280</v>
      </c>
      <c r="R41" s="334">
        <v>959972472</v>
      </c>
      <c r="S41" s="334">
        <v>959972493</v>
      </c>
    </row>
    <row r="42" spans="1:19" s="193" customFormat="1" ht="21" customHeight="1">
      <c r="A42" s="333" t="s">
        <v>343</v>
      </c>
      <c r="B42" s="334">
        <v>-2610602845</v>
      </c>
      <c r="C42" s="334">
        <v>66974769329</v>
      </c>
      <c r="D42" s="334">
        <v>66655214190</v>
      </c>
      <c r="E42" s="334">
        <v>53567685730</v>
      </c>
      <c r="F42" s="334">
        <v>2321640658</v>
      </c>
      <c r="G42" s="334">
        <v>27149074694</v>
      </c>
      <c r="H42" s="334">
        <v>18261271038</v>
      </c>
      <c r="I42" s="334">
        <v>16124022706</v>
      </c>
      <c r="J42" s="334">
        <v>2366839585</v>
      </c>
      <c r="K42" s="334">
        <v>90736075027</v>
      </c>
      <c r="L42" s="334">
        <v>75819924391</v>
      </c>
      <c r="M42" s="334">
        <v>76496672403</v>
      </c>
      <c r="N42" s="334">
        <v>-7853297595</v>
      </c>
      <c r="O42" s="334">
        <v>15201228148</v>
      </c>
      <c r="P42" s="334">
        <v>32712012778</v>
      </c>
      <c r="Q42" s="334">
        <v>55935386107</v>
      </c>
      <c r="R42" s="334">
        <v>-9811533558</v>
      </c>
      <c r="S42" s="334">
        <v>166682411234</v>
      </c>
    </row>
    <row r="43" spans="1:19" ht="21" customHeight="1">
      <c r="A43" s="333" t="s">
        <v>344</v>
      </c>
      <c r="B43" s="334">
        <v>223143938</v>
      </c>
      <c r="C43" s="334">
        <v>667340365</v>
      </c>
      <c r="D43" s="334">
        <v>1688175248</v>
      </c>
      <c r="E43" s="334">
        <v>2837800472</v>
      </c>
      <c r="F43" s="334">
        <v>-90959135</v>
      </c>
      <c r="G43" s="334">
        <v>-1437146404</v>
      </c>
      <c r="H43" s="334">
        <v>-1768931342</v>
      </c>
      <c r="I43" s="334">
        <v>-1743749934</v>
      </c>
      <c r="J43" s="334">
        <v>-5979543082</v>
      </c>
      <c r="K43" s="334">
        <v>-4181082152</v>
      </c>
      <c r="L43" s="334">
        <v>-5044155573</v>
      </c>
      <c r="M43" s="334">
        <v>-4341631757</v>
      </c>
      <c r="N43" s="334">
        <v>-291919216</v>
      </c>
      <c r="O43" s="334">
        <v>-182384158</v>
      </c>
      <c r="P43" s="334">
        <v>-119730764</v>
      </c>
      <c r="Q43" s="334">
        <v>133334096</v>
      </c>
      <c r="R43" s="334">
        <v>-2882089048</v>
      </c>
      <c r="S43" s="334">
        <v>-2057722097</v>
      </c>
    </row>
    <row r="44" spans="1:19" ht="21" customHeight="1">
      <c r="A44" s="333" t="s">
        <v>345</v>
      </c>
      <c r="B44" s="334">
        <v>-2213750405</v>
      </c>
      <c r="C44" s="334">
        <v>66529716374</v>
      </c>
      <c r="D44" s="334">
        <v>64902799076</v>
      </c>
      <c r="E44" s="334">
        <v>34982352437</v>
      </c>
      <c r="F44" s="334">
        <v>4627026939</v>
      </c>
      <c r="G44" s="334">
        <v>30962052103</v>
      </c>
      <c r="H44" s="334">
        <v>22643442965</v>
      </c>
      <c r="I44" s="334">
        <v>28689688447</v>
      </c>
      <c r="J44" s="334">
        <v>9087188429</v>
      </c>
      <c r="K44" s="334">
        <v>9081875045</v>
      </c>
      <c r="L44" s="334">
        <v>-4571347299</v>
      </c>
      <c r="M44" s="334">
        <v>4946609304</v>
      </c>
      <c r="N44" s="334">
        <v>-6209397939</v>
      </c>
      <c r="O44" s="334">
        <v>17128961351</v>
      </c>
      <c r="P44" s="334">
        <v>34741122632</v>
      </c>
      <c r="Q44" s="334">
        <v>60515568256</v>
      </c>
      <c r="R44" s="334">
        <v>-5841688892</v>
      </c>
      <c r="S44" s="334">
        <v>170238508757</v>
      </c>
    </row>
    <row r="45" spans="1:19" ht="21" customHeight="1">
      <c r="A45" s="333" t="s">
        <v>346</v>
      </c>
      <c r="B45" s="334">
        <v>-619996378</v>
      </c>
      <c r="C45" s="334">
        <v>-222287410</v>
      </c>
      <c r="D45" s="334">
        <v>64239866</v>
      </c>
      <c r="E45" s="334">
        <v>13959336986</v>
      </c>
      <c r="F45" s="334">
        <v>-2214427146</v>
      </c>
      <c r="G45" s="334">
        <v>-2375831005</v>
      </c>
      <c r="H45" s="334">
        <v>-2613240585</v>
      </c>
      <c r="I45" s="334">
        <v>-10821915807</v>
      </c>
      <c r="J45" s="334">
        <v>-740805762</v>
      </c>
      <c r="K45" s="334">
        <v>-1412252249</v>
      </c>
      <c r="L45" s="334">
        <v>-1812107120</v>
      </c>
      <c r="M45" s="334">
        <v>-11256363990</v>
      </c>
      <c r="N45" s="334">
        <v>-1351980440</v>
      </c>
      <c r="O45" s="334">
        <v>-1745349045</v>
      </c>
      <c r="P45" s="334">
        <v>-1909379090</v>
      </c>
      <c r="Q45" s="334">
        <v>-1354498490</v>
      </c>
      <c r="R45" s="334">
        <v>-1087755618</v>
      </c>
      <c r="S45" s="334">
        <v>-1498375426</v>
      </c>
    </row>
    <row r="46" spans="1:19" ht="21" customHeight="1">
      <c r="A46" s="333" t="s">
        <v>347</v>
      </c>
      <c r="B46" s="334">
        <v>0</v>
      </c>
      <c r="C46" s="334">
        <v>0</v>
      </c>
      <c r="D46" s="334">
        <v>0</v>
      </c>
      <c r="E46" s="334">
        <v>1788195835</v>
      </c>
      <c r="F46" s="334">
        <v>0</v>
      </c>
      <c r="G46" s="334">
        <v>0</v>
      </c>
      <c r="H46" s="334">
        <v>0</v>
      </c>
      <c r="I46" s="334">
        <v>0</v>
      </c>
      <c r="J46" s="334">
        <v>0</v>
      </c>
      <c r="K46" s="334">
        <v>87247534383</v>
      </c>
      <c r="L46" s="334">
        <v>87247534383</v>
      </c>
      <c r="M46" s="334">
        <v>87148058846</v>
      </c>
      <c r="N46" s="334">
        <v>0</v>
      </c>
      <c r="O46" s="334">
        <v>0</v>
      </c>
      <c r="P46" s="334">
        <v>0</v>
      </c>
      <c r="Q46" s="334">
        <v>-3359017755</v>
      </c>
      <c r="R46" s="334">
        <v>0</v>
      </c>
      <c r="S46" s="334">
        <v>0</v>
      </c>
    </row>
    <row r="47" spans="1:19" s="33" customFormat="1" ht="21" customHeight="1">
      <c r="A47" s="381" t="s">
        <v>348</v>
      </c>
      <c r="B47" s="382">
        <v>1053476743309</v>
      </c>
      <c r="C47" s="382">
        <v>1886321593888</v>
      </c>
      <c r="D47" s="382">
        <v>2608650486722</v>
      </c>
      <c r="E47" s="383">
        <v>2862211647591</v>
      </c>
      <c r="F47" s="382">
        <v>619591503211</v>
      </c>
      <c r="G47" s="382">
        <v>1306451873815</v>
      </c>
      <c r="H47" s="382">
        <v>2089512679462</v>
      </c>
      <c r="I47" s="382">
        <v>2397504009991</v>
      </c>
      <c r="J47" s="382">
        <v>108320634046</v>
      </c>
      <c r="K47" s="382">
        <v>758399332408</v>
      </c>
      <c r="L47" s="382">
        <v>1287451865627</v>
      </c>
      <c r="M47" s="382">
        <v>1649913711638</v>
      </c>
      <c r="N47" s="382">
        <v>175071776751</v>
      </c>
      <c r="O47" s="382">
        <v>868857147229</v>
      </c>
      <c r="P47" s="382">
        <v>1304182429886</v>
      </c>
      <c r="Q47" s="382">
        <v>1786423281534</v>
      </c>
      <c r="R47" s="382">
        <v>659322948586</v>
      </c>
      <c r="S47" s="382">
        <v>1728559416491</v>
      </c>
    </row>
    <row r="48" spans="1:19" ht="21" customHeight="1">
      <c r="A48" s="333" t="s">
        <v>503</v>
      </c>
      <c r="B48" s="334">
        <v>673388419993</v>
      </c>
      <c r="C48" s="334">
        <v>1207216573125</v>
      </c>
      <c r="D48" s="334">
        <v>1685496261544</v>
      </c>
      <c r="E48" s="334">
        <v>1851882310612</v>
      </c>
      <c r="F48" s="334">
        <v>538984079587</v>
      </c>
      <c r="G48" s="334">
        <v>1223076492699</v>
      </c>
      <c r="H48" s="334">
        <v>2003257014910</v>
      </c>
      <c r="I48" s="334">
        <v>2308594878777</v>
      </c>
      <c r="J48" s="334">
        <v>102568165256</v>
      </c>
      <c r="K48" s="334">
        <v>746652539888</v>
      </c>
      <c r="L48" s="334">
        <v>1269236619997</v>
      </c>
      <c r="M48" s="334">
        <v>1621447421223</v>
      </c>
      <c r="N48" s="334">
        <v>164453049523</v>
      </c>
      <c r="O48" s="334">
        <v>846558325436</v>
      </c>
      <c r="P48" s="334">
        <v>1268124047568</v>
      </c>
      <c r="Q48" s="334">
        <v>1737491422866</v>
      </c>
      <c r="R48" s="334">
        <v>645470503697</v>
      </c>
      <c r="S48" s="334">
        <v>1698857581550</v>
      </c>
    </row>
    <row r="49" spans="1:19" ht="21" customHeight="1">
      <c r="A49" s="338" t="s">
        <v>504</v>
      </c>
      <c r="B49" s="339">
        <v>380088323316</v>
      </c>
      <c r="C49" s="339">
        <v>679105020763</v>
      </c>
      <c r="D49" s="339">
        <v>923154225178</v>
      </c>
      <c r="E49" s="339">
        <v>1010329336979</v>
      </c>
      <c r="F49" s="339">
        <v>80607423624</v>
      </c>
      <c r="G49" s="339">
        <v>83375381116</v>
      </c>
      <c r="H49" s="339">
        <v>86255664552</v>
      </c>
      <c r="I49" s="339">
        <v>88909131214</v>
      </c>
      <c r="J49" s="339">
        <v>5752468790</v>
      </c>
      <c r="K49" s="339">
        <v>11746792520</v>
      </c>
      <c r="L49" s="339">
        <v>18215245630</v>
      </c>
      <c r="M49" s="339">
        <v>28466290415</v>
      </c>
      <c r="N49" s="339">
        <v>10618727228</v>
      </c>
      <c r="O49" s="339">
        <v>22298821793</v>
      </c>
      <c r="P49" s="339">
        <v>36058382318</v>
      </c>
      <c r="Q49" s="339">
        <v>48931858668</v>
      </c>
      <c r="R49" s="339">
        <v>13852444889</v>
      </c>
      <c r="S49" s="339">
        <v>29701834941</v>
      </c>
    </row>
    <row r="50" spans="1:19" ht="15.75">
      <c r="A50" s="102" t="s">
        <v>324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62"/>
      <c r="L50" s="162"/>
      <c r="M50" s="162"/>
      <c r="N50" s="162"/>
      <c r="O50" s="162"/>
      <c r="P50" s="162"/>
      <c r="Q50" s="162"/>
      <c r="R50" s="162"/>
      <c r="S50" s="33"/>
    </row>
    <row r="51" spans="1:19" ht="15.7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33"/>
    </row>
    <row r="52" spans="1:19" ht="17.25"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</row>
    <row r="53" spans="1:19" ht="17.25"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</row>
    <row r="54" spans="1:19" ht="17.25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</row>
    <row r="55" spans="1:19" ht="17.25"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</row>
    <row r="56" spans="1:19" ht="17.25"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</row>
    <row r="57" spans="1:19" ht="17.25"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</row>
    <row r="58" spans="1:19" ht="17.25"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</row>
    <row r="59" spans="1:19" ht="17.25"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</row>
    <row r="60" spans="1:19" ht="17.25"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</row>
    <row r="61" spans="1:19" ht="17.25"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</row>
    <row r="62" spans="1:19" ht="17.25"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</row>
    <row r="63" spans="1:19" ht="17.25"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</row>
    <row r="64" spans="1:19" ht="17.25"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</row>
    <row r="65" spans="2:18" ht="17.25"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</row>
    <row r="66" spans="2:18" ht="17.25"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</row>
    <row r="67" spans="2:18" ht="17.25"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</row>
    <row r="68" spans="2:18" ht="17.25"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</row>
    <row r="69" spans="2:18" ht="17.25"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</row>
    <row r="70" spans="2:18" ht="17.25"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</row>
    <row r="71" spans="2:18" ht="17.25"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</row>
  </sheetData>
  <phoneticPr fontId="21" type="noConversion"/>
  <pageMargins left="0.7" right="0.7" top="0.75" bottom="0.75" header="0.3" footer="0.3"/>
  <pageSetup paperSize="9" scale="4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  <pageSetUpPr fitToPage="1"/>
  </sheetPr>
  <dimension ref="A1:T64"/>
  <sheetViews>
    <sheetView view="pageBreakPreview" zoomScaleNormal="70" zoomScaleSheetLayoutView="100" workbookViewId="0">
      <pane xSplit="1" topLeftCell="N1" activePane="topRight" state="frozen"/>
      <selection activeCell="H27" activeCellId="1" sqref="R7 H27"/>
      <selection pane="topRight" activeCell="V25" sqref="V25"/>
    </sheetView>
  </sheetViews>
  <sheetFormatPr defaultRowHeight="14.25"/>
  <cols>
    <col min="1" max="1" width="31.109375" customWidth="1"/>
    <col min="2" max="13" width="19.21875" hidden="1" customWidth="1"/>
    <col min="14" max="19" width="19.21875" customWidth="1"/>
    <col min="20" max="20" width="19.88671875" style="33" customWidth="1"/>
  </cols>
  <sheetData>
    <row r="1" spans="1:20">
      <c r="A1" s="342"/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</row>
    <row r="2" spans="1:20" s="69" customFormat="1" ht="35.25" customHeight="1">
      <c r="A2" s="371" t="s">
        <v>479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702"/>
    </row>
    <row r="3" spans="1:20" ht="15" thickBo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</row>
    <row r="4" spans="1:20" s="33" customFormat="1" ht="21" customHeight="1" thickTop="1">
      <c r="A4" s="376" t="s">
        <v>456</v>
      </c>
      <c r="B4" s="377" t="s">
        <v>391</v>
      </c>
      <c r="C4" s="378" t="s">
        <v>612</v>
      </c>
      <c r="D4" s="376" t="s">
        <v>613</v>
      </c>
      <c r="E4" s="379">
        <v>2022</v>
      </c>
      <c r="F4" s="377" t="s">
        <v>614</v>
      </c>
      <c r="G4" s="376" t="s">
        <v>615</v>
      </c>
      <c r="H4" s="376" t="s">
        <v>616</v>
      </c>
      <c r="I4" s="380">
        <v>2023</v>
      </c>
      <c r="J4" s="380" t="s">
        <v>617</v>
      </c>
      <c r="K4" s="380" t="s">
        <v>609</v>
      </c>
      <c r="L4" s="663" t="s">
        <v>622</v>
      </c>
      <c r="M4" s="663">
        <v>2024</v>
      </c>
      <c r="N4" s="663" t="s">
        <v>647</v>
      </c>
      <c r="O4" s="663" t="s">
        <v>666</v>
      </c>
      <c r="P4" s="663" t="s">
        <v>675</v>
      </c>
      <c r="Q4" s="663">
        <v>2025</v>
      </c>
      <c r="R4" s="666" t="s">
        <v>688</v>
      </c>
      <c r="S4" s="695" t="s">
        <v>714</v>
      </c>
    </row>
    <row r="5" spans="1:20" ht="21" customHeight="1">
      <c r="A5" s="333" t="s">
        <v>349</v>
      </c>
      <c r="B5" s="334">
        <v>5407417483976</v>
      </c>
      <c r="C5" s="334">
        <v>5692766335230</v>
      </c>
      <c r="D5" s="334">
        <v>4560992755230</v>
      </c>
      <c r="E5" s="334">
        <v>5922682070459</v>
      </c>
      <c r="F5" s="334">
        <v>4615441563343</v>
      </c>
      <c r="G5" s="334">
        <v>4891407109482</v>
      </c>
      <c r="H5" s="334">
        <v>4028565518316</v>
      </c>
      <c r="I5" s="334">
        <v>4928102291702</v>
      </c>
      <c r="J5" s="334">
        <v>4498009421117</v>
      </c>
      <c r="K5" s="334">
        <v>4629522068109</v>
      </c>
      <c r="L5" s="334">
        <v>4944330419900</v>
      </c>
      <c r="M5" s="334">
        <v>4999589217672</v>
      </c>
      <c r="N5" s="334">
        <v>6361217542812</v>
      </c>
      <c r="O5" s="334">
        <v>5767527360149</v>
      </c>
      <c r="P5" s="334">
        <v>7232762508937</v>
      </c>
      <c r="Q5" s="334">
        <v>9292380462644</v>
      </c>
      <c r="R5" s="334">
        <v>11475628668445</v>
      </c>
      <c r="S5" s="334">
        <v>11542373663323</v>
      </c>
      <c r="T5" s="190"/>
    </row>
    <row r="6" spans="1:20" ht="21" customHeight="1">
      <c r="A6" s="333" t="s">
        <v>350</v>
      </c>
      <c r="B6" s="306">
        <v>33527817084445</v>
      </c>
      <c r="C6" s="306">
        <v>32415547969051</v>
      </c>
      <c r="D6" s="306">
        <v>31946563022875</v>
      </c>
      <c r="E6" s="306">
        <v>36790919005541</v>
      </c>
      <c r="F6" s="306">
        <v>40342409197310</v>
      </c>
      <c r="G6" s="334">
        <v>40126673538235</v>
      </c>
      <c r="H6" s="306">
        <v>39634346082589</v>
      </c>
      <c r="I6" s="334">
        <v>45835254461738</v>
      </c>
      <c r="J6" s="334">
        <v>44286893102977</v>
      </c>
      <c r="K6" s="334">
        <v>42253028331950</v>
      </c>
      <c r="L6" s="334">
        <v>47074754773945</v>
      </c>
      <c r="M6" s="334">
        <v>50935548977436</v>
      </c>
      <c r="N6" s="334">
        <v>50397065358284</v>
      </c>
      <c r="O6" s="334">
        <v>51635309779591</v>
      </c>
      <c r="P6" s="334">
        <v>54159829877685</v>
      </c>
      <c r="Q6" s="334">
        <v>57255930460341</v>
      </c>
      <c r="R6" s="334">
        <v>54954594545995</v>
      </c>
      <c r="S6" s="334">
        <v>57703475987457</v>
      </c>
      <c r="T6" s="190"/>
    </row>
    <row r="7" spans="1:20" ht="21" customHeight="1">
      <c r="A7" s="333" t="s">
        <v>351</v>
      </c>
      <c r="B7" s="306">
        <v>523545816613</v>
      </c>
      <c r="C7" s="306">
        <v>865531455930</v>
      </c>
      <c r="D7" s="306">
        <v>1202033265759</v>
      </c>
      <c r="E7" s="306">
        <v>960707000054</v>
      </c>
      <c r="F7" s="306">
        <v>774268685669</v>
      </c>
      <c r="G7" s="334">
        <v>720903735059</v>
      </c>
      <c r="H7" s="306">
        <v>718256189899</v>
      </c>
      <c r="I7" s="334">
        <v>1076245317071</v>
      </c>
      <c r="J7" s="334">
        <v>1054672535614</v>
      </c>
      <c r="K7" s="334">
        <v>1285273712335</v>
      </c>
      <c r="L7" s="334">
        <v>2001784844356</v>
      </c>
      <c r="M7" s="334">
        <v>1999065193225</v>
      </c>
      <c r="N7" s="334">
        <v>2447313156505</v>
      </c>
      <c r="O7" s="334">
        <v>2308064003578</v>
      </c>
      <c r="P7" s="334">
        <v>1556781391464</v>
      </c>
      <c r="Q7" s="334">
        <v>1126936204016</v>
      </c>
      <c r="R7" s="334">
        <v>1676277797636</v>
      </c>
      <c r="S7" s="334">
        <v>2468246908974</v>
      </c>
      <c r="T7" s="190"/>
    </row>
    <row r="8" spans="1:20" ht="21" customHeight="1">
      <c r="A8" s="333" t="s">
        <v>478</v>
      </c>
      <c r="B8" s="306">
        <v>19691306258452</v>
      </c>
      <c r="C8" s="306">
        <v>23692930098854</v>
      </c>
      <c r="D8" s="306">
        <v>23097076887175</v>
      </c>
      <c r="E8" s="306">
        <v>23075298959509</v>
      </c>
      <c r="F8" s="306">
        <v>25074044234959</v>
      </c>
      <c r="G8" s="334">
        <v>25799441206526</v>
      </c>
      <c r="H8" s="306">
        <v>26216562117000</v>
      </c>
      <c r="I8" s="334">
        <v>27917741681483</v>
      </c>
      <c r="J8" s="334">
        <v>28425933916025</v>
      </c>
      <c r="K8" s="334">
        <v>29534589586601</v>
      </c>
      <c r="L8" s="334">
        <v>30154198097271</v>
      </c>
      <c r="M8" s="334">
        <v>31652211478537</v>
      </c>
      <c r="N8" s="334">
        <v>31389298959634</v>
      </c>
      <c r="O8" s="334">
        <v>32308109553476</v>
      </c>
      <c r="P8" s="334">
        <v>32909299570278</v>
      </c>
      <c r="Q8" s="334">
        <v>33945140979818</v>
      </c>
      <c r="R8" s="334">
        <v>34520266034863</v>
      </c>
      <c r="S8" s="334">
        <v>33733634367504</v>
      </c>
      <c r="T8" s="190"/>
    </row>
    <row r="9" spans="1:20" ht="21" customHeight="1">
      <c r="A9" s="333" t="s">
        <v>352</v>
      </c>
      <c r="B9" s="306">
        <v>13695246887951</v>
      </c>
      <c r="C9" s="306">
        <v>13348282346564</v>
      </c>
      <c r="D9" s="306">
        <v>12800386332208</v>
      </c>
      <c r="E9" s="306">
        <v>14305260820669</v>
      </c>
      <c r="F9" s="306">
        <v>13139519543928</v>
      </c>
      <c r="G9" s="334">
        <v>14383287927950</v>
      </c>
      <c r="H9" s="306">
        <v>13623531473898</v>
      </c>
      <c r="I9" s="334">
        <v>14634016327824</v>
      </c>
      <c r="J9" s="334">
        <v>14390901491724</v>
      </c>
      <c r="K9" s="334">
        <v>14340733283846</v>
      </c>
      <c r="L9" s="334">
        <v>15394425478480</v>
      </c>
      <c r="M9" s="334">
        <v>16719735743819</v>
      </c>
      <c r="N9" s="334">
        <v>17244252863486</v>
      </c>
      <c r="O9" s="334">
        <v>17998879336071</v>
      </c>
      <c r="P9" s="334">
        <v>19529068554329</v>
      </c>
      <c r="Q9" s="334">
        <v>19081074498194</v>
      </c>
      <c r="R9" s="334">
        <v>20633094475099</v>
      </c>
      <c r="S9" s="334">
        <v>22677568302883</v>
      </c>
      <c r="T9" s="190"/>
    </row>
    <row r="10" spans="1:20" ht="21" customHeight="1">
      <c r="A10" s="333" t="s">
        <v>353</v>
      </c>
      <c r="B10" s="306">
        <v>864405920443</v>
      </c>
      <c r="C10" s="306">
        <v>884804415947</v>
      </c>
      <c r="D10" s="306">
        <v>918979653318</v>
      </c>
      <c r="E10" s="306">
        <v>926275779049</v>
      </c>
      <c r="F10" s="306">
        <v>924395858012</v>
      </c>
      <c r="G10" s="334">
        <v>918320546604</v>
      </c>
      <c r="H10" s="306">
        <v>922842815291</v>
      </c>
      <c r="I10" s="334">
        <v>1012456902693</v>
      </c>
      <c r="J10" s="334">
        <v>1012396863217</v>
      </c>
      <c r="K10" s="334">
        <v>889736852567</v>
      </c>
      <c r="L10" s="334">
        <v>832865574484</v>
      </c>
      <c r="M10" s="334">
        <v>745359519899</v>
      </c>
      <c r="N10" s="334">
        <v>1093751204970</v>
      </c>
      <c r="O10" s="334">
        <v>1133209232405</v>
      </c>
      <c r="P10" s="334">
        <v>1370527155146</v>
      </c>
      <c r="Q10" s="334">
        <v>4699985416667</v>
      </c>
      <c r="R10" s="334">
        <v>4832090553454</v>
      </c>
      <c r="S10" s="334">
        <v>4588279428724</v>
      </c>
      <c r="T10" s="190"/>
    </row>
    <row r="11" spans="1:20" ht="21" customHeight="1">
      <c r="A11" s="333" t="s">
        <v>354</v>
      </c>
      <c r="B11" s="306">
        <v>772261880761</v>
      </c>
      <c r="C11" s="306">
        <v>801843257709</v>
      </c>
      <c r="D11" s="306">
        <v>793804780855</v>
      </c>
      <c r="E11" s="306">
        <v>795249470532</v>
      </c>
      <c r="F11" s="306">
        <v>755805561643</v>
      </c>
      <c r="G11" s="334">
        <v>770603838204</v>
      </c>
      <c r="H11" s="306">
        <v>798099382664</v>
      </c>
      <c r="I11" s="334">
        <v>802228273710</v>
      </c>
      <c r="J11" s="334">
        <v>823821401498</v>
      </c>
      <c r="K11" s="334">
        <v>962077931831</v>
      </c>
      <c r="L11" s="334">
        <v>954549826496</v>
      </c>
      <c r="M11" s="334">
        <v>994303316270</v>
      </c>
      <c r="N11" s="334">
        <v>1018849453487</v>
      </c>
      <c r="O11" s="334">
        <v>1017914630467</v>
      </c>
      <c r="P11" s="334">
        <v>1012631479372</v>
      </c>
      <c r="Q11" s="334">
        <v>1024965331349</v>
      </c>
      <c r="R11" s="334">
        <v>1037315457434</v>
      </c>
      <c r="S11" s="334">
        <v>1040365601552</v>
      </c>
      <c r="T11" s="190"/>
    </row>
    <row r="12" spans="1:20" ht="21" customHeight="1">
      <c r="A12" s="333" t="s">
        <v>355</v>
      </c>
      <c r="B12" s="306">
        <v>422152699218</v>
      </c>
      <c r="C12" s="306">
        <v>423286714714</v>
      </c>
      <c r="D12" s="306">
        <v>774759674052</v>
      </c>
      <c r="E12" s="306">
        <v>754270974333</v>
      </c>
      <c r="F12" s="306">
        <v>797528741397</v>
      </c>
      <c r="G12" s="334">
        <v>790238729760</v>
      </c>
      <c r="H12" s="306">
        <v>779316434373</v>
      </c>
      <c r="I12" s="334">
        <v>689594746304</v>
      </c>
      <c r="J12" s="334">
        <v>707552260061</v>
      </c>
      <c r="K12" s="334">
        <v>719538227699</v>
      </c>
      <c r="L12" s="334">
        <v>716920030290</v>
      </c>
      <c r="M12" s="334">
        <v>769793516758</v>
      </c>
      <c r="N12" s="334">
        <v>741479062017</v>
      </c>
      <c r="O12" s="334">
        <v>697024007908</v>
      </c>
      <c r="P12" s="334">
        <v>709144317342</v>
      </c>
      <c r="Q12" s="334">
        <v>720904425595</v>
      </c>
      <c r="R12" s="334">
        <v>745680910304</v>
      </c>
      <c r="S12" s="334">
        <v>924324884613</v>
      </c>
      <c r="T12" s="190"/>
    </row>
    <row r="13" spans="1:20" ht="21" customHeight="1">
      <c r="A13" s="333" t="s">
        <v>356</v>
      </c>
      <c r="B13" s="306">
        <v>92022596944</v>
      </c>
      <c r="C13" s="306">
        <v>92951229606</v>
      </c>
      <c r="D13" s="306">
        <v>101991357214</v>
      </c>
      <c r="E13" s="306">
        <v>106955426037</v>
      </c>
      <c r="F13" s="306">
        <v>106496852220</v>
      </c>
      <c r="G13" s="334">
        <v>104683696177</v>
      </c>
      <c r="H13" s="306">
        <v>102749769756</v>
      </c>
      <c r="I13" s="334">
        <v>102089204265</v>
      </c>
      <c r="J13" s="334">
        <v>98602093346</v>
      </c>
      <c r="K13" s="334">
        <v>96193002108</v>
      </c>
      <c r="L13" s="334">
        <v>95191921090</v>
      </c>
      <c r="M13" s="334">
        <v>94997984355</v>
      </c>
      <c r="N13" s="334">
        <v>93495524414</v>
      </c>
      <c r="O13" s="334">
        <v>91623621970</v>
      </c>
      <c r="P13" s="334">
        <v>95191645337</v>
      </c>
      <c r="Q13" s="334">
        <v>103383615230</v>
      </c>
      <c r="R13" s="334">
        <v>118037340086</v>
      </c>
      <c r="S13" s="334">
        <v>124198585399</v>
      </c>
      <c r="T13" s="190"/>
    </row>
    <row r="14" spans="1:20" ht="21" customHeight="1">
      <c r="A14" s="333" t="s">
        <v>357</v>
      </c>
      <c r="B14" s="306">
        <v>1629310082371</v>
      </c>
      <c r="C14" s="306">
        <v>1723863251486</v>
      </c>
      <c r="D14" s="306">
        <v>1798951660223</v>
      </c>
      <c r="E14" s="306">
        <v>1746241436848</v>
      </c>
      <c r="F14" s="306">
        <v>1688258303599</v>
      </c>
      <c r="G14" s="334">
        <v>1668173489998</v>
      </c>
      <c r="H14" s="306">
        <v>1658520340288</v>
      </c>
      <c r="I14" s="334">
        <v>1638157034697</v>
      </c>
      <c r="J14" s="334">
        <v>1644526910197</v>
      </c>
      <c r="K14" s="334">
        <v>1714546032960</v>
      </c>
      <c r="L14" s="334">
        <v>1742203283895</v>
      </c>
      <c r="M14" s="334">
        <v>1828872818503</v>
      </c>
      <c r="N14" s="334">
        <v>1875715469789</v>
      </c>
      <c r="O14" s="334">
        <v>1923151663386</v>
      </c>
      <c r="P14" s="334">
        <v>2029518171939</v>
      </c>
      <c r="Q14" s="334">
        <v>2052327595014</v>
      </c>
      <c r="R14" s="334">
        <v>2145608569445</v>
      </c>
      <c r="S14" s="334">
        <v>2362906931044</v>
      </c>
      <c r="T14" s="190"/>
    </row>
    <row r="15" spans="1:20" ht="21" customHeight="1">
      <c r="A15" s="333" t="s">
        <v>358</v>
      </c>
      <c r="B15" s="306">
        <v>375087820955</v>
      </c>
      <c r="C15" s="306">
        <v>212825250604</v>
      </c>
      <c r="D15" s="306">
        <v>252156659611</v>
      </c>
      <c r="E15" s="306">
        <v>177875128594</v>
      </c>
      <c r="F15" s="306">
        <v>44064931018</v>
      </c>
      <c r="G15" s="334">
        <v>104901149840</v>
      </c>
      <c r="H15" s="306">
        <v>122873014588</v>
      </c>
      <c r="I15" s="334">
        <v>14321916473</v>
      </c>
      <c r="J15" s="334">
        <v>234661320303</v>
      </c>
      <c r="K15" s="334">
        <v>282687219107</v>
      </c>
      <c r="L15" s="334">
        <v>248153620661</v>
      </c>
      <c r="M15" s="334">
        <v>243386138549</v>
      </c>
      <c r="N15" s="334">
        <v>281112708556</v>
      </c>
      <c r="O15" s="334">
        <v>310758706011</v>
      </c>
      <c r="P15" s="334">
        <v>438336608646</v>
      </c>
      <c r="Q15" s="334">
        <v>349077124132</v>
      </c>
      <c r="R15" s="334">
        <v>375407603948</v>
      </c>
      <c r="S15" s="334">
        <v>327900043077</v>
      </c>
      <c r="T15" s="190"/>
    </row>
    <row r="16" spans="1:20" ht="21" customHeight="1">
      <c r="A16" s="333" t="s">
        <v>359</v>
      </c>
      <c r="B16" s="306">
        <v>14324865</v>
      </c>
      <c r="C16" s="306">
        <v>36709945</v>
      </c>
      <c r="D16" s="306">
        <v>94229855</v>
      </c>
      <c r="E16" s="306">
        <v>14324865</v>
      </c>
      <c r="F16" s="306">
        <v>51706646911</v>
      </c>
      <c r="G16" s="334">
        <v>14324865</v>
      </c>
      <c r="H16" s="306">
        <v>14324865</v>
      </c>
      <c r="I16" s="334">
        <v>133128796118</v>
      </c>
      <c r="J16" s="334">
        <v>81960686826</v>
      </c>
      <c r="K16" s="334">
        <v>51182434148</v>
      </c>
      <c r="L16" s="334">
        <v>1690151635</v>
      </c>
      <c r="M16" s="334">
        <v>2733501635</v>
      </c>
      <c r="N16" s="334">
        <v>3774987894</v>
      </c>
      <c r="O16" s="334">
        <v>2184791606</v>
      </c>
      <c r="P16" s="334">
        <v>3015337992</v>
      </c>
      <c r="Q16" s="334">
        <v>8861256048</v>
      </c>
      <c r="R16" s="334">
        <v>5287311438</v>
      </c>
      <c r="S16" s="334">
        <v>50694092009</v>
      </c>
      <c r="T16" s="190"/>
    </row>
    <row r="17" spans="1:20" ht="21" customHeight="1">
      <c r="A17" s="333" t="s">
        <v>360</v>
      </c>
      <c r="B17" s="306">
        <v>7876440618</v>
      </c>
      <c r="C17" s="306">
        <v>6142994261</v>
      </c>
      <c r="D17" s="306">
        <v>4986306368</v>
      </c>
      <c r="E17" s="306">
        <v>6387572459</v>
      </c>
      <c r="F17" s="306">
        <v>9254433031</v>
      </c>
      <c r="G17" s="334">
        <v>8869498396</v>
      </c>
      <c r="H17" s="306">
        <v>8352023771</v>
      </c>
      <c r="I17" s="334">
        <v>11342723029</v>
      </c>
      <c r="J17" s="334">
        <v>11464399266</v>
      </c>
      <c r="K17" s="334">
        <v>11966582642</v>
      </c>
      <c r="L17" s="334">
        <v>11885658994</v>
      </c>
      <c r="M17" s="334">
        <v>13422443806</v>
      </c>
      <c r="N17" s="334">
        <v>12443795329</v>
      </c>
      <c r="O17" s="334">
        <v>12284751563</v>
      </c>
      <c r="P17" s="334">
        <v>11449980383</v>
      </c>
      <c r="Q17" s="334">
        <v>34774598623</v>
      </c>
      <c r="R17" s="334">
        <v>46619391274</v>
      </c>
      <c r="S17" s="334">
        <v>292762103850</v>
      </c>
      <c r="T17" s="190"/>
    </row>
    <row r="18" spans="1:20" ht="21" customHeight="1">
      <c r="A18" s="333" t="s">
        <v>361</v>
      </c>
      <c r="B18" s="306">
        <v>965612702871</v>
      </c>
      <c r="C18" s="306">
        <v>898321456659</v>
      </c>
      <c r="D18" s="306">
        <v>992642802921</v>
      </c>
      <c r="E18" s="306">
        <v>1012703721985</v>
      </c>
      <c r="F18" s="306">
        <v>1046871120463</v>
      </c>
      <c r="G18" s="334">
        <v>1054837489674</v>
      </c>
      <c r="H18" s="306">
        <v>889704643082</v>
      </c>
      <c r="I18" s="334">
        <v>951289244099</v>
      </c>
      <c r="J18" s="334">
        <v>936509292729</v>
      </c>
      <c r="K18" s="334">
        <v>947785609778</v>
      </c>
      <c r="L18" s="334">
        <v>956373305901</v>
      </c>
      <c r="M18" s="334">
        <v>967024483470</v>
      </c>
      <c r="N18" s="334">
        <v>988743076092</v>
      </c>
      <c r="O18" s="334">
        <v>1022657030995</v>
      </c>
      <c r="P18" s="334">
        <v>1053254706174</v>
      </c>
      <c r="Q18" s="334">
        <v>975362696979</v>
      </c>
      <c r="R18" s="334">
        <v>915440339308</v>
      </c>
      <c r="S18" s="334">
        <v>924428608221</v>
      </c>
      <c r="T18" s="190"/>
    </row>
    <row r="19" spans="1:20" ht="21" customHeight="1">
      <c r="A19" s="333" t="s">
        <v>362</v>
      </c>
      <c r="B19" s="306">
        <v>5405828085751</v>
      </c>
      <c r="C19" s="306">
        <v>4547866889772</v>
      </c>
      <c r="D19" s="306">
        <v>7944269386928</v>
      </c>
      <c r="E19" s="306">
        <v>2321205430212</v>
      </c>
      <c r="F19" s="306">
        <v>5403500878428</v>
      </c>
      <c r="G19" s="334">
        <v>4510589763962</v>
      </c>
      <c r="H19" s="306">
        <v>5366648543433</v>
      </c>
      <c r="I19" s="334">
        <v>2488523042983</v>
      </c>
      <c r="J19" s="334">
        <v>4895482575975</v>
      </c>
      <c r="K19" s="334">
        <v>7134070840472</v>
      </c>
      <c r="L19" s="334">
        <v>6767652267856</v>
      </c>
      <c r="M19" s="334">
        <v>3610852062924</v>
      </c>
      <c r="N19" s="334">
        <v>5733448974707</v>
      </c>
      <c r="O19" s="334">
        <v>8015295916502</v>
      </c>
      <c r="P19" s="334">
        <v>10577303196108</v>
      </c>
      <c r="Q19" s="334">
        <v>4785528420185</v>
      </c>
      <c r="R19" s="334">
        <v>10916560206565</v>
      </c>
      <c r="S19" s="334">
        <v>9786813621992</v>
      </c>
      <c r="T19" s="190"/>
    </row>
    <row r="20" spans="1:20" ht="21" customHeight="1">
      <c r="A20" s="333" t="s">
        <v>363</v>
      </c>
      <c r="B20" s="306">
        <v>1350716000</v>
      </c>
      <c r="C20" s="306">
        <v>1350716000</v>
      </c>
      <c r="D20" s="306">
        <v>1350716000</v>
      </c>
      <c r="E20" s="306">
        <v>75352248530</v>
      </c>
      <c r="F20" s="306">
        <v>74062172874</v>
      </c>
      <c r="G20" s="334">
        <v>73211986715</v>
      </c>
      <c r="H20" s="306">
        <v>1350716000</v>
      </c>
      <c r="I20" s="334">
        <v>1350716000</v>
      </c>
      <c r="J20" s="334">
        <v>1350716000</v>
      </c>
      <c r="K20" s="334">
        <v>1350716000</v>
      </c>
      <c r="L20" s="334">
        <v>1350716000</v>
      </c>
      <c r="M20" s="334">
        <v>1350716000</v>
      </c>
      <c r="N20" s="334">
        <v>1350716000</v>
      </c>
      <c r="O20" s="334">
        <v>1350716000</v>
      </c>
      <c r="P20" s="334">
        <v>1350716000</v>
      </c>
      <c r="Q20" s="334">
        <v>1350716000</v>
      </c>
      <c r="R20" s="334">
        <v>1350716000</v>
      </c>
      <c r="S20" s="334">
        <v>0</v>
      </c>
      <c r="T20" s="190"/>
    </row>
    <row r="21" spans="1:20" s="33" customFormat="1" ht="21" customHeight="1">
      <c r="A21" s="381" t="s">
        <v>364</v>
      </c>
      <c r="B21" s="384">
        <v>83381256802234</v>
      </c>
      <c r="C21" s="384">
        <v>85608351092332</v>
      </c>
      <c r="D21" s="384">
        <v>87191039490592</v>
      </c>
      <c r="E21" s="384">
        <v>88977399369676</v>
      </c>
      <c r="F21" s="384">
        <v>94847628724805</v>
      </c>
      <c r="G21" s="384">
        <v>95926158031447</v>
      </c>
      <c r="H21" s="384">
        <v>94871733389813</v>
      </c>
      <c r="I21" s="382">
        <v>102235842680189</v>
      </c>
      <c r="J21" s="382">
        <v>103104738986875</v>
      </c>
      <c r="K21" s="382">
        <v>104854282432153</v>
      </c>
      <c r="L21" s="382">
        <v>111898329971254</v>
      </c>
      <c r="M21" s="382">
        <v>115578247112858</v>
      </c>
      <c r="N21" s="382">
        <v>119683312853976</v>
      </c>
      <c r="O21" s="382">
        <v>124245345101678</v>
      </c>
      <c r="P21" s="382">
        <v>132689465217132</v>
      </c>
      <c r="Q21" s="382">
        <v>135457983800835</v>
      </c>
      <c r="R21" s="382">
        <v>144399259921294</v>
      </c>
      <c r="S21" s="382">
        <v>148547973130622</v>
      </c>
      <c r="T21" s="190"/>
    </row>
    <row r="22" spans="1:20" ht="21" customHeight="1">
      <c r="A22" s="343"/>
      <c r="B22" s="344"/>
      <c r="C22" s="345"/>
      <c r="D22" s="344"/>
      <c r="E22" s="343"/>
      <c r="F22" s="345"/>
      <c r="G22" s="345"/>
      <c r="H22" s="344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</row>
    <row r="23" spans="1:20" ht="21" customHeight="1">
      <c r="A23" s="333" t="s">
        <v>365</v>
      </c>
      <c r="B23" s="306">
        <v>20195881707810</v>
      </c>
      <c r="C23" s="306">
        <v>18827337130759</v>
      </c>
      <c r="D23" s="306">
        <v>18208566719800</v>
      </c>
      <c r="E23" s="306">
        <v>18982151464074</v>
      </c>
      <c r="F23" s="306">
        <v>20083655178814</v>
      </c>
      <c r="G23" s="334">
        <v>19888007075041</v>
      </c>
      <c r="H23" s="306">
        <v>19049034768135</v>
      </c>
      <c r="I23" s="306">
        <v>21575964736599</v>
      </c>
      <c r="J23" s="334">
        <v>21906653126677</v>
      </c>
      <c r="K23" s="334">
        <v>22787770673404</v>
      </c>
      <c r="L23" s="334">
        <v>24085203610936</v>
      </c>
      <c r="M23" s="334">
        <v>24376393199166</v>
      </c>
      <c r="N23" s="334">
        <v>25990192008354</v>
      </c>
      <c r="O23" s="334">
        <v>25490299470424</v>
      </c>
      <c r="P23" s="334">
        <v>25540611790061</v>
      </c>
      <c r="Q23" s="334">
        <v>23735689272607</v>
      </c>
      <c r="R23" s="334">
        <v>22112709699480</v>
      </c>
      <c r="S23" s="334">
        <v>20820026131192</v>
      </c>
    </row>
    <row r="24" spans="1:20" ht="21" customHeight="1">
      <c r="A24" s="333" t="s">
        <v>366</v>
      </c>
      <c r="B24" s="306">
        <v>0</v>
      </c>
      <c r="C24" s="306">
        <v>0</v>
      </c>
      <c r="D24" s="306">
        <v>0</v>
      </c>
      <c r="E24" s="306">
        <v>0</v>
      </c>
      <c r="F24" s="306">
        <v>0</v>
      </c>
      <c r="G24" s="306">
        <v>0</v>
      </c>
      <c r="H24" s="306">
        <v>0</v>
      </c>
      <c r="I24" s="306">
        <v>715860724</v>
      </c>
      <c r="J24" s="306">
        <v>0</v>
      </c>
      <c r="K24" s="306">
        <v>613505521</v>
      </c>
      <c r="L24" s="306">
        <v>546375209</v>
      </c>
      <c r="M24" s="306">
        <v>385162305</v>
      </c>
      <c r="N24" s="306">
        <v>386672060</v>
      </c>
      <c r="O24" s="306">
        <v>266142083</v>
      </c>
      <c r="P24" s="306">
        <v>12013379435</v>
      </c>
      <c r="Q24" s="306">
        <v>57481152108</v>
      </c>
      <c r="R24" s="306">
        <v>73572602410</v>
      </c>
      <c r="S24" s="306">
        <v>88095114159</v>
      </c>
    </row>
    <row r="25" spans="1:20" ht="21" customHeight="1">
      <c r="A25" s="333" t="s">
        <v>367</v>
      </c>
      <c r="B25" s="306">
        <v>2203619200561</v>
      </c>
      <c r="C25" s="306">
        <v>2830362818334</v>
      </c>
      <c r="D25" s="306">
        <v>3422801436633</v>
      </c>
      <c r="E25" s="306">
        <v>8762942795642</v>
      </c>
      <c r="F25" s="306">
        <v>9558773684407</v>
      </c>
      <c r="G25" s="306">
        <v>10385469690460</v>
      </c>
      <c r="H25" s="306">
        <v>10285709585165</v>
      </c>
      <c r="I25" s="306">
        <v>11422710584672</v>
      </c>
      <c r="J25" s="306">
        <v>12131072516749</v>
      </c>
      <c r="K25" s="306">
        <v>12087139196994</v>
      </c>
      <c r="L25" s="306">
        <v>12613307257298</v>
      </c>
      <c r="M25" s="306">
        <v>13315505781250</v>
      </c>
      <c r="N25" s="306">
        <v>13613138759934</v>
      </c>
      <c r="O25" s="306">
        <v>14655849775254</v>
      </c>
      <c r="P25" s="306">
        <v>15413342431442</v>
      </c>
      <c r="Q25" s="306">
        <v>16262460590644</v>
      </c>
      <c r="R25" s="306">
        <v>17631971066192</v>
      </c>
      <c r="S25" s="306">
        <v>20974209631696</v>
      </c>
    </row>
    <row r="26" spans="1:20" ht="21" customHeight="1">
      <c r="A26" s="333" t="s">
        <v>368</v>
      </c>
      <c r="B26" s="306">
        <v>13306748929049</v>
      </c>
      <c r="C26" s="306">
        <v>16846506296370</v>
      </c>
      <c r="D26" s="306">
        <v>17824872417756</v>
      </c>
      <c r="E26" s="306">
        <v>14570239677210</v>
      </c>
      <c r="F26" s="306">
        <v>16794746356307</v>
      </c>
      <c r="G26" s="306">
        <v>17372090771681</v>
      </c>
      <c r="H26" s="306">
        <v>17822363633485</v>
      </c>
      <c r="I26" s="306">
        <v>19862228955287</v>
      </c>
      <c r="J26" s="306">
        <v>20264915197877</v>
      </c>
      <c r="K26" s="306">
        <v>17690248088306</v>
      </c>
      <c r="L26" s="306">
        <v>18903786094495</v>
      </c>
      <c r="M26" s="306">
        <v>20178006177290</v>
      </c>
      <c r="N26" s="306">
        <v>19714947903363</v>
      </c>
      <c r="O26" s="306">
        <v>19605310245457</v>
      </c>
      <c r="P26" s="306">
        <v>21632641817324</v>
      </c>
      <c r="Q26" s="306">
        <v>23685143889176</v>
      </c>
      <c r="R26" s="306">
        <v>26391019512022</v>
      </c>
      <c r="S26" s="306">
        <v>23964548595661</v>
      </c>
    </row>
    <row r="27" spans="1:20" ht="21" customHeight="1">
      <c r="A27" s="333" t="s">
        <v>369</v>
      </c>
      <c r="B27" s="306">
        <v>1000652740717</v>
      </c>
      <c r="C27" s="306">
        <v>1637324814494</v>
      </c>
      <c r="D27" s="306">
        <v>2808763538672</v>
      </c>
      <c r="E27" s="306">
        <v>1343998519324</v>
      </c>
      <c r="F27" s="306">
        <v>1172368386024</v>
      </c>
      <c r="G27" s="306">
        <v>1264428473557</v>
      </c>
      <c r="H27" s="306">
        <v>1411032904512</v>
      </c>
      <c r="I27" s="306">
        <v>1276619449672</v>
      </c>
      <c r="J27" s="306">
        <v>1112786072794</v>
      </c>
      <c r="K27" s="306">
        <v>803286635855</v>
      </c>
      <c r="L27" s="306">
        <v>784021943773</v>
      </c>
      <c r="M27" s="306">
        <v>1189379944222</v>
      </c>
      <c r="N27" s="306">
        <v>1273690408269</v>
      </c>
      <c r="O27" s="306">
        <v>1348857784595</v>
      </c>
      <c r="P27" s="306">
        <v>1763676391175</v>
      </c>
      <c r="Q27" s="306">
        <v>1555373442889</v>
      </c>
      <c r="R27" s="306">
        <v>2500669654099</v>
      </c>
      <c r="S27" s="306">
        <v>3752520609980</v>
      </c>
    </row>
    <row r="28" spans="1:20" ht="21" customHeight="1">
      <c r="A28" s="333" t="s">
        <v>370</v>
      </c>
      <c r="B28" s="306">
        <v>32711556249301</v>
      </c>
      <c r="C28" s="306">
        <v>31606100616666</v>
      </c>
      <c r="D28" s="306">
        <v>27722521172568</v>
      </c>
      <c r="E28" s="306">
        <v>32356367857060</v>
      </c>
      <c r="F28" s="306">
        <v>31063428602466</v>
      </c>
      <c r="G28" s="306">
        <v>31273182508947</v>
      </c>
      <c r="H28" s="306">
        <v>29323347634034</v>
      </c>
      <c r="I28" s="306">
        <v>32968126345956</v>
      </c>
      <c r="J28" s="306">
        <v>30302935305726</v>
      </c>
      <c r="K28" s="306">
        <v>31834857574514</v>
      </c>
      <c r="L28" s="306">
        <v>35773325035703</v>
      </c>
      <c r="M28" s="306">
        <v>39593697075383</v>
      </c>
      <c r="N28" s="306">
        <v>39790270943394</v>
      </c>
      <c r="O28" s="306">
        <v>41847388459546</v>
      </c>
      <c r="P28" s="306">
        <v>44729350238683</v>
      </c>
      <c r="Q28" s="306">
        <v>51613068156912</v>
      </c>
      <c r="R28" s="306">
        <v>50440613016455</v>
      </c>
      <c r="S28" s="306">
        <v>52461730954158</v>
      </c>
    </row>
    <row r="29" spans="1:20" ht="21" customHeight="1">
      <c r="A29" s="333" t="s">
        <v>371</v>
      </c>
      <c r="B29" s="306">
        <v>1511806513</v>
      </c>
      <c r="C29" s="306">
        <v>1221899342</v>
      </c>
      <c r="D29" s="306">
        <v>1861591919</v>
      </c>
      <c r="E29" s="306">
        <v>159986117</v>
      </c>
      <c r="F29" s="306">
        <v>1085267486</v>
      </c>
      <c r="G29" s="306">
        <v>571948976</v>
      </c>
      <c r="H29" s="306">
        <v>2502372233</v>
      </c>
      <c r="I29" s="306">
        <v>101932585</v>
      </c>
      <c r="J29" s="306">
        <v>103517661</v>
      </c>
      <c r="K29" s="306">
        <v>103273803</v>
      </c>
      <c r="L29" s="306">
        <v>106322026</v>
      </c>
      <c r="M29" s="306">
        <v>93608631</v>
      </c>
      <c r="N29" s="306">
        <v>426770079</v>
      </c>
      <c r="O29" s="306">
        <v>1064179383</v>
      </c>
      <c r="P29" s="306">
        <v>2110294588</v>
      </c>
      <c r="Q29" s="306">
        <v>87718644</v>
      </c>
      <c r="R29" s="306">
        <v>99088078</v>
      </c>
      <c r="S29" s="306">
        <v>96085409</v>
      </c>
    </row>
    <row r="30" spans="1:20" ht="21" customHeight="1">
      <c r="A30" s="333" t="s">
        <v>372</v>
      </c>
      <c r="B30" s="306">
        <v>36905882227</v>
      </c>
      <c r="C30" s="306">
        <v>36910628156</v>
      </c>
      <c r="D30" s="306">
        <v>37187444729</v>
      </c>
      <c r="E30" s="306">
        <v>42020090065</v>
      </c>
      <c r="F30" s="306">
        <v>62219110376</v>
      </c>
      <c r="G30" s="306">
        <v>56516911302</v>
      </c>
      <c r="H30" s="306">
        <v>52618136213</v>
      </c>
      <c r="I30" s="306">
        <v>46537123971</v>
      </c>
      <c r="J30" s="306">
        <v>42197965837</v>
      </c>
      <c r="K30" s="306">
        <v>46487842218</v>
      </c>
      <c r="L30" s="306">
        <v>45321573939</v>
      </c>
      <c r="M30" s="306">
        <v>44049093461</v>
      </c>
      <c r="N30" s="306">
        <v>44145425764</v>
      </c>
      <c r="O30" s="306">
        <v>53170641751</v>
      </c>
      <c r="P30" s="306">
        <v>47180853889</v>
      </c>
      <c r="Q30" s="306">
        <v>41678835018</v>
      </c>
      <c r="R30" s="306">
        <v>36434909046</v>
      </c>
      <c r="S30" s="306">
        <v>45146344676</v>
      </c>
    </row>
    <row r="31" spans="1:20" ht="21" customHeight="1">
      <c r="A31" s="333" t="s">
        <v>373</v>
      </c>
      <c r="B31" s="306">
        <v>7135983023</v>
      </c>
      <c r="C31" s="306">
        <v>21754465615</v>
      </c>
      <c r="D31" s="306">
        <v>105202781182</v>
      </c>
      <c r="E31" s="306">
        <v>25902907919</v>
      </c>
      <c r="F31" s="306">
        <v>171982470909</v>
      </c>
      <c r="G31" s="306">
        <v>281818440854</v>
      </c>
      <c r="H31" s="306">
        <v>426129586906</v>
      </c>
      <c r="I31" s="306">
        <v>371187733854</v>
      </c>
      <c r="J31" s="306">
        <v>273683279615</v>
      </c>
      <c r="K31" s="306">
        <v>330634393495</v>
      </c>
      <c r="L31" s="306">
        <v>380899395689</v>
      </c>
      <c r="M31" s="306">
        <v>281020988985</v>
      </c>
      <c r="N31" s="306">
        <v>231707704884</v>
      </c>
      <c r="O31" s="306">
        <v>302303052791</v>
      </c>
      <c r="P31" s="306">
        <v>297714636032</v>
      </c>
      <c r="Q31" s="306">
        <v>439113678974</v>
      </c>
      <c r="R31" s="306">
        <v>600136301529</v>
      </c>
      <c r="S31" s="306">
        <v>880779305854</v>
      </c>
    </row>
    <row r="32" spans="1:20" ht="21" customHeight="1">
      <c r="A32" s="333" t="s">
        <v>374</v>
      </c>
      <c r="B32" s="306">
        <v>377004503243</v>
      </c>
      <c r="C32" s="306">
        <v>273580028645</v>
      </c>
      <c r="D32" s="306">
        <v>223168082996</v>
      </c>
      <c r="E32" s="306">
        <v>298524155317</v>
      </c>
      <c r="F32" s="306">
        <v>195348887561</v>
      </c>
      <c r="G32" s="306">
        <v>102909118239</v>
      </c>
      <c r="H32" s="306">
        <v>139641002766</v>
      </c>
      <c r="I32" s="306">
        <v>205116425713</v>
      </c>
      <c r="J32" s="306">
        <v>453812237985</v>
      </c>
      <c r="K32" s="306">
        <v>418110817096</v>
      </c>
      <c r="L32" s="306">
        <v>347032662030</v>
      </c>
      <c r="M32" s="306">
        <v>457224152674</v>
      </c>
      <c r="N32" s="306">
        <v>336485630948</v>
      </c>
      <c r="O32" s="306">
        <v>227253075010</v>
      </c>
      <c r="P32" s="306">
        <v>332469498208</v>
      </c>
      <c r="Q32" s="306">
        <v>86715358267</v>
      </c>
      <c r="R32" s="306">
        <v>75068824566</v>
      </c>
      <c r="S32" s="306">
        <v>30331815238</v>
      </c>
    </row>
    <row r="33" spans="1:19" ht="21" customHeight="1">
      <c r="A33" s="333" t="s">
        <v>375</v>
      </c>
      <c r="B33" s="306">
        <v>6664196921729</v>
      </c>
      <c r="C33" s="306">
        <v>5877598082988</v>
      </c>
      <c r="D33" s="306">
        <v>8476685793890</v>
      </c>
      <c r="E33" s="306">
        <v>4013386977654</v>
      </c>
      <c r="F33" s="306">
        <v>6570960992564</v>
      </c>
      <c r="G33" s="306">
        <v>5929858240562</v>
      </c>
      <c r="H33" s="306">
        <v>6438160918108</v>
      </c>
      <c r="I33" s="306">
        <v>4409348465225</v>
      </c>
      <c r="J33" s="306">
        <v>6755562853853</v>
      </c>
      <c r="K33" s="306">
        <v>8616299907974</v>
      </c>
      <c r="L33" s="306">
        <v>8239393000187</v>
      </c>
      <c r="M33" s="306">
        <v>5212455901483</v>
      </c>
      <c r="N33" s="306">
        <v>7906915771102</v>
      </c>
      <c r="O33" s="306">
        <v>9418005266724</v>
      </c>
      <c r="P33" s="306">
        <v>11514215247811</v>
      </c>
      <c r="Q33" s="306">
        <v>6719963701806</v>
      </c>
      <c r="R33" s="306">
        <v>12740498148058</v>
      </c>
      <c r="S33" s="306">
        <v>12741415902537</v>
      </c>
    </row>
    <row r="34" spans="1:19" ht="21" customHeight="1">
      <c r="A34" s="333" t="s">
        <v>376</v>
      </c>
      <c r="B34" s="306">
        <v>0</v>
      </c>
      <c r="C34" s="306">
        <v>0</v>
      </c>
      <c r="D34" s="306">
        <v>0</v>
      </c>
      <c r="E34" s="306">
        <v>39734144444</v>
      </c>
      <c r="F34" s="306">
        <v>37888641473</v>
      </c>
      <c r="G34" s="306">
        <v>39331054564</v>
      </c>
      <c r="H34" s="306">
        <v>0</v>
      </c>
      <c r="I34" s="306">
        <v>0</v>
      </c>
      <c r="J34" s="306">
        <v>0</v>
      </c>
      <c r="K34" s="306">
        <v>0</v>
      </c>
      <c r="L34" s="306">
        <v>0</v>
      </c>
      <c r="M34" s="306">
        <v>0</v>
      </c>
      <c r="N34" s="306">
        <v>0</v>
      </c>
      <c r="O34" s="306">
        <v>0</v>
      </c>
      <c r="P34" s="306">
        <v>0</v>
      </c>
      <c r="Q34" s="306">
        <v>0</v>
      </c>
      <c r="R34" s="306">
        <v>0</v>
      </c>
      <c r="S34" s="306">
        <v>0</v>
      </c>
    </row>
    <row r="35" spans="1:19" s="33" customFormat="1" ht="21" customHeight="1">
      <c r="A35" s="381" t="s">
        <v>377</v>
      </c>
      <c r="B35" s="384">
        <v>76505213924173</v>
      </c>
      <c r="C35" s="384">
        <v>77958696781369</v>
      </c>
      <c r="D35" s="384">
        <v>78831630980145</v>
      </c>
      <c r="E35" s="384">
        <v>80435428574826</v>
      </c>
      <c r="F35" s="384">
        <v>85712457578387</v>
      </c>
      <c r="G35" s="384">
        <v>86594184234183</v>
      </c>
      <c r="H35" s="384">
        <v>84950540541557</v>
      </c>
      <c r="I35" s="384">
        <v>92138657614258</v>
      </c>
      <c r="J35" s="384">
        <v>93243722074774</v>
      </c>
      <c r="K35" s="384">
        <v>94615551909180</v>
      </c>
      <c r="L35" s="384">
        <v>101172943271285</v>
      </c>
      <c r="M35" s="384">
        <v>104648211084850</v>
      </c>
      <c r="N35" s="384">
        <v>108902307998151</v>
      </c>
      <c r="O35" s="384">
        <v>112949768093018</v>
      </c>
      <c r="P35" s="384">
        <v>121285326578648</v>
      </c>
      <c r="Q35" s="384">
        <v>124196775797045</v>
      </c>
      <c r="R35" s="384">
        <v>132602792821935</v>
      </c>
      <c r="S35" s="384">
        <v>135758900490560</v>
      </c>
    </row>
    <row r="36" spans="1:19" ht="21" customHeight="1">
      <c r="A36" s="343"/>
      <c r="B36" s="344"/>
      <c r="C36" s="345"/>
      <c r="D36" s="344"/>
      <c r="E36" s="343"/>
      <c r="F36" s="345"/>
      <c r="G36" s="345"/>
      <c r="H36" s="344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</row>
    <row r="37" spans="1:19" ht="21" customHeight="1">
      <c r="A37" s="381" t="s">
        <v>378</v>
      </c>
      <c r="B37" s="384">
        <v>3872813306032</v>
      </c>
      <c r="C37" s="384">
        <v>4359624490011</v>
      </c>
      <c r="D37" s="384">
        <v>4830574684066</v>
      </c>
      <c r="E37" s="384">
        <v>4943971489302</v>
      </c>
      <c r="F37" s="384">
        <v>6670311310699</v>
      </c>
      <c r="G37" s="384">
        <v>8816858044767</v>
      </c>
      <c r="H37" s="384">
        <v>9405865816596</v>
      </c>
      <c r="I37" s="384">
        <v>9581907410678</v>
      </c>
      <c r="J37" s="384">
        <v>9295182944790</v>
      </c>
      <c r="K37" s="384">
        <v>9633901394149</v>
      </c>
      <c r="L37" s="384">
        <v>9980732945800</v>
      </c>
      <c r="M37" s="384">
        <v>10094442922761</v>
      </c>
      <c r="N37" s="384">
        <v>9741923953124</v>
      </c>
      <c r="O37" s="384">
        <v>10207544950350</v>
      </c>
      <c r="P37" s="384">
        <v>10360955200309</v>
      </c>
      <c r="Q37" s="384">
        <v>10322630113710</v>
      </c>
      <c r="R37" s="384">
        <v>10709523348573</v>
      </c>
      <c r="S37" s="384">
        <v>11303438998001</v>
      </c>
    </row>
    <row r="38" spans="1:19" ht="21" customHeight="1">
      <c r="A38" s="333" t="s">
        <v>379</v>
      </c>
      <c r="B38" s="306">
        <v>71442909000</v>
      </c>
      <c r="C38" s="306">
        <v>71442909000</v>
      </c>
      <c r="D38" s="306">
        <v>71442909000</v>
      </c>
      <c r="E38" s="306">
        <v>71442909000</v>
      </c>
      <c r="F38" s="306">
        <v>94779383000</v>
      </c>
      <c r="G38" s="306">
        <v>113093927000</v>
      </c>
      <c r="H38" s="306">
        <v>113093927000</v>
      </c>
      <c r="I38" s="306">
        <v>113093927000</v>
      </c>
      <c r="J38" s="306">
        <v>113093927000</v>
      </c>
      <c r="K38" s="306">
        <v>113093927000</v>
      </c>
      <c r="L38" s="306">
        <v>113093927000</v>
      </c>
      <c r="M38" s="306">
        <v>113093927000</v>
      </c>
      <c r="N38" s="306">
        <v>113093927000</v>
      </c>
      <c r="O38" s="306">
        <v>113093927000</v>
      </c>
      <c r="P38" s="306">
        <v>113093927000</v>
      </c>
      <c r="Q38" s="306">
        <v>113093927000</v>
      </c>
      <c r="R38" s="306">
        <v>113093927000</v>
      </c>
      <c r="S38" s="306">
        <v>113093927000</v>
      </c>
    </row>
    <row r="39" spans="1:19" ht="21" customHeight="1">
      <c r="A39" s="333" t="s">
        <v>380</v>
      </c>
      <c r="B39" s="306">
        <v>593185246000</v>
      </c>
      <c r="C39" s="306">
        <v>593198566161</v>
      </c>
      <c r="D39" s="306">
        <v>593198566161</v>
      </c>
      <c r="E39" s="306">
        <v>593198566161</v>
      </c>
      <c r="F39" s="306">
        <v>593198566161</v>
      </c>
      <c r="G39" s="306">
        <v>593207756004</v>
      </c>
      <c r="H39" s="306">
        <v>593207756004</v>
      </c>
      <c r="I39" s="306">
        <v>593207756004</v>
      </c>
      <c r="J39" s="306">
        <v>792344136004</v>
      </c>
      <c r="K39" s="306">
        <v>792344136004</v>
      </c>
      <c r="L39" s="306">
        <v>891960616004</v>
      </c>
      <c r="M39" s="306">
        <v>891960616004</v>
      </c>
      <c r="N39" s="306">
        <v>892823657259</v>
      </c>
      <c r="O39" s="306">
        <v>972752309887</v>
      </c>
      <c r="P39" s="306">
        <v>1102412559567</v>
      </c>
      <c r="Q39" s="306">
        <v>1002463699699</v>
      </c>
      <c r="R39" s="306">
        <v>1161969710099</v>
      </c>
      <c r="S39" s="306">
        <v>1161978776624</v>
      </c>
    </row>
    <row r="40" spans="1:19" ht="21" customHeight="1">
      <c r="A40" s="333" t="s">
        <v>381</v>
      </c>
      <c r="B40" s="306">
        <v>63401589880</v>
      </c>
      <c r="C40" s="306">
        <v>63530027768</v>
      </c>
      <c r="D40" s="306">
        <v>62869227548</v>
      </c>
      <c r="E40" s="306">
        <v>63236378044</v>
      </c>
      <c r="F40" s="306">
        <v>1305982778483</v>
      </c>
      <c r="G40" s="306">
        <v>2275754419824</v>
      </c>
      <c r="H40" s="306">
        <v>2275754419824</v>
      </c>
      <c r="I40" s="306">
        <v>125354977096</v>
      </c>
      <c r="J40" s="306">
        <v>125507312832</v>
      </c>
      <c r="K40" s="306">
        <v>124846559730</v>
      </c>
      <c r="L40" s="306">
        <v>124846559730</v>
      </c>
      <c r="M40" s="306">
        <v>124846559730</v>
      </c>
      <c r="N40" s="306">
        <v>124846559730</v>
      </c>
      <c r="O40" s="306">
        <v>124802859730</v>
      </c>
      <c r="P40" s="306">
        <v>124802859730</v>
      </c>
      <c r="Q40" s="306">
        <v>124802859730</v>
      </c>
      <c r="R40" s="306">
        <v>124802859730</v>
      </c>
      <c r="S40" s="306">
        <v>124766859730</v>
      </c>
    </row>
    <row r="41" spans="1:19" ht="21" customHeight="1">
      <c r="A41" s="333" t="s">
        <v>382</v>
      </c>
      <c r="B41" s="306">
        <v>587565589</v>
      </c>
      <c r="C41" s="306">
        <v>10000051487</v>
      </c>
      <c r="D41" s="306">
        <v>59960781593</v>
      </c>
      <c r="E41" s="306">
        <v>13236387265</v>
      </c>
      <c r="F41" s="306">
        <v>215927865010</v>
      </c>
      <c r="G41" s="306">
        <v>688395530415</v>
      </c>
      <c r="H41" s="306">
        <v>506279952965</v>
      </c>
      <c r="I41" s="306">
        <v>586567536393</v>
      </c>
      <c r="J41" s="306">
        <v>854198478307</v>
      </c>
      <c r="K41" s="306">
        <v>799181963986</v>
      </c>
      <c r="L41" s="306">
        <v>534400600689</v>
      </c>
      <c r="M41" s="306">
        <v>306706776424</v>
      </c>
      <c r="N41" s="306">
        <v>543430873074</v>
      </c>
      <c r="O41" s="306">
        <v>759837616024</v>
      </c>
      <c r="P41" s="306">
        <v>925611739091</v>
      </c>
      <c r="Q41" s="306">
        <v>540062652848</v>
      </c>
      <c r="R41" s="306">
        <v>838935324298</v>
      </c>
      <c r="S41" s="306">
        <v>593113243748</v>
      </c>
    </row>
    <row r="42" spans="1:19" ht="21" customHeight="1">
      <c r="A42" s="333" t="s">
        <v>383</v>
      </c>
      <c r="B42" s="306">
        <v>-75182291454</v>
      </c>
      <c r="C42" s="306">
        <v>143874247899</v>
      </c>
      <c r="D42" s="306">
        <v>212023437429</v>
      </c>
      <c r="E42" s="306">
        <v>120980072540</v>
      </c>
      <c r="F42" s="306">
        <v>217894807277</v>
      </c>
      <c r="G42" s="306">
        <v>406245626117</v>
      </c>
      <c r="H42" s="306">
        <v>609540893947</v>
      </c>
      <c r="I42" s="306">
        <v>553028906082</v>
      </c>
      <c r="J42" s="306">
        <v>69733730981</v>
      </c>
      <c r="K42" s="306">
        <v>-17474831248</v>
      </c>
      <c r="L42" s="306">
        <v>-144820898343</v>
      </c>
      <c r="M42" s="306">
        <v>-132859294421</v>
      </c>
      <c r="N42" s="306">
        <v>-578240012681</v>
      </c>
      <c r="O42" s="306">
        <v>-621250909171</v>
      </c>
      <c r="P42" s="306">
        <v>-854380442432</v>
      </c>
      <c r="Q42" s="306">
        <v>-695727605072</v>
      </c>
      <c r="R42" s="306">
        <v>-717216310082</v>
      </c>
      <c r="S42" s="306">
        <v>-439406399432</v>
      </c>
    </row>
    <row r="43" spans="1:19" ht="21" customHeight="1">
      <c r="A43" s="333" t="s">
        <v>384</v>
      </c>
      <c r="B43" s="306">
        <v>3219378287017</v>
      </c>
      <c r="C43" s="306">
        <v>3477578687696</v>
      </c>
      <c r="D43" s="306">
        <v>3831079762335</v>
      </c>
      <c r="E43" s="306">
        <v>4081877176292</v>
      </c>
      <c r="F43" s="306">
        <v>4242527910768</v>
      </c>
      <c r="G43" s="306">
        <v>4740160785407</v>
      </c>
      <c r="H43" s="306">
        <v>5307988866856</v>
      </c>
      <c r="I43" s="306">
        <v>7610654308103</v>
      </c>
      <c r="J43" s="306">
        <v>7340305359666</v>
      </c>
      <c r="K43" s="306">
        <v>7821909638677</v>
      </c>
      <c r="L43" s="306">
        <v>8461252140720</v>
      </c>
      <c r="M43" s="306">
        <v>8790694338024</v>
      </c>
      <c r="N43" s="306">
        <v>8645968948742</v>
      </c>
      <c r="O43" s="306">
        <v>8858309146880</v>
      </c>
      <c r="P43" s="306">
        <v>8949414557353</v>
      </c>
      <c r="Q43" s="306">
        <v>9237934579505</v>
      </c>
      <c r="R43" s="306">
        <v>9187937837528</v>
      </c>
      <c r="S43" s="306">
        <v>9749892590331</v>
      </c>
    </row>
    <row r="44" spans="1:19" ht="21" customHeight="1">
      <c r="A44" s="343" t="s">
        <v>385</v>
      </c>
      <c r="B44" s="344">
        <v>3003229572029</v>
      </c>
      <c r="C44" s="344">
        <v>3290029820952</v>
      </c>
      <c r="D44" s="344">
        <v>3528833826381</v>
      </c>
      <c r="E44" s="344">
        <v>3597999305548</v>
      </c>
      <c r="F44" s="344">
        <v>2464859835719</v>
      </c>
      <c r="G44" s="344">
        <v>515115752497</v>
      </c>
      <c r="H44" s="344">
        <v>515327031660</v>
      </c>
      <c r="I44" s="344">
        <v>515277655253</v>
      </c>
      <c r="J44" s="344">
        <v>565833967311</v>
      </c>
      <c r="K44" s="344">
        <v>604829128824</v>
      </c>
      <c r="L44" s="344">
        <v>744653754169</v>
      </c>
      <c r="M44" s="344">
        <v>835593105247</v>
      </c>
      <c r="N44" s="344">
        <v>1039080902701</v>
      </c>
      <c r="O44" s="344">
        <v>1088032058310</v>
      </c>
      <c r="P44" s="344">
        <v>1043183438175</v>
      </c>
      <c r="Q44" s="344">
        <v>938577890080</v>
      </c>
      <c r="R44" s="344">
        <v>1086943750786</v>
      </c>
      <c r="S44" s="344">
        <v>1485633642061</v>
      </c>
    </row>
    <row r="45" spans="1:19" s="33" customFormat="1" ht="21" customHeight="1">
      <c r="A45" s="381" t="s">
        <v>386</v>
      </c>
      <c r="B45" s="384">
        <v>6876042878061</v>
      </c>
      <c r="C45" s="384">
        <v>7649654310963</v>
      </c>
      <c r="D45" s="384">
        <v>8359408510447</v>
      </c>
      <c r="E45" s="384">
        <v>8541970794850</v>
      </c>
      <c r="F45" s="384">
        <v>9135171146418</v>
      </c>
      <c r="G45" s="384">
        <v>9331973797264</v>
      </c>
      <c r="H45" s="384">
        <v>9921192848256</v>
      </c>
      <c r="I45" s="384">
        <v>10097185065931</v>
      </c>
      <c r="J45" s="384">
        <v>9861016912101</v>
      </c>
      <c r="K45" s="384">
        <v>10238730522973</v>
      </c>
      <c r="L45" s="384">
        <v>10725386699969</v>
      </c>
      <c r="M45" s="384">
        <v>10930036028008</v>
      </c>
      <c r="N45" s="384">
        <v>10781004855825</v>
      </c>
      <c r="O45" s="384">
        <v>11295577008660</v>
      </c>
      <c r="P45" s="384">
        <v>11404138638484</v>
      </c>
      <c r="Q45" s="384">
        <v>11261208003790</v>
      </c>
      <c r="R45" s="384">
        <v>11796467099359</v>
      </c>
      <c r="S45" s="384">
        <v>12789072640062</v>
      </c>
    </row>
    <row r="46" spans="1:19" s="33" customFormat="1" ht="21" customHeight="1">
      <c r="A46" s="385" t="s">
        <v>387</v>
      </c>
      <c r="B46" s="386">
        <v>83381256802234</v>
      </c>
      <c r="C46" s="386">
        <v>85608351092332</v>
      </c>
      <c r="D46" s="386">
        <v>87191039490592</v>
      </c>
      <c r="E46" s="386">
        <v>88977399369676</v>
      </c>
      <c r="F46" s="386">
        <v>94847628724805</v>
      </c>
      <c r="G46" s="386">
        <v>95926158031447</v>
      </c>
      <c r="H46" s="386">
        <v>94871733389813</v>
      </c>
      <c r="I46" s="386">
        <v>102235842680189</v>
      </c>
      <c r="J46" s="386">
        <v>103104738986875</v>
      </c>
      <c r="K46" s="386">
        <v>104854282432153</v>
      </c>
      <c r="L46" s="386">
        <v>111898329971254</v>
      </c>
      <c r="M46" s="386">
        <v>115578247112858</v>
      </c>
      <c r="N46" s="386">
        <v>119683312853976</v>
      </c>
      <c r="O46" s="386">
        <v>124245345101678</v>
      </c>
      <c r="P46" s="386">
        <v>132689465217132</v>
      </c>
      <c r="Q46" s="386">
        <v>135457983800835</v>
      </c>
      <c r="R46" s="386">
        <v>144399259921294</v>
      </c>
      <c r="S46" s="386">
        <v>148547973130622</v>
      </c>
    </row>
    <row r="47" spans="1:19" ht="15.75">
      <c r="A47" s="102" t="s">
        <v>462</v>
      </c>
      <c r="B47" s="102"/>
      <c r="C47" s="102"/>
      <c r="D47" s="102"/>
      <c r="E47" s="102"/>
      <c r="F47" s="102"/>
      <c r="G47" s="102"/>
      <c r="H47" s="102"/>
      <c r="I47" s="102"/>
      <c r="J47" s="162"/>
      <c r="K47" s="162"/>
      <c r="L47" s="162"/>
      <c r="M47" s="162"/>
      <c r="N47" s="162"/>
      <c r="O47" s="162"/>
      <c r="P47" s="162"/>
      <c r="Q47" s="162"/>
      <c r="R47" s="162"/>
      <c r="S47" s="162"/>
    </row>
    <row r="48" spans="1:19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51" spans="2:19" ht="17.25">
      <c r="B51" s="445"/>
      <c r="C51" s="445"/>
      <c r="D51" s="445"/>
      <c r="E51" s="445"/>
      <c r="F51" s="445"/>
      <c r="G51" s="445"/>
      <c r="H51" s="445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</row>
    <row r="52" spans="2:19" ht="17.25">
      <c r="B52" s="445"/>
      <c r="C52" s="445"/>
      <c r="D52" s="445"/>
      <c r="E52" s="445"/>
      <c r="F52" s="445"/>
      <c r="G52" s="445"/>
      <c r="H52" s="445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</row>
    <row r="53" spans="2:19" ht="17.25">
      <c r="B53" s="445"/>
      <c r="C53" s="445"/>
      <c r="D53" s="445"/>
      <c r="E53" s="445"/>
      <c r="F53" s="445"/>
      <c r="G53" s="445"/>
      <c r="H53" s="445"/>
      <c r="I53" s="445"/>
      <c r="J53" s="445"/>
      <c r="K53" s="445"/>
      <c r="L53" s="445"/>
      <c r="M53" s="445"/>
      <c r="N53" s="445"/>
      <c r="O53" s="445"/>
      <c r="P53" s="445"/>
      <c r="Q53" s="445"/>
      <c r="R53" s="445"/>
      <c r="S53" s="445"/>
    </row>
    <row r="54" spans="2:19" ht="17.25">
      <c r="B54" s="445"/>
      <c r="C54" s="445"/>
      <c r="D54" s="445"/>
      <c r="E54" s="445"/>
      <c r="F54" s="445"/>
      <c r="G54" s="445"/>
      <c r="H54" s="445"/>
      <c r="I54" s="445"/>
      <c r="J54" s="445"/>
      <c r="K54" s="445"/>
      <c r="L54" s="445"/>
      <c r="M54" s="445"/>
      <c r="N54" s="445"/>
      <c r="O54" s="445"/>
      <c r="P54" s="445"/>
      <c r="Q54" s="445"/>
      <c r="R54" s="445"/>
      <c r="S54" s="445"/>
    </row>
    <row r="55" spans="2:19" ht="17.25">
      <c r="B55" s="445"/>
      <c r="C55" s="445"/>
      <c r="D55" s="445"/>
      <c r="E55" s="445"/>
      <c r="F55" s="445"/>
      <c r="G55" s="445"/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</row>
    <row r="56" spans="2:19" ht="17.25">
      <c r="B56" s="445"/>
      <c r="C56" s="445"/>
      <c r="D56" s="445"/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</row>
    <row r="57" spans="2:19" ht="17.25">
      <c r="B57" s="445"/>
      <c r="C57" s="445"/>
      <c r="D57" s="445"/>
      <c r="E57" s="445"/>
      <c r="F57" s="445"/>
      <c r="G57" s="445"/>
      <c r="H57" s="445"/>
      <c r="I57" s="445"/>
      <c r="J57" s="445"/>
      <c r="K57" s="445"/>
      <c r="L57" s="445"/>
      <c r="M57" s="445"/>
      <c r="N57" s="445"/>
      <c r="O57" s="445"/>
      <c r="P57" s="445"/>
      <c r="Q57" s="445"/>
      <c r="R57" s="445"/>
      <c r="S57" s="445"/>
    </row>
    <row r="58" spans="2:19" ht="17.25">
      <c r="B58" s="445"/>
      <c r="C58" s="445"/>
      <c r="D58" s="445"/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5"/>
      <c r="Q58" s="445"/>
      <c r="R58" s="445"/>
      <c r="S58" s="445"/>
    </row>
    <row r="59" spans="2:19" ht="17.25">
      <c r="B59" s="445"/>
      <c r="C59" s="445"/>
      <c r="D59" s="445"/>
      <c r="E59" s="445"/>
      <c r="F59" s="445"/>
      <c r="G59" s="445"/>
      <c r="H59" s="445"/>
      <c r="I59" s="445"/>
      <c r="J59" s="445"/>
      <c r="K59" s="445"/>
      <c r="L59" s="445"/>
      <c r="M59" s="445"/>
      <c r="N59" s="445"/>
      <c r="O59" s="445"/>
      <c r="P59" s="445"/>
      <c r="Q59" s="445"/>
      <c r="R59" s="445"/>
      <c r="S59" s="445"/>
    </row>
    <row r="60" spans="2:19" ht="17.25">
      <c r="B60" s="445"/>
      <c r="C60" s="445"/>
      <c r="D60" s="445"/>
      <c r="E60" s="445"/>
      <c r="F60" s="445"/>
      <c r="G60" s="445"/>
      <c r="H60" s="445"/>
      <c r="I60" s="445"/>
      <c r="J60" s="445"/>
      <c r="K60" s="445"/>
      <c r="L60" s="445"/>
      <c r="M60" s="445"/>
      <c r="N60" s="445"/>
      <c r="O60" s="445"/>
      <c r="P60" s="445"/>
      <c r="Q60" s="445"/>
      <c r="R60" s="445"/>
      <c r="S60" s="445"/>
    </row>
    <row r="61" spans="2:19" ht="17.25">
      <c r="B61" s="445"/>
      <c r="C61" s="445"/>
      <c r="D61" s="445"/>
      <c r="E61" s="445"/>
      <c r="F61" s="445"/>
      <c r="G61" s="445"/>
      <c r="H61" s="445"/>
      <c r="I61" s="445"/>
      <c r="J61" s="445"/>
      <c r="K61" s="445"/>
      <c r="L61" s="445"/>
      <c r="M61" s="445"/>
      <c r="N61" s="445"/>
      <c r="O61" s="445"/>
      <c r="P61" s="445"/>
      <c r="Q61" s="445"/>
      <c r="R61" s="445"/>
      <c r="S61" s="445"/>
    </row>
    <row r="62" spans="2:19" ht="17.25">
      <c r="B62" s="445"/>
      <c r="C62" s="445"/>
      <c r="D62" s="445"/>
      <c r="E62" s="445"/>
      <c r="F62" s="445"/>
      <c r="G62" s="445"/>
      <c r="H62" s="445"/>
      <c r="I62" s="445"/>
      <c r="J62" s="445"/>
      <c r="K62" s="445"/>
      <c r="L62" s="445"/>
      <c r="M62" s="445"/>
      <c r="N62" s="445"/>
      <c r="O62" s="445"/>
      <c r="P62" s="445"/>
      <c r="Q62" s="445"/>
      <c r="R62" s="445"/>
      <c r="S62" s="445"/>
    </row>
    <row r="63" spans="2:19" ht="17.25">
      <c r="B63" s="445"/>
      <c r="C63" s="445"/>
      <c r="D63" s="445"/>
      <c r="E63" s="445"/>
      <c r="F63" s="445"/>
      <c r="G63" s="445"/>
      <c r="H63" s="445"/>
      <c r="I63" s="445"/>
      <c r="J63" s="445"/>
      <c r="K63" s="445"/>
      <c r="L63" s="445"/>
      <c r="M63" s="445"/>
      <c r="N63" s="445"/>
      <c r="O63" s="445"/>
      <c r="P63" s="445"/>
      <c r="Q63" s="445"/>
      <c r="R63" s="445"/>
      <c r="S63" s="445"/>
    </row>
    <row r="64" spans="2:19" ht="17.25">
      <c r="B64" s="445"/>
      <c r="C64" s="445"/>
      <c r="D64" s="445"/>
      <c r="E64" s="445"/>
      <c r="F64" s="445"/>
      <c r="G64" s="445"/>
      <c r="H64" s="445"/>
      <c r="I64" s="445"/>
      <c r="J64" s="445"/>
      <c r="K64" s="445"/>
      <c r="L64" s="445"/>
      <c r="M64" s="445"/>
      <c r="N64" s="445"/>
      <c r="O64" s="445"/>
      <c r="P64" s="445"/>
      <c r="Q64" s="445"/>
      <c r="R64" s="445"/>
      <c r="S64" s="445"/>
    </row>
  </sheetData>
  <phoneticPr fontId="21" type="noConversion"/>
  <pageMargins left="0.7" right="0.7" top="0.75" bottom="0.75" header="0.3" footer="0.3"/>
  <pageSetup paperSize="9" scale="4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  <pageSetUpPr fitToPage="1"/>
  </sheetPr>
  <dimension ref="A1:AA50"/>
  <sheetViews>
    <sheetView view="pageBreakPreview" zoomScaleNormal="85" zoomScaleSheetLayoutView="100" workbookViewId="0">
      <pane xSplit="4" topLeftCell="M1" activePane="topRight" state="frozen"/>
      <selection activeCell="H27" activeCellId="1" sqref="R7 H27"/>
      <selection pane="topRight" activeCell="AA27" sqref="AA27"/>
    </sheetView>
  </sheetViews>
  <sheetFormatPr defaultColWidth="8.88671875" defaultRowHeight="13.5"/>
  <cols>
    <col min="1" max="1" width="9.109375" style="109" customWidth="1"/>
    <col min="2" max="2" width="5.5546875" style="109" customWidth="1"/>
    <col min="3" max="3" width="6.109375" style="109" customWidth="1"/>
    <col min="4" max="4" width="8.21875" style="109" customWidth="1"/>
    <col min="5" max="12" width="9.6640625" style="109" hidden="1" customWidth="1"/>
    <col min="13" max="17" width="9.6640625" style="109" customWidth="1"/>
    <col min="18" max="22" width="9.88671875" style="109" customWidth="1"/>
    <col min="23" max="23" width="7.33203125" style="109" customWidth="1"/>
    <col min="24" max="16384" width="8.88671875" style="109"/>
  </cols>
  <sheetData>
    <row r="1" spans="1:27" ht="24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</row>
    <row r="2" spans="1:27" ht="35.25" customHeight="1">
      <c r="A2" s="371" t="s">
        <v>310</v>
      </c>
      <c r="B2" s="108"/>
      <c r="C2" s="115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27" ht="14.25" thickBo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</row>
    <row r="4" spans="1:27" s="102" customFormat="1" ht="21.75" customHeight="1" thickTop="1">
      <c r="A4" s="1096" t="s">
        <v>392</v>
      </c>
      <c r="B4" s="1096"/>
      <c r="C4" s="1096"/>
      <c r="D4" s="1096"/>
      <c r="E4" s="664" t="s">
        <v>512</v>
      </c>
      <c r="F4" s="664" t="s">
        <v>511</v>
      </c>
      <c r="G4" s="664" t="s">
        <v>510</v>
      </c>
      <c r="H4" s="664">
        <v>2022</v>
      </c>
      <c r="I4" s="664" t="s">
        <v>389</v>
      </c>
      <c r="J4" s="664" t="s">
        <v>509</v>
      </c>
      <c r="K4" s="664" t="s">
        <v>508</v>
      </c>
      <c r="L4" s="664">
        <v>2023</v>
      </c>
      <c r="M4" s="664" t="s">
        <v>563</v>
      </c>
      <c r="N4" s="664" t="s">
        <v>609</v>
      </c>
      <c r="O4" s="664" t="s">
        <v>640</v>
      </c>
      <c r="P4" s="589">
        <v>2024</v>
      </c>
      <c r="Q4" s="588" t="s">
        <v>649</v>
      </c>
      <c r="R4" s="588" t="s">
        <v>666</v>
      </c>
      <c r="S4" s="588" t="s">
        <v>675</v>
      </c>
      <c r="T4" s="589">
        <v>2025</v>
      </c>
      <c r="U4" s="589" t="s">
        <v>688</v>
      </c>
      <c r="V4" s="670" t="s">
        <v>714</v>
      </c>
      <c r="W4" s="387" t="s">
        <v>286</v>
      </c>
    </row>
    <row r="5" spans="1:27" s="497" customFormat="1" ht="21.75" customHeight="1">
      <c r="A5" s="494" t="s">
        <v>301</v>
      </c>
      <c r="B5" s="494"/>
      <c r="C5" s="494"/>
      <c r="D5" s="494"/>
      <c r="E5" s="495">
        <v>3348.05008361</v>
      </c>
      <c r="F5" s="495">
        <v>7467.3135940700004</v>
      </c>
      <c r="G5" s="495">
        <v>11546.74835324</v>
      </c>
      <c r="H5" s="495">
        <v>13985.54645025</v>
      </c>
      <c r="I5" s="495">
        <v>4009.8856061299998</v>
      </c>
      <c r="J5" s="495">
        <v>7793.0222037699996</v>
      </c>
      <c r="K5" s="495">
        <v>12337.046268669999</v>
      </c>
      <c r="L5" s="594">
        <v>14970.572607329999</v>
      </c>
      <c r="M5" s="594">
        <v>4579.1326620299997</v>
      </c>
      <c r="N5" s="594">
        <v>9411.4097692899995</v>
      </c>
      <c r="O5" s="595">
        <v>14042.99373014</v>
      </c>
      <c r="P5" s="595">
        <v>15336.44053333</v>
      </c>
      <c r="Q5" s="595">
        <v>3598.40075626</v>
      </c>
      <c r="R5" s="595">
        <v>7241.9194596699999</v>
      </c>
      <c r="S5" s="595">
        <v>10242.494858780001</v>
      </c>
      <c r="T5" s="595">
        <v>14254.1127889</v>
      </c>
      <c r="U5" s="712">
        <v>3345.6504312400002</v>
      </c>
      <c r="V5" s="646">
        <v>6974.5571836500003</v>
      </c>
      <c r="W5" s="547">
        <v>-3.6918703322914692E-2</v>
      </c>
      <c r="X5" s="496"/>
      <c r="Y5" s="496"/>
      <c r="Z5" s="496"/>
      <c r="AA5" s="496"/>
    </row>
    <row r="6" spans="1:27" s="497" customFormat="1" ht="21.75" customHeight="1">
      <c r="A6" s="498"/>
      <c r="B6" s="499" t="s">
        <v>303</v>
      </c>
      <c r="C6" s="500"/>
      <c r="D6" s="500"/>
      <c r="E6" s="501">
        <v>3136.7016715700001</v>
      </c>
      <c r="F6" s="501">
        <v>7020.6204390000003</v>
      </c>
      <c r="G6" s="501">
        <v>11185.332141829998</v>
      </c>
      <c r="H6" s="501">
        <v>13545.652865039996</v>
      </c>
      <c r="I6" s="501">
        <v>3678.7842725800019</v>
      </c>
      <c r="J6" s="501">
        <v>7177.5375346099972</v>
      </c>
      <c r="K6" s="502">
        <v>11629.685903149997</v>
      </c>
      <c r="L6" s="596">
        <v>14717.405515579998</v>
      </c>
      <c r="M6" s="596">
        <v>4265.0170545799983</v>
      </c>
      <c r="N6" s="596">
        <v>8688.3945700399981</v>
      </c>
      <c r="O6" s="597">
        <v>13199.520025430002</v>
      </c>
      <c r="P6" s="597">
        <v>14766.616848200001</v>
      </c>
      <c r="Q6" s="629">
        <v>3687.8337719400015</v>
      </c>
      <c r="R6" s="597">
        <v>6996.3404983600012</v>
      </c>
      <c r="S6" s="597">
        <v>10086.38460625</v>
      </c>
      <c r="T6" s="597">
        <v>14339.738125379996</v>
      </c>
      <c r="U6" s="630">
        <v>3156.9911241900018</v>
      </c>
      <c r="V6" s="647">
        <v>6488.8893362100007</v>
      </c>
      <c r="W6" s="548">
        <v>-7.2530941321245157E-2</v>
      </c>
      <c r="X6" s="496"/>
      <c r="Y6" s="496"/>
      <c r="Z6" s="496"/>
      <c r="AA6" s="496"/>
    </row>
    <row r="7" spans="1:27" ht="21.75" customHeight="1">
      <c r="A7" s="305"/>
      <c r="B7" s="308"/>
      <c r="C7" s="186" t="s">
        <v>575</v>
      </c>
      <c r="D7" s="186"/>
      <c r="E7" s="114">
        <v>2028.8187018199999</v>
      </c>
      <c r="F7" s="114">
        <v>4144.3160687400004</v>
      </c>
      <c r="G7" s="114">
        <v>6342.63883489</v>
      </c>
      <c r="H7" s="114">
        <v>8977.7380622700002</v>
      </c>
      <c r="I7" s="114">
        <v>2566.9530210100002</v>
      </c>
      <c r="J7" s="114">
        <v>5150.1417100999997</v>
      </c>
      <c r="K7" s="114">
        <v>7842.8041374499999</v>
      </c>
      <c r="L7" s="598">
        <v>10697.598887820001</v>
      </c>
      <c r="M7" s="598">
        <v>2890.2787475499999</v>
      </c>
      <c r="N7" s="598">
        <v>5759.4163542200004</v>
      </c>
      <c r="O7" s="599">
        <v>8576.7654655700007</v>
      </c>
      <c r="P7" s="599">
        <v>11501.686755709999</v>
      </c>
      <c r="Q7" s="599">
        <v>2876.4424430600002</v>
      </c>
      <c r="R7" s="599">
        <v>5744.4482276299996</v>
      </c>
      <c r="S7" s="599">
        <v>8691.0411689299999</v>
      </c>
      <c r="T7" s="599">
        <v>11672.644401789999</v>
      </c>
      <c r="U7" s="713">
        <v>3041.2120460000001</v>
      </c>
      <c r="V7" s="648">
        <v>6258.4979689000002</v>
      </c>
      <c r="W7" s="590">
        <v>8.9486356374053999E-2</v>
      </c>
      <c r="X7" s="110"/>
      <c r="Y7" s="110"/>
      <c r="Z7" s="110"/>
      <c r="AA7" s="110"/>
    </row>
    <row r="8" spans="1:27" ht="21.75" customHeight="1">
      <c r="A8" s="305"/>
      <c r="B8" s="308"/>
      <c r="C8" s="308" t="s">
        <v>576</v>
      </c>
      <c r="D8" s="308"/>
      <c r="E8" s="136">
        <v>374.02857475000002</v>
      </c>
      <c r="F8" s="136">
        <v>724.51059779000002</v>
      </c>
      <c r="G8" s="136">
        <v>1072.8678394399999</v>
      </c>
      <c r="H8" s="136">
        <v>1381.74204994</v>
      </c>
      <c r="I8" s="136">
        <v>252.6111291</v>
      </c>
      <c r="J8" s="136">
        <v>532.87772101999997</v>
      </c>
      <c r="K8" s="136">
        <v>921.19931782000003</v>
      </c>
      <c r="L8" s="600">
        <v>1330.7002506900001</v>
      </c>
      <c r="M8" s="600">
        <v>406.26861424999998</v>
      </c>
      <c r="N8" s="600">
        <v>806.67110990000003</v>
      </c>
      <c r="O8" s="601">
        <v>1201.86250004</v>
      </c>
      <c r="P8" s="601">
        <v>1577.40848222</v>
      </c>
      <c r="Q8" s="601">
        <v>429.79635814</v>
      </c>
      <c r="R8" s="601">
        <v>879.63782438999999</v>
      </c>
      <c r="S8" s="601">
        <v>1347.58426758</v>
      </c>
      <c r="T8" s="601">
        <v>1842.8173475200001</v>
      </c>
      <c r="U8" s="714">
        <v>504.97669394000002</v>
      </c>
      <c r="V8" s="649">
        <v>1010.9495548899999</v>
      </c>
      <c r="W8" s="591">
        <v>0.14927931343909684</v>
      </c>
      <c r="X8" s="110"/>
      <c r="Y8" s="110"/>
      <c r="Z8" s="110"/>
      <c r="AA8" s="110"/>
    </row>
    <row r="9" spans="1:27" ht="21.75" customHeight="1">
      <c r="A9" s="305"/>
      <c r="B9" s="308"/>
      <c r="C9" s="308" t="s">
        <v>577</v>
      </c>
      <c r="D9" s="308"/>
      <c r="E9" s="136">
        <v>733.85439500000018</v>
      </c>
      <c r="F9" s="136">
        <v>2151.7937724699977</v>
      </c>
      <c r="G9" s="136">
        <v>3769.825467499998</v>
      </c>
      <c r="H9" s="136">
        <v>3186.1727528299962</v>
      </c>
      <c r="I9" s="136">
        <v>859.22012247000146</v>
      </c>
      <c r="J9" s="136">
        <v>1494.5181034899983</v>
      </c>
      <c r="K9" s="136">
        <v>2865.6824478799977</v>
      </c>
      <c r="L9" s="600">
        <v>2689.1063770699984</v>
      </c>
      <c r="M9" s="600">
        <v>968.4696927799987</v>
      </c>
      <c r="N9" s="600">
        <v>2122.3071059199956</v>
      </c>
      <c r="O9" s="601">
        <v>3420.8920598199993</v>
      </c>
      <c r="P9" s="601">
        <v>1687.5216102700017</v>
      </c>
      <c r="Q9" s="601">
        <v>381.59497074000154</v>
      </c>
      <c r="R9" s="601">
        <v>372.25444634000183</v>
      </c>
      <c r="S9" s="601">
        <v>47.759169740000189</v>
      </c>
      <c r="T9" s="601">
        <v>824.27637606999701</v>
      </c>
      <c r="U9" s="714">
        <v>-389.19761574999853</v>
      </c>
      <c r="V9" s="649">
        <v>-780.55818757999987</v>
      </c>
      <c r="W9" s="644" t="s">
        <v>711</v>
      </c>
      <c r="X9" s="110"/>
      <c r="Y9" s="110"/>
      <c r="Z9" s="110"/>
      <c r="AA9" s="110"/>
    </row>
    <row r="10" spans="1:27" s="515" customFormat="1" ht="21.75" customHeight="1">
      <c r="A10" s="498"/>
      <c r="B10" s="1098" t="s">
        <v>321</v>
      </c>
      <c r="C10" s="1099"/>
      <c r="D10" s="1099"/>
      <c r="E10" s="513">
        <v>167.64148850000007</v>
      </c>
      <c r="F10" s="513">
        <v>274.26079742999985</v>
      </c>
      <c r="G10" s="513">
        <v>333.25887194999973</v>
      </c>
      <c r="H10" s="513">
        <v>285.20238351000069</v>
      </c>
      <c r="I10" s="513">
        <v>145.28437592000006</v>
      </c>
      <c r="J10" s="513">
        <v>259.07487338000021</v>
      </c>
      <c r="K10" s="513">
        <v>322.17877814999986</v>
      </c>
      <c r="L10" s="602">
        <v>130.40401876999954</v>
      </c>
      <c r="M10" s="602">
        <v>63.823365039999963</v>
      </c>
      <c r="N10" s="602">
        <v>136.50125452999995</v>
      </c>
      <c r="O10" s="603">
        <v>130.68380539000017</v>
      </c>
      <c r="P10" s="603">
        <v>-108.80012715000007</v>
      </c>
      <c r="Q10" s="603">
        <v>-68.676573630000178</v>
      </c>
      <c r="R10" s="603">
        <v>-75.078387730000131</v>
      </c>
      <c r="S10" s="603">
        <v>-163.71249685000018</v>
      </c>
      <c r="T10" s="603">
        <v>-463.24083595000013</v>
      </c>
      <c r="U10" s="715">
        <v>-64.149110559999883</v>
      </c>
      <c r="V10" s="650">
        <v>4.5094615399999869</v>
      </c>
      <c r="W10" s="645" t="s">
        <v>711</v>
      </c>
      <c r="X10" s="514"/>
      <c r="Y10" s="514"/>
      <c r="Z10" s="514"/>
      <c r="AA10" s="514"/>
    </row>
    <row r="11" spans="1:27" s="515" customFormat="1" ht="21.75" customHeight="1">
      <c r="A11" s="498"/>
      <c r="B11" s="1098" t="s">
        <v>322</v>
      </c>
      <c r="C11" s="1099"/>
      <c r="D11" s="1099"/>
      <c r="E11" s="513">
        <v>43.704997879999752</v>
      </c>
      <c r="F11" s="513">
        <v>172.43080960000043</v>
      </c>
      <c r="G11" s="513">
        <v>28.155678379999813</v>
      </c>
      <c r="H11" s="513">
        <v>154.68925389999958</v>
      </c>
      <c r="I11" s="513">
        <v>185.81809702999971</v>
      </c>
      <c r="J11" s="513">
        <v>356.41183923999972</v>
      </c>
      <c r="K11" s="513">
        <v>385.18363083000031</v>
      </c>
      <c r="L11" s="602">
        <v>122.76307298000029</v>
      </c>
      <c r="M11" s="602">
        <v>250.29224241000043</v>
      </c>
      <c r="N11" s="602">
        <v>586.51394472000015</v>
      </c>
      <c r="O11" s="603">
        <v>712.78989932000081</v>
      </c>
      <c r="P11" s="603">
        <v>678.62381228000186</v>
      </c>
      <c r="Q11" s="603">
        <v>-20.756442050000317</v>
      </c>
      <c r="R11" s="603">
        <v>320.6573490400009</v>
      </c>
      <c r="S11" s="603">
        <v>319.82274937999955</v>
      </c>
      <c r="T11" s="603">
        <v>377.61549947000117</v>
      </c>
      <c r="U11" s="715">
        <v>252.80841760999942</v>
      </c>
      <c r="V11" s="650">
        <v>481.15838589999964</v>
      </c>
      <c r="W11" s="716">
        <v>0.50053752811377739</v>
      </c>
      <c r="X11" s="514"/>
      <c r="Y11" s="514"/>
      <c r="Z11" s="514"/>
      <c r="AA11" s="514"/>
    </row>
    <row r="12" spans="1:27" s="497" customFormat="1" ht="21.75" customHeight="1">
      <c r="A12" s="1102" t="s">
        <v>302</v>
      </c>
      <c r="B12" s="1103"/>
      <c r="C12" s="503"/>
      <c r="D12" s="503"/>
      <c r="E12" s="501">
        <v>1127.9734548500001</v>
      </c>
      <c r="F12" s="501">
        <v>1727.37693973</v>
      </c>
      <c r="G12" s="501">
        <v>2858.2112968400002</v>
      </c>
      <c r="H12" s="501">
        <v>3139.27464607</v>
      </c>
      <c r="I12" s="501">
        <v>1426.09417211</v>
      </c>
      <c r="J12" s="501">
        <v>3229.3142493700002</v>
      </c>
      <c r="K12" s="501">
        <v>5091.2465210999999</v>
      </c>
      <c r="L12" s="596">
        <v>6094.5352871799996</v>
      </c>
      <c r="M12" s="596">
        <v>2027.3520144199999</v>
      </c>
      <c r="N12" s="596">
        <v>3959.0977606900001</v>
      </c>
      <c r="O12" s="630">
        <v>5997.8028789800001</v>
      </c>
      <c r="P12" s="630">
        <v>7615.7744249300004</v>
      </c>
      <c r="Q12" s="630">
        <v>2620.6349839300001</v>
      </c>
      <c r="R12" s="630">
        <v>6047.5385268800001</v>
      </c>
      <c r="S12" s="630">
        <v>9297.4288280599994</v>
      </c>
      <c r="T12" s="630">
        <v>8623.4544854800006</v>
      </c>
      <c r="U12" s="630">
        <v>2961.79670347</v>
      </c>
      <c r="V12" s="647">
        <v>7031.4210698099996</v>
      </c>
      <c r="W12" s="548">
        <v>0.16269140552918415</v>
      </c>
      <c r="X12" s="496"/>
      <c r="Y12" s="496"/>
      <c r="Z12" s="496"/>
      <c r="AA12" s="496"/>
    </row>
    <row r="13" spans="1:27" ht="21.75" customHeight="1">
      <c r="A13" s="1104"/>
      <c r="B13" s="186" t="s">
        <v>578</v>
      </c>
      <c r="C13" s="187"/>
      <c r="D13" s="187"/>
      <c r="E13" s="114">
        <v>2439.9655329500001</v>
      </c>
      <c r="F13" s="114">
        <v>4455.6188349399999</v>
      </c>
      <c r="G13" s="114">
        <v>7078.4502854900002</v>
      </c>
      <c r="H13" s="114">
        <v>8904.0741492599991</v>
      </c>
      <c r="I13" s="114">
        <v>2995.7201732399999</v>
      </c>
      <c r="J13" s="114">
        <v>6449.8560638299996</v>
      </c>
      <c r="K13" s="114">
        <v>9913.2933261800008</v>
      </c>
      <c r="L13" s="598">
        <v>12575.16028016</v>
      </c>
      <c r="M13" s="598">
        <v>3779.7921048100002</v>
      </c>
      <c r="N13" s="598">
        <v>7422.4491752900003</v>
      </c>
      <c r="O13" s="599">
        <v>11199.122514549999</v>
      </c>
      <c r="P13" s="599">
        <v>14528.799347050001</v>
      </c>
      <c r="Q13" s="599">
        <v>4238.7472067999997</v>
      </c>
      <c r="R13" s="599">
        <v>9233.2639028899994</v>
      </c>
      <c r="S13" s="599">
        <v>14098.585830710001</v>
      </c>
      <c r="T13" s="599">
        <v>15039.20587163</v>
      </c>
      <c r="U13" s="713">
        <v>4624.0283951600004</v>
      </c>
      <c r="V13" s="648">
        <v>10387.30327807</v>
      </c>
      <c r="W13" s="590">
        <v>0.12498715376463876</v>
      </c>
      <c r="X13" s="110"/>
      <c r="Y13" s="110"/>
      <c r="Z13" s="110"/>
      <c r="AA13" s="110"/>
    </row>
    <row r="14" spans="1:27" ht="21.75" customHeight="1">
      <c r="A14" s="1104"/>
      <c r="B14" s="308" t="s">
        <v>579</v>
      </c>
      <c r="C14" s="307"/>
      <c r="D14" s="307"/>
      <c r="E14" s="136">
        <v>-1311.9920781000001</v>
      </c>
      <c r="F14" s="136">
        <v>-2728.2418952099997</v>
      </c>
      <c r="G14" s="136">
        <v>-4220.2389886500005</v>
      </c>
      <c r="H14" s="136">
        <v>-5764.79950319</v>
      </c>
      <c r="I14" s="136">
        <v>-1569.6260011300001</v>
      </c>
      <c r="J14" s="136">
        <v>-3220.5418144599998</v>
      </c>
      <c r="K14" s="136">
        <v>-4822.04680508</v>
      </c>
      <c r="L14" s="600">
        <v>-6480.6249929799997</v>
      </c>
      <c r="M14" s="600">
        <v>-1752.44009039</v>
      </c>
      <c r="N14" s="600">
        <v>-3463.3514145999998</v>
      </c>
      <c r="O14" s="601">
        <v>-5201.3196355700002</v>
      </c>
      <c r="P14" s="601">
        <v>-6913.0249221200002</v>
      </c>
      <c r="Q14" s="601">
        <v>-1618.1122228699999</v>
      </c>
      <c r="R14" s="601">
        <v>-3185.7253760099998</v>
      </c>
      <c r="S14" s="601">
        <v>-4801.1570026500003</v>
      </c>
      <c r="T14" s="601">
        <v>-6415.7513861500001</v>
      </c>
      <c r="U14" s="714">
        <v>-1662.2316916900002</v>
      </c>
      <c r="V14" s="649">
        <v>-3355.88220826</v>
      </c>
      <c r="W14" s="644" t="s">
        <v>711</v>
      </c>
      <c r="X14" s="110"/>
      <c r="Y14" s="110"/>
      <c r="Z14" s="110"/>
      <c r="AA14" s="110"/>
    </row>
    <row r="15" spans="1:27" s="497" customFormat="1" ht="21.75" customHeight="1">
      <c r="A15" s="1101" t="s">
        <v>281</v>
      </c>
      <c r="B15" s="1101"/>
      <c r="C15" s="1101"/>
      <c r="D15" s="1101"/>
      <c r="E15" s="501">
        <v>4476.0235384600001</v>
      </c>
      <c r="F15" s="501">
        <v>9194.6905337999997</v>
      </c>
      <c r="G15" s="501">
        <v>14404.95965008</v>
      </c>
      <c r="H15" s="501">
        <v>17124.82109632</v>
      </c>
      <c r="I15" s="501">
        <v>5435.9797782400001</v>
      </c>
      <c r="J15" s="501">
        <v>11022.33645314</v>
      </c>
      <c r="K15" s="501">
        <v>17428.292789769999</v>
      </c>
      <c r="L15" s="596">
        <v>21065.107894510002</v>
      </c>
      <c r="M15" s="596">
        <v>6606.4846764499998</v>
      </c>
      <c r="N15" s="596">
        <v>13370.507529979999</v>
      </c>
      <c r="O15" s="597">
        <v>20040.79660912</v>
      </c>
      <c r="P15" s="597">
        <v>22952.21495826</v>
      </c>
      <c r="Q15" s="597">
        <v>6219.0357401900001</v>
      </c>
      <c r="R15" s="597">
        <v>13289.45798655</v>
      </c>
      <c r="S15" s="597">
        <v>19539.92368684</v>
      </c>
      <c r="T15" s="597">
        <v>22877.567274379999</v>
      </c>
      <c r="U15" s="630">
        <v>6307.4471347099998</v>
      </c>
      <c r="V15" s="647">
        <v>14005.97825346</v>
      </c>
      <c r="W15" s="548">
        <v>5.3916440206604133E-2</v>
      </c>
      <c r="X15" s="496"/>
      <c r="Y15" s="496"/>
      <c r="Z15" s="496"/>
      <c r="AA15" s="496"/>
    </row>
    <row r="16" spans="1:27" ht="21.75" customHeight="1">
      <c r="A16" s="1105" t="s">
        <v>287</v>
      </c>
      <c r="B16" s="1105"/>
      <c r="C16" s="1105"/>
      <c r="D16" s="1105"/>
      <c r="E16" s="136">
        <v>3.3068874300000002</v>
      </c>
      <c r="F16" s="136">
        <v>5.4821811900000004</v>
      </c>
      <c r="G16" s="136">
        <v>17.553789600000002</v>
      </c>
      <c r="H16" s="136">
        <v>17.829777660000001</v>
      </c>
      <c r="I16" s="136">
        <v>-1.3311573699999999</v>
      </c>
      <c r="J16" s="136">
        <v>8.3062551300000003</v>
      </c>
      <c r="K16" s="136">
        <v>114.54872496</v>
      </c>
      <c r="L16" s="600">
        <v>129.76406514999999</v>
      </c>
      <c r="M16" s="600">
        <v>4.1699872600000001</v>
      </c>
      <c r="N16" s="600">
        <v>7.3556055599999999</v>
      </c>
      <c r="O16" s="601">
        <v>12.627933909999999</v>
      </c>
      <c r="P16" s="601">
        <v>31.85918989</v>
      </c>
      <c r="Q16" s="601">
        <v>21.131886000000002</v>
      </c>
      <c r="R16" s="601">
        <v>25.286429529999999</v>
      </c>
      <c r="S16" s="601">
        <v>45.51946684</v>
      </c>
      <c r="T16" s="601">
        <v>62.707291840000003</v>
      </c>
      <c r="U16" s="714">
        <v>2.8145361699999998</v>
      </c>
      <c r="V16" s="649">
        <v>-3.3049240900000001</v>
      </c>
      <c r="W16" s="644" t="s">
        <v>711</v>
      </c>
      <c r="X16" s="110"/>
      <c r="Y16" s="110"/>
      <c r="Z16" s="110"/>
      <c r="AA16" s="110"/>
    </row>
    <row r="17" spans="1:27" ht="21.75" customHeight="1">
      <c r="A17" s="1106" t="s">
        <v>282</v>
      </c>
      <c r="B17" s="1106"/>
      <c r="C17" s="1106"/>
      <c r="D17" s="1106"/>
      <c r="E17" s="111">
        <v>4479.3304258899998</v>
      </c>
      <c r="F17" s="111">
        <v>9200.1727149899998</v>
      </c>
      <c r="G17" s="111">
        <v>14422.51343968</v>
      </c>
      <c r="H17" s="111">
        <v>17142.650873980001</v>
      </c>
      <c r="I17" s="111">
        <v>5434.6486208699998</v>
      </c>
      <c r="J17" s="111">
        <v>11030.642708269999</v>
      </c>
      <c r="K17" s="111">
        <v>17542.84151473</v>
      </c>
      <c r="L17" s="604">
        <v>21194.871959659999</v>
      </c>
      <c r="M17" s="604">
        <v>6610.65466371</v>
      </c>
      <c r="N17" s="604">
        <v>13377.863135539999</v>
      </c>
      <c r="O17" s="605">
        <v>20053.42454303</v>
      </c>
      <c r="P17" s="605">
        <v>22984.074148150001</v>
      </c>
      <c r="Q17" s="605">
        <v>6240.1676261900002</v>
      </c>
      <c r="R17" s="605">
        <v>13314.744416080001</v>
      </c>
      <c r="S17" s="605">
        <v>19585.44315368</v>
      </c>
      <c r="T17" s="605">
        <v>22940.27456622</v>
      </c>
      <c r="U17" s="717">
        <v>6310.2616708799997</v>
      </c>
      <c r="V17" s="651">
        <v>14002.67332937</v>
      </c>
      <c r="W17" s="592">
        <v>5.1666700598413273E-2</v>
      </c>
      <c r="X17" s="110"/>
      <c r="Y17" s="110"/>
      <c r="Z17" s="110"/>
      <c r="AA17" s="110"/>
    </row>
    <row r="18" spans="1:27" ht="21.75" customHeight="1">
      <c r="A18" s="1100" t="s">
        <v>283</v>
      </c>
      <c r="B18" s="1100"/>
      <c r="C18" s="1100"/>
      <c r="D18" s="1100"/>
      <c r="E18" s="112">
        <v>1222.8432635300001</v>
      </c>
      <c r="F18" s="112">
        <v>2511.9119287499998</v>
      </c>
      <c r="G18" s="112">
        <v>3936.0216706599999</v>
      </c>
      <c r="H18" s="112">
        <v>4560.9337248351103</v>
      </c>
      <c r="I18" s="112">
        <v>1469.38715486</v>
      </c>
      <c r="J18" s="112">
        <v>2870.60466847</v>
      </c>
      <c r="K18" s="112">
        <v>4582.1482984900003</v>
      </c>
      <c r="L18" s="606">
        <v>5525.0456343599999</v>
      </c>
      <c r="M18" s="606">
        <v>1702.01329315</v>
      </c>
      <c r="N18" s="606">
        <v>3401.0131237199998</v>
      </c>
      <c r="O18" s="607">
        <v>5125.5796162400002</v>
      </c>
      <c r="P18" s="607">
        <v>5878.57531432</v>
      </c>
      <c r="Q18" s="607">
        <v>1615.0339027</v>
      </c>
      <c r="R18" s="607">
        <v>3442.2007032699998</v>
      </c>
      <c r="S18" s="607">
        <v>5074.6847439700005</v>
      </c>
      <c r="T18" s="607">
        <v>6130.03126393</v>
      </c>
      <c r="U18" s="718">
        <v>1649.54825757</v>
      </c>
      <c r="V18" s="652">
        <v>3759.2895462199999</v>
      </c>
      <c r="W18" s="593">
        <v>9.2118057685821153E-2</v>
      </c>
      <c r="X18" s="110"/>
      <c r="Y18" s="110"/>
      <c r="Z18" s="110"/>
      <c r="AA18" s="110"/>
    </row>
    <row r="19" spans="1:27" s="497" customFormat="1" ht="21.75" customHeight="1" thickBot="1">
      <c r="A19" s="1097" t="s">
        <v>284</v>
      </c>
      <c r="B19" s="1097"/>
      <c r="C19" s="1097"/>
      <c r="D19" s="1097"/>
      <c r="E19" s="504">
        <v>3256.4871623600002</v>
      </c>
      <c r="F19" s="504">
        <v>6688.26078624</v>
      </c>
      <c r="G19" s="504">
        <v>10486.49176902</v>
      </c>
      <c r="H19" s="504">
        <v>12581.71714914489</v>
      </c>
      <c r="I19" s="504">
        <v>3965.2614660099998</v>
      </c>
      <c r="J19" s="504">
        <v>8160.0380397999998</v>
      </c>
      <c r="K19" s="504">
        <v>12960.693216240001</v>
      </c>
      <c r="L19" s="608">
        <v>15669.8263253</v>
      </c>
      <c r="M19" s="608">
        <v>4908.6413705599998</v>
      </c>
      <c r="N19" s="608">
        <v>9976.8500118200009</v>
      </c>
      <c r="O19" s="609">
        <v>14927.84492679</v>
      </c>
      <c r="P19" s="609">
        <v>17105.498833829999</v>
      </c>
      <c r="Q19" s="609">
        <v>4625.1337234900002</v>
      </c>
      <c r="R19" s="609">
        <v>9872.5437128100002</v>
      </c>
      <c r="S19" s="609">
        <v>14510.758409710001</v>
      </c>
      <c r="T19" s="609">
        <v>16810.24330229</v>
      </c>
      <c r="U19" s="719">
        <v>4660.7134133099999</v>
      </c>
      <c r="V19" s="653">
        <v>10243.38378315</v>
      </c>
      <c r="W19" s="546">
        <v>3.7562768130245949E-2</v>
      </c>
      <c r="X19" s="496"/>
      <c r="Y19" s="496"/>
      <c r="Z19" s="496"/>
      <c r="AA19" s="496"/>
    </row>
    <row r="20" spans="1:27" ht="18.75" customHeight="1">
      <c r="A20" s="70" t="s">
        <v>326</v>
      </c>
      <c r="B20" s="113"/>
      <c r="C20" s="113"/>
      <c r="D20" s="113"/>
      <c r="E20" s="113"/>
      <c r="F20" s="449"/>
      <c r="G20" s="449"/>
      <c r="H20" s="449"/>
      <c r="I20" s="449"/>
      <c r="J20" s="195"/>
      <c r="K20" s="195"/>
      <c r="L20" s="449"/>
      <c r="M20" s="449"/>
      <c r="N20" s="449"/>
      <c r="O20" s="449"/>
      <c r="P20" s="449"/>
      <c r="Q20" s="456"/>
      <c r="R20" s="474"/>
      <c r="S20" s="558"/>
      <c r="T20" s="558"/>
      <c r="U20" s="614"/>
      <c r="V20" s="667"/>
      <c r="W20" s="113"/>
      <c r="X20" s="110"/>
      <c r="Y20" s="110"/>
      <c r="Z20" s="110"/>
      <c r="AA20" s="110"/>
    </row>
    <row r="21" spans="1:27">
      <c r="A21" s="102"/>
      <c r="B21" s="102"/>
      <c r="C21" s="102"/>
      <c r="D21" s="10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10"/>
      <c r="Y21" s="110"/>
      <c r="Z21" s="110"/>
      <c r="AA21" s="110"/>
    </row>
    <row r="22" spans="1:27" ht="14.25" thickBo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10"/>
      <c r="Y22" s="110"/>
      <c r="Z22" s="110"/>
      <c r="AA22" s="110"/>
    </row>
    <row r="23" spans="1:27" s="102" customFormat="1" ht="21.75" customHeight="1" thickTop="1">
      <c r="A23" s="1096" t="s">
        <v>580</v>
      </c>
      <c r="B23" s="1096"/>
      <c r="C23" s="1096"/>
      <c r="D23" s="1096"/>
      <c r="E23" s="664" t="s">
        <v>431</v>
      </c>
      <c r="F23" s="664" t="s">
        <v>452</v>
      </c>
      <c r="G23" s="664" t="s">
        <v>430</v>
      </c>
      <c r="H23" s="664" t="s">
        <v>514</v>
      </c>
      <c r="I23" s="664" t="s">
        <v>389</v>
      </c>
      <c r="J23" s="664" t="s">
        <v>466</v>
      </c>
      <c r="K23" s="664" t="s">
        <v>467</v>
      </c>
      <c r="L23" s="664" t="s">
        <v>513</v>
      </c>
      <c r="M23" s="664" t="s">
        <v>565</v>
      </c>
      <c r="N23" s="664" t="s">
        <v>607</v>
      </c>
      <c r="O23" s="664" t="s">
        <v>635</v>
      </c>
      <c r="P23" s="664" t="s">
        <v>633</v>
      </c>
      <c r="Q23" s="664" t="s">
        <v>702</v>
      </c>
      <c r="R23" s="664" t="s">
        <v>676</v>
      </c>
      <c r="S23" s="664" t="s">
        <v>698</v>
      </c>
      <c r="T23" s="664" t="s">
        <v>686</v>
      </c>
      <c r="U23" s="668" t="s">
        <v>688</v>
      </c>
      <c r="V23" s="670" t="s">
        <v>715</v>
      </c>
      <c r="W23" s="387" t="s">
        <v>286</v>
      </c>
    </row>
    <row r="24" spans="1:27" s="497" customFormat="1" ht="21.75" customHeight="1">
      <c r="A24" s="494" t="s">
        <v>301</v>
      </c>
      <c r="B24" s="494"/>
      <c r="C24" s="494"/>
      <c r="D24" s="494"/>
      <c r="E24" s="495">
        <v>3348.05008361</v>
      </c>
      <c r="F24" s="495">
        <v>4119.2635104600004</v>
      </c>
      <c r="G24" s="495">
        <v>4079.4347591699998</v>
      </c>
      <c r="H24" s="495">
        <v>2438.7980970099998</v>
      </c>
      <c r="I24" s="495">
        <v>4009.8856061299998</v>
      </c>
      <c r="J24" s="495">
        <v>3783.1365976399998</v>
      </c>
      <c r="K24" s="495">
        <v>4544.0240648999998</v>
      </c>
      <c r="L24" s="495">
        <v>2633.52633866</v>
      </c>
      <c r="M24" s="495">
        <v>4579.1326620299997</v>
      </c>
      <c r="N24" s="594">
        <v>4832.2771072599999</v>
      </c>
      <c r="O24" s="594">
        <v>4631.5839608500009</v>
      </c>
      <c r="P24" s="594">
        <v>1293.4468031899996</v>
      </c>
      <c r="Q24" s="594">
        <v>3598.40075626</v>
      </c>
      <c r="R24" s="594">
        <v>3643.5187034099999</v>
      </c>
      <c r="S24" s="594">
        <v>3000.5753991100009</v>
      </c>
      <c r="T24" s="594">
        <v>4011.6179301199991</v>
      </c>
      <c r="U24" s="594">
        <v>3345.6504312400002</v>
      </c>
      <c r="V24" s="646">
        <v>3628.9067524100001</v>
      </c>
      <c r="W24" s="547">
        <v>-4.010395496618302E-3</v>
      </c>
      <c r="X24" s="496"/>
      <c r="Y24" s="496"/>
      <c r="Z24" s="496"/>
      <c r="AA24" s="496"/>
    </row>
    <row r="25" spans="1:27" s="497" customFormat="1" ht="21.75" customHeight="1">
      <c r="A25" s="498"/>
      <c r="B25" s="499" t="s">
        <v>303</v>
      </c>
      <c r="C25" s="500"/>
      <c r="D25" s="500"/>
      <c r="E25" s="501">
        <v>3136.7016715700001</v>
      </c>
      <c r="F25" s="501">
        <v>3883.9187674300001</v>
      </c>
      <c r="G25" s="501">
        <v>4164.7117028299981</v>
      </c>
      <c r="H25" s="501">
        <v>2360.3207232099976</v>
      </c>
      <c r="I25" s="501">
        <v>3678.7842725800019</v>
      </c>
      <c r="J25" s="501">
        <v>3498.7532620299953</v>
      </c>
      <c r="K25" s="501">
        <v>4452.1483685399999</v>
      </c>
      <c r="L25" s="501">
        <v>3087.7196124300008</v>
      </c>
      <c r="M25" s="501">
        <v>4265.0170545799983</v>
      </c>
      <c r="N25" s="596">
        <v>4423.3775154599998</v>
      </c>
      <c r="O25" s="596">
        <v>4511.1254553900035</v>
      </c>
      <c r="P25" s="596">
        <v>1567.0968227699996</v>
      </c>
      <c r="Q25" s="596">
        <v>3687.8337719400015</v>
      </c>
      <c r="R25" s="596">
        <v>3308.5067264199997</v>
      </c>
      <c r="S25" s="596">
        <v>3090.0441078899985</v>
      </c>
      <c r="T25" s="596">
        <v>4253.3535191299961</v>
      </c>
      <c r="U25" s="596">
        <v>3156.9911241900018</v>
      </c>
      <c r="V25" s="647">
        <v>3331.8982120199989</v>
      </c>
      <c r="W25" s="548">
        <v>7.0701036855107535E-3</v>
      </c>
      <c r="X25" s="496"/>
      <c r="Y25" s="496"/>
      <c r="Z25" s="496"/>
      <c r="AA25" s="496"/>
    </row>
    <row r="26" spans="1:27" ht="21.75" customHeight="1">
      <c r="A26" s="309"/>
      <c r="B26" s="308"/>
      <c r="C26" s="310" t="s">
        <v>587</v>
      </c>
      <c r="D26" s="187"/>
      <c r="E26" s="114">
        <v>2028.8187018199999</v>
      </c>
      <c r="F26" s="114">
        <v>2115.4973669200008</v>
      </c>
      <c r="G26" s="114">
        <v>2198.3227661499996</v>
      </c>
      <c r="H26" s="114">
        <v>2635.0992273800002</v>
      </c>
      <c r="I26" s="114">
        <v>2566.9530210100002</v>
      </c>
      <c r="J26" s="114">
        <v>2583.1886890899996</v>
      </c>
      <c r="K26" s="114">
        <v>2692.6624273500001</v>
      </c>
      <c r="L26" s="114">
        <v>2854.7947503700007</v>
      </c>
      <c r="M26" s="114">
        <v>2890.2787475499999</v>
      </c>
      <c r="N26" s="598">
        <v>2869.1376066700004</v>
      </c>
      <c r="O26" s="598">
        <v>2817.3491113500004</v>
      </c>
      <c r="P26" s="598">
        <v>2924.9212901399987</v>
      </c>
      <c r="Q26" s="598">
        <v>2876.4424430600002</v>
      </c>
      <c r="R26" s="598">
        <v>2868.0057845699994</v>
      </c>
      <c r="S26" s="598">
        <v>2946.5929413000003</v>
      </c>
      <c r="T26" s="598">
        <v>2981.6032328599995</v>
      </c>
      <c r="U26" s="598">
        <v>3041.2120460000001</v>
      </c>
      <c r="V26" s="648">
        <v>3217.2859229000001</v>
      </c>
      <c r="W26" s="590">
        <v>0.12178501877825476</v>
      </c>
      <c r="X26" s="110"/>
      <c r="Y26" s="110"/>
      <c r="Z26" s="110"/>
      <c r="AA26" s="110"/>
    </row>
    <row r="27" spans="1:27" ht="21.75" customHeight="1">
      <c r="A27" s="309"/>
      <c r="B27" s="308"/>
      <c r="C27" s="311" t="s">
        <v>588</v>
      </c>
      <c r="D27" s="307"/>
      <c r="E27" s="136">
        <v>374.02857475000002</v>
      </c>
      <c r="F27" s="136">
        <v>350.48202304</v>
      </c>
      <c r="G27" s="136">
        <v>348.35724164999988</v>
      </c>
      <c r="H27" s="136">
        <v>308.87421050000012</v>
      </c>
      <c r="I27" s="136">
        <v>252.6111291</v>
      </c>
      <c r="J27" s="136">
        <v>280.26659192</v>
      </c>
      <c r="K27" s="136">
        <v>388.32159680000007</v>
      </c>
      <c r="L27" s="136">
        <v>409.50093287000004</v>
      </c>
      <c r="M27" s="136">
        <v>406.26861424999998</v>
      </c>
      <c r="N27" s="600">
        <v>400.40249565000005</v>
      </c>
      <c r="O27" s="600">
        <v>395.19139013999995</v>
      </c>
      <c r="P27" s="600">
        <v>375.54598218000001</v>
      </c>
      <c r="Q27" s="600">
        <v>429.79635814</v>
      </c>
      <c r="R27" s="600">
        <v>449.84146625</v>
      </c>
      <c r="S27" s="600">
        <v>467.94644318999997</v>
      </c>
      <c r="T27" s="600">
        <v>495.23307994000015</v>
      </c>
      <c r="U27" s="600">
        <v>504.97669394000002</v>
      </c>
      <c r="V27" s="649">
        <v>505.97286094999993</v>
      </c>
      <c r="W27" s="591">
        <v>0.1247803924523152</v>
      </c>
      <c r="X27" s="110"/>
      <c r="Y27" s="110"/>
      <c r="Z27" s="110"/>
      <c r="AA27" s="110"/>
    </row>
    <row r="28" spans="1:27" ht="21.75" customHeight="1">
      <c r="A28" s="309"/>
      <c r="B28" s="455"/>
      <c r="C28" s="311" t="s">
        <v>589</v>
      </c>
      <c r="D28" s="307"/>
      <c r="E28" s="136">
        <v>733.85439500000018</v>
      </c>
      <c r="F28" s="136">
        <v>1417.9393774699975</v>
      </c>
      <c r="G28" s="136">
        <v>1618.0316950300007</v>
      </c>
      <c r="H28" s="136">
        <v>-583.65271467000184</v>
      </c>
      <c r="I28" s="136">
        <v>859.22012247000146</v>
      </c>
      <c r="J28" s="136">
        <v>635.29798101999722</v>
      </c>
      <c r="K28" s="136">
        <v>1371.1643443899989</v>
      </c>
      <c r="L28" s="136">
        <v>-176.57607080999924</v>
      </c>
      <c r="M28" s="136">
        <v>968.4696927799987</v>
      </c>
      <c r="N28" s="600">
        <v>1153.8374131399969</v>
      </c>
      <c r="O28" s="600">
        <v>1298.5849539000037</v>
      </c>
      <c r="P28" s="600">
        <v>-1733.3704495499976</v>
      </c>
      <c r="Q28" s="600">
        <v>381.59497074000154</v>
      </c>
      <c r="R28" s="600">
        <v>-9.3405243999997083</v>
      </c>
      <c r="S28" s="600">
        <v>-324.49527660000166</v>
      </c>
      <c r="T28" s="600">
        <v>776.51720632999684</v>
      </c>
      <c r="U28" s="600">
        <v>-389.19761574999853</v>
      </c>
      <c r="V28" s="649">
        <v>-391.36057183000133</v>
      </c>
      <c r="W28" s="644" t="s">
        <v>711</v>
      </c>
      <c r="X28" s="110"/>
      <c r="Y28" s="110"/>
      <c r="Z28" s="110"/>
      <c r="AA28" s="110"/>
    </row>
    <row r="29" spans="1:27" s="497" customFormat="1" ht="21.75" customHeight="1">
      <c r="A29" s="498"/>
      <c r="B29" s="1098" t="s">
        <v>581</v>
      </c>
      <c r="C29" s="1099"/>
      <c r="D29" s="1099"/>
      <c r="E29" s="513">
        <v>167.64148850000007</v>
      </c>
      <c r="F29" s="513">
        <v>106.61930892999979</v>
      </c>
      <c r="G29" s="513">
        <v>58.998074519999875</v>
      </c>
      <c r="H29" s="513">
        <v>-48.056488439999043</v>
      </c>
      <c r="I29" s="513">
        <v>145.28437592000006</v>
      </c>
      <c r="J29" s="513">
        <v>113.79049746000015</v>
      </c>
      <c r="K29" s="513">
        <v>63.103904769999644</v>
      </c>
      <c r="L29" s="513">
        <v>-191.77475938000032</v>
      </c>
      <c r="M29" s="513">
        <v>63.823365039999963</v>
      </c>
      <c r="N29" s="602">
        <v>72.677889489999984</v>
      </c>
      <c r="O29" s="602">
        <v>-5.8174491399997805</v>
      </c>
      <c r="P29" s="602">
        <v>-239.48393254000024</v>
      </c>
      <c r="Q29" s="602">
        <v>-68.676573630000178</v>
      </c>
      <c r="R29" s="602">
        <v>-6.4018140999999531</v>
      </c>
      <c r="S29" s="602">
        <v>-88.634109120000048</v>
      </c>
      <c r="T29" s="602">
        <v>-299.52833909999993</v>
      </c>
      <c r="U29" s="602">
        <v>-64.149110559999883</v>
      </c>
      <c r="V29" s="650">
        <v>68.658572099999873</v>
      </c>
      <c r="W29" s="645" t="s">
        <v>711</v>
      </c>
      <c r="X29" s="496"/>
      <c r="Y29" s="496"/>
      <c r="Z29" s="496"/>
      <c r="AA29" s="496"/>
    </row>
    <row r="30" spans="1:27" s="497" customFormat="1" ht="21.75" customHeight="1">
      <c r="A30" s="498"/>
      <c r="B30" s="1098" t="s">
        <v>582</v>
      </c>
      <c r="C30" s="1099"/>
      <c r="D30" s="1099"/>
      <c r="E30" s="513">
        <v>43.704997879999752</v>
      </c>
      <c r="F30" s="513">
        <v>128.72581172000068</v>
      </c>
      <c r="G30" s="513">
        <v>-144.27513122000062</v>
      </c>
      <c r="H30" s="513">
        <v>126.53357551999977</v>
      </c>
      <c r="I30" s="513">
        <v>185.81809702999971</v>
      </c>
      <c r="J30" s="513">
        <v>170.59374221000002</v>
      </c>
      <c r="K30" s="513">
        <v>28.771791590000589</v>
      </c>
      <c r="L30" s="513">
        <v>-262.42055785000002</v>
      </c>
      <c r="M30" s="513">
        <v>250.29224241000043</v>
      </c>
      <c r="N30" s="602">
        <v>336.22170230999973</v>
      </c>
      <c r="O30" s="602">
        <v>126.27595460000066</v>
      </c>
      <c r="P30" s="602">
        <v>-34.166087039998956</v>
      </c>
      <c r="Q30" s="602">
        <v>-20.756442050000317</v>
      </c>
      <c r="R30" s="602">
        <v>341.41379109000121</v>
      </c>
      <c r="S30" s="602">
        <v>-0.834599660001345</v>
      </c>
      <c r="T30" s="602">
        <v>57.792750090001618</v>
      </c>
      <c r="U30" s="602">
        <v>252.80841760999942</v>
      </c>
      <c r="V30" s="650">
        <v>228.34996829000022</v>
      </c>
      <c r="W30" s="716">
        <v>-0.33116360777059495</v>
      </c>
      <c r="X30" s="496"/>
      <c r="Y30" s="496"/>
      <c r="Z30" s="496"/>
      <c r="AA30" s="496"/>
    </row>
    <row r="31" spans="1:27" s="497" customFormat="1" ht="21.75" customHeight="1">
      <c r="A31" s="1102" t="s">
        <v>583</v>
      </c>
      <c r="B31" s="1103"/>
      <c r="C31" s="503"/>
      <c r="D31" s="503"/>
      <c r="E31" s="501">
        <v>1127.9734548500001</v>
      </c>
      <c r="F31" s="501">
        <v>599.40348487999995</v>
      </c>
      <c r="G31" s="501">
        <v>1130.8343571100002</v>
      </c>
      <c r="H31" s="501">
        <v>281.06334922999986</v>
      </c>
      <c r="I31" s="501">
        <v>1426.09417211</v>
      </c>
      <c r="J31" s="501">
        <v>1803.2200772600002</v>
      </c>
      <c r="K31" s="501">
        <v>1861.9322717299997</v>
      </c>
      <c r="L31" s="501">
        <v>1003.2887660799997</v>
      </c>
      <c r="M31" s="501">
        <v>2027.3520144199999</v>
      </c>
      <c r="N31" s="596">
        <v>1931.7457462700002</v>
      </c>
      <c r="O31" s="596">
        <v>2038.70511829</v>
      </c>
      <c r="P31" s="596">
        <v>1617.9715459500003</v>
      </c>
      <c r="Q31" s="596">
        <v>2620.6349839300001</v>
      </c>
      <c r="R31" s="596">
        <v>3426.90354295</v>
      </c>
      <c r="S31" s="596">
        <v>3249.8903011799994</v>
      </c>
      <c r="T31" s="596">
        <v>-673.97434257999885</v>
      </c>
      <c r="U31" s="596">
        <v>2961.79670347</v>
      </c>
      <c r="V31" s="647">
        <v>4069.6243663399996</v>
      </c>
      <c r="W31" s="548">
        <v>0.18755147769251845</v>
      </c>
      <c r="X31" s="496"/>
      <c r="Y31" s="496"/>
      <c r="Z31" s="496"/>
      <c r="AA31" s="496"/>
    </row>
    <row r="32" spans="1:27" ht="21.75" customHeight="1">
      <c r="A32" s="1104"/>
      <c r="B32" s="186" t="s">
        <v>590</v>
      </c>
      <c r="C32" s="187"/>
      <c r="D32" s="187"/>
      <c r="E32" s="114">
        <v>2439.9655329500001</v>
      </c>
      <c r="F32" s="114">
        <v>2015.6533019899998</v>
      </c>
      <c r="G32" s="114">
        <v>2622.8314505500002</v>
      </c>
      <c r="H32" s="114">
        <v>1825.6238637699989</v>
      </c>
      <c r="I32" s="114">
        <v>2995.7201732399999</v>
      </c>
      <c r="J32" s="114">
        <v>3454.1358905899997</v>
      </c>
      <c r="K32" s="114">
        <v>3463.4372623500012</v>
      </c>
      <c r="L32" s="114">
        <v>2661.8669539799994</v>
      </c>
      <c r="M32" s="114">
        <v>3779.7921048100002</v>
      </c>
      <c r="N32" s="598">
        <v>3642.6570704800001</v>
      </c>
      <c r="O32" s="598">
        <v>3776.673339259999</v>
      </c>
      <c r="P32" s="598">
        <v>3329.6768325000012</v>
      </c>
      <c r="Q32" s="598">
        <v>4238.7472067999997</v>
      </c>
      <c r="R32" s="598">
        <v>4994.5166960899996</v>
      </c>
      <c r="S32" s="598">
        <v>4865.3219278200013</v>
      </c>
      <c r="T32" s="598">
        <v>940.62004091999916</v>
      </c>
      <c r="U32" s="598">
        <v>4624.0283951600004</v>
      </c>
      <c r="V32" s="648">
        <v>5763.2748829099992</v>
      </c>
      <c r="W32" s="590">
        <v>0.1539204358695665</v>
      </c>
      <c r="X32" s="110"/>
      <c r="Y32" s="110"/>
      <c r="Z32" s="110"/>
      <c r="AA32" s="110"/>
    </row>
    <row r="33" spans="1:27" ht="21.75" customHeight="1">
      <c r="A33" s="1104"/>
      <c r="B33" s="308" t="s">
        <v>579</v>
      </c>
      <c r="C33" s="307"/>
      <c r="D33" s="307"/>
      <c r="E33" s="136">
        <v>-1311.9920781000001</v>
      </c>
      <c r="F33" s="136">
        <v>-1416.2498171099996</v>
      </c>
      <c r="G33" s="136">
        <v>-1491.9970934400008</v>
      </c>
      <c r="H33" s="136">
        <v>-1544.5605145399995</v>
      </c>
      <c r="I33" s="136">
        <v>-1569.6260011300001</v>
      </c>
      <c r="J33" s="136">
        <v>-1650.9158133299998</v>
      </c>
      <c r="K33" s="136">
        <v>-1601.5049906200002</v>
      </c>
      <c r="L33" s="136">
        <v>-1658.5781878999996</v>
      </c>
      <c r="M33" s="136">
        <v>-1752.44009039</v>
      </c>
      <c r="N33" s="600">
        <v>-1710.9113242099997</v>
      </c>
      <c r="O33" s="600">
        <v>-1737.9682209700004</v>
      </c>
      <c r="P33" s="600">
        <v>-1711.70528655</v>
      </c>
      <c r="Q33" s="600">
        <v>-1618.1122228699999</v>
      </c>
      <c r="R33" s="600">
        <v>-1567.6131531399999</v>
      </c>
      <c r="S33" s="600">
        <v>-1615.4316266400006</v>
      </c>
      <c r="T33" s="600">
        <v>-1614.5943834999998</v>
      </c>
      <c r="U33" s="600">
        <v>-1662.2316916900002</v>
      </c>
      <c r="V33" s="649">
        <v>-1693.6505165699998</v>
      </c>
      <c r="W33" s="644" t="s">
        <v>711</v>
      </c>
      <c r="X33" s="110"/>
      <c r="Y33" s="110"/>
      <c r="Z33" s="110"/>
      <c r="AA33" s="110"/>
    </row>
    <row r="34" spans="1:27" s="497" customFormat="1" ht="21.75" customHeight="1">
      <c r="A34" s="1101" t="s">
        <v>281</v>
      </c>
      <c r="B34" s="1101"/>
      <c r="C34" s="1101"/>
      <c r="D34" s="1101"/>
      <c r="E34" s="501">
        <v>4476.0235384600001</v>
      </c>
      <c r="F34" s="501">
        <v>4718.6669953399996</v>
      </c>
      <c r="G34" s="501">
        <v>5210.2691162800002</v>
      </c>
      <c r="H34" s="501">
        <v>2719.8614462400001</v>
      </c>
      <c r="I34" s="501">
        <v>5435.9797782400001</v>
      </c>
      <c r="J34" s="501">
        <v>5586.3566749000001</v>
      </c>
      <c r="K34" s="501">
        <v>6405.956336629999</v>
      </c>
      <c r="L34" s="501">
        <v>3636.8151047400024</v>
      </c>
      <c r="M34" s="501">
        <v>6606.4846764499998</v>
      </c>
      <c r="N34" s="596">
        <v>6764.0228535299993</v>
      </c>
      <c r="O34" s="596">
        <v>6670.2890791400005</v>
      </c>
      <c r="P34" s="596">
        <v>2911.4183491399999</v>
      </c>
      <c r="Q34" s="596">
        <v>6219.0357401900001</v>
      </c>
      <c r="R34" s="596">
        <v>7070.4222463599999</v>
      </c>
      <c r="S34" s="596">
        <v>6250.4657002900003</v>
      </c>
      <c r="T34" s="596">
        <v>3337.6435875399984</v>
      </c>
      <c r="U34" s="596">
        <v>6307.4471347099998</v>
      </c>
      <c r="V34" s="647">
        <v>7698.5311187500001</v>
      </c>
      <c r="W34" s="548">
        <v>8.8836119046972639E-2</v>
      </c>
      <c r="X34" s="496"/>
      <c r="Y34" s="496"/>
      <c r="Z34" s="496"/>
      <c r="AA34" s="496"/>
    </row>
    <row r="35" spans="1:27" ht="21.75" customHeight="1">
      <c r="A35" s="1105" t="s">
        <v>287</v>
      </c>
      <c r="B35" s="1105"/>
      <c r="C35" s="1105"/>
      <c r="D35" s="1105"/>
      <c r="E35" s="136">
        <v>3.3068874300000002</v>
      </c>
      <c r="F35" s="136">
        <v>2.1752937600000002</v>
      </c>
      <c r="G35" s="136">
        <v>12.071608410000001</v>
      </c>
      <c r="H35" s="136">
        <v>0.27598805999999954</v>
      </c>
      <c r="I35" s="136">
        <v>-1.3311573699999999</v>
      </c>
      <c r="J35" s="136">
        <v>9.6374124999999999</v>
      </c>
      <c r="K35" s="136">
        <v>106.24246983</v>
      </c>
      <c r="L35" s="136">
        <v>15.215340189999992</v>
      </c>
      <c r="M35" s="136">
        <v>4.1699872600000001</v>
      </c>
      <c r="N35" s="600">
        <v>3.1856182999999998</v>
      </c>
      <c r="O35" s="600">
        <v>5.2723283499999996</v>
      </c>
      <c r="P35" s="600">
        <v>19.23125598</v>
      </c>
      <c r="Q35" s="600">
        <v>21.131886000000002</v>
      </c>
      <c r="R35" s="600">
        <v>4.154543529999998</v>
      </c>
      <c r="S35" s="600">
        <v>20.23303731</v>
      </c>
      <c r="T35" s="600">
        <v>17.187825000000004</v>
      </c>
      <c r="U35" s="600">
        <v>2.8145361699999998</v>
      </c>
      <c r="V35" s="649">
        <v>-6.1194602600000003</v>
      </c>
      <c r="W35" s="644" t="s">
        <v>711</v>
      </c>
      <c r="X35" s="110"/>
      <c r="Y35" s="110"/>
      <c r="Z35" s="110"/>
      <c r="AA35" s="110"/>
    </row>
    <row r="36" spans="1:27" ht="21.75" customHeight="1">
      <c r="A36" s="1106" t="s">
        <v>584</v>
      </c>
      <c r="B36" s="1106"/>
      <c r="C36" s="1106"/>
      <c r="D36" s="1106"/>
      <c r="E36" s="111">
        <v>4479.3304258899998</v>
      </c>
      <c r="F36" s="111">
        <v>4720.8422891</v>
      </c>
      <c r="G36" s="111">
        <v>5222.3407246900006</v>
      </c>
      <c r="H36" s="111">
        <v>2720.1374343000007</v>
      </c>
      <c r="I36" s="111">
        <v>5434.6486208699998</v>
      </c>
      <c r="J36" s="111">
        <v>5595.9940873999994</v>
      </c>
      <c r="K36" s="111">
        <v>6512.1988064600009</v>
      </c>
      <c r="L36" s="111">
        <v>3652.0304449299983</v>
      </c>
      <c r="M36" s="111">
        <v>6610.65466371</v>
      </c>
      <c r="N36" s="604">
        <v>6767.2084718299993</v>
      </c>
      <c r="O36" s="604">
        <v>6675.5614074900004</v>
      </c>
      <c r="P36" s="604">
        <v>2930.6496051200011</v>
      </c>
      <c r="Q36" s="604">
        <v>6240.1676261900002</v>
      </c>
      <c r="R36" s="604">
        <v>7074.5767898900003</v>
      </c>
      <c r="S36" s="604">
        <v>6270.6987375999997</v>
      </c>
      <c r="T36" s="604">
        <v>3354.8314125399993</v>
      </c>
      <c r="U36" s="604">
        <v>6310.2616708799997</v>
      </c>
      <c r="V36" s="651">
        <v>7692.4116584900003</v>
      </c>
      <c r="W36" s="592">
        <v>8.7331707174756135E-2</v>
      </c>
      <c r="X36" s="110"/>
      <c r="Y36" s="110"/>
      <c r="Z36" s="110"/>
      <c r="AA36" s="110"/>
    </row>
    <row r="37" spans="1:27" ht="21.75" customHeight="1">
      <c r="A37" s="1100" t="s">
        <v>585</v>
      </c>
      <c r="B37" s="1100"/>
      <c r="C37" s="1100"/>
      <c r="D37" s="1100"/>
      <c r="E37" s="112">
        <v>1222.8432635300001</v>
      </c>
      <c r="F37" s="112">
        <v>1289.0686652199997</v>
      </c>
      <c r="G37" s="112">
        <v>1424.1097419100001</v>
      </c>
      <c r="H37" s="112">
        <v>624.91205417511037</v>
      </c>
      <c r="I37" s="112">
        <v>1469.38715486</v>
      </c>
      <c r="J37" s="112">
        <v>1401.21751361</v>
      </c>
      <c r="K37" s="112">
        <v>1711.5436300200004</v>
      </c>
      <c r="L37" s="112">
        <v>942.89733586999955</v>
      </c>
      <c r="M37" s="112">
        <v>1702.01329315</v>
      </c>
      <c r="N37" s="606">
        <v>1698.9998305699999</v>
      </c>
      <c r="O37" s="606">
        <v>1724.5664925200003</v>
      </c>
      <c r="P37" s="606">
        <v>752.99569807999978</v>
      </c>
      <c r="Q37" s="606">
        <v>1615.0339027</v>
      </c>
      <c r="R37" s="606">
        <v>1827.1668005699999</v>
      </c>
      <c r="S37" s="606">
        <v>1632.4840407000006</v>
      </c>
      <c r="T37" s="606">
        <v>1055.3465199599996</v>
      </c>
      <c r="U37" s="606">
        <v>1649.54825757</v>
      </c>
      <c r="V37" s="652">
        <v>2109.7412886499997</v>
      </c>
      <c r="W37" s="593">
        <v>0.15465171980568404</v>
      </c>
      <c r="X37" s="110"/>
      <c r="Y37" s="110"/>
      <c r="Z37" s="110"/>
      <c r="AA37" s="110"/>
    </row>
    <row r="38" spans="1:27" s="497" customFormat="1" ht="21.75" customHeight="1" thickBot="1">
      <c r="A38" s="1097" t="s">
        <v>586</v>
      </c>
      <c r="B38" s="1097"/>
      <c r="C38" s="1097"/>
      <c r="D38" s="1097"/>
      <c r="E38" s="504">
        <v>3256.4871623600002</v>
      </c>
      <c r="F38" s="504">
        <v>3431.7736238799998</v>
      </c>
      <c r="G38" s="504">
        <v>3798.23098278</v>
      </c>
      <c r="H38" s="504">
        <v>2095.2253801248899</v>
      </c>
      <c r="I38" s="504">
        <v>3965.2614660099998</v>
      </c>
      <c r="J38" s="504">
        <v>4194.7765737899999</v>
      </c>
      <c r="K38" s="504">
        <v>4800.655176440001</v>
      </c>
      <c r="L38" s="504">
        <v>2709.1331090599997</v>
      </c>
      <c r="M38" s="504">
        <v>4908.6413705599998</v>
      </c>
      <c r="N38" s="608">
        <v>5068.2086412600011</v>
      </c>
      <c r="O38" s="608">
        <v>4950.9949149699987</v>
      </c>
      <c r="P38" s="608">
        <v>2177.6539070399995</v>
      </c>
      <c r="Q38" s="608">
        <v>4625.1337234900002</v>
      </c>
      <c r="R38" s="608">
        <v>5247.40998932</v>
      </c>
      <c r="S38" s="608">
        <v>4638.2146969000005</v>
      </c>
      <c r="T38" s="608">
        <v>2299.4848925799997</v>
      </c>
      <c r="U38" s="608">
        <v>4660.7134133099999</v>
      </c>
      <c r="V38" s="653">
        <v>5582.6703698400006</v>
      </c>
      <c r="W38" s="546">
        <v>6.3890639611227762E-2</v>
      </c>
      <c r="X38" s="496"/>
      <c r="Y38" s="496"/>
      <c r="Z38" s="496"/>
      <c r="AA38" s="496"/>
    </row>
    <row r="39" spans="1:27" ht="18.75" customHeight="1">
      <c r="A39" s="70" t="s">
        <v>324</v>
      </c>
      <c r="B39" s="113"/>
      <c r="C39" s="113"/>
      <c r="D39" s="113"/>
      <c r="E39" s="113"/>
      <c r="F39" s="449"/>
      <c r="G39" s="449"/>
      <c r="H39" s="449"/>
      <c r="I39" s="449"/>
      <c r="J39" s="449"/>
      <c r="K39" s="195"/>
      <c r="L39" s="449"/>
      <c r="M39" s="449"/>
      <c r="N39" s="449"/>
      <c r="O39" s="449"/>
      <c r="P39" s="449"/>
      <c r="Q39" s="456"/>
      <c r="R39" s="474"/>
      <c r="S39" s="558"/>
      <c r="T39" s="558"/>
      <c r="U39" s="614"/>
      <c r="V39" s="667"/>
      <c r="W39" s="113"/>
      <c r="X39" s="110"/>
      <c r="Y39" s="110"/>
      <c r="Z39" s="110"/>
      <c r="AA39" s="110"/>
    </row>
    <row r="40" spans="1:27">
      <c r="A40" s="102"/>
      <c r="B40" s="102"/>
      <c r="C40" s="102"/>
      <c r="D40" s="10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</row>
    <row r="41" spans="1:27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</row>
    <row r="42" spans="1:27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</row>
    <row r="44" spans="1:27"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</row>
    <row r="49" spans="17:22">
      <c r="Q49" s="628"/>
      <c r="R49" s="628"/>
      <c r="S49" s="628"/>
      <c r="T49" s="628"/>
      <c r="U49" s="628"/>
      <c r="V49" s="628"/>
    </row>
    <row r="50" spans="17:22">
      <c r="Q50" s="628"/>
      <c r="R50" s="628"/>
      <c r="S50" s="628"/>
      <c r="T50" s="628"/>
      <c r="U50" s="628"/>
      <c r="V50" s="628"/>
    </row>
  </sheetData>
  <mergeCells count="20">
    <mergeCell ref="A38:D38"/>
    <mergeCell ref="A32:A33"/>
    <mergeCell ref="A34:D34"/>
    <mergeCell ref="A35:D35"/>
    <mergeCell ref="B29:D29"/>
    <mergeCell ref="B30:D30"/>
    <mergeCell ref="A31:B31"/>
    <mergeCell ref="A36:D36"/>
    <mergeCell ref="A37:D37"/>
    <mergeCell ref="A23:D23"/>
    <mergeCell ref="A19:D19"/>
    <mergeCell ref="B10:D10"/>
    <mergeCell ref="B11:D11"/>
    <mergeCell ref="A4:D4"/>
    <mergeCell ref="A18:D18"/>
    <mergeCell ref="A15:D15"/>
    <mergeCell ref="A12:B12"/>
    <mergeCell ref="A13:A14"/>
    <mergeCell ref="A16:D16"/>
    <mergeCell ref="A17:D17"/>
  </mergeCells>
  <phoneticPr fontId="21" type="noConversion"/>
  <pageMargins left="0.7" right="0.7" top="0.75" bottom="0.75" header="0.3" footer="0.3"/>
  <pageSetup paperSize="9" scale="5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  <pageSetUpPr fitToPage="1"/>
  </sheetPr>
  <dimension ref="A1:AH59"/>
  <sheetViews>
    <sheetView view="pageBreakPreview" zoomScaleNormal="100" zoomScaleSheetLayoutView="100" workbookViewId="0">
      <selection activeCell="AH48" sqref="AH48"/>
    </sheetView>
  </sheetViews>
  <sheetFormatPr defaultRowHeight="13.5"/>
  <cols>
    <col min="1" max="1" width="8.88671875" style="109"/>
    <col min="2" max="2" width="11.33203125" style="109" bestFit="1" customWidth="1"/>
    <col min="3" max="3" width="8.88671875" style="109" customWidth="1"/>
    <col min="4" max="4" width="9.44140625" style="109" customWidth="1"/>
    <col min="5" max="8" width="8.88671875" style="109" customWidth="1"/>
    <col min="9" max="20" width="8.88671875" style="109" hidden="1" customWidth="1"/>
    <col min="21" max="21" width="3.88671875" style="109" customWidth="1"/>
    <col min="22" max="22" width="10.21875" style="109" customWidth="1"/>
    <col min="23" max="24" width="8.88671875" style="109" hidden="1" customWidth="1"/>
    <col min="25" max="25" width="8.88671875" style="109" customWidth="1"/>
    <col min="26" max="30" width="8.88671875" style="109" hidden="1" customWidth="1"/>
    <col min="31" max="31" width="8.88671875" style="109" customWidth="1"/>
    <col min="32" max="16384" width="8.88671875" style="109"/>
  </cols>
  <sheetData>
    <row r="1" spans="1:3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35.25" customHeight="1">
      <c r="A2" s="371" t="s">
        <v>595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4"/>
      <c r="AE2" s="254"/>
    </row>
    <row r="3" spans="1:3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A5" s="255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ht="21.75" customHeight="1">
      <c r="A6" s="229" t="s">
        <v>543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 ht="14.25" thickBot="1">
      <c r="A7" s="25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2"/>
      <c r="V7" s="230"/>
      <c r="W7" s="232"/>
      <c r="X7" s="232"/>
      <c r="Y7" s="232"/>
      <c r="Z7" s="232"/>
      <c r="AA7" s="232"/>
      <c r="AB7" s="232"/>
      <c r="AC7" s="233"/>
      <c r="AD7" s="230"/>
      <c r="AE7" s="233"/>
    </row>
    <row r="8" spans="1:31" ht="15.75" customHeight="1" thickTop="1">
      <c r="A8" s="1108" t="s">
        <v>548</v>
      </c>
      <c r="B8" s="1108"/>
      <c r="C8" s="1113">
        <v>2026</v>
      </c>
      <c r="D8" s="1113"/>
      <c r="E8" s="1109">
        <v>2025</v>
      </c>
      <c r="F8" s="1109"/>
      <c r="G8" s="1109"/>
      <c r="H8" s="1109"/>
      <c r="I8" s="1109">
        <v>2024</v>
      </c>
      <c r="J8" s="1108"/>
      <c r="K8" s="1108"/>
      <c r="L8" s="1108"/>
      <c r="M8" s="1109" t="s">
        <v>545</v>
      </c>
      <c r="N8" s="1108"/>
      <c r="O8" s="1108"/>
      <c r="P8" s="1108"/>
      <c r="Q8" s="1109" t="s">
        <v>546</v>
      </c>
      <c r="R8" s="1108"/>
      <c r="S8" s="1108"/>
      <c r="T8" s="1108"/>
      <c r="U8" s="230" t="s">
        <v>518</v>
      </c>
      <c r="V8" s="1112" t="s">
        <v>718</v>
      </c>
      <c r="W8" s="654">
        <v>2025</v>
      </c>
      <c r="X8" s="559" t="s">
        <v>683</v>
      </c>
      <c r="Y8" s="484" t="s">
        <v>668</v>
      </c>
      <c r="Z8" s="458">
        <v>2024</v>
      </c>
      <c r="AA8" s="577" t="s">
        <v>684</v>
      </c>
      <c r="AB8" s="577" t="s">
        <v>670</v>
      </c>
      <c r="AC8" s="388">
        <v>2023</v>
      </c>
      <c r="AD8" s="388">
        <v>2022</v>
      </c>
      <c r="AE8" s="1110" t="s">
        <v>517</v>
      </c>
    </row>
    <row r="9" spans="1:31">
      <c r="A9" s="1108"/>
      <c r="B9" s="1108"/>
      <c r="C9" s="615" t="s">
        <v>519</v>
      </c>
      <c r="D9" s="669" t="s">
        <v>717</v>
      </c>
      <c r="E9" s="458" t="s">
        <v>519</v>
      </c>
      <c r="F9" s="470" t="s">
        <v>603</v>
      </c>
      <c r="G9" s="475" t="s">
        <v>629</v>
      </c>
      <c r="H9" s="559" t="s">
        <v>641</v>
      </c>
      <c r="I9" s="388" t="s">
        <v>519</v>
      </c>
      <c r="J9" s="388" t="s">
        <v>603</v>
      </c>
      <c r="K9" s="424" t="s">
        <v>629</v>
      </c>
      <c r="L9" s="450" t="s">
        <v>641</v>
      </c>
      <c r="M9" s="388" t="s">
        <v>519</v>
      </c>
      <c r="N9" s="388" t="s">
        <v>520</v>
      </c>
      <c r="O9" s="388" t="s">
        <v>521</v>
      </c>
      <c r="P9" s="388" t="s">
        <v>522</v>
      </c>
      <c r="Q9" s="388" t="s">
        <v>519</v>
      </c>
      <c r="R9" s="388" t="s">
        <v>520</v>
      </c>
      <c r="S9" s="388" t="s">
        <v>521</v>
      </c>
      <c r="T9" s="388" t="s">
        <v>522</v>
      </c>
      <c r="U9" s="230" t="s">
        <v>523</v>
      </c>
      <c r="V9" s="1108"/>
      <c r="W9" s="484" t="s">
        <v>524</v>
      </c>
      <c r="X9" s="559" t="s">
        <v>524</v>
      </c>
      <c r="Y9" s="484" t="s">
        <v>524</v>
      </c>
      <c r="Z9" s="458" t="s">
        <v>663</v>
      </c>
      <c r="AA9" s="577" t="s">
        <v>524</v>
      </c>
      <c r="AB9" s="577" t="s">
        <v>524</v>
      </c>
      <c r="AC9" s="388" t="s">
        <v>524</v>
      </c>
      <c r="AD9" s="388" t="s">
        <v>524</v>
      </c>
      <c r="AE9" s="1110"/>
    </row>
    <row r="10" spans="1:31">
      <c r="A10" s="235" t="s">
        <v>540</v>
      </c>
      <c r="B10" s="256"/>
      <c r="C10" s="721">
        <v>111036.96915218997</v>
      </c>
      <c r="D10" s="393">
        <v>112917.31637846</v>
      </c>
      <c r="E10" s="353">
        <v>111878.89718879</v>
      </c>
      <c r="F10" s="353">
        <v>111670.81235622999</v>
      </c>
      <c r="G10" s="353">
        <v>112482.06519974998</v>
      </c>
      <c r="H10" s="348">
        <v>114711.46263445997</v>
      </c>
      <c r="I10" s="348">
        <v>104687.26978637994</v>
      </c>
      <c r="J10" s="353">
        <v>107426.80949827</v>
      </c>
      <c r="K10" s="353">
        <v>106641.58430637998</v>
      </c>
      <c r="L10" s="353">
        <v>106416.65369623</v>
      </c>
      <c r="M10" s="258">
        <v>96376.394304500034</v>
      </c>
      <c r="N10" s="258">
        <v>96454.452767970011</v>
      </c>
      <c r="O10" s="267">
        <v>97015.441129430008</v>
      </c>
      <c r="P10" s="267">
        <v>103382.95358952002</v>
      </c>
      <c r="Q10" s="258">
        <v>74693.550310110004</v>
      </c>
      <c r="R10" s="258">
        <v>78007.922568580005</v>
      </c>
      <c r="S10" s="267">
        <v>81001.112081930012</v>
      </c>
      <c r="T10" s="267">
        <v>83543.128700720015</v>
      </c>
      <c r="U10" s="252"/>
      <c r="V10" s="393">
        <v>111036.96915219002</v>
      </c>
      <c r="W10" s="258">
        <v>111878.89718879</v>
      </c>
      <c r="X10" s="258">
        <v>111878.89718879</v>
      </c>
      <c r="Y10" s="258">
        <v>111878.89718879</v>
      </c>
      <c r="Z10" s="258">
        <v>104687.26978637994</v>
      </c>
      <c r="AA10" s="258">
        <v>104687.26978637994</v>
      </c>
      <c r="AB10" s="258">
        <v>104687.26978637994</v>
      </c>
      <c r="AC10" s="258">
        <v>96376.394304500034</v>
      </c>
      <c r="AD10" s="258">
        <v>74693.550310110004</v>
      </c>
      <c r="AE10" s="272">
        <v>-7.525351587791107E-3</v>
      </c>
    </row>
    <row r="11" spans="1:31">
      <c r="A11" s="235"/>
      <c r="B11" s="269" t="s">
        <v>525</v>
      </c>
      <c r="C11" s="722">
        <v>4402.5245788800003</v>
      </c>
      <c r="D11" s="389">
        <v>4539.6754716799996</v>
      </c>
      <c r="E11" s="259">
        <v>3567.9072336399995</v>
      </c>
      <c r="F11" s="259">
        <v>3731.4988513199996</v>
      </c>
      <c r="G11" s="259">
        <v>4230.6719138400003</v>
      </c>
      <c r="H11" s="349">
        <v>4351.6403368499996</v>
      </c>
      <c r="I11" s="349">
        <v>3722.6629131200002</v>
      </c>
      <c r="J11" s="259">
        <v>3419.2543557200001</v>
      </c>
      <c r="K11" s="259">
        <v>3411.90543523</v>
      </c>
      <c r="L11" s="259">
        <v>3241.8899787400001</v>
      </c>
      <c r="M11" s="259">
        <v>4171.8424671499997</v>
      </c>
      <c r="N11" s="259">
        <v>3925.0952001100004</v>
      </c>
      <c r="O11" s="259">
        <v>4100.6400292100006</v>
      </c>
      <c r="P11" s="259">
        <v>3808.9061987899986</v>
      </c>
      <c r="Q11" s="259">
        <v>4442.4418514199997</v>
      </c>
      <c r="R11" s="259">
        <v>4121.1378669000005</v>
      </c>
      <c r="S11" s="259">
        <v>4677.8319470099987</v>
      </c>
      <c r="T11" s="259">
        <v>4173.3474772300005</v>
      </c>
      <c r="U11" s="239"/>
      <c r="V11" s="389">
        <v>8942.2000505600008</v>
      </c>
      <c r="W11" s="259">
        <v>15881.718335649999</v>
      </c>
      <c r="X11" s="259">
        <v>11530.077998799999</v>
      </c>
      <c r="Y11" s="259">
        <v>7299.4060849599991</v>
      </c>
      <c r="Z11" s="259">
        <v>13795.712682810001</v>
      </c>
      <c r="AA11" s="259">
        <v>10553.82270407</v>
      </c>
      <c r="AB11" s="259">
        <v>7141.9172688400004</v>
      </c>
      <c r="AC11" s="259">
        <v>16006.48389526</v>
      </c>
      <c r="AD11" s="259">
        <v>17414.75914256</v>
      </c>
      <c r="AE11" s="273">
        <v>0.22505857962675657</v>
      </c>
    </row>
    <row r="12" spans="1:31">
      <c r="A12" s="235"/>
      <c r="B12" s="270" t="s">
        <v>541</v>
      </c>
      <c r="C12" s="723">
        <v>887.54323639999996</v>
      </c>
      <c r="D12" s="390">
        <v>909.42784289999997</v>
      </c>
      <c r="E12" s="260">
        <v>895.65088154</v>
      </c>
      <c r="F12" s="260">
        <v>902.63863969999989</v>
      </c>
      <c r="G12" s="260">
        <v>902.11468396000009</v>
      </c>
      <c r="H12" s="350">
        <v>915.04267204000007</v>
      </c>
      <c r="I12" s="350">
        <v>829.75498448999997</v>
      </c>
      <c r="J12" s="260">
        <v>855.32173434999993</v>
      </c>
      <c r="K12" s="260">
        <v>853.39753373999997</v>
      </c>
      <c r="L12" s="260">
        <v>839.91569145000005</v>
      </c>
      <c r="M12" s="281">
        <v>682.80678556000009</v>
      </c>
      <c r="N12" s="281">
        <v>725.45214389000046</v>
      </c>
      <c r="O12" s="281">
        <v>754.79094499000064</v>
      </c>
      <c r="P12" s="281">
        <v>817.30378259000031</v>
      </c>
      <c r="Q12" s="281">
        <v>397.92532955000001</v>
      </c>
      <c r="R12" s="281">
        <v>435.69199904999994</v>
      </c>
      <c r="S12" s="281">
        <v>485.30791843000009</v>
      </c>
      <c r="T12" s="281">
        <v>539.01875639000002</v>
      </c>
      <c r="U12" s="239"/>
      <c r="V12" s="390">
        <v>1796.9710792999999</v>
      </c>
      <c r="W12" s="260">
        <v>3615.44687724</v>
      </c>
      <c r="X12" s="260">
        <v>2700.4042052</v>
      </c>
      <c r="Y12" s="260">
        <v>1798.2895212399999</v>
      </c>
      <c r="Z12" s="260">
        <v>3378.3899440300002</v>
      </c>
      <c r="AA12" s="260">
        <v>2538.4742525800002</v>
      </c>
      <c r="AB12" s="260">
        <v>1685.07671884</v>
      </c>
      <c r="AC12" s="260">
        <v>2980.3536570300012</v>
      </c>
      <c r="AD12" s="260">
        <v>1857.9440034200002</v>
      </c>
      <c r="AE12" s="274">
        <v>-7.3316444567328443E-4</v>
      </c>
    </row>
    <row r="13" spans="1:31">
      <c r="A13" s="235"/>
      <c r="B13" s="270" t="s">
        <v>550</v>
      </c>
      <c r="C13" s="723">
        <v>-368.50854300999998</v>
      </c>
      <c r="D13" s="390">
        <v>6058.5197653900004</v>
      </c>
      <c r="E13" s="260">
        <v>-1795.2005046800002</v>
      </c>
      <c r="F13" s="260">
        <v>-954.87886292999951</v>
      </c>
      <c r="G13" s="260">
        <v>43.20377821000011</v>
      </c>
      <c r="H13" s="350">
        <v>-5959.5732582999999</v>
      </c>
      <c r="I13" s="350">
        <v>1077.40056183</v>
      </c>
      <c r="J13" s="260">
        <v>-2190.6636752899999</v>
      </c>
      <c r="K13" s="260">
        <v>-1672.8844677699999</v>
      </c>
      <c r="L13" s="260">
        <v>4305.3591125100002</v>
      </c>
      <c r="M13" s="281">
        <v>-2209.6377682299994</v>
      </c>
      <c r="N13" s="281">
        <v>-1506.3702934499995</v>
      </c>
      <c r="O13" s="281">
        <v>4204.7439132400123</v>
      </c>
      <c r="P13" s="281">
        <v>-467.09903415000088</v>
      </c>
      <c r="Q13" s="281">
        <v>502.82377931999923</v>
      </c>
      <c r="R13" s="281">
        <v>551.85701431999996</v>
      </c>
      <c r="S13" s="281">
        <v>-422.80048049999999</v>
      </c>
      <c r="T13" s="281">
        <v>10755.998597540005</v>
      </c>
      <c r="U13" s="239"/>
      <c r="V13" s="390">
        <v>5690.0112223800006</v>
      </c>
      <c r="W13" s="260">
        <v>-8666.4488476999995</v>
      </c>
      <c r="X13" s="260">
        <v>-2706.8755893999996</v>
      </c>
      <c r="Y13" s="260">
        <v>-2750.0793676099997</v>
      </c>
      <c r="Z13" s="260">
        <v>1519.2115312800006</v>
      </c>
      <c r="AA13" s="260">
        <v>-2786.1475812299996</v>
      </c>
      <c r="AB13" s="260">
        <v>-1113.2631134599999</v>
      </c>
      <c r="AC13" s="260">
        <v>21.636817410012668</v>
      </c>
      <c r="AD13" s="260">
        <v>11387.878910680005</v>
      </c>
      <c r="AE13" s="739" t="s">
        <v>719</v>
      </c>
    </row>
    <row r="14" spans="1:31">
      <c r="A14" s="236"/>
      <c r="B14" s="284" t="s">
        <v>526</v>
      </c>
      <c r="C14" s="724">
        <v>-3041.2120460000001</v>
      </c>
      <c r="D14" s="391">
        <v>-3217.2859229000001</v>
      </c>
      <c r="E14" s="261">
        <v>-2876.4424430600002</v>
      </c>
      <c r="F14" s="261">
        <v>-2868.0057845700003</v>
      </c>
      <c r="G14" s="261">
        <v>-2946.5929412999994</v>
      </c>
      <c r="H14" s="351">
        <v>-2981.6032328599995</v>
      </c>
      <c r="I14" s="351">
        <v>-2890.2787475500004</v>
      </c>
      <c r="J14" s="261">
        <v>-2869.1376066700004</v>
      </c>
      <c r="K14" s="261">
        <v>-2817.3491113499999</v>
      </c>
      <c r="L14" s="261">
        <v>-2924.9212901399992</v>
      </c>
      <c r="M14" s="282">
        <v>-2566.9530210099992</v>
      </c>
      <c r="N14" s="282">
        <v>-2583.1886890900009</v>
      </c>
      <c r="O14" s="282">
        <v>-2692.6624273500011</v>
      </c>
      <c r="P14" s="282">
        <v>-2854.7947503699979</v>
      </c>
      <c r="Q14" s="282">
        <v>-2028.8187018199997</v>
      </c>
      <c r="R14" s="282">
        <v>-2115.4973669200008</v>
      </c>
      <c r="S14" s="282">
        <v>-2198.3227661500005</v>
      </c>
      <c r="T14" s="282">
        <v>-2635.0992273800011</v>
      </c>
      <c r="U14" s="239"/>
      <c r="V14" s="391">
        <v>-6258.4979689000002</v>
      </c>
      <c r="W14" s="261">
        <v>-11672.644401789999</v>
      </c>
      <c r="X14" s="261">
        <v>-8691.0411689299999</v>
      </c>
      <c r="Y14" s="261">
        <v>-5744.4482276300005</v>
      </c>
      <c r="Z14" s="261">
        <v>-11501.686755709999</v>
      </c>
      <c r="AA14" s="261">
        <v>-8576.7654655700007</v>
      </c>
      <c r="AB14" s="261">
        <v>-5759.4163542200004</v>
      </c>
      <c r="AC14" s="261">
        <v>-10697.598887820001</v>
      </c>
      <c r="AD14" s="261">
        <v>-8977.738062270002</v>
      </c>
      <c r="AE14" s="739" t="s">
        <v>719</v>
      </c>
    </row>
    <row r="15" spans="1:31" ht="14.25" thickBot="1">
      <c r="A15" s="237" t="s">
        <v>527</v>
      </c>
      <c r="B15" s="238"/>
      <c r="C15" s="725">
        <v>112917.31637846</v>
      </c>
      <c r="D15" s="392">
        <v>121207.65353553</v>
      </c>
      <c r="E15" s="262">
        <v>111670.81235622999</v>
      </c>
      <c r="F15" s="262">
        <v>112482.06519974998</v>
      </c>
      <c r="G15" s="262">
        <v>114711.46263445997</v>
      </c>
      <c r="H15" s="352">
        <v>111036.96915218997</v>
      </c>
      <c r="I15" s="352">
        <v>107426.80949827</v>
      </c>
      <c r="J15" s="262">
        <v>106641.58430637998</v>
      </c>
      <c r="K15" s="262">
        <v>106416.65369623</v>
      </c>
      <c r="L15" s="262">
        <v>111878.89718879</v>
      </c>
      <c r="M15" s="283">
        <v>96454.452767970011</v>
      </c>
      <c r="N15" s="283">
        <v>97015.441129430008</v>
      </c>
      <c r="O15" s="268">
        <v>103382.95358952002</v>
      </c>
      <c r="P15" s="268">
        <v>104687.26978637994</v>
      </c>
      <c r="Q15" s="283">
        <v>78007.922568580005</v>
      </c>
      <c r="R15" s="283">
        <v>81001.112081930012</v>
      </c>
      <c r="S15" s="268">
        <v>83543.128700720015</v>
      </c>
      <c r="T15" s="268">
        <v>96376.394304500034</v>
      </c>
      <c r="U15" s="239"/>
      <c r="V15" s="392">
        <v>121207.65353553001</v>
      </c>
      <c r="W15" s="262">
        <v>111036.96915219002</v>
      </c>
      <c r="X15" s="262">
        <v>114711.46263446</v>
      </c>
      <c r="Y15" s="262">
        <v>112482.06519975001</v>
      </c>
      <c r="Z15" s="262">
        <v>111878.89718878994</v>
      </c>
      <c r="AA15" s="262">
        <v>106416.65369622993</v>
      </c>
      <c r="AB15" s="262">
        <v>106641.58430637995</v>
      </c>
      <c r="AC15" s="262">
        <v>104687.26978638004</v>
      </c>
      <c r="AD15" s="262">
        <v>96376.394304500034</v>
      </c>
      <c r="AE15" s="275">
        <v>7.7573151953467034E-2</v>
      </c>
    </row>
    <row r="16" spans="1:31">
      <c r="A16" s="363" t="s">
        <v>549</v>
      </c>
      <c r="B16" s="228"/>
      <c r="C16" s="578"/>
      <c r="D16" s="578"/>
      <c r="E16" s="228"/>
      <c r="F16" s="228"/>
      <c r="G16" s="438"/>
      <c r="H16" s="438"/>
      <c r="I16" s="228"/>
      <c r="J16" s="366"/>
      <c r="K16" s="366"/>
      <c r="L16" s="366"/>
      <c r="M16" s="226"/>
      <c r="N16" s="226"/>
      <c r="O16" s="226"/>
      <c r="P16" s="226"/>
      <c r="Q16" s="226"/>
      <c r="R16" s="226"/>
      <c r="S16" s="226"/>
      <c r="T16" s="226"/>
      <c r="U16" s="230"/>
      <c r="V16" s="578"/>
      <c r="W16" s="234"/>
      <c r="X16" s="234"/>
      <c r="Y16" s="234"/>
      <c r="Z16" s="234"/>
      <c r="AA16" s="234"/>
      <c r="AB16" s="234"/>
      <c r="AC16" s="234"/>
      <c r="AD16" s="234"/>
      <c r="AE16" s="234"/>
    </row>
    <row r="17" spans="1:34">
      <c r="A17" s="239"/>
      <c r="B17" s="228"/>
      <c r="C17" s="228"/>
      <c r="D17" s="228"/>
      <c r="E17" s="228"/>
      <c r="F17" s="228"/>
      <c r="G17" s="228"/>
      <c r="H17" s="578"/>
      <c r="I17" s="228"/>
      <c r="J17" s="228"/>
      <c r="K17" s="438"/>
      <c r="L17" s="438"/>
      <c r="M17" s="226"/>
      <c r="N17" s="226"/>
      <c r="O17" s="226"/>
      <c r="P17" s="226"/>
      <c r="Q17" s="226"/>
      <c r="R17" s="226"/>
      <c r="S17" s="226"/>
      <c r="T17" s="226"/>
      <c r="U17" s="230"/>
      <c r="V17" s="228"/>
      <c r="W17" s="234"/>
      <c r="X17" s="234"/>
      <c r="Y17" s="234"/>
      <c r="Z17" s="234"/>
      <c r="AA17" s="234"/>
      <c r="AB17" s="234"/>
      <c r="AC17" s="234"/>
      <c r="AD17" s="234"/>
      <c r="AE17" s="234"/>
    </row>
    <row r="18" spans="1:34" ht="16.5">
      <c r="A18" s="229" t="s">
        <v>528</v>
      </c>
      <c r="B18" s="240"/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1"/>
      <c r="N18" s="241"/>
      <c r="O18" s="241"/>
      <c r="P18" s="241"/>
      <c r="Q18" s="241"/>
      <c r="R18" s="241"/>
      <c r="S18" s="241"/>
      <c r="T18" s="241"/>
      <c r="U18" s="239"/>
      <c r="V18" s="240"/>
      <c r="W18" s="233"/>
      <c r="X18" s="233"/>
      <c r="Y18" s="233"/>
      <c r="Z18" s="233"/>
      <c r="AA18" s="233"/>
      <c r="AB18" s="233"/>
      <c r="AC18" s="233"/>
      <c r="AD18" s="230"/>
      <c r="AE18" s="233"/>
      <c r="AG18" s="654"/>
    </row>
    <row r="19" spans="1:34" ht="14.25" thickBot="1">
      <c r="A19" s="255"/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1"/>
      <c r="N19" s="241"/>
      <c r="O19" s="241"/>
      <c r="P19" s="241"/>
      <c r="Q19" s="241"/>
      <c r="R19" s="241"/>
      <c r="S19" s="241"/>
      <c r="T19" s="241"/>
      <c r="U19" s="239"/>
      <c r="V19" s="240"/>
      <c r="W19" s="233"/>
      <c r="X19" s="233"/>
      <c r="Y19" s="233"/>
      <c r="Z19" s="233"/>
      <c r="AA19" s="233"/>
      <c r="AB19" s="233"/>
      <c r="AC19" s="233"/>
      <c r="AD19" s="230"/>
      <c r="AE19" s="233"/>
    </row>
    <row r="20" spans="1:34" ht="15.75" customHeight="1" thickTop="1">
      <c r="A20" s="1108" t="s">
        <v>548</v>
      </c>
      <c r="B20" s="1108"/>
      <c r="C20" s="1113">
        <v>2026</v>
      </c>
      <c r="D20" s="1113"/>
      <c r="E20" s="1109">
        <v>2025</v>
      </c>
      <c r="F20" s="1108"/>
      <c r="G20" s="1108"/>
      <c r="H20" s="1108"/>
      <c r="I20" s="1109">
        <v>2024</v>
      </c>
      <c r="J20" s="1108"/>
      <c r="K20" s="1108"/>
      <c r="L20" s="1108"/>
      <c r="M20" s="1109" t="s">
        <v>545</v>
      </c>
      <c r="N20" s="1108"/>
      <c r="O20" s="1108"/>
      <c r="P20" s="1108"/>
      <c r="Q20" s="1109" t="s">
        <v>546</v>
      </c>
      <c r="R20" s="1108"/>
      <c r="S20" s="1108"/>
      <c r="T20" s="1108"/>
      <c r="U20" s="239"/>
      <c r="V20" s="1112" t="s">
        <v>718</v>
      </c>
      <c r="W20" s="654">
        <v>2025</v>
      </c>
      <c r="X20" s="559" t="s">
        <v>698</v>
      </c>
      <c r="Y20" s="484" t="s">
        <v>709</v>
      </c>
      <c r="Z20" s="458">
        <v>2024</v>
      </c>
      <c r="AA20" s="577" t="s">
        <v>635</v>
      </c>
      <c r="AB20" s="577" t="s">
        <v>670</v>
      </c>
      <c r="AC20" s="388">
        <v>2023</v>
      </c>
      <c r="AD20" s="388">
        <v>2022</v>
      </c>
      <c r="AE20" s="1110" t="s">
        <v>517</v>
      </c>
    </row>
    <row r="21" spans="1:34">
      <c r="A21" s="1108"/>
      <c r="B21" s="1108"/>
      <c r="C21" s="615" t="s">
        <v>519</v>
      </c>
      <c r="D21" s="669" t="s">
        <v>520</v>
      </c>
      <c r="E21" s="458" t="s">
        <v>519</v>
      </c>
      <c r="F21" s="470" t="s">
        <v>603</v>
      </c>
      <c r="G21" s="475" t="s">
        <v>521</v>
      </c>
      <c r="H21" s="559" t="s">
        <v>522</v>
      </c>
      <c r="I21" s="388" t="s">
        <v>519</v>
      </c>
      <c r="J21" s="388" t="s">
        <v>520</v>
      </c>
      <c r="K21" s="424" t="s">
        <v>521</v>
      </c>
      <c r="L21" s="450" t="s">
        <v>522</v>
      </c>
      <c r="M21" s="388" t="s">
        <v>519</v>
      </c>
      <c r="N21" s="388" t="s">
        <v>520</v>
      </c>
      <c r="O21" s="388" t="s">
        <v>521</v>
      </c>
      <c r="P21" s="388" t="s">
        <v>522</v>
      </c>
      <c r="Q21" s="388" t="s">
        <v>519</v>
      </c>
      <c r="R21" s="388" t="s">
        <v>520</v>
      </c>
      <c r="S21" s="388" t="s">
        <v>521</v>
      </c>
      <c r="T21" s="388" t="s">
        <v>522</v>
      </c>
      <c r="U21" s="239"/>
      <c r="V21" s="1108"/>
      <c r="W21" s="484" t="s">
        <v>710</v>
      </c>
      <c r="X21" s="559" t="s">
        <v>710</v>
      </c>
      <c r="Y21" s="484" t="s">
        <v>710</v>
      </c>
      <c r="Z21" s="458" t="s">
        <v>663</v>
      </c>
      <c r="AA21" s="577" t="s">
        <v>524</v>
      </c>
      <c r="AB21" s="577" t="s">
        <v>524</v>
      </c>
      <c r="AC21" s="388" t="s">
        <v>524</v>
      </c>
      <c r="AD21" s="388" t="s">
        <v>524</v>
      </c>
      <c r="AE21" s="1110"/>
    </row>
    <row r="22" spans="1:34" ht="15">
      <c r="A22" s="235" t="s">
        <v>542</v>
      </c>
      <c r="B22" s="235"/>
      <c r="C22" s="721">
        <v>4401.443659319466</v>
      </c>
      <c r="D22" s="393">
        <v>4539.3156486915841</v>
      </c>
      <c r="E22" s="353">
        <v>3566.5787285092119</v>
      </c>
      <c r="F22" s="353">
        <v>3730.6601298642936</v>
      </c>
      <c r="G22" s="353">
        <v>4229.4217458611229</v>
      </c>
      <c r="H22" s="353">
        <v>4350.7192761968945</v>
      </c>
      <c r="I22" s="353">
        <v>3722.028274513516</v>
      </c>
      <c r="J22" s="353">
        <v>3418.3778059827591</v>
      </c>
      <c r="K22" s="353">
        <v>3411.2267273306825</v>
      </c>
      <c r="L22" s="353">
        <v>3240.9745639128955</v>
      </c>
      <c r="M22" s="285">
        <v>4167.6816681171431</v>
      </c>
      <c r="N22" s="285">
        <v>3922.7469916146056</v>
      </c>
      <c r="O22" s="285">
        <v>4098.6640720939595</v>
      </c>
      <c r="P22" s="285">
        <v>3807.2275112771217</v>
      </c>
      <c r="Q22" s="285">
        <v>4439.9610333266482</v>
      </c>
      <c r="R22" s="285">
        <v>4118.315981298987</v>
      </c>
      <c r="S22" s="285">
        <v>4674.8096172026771</v>
      </c>
      <c r="T22" s="285">
        <v>4170.6646763139352</v>
      </c>
      <c r="U22" s="239"/>
      <c r="V22" s="393">
        <v>8940.7593080110491</v>
      </c>
      <c r="W22" s="353">
        <v>15877.379880431523</v>
      </c>
      <c r="X22" s="353">
        <v>11526.660604234628</v>
      </c>
      <c r="Y22" s="285">
        <v>7297.2388583735055</v>
      </c>
      <c r="Z22" s="285">
        <v>13792.607371739854</v>
      </c>
      <c r="AA22" s="285">
        <v>10551.632807826958</v>
      </c>
      <c r="AB22" s="285">
        <v>7140.4060804962755</v>
      </c>
      <c r="AC22" s="285">
        <v>15996.320243102829</v>
      </c>
      <c r="AD22" s="285">
        <v>17403.751308142248</v>
      </c>
      <c r="AE22" s="272">
        <v>0.22522497639660255</v>
      </c>
      <c r="AF22" s="296"/>
    </row>
    <row r="23" spans="1:34">
      <c r="A23" s="242"/>
      <c r="B23" s="269" t="s">
        <v>529</v>
      </c>
      <c r="C23" s="732">
        <v>4352.6335117773824</v>
      </c>
      <c r="D23" s="394">
        <v>4492.8797758002875</v>
      </c>
      <c r="E23" s="354">
        <v>3537.2976282150721</v>
      </c>
      <c r="F23" s="354">
        <v>3704.0734779176464</v>
      </c>
      <c r="G23" s="354">
        <v>4200.0554021366961</v>
      </c>
      <c r="H23" s="354">
        <v>4322.5431122381069</v>
      </c>
      <c r="I23" s="354">
        <v>3712.6063326815301</v>
      </c>
      <c r="J23" s="354">
        <v>3407.3271131109618</v>
      </c>
      <c r="K23" s="354">
        <v>3400.2937528617226</v>
      </c>
      <c r="L23" s="354">
        <v>3218.299110621399</v>
      </c>
      <c r="M23" s="286">
        <v>4095.9796921471175</v>
      </c>
      <c r="N23" s="286">
        <v>3863.3180175929742</v>
      </c>
      <c r="O23" s="286">
        <v>4051.7752829068409</v>
      </c>
      <c r="P23" s="286">
        <v>3775.4549780010261</v>
      </c>
      <c r="Q23" s="286">
        <v>4393.4847950767207</v>
      </c>
      <c r="R23" s="286">
        <v>4069.4229954190955</v>
      </c>
      <c r="S23" s="286">
        <v>4621.2539723083155</v>
      </c>
      <c r="T23" s="286">
        <v>4118.6810260141492</v>
      </c>
      <c r="U23" s="239"/>
      <c r="V23" s="394">
        <v>8845.513287577669</v>
      </c>
      <c r="W23" s="354">
        <v>15763.969620507522</v>
      </c>
      <c r="X23" s="354">
        <v>11441.426508269415</v>
      </c>
      <c r="Y23" s="288">
        <v>7241.3711061327185</v>
      </c>
      <c r="Z23" s="288">
        <v>13738.526309275614</v>
      </c>
      <c r="AA23" s="288">
        <v>10520.227198654215</v>
      </c>
      <c r="AB23" s="288">
        <v>7119.9334457924924</v>
      </c>
      <c r="AC23" s="288">
        <v>15786.52797064796</v>
      </c>
      <c r="AD23" s="288">
        <v>17202.842788818281</v>
      </c>
      <c r="AE23" s="273">
        <v>0.22152464746440104</v>
      </c>
      <c r="AF23" s="296"/>
    </row>
    <row r="24" spans="1:34">
      <c r="A24" s="243"/>
      <c r="B24" s="271" t="s">
        <v>530</v>
      </c>
      <c r="C24" s="733">
        <v>48.810147542083243</v>
      </c>
      <c r="D24" s="395">
        <v>46.435872891296881</v>
      </c>
      <c r="E24" s="355">
        <v>29.281100294139801</v>
      </c>
      <c r="F24" s="355">
        <v>26.586651946646906</v>
      </c>
      <c r="G24" s="355">
        <v>29.366343724426663</v>
      </c>
      <c r="H24" s="355">
        <v>28.176163958787924</v>
      </c>
      <c r="I24" s="355">
        <v>9.4219418319857908</v>
      </c>
      <c r="J24" s="355">
        <v>11.050692871797114</v>
      </c>
      <c r="K24" s="355">
        <v>10.932974468959701</v>
      </c>
      <c r="L24" s="355">
        <v>22.6754532914963</v>
      </c>
      <c r="M24" s="287">
        <v>71.701975970025288</v>
      </c>
      <c r="N24" s="287">
        <v>59.428974021631241</v>
      </c>
      <c r="O24" s="287">
        <v>46.888789187118412</v>
      </c>
      <c r="P24" s="287">
        <v>31.772533276095633</v>
      </c>
      <c r="Q24" s="287">
        <v>46.476238249927476</v>
      </c>
      <c r="R24" s="287">
        <v>48.892985879891569</v>
      </c>
      <c r="S24" s="287">
        <v>53.555644894361478</v>
      </c>
      <c r="T24" s="287">
        <v>51.983650299786561</v>
      </c>
      <c r="U24" s="239"/>
      <c r="V24" s="395">
        <v>95.246020433380124</v>
      </c>
      <c r="W24" s="355">
        <v>113.41025992400129</v>
      </c>
      <c r="X24" s="355">
        <v>85.234095965213371</v>
      </c>
      <c r="Y24" s="289">
        <v>55.867752240786707</v>
      </c>
      <c r="Z24" s="289">
        <v>54.081062464238912</v>
      </c>
      <c r="AA24" s="289">
        <v>31.405609172742608</v>
      </c>
      <c r="AB24" s="289">
        <v>20.472634703782905</v>
      </c>
      <c r="AC24" s="289">
        <v>209.79227245487053</v>
      </c>
      <c r="AD24" s="289">
        <v>200.90851932396703</v>
      </c>
      <c r="AE24" s="274">
        <v>0.70484790622818339</v>
      </c>
      <c r="AF24" s="296"/>
    </row>
    <row r="25" spans="1:34">
      <c r="A25" s="244" t="s">
        <v>551</v>
      </c>
      <c r="B25" s="244"/>
      <c r="C25" s="734">
        <v>1.0809195711782715</v>
      </c>
      <c r="D25" s="720">
        <v>0.35982295526317126</v>
      </c>
      <c r="E25" s="356">
        <v>1.32850514652633</v>
      </c>
      <c r="F25" s="356">
        <v>0.838721485063048</v>
      </c>
      <c r="G25" s="356">
        <v>1.2501680026509026</v>
      </c>
      <c r="H25" s="356">
        <v>0.9210606621247619</v>
      </c>
      <c r="I25" s="356">
        <v>0.63463861394557941</v>
      </c>
      <c r="J25" s="356">
        <v>0.87654974789464812</v>
      </c>
      <c r="K25" s="356">
        <v>0.67870787218643591</v>
      </c>
      <c r="L25" s="356">
        <v>0.91541482989437728</v>
      </c>
      <c r="M25" s="285">
        <v>4.1607990405527051</v>
      </c>
      <c r="N25" s="285">
        <v>2.3482084474722571</v>
      </c>
      <c r="O25" s="285">
        <v>1.9759571119623214</v>
      </c>
      <c r="P25" s="287">
        <v>1.6787013101247954</v>
      </c>
      <c r="Q25" s="285">
        <v>2.4808181075309954</v>
      </c>
      <c r="R25" s="285">
        <v>2.8218855986350131</v>
      </c>
      <c r="S25" s="285">
        <v>3.0223298115811179</v>
      </c>
      <c r="T25" s="287">
        <v>2.6828008720346785</v>
      </c>
      <c r="U25" s="239"/>
      <c r="V25" s="393">
        <v>1.4407425264414429</v>
      </c>
      <c r="W25" s="356">
        <v>4.3384552963650425</v>
      </c>
      <c r="X25" s="356">
        <v>3.4173946342402806</v>
      </c>
      <c r="Y25" s="285">
        <v>2.167226631589378</v>
      </c>
      <c r="Z25" s="285">
        <v>3.1053110639210408</v>
      </c>
      <c r="AA25" s="285">
        <v>2.1898962340266634</v>
      </c>
      <c r="AB25" s="285">
        <v>1.5111883618402275</v>
      </c>
      <c r="AC25" s="285">
        <v>10.163665910112078</v>
      </c>
      <c r="AD25" s="285">
        <v>11.007834389781804</v>
      </c>
      <c r="AE25" s="304">
        <v>-0.33521372179482389</v>
      </c>
      <c r="AF25" s="296"/>
    </row>
    <row r="26" spans="1:34" ht="14.25" thickBot="1">
      <c r="A26" s="245" t="s">
        <v>532</v>
      </c>
      <c r="B26" s="257"/>
      <c r="C26" s="735">
        <v>4402.5245788906441</v>
      </c>
      <c r="D26" s="396">
        <v>4539.6754716468477</v>
      </c>
      <c r="E26" s="357">
        <v>3567.9072336557383</v>
      </c>
      <c r="F26" s="357">
        <v>3731.4988513493563</v>
      </c>
      <c r="G26" s="357">
        <v>4230.6719138637736</v>
      </c>
      <c r="H26" s="357">
        <v>4351.64033685902</v>
      </c>
      <c r="I26" s="357">
        <v>3722.6629131274617</v>
      </c>
      <c r="J26" s="357">
        <v>3419.254355730654</v>
      </c>
      <c r="K26" s="357">
        <v>3411.9054352028688</v>
      </c>
      <c r="L26" s="357">
        <v>3241.8899787427899</v>
      </c>
      <c r="M26" s="246">
        <v>4171.8424671576959</v>
      </c>
      <c r="N26" s="246">
        <v>3925.0952000620778</v>
      </c>
      <c r="O26" s="246">
        <v>4100.6400292059216</v>
      </c>
      <c r="P26" s="246">
        <v>3808.9062125872465</v>
      </c>
      <c r="Q26" s="246">
        <v>4442.4418514341796</v>
      </c>
      <c r="R26" s="246">
        <v>4121.1378668976222</v>
      </c>
      <c r="S26" s="246">
        <v>4677.8319470142578</v>
      </c>
      <c r="T26" s="246">
        <v>4173.3474771859701</v>
      </c>
      <c r="U26" s="239"/>
      <c r="V26" s="396">
        <v>8942.2000505374926</v>
      </c>
      <c r="W26" s="357">
        <v>15881.718335727888</v>
      </c>
      <c r="X26" s="357">
        <v>11530.077998868868</v>
      </c>
      <c r="Y26" s="472">
        <v>7299.4060850050946</v>
      </c>
      <c r="Z26" s="246">
        <v>13795.712682803776</v>
      </c>
      <c r="AA26" s="472">
        <v>10553.822704060985</v>
      </c>
      <c r="AB26" s="472">
        <v>7141.9172688581157</v>
      </c>
      <c r="AC26" s="246">
        <v>16006.483909012943</v>
      </c>
      <c r="AD26" s="246">
        <v>17414.759142532028</v>
      </c>
      <c r="AE26" s="275">
        <v>0.22505857961610465</v>
      </c>
      <c r="AF26" s="296"/>
    </row>
    <row r="27" spans="1:34">
      <c r="A27" s="230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1114"/>
      <c r="N27" s="1115"/>
      <c r="O27" s="1115"/>
      <c r="P27" s="1115"/>
      <c r="Q27" s="230"/>
      <c r="R27" s="230"/>
      <c r="S27" s="230"/>
      <c r="T27" s="230"/>
      <c r="U27" s="239"/>
      <c r="V27" s="230"/>
      <c r="W27" s="436"/>
      <c r="X27" s="436"/>
      <c r="Y27" s="436"/>
      <c r="Z27" s="231"/>
      <c r="AA27" s="436"/>
      <c r="AB27" s="436"/>
      <c r="AC27" s="231"/>
      <c r="AD27" s="231"/>
      <c r="AE27" s="232"/>
    </row>
    <row r="28" spans="1:34" ht="16.5">
      <c r="A28" s="229" t="s">
        <v>533</v>
      </c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460"/>
      <c r="N28" s="460"/>
      <c r="O28" s="460"/>
      <c r="P28" s="460"/>
      <c r="Q28" s="241"/>
      <c r="R28" s="241"/>
      <c r="S28" s="241"/>
      <c r="T28" s="241"/>
      <c r="U28" s="239"/>
      <c r="V28" s="240"/>
      <c r="W28" s="247"/>
      <c r="X28" s="247"/>
      <c r="Y28" s="247"/>
      <c r="Z28" s="247"/>
      <c r="AA28" s="247"/>
      <c r="AB28" s="247"/>
      <c r="AC28" s="247"/>
      <c r="AD28" s="230"/>
      <c r="AE28" s="247"/>
    </row>
    <row r="29" spans="1:34" ht="14.25" thickBot="1">
      <c r="A29" s="255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1"/>
      <c r="N29" s="241"/>
      <c r="O29" s="241"/>
      <c r="P29" s="241"/>
      <c r="Q29" s="241"/>
      <c r="R29" s="241"/>
      <c r="S29" s="241"/>
      <c r="T29" s="241"/>
      <c r="U29" s="239"/>
      <c r="V29" s="240"/>
      <c r="W29" s="247"/>
      <c r="X29" s="247"/>
      <c r="Y29" s="247"/>
      <c r="Z29" s="247"/>
      <c r="AA29" s="247"/>
      <c r="AB29" s="247"/>
      <c r="AC29" s="247"/>
      <c r="AD29" s="230"/>
      <c r="AE29" s="247"/>
    </row>
    <row r="30" spans="1:34" ht="15.75" customHeight="1" thickTop="1">
      <c r="A30" s="1108" t="s">
        <v>547</v>
      </c>
      <c r="B30" s="1108"/>
      <c r="C30" s="1113">
        <v>2026</v>
      </c>
      <c r="D30" s="1113"/>
      <c r="E30" s="1109">
        <v>2025</v>
      </c>
      <c r="F30" s="1108"/>
      <c r="G30" s="1108"/>
      <c r="H30" s="1108"/>
      <c r="I30" s="1109">
        <v>2024</v>
      </c>
      <c r="J30" s="1108"/>
      <c r="K30" s="1108"/>
      <c r="L30" s="1108"/>
      <c r="M30" s="1109" t="s">
        <v>545</v>
      </c>
      <c r="N30" s="1108"/>
      <c r="O30" s="1108"/>
      <c r="P30" s="1108"/>
      <c r="Q30" s="1109" t="s">
        <v>546</v>
      </c>
      <c r="R30" s="1108"/>
      <c r="S30" s="1108"/>
      <c r="T30" s="1108"/>
      <c r="U30" s="239"/>
      <c r="V30" s="1112" t="s">
        <v>718</v>
      </c>
      <c r="W30" s="654">
        <v>2025</v>
      </c>
      <c r="X30" s="559" t="s">
        <v>698</v>
      </c>
      <c r="Y30" s="484" t="s">
        <v>709</v>
      </c>
      <c r="Z30" s="458">
        <v>2024</v>
      </c>
      <c r="AA30" s="577" t="s">
        <v>635</v>
      </c>
      <c r="AB30" s="577" t="s">
        <v>670</v>
      </c>
      <c r="AC30" s="388">
        <v>2023</v>
      </c>
      <c r="AD30" s="388">
        <v>2022</v>
      </c>
      <c r="AE30" s="1110" t="s">
        <v>517</v>
      </c>
    </row>
    <row r="31" spans="1:34">
      <c r="A31" s="1108"/>
      <c r="B31" s="1108"/>
      <c r="C31" s="641" t="s">
        <v>519</v>
      </c>
      <c r="D31" s="669" t="s">
        <v>520</v>
      </c>
      <c r="E31" s="458" t="s">
        <v>519</v>
      </c>
      <c r="F31" s="470" t="s">
        <v>603</v>
      </c>
      <c r="G31" s="475" t="s">
        <v>521</v>
      </c>
      <c r="H31" s="559" t="s">
        <v>522</v>
      </c>
      <c r="I31" s="388" t="s">
        <v>519</v>
      </c>
      <c r="J31" s="397" t="s">
        <v>520</v>
      </c>
      <c r="K31" s="397" t="s">
        <v>521</v>
      </c>
      <c r="L31" s="397" t="s">
        <v>522</v>
      </c>
      <c r="M31" s="388" t="s">
        <v>519</v>
      </c>
      <c r="N31" s="388" t="s">
        <v>520</v>
      </c>
      <c r="O31" s="388" t="s">
        <v>521</v>
      </c>
      <c r="P31" s="388" t="s">
        <v>522</v>
      </c>
      <c r="Q31" s="388" t="s">
        <v>519</v>
      </c>
      <c r="R31" s="388" t="s">
        <v>520</v>
      </c>
      <c r="S31" s="388" t="s">
        <v>521</v>
      </c>
      <c r="T31" s="388" t="s">
        <v>522</v>
      </c>
      <c r="U31" s="239"/>
      <c r="V31" s="1108"/>
      <c r="W31" s="484" t="s">
        <v>710</v>
      </c>
      <c r="X31" s="559" t="s">
        <v>710</v>
      </c>
      <c r="Y31" s="484" t="s">
        <v>710</v>
      </c>
      <c r="Z31" s="458" t="s">
        <v>664</v>
      </c>
      <c r="AA31" s="577" t="s">
        <v>524</v>
      </c>
      <c r="AB31" s="577" t="s">
        <v>524</v>
      </c>
      <c r="AC31" s="388" t="s">
        <v>524</v>
      </c>
      <c r="AD31" s="388" t="s">
        <v>524</v>
      </c>
      <c r="AE31" s="1110"/>
      <c r="AH31" s="109" t="s">
        <v>657</v>
      </c>
    </row>
    <row r="32" spans="1:34" ht="15">
      <c r="A32" s="235" t="s">
        <v>542</v>
      </c>
      <c r="B32" s="235"/>
      <c r="C32" s="727">
        <v>12.684483961322428</v>
      </c>
      <c r="D32" s="402">
        <v>12.439235834942631</v>
      </c>
      <c r="E32" s="429">
        <v>12.381743445222799</v>
      </c>
      <c r="F32" s="429">
        <v>12.372077655507244</v>
      </c>
      <c r="G32" s="429">
        <v>12.56959347265121</v>
      </c>
      <c r="H32" s="359">
        <v>11.724763019691226</v>
      </c>
      <c r="I32" s="359">
        <v>12.204955857557801</v>
      </c>
      <c r="J32" s="429">
        <v>11.872793286968614</v>
      </c>
      <c r="K32" s="429">
        <v>11.757170813628687</v>
      </c>
      <c r="L32" s="429">
        <v>9.4482331218902456</v>
      </c>
      <c r="M32" s="248">
        <v>14.530236243604955</v>
      </c>
      <c r="N32" s="248">
        <v>14.361195141414685</v>
      </c>
      <c r="O32" s="248">
        <v>15.088103479219606</v>
      </c>
      <c r="P32" s="248">
        <v>14.573572147399489</v>
      </c>
      <c r="Q32" s="248">
        <v>16.556428124101817</v>
      </c>
      <c r="R32" s="248">
        <v>15.296288081483818</v>
      </c>
      <c r="S32" s="248">
        <v>15.62021483532658</v>
      </c>
      <c r="T32" s="248">
        <v>14.669545873919825</v>
      </c>
      <c r="U32" s="239"/>
      <c r="V32" s="402">
        <v>12.558772415545672</v>
      </c>
      <c r="W32" s="248">
        <v>12.240283835491208</v>
      </c>
      <c r="X32" s="248">
        <v>12.446849980054983</v>
      </c>
      <c r="Y32" s="248">
        <v>12.376799994584768</v>
      </c>
      <c r="Z32" s="248">
        <v>11.249703934708529</v>
      </c>
      <c r="AA32" s="248">
        <v>11.949518519745483</v>
      </c>
      <c r="AB32" s="248">
        <v>12.043648928704746</v>
      </c>
      <c r="AC32" s="248">
        <v>14.637011874349493</v>
      </c>
      <c r="AD32" s="248">
        <v>15.525272674541542</v>
      </c>
      <c r="AE32" s="276">
        <v>0.18197242096090349</v>
      </c>
    </row>
    <row r="33" spans="1:33">
      <c r="A33" s="242"/>
      <c r="B33" s="269" t="s">
        <v>534</v>
      </c>
      <c r="C33" s="728">
        <v>12.696085405943215</v>
      </c>
      <c r="D33" s="399">
        <v>12.47114654694894</v>
      </c>
      <c r="E33" s="249">
        <v>12.484556502488696</v>
      </c>
      <c r="F33" s="249">
        <v>12.444846084588312</v>
      </c>
      <c r="G33" s="249">
        <v>12.632235760002187</v>
      </c>
      <c r="H33" s="249">
        <v>11.772769596296186</v>
      </c>
      <c r="I33" s="249">
        <v>12.344399788240272</v>
      </c>
      <c r="J33" s="249">
        <v>12.023438485042753</v>
      </c>
      <c r="K33" s="249">
        <v>11.89270375915728</v>
      </c>
      <c r="L33" s="249">
        <v>9.5049577934457705</v>
      </c>
      <c r="M33" s="290">
        <v>14.666122487739834</v>
      </c>
      <c r="N33" s="290">
        <v>14.493502379168524</v>
      </c>
      <c r="O33" s="290">
        <v>15.244532549336979</v>
      </c>
      <c r="P33" s="290">
        <v>14.728975211893969</v>
      </c>
      <c r="Q33" s="290">
        <v>16.749278940417366</v>
      </c>
      <c r="R33" s="290">
        <v>15.472715401351868</v>
      </c>
      <c r="S33" s="290">
        <v>15.764303869094338</v>
      </c>
      <c r="T33" s="290">
        <v>14.806999952517874</v>
      </c>
      <c r="U33" s="230"/>
      <c r="V33" s="399">
        <v>12.580827934884123</v>
      </c>
      <c r="W33" s="249">
        <v>12.309594370351736</v>
      </c>
      <c r="X33" s="249">
        <v>12.525370624276887</v>
      </c>
      <c r="Y33" s="249">
        <v>12.464212398959221</v>
      </c>
      <c r="Z33" s="249">
        <v>11.36684932780933</v>
      </c>
      <c r="AA33" s="249">
        <v>12.091423595617639</v>
      </c>
      <c r="AB33" s="249">
        <v>12.18868893743211</v>
      </c>
      <c r="AC33" s="249">
        <v>14.782074600534038</v>
      </c>
      <c r="AD33" s="249">
        <v>15.687154639811357</v>
      </c>
      <c r="AE33" s="277">
        <v>0.11661553592490215</v>
      </c>
    </row>
    <row r="34" spans="1:33">
      <c r="A34" s="243"/>
      <c r="B34" s="271" t="s">
        <v>535</v>
      </c>
      <c r="C34" s="729">
        <v>11.728752181823234</v>
      </c>
      <c r="D34" s="400">
        <v>9.9707569093989203</v>
      </c>
      <c r="E34" s="250">
        <v>6.2068418223628345</v>
      </c>
      <c r="F34" s="250">
        <v>6.8178980762430603</v>
      </c>
      <c r="G34" s="250">
        <v>7.3539127434951324</v>
      </c>
      <c r="H34" s="250">
        <v>7.2126854770822009</v>
      </c>
      <c r="I34" s="250">
        <v>2.2389862989888312</v>
      </c>
      <c r="J34" s="250">
        <v>2.4413374278800379</v>
      </c>
      <c r="K34" s="250">
        <v>2.5871794226157636</v>
      </c>
      <c r="L34" s="250">
        <v>5.1154007484998703</v>
      </c>
      <c r="M34" s="263">
        <v>9.5013472552404838</v>
      </c>
      <c r="N34" s="263">
        <v>9.0127325162302103</v>
      </c>
      <c r="O34" s="263">
        <v>7.9970609465831837</v>
      </c>
      <c r="P34" s="263">
        <v>6.4664192926479691</v>
      </c>
      <c r="Q34" s="263">
        <v>7.9276624551691715</v>
      </c>
      <c r="R34" s="263">
        <v>7.8481046884933452</v>
      </c>
      <c r="S34" s="263">
        <v>8.7327291825627107</v>
      </c>
      <c r="T34" s="263">
        <v>8.452639809135718</v>
      </c>
      <c r="U34" s="230"/>
      <c r="V34" s="400">
        <v>10.800353884653312</v>
      </c>
      <c r="W34" s="250">
        <v>6.8663335244633812</v>
      </c>
      <c r="X34" s="250">
        <v>6.7590398400528935</v>
      </c>
      <c r="Y34" s="250">
        <v>6.4833663791895022</v>
      </c>
      <c r="Z34" s="250">
        <v>3.1093170092321909</v>
      </c>
      <c r="AA34" s="250">
        <v>2.4231886416531996</v>
      </c>
      <c r="AB34" s="250">
        <v>2.343849551846882</v>
      </c>
      <c r="AC34" s="250">
        <v>8.4196049195609373</v>
      </c>
      <c r="AD34" s="250">
        <v>8.2423365448214767</v>
      </c>
      <c r="AE34" s="278">
        <v>4.3169875054638096</v>
      </c>
    </row>
    <row r="35" spans="1:33">
      <c r="A35" s="244" t="s">
        <v>531</v>
      </c>
      <c r="B35" s="244"/>
      <c r="C35" s="730">
        <v>0.50409232225110678</v>
      </c>
      <c r="D35" s="398">
        <v>0.28964934722625418</v>
      </c>
      <c r="E35" s="248">
        <v>0.38750611047311495</v>
      </c>
      <c r="F35" s="248">
        <v>0.31969591810325682</v>
      </c>
      <c r="G35" s="248">
        <v>0.48866991516429076</v>
      </c>
      <c r="H35" s="248">
        <v>0.38045852302789879</v>
      </c>
      <c r="I35" s="248">
        <v>0.19512295686132022</v>
      </c>
      <c r="J35" s="248">
        <v>0.31046915921006507</v>
      </c>
      <c r="K35" s="248">
        <v>0.30332946694562163</v>
      </c>
      <c r="L35" s="248">
        <v>0.43251955912622081</v>
      </c>
      <c r="M35" s="248">
        <v>1.0952743723881881</v>
      </c>
      <c r="N35" s="248">
        <v>0.89058397618212493</v>
      </c>
      <c r="O35" s="248">
        <v>0.79102421512879717</v>
      </c>
      <c r="P35" s="248">
        <v>0.68935037693801926</v>
      </c>
      <c r="Q35" s="248">
        <v>0.56204642207910016</v>
      </c>
      <c r="R35" s="248">
        <v>0.87053230446472218</v>
      </c>
      <c r="S35" s="248">
        <v>1.1807136554105713</v>
      </c>
      <c r="T35" s="248">
        <v>1.2731611218228389</v>
      </c>
      <c r="U35" s="230"/>
      <c r="V35" s="398">
        <v>0.42542952480610058</v>
      </c>
      <c r="W35" s="248">
        <v>0.39329399607362836</v>
      </c>
      <c r="X35" s="248">
        <v>0.39690295546493659</v>
      </c>
      <c r="Y35" s="248">
        <v>2.3575871985103629</v>
      </c>
      <c r="Z35" s="248">
        <v>0.29773417900566451</v>
      </c>
      <c r="AA35" s="248">
        <v>0.26341954029297743</v>
      </c>
      <c r="AB35" s="248">
        <v>0.24872199502354306</v>
      </c>
      <c r="AC35" s="248">
        <v>0.89400131502399582</v>
      </c>
      <c r="AD35" s="248">
        <v>0.89331824256374648</v>
      </c>
      <c r="AE35" s="279">
        <v>-1.9321576737042623</v>
      </c>
    </row>
    <row r="36" spans="1:33" ht="14.25" thickBot="1">
      <c r="A36" s="245" t="s">
        <v>536</v>
      </c>
      <c r="B36" s="257"/>
      <c r="C36" s="731">
        <v>12.609676193677776</v>
      </c>
      <c r="D36" s="401">
        <v>12.398016099745059</v>
      </c>
      <c r="E36" s="358">
        <v>12.240668815889563</v>
      </c>
      <c r="F36" s="358">
        <v>12.268121950542149</v>
      </c>
      <c r="G36" s="358">
        <v>12.478433614978318</v>
      </c>
      <c r="H36" s="358">
        <v>11.651230812241147</v>
      </c>
      <c r="I36" s="358">
        <v>12.078218612524978</v>
      </c>
      <c r="J36" s="358">
        <v>11.760514386207428</v>
      </c>
      <c r="K36" s="358">
        <v>11.669516093114321</v>
      </c>
      <c r="L36" s="358">
        <v>9.3929470290487647</v>
      </c>
      <c r="M36" s="251">
        <v>14.354624246897535</v>
      </c>
      <c r="N36" s="251">
        <v>14.232406602186359</v>
      </c>
      <c r="O36" s="251">
        <v>14.957831191086964</v>
      </c>
      <c r="P36" s="251">
        <v>14.445344235398702</v>
      </c>
      <c r="Q36" s="251">
        <v>16.297435315129391</v>
      </c>
      <c r="R36" s="251">
        <v>15.124670465665863</v>
      </c>
      <c r="S36" s="251">
        <v>15.49776060527806</v>
      </c>
      <c r="T36" s="251">
        <v>14.570986690115529</v>
      </c>
      <c r="U36" s="239"/>
      <c r="V36" s="401">
        <v>12.501327582198895</v>
      </c>
      <c r="W36" s="251">
        <v>12.140384915493332</v>
      </c>
      <c r="X36" s="251">
        <v>12.335847499349901</v>
      </c>
      <c r="Y36" s="251">
        <v>12.254687649758642</v>
      </c>
      <c r="Z36" s="251">
        <v>11.157322543022246</v>
      </c>
      <c r="AA36" s="251">
        <v>11.840523608122085</v>
      </c>
      <c r="AB36" s="251">
        <v>11.924000545403752</v>
      </c>
      <c r="AC36" s="251">
        <v>14.49551985130875</v>
      </c>
      <c r="AD36" s="251">
        <v>15.366181346863033</v>
      </c>
      <c r="AE36" s="280">
        <v>0.24663993244025306</v>
      </c>
    </row>
    <row r="37" spans="1:33">
      <c r="A37" s="235"/>
      <c r="B37" s="242"/>
      <c r="C37" s="242" t="s">
        <v>518</v>
      </c>
      <c r="D37" s="242" t="s">
        <v>518</v>
      </c>
      <c r="E37" s="242" t="s">
        <v>518</v>
      </c>
      <c r="F37" s="242" t="s">
        <v>518</v>
      </c>
      <c r="G37" s="549"/>
      <c r="H37" s="549"/>
      <c r="I37" s="242"/>
      <c r="J37" s="242"/>
      <c r="K37" s="242"/>
      <c r="L37" s="242"/>
      <c r="M37" s="227"/>
      <c r="N37" s="227"/>
      <c r="O37" s="294"/>
      <c r="P37" s="227"/>
      <c r="Q37" s="227"/>
      <c r="R37" s="227"/>
      <c r="S37" s="227"/>
      <c r="T37" s="227"/>
      <c r="U37" s="239"/>
      <c r="V37" s="242" t="s">
        <v>518</v>
      </c>
      <c r="W37" s="227"/>
      <c r="X37" s="227"/>
      <c r="Y37" s="227"/>
      <c r="Z37" s="227"/>
      <c r="AA37" s="227"/>
      <c r="AB37" s="227"/>
      <c r="AC37" s="227"/>
      <c r="AD37" s="227"/>
      <c r="AE37" s="227"/>
    </row>
    <row r="38" spans="1:33" ht="16.5">
      <c r="A38" s="229" t="s">
        <v>544</v>
      </c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6"/>
      <c r="N38" s="226"/>
      <c r="O38" s="295"/>
      <c r="P38" s="226"/>
      <c r="Q38" s="226"/>
      <c r="R38" s="226"/>
      <c r="S38" s="226"/>
      <c r="T38" s="226"/>
      <c r="U38" s="239"/>
      <c r="V38" s="228"/>
      <c r="W38" s="233"/>
      <c r="X38" s="233"/>
      <c r="Y38" s="233"/>
      <c r="Z38" s="233"/>
      <c r="AA38" s="233"/>
      <c r="AB38" s="233"/>
      <c r="AC38" s="233"/>
      <c r="AD38" s="230"/>
      <c r="AE38" s="233"/>
    </row>
    <row r="39" spans="1:33" ht="14.25" thickBot="1">
      <c r="A39" s="255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6"/>
      <c r="N39" s="226"/>
      <c r="O39" s="226"/>
      <c r="P39" s="226"/>
      <c r="Q39" s="226"/>
      <c r="R39" s="226"/>
      <c r="S39" s="226"/>
      <c r="T39" s="226"/>
      <c r="U39" s="239"/>
      <c r="V39" s="228"/>
      <c r="W39" s="233"/>
      <c r="X39" s="233"/>
      <c r="Y39" s="233"/>
      <c r="Z39" s="233"/>
      <c r="AA39" s="233"/>
      <c r="AB39" s="233"/>
      <c r="AC39" s="233"/>
      <c r="AD39" s="230"/>
      <c r="AE39" s="233"/>
    </row>
    <row r="40" spans="1:33" ht="15.75" customHeight="1" thickTop="1">
      <c r="A40" s="1108" t="s">
        <v>548</v>
      </c>
      <c r="B40" s="1108"/>
      <c r="C40" s="1113">
        <v>2026</v>
      </c>
      <c r="D40" s="1113"/>
      <c r="E40" s="1109">
        <v>2025</v>
      </c>
      <c r="F40" s="1108"/>
      <c r="G40" s="1108"/>
      <c r="H40" s="1108"/>
      <c r="I40" s="1109">
        <v>2024</v>
      </c>
      <c r="J40" s="1108"/>
      <c r="K40" s="1108"/>
      <c r="L40" s="1108"/>
      <c r="M40" s="1109" t="s">
        <v>545</v>
      </c>
      <c r="N40" s="1108"/>
      <c r="O40" s="1108"/>
      <c r="P40" s="1108"/>
      <c r="Q40" s="1109" t="s">
        <v>546</v>
      </c>
      <c r="R40" s="1108"/>
      <c r="S40" s="1108"/>
      <c r="T40" s="1108"/>
      <c r="U40" s="239"/>
      <c r="V40" s="1112" t="s">
        <v>718</v>
      </c>
      <c r="W40" s="654">
        <v>2025</v>
      </c>
      <c r="X40" s="559" t="s">
        <v>698</v>
      </c>
      <c r="Y40" s="484" t="s">
        <v>709</v>
      </c>
      <c r="Z40" s="458">
        <v>2024</v>
      </c>
      <c r="AA40" s="577" t="s">
        <v>635</v>
      </c>
      <c r="AB40" s="577" t="s">
        <v>670</v>
      </c>
      <c r="AC40" s="388">
        <v>2023</v>
      </c>
      <c r="AD40" s="388">
        <v>2022</v>
      </c>
      <c r="AE40" s="1110" t="s">
        <v>517</v>
      </c>
    </row>
    <row r="41" spans="1:33">
      <c r="A41" s="1108"/>
      <c r="B41" s="1108"/>
      <c r="C41" s="615" t="s">
        <v>519</v>
      </c>
      <c r="D41" s="669" t="s">
        <v>520</v>
      </c>
      <c r="E41" s="458" t="s">
        <v>519</v>
      </c>
      <c r="F41" s="470" t="s">
        <v>603</v>
      </c>
      <c r="G41" s="475" t="s">
        <v>521</v>
      </c>
      <c r="H41" s="559" t="s">
        <v>522</v>
      </c>
      <c r="I41" s="388" t="s">
        <v>519</v>
      </c>
      <c r="J41" s="397" t="s">
        <v>520</v>
      </c>
      <c r="K41" s="397" t="s">
        <v>521</v>
      </c>
      <c r="L41" s="397" t="s">
        <v>522</v>
      </c>
      <c r="M41" s="388" t="s">
        <v>519</v>
      </c>
      <c r="N41" s="388" t="s">
        <v>520</v>
      </c>
      <c r="O41" s="388" t="s">
        <v>521</v>
      </c>
      <c r="P41" s="388" t="s">
        <v>522</v>
      </c>
      <c r="Q41" s="388" t="s">
        <v>519</v>
      </c>
      <c r="R41" s="388" t="s">
        <v>520</v>
      </c>
      <c r="S41" s="388" t="s">
        <v>521</v>
      </c>
      <c r="T41" s="388" t="s">
        <v>522</v>
      </c>
      <c r="U41" s="239"/>
      <c r="V41" s="1108"/>
      <c r="W41" s="484" t="s">
        <v>710</v>
      </c>
      <c r="X41" s="559" t="s">
        <v>710</v>
      </c>
      <c r="Y41" s="484" t="s">
        <v>710</v>
      </c>
      <c r="Z41" s="458" t="s">
        <v>664</v>
      </c>
      <c r="AA41" s="577" t="s">
        <v>524</v>
      </c>
      <c r="AB41" s="577" t="s">
        <v>524</v>
      </c>
      <c r="AC41" s="388" t="s">
        <v>524</v>
      </c>
      <c r="AD41" s="388" t="s">
        <v>524</v>
      </c>
      <c r="AE41" s="1110"/>
      <c r="AG41" s="654"/>
    </row>
    <row r="42" spans="1:33" ht="14.25" customHeight="1">
      <c r="A42" s="1111" t="s">
        <v>537</v>
      </c>
      <c r="B42" s="1111"/>
      <c r="C42" s="736">
        <v>88.174801520000003</v>
      </c>
      <c r="D42" s="403">
        <v>100.40057518</v>
      </c>
      <c r="E42" s="226">
        <v>67.021840429999997</v>
      </c>
      <c r="F42" s="226">
        <v>88.945625790000008</v>
      </c>
      <c r="G42" s="226">
        <v>106.79806313</v>
      </c>
      <c r="H42" s="226">
        <v>112.89259118999999</v>
      </c>
      <c r="I42" s="226">
        <v>75.555601370000005</v>
      </c>
      <c r="J42" s="226">
        <v>91.121859569999998</v>
      </c>
      <c r="K42" s="226">
        <v>71.698906710000003</v>
      </c>
      <c r="L42" s="226">
        <v>109.40815508</v>
      </c>
      <c r="M42" s="226">
        <v>92.819556039999995</v>
      </c>
      <c r="N42" s="226">
        <v>109.16365639</v>
      </c>
      <c r="O42" s="226">
        <v>108.91938437</v>
      </c>
      <c r="P42" s="226">
        <v>93.460031149999992</v>
      </c>
      <c r="Q42" s="226">
        <v>94.166446230000005</v>
      </c>
      <c r="R42" s="226">
        <v>107.64490677000001</v>
      </c>
      <c r="S42" s="226">
        <v>130.86966457</v>
      </c>
      <c r="T42" s="226">
        <v>130.73265628000001</v>
      </c>
      <c r="U42" s="239"/>
      <c r="V42" s="403">
        <v>188.57537669999999</v>
      </c>
      <c r="W42" s="264">
        <v>375.65812054000003</v>
      </c>
      <c r="X42" s="264">
        <v>262.76552935000001</v>
      </c>
      <c r="Y42" s="264">
        <v>155.96746622000001</v>
      </c>
      <c r="Z42" s="264">
        <v>347.78452273000005</v>
      </c>
      <c r="AA42" s="264">
        <v>238.37636765000002</v>
      </c>
      <c r="AB42" s="264">
        <v>166.67746094</v>
      </c>
      <c r="AC42" s="264">
        <v>404.36262794999993</v>
      </c>
      <c r="AD42" s="264">
        <v>463.41367385000001</v>
      </c>
      <c r="AE42" s="272">
        <v>0.20906866842348304</v>
      </c>
    </row>
    <row r="43" spans="1:33" ht="15.75" customHeight="1">
      <c r="A43" s="1111" t="s">
        <v>538</v>
      </c>
      <c r="B43" s="1111"/>
      <c r="C43" s="737">
        <v>2953.03724448</v>
      </c>
      <c r="D43" s="404">
        <v>3116.88534772</v>
      </c>
      <c r="E43" s="267">
        <v>2809.4206026300003</v>
      </c>
      <c r="F43" s="267">
        <v>2779.0601587799997</v>
      </c>
      <c r="G43" s="267">
        <v>2839.7948781699997</v>
      </c>
      <c r="H43" s="267">
        <v>2868.7106416699999</v>
      </c>
      <c r="I43" s="267">
        <v>2814.7231461799997</v>
      </c>
      <c r="J43" s="267">
        <v>2778.0157470999998</v>
      </c>
      <c r="K43" s="267">
        <v>2745.6502046400001</v>
      </c>
      <c r="L43" s="267">
        <v>2815.51313506</v>
      </c>
      <c r="M43" s="267">
        <v>2474.1334649700002</v>
      </c>
      <c r="N43" s="369">
        <v>2474.0250326999999</v>
      </c>
      <c r="O43" s="267">
        <v>2583.7430429800002</v>
      </c>
      <c r="P43" s="267">
        <v>2761.3347192200004</v>
      </c>
      <c r="Q43" s="267">
        <v>1934.6522555899999</v>
      </c>
      <c r="R43" s="267">
        <v>2007.8524601499998</v>
      </c>
      <c r="S43" s="267">
        <v>2067.4531015799998</v>
      </c>
      <c r="T43" s="267">
        <v>2504.3665710999999</v>
      </c>
      <c r="U43" s="230"/>
      <c r="V43" s="403">
        <v>6069.9225922000005</v>
      </c>
      <c r="W43" s="264">
        <v>11296.98628125</v>
      </c>
      <c r="X43" s="264">
        <v>8428.2756395799988</v>
      </c>
      <c r="Y43" s="265">
        <v>5588.48076141</v>
      </c>
      <c r="Z43" s="265">
        <v>11153.902232980001</v>
      </c>
      <c r="AA43" s="265">
        <v>8338.3890979200005</v>
      </c>
      <c r="AB43" s="265">
        <v>5592.7388932799995</v>
      </c>
      <c r="AC43" s="265">
        <v>10293.23625987</v>
      </c>
      <c r="AD43" s="265">
        <v>8514.3243884199983</v>
      </c>
      <c r="AE43" s="462">
        <v>8.6148964511874038E-2</v>
      </c>
    </row>
    <row r="44" spans="1:33" ht="16.5" customHeight="1" thickBot="1">
      <c r="A44" s="1107" t="s">
        <v>539</v>
      </c>
      <c r="B44" s="1107"/>
      <c r="C44" s="738">
        <v>3041.2120460000001</v>
      </c>
      <c r="D44" s="405">
        <v>3217.2859229000001</v>
      </c>
      <c r="E44" s="268">
        <v>2876.4424430600002</v>
      </c>
      <c r="F44" s="268">
        <v>2868.0057845699998</v>
      </c>
      <c r="G44" s="268">
        <v>2946.5929412999999</v>
      </c>
      <c r="H44" s="268">
        <v>2981.6032328599999</v>
      </c>
      <c r="I44" s="268">
        <v>2890.2787475499999</v>
      </c>
      <c r="J44" s="268">
        <v>2869.13760667</v>
      </c>
      <c r="K44" s="268">
        <v>2817.3491113499999</v>
      </c>
      <c r="L44" s="268">
        <v>2924.9212901400001</v>
      </c>
      <c r="M44" s="268">
        <v>2566.9530210100002</v>
      </c>
      <c r="N44" s="268">
        <v>2583.18868909</v>
      </c>
      <c r="O44" s="268">
        <v>2692.6624273500001</v>
      </c>
      <c r="P44" s="268">
        <v>2854.7947503700002</v>
      </c>
      <c r="Q44" s="268">
        <v>2028.8187018199999</v>
      </c>
      <c r="R44" s="268">
        <v>2115.4973669199999</v>
      </c>
      <c r="S44" s="268">
        <v>2198.32276615</v>
      </c>
      <c r="T44" s="268">
        <v>2635.0992273799998</v>
      </c>
      <c r="U44" s="232"/>
      <c r="V44" s="726">
        <v>6258.4979689000002</v>
      </c>
      <c r="W44" s="561">
        <v>11672.644401789999</v>
      </c>
      <c r="X44" s="561">
        <v>8691.0411689299999</v>
      </c>
      <c r="Y44" s="266">
        <v>5744.4482276300005</v>
      </c>
      <c r="Z44" s="266">
        <v>11501.686755710001</v>
      </c>
      <c r="AA44" s="266">
        <v>8576.7654655700007</v>
      </c>
      <c r="AB44" s="266">
        <v>5759.4163542200004</v>
      </c>
      <c r="AC44" s="266">
        <v>10697.598887820001</v>
      </c>
      <c r="AD44" s="266">
        <v>8977.7380622700002</v>
      </c>
      <c r="AE44" s="463">
        <v>8.9486356374053777E-2</v>
      </c>
    </row>
    <row r="45" spans="1:33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3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3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3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  <row r="51" spans="1:31">
      <c r="D51" s="102"/>
      <c r="V51" s="102"/>
    </row>
    <row r="52" spans="1:31">
      <c r="D52" s="102"/>
      <c r="V52" s="102"/>
    </row>
    <row r="53" spans="1:31">
      <c r="D53" s="102"/>
      <c r="V53" s="102"/>
    </row>
    <row r="54" spans="1:31">
      <c r="D54" s="102"/>
      <c r="V54" s="102"/>
    </row>
    <row r="55" spans="1:31">
      <c r="D55" s="102"/>
      <c r="V55" s="102"/>
    </row>
    <row r="56" spans="1:31">
      <c r="D56" s="102"/>
      <c r="V56" s="102"/>
    </row>
    <row r="57" spans="1:31">
      <c r="D57" s="102"/>
      <c r="V57" s="102"/>
    </row>
    <row r="58" spans="1:31">
      <c r="D58" s="102"/>
      <c r="V58" s="102"/>
    </row>
    <row r="59" spans="1:31">
      <c r="D59" s="102"/>
      <c r="V59" s="102"/>
    </row>
  </sheetData>
  <mergeCells count="36">
    <mergeCell ref="V40:V41"/>
    <mergeCell ref="C20:D20"/>
    <mergeCell ref="C30:D30"/>
    <mergeCell ref="C40:D40"/>
    <mergeCell ref="M27:P27"/>
    <mergeCell ref="M8:P8"/>
    <mergeCell ref="AE8:AE9"/>
    <mergeCell ref="A20:B21"/>
    <mergeCell ref="M20:P20"/>
    <mergeCell ref="AE20:AE21"/>
    <mergeCell ref="Q8:T8"/>
    <mergeCell ref="Q20:T20"/>
    <mergeCell ref="A8:B9"/>
    <mergeCell ref="I8:L8"/>
    <mergeCell ref="I20:L20"/>
    <mergeCell ref="E8:H8"/>
    <mergeCell ref="E20:H20"/>
    <mergeCell ref="C8:D8"/>
    <mergeCell ref="V8:V9"/>
    <mergeCell ref="V20:V21"/>
    <mergeCell ref="A44:B44"/>
    <mergeCell ref="A30:B31"/>
    <mergeCell ref="M30:P30"/>
    <mergeCell ref="AE30:AE31"/>
    <mergeCell ref="M40:P40"/>
    <mergeCell ref="AE40:AE41"/>
    <mergeCell ref="Q30:T30"/>
    <mergeCell ref="Q40:T40"/>
    <mergeCell ref="A40:B41"/>
    <mergeCell ref="A42:B42"/>
    <mergeCell ref="A43:B43"/>
    <mergeCell ref="I30:L30"/>
    <mergeCell ref="I40:L40"/>
    <mergeCell ref="E30:H30"/>
    <mergeCell ref="E40:H40"/>
    <mergeCell ref="V30:V31"/>
  </mergeCells>
  <phoneticPr fontId="21" type="noConversion"/>
  <pageMargins left="0.7" right="0.7" top="0.75" bottom="0.75" header="0.3" footer="0.3"/>
  <pageSetup paperSize="9" scale="6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theme="5" tint="0.79998168889431442"/>
    <pageSetUpPr fitToPage="1"/>
  </sheetPr>
  <dimension ref="A2:AJ38"/>
  <sheetViews>
    <sheetView view="pageBreakPreview" zoomScaleNormal="70" zoomScaleSheetLayoutView="100" workbookViewId="0">
      <pane xSplit="2" topLeftCell="AA1" activePane="topRight" state="frozen"/>
      <selection activeCell="H27" activeCellId="1" sqref="R7 H27"/>
      <selection pane="topRight" activeCell="AM19" sqref="AM19"/>
    </sheetView>
  </sheetViews>
  <sheetFormatPr defaultColWidth="8.88671875" defaultRowHeight="18" customHeight="1"/>
  <cols>
    <col min="1" max="1" width="2.77734375" style="3" customWidth="1"/>
    <col min="2" max="2" width="29.44140625" style="3" customWidth="1"/>
    <col min="3" max="10" width="13.33203125" style="3" hidden="1" customWidth="1"/>
    <col min="11" max="22" width="10.6640625" style="3" hidden="1" customWidth="1"/>
    <col min="23" max="23" width="9.88671875" style="3" hidden="1" customWidth="1"/>
    <col min="24" max="26" width="0" style="3" hidden="1" customWidth="1"/>
    <col min="27" max="16384" width="8.88671875" style="3"/>
  </cols>
  <sheetData>
    <row r="2" spans="1:36" ht="35.25" customHeight="1">
      <c r="A2" s="1116" t="s">
        <v>312</v>
      </c>
      <c r="B2" s="1116"/>
      <c r="C2" s="1116"/>
      <c r="D2" s="1116"/>
      <c r="E2" s="1116"/>
      <c r="F2" s="1116"/>
      <c r="G2" s="1116"/>
      <c r="H2" s="1116"/>
      <c r="I2" s="1116"/>
      <c r="J2" s="1116"/>
      <c r="K2" s="1116"/>
      <c r="L2" s="1116"/>
      <c r="M2" s="1116"/>
      <c r="N2" s="1116"/>
      <c r="O2" s="1116"/>
      <c r="P2" s="1116"/>
      <c r="Q2" s="1116"/>
      <c r="R2" s="1116"/>
      <c r="S2" s="1116"/>
      <c r="T2" s="1116"/>
      <c r="U2" s="1116"/>
      <c r="V2" s="1116"/>
      <c r="W2" s="126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</row>
    <row r="3" spans="1:36" ht="12.75" customHeight="1"/>
    <row r="4" spans="1:36" ht="18" customHeight="1" thickBot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s="674" customFormat="1" ht="20.25" customHeight="1" thickTop="1">
      <c r="A5" s="1118" t="s">
        <v>311</v>
      </c>
      <c r="B5" s="1118"/>
      <c r="C5" s="406" t="s">
        <v>408</v>
      </c>
      <c r="D5" s="406" t="s">
        <v>473</v>
      </c>
      <c r="E5" s="406" t="s">
        <v>410</v>
      </c>
      <c r="F5" s="406" t="s">
        <v>470</v>
      </c>
      <c r="G5" s="406" t="s">
        <v>412</v>
      </c>
      <c r="H5" s="406" t="s">
        <v>473</v>
      </c>
      <c r="I5" s="406" t="s">
        <v>414</v>
      </c>
      <c r="J5" s="406" t="s">
        <v>415</v>
      </c>
      <c r="K5" s="406" t="s">
        <v>416</v>
      </c>
      <c r="L5" s="406" t="s">
        <v>474</v>
      </c>
      <c r="M5" s="406" t="s">
        <v>418</v>
      </c>
      <c r="N5" s="406" t="s">
        <v>419</v>
      </c>
      <c r="O5" s="406" t="s">
        <v>420</v>
      </c>
      <c r="P5" s="406" t="s">
        <v>475</v>
      </c>
      <c r="Q5" s="406" t="s">
        <v>422</v>
      </c>
      <c r="R5" s="406" t="s">
        <v>423</v>
      </c>
      <c r="S5" s="406" t="s">
        <v>390</v>
      </c>
      <c r="T5" s="406" t="s">
        <v>476</v>
      </c>
      <c r="U5" s="406" t="s">
        <v>425</v>
      </c>
      <c r="V5" s="406" t="s">
        <v>426</v>
      </c>
      <c r="W5" s="406" t="s">
        <v>388</v>
      </c>
      <c r="X5" s="406" t="s">
        <v>429</v>
      </c>
      <c r="Y5" s="406" t="s">
        <v>468</v>
      </c>
      <c r="Z5" s="406" t="s">
        <v>481</v>
      </c>
      <c r="AA5" s="406" t="s">
        <v>566</v>
      </c>
      <c r="AB5" s="406" t="s">
        <v>611</v>
      </c>
      <c r="AC5" s="406" t="s">
        <v>624</v>
      </c>
      <c r="AD5" s="406" t="s">
        <v>654</v>
      </c>
      <c r="AE5" s="406" t="s">
        <v>650</v>
      </c>
      <c r="AF5" s="406" t="s">
        <v>672</v>
      </c>
      <c r="AG5" s="406" t="s">
        <v>677</v>
      </c>
      <c r="AH5" s="406" t="s">
        <v>685</v>
      </c>
      <c r="AI5" s="406" t="s">
        <v>689</v>
      </c>
      <c r="AJ5" s="740" t="s">
        <v>720</v>
      </c>
    </row>
    <row r="6" spans="1:36" s="20" customFormat="1" ht="18.75" customHeight="1">
      <c r="A6" s="676" t="s">
        <v>16</v>
      </c>
      <c r="B6" s="520"/>
      <c r="C6" s="407">
        <v>161385</v>
      </c>
      <c r="D6" s="407">
        <v>168282.87281944</v>
      </c>
      <c r="E6" s="407">
        <v>174449</v>
      </c>
      <c r="F6" s="407">
        <v>182553</v>
      </c>
      <c r="G6" s="407">
        <v>187980.53081475</v>
      </c>
      <c r="H6" s="407">
        <v>197837.5822833</v>
      </c>
      <c r="I6" s="407">
        <v>204714.51727405001</v>
      </c>
      <c r="J6" s="407">
        <v>204345</v>
      </c>
      <c r="K6" s="407">
        <v>211639.99745972001</v>
      </c>
      <c r="L6" s="407">
        <v>217391.56207380001</v>
      </c>
      <c r="M6" s="407">
        <v>219821.88811016001</v>
      </c>
      <c r="N6" s="407">
        <v>221050.69411206999</v>
      </c>
      <c r="O6" s="407">
        <v>223180.98970790999</v>
      </c>
      <c r="P6" s="407">
        <v>229768.34094523999</v>
      </c>
      <c r="Q6" s="407">
        <v>236867.69131038</v>
      </c>
      <c r="R6" s="407">
        <v>242150.37218432</v>
      </c>
      <c r="S6" s="407">
        <v>238105.65636661</v>
      </c>
      <c r="T6" s="407">
        <v>240688.67372127</v>
      </c>
      <c r="U6" s="407">
        <v>239554.13920276001</v>
      </c>
      <c r="V6" s="407">
        <v>274980</v>
      </c>
      <c r="W6" s="407">
        <v>325626.88045652001</v>
      </c>
      <c r="X6" s="407">
        <v>340813.07666557998</v>
      </c>
      <c r="Y6" s="407">
        <v>344515.24307468999</v>
      </c>
      <c r="Z6" s="407">
        <v>376732.27303232002</v>
      </c>
      <c r="AA6" s="407">
        <v>377146.11896772002</v>
      </c>
      <c r="AB6" s="407">
        <v>388629.58837064001</v>
      </c>
      <c r="AC6" s="407">
        <v>411204.96136999002</v>
      </c>
      <c r="AD6" s="407">
        <v>413443.87482994999</v>
      </c>
      <c r="AE6" s="407">
        <v>422655.80485647998</v>
      </c>
      <c r="AF6" s="407">
        <v>424113.98698986002</v>
      </c>
      <c r="AG6" s="407">
        <v>425945.40120124997</v>
      </c>
      <c r="AH6" s="407">
        <v>425150.95495223999</v>
      </c>
      <c r="AI6" s="407">
        <v>415536.63927261002</v>
      </c>
      <c r="AJ6" s="407">
        <v>412861.95168622001</v>
      </c>
    </row>
    <row r="7" spans="1:36" ht="18.75" customHeight="1">
      <c r="A7" s="117"/>
      <c r="B7" s="116" t="s">
        <v>33</v>
      </c>
      <c r="C7" s="118">
        <v>2354</v>
      </c>
      <c r="D7" s="118">
        <v>1422</v>
      </c>
      <c r="E7" s="118">
        <v>4228</v>
      </c>
      <c r="F7" s="118">
        <v>3564</v>
      </c>
      <c r="G7" s="118">
        <v>3906</v>
      </c>
      <c r="H7" s="118">
        <v>4135</v>
      </c>
      <c r="I7" s="118">
        <v>4843</v>
      </c>
      <c r="J7" s="118">
        <v>3788</v>
      </c>
      <c r="K7" s="118">
        <v>5421</v>
      </c>
      <c r="L7" s="118">
        <v>6399</v>
      </c>
      <c r="M7" s="118">
        <v>2446</v>
      </c>
      <c r="N7" s="118">
        <v>2114</v>
      </c>
      <c r="O7" s="118">
        <v>2468</v>
      </c>
      <c r="P7" s="118">
        <v>3523.6</v>
      </c>
      <c r="Q7" s="118">
        <v>7765</v>
      </c>
      <c r="R7" s="118">
        <v>5097</v>
      </c>
      <c r="S7" s="118">
        <v>6739</v>
      </c>
      <c r="T7" s="118">
        <v>7090</v>
      </c>
      <c r="U7" s="118">
        <v>5595</v>
      </c>
      <c r="V7" s="118">
        <v>22298</v>
      </c>
      <c r="W7" s="118">
        <v>8252.6141090399997</v>
      </c>
      <c r="X7" s="118">
        <v>15362.92895014</v>
      </c>
      <c r="Y7" s="118">
        <v>7015.3538219800002</v>
      </c>
      <c r="Z7" s="118">
        <v>15598.71224968</v>
      </c>
      <c r="AA7" s="118">
        <v>7588.54415986</v>
      </c>
      <c r="AB7" s="118">
        <v>12183.72199883</v>
      </c>
      <c r="AC7" s="118">
        <v>9206.8658216299991</v>
      </c>
      <c r="AD7" s="118">
        <v>8493.7083540900003</v>
      </c>
      <c r="AE7" s="118">
        <v>7305.5130517300004</v>
      </c>
      <c r="AF7" s="118">
        <v>9198.7694917200006</v>
      </c>
      <c r="AG7" s="118">
        <v>8324.2183368400001</v>
      </c>
      <c r="AH7" s="118">
        <v>14708.22014945</v>
      </c>
      <c r="AI7" s="118">
        <v>8007.5023559800002</v>
      </c>
      <c r="AJ7" s="408">
        <v>9735.6580460999994</v>
      </c>
    </row>
    <row r="8" spans="1:36" ht="18.75" customHeight="1">
      <c r="A8" s="117"/>
      <c r="B8" s="116" t="s">
        <v>34</v>
      </c>
      <c r="C8" s="118">
        <v>30182</v>
      </c>
      <c r="D8" s="118">
        <v>34147</v>
      </c>
      <c r="E8" s="118">
        <v>29548</v>
      </c>
      <c r="F8" s="118">
        <v>31861</v>
      </c>
      <c r="G8" s="118">
        <v>31849</v>
      </c>
      <c r="H8" s="118">
        <v>36329</v>
      </c>
      <c r="I8" s="118">
        <v>37508</v>
      </c>
      <c r="J8" s="118">
        <v>40743</v>
      </c>
      <c r="K8" s="118">
        <v>44632</v>
      </c>
      <c r="L8" s="118">
        <v>46799</v>
      </c>
      <c r="M8" s="118">
        <v>48260</v>
      </c>
      <c r="N8" s="118">
        <v>40417</v>
      </c>
      <c r="O8" s="118">
        <v>44669</v>
      </c>
      <c r="P8" s="118">
        <v>44363.5</v>
      </c>
      <c r="Q8" s="118">
        <v>46932</v>
      </c>
      <c r="R8" s="118">
        <v>45153</v>
      </c>
      <c r="S8" s="118">
        <v>51574</v>
      </c>
      <c r="T8" s="118">
        <v>46726</v>
      </c>
      <c r="U8" s="118">
        <v>45438</v>
      </c>
      <c r="V8" s="118">
        <v>43965</v>
      </c>
      <c r="W8" s="118">
        <v>72312.890401319994</v>
      </c>
      <c r="X8" s="118">
        <v>66806.276453030005</v>
      </c>
      <c r="Y8" s="118">
        <v>70943.113541240004</v>
      </c>
      <c r="Z8" s="118">
        <v>77657.858071540002</v>
      </c>
      <c r="AA8" s="118">
        <v>74444.667366730006</v>
      </c>
      <c r="AB8" s="118">
        <v>65123.682786700003</v>
      </c>
      <c r="AC8" s="118">
        <v>74972.184609870004</v>
      </c>
      <c r="AD8" s="118">
        <v>66727.904677119994</v>
      </c>
      <c r="AE8" s="118">
        <v>77169.43128705</v>
      </c>
      <c r="AF8" s="118">
        <v>83933.717497470003</v>
      </c>
      <c r="AG8" s="118">
        <v>79833.013842319997</v>
      </c>
      <c r="AH8" s="118">
        <v>66904.859454689999</v>
      </c>
      <c r="AI8" s="118">
        <v>59804.463829269996</v>
      </c>
      <c r="AJ8" s="408">
        <v>56577.749727759998</v>
      </c>
    </row>
    <row r="9" spans="1:36" ht="18.75" customHeight="1">
      <c r="A9" s="117"/>
      <c r="B9" s="116" t="s">
        <v>35</v>
      </c>
      <c r="C9" s="118">
        <v>110551</v>
      </c>
      <c r="D9" s="118">
        <v>114263</v>
      </c>
      <c r="E9" s="118">
        <v>122785</v>
      </c>
      <c r="F9" s="118">
        <v>129125</v>
      </c>
      <c r="G9" s="118">
        <v>134107</v>
      </c>
      <c r="H9" s="118">
        <v>141753</v>
      </c>
      <c r="I9" s="118">
        <v>146838</v>
      </c>
      <c r="J9" s="118">
        <v>144543</v>
      </c>
      <c r="K9" s="118">
        <v>146077</v>
      </c>
      <c r="L9" s="118">
        <v>148269</v>
      </c>
      <c r="M9" s="118">
        <v>153241</v>
      </c>
      <c r="N9" s="118">
        <v>162765</v>
      </c>
      <c r="O9" s="118">
        <v>157481</v>
      </c>
      <c r="P9" s="118">
        <v>163403</v>
      </c>
      <c r="Q9" s="118">
        <v>163270</v>
      </c>
      <c r="R9" s="118">
        <v>172766</v>
      </c>
      <c r="S9" s="118">
        <v>158855</v>
      </c>
      <c r="T9" s="118">
        <v>167348</v>
      </c>
      <c r="U9" s="118">
        <v>168452</v>
      </c>
      <c r="V9" s="118">
        <v>178430</v>
      </c>
      <c r="W9" s="118">
        <v>126790.55032552</v>
      </c>
      <c r="X9" s="118">
        <v>133543.33459185</v>
      </c>
      <c r="Y9" s="118">
        <v>134125.52030092999</v>
      </c>
      <c r="Z9" s="118">
        <v>147996.37093577001</v>
      </c>
      <c r="AA9" s="118">
        <v>152404.51648043</v>
      </c>
      <c r="AB9" s="118">
        <v>161143.41536724</v>
      </c>
      <c r="AC9" s="118">
        <v>171217.12253897</v>
      </c>
      <c r="AD9" s="118">
        <v>175405.09044489</v>
      </c>
      <c r="AE9" s="118">
        <v>186859.84039279999</v>
      </c>
      <c r="AF9" s="118">
        <v>182358.68386394001</v>
      </c>
      <c r="AG9" s="118">
        <v>186970.42139408999</v>
      </c>
      <c r="AH9" s="118">
        <v>179020.53884949</v>
      </c>
      <c r="AI9" s="118">
        <v>179858.36764936001</v>
      </c>
      <c r="AJ9" s="408">
        <v>176018.73240208</v>
      </c>
    </row>
    <row r="10" spans="1:36" ht="18.75" customHeight="1">
      <c r="A10" s="117"/>
      <c r="B10" s="116" t="s">
        <v>36</v>
      </c>
      <c r="C10" s="118">
        <v>9445</v>
      </c>
      <c r="D10" s="118">
        <v>9620</v>
      </c>
      <c r="E10" s="118">
        <v>9981</v>
      </c>
      <c r="F10" s="118">
        <v>10157</v>
      </c>
      <c r="G10" s="118">
        <v>10280</v>
      </c>
      <c r="H10" s="118">
        <v>7807</v>
      </c>
      <c r="I10" s="118">
        <v>7732</v>
      </c>
      <c r="J10" s="118">
        <v>8080</v>
      </c>
      <c r="K10" s="118">
        <v>8328</v>
      </c>
      <c r="L10" s="118">
        <v>8763</v>
      </c>
      <c r="M10" s="118">
        <v>8738</v>
      </c>
      <c r="N10" s="118">
        <v>8907</v>
      </c>
      <c r="O10" s="118">
        <v>9111</v>
      </c>
      <c r="P10" s="118">
        <v>9017</v>
      </c>
      <c r="Q10" s="118">
        <v>9442</v>
      </c>
      <c r="R10" s="118">
        <v>9673</v>
      </c>
      <c r="S10" s="118">
        <v>10966</v>
      </c>
      <c r="T10" s="118">
        <v>9263</v>
      </c>
      <c r="U10" s="118">
        <v>9794</v>
      </c>
      <c r="V10" s="118">
        <v>20013</v>
      </c>
      <c r="W10" s="161" t="s">
        <v>434</v>
      </c>
      <c r="X10" s="161" t="s">
        <v>434</v>
      </c>
      <c r="Y10" s="161" t="s">
        <v>434</v>
      </c>
      <c r="Z10" s="161" t="s">
        <v>434</v>
      </c>
      <c r="AA10" s="161" t="s">
        <v>434</v>
      </c>
      <c r="AB10" s="161" t="s">
        <v>434</v>
      </c>
      <c r="AC10" s="161" t="s">
        <v>652</v>
      </c>
      <c r="AD10" s="161" t="s">
        <v>653</v>
      </c>
      <c r="AE10" s="161" t="s">
        <v>652</v>
      </c>
      <c r="AF10" s="161" t="s">
        <v>434</v>
      </c>
      <c r="AG10" s="161" t="s">
        <v>434</v>
      </c>
      <c r="AH10" s="161" t="s">
        <v>434</v>
      </c>
      <c r="AI10" s="161" t="s">
        <v>434</v>
      </c>
      <c r="AJ10" s="521" t="s">
        <v>434</v>
      </c>
    </row>
    <row r="11" spans="1:36" ht="18.75" customHeight="1">
      <c r="A11" s="117"/>
      <c r="B11" s="116" t="s">
        <v>37</v>
      </c>
      <c r="C11" s="118">
        <v>952</v>
      </c>
      <c r="D11" s="118">
        <v>952</v>
      </c>
      <c r="E11" s="118">
        <v>52</v>
      </c>
      <c r="F11" s="118">
        <v>52</v>
      </c>
      <c r="G11" s="118">
        <v>52</v>
      </c>
      <c r="H11" s="118">
        <v>52</v>
      </c>
      <c r="I11" s="118">
        <v>52</v>
      </c>
      <c r="J11" s="118">
        <v>59</v>
      </c>
      <c r="K11" s="118">
        <v>65</v>
      </c>
      <c r="L11" s="118">
        <v>65</v>
      </c>
      <c r="M11" s="118">
        <v>62</v>
      </c>
      <c r="N11" s="118">
        <v>58</v>
      </c>
      <c r="O11" s="118">
        <v>58</v>
      </c>
      <c r="P11" s="118">
        <v>58</v>
      </c>
      <c r="Q11" s="118">
        <v>58</v>
      </c>
      <c r="R11" s="118">
        <v>58</v>
      </c>
      <c r="S11" s="118">
        <v>458</v>
      </c>
      <c r="T11" s="118">
        <v>482</v>
      </c>
      <c r="U11" s="118">
        <v>482</v>
      </c>
      <c r="V11" s="118">
        <v>482</v>
      </c>
      <c r="W11" s="118">
        <v>591.21697596000001</v>
      </c>
      <c r="X11" s="118">
        <v>1289.88569476</v>
      </c>
      <c r="Y11" s="118">
        <v>1341.37569476</v>
      </c>
      <c r="Z11" s="118">
        <v>1190.977484</v>
      </c>
      <c r="AA11" s="118">
        <v>1135.8420148</v>
      </c>
      <c r="AB11" s="118">
        <v>1094.8721247999999</v>
      </c>
      <c r="AC11" s="118">
        <v>1216.0478548000001</v>
      </c>
      <c r="AD11" s="118">
        <v>1437.0478548000001</v>
      </c>
      <c r="AE11" s="118">
        <v>1453.1869439699999</v>
      </c>
      <c r="AF11" s="118">
        <v>1461.96728373</v>
      </c>
      <c r="AG11" s="118">
        <v>2142.2501000000002</v>
      </c>
      <c r="AH11" s="118">
        <v>2197.5680612400001</v>
      </c>
      <c r="AI11" s="118">
        <v>2273.5690612399999</v>
      </c>
      <c r="AJ11" s="408">
        <v>2202.8388869999999</v>
      </c>
    </row>
    <row r="12" spans="1:36" ht="18.75" customHeight="1">
      <c r="A12" s="117"/>
      <c r="B12" s="116" t="s">
        <v>631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>
        <v>107906.19234701</v>
      </c>
      <c r="X12" s="118">
        <v>113955.67169954001</v>
      </c>
      <c r="Y12" s="118">
        <v>121167.37508391</v>
      </c>
      <c r="Z12" s="118">
        <v>124254.23582264</v>
      </c>
      <c r="AA12" s="118">
        <v>131341.71940713</v>
      </c>
      <c r="AB12" s="118">
        <v>137562.69147831999</v>
      </c>
      <c r="AC12" s="118">
        <v>142872.20962430001</v>
      </c>
      <c r="AD12" s="118">
        <v>149682.36362310001</v>
      </c>
      <c r="AE12" s="118">
        <v>138203.59245237001</v>
      </c>
      <c r="AF12" s="118">
        <v>135519.96165787001</v>
      </c>
      <c r="AG12" s="118">
        <v>137030.13703339</v>
      </c>
      <c r="AH12" s="118">
        <v>150689.33530827001</v>
      </c>
      <c r="AI12" s="118">
        <v>153983.71447583</v>
      </c>
      <c r="AJ12" s="408">
        <v>156744.59910369999</v>
      </c>
    </row>
    <row r="13" spans="1:36" ht="18.75" customHeight="1">
      <c r="A13" s="117"/>
      <c r="B13" s="116" t="s">
        <v>22</v>
      </c>
      <c r="C13" s="118">
        <v>7901</v>
      </c>
      <c r="D13" s="118">
        <v>7878</v>
      </c>
      <c r="E13" s="118">
        <v>7855</v>
      </c>
      <c r="F13" s="118">
        <v>7795</v>
      </c>
      <c r="G13" s="118">
        <v>7787</v>
      </c>
      <c r="H13" s="118">
        <v>7762</v>
      </c>
      <c r="I13" s="118">
        <v>7742</v>
      </c>
      <c r="J13" s="118">
        <v>7132</v>
      </c>
      <c r="K13" s="118">
        <v>7117</v>
      </c>
      <c r="L13" s="118">
        <v>7097</v>
      </c>
      <c r="M13" s="118">
        <v>7075</v>
      </c>
      <c r="N13" s="118">
        <v>6790</v>
      </c>
      <c r="O13" s="118">
        <v>9396</v>
      </c>
      <c r="P13" s="118">
        <v>9403</v>
      </c>
      <c r="Q13" s="118">
        <v>9401</v>
      </c>
      <c r="R13" s="118">
        <v>9403</v>
      </c>
      <c r="S13" s="118">
        <v>9514</v>
      </c>
      <c r="T13" s="118">
        <v>9779</v>
      </c>
      <c r="U13" s="118">
        <v>9793</v>
      </c>
      <c r="V13" s="118">
        <v>9792</v>
      </c>
      <c r="W13" s="118">
        <v>9773.4162976700009</v>
      </c>
      <c r="X13" s="118">
        <v>9854.9792762599991</v>
      </c>
      <c r="Y13" s="118">
        <v>9922.5046318700006</v>
      </c>
      <c r="Z13" s="118">
        <v>10034.11846869</v>
      </c>
      <c r="AA13" s="118">
        <v>10230.82953877</v>
      </c>
      <c r="AB13" s="118">
        <v>11521.20461475</v>
      </c>
      <c r="AC13" s="118">
        <v>11720.53092042</v>
      </c>
      <c r="AD13" s="118">
        <v>11697.75987595</v>
      </c>
      <c r="AE13" s="118">
        <v>11664.24072856</v>
      </c>
      <c r="AF13" s="118">
        <v>11640.887195130001</v>
      </c>
      <c r="AG13" s="118">
        <v>11645.36049461</v>
      </c>
      <c r="AH13" s="118">
        <v>11630.4331291</v>
      </c>
      <c r="AI13" s="118">
        <v>11609.02190093</v>
      </c>
      <c r="AJ13" s="408">
        <v>11582.37351958</v>
      </c>
    </row>
    <row r="14" spans="1:36" ht="18.75" customHeight="1">
      <c r="A14" s="117" t="s">
        <v>17</v>
      </c>
      <c r="B14" s="116"/>
      <c r="C14" s="118">
        <v>20693</v>
      </c>
      <c r="D14" s="118">
        <v>20517.7746257</v>
      </c>
      <c r="E14" s="118">
        <v>21014</v>
      </c>
      <c r="F14" s="118">
        <v>21779</v>
      </c>
      <c r="G14" s="118">
        <v>22608.479762300001</v>
      </c>
      <c r="H14" s="118">
        <v>24746.76159985</v>
      </c>
      <c r="I14" s="118">
        <v>25129.07604471</v>
      </c>
      <c r="J14" s="118">
        <v>27024</v>
      </c>
      <c r="K14" s="118">
        <v>28465.146538559999</v>
      </c>
      <c r="L14" s="118">
        <v>29444.190317780001</v>
      </c>
      <c r="M14" s="118">
        <v>30182.79631682</v>
      </c>
      <c r="N14" s="118">
        <v>31754.7519603</v>
      </c>
      <c r="O14" s="118">
        <v>30873.89258965</v>
      </c>
      <c r="P14" s="118">
        <v>31942.56506375</v>
      </c>
      <c r="Q14" s="118">
        <v>32535.374360850001</v>
      </c>
      <c r="R14" s="118">
        <v>33372.304153689998</v>
      </c>
      <c r="S14" s="118">
        <v>36221.538691920003</v>
      </c>
      <c r="T14" s="118">
        <v>40283.694180060003</v>
      </c>
      <c r="U14" s="118">
        <v>42937</v>
      </c>
      <c r="V14" s="118">
        <v>44113.763460560003</v>
      </c>
      <c r="W14" s="118">
        <v>14778.3815177</v>
      </c>
      <c r="X14" s="118">
        <v>15006.356258530001</v>
      </c>
      <c r="Y14" s="118">
        <v>13605.942256599999</v>
      </c>
      <c r="Z14" s="118">
        <v>17306.351405310001</v>
      </c>
      <c r="AA14" s="118">
        <v>15592.69113279</v>
      </c>
      <c r="AB14" s="118">
        <v>17168.750564760001</v>
      </c>
      <c r="AC14" s="118">
        <v>18989.109829739999</v>
      </c>
      <c r="AD14" s="118">
        <v>20140.94975824</v>
      </c>
      <c r="AE14" s="118">
        <v>21605.5442391</v>
      </c>
      <c r="AF14" s="118">
        <v>20553.40972629</v>
      </c>
      <c r="AG14" s="118">
        <v>19382.561650690001</v>
      </c>
      <c r="AH14" s="118">
        <v>17276.967493389999</v>
      </c>
      <c r="AI14" s="118">
        <v>15622.358209669999</v>
      </c>
      <c r="AJ14" s="408">
        <v>18487.364384510001</v>
      </c>
    </row>
    <row r="15" spans="1:36" ht="18.75" customHeight="1">
      <c r="A15" s="117" t="s">
        <v>42</v>
      </c>
      <c r="B15" s="116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>
        <v>2225</v>
      </c>
      <c r="U15" s="118">
        <v>6568</v>
      </c>
      <c r="V15" s="118">
        <v>38629</v>
      </c>
      <c r="W15" s="161" t="s">
        <v>434</v>
      </c>
      <c r="X15" s="161" t="s">
        <v>434</v>
      </c>
      <c r="Y15" s="161" t="s">
        <v>434</v>
      </c>
      <c r="Z15" s="161" t="s">
        <v>434</v>
      </c>
      <c r="AA15" s="161" t="s">
        <v>434</v>
      </c>
      <c r="AB15" s="161" t="s">
        <v>434</v>
      </c>
      <c r="AC15" s="161" t="s">
        <v>653</v>
      </c>
      <c r="AD15" s="161" t="s">
        <v>655</v>
      </c>
      <c r="AE15" s="161" t="s">
        <v>652</v>
      </c>
      <c r="AF15" s="161" t="s">
        <v>434</v>
      </c>
      <c r="AG15" s="161" t="s">
        <v>434</v>
      </c>
      <c r="AH15" s="161" t="s">
        <v>434</v>
      </c>
      <c r="AI15" s="161" t="s">
        <v>434</v>
      </c>
      <c r="AJ15" s="521" t="s">
        <v>434</v>
      </c>
    </row>
    <row r="16" spans="1:36" s="675" customFormat="1" ht="18.75" customHeight="1">
      <c r="A16" s="1120" t="s">
        <v>38</v>
      </c>
      <c r="B16" s="1120"/>
      <c r="C16" s="407">
        <v>182078</v>
      </c>
      <c r="D16" s="407">
        <v>188800.64744514</v>
      </c>
      <c r="E16" s="407">
        <v>195463</v>
      </c>
      <c r="F16" s="407">
        <v>204333</v>
      </c>
      <c r="G16" s="407">
        <v>210589.01057705001</v>
      </c>
      <c r="H16" s="407">
        <v>222584.34388315</v>
      </c>
      <c r="I16" s="407">
        <v>229843.59331875999</v>
      </c>
      <c r="J16" s="407">
        <v>231369</v>
      </c>
      <c r="K16" s="407">
        <v>240105.14399827999</v>
      </c>
      <c r="L16" s="407">
        <v>246835.75239158</v>
      </c>
      <c r="M16" s="407">
        <v>250004.68442698001</v>
      </c>
      <c r="N16" s="407">
        <v>252805.44607236999</v>
      </c>
      <c r="O16" s="407">
        <v>254054.88229755999</v>
      </c>
      <c r="P16" s="407">
        <v>261710.90600898999</v>
      </c>
      <c r="Q16" s="407">
        <v>269403.06567123003</v>
      </c>
      <c r="R16" s="407">
        <v>275522.67633801</v>
      </c>
      <c r="S16" s="407">
        <v>274327.19505853002</v>
      </c>
      <c r="T16" s="407">
        <v>283197.36790133</v>
      </c>
      <c r="U16" s="407">
        <v>289059</v>
      </c>
      <c r="V16" s="407">
        <v>357723</v>
      </c>
      <c r="W16" s="407">
        <v>340405.26197421999</v>
      </c>
      <c r="X16" s="407">
        <v>355819.43292410998</v>
      </c>
      <c r="Y16" s="407">
        <v>358121.18533129001</v>
      </c>
      <c r="Z16" s="407">
        <v>394038.62443763</v>
      </c>
      <c r="AA16" s="407">
        <v>392738.81010051002</v>
      </c>
      <c r="AB16" s="407">
        <v>405798.33893540001</v>
      </c>
      <c r="AC16" s="407">
        <v>430194.07119972998</v>
      </c>
      <c r="AD16" s="407">
        <v>433584.82458819001</v>
      </c>
      <c r="AE16" s="407">
        <v>444261.34909557999</v>
      </c>
      <c r="AF16" s="407">
        <v>444667.39671614999</v>
      </c>
      <c r="AG16" s="407">
        <v>445327.96285194001</v>
      </c>
      <c r="AH16" s="407">
        <v>442427.92244563001</v>
      </c>
      <c r="AI16" s="407">
        <v>431158.99748228001</v>
      </c>
      <c r="AJ16" s="407">
        <v>431349.31607072998</v>
      </c>
    </row>
    <row r="17" spans="1:36" ht="18.75" customHeight="1">
      <c r="A17" s="117" t="s">
        <v>39</v>
      </c>
      <c r="B17" s="116"/>
      <c r="C17" s="118">
        <v>158206</v>
      </c>
      <c r="D17" s="118">
        <v>162759.09580551001</v>
      </c>
      <c r="E17" s="118">
        <v>166392</v>
      </c>
      <c r="F17" s="118">
        <v>170210</v>
      </c>
      <c r="G17" s="118">
        <v>174153.84714979</v>
      </c>
      <c r="H17" s="118">
        <v>178897.59778169999</v>
      </c>
      <c r="I17" s="118">
        <v>183565.04788951</v>
      </c>
      <c r="J17" s="118">
        <v>188695</v>
      </c>
      <c r="K17" s="118">
        <v>193597.15541702</v>
      </c>
      <c r="L17" s="118">
        <v>198374.47901208</v>
      </c>
      <c r="M17" s="118">
        <v>203893.86427783</v>
      </c>
      <c r="N17" s="118">
        <v>208589.09326652001</v>
      </c>
      <c r="O17" s="118">
        <v>213445.74210030999</v>
      </c>
      <c r="P17" s="118">
        <v>218553.19693887999</v>
      </c>
      <c r="Q17" s="118">
        <v>223953.52897277</v>
      </c>
      <c r="R17" s="118">
        <v>229626.28856171001</v>
      </c>
      <c r="S17" s="118">
        <v>235421.55413176</v>
      </c>
      <c r="T17" s="118">
        <v>241110.32422888</v>
      </c>
      <c r="U17" s="118">
        <v>246821.88009404999</v>
      </c>
      <c r="V17" s="118">
        <v>250391</v>
      </c>
      <c r="W17" s="118">
        <v>272142.445977</v>
      </c>
      <c r="X17" s="118">
        <v>282674.05029912997</v>
      </c>
      <c r="Y17" s="118">
        <v>274502.22320320999</v>
      </c>
      <c r="Z17" s="118">
        <v>308902.49722785002</v>
      </c>
      <c r="AA17" s="118">
        <v>314589.78641249001</v>
      </c>
      <c r="AB17" s="118">
        <v>325457.23722683999</v>
      </c>
      <c r="AC17" s="118">
        <v>341514.17251626001</v>
      </c>
      <c r="AD17" s="118">
        <v>342351.74512754998</v>
      </c>
      <c r="AE17" s="118">
        <v>360160.77864686999</v>
      </c>
      <c r="AF17" s="118">
        <v>356993.21067909</v>
      </c>
      <c r="AG17" s="118">
        <v>358076.47473573999</v>
      </c>
      <c r="AH17" s="118">
        <v>346649.48147842003</v>
      </c>
      <c r="AI17" s="118">
        <v>333045.65135989001</v>
      </c>
      <c r="AJ17" s="408">
        <v>320175.0640977</v>
      </c>
    </row>
    <row r="18" spans="1:36" ht="18.75" customHeight="1">
      <c r="A18" s="117" t="s">
        <v>18</v>
      </c>
      <c r="B18" s="116"/>
      <c r="C18" s="118">
        <v>8170</v>
      </c>
      <c r="D18" s="118">
        <v>9433.0677188499994</v>
      </c>
      <c r="E18" s="118">
        <v>9674</v>
      </c>
      <c r="F18" s="118">
        <v>11366</v>
      </c>
      <c r="G18" s="118">
        <v>12691.94107639</v>
      </c>
      <c r="H18" s="118">
        <v>16615.656689899999</v>
      </c>
      <c r="I18" s="118">
        <v>17311.457604880001</v>
      </c>
      <c r="J18" s="118">
        <v>18346</v>
      </c>
      <c r="K18" s="118">
        <v>22023.582417639998</v>
      </c>
      <c r="L18" s="118">
        <v>22543.738670309998</v>
      </c>
      <c r="M18" s="118">
        <v>18863.784337289999</v>
      </c>
      <c r="N18" s="118">
        <v>17498.006337800001</v>
      </c>
      <c r="O18" s="118">
        <v>17428.153115239998</v>
      </c>
      <c r="P18" s="118">
        <v>18700.778666630002</v>
      </c>
      <c r="Q18" s="118">
        <v>21224.05336867</v>
      </c>
      <c r="R18" s="118">
        <v>22001.260125339999</v>
      </c>
      <c r="S18" s="118">
        <v>23072.484432189998</v>
      </c>
      <c r="T18" s="118">
        <v>27644.548153560001</v>
      </c>
      <c r="U18" s="118">
        <v>29183.451183040001</v>
      </c>
      <c r="V18" s="118">
        <v>30612</v>
      </c>
      <c r="W18" s="118">
        <v>27498.594293350001</v>
      </c>
      <c r="X18" s="118">
        <v>27255.125181949999</v>
      </c>
      <c r="Y18" s="118">
        <v>30947.947018229999</v>
      </c>
      <c r="Z18" s="118">
        <v>30410.39067995</v>
      </c>
      <c r="AA18" s="118">
        <v>29674.620017900001</v>
      </c>
      <c r="AB18" s="118">
        <v>27626.131474670001</v>
      </c>
      <c r="AC18" s="118">
        <v>33372.559184190002</v>
      </c>
      <c r="AD18" s="118">
        <v>33832.216410169996</v>
      </c>
      <c r="AE18" s="118">
        <v>31574.640561690001</v>
      </c>
      <c r="AF18" s="118">
        <v>30534.080380449999</v>
      </c>
      <c r="AG18" s="118">
        <v>31297.726848350001</v>
      </c>
      <c r="AH18" s="118">
        <v>37235.252979260003</v>
      </c>
      <c r="AI18" s="118">
        <v>39596.143412439997</v>
      </c>
      <c r="AJ18" s="408">
        <v>44400.023328980002</v>
      </c>
    </row>
    <row r="19" spans="1:36" ht="18.75" customHeight="1">
      <c r="A19" s="117" t="s">
        <v>43</v>
      </c>
      <c r="B19" s="116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>
        <v>4348.0502816600001</v>
      </c>
      <c r="U19" s="118">
        <v>6909.6275580299998</v>
      </c>
      <c r="V19" s="118">
        <v>68000</v>
      </c>
      <c r="W19" s="161" t="s">
        <v>434</v>
      </c>
      <c r="X19" s="161" t="s">
        <v>434</v>
      </c>
      <c r="Y19" s="161" t="s">
        <v>434</v>
      </c>
      <c r="Z19" s="161" t="s">
        <v>434</v>
      </c>
      <c r="AA19" s="161" t="s">
        <v>434</v>
      </c>
      <c r="AB19" s="161" t="s">
        <v>434</v>
      </c>
      <c r="AC19" s="161" t="s">
        <v>652</v>
      </c>
      <c r="AD19" s="161" t="s">
        <v>655</v>
      </c>
      <c r="AE19" s="161" t="s">
        <v>652</v>
      </c>
      <c r="AF19" s="161" t="s">
        <v>434</v>
      </c>
      <c r="AG19" s="161" t="s">
        <v>434</v>
      </c>
      <c r="AH19" s="161" t="s">
        <v>434</v>
      </c>
      <c r="AI19" s="161" t="s">
        <v>434</v>
      </c>
      <c r="AJ19" s="516" t="s">
        <v>434</v>
      </c>
    </row>
    <row r="20" spans="1:36" s="675" customFormat="1" ht="18.75" customHeight="1">
      <c r="A20" s="1120" t="s">
        <v>40</v>
      </c>
      <c r="B20" s="1120"/>
      <c r="C20" s="407">
        <v>166376</v>
      </c>
      <c r="D20" s="407">
        <v>172192.16352435999</v>
      </c>
      <c r="E20" s="407">
        <v>176066</v>
      </c>
      <c r="F20" s="407">
        <v>181576</v>
      </c>
      <c r="G20" s="407">
        <v>186845.78822618001</v>
      </c>
      <c r="H20" s="407">
        <v>195513.2544716</v>
      </c>
      <c r="I20" s="407">
        <v>200876.50549439</v>
      </c>
      <c r="J20" s="407">
        <v>207040.69653166001</v>
      </c>
      <c r="K20" s="407">
        <v>215620.73783465999</v>
      </c>
      <c r="L20" s="407">
        <v>220918.21768239001</v>
      </c>
      <c r="M20" s="407">
        <v>222757.64861512001</v>
      </c>
      <c r="N20" s="407">
        <v>226087.09960432001</v>
      </c>
      <c r="O20" s="407">
        <v>230873.89521555</v>
      </c>
      <c r="P20" s="407">
        <v>237253.97560551</v>
      </c>
      <c r="Q20" s="407">
        <v>245177.58234143999</v>
      </c>
      <c r="R20" s="407">
        <v>251627.54868705</v>
      </c>
      <c r="S20" s="407">
        <v>258494.03856394999</v>
      </c>
      <c r="T20" s="407">
        <v>273102.92266410001</v>
      </c>
      <c r="U20" s="407">
        <v>282914.95883512002</v>
      </c>
      <c r="V20" s="407">
        <v>349003</v>
      </c>
      <c r="W20" s="407">
        <v>299641.04027035</v>
      </c>
      <c r="X20" s="407">
        <v>309929.17548108002</v>
      </c>
      <c r="Y20" s="407">
        <v>305450.17022144003</v>
      </c>
      <c r="Z20" s="407">
        <v>339312.88790779997</v>
      </c>
      <c r="AA20" s="407">
        <v>344264.40643039002</v>
      </c>
      <c r="AB20" s="407">
        <v>353083.36870151001</v>
      </c>
      <c r="AC20" s="407">
        <v>374886.73170045001</v>
      </c>
      <c r="AD20" s="407">
        <v>376183.96153772</v>
      </c>
      <c r="AE20" s="407">
        <v>391735.41920856002</v>
      </c>
      <c r="AF20" s="407">
        <v>387527.29105954</v>
      </c>
      <c r="AG20" s="407">
        <v>389374.20158409001</v>
      </c>
      <c r="AH20" s="407">
        <v>383884.73445768002</v>
      </c>
      <c r="AI20" s="407">
        <v>372641.79477232997</v>
      </c>
      <c r="AJ20" s="407">
        <v>364575.08742668002</v>
      </c>
    </row>
    <row r="21" spans="1:36" ht="18.75" customHeight="1">
      <c r="A21" s="117" t="s">
        <v>317</v>
      </c>
      <c r="B21" s="116"/>
      <c r="C21" s="118">
        <v>552</v>
      </c>
      <c r="D21" s="118">
        <v>551.69000000000005</v>
      </c>
      <c r="E21" s="118">
        <v>568</v>
      </c>
      <c r="F21" s="118">
        <v>568</v>
      </c>
      <c r="G21" s="118">
        <v>568.4</v>
      </c>
      <c r="H21" s="118">
        <v>568.4</v>
      </c>
      <c r="I21" s="118">
        <v>568.4</v>
      </c>
      <c r="J21" s="118">
        <v>568</v>
      </c>
      <c r="K21" s="118">
        <v>568.4</v>
      </c>
      <c r="L21" s="118">
        <v>568.4</v>
      </c>
      <c r="M21" s="118">
        <v>568.4</v>
      </c>
      <c r="N21" s="118">
        <v>603.125</v>
      </c>
      <c r="O21" s="118">
        <v>603.125</v>
      </c>
      <c r="P21" s="118">
        <v>603.125</v>
      </c>
      <c r="Q21" s="118">
        <v>603.125</v>
      </c>
      <c r="R21" s="118">
        <v>603.125</v>
      </c>
      <c r="S21" s="118">
        <v>603.125</v>
      </c>
      <c r="T21" s="118">
        <v>603.125</v>
      </c>
      <c r="U21" s="118">
        <v>603.125</v>
      </c>
      <c r="V21" s="118">
        <v>603</v>
      </c>
      <c r="W21" s="118">
        <v>603.125</v>
      </c>
      <c r="X21" s="118">
        <v>603.125</v>
      </c>
      <c r="Y21" s="118">
        <v>603.125</v>
      </c>
      <c r="Z21" s="118">
        <v>603.125</v>
      </c>
      <c r="AA21" s="118">
        <v>603.125</v>
      </c>
      <c r="AB21" s="118">
        <v>603.125</v>
      </c>
      <c r="AC21" s="118">
        <v>603.125</v>
      </c>
      <c r="AD21" s="118">
        <v>603.125</v>
      </c>
      <c r="AE21" s="118">
        <v>603.125</v>
      </c>
      <c r="AF21" s="118">
        <v>603.125</v>
      </c>
      <c r="AG21" s="118">
        <v>603.125</v>
      </c>
      <c r="AH21" s="118">
        <v>603.125</v>
      </c>
      <c r="AI21" s="118">
        <v>603.125</v>
      </c>
      <c r="AJ21" s="408">
        <v>603.125</v>
      </c>
    </row>
    <row r="22" spans="1:36" ht="18.75" customHeight="1">
      <c r="A22" s="117" t="s">
        <v>59</v>
      </c>
      <c r="B22" s="116"/>
      <c r="C22" s="118">
        <v>4366</v>
      </c>
      <c r="D22" s="118">
        <v>4365.9680867699999</v>
      </c>
      <c r="E22" s="118">
        <v>5049</v>
      </c>
      <c r="F22" s="118">
        <v>5049</v>
      </c>
      <c r="G22" s="118">
        <v>5049.1558187700002</v>
      </c>
      <c r="H22" s="118">
        <v>5049.1558187700002</v>
      </c>
      <c r="I22" s="118">
        <v>5049.1558187700002</v>
      </c>
      <c r="J22" s="118">
        <v>5049</v>
      </c>
      <c r="K22" s="118">
        <v>5049.1558187700002</v>
      </c>
      <c r="L22" s="118">
        <v>5049.1558187700002</v>
      </c>
      <c r="M22" s="118">
        <v>5049.1558187700002</v>
      </c>
      <c r="N22" s="118">
        <v>6014.0974787699997</v>
      </c>
      <c r="O22" s="118">
        <v>6014.0974787699997</v>
      </c>
      <c r="P22" s="118">
        <v>6014.0974787699997</v>
      </c>
      <c r="Q22" s="118">
        <v>6014.0974787699997</v>
      </c>
      <c r="R22" s="118">
        <v>6014.0974787699997</v>
      </c>
      <c r="S22" s="118">
        <v>1014.09747877</v>
      </c>
      <c r="T22" s="118">
        <v>1014.09747877</v>
      </c>
      <c r="U22" s="118">
        <v>1014.09747877</v>
      </c>
      <c r="V22" s="118">
        <v>1014</v>
      </c>
      <c r="W22" s="118">
        <v>1016.23120971</v>
      </c>
      <c r="X22" s="118">
        <v>1016.23120971</v>
      </c>
      <c r="Y22" s="118">
        <v>1016.23120971</v>
      </c>
      <c r="Z22" s="118">
        <v>1016.23120971</v>
      </c>
      <c r="AA22" s="118">
        <v>1016.23120971</v>
      </c>
      <c r="AB22" s="118">
        <v>1016.23120971</v>
      </c>
      <c r="AC22" s="118">
        <v>1016.23120971</v>
      </c>
      <c r="AD22" s="118">
        <v>1016.23120971</v>
      </c>
      <c r="AE22" s="118">
        <v>1016.23120971</v>
      </c>
      <c r="AF22" s="118">
        <v>1016.23120971</v>
      </c>
      <c r="AG22" s="118">
        <v>1016.23120971</v>
      </c>
      <c r="AH22" s="118">
        <v>1016.23120971</v>
      </c>
      <c r="AI22" s="118">
        <v>1016.23120971</v>
      </c>
      <c r="AJ22" s="408">
        <v>1016.23120971</v>
      </c>
    </row>
    <row r="23" spans="1:36" ht="18.75" customHeight="1">
      <c r="A23" s="122" t="s">
        <v>41</v>
      </c>
      <c r="B23" s="123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>
        <v>1045.3435999999999</v>
      </c>
      <c r="O23" s="118">
        <v>1045.3435999999999</v>
      </c>
      <c r="P23" s="118">
        <v>1045.3435999999999</v>
      </c>
      <c r="Q23" s="118">
        <v>1045.3435999999999</v>
      </c>
      <c r="R23" s="118">
        <v>1045.3435999999999</v>
      </c>
      <c r="S23" s="118">
        <v>1045.3435999999999</v>
      </c>
      <c r="T23" s="118">
        <v>2837.2968000000001</v>
      </c>
      <c r="U23" s="118">
        <v>2837.2968000000001</v>
      </c>
      <c r="V23" s="118">
        <v>2837</v>
      </c>
      <c r="W23" s="118">
        <v>2837.2968000000001</v>
      </c>
      <c r="X23" s="118">
        <v>2837.2968000000001</v>
      </c>
      <c r="Y23" s="118">
        <v>2837.2968000000001</v>
      </c>
      <c r="Z23" s="118">
        <v>2837.2968000000001</v>
      </c>
      <c r="AA23" s="118">
        <v>2837.2968000000001</v>
      </c>
      <c r="AB23" s="118">
        <v>2837.2968000000001</v>
      </c>
      <c r="AC23" s="118">
        <v>2837.2968000000001</v>
      </c>
      <c r="AD23" s="118">
        <v>2837.2968000000001</v>
      </c>
      <c r="AE23" s="118">
        <v>2837.2968000000001</v>
      </c>
      <c r="AF23" s="118">
        <v>2837.2968000000001</v>
      </c>
      <c r="AG23" s="118">
        <v>2837.2968000000001</v>
      </c>
      <c r="AH23" s="118">
        <v>1791.9531999999999</v>
      </c>
      <c r="AI23" s="118">
        <v>1791.9531999999999</v>
      </c>
      <c r="AJ23" s="408">
        <v>1791.9531999999999</v>
      </c>
    </row>
    <row r="24" spans="1:36" ht="18.75" customHeight="1">
      <c r="A24" s="117" t="s">
        <v>58</v>
      </c>
      <c r="B24" s="116"/>
      <c r="C24" s="118">
        <v>10445</v>
      </c>
      <c r="D24" s="118">
        <v>11134.1056451</v>
      </c>
      <c r="E24" s="118">
        <v>11863</v>
      </c>
      <c r="F24" s="118">
        <v>12414</v>
      </c>
      <c r="G24" s="118">
        <v>12154.862263389999</v>
      </c>
      <c r="H24" s="118">
        <v>12858.266356280001</v>
      </c>
      <c r="I24" s="118">
        <v>13624.121807080001</v>
      </c>
      <c r="J24" s="118">
        <v>14376</v>
      </c>
      <c r="K24" s="118">
        <v>14505.22290875</v>
      </c>
      <c r="L24" s="118">
        <v>15562.85342734</v>
      </c>
      <c r="M24" s="118">
        <v>16657.840871320001</v>
      </c>
      <c r="N24" s="118">
        <v>17753.06289302</v>
      </c>
      <c r="O24" s="118">
        <v>17539.874071400001</v>
      </c>
      <c r="P24" s="118">
        <v>19147.468591249999</v>
      </c>
      <c r="Q24" s="118">
        <v>20894.218103210002</v>
      </c>
      <c r="R24" s="118">
        <v>22845.020914429999</v>
      </c>
      <c r="S24" s="118">
        <v>29389.651047250001</v>
      </c>
      <c r="T24" s="118">
        <v>31794.61460257</v>
      </c>
      <c r="U24" s="118">
        <v>32583.41859062</v>
      </c>
      <c r="V24" s="118">
        <v>32996</v>
      </c>
      <c r="W24" s="118">
        <v>33845.162003450001</v>
      </c>
      <c r="X24" s="118">
        <v>38015.639259969998</v>
      </c>
      <c r="Y24" s="118">
        <v>42792.261232930003</v>
      </c>
      <c r="Z24" s="118">
        <v>45477.089983639999</v>
      </c>
      <c r="AA24" s="118">
        <v>44016.337214779996</v>
      </c>
      <c r="AB24" s="118">
        <v>49071.840300119999</v>
      </c>
      <c r="AC24" s="118">
        <v>52509.983485769997</v>
      </c>
      <c r="AD24" s="118">
        <v>54663.333034460004</v>
      </c>
      <c r="AE24" s="118">
        <v>54132.974962890003</v>
      </c>
      <c r="AF24" s="118">
        <v>59356.085634939998</v>
      </c>
      <c r="AG24" s="118">
        <v>60548.948602520002</v>
      </c>
      <c r="AH24" s="118">
        <v>62729.7347037</v>
      </c>
      <c r="AI24" s="118">
        <v>62474.162029029998</v>
      </c>
      <c r="AJ24" s="408">
        <v>68045.605941240006</v>
      </c>
    </row>
    <row r="25" spans="1:36" ht="18.75" customHeight="1">
      <c r="A25" s="117"/>
      <c r="B25" s="312" t="s">
        <v>592</v>
      </c>
      <c r="C25" s="121">
        <v>2323.7519375000002</v>
      </c>
      <c r="D25" s="121">
        <v>2445.5696750400002</v>
      </c>
      <c r="E25" s="121">
        <v>2490</v>
      </c>
      <c r="F25" s="121">
        <v>2560</v>
      </c>
      <c r="G25" s="121">
        <v>2621.7106420300001</v>
      </c>
      <c r="H25" s="121">
        <v>2655.1627677900001</v>
      </c>
      <c r="I25" s="121">
        <v>2674.40635479</v>
      </c>
      <c r="J25" s="121">
        <v>2699</v>
      </c>
      <c r="K25" s="121">
        <v>2727.9000909599999</v>
      </c>
      <c r="L25" s="121">
        <v>2763.96958533</v>
      </c>
      <c r="M25" s="121">
        <v>2798.18451018</v>
      </c>
      <c r="N25" s="121">
        <v>2836.52269467</v>
      </c>
      <c r="O25" s="121">
        <v>2835.1846895600002</v>
      </c>
      <c r="P25" s="121">
        <v>2879.2874983199999</v>
      </c>
      <c r="Q25" s="121">
        <v>2924.4346012599999</v>
      </c>
      <c r="R25" s="121">
        <v>3019.71158238</v>
      </c>
      <c r="S25" s="121">
        <v>3084.0161493199998</v>
      </c>
      <c r="T25" s="121">
        <v>3148.9786977499998</v>
      </c>
      <c r="U25" s="121">
        <v>3208.07610669</v>
      </c>
      <c r="V25" s="121">
        <v>3211</v>
      </c>
      <c r="W25" s="121">
        <v>3289.0421460600001</v>
      </c>
      <c r="X25" s="121">
        <v>3358.92955549</v>
      </c>
      <c r="Y25" s="121">
        <v>3432.1148242300001</v>
      </c>
      <c r="Z25" s="121">
        <v>3526.11801664</v>
      </c>
      <c r="AA25" s="121">
        <v>3595.67402726</v>
      </c>
      <c r="AB25" s="121">
        <v>3680.5677925199998</v>
      </c>
      <c r="AC25" s="121">
        <v>3761.1396397799999</v>
      </c>
      <c r="AD25" s="121">
        <v>3843.8351846</v>
      </c>
      <c r="AE25" s="121">
        <v>3936.7325102899999</v>
      </c>
      <c r="AF25" s="121">
        <v>4030.0546672300002</v>
      </c>
      <c r="AG25" s="121">
        <v>4115.4174159900003</v>
      </c>
      <c r="AH25" s="121">
        <v>4058.10303982</v>
      </c>
      <c r="AI25" s="121">
        <v>4120.4780807300003</v>
      </c>
      <c r="AJ25" s="517">
        <v>4198.0845023100001</v>
      </c>
    </row>
    <row r="26" spans="1:36" ht="18.75" customHeight="1">
      <c r="A26" s="117"/>
      <c r="B26" s="313" t="s">
        <v>593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>
        <v>3946.3001212700001</v>
      </c>
      <c r="X26" s="118">
        <v>6176.1927800100002</v>
      </c>
      <c r="Y26" s="118">
        <v>10100.68765998</v>
      </c>
      <c r="Z26" s="118">
        <v>10312.549044249999</v>
      </c>
      <c r="AA26" s="118">
        <v>13443.923289210001</v>
      </c>
      <c r="AB26" s="118">
        <v>16935.421350649998</v>
      </c>
      <c r="AC26" s="118">
        <v>20156.8147164</v>
      </c>
      <c r="AD26" s="118">
        <v>17930.893491030001</v>
      </c>
      <c r="AE26" s="118">
        <v>20190.706051770001</v>
      </c>
      <c r="AF26" s="118">
        <v>22340.573423239999</v>
      </c>
      <c r="AG26" s="118">
        <v>24900.072959320001</v>
      </c>
      <c r="AH26" s="118">
        <v>29765.664020339998</v>
      </c>
      <c r="AI26" s="118">
        <v>32252.30700506</v>
      </c>
      <c r="AJ26" s="408">
        <v>35364.253665140001</v>
      </c>
    </row>
    <row r="27" spans="1:36" ht="18.75" customHeight="1">
      <c r="A27" s="117"/>
      <c r="B27" s="314" t="s">
        <v>594</v>
      </c>
      <c r="C27" s="120">
        <v>8121.2480624999998</v>
      </c>
      <c r="D27" s="120">
        <v>8688.5359700600002</v>
      </c>
      <c r="E27" s="120">
        <v>9373</v>
      </c>
      <c r="F27" s="120">
        <v>9854</v>
      </c>
      <c r="G27" s="120">
        <v>9533.1516213599989</v>
      </c>
      <c r="H27" s="120">
        <v>10203.103588490001</v>
      </c>
      <c r="I27" s="120">
        <v>10949.71545229</v>
      </c>
      <c r="J27" s="120">
        <v>11677</v>
      </c>
      <c r="K27" s="120">
        <v>11777.32281779</v>
      </c>
      <c r="L27" s="120">
        <v>12798.88384201</v>
      </c>
      <c r="M27" s="120">
        <v>13859.656361140002</v>
      </c>
      <c r="N27" s="120">
        <v>14916.54019835</v>
      </c>
      <c r="O27" s="120">
        <v>14704.689381840002</v>
      </c>
      <c r="P27" s="120">
        <v>16268.181092929999</v>
      </c>
      <c r="Q27" s="120">
        <v>17969.783501950002</v>
      </c>
      <c r="R27" s="120">
        <v>19825.309332049997</v>
      </c>
      <c r="S27" s="120">
        <v>26305.634897930002</v>
      </c>
      <c r="T27" s="120">
        <v>28645.635904819999</v>
      </c>
      <c r="U27" s="120">
        <v>29375.342483929999</v>
      </c>
      <c r="V27" s="120">
        <v>29785</v>
      </c>
      <c r="W27" s="120">
        <v>26609.81973612</v>
      </c>
      <c r="X27" s="120">
        <v>28480.516924469994</v>
      </c>
      <c r="Y27" s="120">
        <v>29259.458748720004</v>
      </c>
      <c r="Z27" s="120">
        <v>31638.422922749996</v>
      </c>
      <c r="AA27" s="120">
        <v>26976.739898309996</v>
      </c>
      <c r="AB27" s="120">
        <v>28455.851156950001</v>
      </c>
      <c r="AC27" s="120">
        <v>28592.029129589999</v>
      </c>
      <c r="AD27" s="120">
        <v>32888.604358830002</v>
      </c>
      <c r="AE27" s="120">
        <v>30005.536400830002</v>
      </c>
      <c r="AF27" s="120">
        <v>32985.457544470002</v>
      </c>
      <c r="AG27" s="120">
        <v>31533.458227210001</v>
      </c>
      <c r="AH27" s="120">
        <v>28905.96764354</v>
      </c>
      <c r="AI27" s="120">
        <v>26101.37694324</v>
      </c>
      <c r="AJ27" s="518">
        <v>28483.267773790009</v>
      </c>
    </row>
    <row r="28" spans="1:36" ht="18.75" customHeight="1">
      <c r="A28" s="116" t="s">
        <v>19</v>
      </c>
      <c r="B28" s="116"/>
      <c r="C28" s="118">
        <v>-346</v>
      </c>
      <c r="D28" s="118">
        <v>-345.56608668000001</v>
      </c>
      <c r="E28" s="118">
        <v>-346</v>
      </c>
      <c r="F28" s="118">
        <v>-345</v>
      </c>
      <c r="G28" s="118">
        <v>435.72017904</v>
      </c>
      <c r="H28" s="118">
        <v>-435.72017904</v>
      </c>
      <c r="I28" s="118">
        <v>-435.72017904</v>
      </c>
      <c r="J28" s="118">
        <v>-436</v>
      </c>
      <c r="K28" s="118">
        <v>-495.73034134</v>
      </c>
      <c r="L28" s="118">
        <v>-495.73034134</v>
      </c>
      <c r="M28" s="118">
        <v>-495.73034134</v>
      </c>
      <c r="N28" s="118">
        <v>-495.73034134</v>
      </c>
      <c r="O28" s="118">
        <v>-733.91185584000004</v>
      </c>
      <c r="P28" s="118">
        <v>-799.25001253999994</v>
      </c>
      <c r="Q28" s="118">
        <v>-1915.59447854</v>
      </c>
      <c r="R28" s="118">
        <v>-3128.2545719599998</v>
      </c>
      <c r="S28" s="118">
        <v>-4128.5113429599996</v>
      </c>
      <c r="T28" s="118">
        <v>-4592.6371649599996</v>
      </c>
      <c r="U28" s="118">
        <v>-2798.4297649599998</v>
      </c>
      <c r="V28" s="118">
        <v>-1799</v>
      </c>
      <c r="W28" s="118">
        <v>-5.3450256500000002</v>
      </c>
      <c r="X28" s="118">
        <v>-5.3450256500000002</v>
      </c>
      <c r="Y28" s="118">
        <v>-5.3450256500000002</v>
      </c>
      <c r="Z28" s="118">
        <v>-5.3450256500000002</v>
      </c>
      <c r="AA28" s="118">
        <v>-5.3450256500000002</v>
      </c>
      <c r="AB28" s="118">
        <v>-5.3450256500000002</v>
      </c>
      <c r="AC28" s="118">
        <v>-5.3450256500000002</v>
      </c>
      <c r="AD28" s="118">
        <v>-5.3450256500000002</v>
      </c>
      <c r="AE28" s="118">
        <v>-5.3450256500000002</v>
      </c>
      <c r="AF28" s="118">
        <v>-5.3450256500000002</v>
      </c>
      <c r="AG28" s="118">
        <v>-5.3450256500000002</v>
      </c>
      <c r="AH28" s="118">
        <v>-5.2800185800000001</v>
      </c>
      <c r="AI28" s="118">
        <v>-5.2800185800000001</v>
      </c>
      <c r="AJ28" s="408">
        <v>-5.2800185800000001</v>
      </c>
    </row>
    <row r="29" spans="1:36" ht="18.75" customHeight="1">
      <c r="A29" s="116" t="s">
        <v>20</v>
      </c>
      <c r="B29" s="116"/>
      <c r="C29" s="118">
        <v>685</v>
      </c>
      <c r="D29" s="118">
        <v>902.28627558999995</v>
      </c>
      <c r="E29" s="118">
        <v>2263</v>
      </c>
      <c r="F29" s="118">
        <v>5071</v>
      </c>
      <c r="G29" s="118">
        <v>6406.52444775</v>
      </c>
      <c r="H29" s="118">
        <v>9030.9874155399993</v>
      </c>
      <c r="I29" s="118">
        <v>10161.130377560001</v>
      </c>
      <c r="J29" s="118">
        <v>4771</v>
      </c>
      <c r="K29" s="118">
        <v>4857.3577774400001</v>
      </c>
      <c r="L29" s="118">
        <v>5232.8558044199999</v>
      </c>
      <c r="M29" s="118">
        <v>5467.3694631099997</v>
      </c>
      <c r="N29" s="118">
        <v>1798.4478376</v>
      </c>
      <c r="O29" s="118">
        <v>-1287.5412123200001</v>
      </c>
      <c r="P29" s="118">
        <v>-1553.8542540000001</v>
      </c>
      <c r="Q29" s="118">
        <v>-2415.7063736499999</v>
      </c>
      <c r="R29" s="118">
        <v>-3484.20477028</v>
      </c>
      <c r="S29" s="118">
        <v>-12090.549288480001</v>
      </c>
      <c r="T29" s="118">
        <v>-21562.481721079999</v>
      </c>
      <c r="U29" s="118">
        <v>-28095.66147911</v>
      </c>
      <c r="V29" s="118">
        <v>-26932</v>
      </c>
      <c r="W29" s="118">
        <v>2467.75171636</v>
      </c>
      <c r="X29" s="118">
        <v>3423.310199</v>
      </c>
      <c r="Y29" s="118">
        <v>5427.4458928599997</v>
      </c>
      <c r="Z29" s="118">
        <v>4797.3385621300004</v>
      </c>
      <c r="AA29" s="118">
        <v>6.7584712800000002</v>
      </c>
      <c r="AB29" s="118">
        <v>-808.17805028999999</v>
      </c>
      <c r="AC29" s="118">
        <v>-1653.9519705499999</v>
      </c>
      <c r="AD29" s="118">
        <v>-1713.77796805</v>
      </c>
      <c r="AE29" s="118">
        <v>-6058.3530599300002</v>
      </c>
      <c r="AF29" s="118">
        <v>-6667.2879623899998</v>
      </c>
      <c r="AG29" s="118">
        <v>-9046.4953187299998</v>
      </c>
      <c r="AH29" s="118">
        <v>-7592.5761068800002</v>
      </c>
      <c r="AI29" s="118">
        <v>-7362.9887102100001</v>
      </c>
      <c r="AJ29" s="408">
        <v>-4677.4066883200003</v>
      </c>
    </row>
    <row r="30" spans="1:36" s="675" customFormat="1" ht="18.75" customHeight="1">
      <c r="A30" s="1119" t="s">
        <v>21</v>
      </c>
      <c r="B30" s="1119"/>
      <c r="C30" s="519">
        <v>15702</v>
      </c>
      <c r="D30" s="519">
        <v>16608.48392078</v>
      </c>
      <c r="E30" s="519">
        <v>19397</v>
      </c>
      <c r="F30" s="519">
        <v>22757</v>
      </c>
      <c r="G30" s="519">
        <v>23743.222350870001</v>
      </c>
      <c r="H30" s="519">
        <v>27071.089411550001</v>
      </c>
      <c r="I30" s="519">
        <v>28967.087824369999</v>
      </c>
      <c r="J30" s="519">
        <v>24327.856388020002</v>
      </c>
      <c r="K30" s="519">
        <v>24484.406163619999</v>
      </c>
      <c r="L30" s="519">
        <v>25917.53470919</v>
      </c>
      <c r="M30" s="519">
        <v>27247.035811860002</v>
      </c>
      <c r="N30" s="519">
        <v>26718.34646805</v>
      </c>
      <c r="O30" s="519">
        <v>23180.98708201</v>
      </c>
      <c r="P30" s="519">
        <v>24456.930403480001</v>
      </c>
      <c r="Q30" s="519">
        <v>24225.48332979</v>
      </c>
      <c r="R30" s="519">
        <v>23895.127650959999</v>
      </c>
      <c r="S30" s="519">
        <v>15833.15649458</v>
      </c>
      <c r="T30" s="519">
        <v>10094.0149953</v>
      </c>
      <c r="U30" s="519">
        <v>6143.8466253200004</v>
      </c>
      <c r="V30" s="519">
        <v>8720</v>
      </c>
      <c r="W30" s="519">
        <v>40764.221703869996</v>
      </c>
      <c r="X30" s="519">
        <v>45890.257443030001</v>
      </c>
      <c r="Y30" s="519">
        <v>52671.015109849999</v>
      </c>
      <c r="Z30" s="519">
        <v>54725.736529829999</v>
      </c>
      <c r="AA30" s="519">
        <v>48474.403670120002</v>
      </c>
      <c r="AB30" s="519">
        <v>52714.970233890002</v>
      </c>
      <c r="AC30" s="519">
        <v>55307.339499280002</v>
      </c>
      <c r="AD30" s="519">
        <v>57400.863050469998</v>
      </c>
      <c r="AE30" s="519">
        <v>52525.92988702</v>
      </c>
      <c r="AF30" s="519">
        <v>57140.105656610001</v>
      </c>
      <c r="AG30" s="519">
        <v>55953.761267850001</v>
      </c>
      <c r="AH30" s="519">
        <v>58543.187987949997</v>
      </c>
      <c r="AI30" s="519">
        <v>58517.202709949997</v>
      </c>
      <c r="AJ30" s="519">
        <v>66774.228644050003</v>
      </c>
    </row>
    <row r="31" spans="1:36" ht="25.5" customHeight="1">
      <c r="A31" s="1117" t="s">
        <v>327</v>
      </c>
      <c r="B31" s="1117"/>
      <c r="C31" s="1117"/>
      <c r="D31" s="1117"/>
      <c r="E31" s="1117"/>
      <c r="F31" s="1117"/>
      <c r="G31" s="1117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ht="18" customHeight="1">
      <c r="AJ32" s="4"/>
    </row>
    <row r="33" spans="36:36" ht="18" customHeight="1">
      <c r="AJ33" s="4"/>
    </row>
    <row r="37" spans="36:36" ht="18" customHeight="1">
      <c r="AJ37" s="4"/>
    </row>
    <row r="38" spans="36:36" ht="18" customHeight="1">
      <c r="AJ38" s="4"/>
    </row>
  </sheetData>
  <mergeCells count="6">
    <mergeCell ref="A2:V2"/>
    <mergeCell ref="A31:G31"/>
    <mergeCell ref="A5:B5"/>
    <mergeCell ref="A30:B30"/>
    <mergeCell ref="A20:B20"/>
    <mergeCell ref="A16:B16"/>
  </mergeCells>
  <phoneticPr fontId="20" type="noConversion"/>
  <pageMargins left="0.7" right="0.7" top="0.75" bottom="0.75" header="0.3" footer="0.3"/>
  <pageSetup paperSize="9" scale="56" firstPageNumber="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theme="5" tint="0.79998168889431442"/>
    <pageSetUpPr fitToPage="1"/>
  </sheetPr>
  <dimension ref="A1:AU27"/>
  <sheetViews>
    <sheetView showGridLines="0" view="pageBreakPreview" zoomScaleNormal="70" zoomScaleSheetLayoutView="100" workbookViewId="0">
      <selection activeCell="AL21" sqref="AL21"/>
    </sheetView>
  </sheetViews>
  <sheetFormatPr defaultColWidth="8.88671875" defaultRowHeight="13.5"/>
  <cols>
    <col min="1" max="1" width="3.44140625" style="5" customWidth="1"/>
    <col min="2" max="2" width="14.5546875" style="19" customWidth="1"/>
    <col min="3" max="22" width="10.44140625" style="17" hidden="1" customWidth="1"/>
    <col min="23" max="23" width="11.109375" style="19" hidden="1" customWidth="1"/>
    <col min="24" max="26" width="0" style="19" hidden="1" customWidth="1"/>
    <col min="27" max="46" width="8.88671875" style="19"/>
    <col min="47" max="47" width="12.77734375" style="19" customWidth="1"/>
    <col min="48" max="16384" width="8.88671875" style="19"/>
  </cols>
  <sheetData>
    <row r="1" spans="1:38" ht="17.25" customHeight="1">
      <c r="A1" s="14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V1" s="18"/>
    </row>
    <row r="2" spans="1:38" ht="34.5" customHeight="1">
      <c r="A2" s="370" t="s">
        <v>569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</row>
    <row r="3" spans="1:38" ht="17.25" customHeight="1" thickBot="1">
      <c r="A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0"/>
      <c r="S3" s="20"/>
      <c r="T3" s="3"/>
      <c r="U3" s="3"/>
      <c r="V3" s="2"/>
      <c r="W3" s="2"/>
    </row>
    <row r="4" spans="1:38" s="23" customFormat="1" ht="20.25" customHeight="1" thickTop="1">
      <c r="A4" s="1096" t="s">
        <v>314</v>
      </c>
      <c r="B4" s="1096"/>
      <c r="C4" s="409" t="s">
        <v>435</v>
      </c>
      <c r="D4" s="409" t="s">
        <v>436</v>
      </c>
      <c r="E4" s="409" t="s">
        <v>437</v>
      </c>
      <c r="F4" s="409" t="s">
        <v>438</v>
      </c>
      <c r="G4" s="409" t="s">
        <v>439</v>
      </c>
      <c r="H4" s="409" t="s">
        <v>440</v>
      </c>
      <c r="I4" s="409" t="s">
        <v>441</v>
      </c>
      <c r="J4" s="409" t="s">
        <v>442</v>
      </c>
      <c r="K4" s="409" t="s">
        <v>443</v>
      </c>
      <c r="L4" s="409" t="s">
        <v>444</v>
      </c>
      <c r="M4" s="409" t="s">
        <v>445</v>
      </c>
      <c r="N4" s="409" t="s">
        <v>446</v>
      </c>
      <c r="O4" s="409" t="s">
        <v>447</v>
      </c>
      <c r="P4" s="409" t="s">
        <v>448</v>
      </c>
      <c r="Q4" s="409" t="s">
        <v>449</v>
      </c>
      <c r="R4" s="409" t="s">
        <v>450</v>
      </c>
      <c r="S4" s="664" t="s">
        <v>451</v>
      </c>
      <c r="T4" s="664" t="s">
        <v>452</v>
      </c>
      <c r="U4" s="664" t="s">
        <v>453</v>
      </c>
      <c r="V4" s="664" t="s">
        <v>432</v>
      </c>
      <c r="W4" s="409" t="s">
        <v>454</v>
      </c>
      <c r="X4" s="409" t="s">
        <v>455</v>
      </c>
      <c r="Y4" s="409" t="s">
        <v>468</v>
      </c>
      <c r="Z4" s="409" t="s">
        <v>507</v>
      </c>
      <c r="AA4" s="409" t="s">
        <v>604</v>
      </c>
      <c r="AB4" s="409" t="s">
        <v>625</v>
      </c>
      <c r="AC4" s="409" t="s">
        <v>624</v>
      </c>
      <c r="AD4" s="409" t="s">
        <v>651</v>
      </c>
      <c r="AE4" s="409" t="s">
        <v>650</v>
      </c>
      <c r="AF4" s="409" t="s">
        <v>667</v>
      </c>
      <c r="AG4" s="409" t="s">
        <v>677</v>
      </c>
      <c r="AH4" s="409" t="s">
        <v>685</v>
      </c>
      <c r="AI4" s="409" t="s">
        <v>689</v>
      </c>
      <c r="AJ4" s="740" t="s">
        <v>721</v>
      </c>
      <c r="AK4" s="740" t="s">
        <v>630</v>
      </c>
    </row>
    <row r="5" spans="1:38" s="317" customFormat="1" ht="18.75" customHeight="1">
      <c r="A5" s="1122" t="s">
        <v>571</v>
      </c>
      <c r="B5" s="1122"/>
      <c r="C5" s="315">
        <v>0.60799999999999998</v>
      </c>
      <c r="D5" s="315">
        <v>0.67900000000000005</v>
      </c>
      <c r="E5" s="315">
        <v>0.72199999999999998</v>
      </c>
      <c r="F5" s="315">
        <v>0.68799999999999994</v>
      </c>
      <c r="G5" s="315">
        <v>0.60699999999999998</v>
      </c>
      <c r="H5" s="315">
        <v>0.81499999999999995</v>
      </c>
      <c r="I5" s="315">
        <v>0.872</v>
      </c>
      <c r="J5" s="315">
        <v>0.84199999999999997</v>
      </c>
      <c r="K5" s="315">
        <v>0.71299999999999997</v>
      </c>
      <c r="L5" s="315">
        <v>0.88800000000000001</v>
      </c>
      <c r="M5" s="315">
        <v>0.85099999999999998</v>
      </c>
      <c r="N5" s="315">
        <v>0.66700000000000004</v>
      </c>
      <c r="O5" s="315">
        <v>0.79700000000000004</v>
      </c>
      <c r="P5" s="315">
        <v>0.7</v>
      </c>
      <c r="Q5" s="315">
        <v>0.70299999999999996</v>
      </c>
      <c r="R5" s="315">
        <v>0.77200000000000002</v>
      </c>
      <c r="S5" s="315">
        <v>0.79900000000000004</v>
      </c>
      <c r="T5" s="315">
        <v>0.69799999999999995</v>
      </c>
      <c r="U5" s="315">
        <v>0.85</v>
      </c>
      <c r="V5" s="316">
        <v>0.81105000000000005</v>
      </c>
      <c r="W5" s="316">
        <v>0.745</v>
      </c>
      <c r="X5" s="316">
        <v>0.74106476771787044</v>
      </c>
      <c r="Y5" s="316">
        <v>0.83613061441257097</v>
      </c>
      <c r="Z5" s="316">
        <v>0.88196853569987899</v>
      </c>
      <c r="AA5" s="316">
        <v>0.67800000000000005</v>
      </c>
      <c r="AB5" s="316">
        <v>0.60952711858517772</v>
      </c>
      <c r="AC5" s="316">
        <v>0.73124135660190981</v>
      </c>
      <c r="AD5" s="316">
        <v>0.8870111237399616</v>
      </c>
      <c r="AE5" s="316">
        <v>0.72699999999999998</v>
      </c>
      <c r="AF5" s="316">
        <v>0.61949446734649594</v>
      </c>
      <c r="AG5" s="316">
        <v>0.80839907033190983</v>
      </c>
      <c r="AH5" s="316">
        <v>0.7772058660395359</v>
      </c>
      <c r="AI5" s="316">
        <v>0.69899999999999995</v>
      </c>
      <c r="AJ5" s="522">
        <v>0.72198221501902482</v>
      </c>
      <c r="AK5" s="542">
        <v>0.10248774767252888</v>
      </c>
      <c r="AL5" s="318"/>
    </row>
    <row r="6" spans="1:38" s="317" customFormat="1" ht="18.75" customHeight="1">
      <c r="A6" s="1122" t="s">
        <v>572</v>
      </c>
      <c r="B6" s="1122"/>
      <c r="C6" s="315">
        <v>0.78800000000000003</v>
      </c>
      <c r="D6" s="315">
        <v>0.76</v>
      </c>
      <c r="E6" s="315">
        <v>0.84299999999999997</v>
      </c>
      <c r="F6" s="315">
        <v>0.93300000000000005</v>
      </c>
      <c r="G6" s="315">
        <v>0.81599999999999995</v>
      </c>
      <c r="H6" s="315">
        <v>0.878</v>
      </c>
      <c r="I6" s="315">
        <v>0.876</v>
      </c>
      <c r="J6" s="315">
        <v>0.97799999999999998</v>
      </c>
      <c r="K6" s="315">
        <v>0.82</v>
      </c>
      <c r="L6" s="315">
        <v>0.79400000000000004</v>
      </c>
      <c r="M6" s="315">
        <v>0.81</v>
      </c>
      <c r="N6" s="315">
        <v>0.85</v>
      </c>
      <c r="O6" s="315">
        <v>0.77400000000000002</v>
      </c>
      <c r="P6" s="315">
        <v>0.74199999999999999</v>
      </c>
      <c r="Q6" s="315">
        <v>0.75800000000000001</v>
      </c>
      <c r="R6" s="315">
        <v>0.82099999999999995</v>
      </c>
      <c r="S6" s="315">
        <v>0.73099999999999998</v>
      </c>
      <c r="T6" s="315">
        <v>0.75</v>
      </c>
      <c r="U6" s="315">
        <v>0.8</v>
      </c>
      <c r="V6" s="316">
        <v>0.87731999999999999</v>
      </c>
      <c r="W6" s="316">
        <v>0.76400000000000001</v>
      </c>
      <c r="X6" s="316">
        <v>0.77203138252756576</v>
      </c>
      <c r="Y6" s="316">
        <v>0.80902388331038733</v>
      </c>
      <c r="Z6" s="316">
        <v>0.89133703508790774</v>
      </c>
      <c r="AA6" s="316">
        <v>0.78100000000000003</v>
      </c>
      <c r="AB6" s="316">
        <v>0.79500651276830958</v>
      </c>
      <c r="AC6" s="316">
        <v>0.82988029968764332</v>
      </c>
      <c r="AD6" s="316">
        <v>0.89603189199130218</v>
      </c>
      <c r="AE6" s="316">
        <v>0.82499999999999996</v>
      </c>
      <c r="AF6" s="316">
        <v>0.82610224818513045</v>
      </c>
      <c r="AG6" s="316">
        <v>0.87524458467004274</v>
      </c>
      <c r="AH6" s="316">
        <v>0.92511130378353079</v>
      </c>
      <c r="AI6" s="316">
        <v>0.82699999999999996</v>
      </c>
      <c r="AJ6" s="522">
        <v>0.81646542376806708</v>
      </c>
      <c r="AK6" s="542">
        <v>-9.6368244170633721E-3</v>
      </c>
      <c r="AL6" s="318"/>
    </row>
    <row r="7" spans="1:38" s="317" customFormat="1" ht="18.75" customHeight="1">
      <c r="A7" s="1121" t="s">
        <v>573</v>
      </c>
      <c r="B7" s="1121"/>
      <c r="C7" s="319">
        <v>0.85989277978669454</v>
      </c>
      <c r="D7" s="319">
        <v>0.80083053017699779</v>
      </c>
      <c r="E7" s="319">
        <v>0.80706686420364537</v>
      </c>
      <c r="F7" s="319">
        <v>0.86056171482280042</v>
      </c>
      <c r="G7" s="319">
        <v>0.87082085401453191</v>
      </c>
      <c r="H7" s="319">
        <v>0.87117998045850209</v>
      </c>
      <c r="I7" s="319">
        <v>0.91594965168350417</v>
      </c>
      <c r="J7" s="319">
        <v>0.9471048002210114</v>
      </c>
      <c r="K7" s="319">
        <v>0.93030891568991025</v>
      </c>
      <c r="L7" s="319">
        <v>0.88967666882747698</v>
      </c>
      <c r="M7" s="319">
        <v>0.91698885496150395</v>
      </c>
      <c r="N7" s="319">
        <v>0.91168412717223302</v>
      </c>
      <c r="O7" s="319">
        <v>0.93691239163486761</v>
      </c>
      <c r="P7" s="319">
        <v>0.92200937789666393</v>
      </c>
      <c r="Q7" s="319">
        <v>0.92005603919456991</v>
      </c>
      <c r="R7" s="319">
        <v>0.97217622953736982</v>
      </c>
      <c r="S7" s="319">
        <v>0.91921522936616462</v>
      </c>
      <c r="T7" s="319">
        <v>0.88281240338208355</v>
      </c>
      <c r="U7" s="319">
        <v>0.86877875887479783</v>
      </c>
      <c r="V7" s="145">
        <v>0.90549319271760276</v>
      </c>
      <c r="W7" s="145">
        <v>0.95610284076055407</v>
      </c>
      <c r="X7" s="145">
        <v>0.8818109147098695</v>
      </c>
      <c r="Y7" s="145">
        <v>0.8898147775040125</v>
      </c>
      <c r="Z7" s="145">
        <v>0.90520868069075999</v>
      </c>
      <c r="AA7" s="145">
        <v>0.91846777613395325</v>
      </c>
      <c r="AB7" s="145">
        <v>0.85608342459579667</v>
      </c>
      <c r="AC7" s="145">
        <v>0.87393346051180554</v>
      </c>
      <c r="AD7" s="145">
        <v>0.92387856179251426</v>
      </c>
      <c r="AE7" s="145">
        <v>0.93287044530302021</v>
      </c>
      <c r="AF7" s="145">
        <v>0.90283977373071056</v>
      </c>
      <c r="AG7" s="145">
        <v>0.95327192023312868</v>
      </c>
      <c r="AH7" s="145">
        <v>0.93078109505629203</v>
      </c>
      <c r="AI7" s="145">
        <v>0.94279533878626531</v>
      </c>
      <c r="AJ7" s="410">
        <v>0.95123224203208023</v>
      </c>
      <c r="AK7" s="543">
        <v>4.8392468301369673E-2</v>
      </c>
      <c r="AL7" s="318"/>
    </row>
    <row r="8" spans="1:38" ht="18.75" customHeight="1">
      <c r="A8" s="138" t="s">
        <v>570</v>
      </c>
      <c r="B8" s="36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8"/>
      <c r="Z8" s="23"/>
    </row>
    <row r="9" spans="1:38" ht="19.5" customHeight="1" thickBot="1">
      <c r="A9" s="1"/>
      <c r="B9" s="39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37"/>
      <c r="R9" s="40"/>
      <c r="S9" s="40"/>
      <c r="T9" s="40"/>
      <c r="U9" s="40"/>
      <c r="V9" s="35"/>
    </row>
    <row r="10" spans="1:38" s="23" customFormat="1" ht="19.5" customHeight="1" thickTop="1">
      <c r="A10" s="1096" t="s">
        <v>480</v>
      </c>
      <c r="B10" s="1096"/>
      <c r="C10" s="406" t="s">
        <v>408</v>
      </c>
      <c r="D10" s="406" t="s">
        <v>473</v>
      </c>
      <c r="E10" s="406" t="s">
        <v>410</v>
      </c>
      <c r="F10" s="406" t="s">
        <v>470</v>
      </c>
      <c r="G10" s="406" t="s">
        <v>412</v>
      </c>
      <c r="H10" s="406" t="s">
        <v>473</v>
      </c>
      <c r="I10" s="406" t="s">
        <v>414</v>
      </c>
      <c r="J10" s="406" t="s">
        <v>415</v>
      </c>
      <c r="K10" s="406" t="s">
        <v>416</v>
      </c>
      <c r="L10" s="406" t="s">
        <v>474</v>
      </c>
      <c r="M10" s="406" t="s">
        <v>418</v>
      </c>
      <c r="N10" s="406" t="s">
        <v>419</v>
      </c>
      <c r="O10" s="406" t="s">
        <v>420</v>
      </c>
      <c r="P10" s="406" t="s">
        <v>475</v>
      </c>
      <c r="Q10" s="406" t="s">
        <v>422</v>
      </c>
      <c r="R10" s="406" t="s">
        <v>423</v>
      </c>
      <c r="S10" s="406" t="s">
        <v>390</v>
      </c>
      <c r="T10" s="406" t="s">
        <v>476</v>
      </c>
      <c r="U10" s="406" t="s">
        <v>425</v>
      </c>
      <c r="V10" s="406" t="s">
        <v>426</v>
      </c>
      <c r="W10" s="406" t="s">
        <v>388</v>
      </c>
      <c r="X10" s="406" t="s">
        <v>477</v>
      </c>
      <c r="Y10" s="406" t="s">
        <v>468</v>
      </c>
      <c r="Z10" s="406" t="s">
        <v>506</v>
      </c>
      <c r="AA10" s="406" t="s">
        <v>605</v>
      </c>
      <c r="AB10" s="406" t="s">
        <v>626</v>
      </c>
      <c r="AC10" s="406" t="s">
        <v>645</v>
      </c>
      <c r="AD10" s="409" t="s">
        <v>705</v>
      </c>
      <c r="AE10" s="409" t="s">
        <v>702</v>
      </c>
      <c r="AF10" s="409" t="s">
        <v>672</v>
      </c>
      <c r="AG10" s="409" t="s">
        <v>677</v>
      </c>
      <c r="AH10" s="409" t="s">
        <v>685</v>
      </c>
      <c r="AI10" s="409" t="s">
        <v>689</v>
      </c>
      <c r="AJ10" s="740" t="s">
        <v>720</v>
      </c>
      <c r="AK10" s="740" t="s">
        <v>630</v>
      </c>
      <c r="AL10" s="677"/>
    </row>
    <row r="11" spans="1:38" s="317" customFormat="1" ht="18.75" customHeight="1">
      <c r="A11" s="1122" t="s">
        <v>571</v>
      </c>
      <c r="B11" s="1122"/>
      <c r="C11" s="315">
        <v>0.60799999999999998</v>
      </c>
      <c r="D11" s="315">
        <v>0.64700000000000002</v>
      </c>
      <c r="E11" s="315">
        <v>0.67400000000000004</v>
      </c>
      <c r="F11" s="315">
        <v>0.67700000000000005</v>
      </c>
      <c r="G11" s="315">
        <v>0.60699999999999998</v>
      </c>
      <c r="H11" s="315">
        <v>0.81499999999999995</v>
      </c>
      <c r="I11" s="315">
        <v>0.76600000000000001</v>
      </c>
      <c r="J11" s="315">
        <v>0.78600000000000003</v>
      </c>
      <c r="K11" s="315">
        <v>0.71299999999999997</v>
      </c>
      <c r="L11" s="315">
        <v>0.80500000000000005</v>
      </c>
      <c r="M11" s="315">
        <v>0.82099999999999995</v>
      </c>
      <c r="N11" s="315">
        <v>0.78100000000000003</v>
      </c>
      <c r="O11" s="315">
        <v>0.79700000000000004</v>
      </c>
      <c r="P11" s="315">
        <v>0.74299999999999999</v>
      </c>
      <c r="Q11" s="315">
        <v>0.72799999999999998</v>
      </c>
      <c r="R11" s="315">
        <v>0.74</v>
      </c>
      <c r="S11" s="315">
        <v>0.79900000000000004</v>
      </c>
      <c r="T11" s="315">
        <v>0.74299999999999999</v>
      </c>
      <c r="U11" s="315">
        <v>0.78300000000000003</v>
      </c>
      <c r="V11" s="316">
        <v>0.79091</v>
      </c>
      <c r="W11" s="316">
        <v>0.745</v>
      </c>
      <c r="X11" s="316">
        <v>0.74299999999999999</v>
      </c>
      <c r="Y11" s="316">
        <v>0.77800000000000002</v>
      </c>
      <c r="Z11" s="316">
        <v>0.80800000000000005</v>
      </c>
      <c r="AA11" s="316">
        <v>0.67800000000000005</v>
      </c>
      <c r="AB11" s="316">
        <v>0.64200000000000002</v>
      </c>
      <c r="AC11" s="316">
        <v>0.67400000000000004</v>
      </c>
      <c r="AD11" s="316">
        <v>0.73199999999999998</v>
      </c>
      <c r="AE11" s="316">
        <v>0.72699999999999998</v>
      </c>
      <c r="AF11" s="316">
        <v>0.66800000000000004</v>
      </c>
      <c r="AG11" s="316">
        <v>0.71899999999999997</v>
      </c>
      <c r="AH11" s="316">
        <v>0.73499999999999999</v>
      </c>
      <c r="AI11" s="316">
        <v>0.69899999999999995</v>
      </c>
      <c r="AJ11" s="522">
        <v>0.71099999999999997</v>
      </c>
      <c r="AK11" s="542">
        <v>4.2999999999999927E-2</v>
      </c>
      <c r="AL11" s="318"/>
    </row>
    <row r="12" spans="1:38" s="317" customFormat="1" ht="18.75" customHeight="1">
      <c r="A12" s="1122" t="s">
        <v>572</v>
      </c>
      <c r="B12" s="1122"/>
      <c r="C12" s="315">
        <v>0.78800000000000003</v>
      </c>
      <c r="D12" s="315">
        <v>0.77400000000000002</v>
      </c>
      <c r="E12" s="315">
        <v>0.79700000000000004</v>
      </c>
      <c r="F12" s="315">
        <v>0.83099999999999996</v>
      </c>
      <c r="G12" s="315">
        <v>0.81599999999999995</v>
      </c>
      <c r="H12" s="315">
        <v>0.878</v>
      </c>
      <c r="I12" s="315">
        <v>0.85599999999999998</v>
      </c>
      <c r="J12" s="315">
        <v>0.88500000000000001</v>
      </c>
      <c r="K12" s="315">
        <v>0.82</v>
      </c>
      <c r="L12" s="315">
        <v>0.80700000000000005</v>
      </c>
      <c r="M12" s="315">
        <v>0.80800000000000005</v>
      </c>
      <c r="N12" s="315">
        <v>0.81899999999999995</v>
      </c>
      <c r="O12" s="315">
        <v>0.77400000000000002</v>
      </c>
      <c r="P12" s="315">
        <v>0.75800000000000001</v>
      </c>
      <c r="Q12" s="315">
        <v>0.75800000000000001</v>
      </c>
      <c r="R12" s="315">
        <v>0.77500000000000002</v>
      </c>
      <c r="S12" s="315">
        <v>0.73099999999999998</v>
      </c>
      <c r="T12" s="315">
        <v>0.74099999999999999</v>
      </c>
      <c r="U12" s="315">
        <v>0.76100000000000001</v>
      </c>
      <c r="V12" s="316">
        <v>0.79081000000000001</v>
      </c>
      <c r="W12" s="316">
        <v>0.76400000000000001</v>
      </c>
      <c r="X12" s="316">
        <v>0.76800000000000002</v>
      </c>
      <c r="Y12" s="316">
        <v>0.78200000000000003</v>
      </c>
      <c r="Z12" s="316">
        <v>0.80900000000000005</v>
      </c>
      <c r="AA12" s="316">
        <v>0.78100000000000003</v>
      </c>
      <c r="AB12" s="316">
        <v>0.78800000000000003</v>
      </c>
      <c r="AC12" s="316">
        <v>0.80200000000000005</v>
      </c>
      <c r="AD12" s="316">
        <v>0.82599999999999996</v>
      </c>
      <c r="AE12" s="316">
        <v>0.82499999999999996</v>
      </c>
      <c r="AF12" s="316">
        <v>0.82499999999999996</v>
      </c>
      <c r="AG12" s="316">
        <v>0.84199999999999997</v>
      </c>
      <c r="AH12" s="316">
        <v>0.86299999999999999</v>
      </c>
      <c r="AI12" s="316">
        <v>0.82699999999999996</v>
      </c>
      <c r="AJ12" s="522">
        <v>0.82199999999999995</v>
      </c>
      <c r="AK12" s="542">
        <v>-3.0000000000000027E-3</v>
      </c>
      <c r="AL12" s="318"/>
    </row>
    <row r="13" spans="1:38" s="317" customFormat="1" ht="18.75" customHeight="1">
      <c r="A13" s="1121" t="s">
        <v>573</v>
      </c>
      <c r="B13" s="1121"/>
      <c r="C13" s="319">
        <v>0.85989277978669454</v>
      </c>
      <c r="D13" s="319">
        <v>0.82962048239647213</v>
      </c>
      <c r="E13" s="319">
        <v>0.82175866588411139</v>
      </c>
      <c r="F13" s="319">
        <v>0.83215361415231903</v>
      </c>
      <c r="G13" s="319">
        <v>0.87082085401453191</v>
      </c>
      <c r="H13" s="319">
        <v>0.87100517169505631</v>
      </c>
      <c r="I13" s="319">
        <v>0.88681362053590873</v>
      </c>
      <c r="J13" s="319">
        <v>0.90312054893271099</v>
      </c>
      <c r="K13" s="319">
        <v>0.93030891568991025</v>
      </c>
      <c r="L13" s="319">
        <v>0.9096575398460407</v>
      </c>
      <c r="M13" s="319">
        <v>0.91218697744630894</v>
      </c>
      <c r="N13" s="319">
        <v>0.91205466421734427</v>
      </c>
      <c r="O13" s="319">
        <v>0.93691239163486761</v>
      </c>
      <c r="P13" s="319">
        <v>0.92935623422009783</v>
      </c>
      <c r="Q13" s="319">
        <v>0.92616939457617287</v>
      </c>
      <c r="R13" s="319">
        <v>0.93812975136186716</v>
      </c>
      <c r="S13" s="319">
        <v>0.91921522936616462</v>
      </c>
      <c r="T13" s="319">
        <v>0.90078717152557863</v>
      </c>
      <c r="U13" s="319">
        <v>0.88984552833656483</v>
      </c>
      <c r="V13" s="145">
        <v>0.89389229397072101</v>
      </c>
      <c r="W13" s="145">
        <v>0.95610284076055407</v>
      </c>
      <c r="X13" s="145">
        <v>0.9445946597415612</v>
      </c>
      <c r="Y13" s="145">
        <v>0.90875091469870128</v>
      </c>
      <c r="Z13" s="145">
        <v>0.90783876456873946</v>
      </c>
      <c r="AA13" s="145">
        <v>0.91846777613395325</v>
      </c>
      <c r="AB13" s="145">
        <v>0.88700051501087362</v>
      </c>
      <c r="AC13" s="145">
        <v>0.88257715549020677</v>
      </c>
      <c r="AD13" s="145">
        <v>0.89313410910836255</v>
      </c>
      <c r="AE13" s="145">
        <v>0.93287044530302021</v>
      </c>
      <c r="AF13" s="145">
        <v>0.91772618428143304</v>
      </c>
      <c r="AG13" s="145">
        <v>0.92980295621759323</v>
      </c>
      <c r="AH13" s="145">
        <v>0.9300544400385482</v>
      </c>
      <c r="AI13" s="145">
        <v>0.94279533878626531</v>
      </c>
      <c r="AJ13" s="410">
        <v>0.94705764632582989</v>
      </c>
      <c r="AK13" s="543">
        <v>2.933146204439685E-2</v>
      </c>
      <c r="AL13" s="318"/>
    </row>
    <row r="14" spans="1:38" ht="17.25">
      <c r="A14" s="138" t="s">
        <v>570</v>
      </c>
      <c r="B14" s="39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39"/>
    </row>
    <row r="17" spans="23:47">
      <c r="W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U17" s="442"/>
    </row>
    <row r="18" spans="23:47">
      <c r="AU18" s="443"/>
    </row>
    <row r="19" spans="23:47">
      <c r="AU19" s="443"/>
    </row>
    <row r="20" spans="23:47">
      <c r="AL20" s="23"/>
      <c r="AM20" s="23"/>
      <c r="AN20" s="23"/>
    </row>
    <row r="21" spans="23:47">
      <c r="AL21" s="23"/>
      <c r="AM21" s="23"/>
      <c r="AN21" s="23"/>
    </row>
    <row r="22" spans="23:47">
      <c r="AL22" s="23"/>
      <c r="AM22" s="23"/>
      <c r="AN22" s="23"/>
    </row>
    <row r="23" spans="23:47">
      <c r="AL23" s="23"/>
      <c r="AM23" s="23"/>
      <c r="AN23" s="23"/>
    </row>
    <row r="24" spans="23:47">
      <c r="AL24" s="23"/>
      <c r="AM24" s="23"/>
      <c r="AN24" s="23"/>
    </row>
    <row r="25" spans="23:47">
      <c r="AL25" s="23"/>
      <c r="AM25" s="23"/>
      <c r="AN25" s="23"/>
    </row>
    <row r="26" spans="23:47">
      <c r="AL26" s="23"/>
      <c r="AM26" s="23"/>
      <c r="AN26" s="23"/>
    </row>
    <row r="27" spans="23:47">
      <c r="AL27" s="23"/>
      <c r="AM27" s="23"/>
      <c r="AN27" s="23"/>
    </row>
  </sheetData>
  <mergeCells count="8">
    <mergeCell ref="A13:B13"/>
    <mergeCell ref="A11:B11"/>
    <mergeCell ref="A12:B12"/>
    <mergeCell ref="A4:B4"/>
    <mergeCell ref="A6:B6"/>
    <mergeCell ref="A5:B5"/>
    <mergeCell ref="A10:B10"/>
    <mergeCell ref="A7:B7"/>
  </mergeCells>
  <phoneticPr fontId="20" type="noConversion"/>
  <pageMargins left="0.7" right="0.7" top="0.75" bottom="0.75" header="0.3" footer="0.3"/>
  <pageSetup paperSize="9" scale="59" firstPageNumber="4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  <pageSetUpPr fitToPage="1"/>
  </sheetPr>
  <dimension ref="A2:AI41"/>
  <sheetViews>
    <sheetView showGridLines="0" view="pageBreakPreview" zoomScaleNormal="55" zoomScaleSheetLayoutView="100" workbookViewId="0"/>
  </sheetViews>
  <sheetFormatPr defaultColWidth="8.88671875" defaultRowHeight="18" customHeight="1"/>
  <cols>
    <col min="1" max="1" width="23.33203125" style="3" customWidth="1"/>
    <col min="2" max="17" width="12" style="3" hidden="1" customWidth="1"/>
    <col min="18" max="23" width="11.44140625" style="3" hidden="1" customWidth="1"/>
    <col min="24" max="25" width="10.77734375" style="3" hidden="1" customWidth="1"/>
    <col min="26" max="35" width="10.77734375" style="3" customWidth="1"/>
    <col min="36" max="16384" width="8.88671875" style="3"/>
  </cols>
  <sheetData>
    <row r="2" spans="1:35" ht="32.25" customHeight="1">
      <c r="A2" s="370" t="s">
        <v>316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</row>
    <row r="3" spans="1:35" ht="26.25" customHeight="1" thickBot="1">
      <c r="A3" s="1"/>
      <c r="R3" s="2"/>
      <c r="U3" s="28"/>
      <c r="V3" s="28"/>
      <c r="W3" s="28"/>
      <c r="X3" s="28"/>
    </row>
    <row r="4" spans="1:35" s="678" customFormat="1" ht="21" customHeight="1" thickTop="1">
      <c r="A4" s="664" t="s">
        <v>315</v>
      </c>
      <c r="B4" s="406" t="s">
        <v>408</v>
      </c>
      <c r="C4" s="406" t="s">
        <v>473</v>
      </c>
      <c r="D4" s="406" t="s">
        <v>410</v>
      </c>
      <c r="E4" s="406" t="s">
        <v>470</v>
      </c>
      <c r="F4" s="406" t="s">
        <v>412</v>
      </c>
      <c r="G4" s="406" t="s">
        <v>473</v>
      </c>
      <c r="H4" s="406" t="s">
        <v>414</v>
      </c>
      <c r="I4" s="406" t="s">
        <v>415</v>
      </c>
      <c r="J4" s="406" t="s">
        <v>416</v>
      </c>
      <c r="K4" s="406" t="s">
        <v>474</v>
      </c>
      <c r="L4" s="406" t="s">
        <v>418</v>
      </c>
      <c r="M4" s="406" t="s">
        <v>419</v>
      </c>
      <c r="N4" s="406" t="s">
        <v>420</v>
      </c>
      <c r="O4" s="406" t="s">
        <v>475</v>
      </c>
      <c r="P4" s="406" t="s">
        <v>422</v>
      </c>
      <c r="Q4" s="406" t="s">
        <v>423</v>
      </c>
      <c r="R4" s="406" t="s">
        <v>390</v>
      </c>
      <c r="S4" s="406" t="s">
        <v>476</v>
      </c>
      <c r="T4" s="406" t="s">
        <v>425</v>
      </c>
      <c r="U4" s="406" t="s">
        <v>426</v>
      </c>
      <c r="V4" s="406" t="s">
        <v>388</v>
      </c>
      <c r="W4" s="406" t="s">
        <v>429</v>
      </c>
      <c r="X4" s="406" t="s">
        <v>468</v>
      </c>
      <c r="Y4" s="406" t="s">
        <v>481</v>
      </c>
      <c r="Z4" s="406" t="s">
        <v>566</v>
      </c>
      <c r="AA4" s="406" t="s">
        <v>611</v>
      </c>
      <c r="AB4" s="406" t="s">
        <v>645</v>
      </c>
      <c r="AC4" s="406" t="s">
        <v>643</v>
      </c>
      <c r="AD4" s="406" t="s">
        <v>650</v>
      </c>
      <c r="AE4" s="406" t="s">
        <v>672</v>
      </c>
      <c r="AF4" s="406" t="s">
        <v>677</v>
      </c>
      <c r="AG4" s="406" t="s">
        <v>685</v>
      </c>
      <c r="AH4" s="406" t="s">
        <v>689</v>
      </c>
      <c r="AI4" s="670" t="s">
        <v>720</v>
      </c>
    </row>
    <row r="5" spans="1:35" ht="21" customHeight="1">
      <c r="A5" s="124" t="s">
        <v>23</v>
      </c>
      <c r="B5" s="25">
        <v>2973.5183618300002</v>
      </c>
      <c r="C5" s="25">
        <v>2058.9104587500001</v>
      </c>
      <c r="D5" s="25">
        <v>4861.6337952399999</v>
      </c>
      <c r="E5" s="25">
        <v>4184.8433631999997</v>
      </c>
      <c r="F5" s="25">
        <v>4549.1558938400003</v>
      </c>
      <c r="G5" s="24">
        <v>4448.9123866600003</v>
      </c>
      <c r="H5" s="24">
        <v>5156.2137931500001</v>
      </c>
      <c r="I5" s="24">
        <v>4100.2677009099998</v>
      </c>
      <c r="J5" s="24">
        <v>5732.9087186400002</v>
      </c>
      <c r="K5" s="25">
        <v>6709.5571579699999</v>
      </c>
      <c r="L5" s="24">
        <v>2758.3337953199998</v>
      </c>
      <c r="M5" s="24">
        <v>2418.1758279199998</v>
      </c>
      <c r="N5" s="24">
        <v>2769.1263981500001</v>
      </c>
      <c r="O5" s="24">
        <v>3523.5945993900004</v>
      </c>
      <c r="P5" s="25">
        <v>7764.7250313300001</v>
      </c>
      <c r="Q5" s="24">
        <v>5097.4266087200003</v>
      </c>
      <c r="R5" s="25">
        <v>6739.2801818300004</v>
      </c>
      <c r="S5" s="24">
        <v>7090.2448827600001</v>
      </c>
      <c r="T5" s="25">
        <v>5594.92513831</v>
      </c>
      <c r="U5" s="163">
        <v>22297.999164669996</v>
      </c>
      <c r="V5" s="163">
        <v>8252.6141090399997</v>
      </c>
      <c r="W5" s="163">
        <v>15362.92895014</v>
      </c>
      <c r="X5" s="163">
        <v>7015.3538219800002</v>
      </c>
      <c r="Y5" s="163">
        <v>15598.71224968</v>
      </c>
      <c r="Z5" s="163">
        <v>7588.54415986</v>
      </c>
      <c r="AA5" s="430">
        <v>12183.72199883</v>
      </c>
      <c r="AB5" s="430">
        <v>9206.8658216299991</v>
      </c>
      <c r="AC5" s="430">
        <v>8493.7083540900003</v>
      </c>
      <c r="AD5" s="430">
        <v>7305.5130517300004</v>
      </c>
      <c r="AE5" s="430">
        <v>9198.7694917200006</v>
      </c>
      <c r="AF5" s="430">
        <v>8324.2183368400001</v>
      </c>
      <c r="AG5" s="430">
        <v>14708.22014945</v>
      </c>
      <c r="AH5" s="430">
        <v>8007.5023559800002</v>
      </c>
      <c r="AI5" s="523">
        <v>9735.6580460999994</v>
      </c>
    </row>
    <row r="6" spans="1:35" ht="21" customHeight="1">
      <c r="A6" s="124" t="s">
        <v>24</v>
      </c>
      <c r="B6" s="25">
        <v>994.59990799000002</v>
      </c>
      <c r="C6" s="25">
        <v>1006.9495755299999</v>
      </c>
      <c r="D6" s="25">
        <v>1095.1746146400001</v>
      </c>
      <c r="E6" s="25">
        <v>1096.7498533200001</v>
      </c>
      <c r="F6" s="25">
        <v>1041.60443156</v>
      </c>
      <c r="G6" s="24">
        <v>976.91903238999987</v>
      </c>
      <c r="H6" s="24">
        <v>930.12827145999995</v>
      </c>
      <c r="I6" s="24">
        <v>880.24319806999995</v>
      </c>
      <c r="J6" s="24">
        <v>853.50697041000012</v>
      </c>
      <c r="K6" s="25">
        <v>1401.02377523</v>
      </c>
      <c r="L6" s="24">
        <v>1198.0018768800001</v>
      </c>
      <c r="M6" s="24">
        <v>1321.8361057</v>
      </c>
      <c r="N6" s="24">
        <v>1317.68007827</v>
      </c>
      <c r="O6" s="24">
        <v>1324.4857911900001</v>
      </c>
      <c r="P6" s="25">
        <v>1494.59874504</v>
      </c>
      <c r="Q6" s="24">
        <v>1787.69974069</v>
      </c>
      <c r="R6" s="25">
        <v>1673.8771833100002</v>
      </c>
      <c r="S6" s="24">
        <v>1535.3537100000001</v>
      </c>
      <c r="T6" s="25">
        <v>1579.0391709499997</v>
      </c>
      <c r="U6" s="163">
        <v>1495.3537768800002</v>
      </c>
      <c r="V6" s="163">
        <v>1595.4179819599999</v>
      </c>
      <c r="W6" s="163">
        <v>1727.6370328800001</v>
      </c>
      <c r="X6" s="163">
        <v>1563.86439139</v>
      </c>
      <c r="Y6" s="163">
        <v>1609.4407431300001</v>
      </c>
      <c r="Z6" s="163">
        <v>1564.6542947299999</v>
      </c>
      <c r="AA6" s="430">
        <v>1719.5605880600001</v>
      </c>
      <c r="AB6" s="430">
        <v>1654.5934532000001</v>
      </c>
      <c r="AC6" s="430">
        <v>1716.95295225</v>
      </c>
      <c r="AD6" s="430">
        <v>1700.16856691</v>
      </c>
      <c r="AE6" s="430">
        <v>1988.5102735800001</v>
      </c>
      <c r="AF6" s="430">
        <v>1912.8443909099999</v>
      </c>
      <c r="AG6" s="430">
        <v>2686.5781219300002</v>
      </c>
      <c r="AH6" s="430">
        <v>3776.3397152799998</v>
      </c>
      <c r="AI6" s="523">
        <v>6751.2518401699999</v>
      </c>
    </row>
    <row r="7" spans="1:35" ht="21" customHeight="1">
      <c r="A7" s="124" t="s">
        <v>25</v>
      </c>
      <c r="B7" s="139">
        <v>952.43391713999995</v>
      </c>
      <c r="C7" s="139">
        <v>952.43391713999995</v>
      </c>
      <c r="D7" s="139">
        <v>52.433917139999991</v>
      </c>
      <c r="E7" s="139">
        <v>52.433917139999991</v>
      </c>
      <c r="F7" s="139">
        <v>52.433917139999991</v>
      </c>
      <c r="G7" s="24">
        <v>52.433917139999991</v>
      </c>
      <c r="H7" s="24">
        <v>52.433917139999991</v>
      </c>
      <c r="I7" s="24">
        <v>59.433917139999991</v>
      </c>
      <c r="J7" s="24">
        <v>65.433917140000005</v>
      </c>
      <c r="K7" s="139">
        <v>65.433917140000005</v>
      </c>
      <c r="L7" s="24">
        <v>62.011174619999998</v>
      </c>
      <c r="M7" s="24">
        <v>58.433917139999991</v>
      </c>
      <c r="N7" s="24">
        <v>58.433917139999991</v>
      </c>
      <c r="O7" s="24">
        <v>58.433917139999991</v>
      </c>
      <c r="P7" s="139">
        <v>58.433917139999991</v>
      </c>
      <c r="Q7" s="24">
        <v>58.433917139999991</v>
      </c>
      <c r="R7" s="139">
        <v>457.59845328000006</v>
      </c>
      <c r="S7" s="24">
        <v>482.29845327999993</v>
      </c>
      <c r="T7" s="139">
        <v>482.29845327999993</v>
      </c>
      <c r="U7" s="163">
        <v>482.29845327999993</v>
      </c>
      <c r="V7" s="163">
        <v>591.21697596000001</v>
      </c>
      <c r="W7" s="163">
        <v>1289.88569476</v>
      </c>
      <c r="X7" s="163">
        <v>1341.37569476</v>
      </c>
      <c r="Y7" s="163">
        <v>1190.977484</v>
      </c>
      <c r="Z7" s="163">
        <v>1135.8420148</v>
      </c>
      <c r="AA7" s="430">
        <v>1094.8721247999999</v>
      </c>
      <c r="AB7" s="430">
        <v>1216.0478548000001</v>
      </c>
      <c r="AC7" s="430">
        <v>1437.0478548000001</v>
      </c>
      <c r="AD7" s="430">
        <v>1453.1869439699999</v>
      </c>
      <c r="AE7" s="430">
        <v>1461.96728373</v>
      </c>
      <c r="AF7" s="430">
        <v>2142.2501000000002</v>
      </c>
      <c r="AG7" s="430">
        <v>2197.5680612400001</v>
      </c>
      <c r="AH7" s="430">
        <v>2273.5690612399999</v>
      </c>
      <c r="AI7" s="523">
        <v>2202.8388869999999</v>
      </c>
    </row>
    <row r="8" spans="1:35" ht="21" customHeight="1">
      <c r="A8" s="124" t="s">
        <v>26</v>
      </c>
      <c r="B8" s="25">
        <v>56609.241602339993</v>
      </c>
      <c r="C8" s="25">
        <v>60818.556030439999</v>
      </c>
      <c r="D8" s="25">
        <v>67510.108809769998</v>
      </c>
      <c r="E8" s="25">
        <v>72514.563146109998</v>
      </c>
      <c r="F8" s="25">
        <v>75279.372458109996</v>
      </c>
      <c r="G8" s="24">
        <v>80163.406205489999</v>
      </c>
      <c r="H8" s="24">
        <v>84513.999857420014</v>
      </c>
      <c r="I8" s="24">
        <v>85430.855446140005</v>
      </c>
      <c r="J8" s="24">
        <v>81371.372915009997</v>
      </c>
      <c r="K8" s="25">
        <v>86740.668744840004</v>
      </c>
      <c r="L8" s="24">
        <v>91972.333940890006</v>
      </c>
      <c r="M8" s="24">
        <v>92250.982492809999</v>
      </c>
      <c r="N8" s="24">
        <v>90576.724188070002</v>
      </c>
      <c r="O8" s="24">
        <v>92065.563358900006</v>
      </c>
      <c r="P8" s="25">
        <v>94001.290090440016</v>
      </c>
      <c r="Q8" s="24">
        <v>95272.984770390001</v>
      </c>
      <c r="R8" s="25">
        <v>87969.869048230001</v>
      </c>
      <c r="S8" s="24">
        <v>90196.217053910004</v>
      </c>
      <c r="T8" s="25">
        <v>82663.184800400006</v>
      </c>
      <c r="U8" s="163">
        <v>86698.293457060005</v>
      </c>
      <c r="V8" s="163">
        <v>110915.35249826001</v>
      </c>
      <c r="W8" s="163">
        <v>118652.93934827</v>
      </c>
      <c r="X8" s="163">
        <v>120866.78567318</v>
      </c>
      <c r="Y8" s="163">
        <v>134431.55163584999</v>
      </c>
      <c r="Z8" s="163">
        <v>138956.64748094999</v>
      </c>
      <c r="AA8" s="430">
        <v>147075.30132658</v>
      </c>
      <c r="AB8" s="430">
        <v>157058.54560312</v>
      </c>
      <c r="AC8" s="430">
        <v>158750.25457185999</v>
      </c>
      <c r="AD8" s="430">
        <v>168193.20157445001</v>
      </c>
      <c r="AE8" s="430">
        <v>163825.20834643999</v>
      </c>
      <c r="AF8" s="430">
        <v>168412.42257615001</v>
      </c>
      <c r="AG8" s="430">
        <v>160778.32385918</v>
      </c>
      <c r="AH8" s="430">
        <v>157391.12735092</v>
      </c>
      <c r="AI8" s="523">
        <v>147693.03256329999</v>
      </c>
    </row>
    <row r="9" spans="1:35" ht="21" customHeight="1">
      <c r="A9" s="124" t="s">
        <v>27</v>
      </c>
      <c r="B9" s="25">
        <v>14414.713607920001</v>
      </c>
      <c r="C9" s="25">
        <v>17963.77483455</v>
      </c>
      <c r="D9" s="25">
        <v>13846.80029628</v>
      </c>
      <c r="E9" s="25">
        <v>16111.088885769999</v>
      </c>
      <c r="F9" s="25">
        <v>15722.76552678</v>
      </c>
      <c r="G9" s="24">
        <v>20410.045163700001</v>
      </c>
      <c r="H9" s="24">
        <v>22005.320834810002</v>
      </c>
      <c r="I9" s="24">
        <v>24300.894407299998</v>
      </c>
      <c r="J9" s="24">
        <v>29511.192539769996</v>
      </c>
      <c r="K9" s="25">
        <v>32138.987617170002</v>
      </c>
      <c r="L9" s="24">
        <v>34818.21170272</v>
      </c>
      <c r="M9" s="24">
        <v>27490.115821809995</v>
      </c>
      <c r="N9" s="24">
        <v>32213.92215559</v>
      </c>
      <c r="O9" s="24">
        <v>30380.107379749999</v>
      </c>
      <c r="P9" s="25">
        <v>32900.071113940001</v>
      </c>
      <c r="Q9" s="24">
        <v>30796.122130479998</v>
      </c>
      <c r="R9" s="25">
        <v>37408.334998240003</v>
      </c>
      <c r="S9" s="24">
        <v>30660.850268679998</v>
      </c>
      <c r="T9" s="25">
        <v>30387.469365469999</v>
      </c>
      <c r="U9" s="163">
        <v>31149.588796759999</v>
      </c>
      <c r="V9" s="163">
        <v>61971.397878620002</v>
      </c>
      <c r="W9" s="163">
        <v>55924.14985301</v>
      </c>
      <c r="X9" s="163">
        <v>62073.509012510003</v>
      </c>
      <c r="Y9" s="163">
        <v>64326.735911509997</v>
      </c>
      <c r="Z9" s="163">
        <v>65327.910716040002</v>
      </c>
      <c r="AA9" s="430">
        <v>55668.41504819</v>
      </c>
      <c r="AB9" s="430">
        <v>61684.447543000002</v>
      </c>
      <c r="AC9" s="430">
        <v>51803.787333699998</v>
      </c>
      <c r="AD9" s="430">
        <v>61651.723842619998</v>
      </c>
      <c r="AE9" s="430">
        <v>68407.04368961</v>
      </c>
      <c r="AF9" s="430">
        <v>60846.335104749996</v>
      </c>
      <c r="AG9" s="430">
        <v>52882.342708279997</v>
      </c>
      <c r="AH9" s="430">
        <v>44688.144479479997</v>
      </c>
      <c r="AI9" s="523">
        <v>42180.803852470002</v>
      </c>
    </row>
    <row r="10" spans="1:35" ht="21" customHeight="1">
      <c r="A10" s="124" t="s">
        <v>28</v>
      </c>
      <c r="B10" s="25">
        <v>26460.231693509999</v>
      </c>
      <c r="C10" s="25">
        <v>26793.15917345</v>
      </c>
      <c r="D10" s="25">
        <v>26081.306911669999</v>
      </c>
      <c r="E10" s="25">
        <v>26655.111877309995</v>
      </c>
      <c r="F10" s="25">
        <v>26830.949868060001</v>
      </c>
      <c r="G10" s="24">
        <v>26793.00369134</v>
      </c>
      <c r="H10" s="24">
        <v>27284.22919378</v>
      </c>
      <c r="I10" s="24">
        <v>24971.162358720001</v>
      </c>
      <c r="J10" s="24">
        <v>22894.550190310005</v>
      </c>
      <c r="K10" s="25">
        <v>21499.579991350001</v>
      </c>
      <c r="L10" s="24">
        <v>19384.27680829</v>
      </c>
      <c r="M10" s="24">
        <v>16686.289662899999</v>
      </c>
      <c r="N10" s="24">
        <v>16060.757439860001</v>
      </c>
      <c r="O10" s="24">
        <v>17056.404127459999</v>
      </c>
      <c r="P10" s="25">
        <v>17676.611873220001</v>
      </c>
      <c r="Q10" s="24">
        <v>16463.204140040001</v>
      </c>
      <c r="R10" s="25">
        <v>14425.22082597</v>
      </c>
      <c r="S10" s="24">
        <v>14479.609654289998</v>
      </c>
      <c r="T10" s="25">
        <v>14780.611559479999</v>
      </c>
      <c r="U10" s="163">
        <v>11606.196354799999</v>
      </c>
      <c r="V10" s="163">
        <v>12414.532596520001</v>
      </c>
      <c r="W10" s="163">
        <v>12376.06960248</v>
      </c>
      <c r="X10" s="163">
        <v>11074.62923429</v>
      </c>
      <c r="Y10" s="163">
        <v>11680.52149857</v>
      </c>
      <c r="Z10" s="163">
        <v>11157.590343899999</v>
      </c>
      <c r="AA10" s="430">
        <v>11370.035911770001</v>
      </c>
      <c r="AB10" s="430">
        <v>11368.48301769</v>
      </c>
      <c r="AC10" s="430">
        <v>11792.59638718</v>
      </c>
      <c r="AD10" s="430">
        <v>12934.72957643</v>
      </c>
      <c r="AE10" s="430">
        <v>12361.77718467</v>
      </c>
      <c r="AF10" s="430">
        <v>12899.40292688</v>
      </c>
      <c r="AG10" s="430">
        <v>11384.320101179999</v>
      </c>
      <c r="AH10" s="430">
        <v>12449.967999140001</v>
      </c>
      <c r="AI10" s="523">
        <v>14440.05044196</v>
      </c>
    </row>
    <row r="11" spans="1:35" ht="21" customHeight="1">
      <c r="A11" s="124" t="s">
        <v>29</v>
      </c>
      <c r="B11" s="25">
        <v>726.26229999999998</v>
      </c>
      <c r="C11" s="25">
        <v>517.59849999999994</v>
      </c>
      <c r="D11" s="25">
        <v>512.74950000000001</v>
      </c>
      <c r="E11" s="25">
        <v>528.03499999999997</v>
      </c>
      <c r="F11" s="25">
        <v>527.11800000000005</v>
      </c>
      <c r="G11" s="24">
        <v>524.04750000000001</v>
      </c>
      <c r="H11" s="24">
        <v>512.79849999999999</v>
      </c>
      <c r="I11" s="24">
        <v>514.79549999999995</v>
      </c>
      <c r="J11" s="24">
        <v>604.00561600000003</v>
      </c>
      <c r="K11" s="25">
        <v>500.46899999999999</v>
      </c>
      <c r="L11" s="24">
        <v>0</v>
      </c>
      <c r="M11" s="24">
        <v>0</v>
      </c>
      <c r="N11" s="24">
        <v>0</v>
      </c>
      <c r="O11" s="24">
        <v>0</v>
      </c>
      <c r="P11" s="25">
        <v>0</v>
      </c>
      <c r="Q11" s="24">
        <v>0</v>
      </c>
      <c r="R11" s="25">
        <v>0</v>
      </c>
      <c r="S11" s="24">
        <v>1696.3782055000001</v>
      </c>
      <c r="T11" s="25">
        <v>494.79156167000002</v>
      </c>
      <c r="U11" s="163">
        <v>498.58449316000008</v>
      </c>
      <c r="V11" s="163">
        <v>12206.739771480001</v>
      </c>
      <c r="W11" s="163">
        <v>11668.815208239999</v>
      </c>
      <c r="X11" s="163">
        <v>9489.8455307999993</v>
      </c>
      <c r="Y11" s="163">
        <v>13605.97921825</v>
      </c>
      <c r="Z11" s="163">
        <v>9842.3810115399992</v>
      </c>
      <c r="AA11" s="430">
        <v>10433.78527934</v>
      </c>
      <c r="AB11" s="430">
        <v>14423.23753183</v>
      </c>
      <c r="AC11" s="430">
        <v>18069.403877019999</v>
      </c>
      <c r="AD11" s="430">
        <v>19549.44811944</v>
      </c>
      <c r="AE11" s="430">
        <v>19709.861867110001</v>
      </c>
      <c r="AF11" s="430">
        <v>22732.43023772</v>
      </c>
      <c r="AG11" s="430">
        <v>18193.833513609999</v>
      </c>
      <c r="AH11" s="430">
        <v>21357.251933809999</v>
      </c>
      <c r="AI11" s="523">
        <v>21531.34343194</v>
      </c>
    </row>
    <row r="12" spans="1:35" ht="21" customHeight="1">
      <c r="A12" s="124" t="s">
        <v>30</v>
      </c>
      <c r="B12" s="25">
        <v>50352.97660047</v>
      </c>
      <c r="C12" s="25">
        <v>50293.940115320001</v>
      </c>
      <c r="D12" s="25">
        <v>52634.730692680001</v>
      </c>
      <c r="E12" s="25">
        <v>53616.825404209994</v>
      </c>
      <c r="F12" s="25">
        <v>56191.091555610001</v>
      </c>
      <c r="G12" s="24">
        <v>56707.828112670009</v>
      </c>
      <c r="H12" s="24">
        <v>56518.021940780003</v>
      </c>
      <c r="I12" s="24">
        <v>56955.926708799998</v>
      </c>
      <c r="J12" s="24">
        <v>63490.348468830001</v>
      </c>
      <c r="K12" s="25">
        <v>61239.722224919999</v>
      </c>
      <c r="L12" s="24">
        <v>62554.162644659998</v>
      </c>
      <c r="M12" s="24">
        <v>74033.3987528</v>
      </c>
      <c r="N12" s="24">
        <v>70788.635503609999</v>
      </c>
      <c r="O12" s="24">
        <v>75956.33293746</v>
      </c>
      <c r="P12" s="25">
        <v>73570.82031861</v>
      </c>
      <c r="Q12" s="24">
        <v>83272.324292630001</v>
      </c>
      <c r="R12" s="25">
        <v>79917.081729819998</v>
      </c>
      <c r="S12" s="24">
        <v>84769.213669969991</v>
      </c>
      <c r="T12" s="25">
        <v>93778.507484710019</v>
      </c>
      <c r="U12" s="163">
        <v>110959.58200104001</v>
      </c>
      <c r="V12" s="163">
        <v>107906.19234701</v>
      </c>
      <c r="W12" s="163">
        <v>113955.67169954001</v>
      </c>
      <c r="X12" s="163">
        <v>121167.37508391</v>
      </c>
      <c r="Y12" s="163">
        <v>124254.23582264</v>
      </c>
      <c r="Z12" s="163">
        <v>131341.71940713</v>
      </c>
      <c r="AA12" s="430">
        <v>137562.69147831999</v>
      </c>
      <c r="AB12" s="430">
        <v>142872.20962430001</v>
      </c>
      <c r="AC12" s="430">
        <v>149682.36362310001</v>
      </c>
      <c r="AD12" s="430">
        <v>138203.59245237001</v>
      </c>
      <c r="AE12" s="430">
        <v>135519.96165787001</v>
      </c>
      <c r="AF12" s="430">
        <v>137030.13703339</v>
      </c>
      <c r="AG12" s="430">
        <v>150689.33530827001</v>
      </c>
      <c r="AH12" s="430">
        <v>153983.71447583</v>
      </c>
      <c r="AI12" s="523">
        <v>156744.59910369999</v>
      </c>
    </row>
    <row r="13" spans="1:35" ht="21" customHeight="1">
      <c r="A13" s="147" t="s">
        <v>31</v>
      </c>
      <c r="B13" s="140">
        <v>7901.1388420600006</v>
      </c>
      <c r="C13" s="140">
        <v>7877.5502142599989</v>
      </c>
      <c r="D13" s="140">
        <v>7853.9841145099999</v>
      </c>
      <c r="E13" s="140">
        <v>7793.7509867600002</v>
      </c>
      <c r="F13" s="140">
        <v>7786.0391636499999</v>
      </c>
      <c r="G13" s="31">
        <v>7760.9862739100008</v>
      </c>
      <c r="H13" s="31">
        <v>7741.3709655100001</v>
      </c>
      <c r="I13" s="31">
        <v>7130.5272752700002</v>
      </c>
      <c r="J13" s="31">
        <v>7116.6781236099996</v>
      </c>
      <c r="K13" s="140">
        <v>7096.1196451800006</v>
      </c>
      <c r="L13" s="31">
        <v>7074.5561667800011</v>
      </c>
      <c r="M13" s="31">
        <v>6791.46153099</v>
      </c>
      <c r="N13" s="31">
        <v>9395.7100272200005</v>
      </c>
      <c r="O13" s="31">
        <v>9403.4188339499997</v>
      </c>
      <c r="P13" s="140">
        <v>9401.1402206599996</v>
      </c>
      <c r="Q13" s="31">
        <v>9402.1765842299992</v>
      </c>
      <c r="R13" s="140">
        <v>9514.39394593</v>
      </c>
      <c r="S13" s="31">
        <v>9778.5078228799994</v>
      </c>
      <c r="T13" s="140">
        <v>9793.3116684899996</v>
      </c>
      <c r="U13" s="165">
        <v>9792.2318190999995</v>
      </c>
      <c r="V13" s="165">
        <v>9773.4162976700009</v>
      </c>
      <c r="W13" s="165">
        <v>9854.9792762599991</v>
      </c>
      <c r="X13" s="165">
        <v>9922.5046318700006</v>
      </c>
      <c r="Y13" s="165">
        <v>10034.11846869</v>
      </c>
      <c r="Z13" s="165">
        <v>10230.82953877</v>
      </c>
      <c r="AA13" s="431">
        <v>11521.20461475</v>
      </c>
      <c r="AB13" s="431">
        <v>11720.53092042</v>
      </c>
      <c r="AC13" s="431">
        <v>11697.75987595</v>
      </c>
      <c r="AD13" s="431">
        <v>11664.24072856</v>
      </c>
      <c r="AE13" s="431">
        <v>11640.887195130001</v>
      </c>
      <c r="AF13" s="431">
        <v>11645.36049461</v>
      </c>
      <c r="AG13" s="431">
        <v>11630.4331291</v>
      </c>
      <c r="AH13" s="431">
        <v>11609.02190093</v>
      </c>
      <c r="AI13" s="524">
        <v>11582.37351958</v>
      </c>
    </row>
    <row r="14" spans="1:35" ht="21" customHeight="1">
      <c r="A14" s="189" t="s">
        <v>32</v>
      </c>
      <c r="B14" s="141">
        <v>161385.11683325999</v>
      </c>
      <c r="C14" s="141">
        <v>168282.87281944</v>
      </c>
      <c r="D14" s="141">
        <v>174448.92265193001</v>
      </c>
      <c r="E14" s="141">
        <v>182553.40243381998</v>
      </c>
      <c r="F14" s="141">
        <v>187980.53081475</v>
      </c>
      <c r="G14" s="26">
        <v>197837.5822833</v>
      </c>
      <c r="H14" s="26">
        <v>204714.51727405001</v>
      </c>
      <c r="I14" s="26">
        <v>204344.10651235</v>
      </c>
      <c r="J14" s="26">
        <v>211639.99745972001</v>
      </c>
      <c r="K14" s="141">
        <v>217391.56207380001</v>
      </c>
      <c r="L14" s="26">
        <v>219821.88811016001</v>
      </c>
      <c r="M14" s="26">
        <v>221050.69411206999</v>
      </c>
      <c r="N14" s="26">
        <v>223180.98970790996</v>
      </c>
      <c r="O14" s="26">
        <v>229768.34094523999</v>
      </c>
      <c r="P14" s="141">
        <v>236867.69131038</v>
      </c>
      <c r="Q14" s="26">
        <v>242150.37218432</v>
      </c>
      <c r="R14" s="141">
        <v>238105.65636661</v>
      </c>
      <c r="S14" s="26">
        <v>240688.67372127</v>
      </c>
      <c r="T14" s="141">
        <v>239554.13920276001</v>
      </c>
      <c r="U14" s="166">
        <v>274980.12831674999</v>
      </c>
      <c r="V14" s="166">
        <v>325626.88045652001</v>
      </c>
      <c r="W14" s="166">
        <v>340813.07666558004</v>
      </c>
      <c r="X14" s="166">
        <v>344515.24307469005</v>
      </c>
      <c r="Y14" s="166">
        <v>376732.27303231996</v>
      </c>
      <c r="Z14" s="166">
        <v>377146.11896772002</v>
      </c>
      <c r="AA14" s="432">
        <v>388629.58837064001</v>
      </c>
      <c r="AB14" s="432">
        <v>411204.96136999008</v>
      </c>
      <c r="AC14" s="432">
        <v>413443.87482994999</v>
      </c>
      <c r="AD14" s="432">
        <v>422655.80485647998</v>
      </c>
      <c r="AE14" s="432">
        <v>424113.98698985996</v>
      </c>
      <c r="AF14" s="432">
        <v>425945.40120124997</v>
      </c>
      <c r="AG14" s="432">
        <v>425150.95495223999</v>
      </c>
      <c r="AH14" s="432">
        <v>415536.63927260996</v>
      </c>
      <c r="AI14" s="525">
        <v>412861.95168622001</v>
      </c>
    </row>
    <row r="15" spans="1:35" ht="21" customHeight="1">
      <c r="A15" s="147" t="s">
        <v>696</v>
      </c>
      <c r="B15" s="142">
        <v>4.9926130633294374E-2</v>
      </c>
      <c r="C15" s="142">
        <v>4.1766755692983278E-2</v>
      </c>
      <c r="D15" s="143">
        <v>4.196136881709147E-2</v>
      </c>
      <c r="E15" s="143">
        <v>4.7884977152922663E-2</v>
      </c>
      <c r="F15" s="143">
        <v>5.1023637288388282E-2</v>
      </c>
      <c r="G15" s="143">
        <v>5.2755661005087405E-2</v>
      </c>
      <c r="H15" s="143">
        <v>7.2744485716626742E-2</v>
      </c>
      <c r="I15" s="143">
        <v>8.7997890351186575E-2</v>
      </c>
      <c r="J15" s="143">
        <v>6.3221656762461359E-2</v>
      </c>
      <c r="K15" s="143">
        <v>4.7659618201758763E-2</v>
      </c>
      <c r="L15" s="143">
        <v>3.8293612639129816E-2</v>
      </c>
      <c r="M15" s="143">
        <v>3.7862096547656723E-2</v>
      </c>
      <c r="N15" s="143">
        <v>3.728859589129712E-2</v>
      </c>
      <c r="O15" s="143">
        <v>3.9598807629480579E-2</v>
      </c>
      <c r="P15" s="143">
        <v>4.0839691066633592E-2</v>
      </c>
      <c r="Q15" s="143">
        <v>4.2754830242659865E-2</v>
      </c>
      <c r="R15" s="143">
        <v>4.2222226303983916E-2</v>
      </c>
      <c r="S15" s="143">
        <v>4.3208675710098572E-2</v>
      </c>
      <c r="T15" s="143">
        <v>4.9248669596365258E-2</v>
      </c>
      <c r="U15" s="143">
        <v>4.0830139617081158E-2</v>
      </c>
      <c r="V15" s="143">
        <v>3.8012227955144834E-2</v>
      </c>
      <c r="W15" s="143">
        <v>4.167975579536673E-2</v>
      </c>
      <c r="X15" s="143">
        <v>4.0634880620497742E-2</v>
      </c>
      <c r="Y15" s="360">
        <v>2.9634512819647237E-2</v>
      </c>
      <c r="Z15" s="360">
        <v>4.0312482709211214E-2</v>
      </c>
      <c r="AA15" s="360">
        <v>3.8236442513019504E-2</v>
      </c>
      <c r="AB15" s="360">
        <v>3.7953756391007051E-2</v>
      </c>
      <c r="AC15" s="360">
        <v>3.2432476895480546E-2</v>
      </c>
      <c r="AD15" s="360">
        <v>4.0763998320392771E-2</v>
      </c>
      <c r="AE15" s="490">
        <v>4.7500000000000001E-2</v>
      </c>
      <c r="AF15" s="490">
        <v>4.6051643020450478E-2</v>
      </c>
      <c r="AG15" s="490">
        <v>8.8512727818184263E-3</v>
      </c>
      <c r="AH15" s="490">
        <v>4.4245711298960592E-2</v>
      </c>
      <c r="AI15" s="526">
        <v>5.6046948340624021E-2</v>
      </c>
    </row>
    <row r="16" spans="1:35" ht="21" customHeight="1">
      <c r="A16" s="148" t="s">
        <v>49</v>
      </c>
      <c r="B16" s="144">
        <v>4.9926130633294374E-2</v>
      </c>
      <c r="C16" s="145">
        <v>4.5686011952436989E-2</v>
      </c>
      <c r="D16" s="145">
        <v>4.4562997713506448E-2</v>
      </c>
      <c r="E16" s="145">
        <v>4.5521418639169309E-2</v>
      </c>
      <c r="F16" s="145">
        <v>5.1023637288388282E-2</v>
      </c>
      <c r="G16" s="145">
        <v>5.2129624534757071E-2</v>
      </c>
      <c r="H16" s="145">
        <v>5.9994903752454504E-2</v>
      </c>
      <c r="I16" s="145">
        <v>6.9380931734633097E-2</v>
      </c>
      <c r="J16" s="145">
        <v>6.3221656762461359E-2</v>
      </c>
      <c r="K16" s="145">
        <v>5.6671017881961917E-2</v>
      </c>
      <c r="L16" s="145">
        <v>5.1094529865250857E-2</v>
      </c>
      <c r="M16" s="145">
        <v>4.8399119078074315E-2</v>
      </c>
      <c r="N16" s="145">
        <v>3.728859589129712E-2</v>
      </c>
      <c r="O16" s="145">
        <v>3.8447651451542442E-2</v>
      </c>
      <c r="P16" s="145">
        <v>3.9374092994219199E-2</v>
      </c>
      <c r="Q16" s="145">
        <v>4.0570557401058943E-2</v>
      </c>
      <c r="R16" s="145">
        <v>4.2222226303983916E-2</v>
      </c>
      <c r="S16" s="145">
        <v>4.2646081767775033E-2</v>
      </c>
      <c r="T16" s="145">
        <v>4.5246378639575112E-2</v>
      </c>
      <c r="U16" s="145">
        <v>4.2053778125674769E-2</v>
      </c>
      <c r="V16" s="145">
        <v>3.8012227955144834E-2</v>
      </c>
      <c r="W16" s="145">
        <v>4.0173059082958526E-2</v>
      </c>
      <c r="X16" s="145">
        <v>4.1148136037651543E-2</v>
      </c>
      <c r="Y16" s="361">
        <v>3.7426016335746305E-2</v>
      </c>
      <c r="Z16" s="361">
        <v>4.0312482709211214E-2</v>
      </c>
      <c r="AA16" s="361">
        <v>3.9171728270335375E-2</v>
      </c>
      <c r="AB16" s="361">
        <v>3.8448385946822337E-2</v>
      </c>
      <c r="AC16" s="361">
        <v>3.7462383839412847E-2</v>
      </c>
      <c r="AD16" s="361">
        <v>4.0763998320392771E-2</v>
      </c>
      <c r="AE16" s="491">
        <v>4.4616015990140569E-2</v>
      </c>
      <c r="AF16" s="491">
        <v>4.5555135091563899E-2</v>
      </c>
      <c r="AG16" s="491">
        <v>3.652262320841923E-2</v>
      </c>
      <c r="AH16" s="491">
        <v>4.4245711298960592E-2</v>
      </c>
      <c r="AI16" s="527">
        <v>5.0202909315007462E-2</v>
      </c>
    </row>
    <row r="17" spans="1:35" ht="21" customHeight="1">
      <c r="A17" s="367" t="s">
        <v>568</v>
      </c>
      <c r="B17" s="617"/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618"/>
      <c r="Z17" s="618"/>
      <c r="AA17" s="618"/>
      <c r="AB17" s="618"/>
      <c r="AC17" s="618"/>
      <c r="AD17" s="618"/>
      <c r="AE17" s="619"/>
      <c r="AF17" s="619"/>
      <c r="AG17" s="619"/>
      <c r="AH17" s="619"/>
      <c r="AI17" s="620"/>
    </row>
    <row r="18" spans="1:35" ht="21" customHeight="1">
      <c r="A18" s="621" t="s">
        <v>700</v>
      </c>
      <c r="B18" s="655"/>
      <c r="C18" s="622"/>
      <c r="D18" s="622"/>
      <c r="E18" s="622"/>
      <c r="F18" s="622"/>
      <c r="G18" s="622"/>
      <c r="H18" s="622"/>
      <c r="I18" s="622"/>
      <c r="J18" s="622"/>
      <c r="K18" s="622"/>
      <c r="L18" s="622"/>
      <c r="M18" s="622"/>
      <c r="N18" s="622"/>
      <c r="O18" s="622"/>
      <c r="P18" s="622"/>
      <c r="Q18" s="622"/>
      <c r="R18" s="622"/>
      <c r="S18" s="622"/>
      <c r="T18" s="622"/>
      <c r="U18" s="622"/>
      <c r="V18" s="622">
        <v>4.980536518743308E-2</v>
      </c>
      <c r="W18" s="622">
        <v>5.3372698335858414E-2</v>
      </c>
      <c r="X18" s="622">
        <v>5.3602715954277937E-2</v>
      </c>
      <c r="Y18" s="623">
        <v>4.2104348040778922E-2</v>
      </c>
      <c r="Z18" s="623">
        <v>5.1898536283656864E-2</v>
      </c>
      <c r="AA18" s="623">
        <v>4.9825920367287946E-2</v>
      </c>
      <c r="AB18" s="623">
        <v>4.9340204961125872E-2</v>
      </c>
      <c r="AC18" s="623">
        <v>4.3576299886606336E-2</v>
      </c>
      <c r="AD18" s="623">
        <v>5.0815247904267474E-2</v>
      </c>
      <c r="AE18" s="624">
        <v>5.7607467389017869E-2</v>
      </c>
      <c r="AF18" s="624">
        <v>5.6286878765310987E-2</v>
      </c>
      <c r="AG18" s="624">
        <v>1.873678311308264E-2</v>
      </c>
      <c r="AH18" s="624">
        <v>5.3522523136878074E-2</v>
      </c>
      <c r="AI18" s="625">
        <v>6.6022693676827338E-2</v>
      </c>
    </row>
    <row r="19" spans="1:35" ht="21" customHeight="1">
      <c r="A19" s="656" t="s">
        <v>701</v>
      </c>
      <c r="B19" s="657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>
        <v>4.980536518743308E-2</v>
      </c>
      <c r="W19" s="145">
        <v>5.2074677015656358E-2</v>
      </c>
      <c r="X19" s="145">
        <v>5.3784805439345704E-2</v>
      </c>
      <c r="Y19" s="361">
        <v>4.9928174140927595E-2</v>
      </c>
      <c r="Z19" s="361">
        <v>5.1898536283656864E-2</v>
      </c>
      <c r="AA19" s="361">
        <v>5.0804505174542457E-2</v>
      </c>
      <c r="AB19" s="361">
        <v>4.999960987446133E-2</v>
      </c>
      <c r="AC19" s="361">
        <v>4.9193963722607613E-2</v>
      </c>
      <c r="AD19" s="361">
        <v>5.0815247904267474E-2</v>
      </c>
      <c r="AE19" s="491">
        <v>5.4857804194026381E-2</v>
      </c>
      <c r="AF19" s="491">
        <v>5.6019005015629682E-2</v>
      </c>
      <c r="AG19" s="491">
        <v>4.7011372353661353E-2</v>
      </c>
      <c r="AH19" s="491">
        <v>5.3522523136878074E-2</v>
      </c>
      <c r="AI19" s="527">
        <v>5.9918062228658538E-2</v>
      </c>
    </row>
    <row r="20" spans="1:35" ht="27.75" customHeight="1">
      <c r="A20" s="367" t="s">
        <v>708</v>
      </c>
      <c r="B20" s="367"/>
      <c r="C20" s="367"/>
      <c r="D20" s="367"/>
      <c r="E20" s="367"/>
      <c r="F20" s="367"/>
      <c r="G20" s="367"/>
      <c r="H20" s="367"/>
      <c r="I20" s="367"/>
      <c r="J20" s="367"/>
      <c r="K20" s="367"/>
      <c r="L20" s="367"/>
      <c r="M20" s="367"/>
      <c r="N20" s="367"/>
      <c r="O20" s="367"/>
      <c r="P20" s="367"/>
      <c r="Q20" s="367"/>
      <c r="R20" s="367"/>
      <c r="S20" s="367"/>
      <c r="T20" s="367"/>
    </row>
    <row r="21" spans="1:35" ht="26.25" customHeight="1">
      <c r="Q21" s="4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ht="27" hidden="1" customHeight="1">
      <c r="A22" s="45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9"/>
      <c r="R22" s="48"/>
      <c r="S22" s="48"/>
      <c r="T22" s="49"/>
      <c r="U22" s="63"/>
      <c r="V22" s="52"/>
      <c r="W22" s="53"/>
      <c r="X22" s="53"/>
    </row>
    <row r="23" spans="1:35" ht="27" hidden="1" customHeight="1">
      <c r="A23" s="44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0"/>
      <c r="S23" s="50"/>
      <c r="T23" s="51"/>
      <c r="U23" s="64"/>
      <c r="V23" s="53"/>
      <c r="W23" s="53"/>
      <c r="X23" s="53"/>
    </row>
    <row r="24" spans="1:35" ht="27" hidden="1" customHeight="1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65"/>
      <c r="V24" s="54"/>
      <c r="W24" s="160"/>
      <c r="X24" s="160"/>
    </row>
    <row r="25" spans="1:35" ht="18" hidden="1" customHeight="1"/>
    <row r="26" spans="1:35" ht="18" hidden="1" customHeight="1"/>
    <row r="27" spans="1:35" ht="18" hidden="1" customHeight="1"/>
    <row r="28" spans="1:35" ht="18" customHeight="1">
      <c r="M28" s="119"/>
      <c r="Q28" s="119"/>
      <c r="U28" s="119"/>
      <c r="Y28" s="119"/>
      <c r="AC28" s="119"/>
      <c r="AD28" s="119"/>
      <c r="AE28" s="119"/>
      <c r="AF28" s="119"/>
      <c r="AG28" s="119"/>
      <c r="AH28" s="119"/>
      <c r="AI28" s="119"/>
    </row>
    <row r="29" spans="1:35" ht="18" customHeight="1">
      <c r="AD29" s="579"/>
    </row>
    <row r="30" spans="1:35" ht="18" customHeight="1">
      <c r="AD30" s="579"/>
    </row>
    <row r="31" spans="1:35" ht="18" customHeight="1">
      <c r="AD31" s="579"/>
    </row>
    <row r="32" spans="1:35" ht="18" customHeight="1">
      <c r="AD32" s="579"/>
    </row>
    <row r="33" spans="22:30" ht="18" customHeight="1">
      <c r="AD33" s="579"/>
    </row>
    <row r="34" spans="22:30" ht="18" customHeight="1">
      <c r="V34" s="164"/>
      <c r="W34" s="163"/>
      <c r="X34" s="163"/>
      <c r="AD34" s="579"/>
    </row>
    <row r="35" spans="22:30" ht="18" customHeight="1">
      <c r="V35" s="163"/>
      <c r="W35" s="163"/>
      <c r="X35" s="163"/>
    </row>
    <row r="36" spans="22:30" ht="18" customHeight="1">
      <c r="V36" s="163"/>
      <c r="W36" s="163"/>
      <c r="X36" s="163"/>
    </row>
    <row r="37" spans="22:30" ht="18" customHeight="1">
      <c r="V37" s="163"/>
      <c r="W37" s="163"/>
      <c r="X37" s="163"/>
    </row>
    <row r="38" spans="22:30" ht="18" customHeight="1">
      <c r="V38" s="163"/>
      <c r="W38" s="163"/>
      <c r="X38" s="163"/>
    </row>
    <row r="39" spans="22:30" ht="18" customHeight="1">
      <c r="V39" s="163"/>
      <c r="W39" s="163"/>
      <c r="X39" s="163"/>
    </row>
    <row r="40" spans="22:30" ht="18" customHeight="1">
      <c r="V40" s="163"/>
      <c r="W40" s="163"/>
      <c r="X40" s="163"/>
    </row>
    <row r="41" spans="22:30" ht="18" customHeight="1">
      <c r="V41" s="163"/>
      <c r="W41" s="163"/>
      <c r="X41" s="16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9" scale="52" firstPageNumber="5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  <pageSetUpPr fitToPage="1"/>
  </sheetPr>
  <dimension ref="A1:BI54"/>
  <sheetViews>
    <sheetView view="pageBreakPreview" zoomScaleNormal="85" zoomScaleSheetLayoutView="100" workbookViewId="0">
      <selection activeCell="AV18" sqref="AV18"/>
    </sheetView>
  </sheetViews>
  <sheetFormatPr defaultColWidth="8.88671875" defaultRowHeight="13.5" customHeight="1"/>
  <cols>
    <col min="1" max="1" width="9.33203125" style="6" customWidth="1"/>
    <col min="2" max="2" width="6.77734375" style="6" bestFit="1" customWidth="1"/>
    <col min="3" max="3" width="8.88671875" style="6"/>
    <col min="4" max="19" width="6.6640625" style="6" hidden="1" customWidth="1"/>
    <col min="20" max="27" width="6.5546875" style="6" hidden="1" customWidth="1"/>
    <col min="28" max="34" width="6.5546875" style="6" customWidth="1"/>
    <col min="35" max="35" width="7.5546875" style="6" bestFit="1" customWidth="1"/>
    <col min="36" max="41" width="6.5546875" style="6" customWidth="1"/>
    <col min="42" max="48" width="7" style="6" customWidth="1"/>
    <col min="49" max="16384" width="8.88671875" style="6"/>
  </cols>
  <sheetData>
    <row r="1" spans="1:61" ht="24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F1" s="7"/>
      <c r="AH1" s="7"/>
      <c r="AJ1" s="7"/>
      <c r="AL1" s="7"/>
      <c r="AN1" s="7"/>
      <c r="AO1" s="7"/>
      <c r="AP1" s="7"/>
      <c r="AQ1" s="7"/>
      <c r="AR1" s="7"/>
      <c r="AS1" s="7"/>
      <c r="AT1" s="7"/>
      <c r="AU1" s="7"/>
      <c r="AV1" s="7"/>
    </row>
    <row r="2" spans="1:61" s="151" customFormat="1" ht="35.25" customHeight="1">
      <c r="A2" s="368" t="s">
        <v>318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50"/>
      <c r="X2" s="150"/>
      <c r="Y2" s="150"/>
      <c r="Z2" s="150"/>
      <c r="AA2" s="150"/>
      <c r="AB2" s="150"/>
      <c r="AC2" s="150"/>
      <c r="AD2" s="150"/>
      <c r="AE2" s="150"/>
      <c r="AF2" s="368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50"/>
      <c r="BC2" s="150"/>
      <c r="BD2" s="150"/>
      <c r="BE2" s="150"/>
      <c r="BF2" s="150"/>
      <c r="BG2" s="150"/>
      <c r="BH2" s="150"/>
      <c r="BI2" s="150"/>
    </row>
    <row r="3" spans="1:61" ht="15.9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21"/>
      <c r="X3" s="21"/>
      <c r="Y3" s="21"/>
      <c r="Z3" s="21"/>
      <c r="AA3" s="21"/>
      <c r="AB3" s="21"/>
      <c r="AC3" s="21"/>
      <c r="AD3" s="21"/>
      <c r="AF3" s="21"/>
      <c r="AH3" s="21"/>
      <c r="AJ3" s="21"/>
      <c r="AL3" s="21"/>
      <c r="AN3" s="21"/>
      <c r="AO3" s="7"/>
      <c r="AP3" s="21"/>
      <c r="AQ3" s="7"/>
      <c r="AR3" s="21"/>
      <c r="AS3" s="7"/>
      <c r="AT3" s="7"/>
      <c r="AU3" s="7"/>
      <c r="AV3" s="7"/>
    </row>
    <row r="4" spans="1:61" ht="15.95" customHeight="1" thickTop="1">
      <c r="A4" s="1128" t="s">
        <v>319</v>
      </c>
      <c r="B4" s="1128"/>
      <c r="C4" s="1128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1124" t="s">
        <v>1116</v>
      </c>
      <c r="AC4" s="1124"/>
      <c r="AD4" s="1124"/>
      <c r="AE4" s="1124"/>
      <c r="AF4" s="1124"/>
      <c r="AG4" s="1124"/>
      <c r="AH4" s="1124"/>
      <c r="AI4" s="1124"/>
      <c r="AJ4" s="1124"/>
      <c r="AK4" s="742"/>
      <c r="AL4" s="414"/>
      <c r="AM4" s="180"/>
      <c r="AN4" s="180"/>
      <c r="AO4" s="180"/>
      <c r="AP4" s="180"/>
      <c r="AQ4" s="180"/>
      <c r="AR4" s="180"/>
      <c r="AS4" s="180"/>
      <c r="AT4" s="180"/>
      <c r="AU4" s="180"/>
    </row>
    <row r="5" spans="1:61" s="7" customFormat="1" ht="15.95" customHeight="1">
      <c r="A5" s="1128"/>
      <c r="B5" s="1128"/>
      <c r="C5" s="1128"/>
      <c r="D5" s="411" t="s">
        <v>408</v>
      </c>
      <c r="E5" s="411" t="s">
        <v>409</v>
      </c>
      <c r="F5" s="411" t="s">
        <v>410</v>
      </c>
      <c r="G5" s="411" t="s">
        <v>411</v>
      </c>
      <c r="H5" s="411" t="s">
        <v>412</v>
      </c>
      <c r="I5" s="411" t="s">
        <v>413</v>
      </c>
      <c r="J5" s="411" t="s">
        <v>414</v>
      </c>
      <c r="K5" s="411" t="s">
        <v>415</v>
      </c>
      <c r="L5" s="411" t="s">
        <v>416</v>
      </c>
      <c r="M5" s="411" t="s">
        <v>417</v>
      </c>
      <c r="N5" s="411" t="s">
        <v>418</v>
      </c>
      <c r="O5" s="411" t="s">
        <v>419</v>
      </c>
      <c r="P5" s="411" t="s">
        <v>420</v>
      </c>
      <c r="Q5" s="411" t="s">
        <v>421</v>
      </c>
      <c r="R5" s="411" t="s">
        <v>422</v>
      </c>
      <c r="S5" s="411" t="s">
        <v>423</v>
      </c>
      <c r="T5" s="411" t="s">
        <v>390</v>
      </c>
      <c r="U5" s="411" t="s">
        <v>424</v>
      </c>
      <c r="V5" s="411" t="s">
        <v>425</v>
      </c>
      <c r="W5" s="411" t="s">
        <v>426</v>
      </c>
      <c r="X5" s="411" t="s">
        <v>388</v>
      </c>
      <c r="Y5" s="411" t="s">
        <v>427</v>
      </c>
      <c r="Z5" s="411" t="s">
        <v>468</v>
      </c>
      <c r="AA5" s="411" t="s">
        <v>567</v>
      </c>
      <c r="AB5" s="411" t="s">
        <v>566</v>
      </c>
      <c r="AC5" s="425" t="s">
        <v>606</v>
      </c>
      <c r="AD5" s="425" t="s">
        <v>627</v>
      </c>
      <c r="AE5" s="459" t="s">
        <v>661</v>
      </c>
      <c r="AF5" s="471" t="s">
        <v>650</v>
      </c>
      <c r="AG5" s="471" t="s">
        <v>667</v>
      </c>
      <c r="AH5" s="560" t="s">
        <v>677</v>
      </c>
      <c r="AI5" s="616" t="s">
        <v>685</v>
      </c>
      <c r="AJ5" s="671" t="s">
        <v>689</v>
      </c>
      <c r="AK5" s="671" t="s">
        <v>721</v>
      </c>
      <c r="AL5" s="616" t="s">
        <v>630</v>
      </c>
      <c r="AM5" s="181"/>
      <c r="AO5" s="181"/>
      <c r="AQ5" s="181"/>
      <c r="AS5" s="181"/>
    </row>
    <row r="6" spans="1:61" s="7" customFormat="1" ht="17.25" customHeight="1">
      <c r="A6" s="1143" t="s">
        <v>1</v>
      </c>
      <c r="B6" s="1133" t="s">
        <v>2</v>
      </c>
      <c r="C6" s="1134"/>
      <c r="D6" s="73">
        <v>309.67498333333333</v>
      </c>
      <c r="E6" s="73">
        <v>288.42880083333341</v>
      </c>
      <c r="F6" s="74">
        <v>304.53384666666659</v>
      </c>
      <c r="G6" s="74">
        <v>347.59000250000008</v>
      </c>
      <c r="H6" s="73">
        <v>405.69454916666666</v>
      </c>
      <c r="I6" s="73">
        <v>390.47776250000004</v>
      </c>
      <c r="J6" s="74">
        <v>471.99853166666662</v>
      </c>
      <c r="K6" s="74">
        <v>457.66293000000019</v>
      </c>
      <c r="L6" s="73">
        <v>356.78113666666673</v>
      </c>
      <c r="M6" s="73">
        <v>320.77090333333331</v>
      </c>
      <c r="N6" s="74">
        <v>358.44095083333332</v>
      </c>
      <c r="O6" s="74">
        <v>393.16725333333352</v>
      </c>
      <c r="P6" s="73">
        <v>334.66020583333329</v>
      </c>
      <c r="Q6" s="73">
        <v>338.51621583333326</v>
      </c>
      <c r="R6" s="74">
        <v>265.81994750000001</v>
      </c>
      <c r="S6" s="74">
        <v>281.37815416666683</v>
      </c>
      <c r="T6" s="73">
        <v>268.17143166666665</v>
      </c>
      <c r="U6" s="73">
        <v>269.23629833333325</v>
      </c>
      <c r="V6" s="74">
        <v>299.27947000000006</v>
      </c>
      <c r="W6" s="74">
        <v>284.30768833333343</v>
      </c>
      <c r="X6" s="74">
        <v>286.82821106583333</v>
      </c>
      <c r="Y6" s="74">
        <v>273.14906266416665</v>
      </c>
      <c r="Z6" s="74">
        <v>271.64872495333339</v>
      </c>
      <c r="AA6" s="74">
        <v>261.24188858916682</v>
      </c>
      <c r="AB6" s="74">
        <v>304.9604044416667</v>
      </c>
      <c r="AC6" s="74">
        <v>287.91689734333329</v>
      </c>
      <c r="AD6" s="362">
        <v>290.14010099916675</v>
      </c>
      <c r="AE6" s="362">
        <v>343.02440700833336</v>
      </c>
      <c r="AF6" s="362">
        <v>288.0514157225</v>
      </c>
      <c r="AG6" s="74">
        <v>301.53869331750002</v>
      </c>
      <c r="AH6" s="74">
        <v>336.48039254916671</v>
      </c>
      <c r="AI6" s="74">
        <v>371.07097763000002</v>
      </c>
      <c r="AJ6" s="74">
        <v>346.9943020733333</v>
      </c>
      <c r="AK6" s="631">
        <v>364.91917260225489</v>
      </c>
      <c r="AL6" s="662">
        <v>0.21019020341120687</v>
      </c>
      <c r="AM6" s="182"/>
      <c r="AN6" s="168"/>
      <c r="AO6" s="182"/>
      <c r="AP6" s="168"/>
      <c r="AQ6" s="182"/>
      <c r="AR6" s="168"/>
      <c r="AS6" s="182"/>
      <c r="AT6" s="168"/>
      <c r="AU6" s="168"/>
    </row>
    <row r="7" spans="1:61" s="7" customFormat="1" ht="17.25" customHeight="1">
      <c r="A7" s="1143"/>
      <c r="B7" s="225"/>
      <c r="C7" s="71" t="s">
        <v>597</v>
      </c>
      <c r="D7" s="75">
        <v>303.59727166666664</v>
      </c>
      <c r="E7" s="76">
        <v>282.92798666666675</v>
      </c>
      <c r="F7" s="76">
        <v>299.47560333333325</v>
      </c>
      <c r="G7" s="76">
        <v>339.75636666666674</v>
      </c>
      <c r="H7" s="75">
        <v>397.99614833333334</v>
      </c>
      <c r="I7" s="76">
        <v>381.78419000000008</v>
      </c>
      <c r="J7" s="76">
        <v>464.98917583333326</v>
      </c>
      <c r="K7" s="76">
        <v>450.35101166666686</v>
      </c>
      <c r="L7" s="75">
        <v>349.54321833333341</v>
      </c>
      <c r="M7" s="76">
        <v>314.80689333333328</v>
      </c>
      <c r="N7" s="76">
        <v>353.35290916666668</v>
      </c>
      <c r="O7" s="76">
        <v>387.99345166666683</v>
      </c>
      <c r="P7" s="75">
        <v>328.41306833333329</v>
      </c>
      <c r="Q7" s="76">
        <v>332.21135916666663</v>
      </c>
      <c r="R7" s="76">
        <v>259.78234166666664</v>
      </c>
      <c r="S7" s="76">
        <v>274.93806916666682</v>
      </c>
      <c r="T7" s="75">
        <v>262.30889166666668</v>
      </c>
      <c r="U7" s="76">
        <v>263.00638833333323</v>
      </c>
      <c r="V7" s="76">
        <v>293.14672000000007</v>
      </c>
      <c r="W7" s="76">
        <v>278.15769833333343</v>
      </c>
      <c r="X7" s="76">
        <v>279.28170486583332</v>
      </c>
      <c r="Y7" s="91">
        <v>266.55517186416665</v>
      </c>
      <c r="Z7" s="76">
        <v>265.78547225333335</v>
      </c>
      <c r="AA7" s="76">
        <v>256.32842228916672</v>
      </c>
      <c r="AB7" s="76">
        <v>300.75227604166668</v>
      </c>
      <c r="AC7" s="76">
        <v>283.39040594333329</v>
      </c>
      <c r="AD7" s="91">
        <v>285.91427329916678</v>
      </c>
      <c r="AE7" s="91">
        <v>338.59162560833317</v>
      </c>
      <c r="AF7" s="91">
        <v>283.3338635225</v>
      </c>
      <c r="AG7" s="76">
        <v>297.63915541749998</v>
      </c>
      <c r="AH7" s="76">
        <v>332.48709744916675</v>
      </c>
      <c r="AI7" s="76">
        <v>367.16450423000003</v>
      </c>
      <c r="AJ7" s="76">
        <v>342.83272147333332</v>
      </c>
      <c r="AK7" s="632">
        <v>360.26196620225494</v>
      </c>
      <c r="AL7" s="365">
        <v>0.21039842925543062</v>
      </c>
      <c r="AM7" s="365"/>
      <c r="AN7" s="168"/>
      <c r="AO7" s="365"/>
      <c r="AP7" s="168"/>
      <c r="AQ7" s="365"/>
      <c r="AR7" s="168"/>
      <c r="AS7" s="365"/>
      <c r="AT7" s="168"/>
      <c r="AU7" s="168"/>
    </row>
    <row r="8" spans="1:61" s="7" customFormat="1" ht="17.25" customHeight="1">
      <c r="A8" s="1144"/>
      <c r="B8" s="225"/>
      <c r="C8" s="81" t="s">
        <v>304</v>
      </c>
      <c r="D8" s="75">
        <v>224.6537275</v>
      </c>
      <c r="E8" s="75">
        <v>223.18924499999997</v>
      </c>
      <c r="F8" s="76">
        <v>235.1241991666667</v>
      </c>
      <c r="G8" s="76">
        <v>232.09421750000001</v>
      </c>
      <c r="H8" s="75">
        <v>272.42953583333332</v>
      </c>
      <c r="I8" s="75">
        <v>263.54425250000003</v>
      </c>
      <c r="J8" s="76">
        <v>320.0890241666666</v>
      </c>
      <c r="K8" s="76">
        <v>329.96482249999997</v>
      </c>
      <c r="L8" s="75">
        <v>268.38086083333332</v>
      </c>
      <c r="M8" s="75">
        <v>239.71640916666666</v>
      </c>
      <c r="N8" s="76">
        <v>285.84059416666662</v>
      </c>
      <c r="O8" s="76">
        <v>329.21465083333339</v>
      </c>
      <c r="P8" s="75">
        <v>267.676985</v>
      </c>
      <c r="Q8" s="75">
        <v>275.33728666666667</v>
      </c>
      <c r="R8" s="76">
        <v>220.73044999999991</v>
      </c>
      <c r="S8" s="76">
        <v>222.88326416666666</v>
      </c>
      <c r="T8" s="90">
        <v>217.761531666667</v>
      </c>
      <c r="U8" s="90">
        <v>217.20525083333325</v>
      </c>
      <c r="V8" s="90">
        <v>238.56099083333356</v>
      </c>
      <c r="W8" s="90">
        <v>197.9519316666665</v>
      </c>
      <c r="X8" s="76">
        <v>184.36563645749999</v>
      </c>
      <c r="Y8" s="91">
        <v>172.17349469750002</v>
      </c>
      <c r="Z8" s="76">
        <v>189.01579751166668</v>
      </c>
      <c r="AA8" s="76">
        <v>205.8789666225</v>
      </c>
      <c r="AB8" s="76">
        <v>237.35424212500001</v>
      </c>
      <c r="AC8" s="76">
        <v>219.04740644333336</v>
      </c>
      <c r="AD8" s="91">
        <v>218.07801549916667</v>
      </c>
      <c r="AE8" s="91">
        <v>267.74192957499997</v>
      </c>
      <c r="AF8" s="91">
        <v>219.6261594225</v>
      </c>
      <c r="AG8" s="76">
        <v>230.58850889749999</v>
      </c>
      <c r="AH8" s="76">
        <v>254.39662589916668</v>
      </c>
      <c r="AI8" s="76">
        <v>249.09387430000004</v>
      </c>
      <c r="AJ8" s="76">
        <v>282.97318237333332</v>
      </c>
      <c r="AK8" s="632">
        <v>303.13985449392158</v>
      </c>
      <c r="AL8" s="202">
        <v>0.31463556420615801</v>
      </c>
      <c r="AM8" s="182"/>
      <c r="AO8" s="182"/>
      <c r="AQ8" s="182"/>
      <c r="AS8" s="182"/>
    </row>
    <row r="9" spans="1:61" s="7" customFormat="1" ht="17.25" customHeight="1">
      <c r="A9" s="1144"/>
      <c r="B9" s="225"/>
      <c r="C9" s="81" t="s">
        <v>305</v>
      </c>
      <c r="D9" s="75">
        <v>21.659655000000001</v>
      </c>
      <c r="E9" s="75">
        <v>21.6444525</v>
      </c>
      <c r="F9" s="76">
        <v>25.314021666666676</v>
      </c>
      <c r="G9" s="76">
        <v>34.703269999999989</v>
      </c>
      <c r="H9" s="75">
        <v>39.502345833333329</v>
      </c>
      <c r="I9" s="75">
        <v>50.45764333333333</v>
      </c>
      <c r="J9" s="76">
        <v>51.380735833333361</v>
      </c>
      <c r="K9" s="76">
        <v>39.920363333333313</v>
      </c>
      <c r="L9" s="75">
        <v>30.940428333333333</v>
      </c>
      <c r="M9" s="75">
        <v>41.539883333333336</v>
      </c>
      <c r="N9" s="76">
        <v>26.706085000000002</v>
      </c>
      <c r="O9" s="76">
        <v>22.473630833333331</v>
      </c>
      <c r="P9" s="75">
        <v>26.710343333333334</v>
      </c>
      <c r="Q9" s="75">
        <v>30.149142499999996</v>
      </c>
      <c r="R9" s="76">
        <v>24.427771666666665</v>
      </c>
      <c r="S9" s="76">
        <v>28.548214999999999</v>
      </c>
      <c r="T9" s="90">
        <v>29.889250000000001</v>
      </c>
      <c r="U9" s="90">
        <v>30.680377500000002</v>
      </c>
      <c r="V9" s="91">
        <v>33.965859166666654</v>
      </c>
      <c r="W9" s="91">
        <v>42.396596666666682</v>
      </c>
      <c r="X9" s="76">
        <v>36.351388208333333</v>
      </c>
      <c r="Y9" s="76">
        <v>44.967406366666665</v>
      </c>
      <c r="Z9" s="76">
        <v>31.756374141666669</v>
      </c>
      <c r="AA9" s="76">
        <v>19.594687366666676</v>
      </c>
      <c r="AB9" s="76">
        <v>20.174269216666666</v>
      </c>
      <c r="AC9" s="76">
        <v>25.850164900000003</v>
      </c>
      <c r="AD9" s="91">
        <v>25.802765699999995</v>
      </c>
      <c r="AE9" s="91">
        <v>32.248106433333334</v>
      </c>
      <c r="AF9" s="91">
        <v>32.254294899999998</v>
      </c>
      <c r="AG9" s="76">
        <v>30.465167319999999</v>
      </c>
      <c r="AH9" s="76">
        <v>37.053911249999999</v>
      </c>
      <c r="AI9" s="76">
        <v>80.845126829999998</v>
      </c>
      <c r="AJ9" s="76">
        <v>20.781102300000001</v>
      </c>
      <c r="AK9" s="632">
        <v>21.351409108333335</v>
      </c>
      <c r="AL9" s="202">
        <v>-0.29915339429905563</v>
      </c>
      <c r="AM9" s="182"/>
      <c r="AO9" s="182"/>
      <c r="AQ9" s="182"/>
      <c r="AS9" s="182"/>
    </row>
    <row r="10" spans="1:61" s="7" customFormat="1" ht="17.25" customHeight="1">
      <c r="A10" s="1144"/>
      <c r="B10" s="225"/>
      <c r="C10" s="81" t="s">
        <v>306</v>
      </c>
      <c r="D10" s="75"/>
      <c r="E10" s="75"/>
      <c r="F10" s="76"/>
      <c r="G10" s="76"/>
      <c r="H10" s="75"/>
      <c r="I10" s="75"/>
      <c r="J10" s="76"/>
      <c r="K10" s="76"/>
      <c r="L10" s="75"/>
      <c r="M10" s="75"/>
      <c r="N10" s="76"/>
      <c r="O10" s="76"/>
      <c r="P10" s="75"/>
      <c r="Q10" s="75"/>
      <c r="R10" s="76"/>
      <c r="S10" s="76"/>
      <c r="T10" s="90"/>
      <c r="U10" s="75"/>
      <c r="V10" s="91"/>
      <c r="W10" s="91"/>
      <c r="X10" s="76">
        <v>33.309255299999997</v>
      </c>
      <c r="Y10" s="76">
        <v>34.156345399999999</v>
      </c>
      <c r="Z10" s="76">
        <v>34.330064799999995</v>
      </c>
      <c r="AA10" s="76">
        <v>9.4899151000000046</v>
      </c>
      <c r="AB10" s="76">
        <v>12.242744999999999</v>
      </c>
      <c r="AC10" s="76">
        <v>10.6877061</v>
      </c>
      <c r="AD10" s="91">
        <v>10.0729088</v>
      </c>
      <c r="AE10" s="91">
        <v>11.058461000000001</v>
      </c>
      <c r="AF10" s="91">
        <v>10.329297199999999</v>
      </c>
      <c r="AG10" s="76">
        <v>10.158595399999999</v>
      </c>
      <c r="AH10" s="76">
        <v>12.198906400000002</v>
      </c>
      <c r="AI10" s="76">
        <v>11.985747099999998</v>
      </c>
      <c r="AJ10" s="76">
        <v>11.010792500000001</v>
      </c>
      <c r="AK10" s="632">
        <v>10.340943799999998</v>
      </c>
      <c r="AL10" s="202">
        <v>1.7950158739465039E-2</v>
      </c>
      <c r="AM10" s="182"/>
      <c r="AO10" s="182"/>
      <c r="AQ10" s="182"/>
      <c r="AS10" s="182"/>
    </row>
    <row r="11" spans="1:61" s="7" customFormat="1" ht="17.25" customHeight="1">
      <c r="A11" s="1144"/>
      <c r="B11" s="225"/>
      <c r="C11" s="81" t="s">
        <v>307</v>
      </c>
      <c r="D11" s="75">
        <v>57.283889166666661</v>
      </c>
      <c r="E11" s="75">
        <v>38.094289166666677</v>
      </c>
      <c r="F11" s="76">
        <v>39.037382499999993</v>
      </c>
      <c r="G11" s="76">
        <v>72.958879166666662</v>
      </c>
      <c r="H11" s="75">
        <v>86.064266666666654</v>
      </c>
      <c r="I11" s="75">
        <v>67.782294166666688</v>
      </c>
      <c r="J11" s="76">
        <v>93.519415833333341</v>
      </c>
      <c r="K11" s="76">
        <v>80.466625833333325</v>
      </c>
      <c r="L11" s="75">
        <v>50.221929166666669</v>
      </c>
      <c r="M11" s="75">
        <v>33.550600833333334</v>
      </c>
      <c r="N11" s="76">
        <v>40.806229999999999</v>
      </c>
      <c r="O11" s="76">
        <v>36.30516999999999</v>
      </c>
      <c r="P11" s="75">
        <v>34.025739999999999</v>
      </c>
      <c r="Q11" s="75">
        <v>26.724930000000001</v>
      </c>
      <c r="R11" s="76">
        <v>14.624120000000005</v>
      </c>
      <c r="S11" s="76">
        <v>23.506589999999989</v>
      </c>
      <c r="T11" s="90">
        <v>14.658110000000001</v>
      </c>
      <c r="U11" s="90">
        <v>15.120760000000001</v>
      </c>
      <c r="V11" s="91">
        <v>20.619869999999995</v>
      </c>
      <c r="W11" s="91">
        <v>37.809170000000002</v>
      </c>
      <c r="X11" s="76">
        <v>25.255424900000001</v>
      </c>
      <c r="Y11" s="76">
        <v>15.257925399999998</v>
      </c>
      <c r="Z11" s="76">
        <v>10.683235800000006</v>
      </c>
      <c r="AA11" s="76">
        <v>21.364853199999999</v>
      </c>
      <c r="AB11" s="76">
        <v>30.981019700000001</v>
      </c>
      <c r="AC11" s="76">
        <v>27.805128499999999</v>
      </c>
      <c r="AD11" s="91">
        <v>31.960583299999996</v>
      </c>
      <c r="AE11" s="91">
        <v>27.543128600000003</v>
      </c>
      <c r="AF11" s="91">
        <v>21.124112</v>
      </c>
      <c r="AG11" s="76">
        <v>26.426883800000002</v>
      </c>
      <c r="AH11" s="76">
        <v>28.837653899999999</v>
      </c>
      <c r="AI11" s="76">
        <v>25.239756</v>
      </c>
      <c r="AJ11" s="76">
        <v>28.067644300000001</v>
      </c>
      <c r="AK11" s="632">
        <v>23.774852499999998</v>
      </c>
      <c r="AL11" s="202">
        <v>-0.10035353846752082</v>
      </c>
      <c r="AM11" s="182"/>
      <c r="AO11" s="182"/>
      <c r="AQ11" s="182"/>
      <c r="AS11" s="182"/>
    </row>
    <row r="12" spans="1:61" s="7" customFormat="1" ht="17.25" customHeight="1">
      <c r="A12" s="1144"/>
      <c r="B12" s="225"/>
      <c r="C12" s="72" t="s">
        <v>0</v>
      </c>
      <c r="D12" s="73">
        <v>6.0777116666666666</v>
      </c>
      <c r="E12" s="74">
        <v>5.5008141666666655</v>
      </c>
      <c r="F12" s="74">
        <v>5.0582433333333316</v>
      </c>
      <c r="G12" s="74">
        <v>7.8336358333333358</v>
      </c>
      <c r="H12" s="73">
        <v>7.6984008333333334</v>
      </c>
      <c r="I12" s="74">
        <v>8.6935724999999984</v>
      </c>
      <c r="J12" s="74">
        <v>7.0093558333333377</v>
      </c>
      <c r="K12" s="74">
        <v>7.3119183333333311</v>
      </c>
      <c r="L12" s="73">
        <v>7.2379183333333339</v>
      </c>
      <c r="M12" s="74">
        <v>5.9640099999999991</v>
      </c>
      <c r="N12" s="74">
        <v>5.0880416666666672</v>
      </c>
      <c r="O12" s="74">
        <v>5.1738016666666695</v>
      </c>
      <c r="P12" s="73">
        <v>6.2471375</v>
      </c>
      <c r="Q12" s="74">
        <v>6.3048566666666668</v>
      </c>
      <c r="R12" s="74">
        <v>6.037605833333334</v>
      </c>
      <c r="S12" s="74">
        <v>6.4400849999999998</v>
      </c>
      <c r="T12" s="73">
        <v>5.8625400000000001</v>
      </c>
      <c r="U12" s="74">
        <v>6.2299099999999994</v>
      </c>
      <c r="V12" s="74">
        <v>6.1327500000000015</v>
      </c>
      <c r="W12" s="74">
        <v>6.149989999999999</v>
      </c>
      <c r="X12" s="362">
        <v>7.5465061999999996</v>
      </c>
      <c r="Y12" s="362">
        <v>6.5938908000000005</v>
      </c>
      <c r="Z12" s="74">
        <v>5.8632527000000003</v>
      </c>
      <c r="AA12" s="74">
        <v>4.9134662999999996</v>
      </c>
      <c r="AB12" s="74">
        <v>4.2081283999999997</v>
      </c>
      <c r="AC12" s="74">
        <v>4.5264914000000012</v>
      </c>
      <c r="AD12" s="362">
        <v>4.2258277</v>
      </c>
      <c r="AE12" s="362">
        <v>4.4327813999999996</v>
      </c>
      <c r="AF12" s="362">
        <v>4.7175522000000001</v>
      </c>
      <c r="AG12" s="74">
        <v>3.8995379000000003</v>
      </c>
      <c r="AH12" s="74">
        <v>3.9932950999999992</v>
      </c>
      <c r="AI12" s="74">
        <v>3.9064733999999994</v>
      </c>
      <c r="AJ12" s="74">
        <v>4.1615805999999997</v>
      </c>
      <c r="AK12" s="631">
        <v>4.6572064000000006</v>
      </c>
      <c r="AL12" s="659">
        <v>0.19429699606202067</v>
      </c>
      <c r="AM12" s="182"/>
      <c r="AO12" s="182"/>
      <c r="AQ12" s="182"/>
      <c r="AS12" s="182"/>
    </row>
    <row r="13" spans="1:61" s="7" customFormat="1" ht="17.25" customHeight="1">
      <c r="A13" s="1144"/>
      <c r="B13" s="1135" t="s">
        <v>12</v>
      </c>
      <c r="C13" s="1136"/>
      <c r="D13" s="77">
        <v>2.4188066666666668</v>
      </c>
      <c r="E13" s="77">
        <v>2.9798866666666672</v>
      </c>
      <c r="F13" s="78">
        <v>3.1255716666666657</v>
      </c>
      <c r="G13" s="78">
        <v>2.4484533333333331</v>
      </c>
      <c r="H13" s="77">
        <v>3.22777</v>
      </c>
      <c r="I13" s="77">
        <v>3.1543625</v>
      </c>
      <c r="J13" s="78">
        <v>2.3648425000000008</v>
      </c>
      <c r="K13" s="78">
        <v>2.6740958333333325</v>
      </c>
      <c r="L13" s="77">
        <v>2.5858850000000002</v>
      </c>
      <c r="M13" s="77">
        <v>2.3070541666666671</v>
      </c>
      <c r="N13" s="78">
        <v>2.3353866666666665</v>
      </c>
      <c r="O13" s="78">
        <v>2.1294449999999996</v>
      </c>
      <c r="P13" s="464">
        <v>3.0017966666666669</v>
      </c>
      <c r="Q13" s="464">
        <v>2.4676566666666671</v>
      </c>
      <c r="R13" s="465">
        <v>2.3593591666666658</v>
      </c>
      <c r="S13" s="465">
        <v>2.462508333333334</v>
      </c>
      <c r="T13" s="464">
        <v>2.847715833333333</v>
      </c>
      <c r="U13" s="464">
        <v>2.1222433333333335</v>
      </c>
      <c r="V13" s="465">
        <v>1.8212283333333339</v>
      </c>
      <c r="W13" s="465">
        <v>1.3894099999999989</v>
      </c>
      <c r="X13" s="465">
        <v>2.133813</v>
      </c>
      <c r="Y13" s="465">
        <v>1.583012375</v>
      </c>
      <c r="Z13" s="465">
        <v>1.5323396416666668</v>
      </c>
      <c r="AA13" s="465">
        <v>1.5381621749999992</v>
      </c>
      <c r="AB13" s="465">
        <v>1.7940546333333334</v>
      </c>
      <c r="AC13" s="465">
        <v>1.7885766583333336</v>
      </c>
      <c r="AD13" s="586">
        <v>1.4088493333333334</v>
      </c>
      <c r="AE13" s="586">
        <v>1.421183366666666</v>
      </c>
      <c r="AF13" s="586">
        <v>2.0934316833333333</v>
      </c>
      <c r="AG13" s="78">
        <v>1.6261534416666668</v>
      </c>
      <c r="AH13" s="78">
        <v>1.7338224916666665</v>
      </c>
      <c r="AI13" s="78">
        <v>1.6992959999999995</v>
      </c>
      <c r="AJ13" s="78">
        <v>1.1809209000000001</v>
      </c>
      <c r="AK13" s="770">
        <v>0.53680253333333328</v>
      </c>
      <c r="AL13" s="660">
        <v>-0.66989429190448524</v>
      </c>
      <c r="AM13" s="183"/>
      <c r="AO13" s="183"/>
      <c r="AQ13" s="183"/>
      <c r="AS13" s="183"/>
    </row>
    <row r="14" spans="1:61" s="7" customFormat="1" ht="17.25" customHeight="1">
      <c r="A14" s="1144"/>
      <c r="B14" s="1133" t="s">
        <v>13</v>
      </c>
      <c r="C14" s="1134"/>
      <c r="D14" s="75">
        <v>1.4849666666666665</v>
      </c>
      <c r="E14" s="75">
        <v>1.2603233333333332</v>
      </c>
      <c r="F14" s="76">
        <v>0.84277666666666651</v>
      </c>
      <c r="G14" s="76">
        <v>0.91438833333333402</v>
      </c>
      <c r="H14" s="75">
        <v>1.7581666666666667</v>
      </c>
      <c r="I14" s="75">
        <v>1.3026033333333336</v>
      </c>
      <c r="J14" s="76">
        <v>1.0091199999999998</v>
      </c>
      <c r="K14" s="76">
        <v>0.84639666666666713</v>
      </c>
      <c r="L14" s="75">
        <v>1.8240633333333334</v>
      </c>
      <c r="M14" s="75">
        <v>1.229983333333333</v>
      </c>
      <c r="N14" s="76">
        <v>1.1130066666666671</v>
      </c>
      <c r="O14" s="76">
        <v>1.1545333333333341</v>
      </c>
      <c r="P14" s="466">
        <v>2.00726</v>
      </c>
      <c r="Q14" s="466">
        <v>1.2321499999999999</v>
      </c>
      <c r="R14" s="467">
        <v>1.0105800000000005</v>
      </c>
      <c r="S14" s="467">
        <v>0.99525666666666623</v>
      </c>
      <c r="T14" s="466">
        <v>1.5661866666666666</v>
      </c>
      <c r="U14" s="466">
        <v>1.1193200000000003</v>
      </c>
      <c r="V14" s="467">
        <v>0.73851999999999984</v>
      </c>
      <c r="W14" s="467">
        <v>0.71778666666666657</v>
      </c>
      <c r="X14" s="467">
        <v>1.6650516</v>
      </c>
      <c r="Y14" s="467">
        <v>1.0536940000000001</v>
      </c>
      <c r="Z14" s="467">
        <v>0.9656333333333329</v>
      </c>
      <c r="AA14" s="467">
        <v>0.89703096666666671</v>
      </c>
      <c r="AB14" s="467">
        <v>1.4584515</v>
      </c>
      <c r="AC14" s="467">
        <v>1.0347303333333333</v>
      </c>
      <c r="AD14" s="91">
        <v>0.82867766666666665</v>
      </c>
      <c r="AE14" s="91">
        <v>0.69528699999999999</v>
      </c>
      <c r="AF14" s="91">
        <v>1.3349146333333333</v>
      </c>
      <c r="AG14" s="76">
        <v>0.99734419333333335</v>
      </c>
      <c r="AH14" s="76">
        <v>0.82448520000000025</v>
      </c>
      <c r="AI14" s="76">
        <v>0.72162666666666642</v>
      </c>
      <c r="AJ14" s="76">
        <v>0.963368</v>
      </c>
      <c r="AK14" s="632">
        <v>0.70546836666666657</v>
      </c>
      <c r="AL14" s="202">
        <v>-0.29265305660541985</v>
      </c>
      <c r="AM14" s="183"/>
      <c r="AO14" s="183"/>
      <c r="AQ14" s="183"/>
      <c r="AS14" s="183"/>
    </row>
    <row r="15" spans="1:61" s="66" customFormat="1" ht="17.25" customHeight="1">
      <c r="A15" s="1145"/>
      <c r="B15" s="1139" t="s">
        <v>14</v>
      </c>
      <c r="C15" s="1140"/>
      <c r="D15" s="538">
        <v>313.57875666666666</v>
      </c>
      <c r="E15" s="538">
        <v>292.66901083333335</v>
      </c>
      <c r="F15" s="477">
        <v>308.50219500000003</v>
      </c>
      <c r="G15" s="477">
        <v>350.95284416666664</v>
      </c>
      <c r="H15" s="538">
        <v>410.68048583333336</v>
      </c>
      <c r="I15" s="538">
        <v>394.9347283333334</v>
      </c>
      <c r="J15" s="477">
        <v>475.37249416666657</v>
      </c>
      <c r="K15" s="477">
        <v>461.18342250000001</v>
      </c>
      <c r="L15" s="538">
        <v>361.19108499999999</v>
      </c>
      <c r="M15" s="538">
        <v>324.30794083333325</v>
      </c>
      <c r="N15" s="477">
        <v>361.88934416666689</v>
      </c>
      <c r="O15" s="477">
        <v>396.45123166666644</v>
      </c>
      <c r="P15" s="538">
        <v>339.6692625</v>
      </c>
      <c r="Q15" s="538">
        <v>342.21602249999995</v>
      </c>
      <c r="R15" s="477">
        <v>269.18988666666678</v>
      </c>
      <c r="S15" s="477">
        <v>284.83591916666649</v>
      </c>
      <c r="T15" s="538">
        <v>272.58533416666666</v>
      </c>
      <c r="U15" s="538">
        <v>272.47786166666668</v>
      </c>
      <c r="V15" s="477">
        <v>301.83921833333341</v>
      </c>
      <c r="W15" s="477">
        <v>286.41488500000003</v>
      </c>
      <c r="X15" s="477">
        <v>290.62707566583333</v>
      </c>
      <c r="Y15" s="477">
        <v>275.78576903916667</v>
      </c>
      <c r="Z15" s="477">
        <v>274.14669792833342</v>
      </c>
      <c r="AA15" s="477">
        <v>263.67708173083338</v>
      </c>
      <c r="AB15" s="477">
        <v>308.21291057500002</v>
      </c>
      <c r="AC15" s="477">
        <v>290.74020433499993</v>
      </c>
      <c r="AD15" s="587">
        <v>292.37762799916675</v>
      </c>
      <c r="AE15" s="587">
        <v>345.14087737499995</v>
      </c>
      <c r="AF15" s="587">
        <v>291.4797620391667</v>
      </c>
      <c r="AG15" s="477">
        <v>304.16219095249988</v>
      </c>
      <c r="AH15" s="477">
        <v>339.03870024083346</v>
      </c>
      <c r="AI15" s="477">
        <v>373.49190029666659</v>
      </c>
      <c r="AJ15" s="477">
        <v>349.13859097333335</v>
      </c>
      <c r="AK15" s="633">
        <v>366.16144350225494</v>
      </c>
      <c r="AL15" s="661">
        <v>0.20383615845086189</v>
      </c>
      <c r="AM15" s="182"/>
      <c r="AO15" s="182"/>
      <c r="AQ15" s="182"/>
      <c r="AS15" s="182"/>
    </row>
    <row r="16" spans="1:61" s="7" customFormat="1" ht="17.25" customHeight="1">
      <c r="A16" s="1129" t="s">
        <v>15</v>
      </c>
      <c r="B16" s="1134" t="s">
        <v>2</v>
      </c>
      <c r="C16" s="1134"/>
      <c r="D16" s="79">
        <v>0.98755089989248523</v>
      </c>
      <c r="E16" s="80">
        <v>0.98551192697878554</v>
      </c>
      <c r="F16" s="80">
        <v>0.98713672577488976</v>
      </c>
      <c r="G16" s="80">
        <v>0.99041796719256803</v>
      </c>
      <c r="H16" s="79">
        <v>0.98785932899502282</v>
      </c>
      <c r="I16" s="80">
        <v>0.98871467735404728</v>
      </c>
      <c r="J16" s="80">
        <v>0.99290248690994509</v>
      </c>
      <c r="K16" s="80">
        <v>0.99236639408911143</v>
      </c>
      <c r="L16" s="79">
        <v>0.98779053936690253</v>
      </c>
      <c r="M16" s="80">
        <v>0.98909358342903586</v>
      </c>
      <c r="N16" s="80">
        <v>0.99047113879168147</v>
      </c>
      <c r="O16" s="80">
        <v>0.99171656417984322</v>
      </c>
      <c r="P16" s="79">
        <v>0.98525313527105884</v>
      </c>
      <c r="Q16" s="80">
        <v>0.98918868076474509</v>
      </c>
      <c r="R16" s="80">
        <v>0.98748118211870384</v>
      </c>
      <c r="S16" s="80">
        <v>0.98786050224944977</v>
      </c>
      <c r="T16" s="79">
        <v>0.98380726346304015</v>
      </c>
      <c r="U16" s="80">
        <v>0.98810338824040334</v>
      </c>
      <c r="V16" s="80">
        <v>0.99151949720958221</v>
      </c>
      <c r="W16" s="80">
        <v>0.99264285211061365</v>
      </c>
      <c r="X16" s="80">
        <v>0.98692873129147818</v>
      </c>
      <c r="Y16" s="80">
        <v>0.99043929502168926</v>
      </c>
      <c r="Z16" s="80">
        <v>0.99088818871838813</v>
      </c>
      <c r="AA16" s="80">
        <v>0.99076448690314145</v>
      </c>
      <c r="AB16" s="80">
        <v>0.98944720995864366</v>
      </c>
      <c r="AC16" s="80">
        <v>0.99028924466045454</v>
      </c>
      <c r="AD16" s="80">
        <v>0.99234713334494118</v>
      </c>
      <c r="AE16" s="80">
        <v>0.99386780730592217</v>
      </c>
      <c r="AF16" s="80">
        <v>0.98823813258017534</v>
      </c>
      <c r="AG16" s="80">
        <v>0.9913746753770275</v>
      </c>
      <c r="AH16" s="80">
        <v>0.99245423106610109</v>
      </c>
      <c r="AI16" s="80">
        <v>0.99351813877424489</v>
      </c>
      <c r="AJ16" s="80">
        <v>0.99385834463608802</v>
      </c>
      <c r="AK16" s="634">
        <v>0.99660731373538947</v>
      </c>
      <c r="AL16" s="536">
        <v>5.6202120559126767E-3</v>
      </c>
      <c r="AM16" s="184"/>
      <c r="AO16" s="184"/>
      <c r="AQ16" s="184"/>
      <c r="AS16" s="184"/>
    </row>
    <row r="17" spans="1:48" s="7" customFormat="1" ht="17.25" customHeight="1">
      <c r="A17" s="1130"/>
      <c r="B17" s="1146" t="s">
        <v>12</v>
      </c>
      <c r="C17" s="1146"/>
      <c r="D17" s="82">
        <v>1.2449100107514724E-2</v>
      </c>
      <c r="E17" s="83">
        <v>1.4488073021214668E-2</v>
      </c>
      <c r="F17" s="83">
        <v>1.2863274225109913E-2</v>
      </c>
      <c r="G17" s="83">
        <v>9.5820328074322763E-3</v>
      </c>
      <c r="H17" s="82">
        <v>1.2140671004977177E-2</v>
      </c>
      <c r="I17" s="83">
        <v>1.1285322645952722E-2</v>
      </c>
      <c r="J17" s="83">
        <v>7.0975130900549077E-3</v>
      </c>
      <c r="K17" s="83">
        <v>7.6336059108885745E-3</v>
      </c>
      <c r="L17" s="82">
        <v>1.2209460633097469E-2</v>
      </c>
      <c r="M17" s="83">
        <v>1.0906416570964139E-2</v>
      </c>
      <c r="N17" s="83">
        <v>9.5288612083185287E-3</v>
      </c>
      <c r="O17" s="83">
        <v>8.2834358201567815E-3</v>
      </c>
      <c r="P17" s="82">
        <v>1.4746864728941156E-2</v>
      </c>
      <c r="Q17" s="83">
        <v>1.0811319235254913E-2</v>
      </c>
      <c r="R17" s="83">
        <v>1.2518817881296163E-2</v>
      </c>
      <c r="S17" s="83">
        <v>1.2139497750550232E-2</v>
      </c>
      <c r="T17" s="82">
        <v>1.6192736536959851E-2</v>
      </c>
      <c r="U17" s="83">
        <v>1.1896611759596665E-2</v>
      </c>
      <c r="V17" s="83">
        <v>8.4805027904177877E-3</v>
      </c>
      <c r="W17" s="83">
        <v>7.3571478893863507E-3</v>
      </c>
      <c r="X17" s="83">
        <v>1.3071268708521822E-2</v>
      </c>
      <c r="Y17" s="83">
        <v>9.5607049783107412E-3</v>
      </c>
      <c r="Z17" s="83">
        <v>9.1118112816118702E-3</v>
      </c>
      <c r="AA17" s="83">
        <v>9.2355130968585497E-3</v>
      </c>
      <c r="AB17" s="83">
        <v>1.0552790041356341E-2</v>
      </c>
      <c r="AC17" s="83">
        <v>9.7107553395454627E-3</v>
      </c>
      <c r="AD17" s="83">
        <v>7.6528666550588209E-3</v>
      </c>
      <c r="AE17" s="83">
        <v>6.1321926940778315E-3</v>
      </c>
      <c r="AF17" s="83">
        <v>1.1761867419824656E-2</v>
      </c>
      <c r="AG17" s="83">
        <v>8.6253246229724967E-3</v>
      </c>
      <c r="AH17" s="83">
        <v>7.5457689338989109E-3</v>
      </c>
      <c r="AI17" s="83">
        <v>6.4818612257551145E-3</v>
      </c>
      <c r="AJ17" s="83">
        <v>6.1416553639119797E-3</v>
      </c>
      <c r="AK17" s="635">
        <v>3.3926862646105338E-3</v>
      </c>
      <c r="AL17" s="537">
        <v>-5.6202120559126767E-3</v>
      </c>
      <c r="AM17" s="184"/>
      <c r="AO17" s="184"/>
      <c r="AQ17" s="184"/>
      <c r="AS17" s="184"/>
    </row>
    <row r="18" spans="1:48" s="7" customFormat="1" ht="17.25" customHeight="1">
      <c r="A18" s="155" t="s">
        <v>320</v>
      </c>
      <c r="B18" s="8"/>
      <c r="C18" s="8"/>
      <c r="D18" s="9"/>
      <c r="E18" s="10"/>
      <c r="F18" s="10"/>
      <c r="G18" s="10"/>
      <c r="H18" s="9"/>
      <c r="I18" s="10"/>
      <c r="J18" s="10"/>
      <c r="K18" s="10"/>
      <c r="L18" s="9"/>
      <c r="M18" s="10"/>
      <c r="N18" s="10"/>
      <c r="O18" s="10"/>
      <c r="P18" s="9"/>
      <c r="Q18" s="10"/>
      <c r="R18" s="10"/>
      <c r="S18" s="10"/>
      <c r="T18" s="9"/>
      <c r="U18" s="10"/>
      <c r="V18" s="10"/>
      <c r="W18" s="34"/>
    </row>
    <row r="19" spans="1:48" s="7" customFormat="1" ht="17.25" customHeight="1">
      <c r="A19" s="155"/>
      <c r="B19" s="179"/>
      <c r="C19" s="179"/>
      <c r="D19" s="9"/>
      <c r="E19" s="10"/>
      <c r="F19" s="10"/>
      <c r="G19" s="10"/>
      <c r="H19" s="9"/>
      <c r="I19" s="10"/>
      <c r="J19" s="10"/>
      <c r="K19" s="10"/>
      <c r="L19" s="9"/>
      <c r="M19" s="10"/>
      <c r="N19" s="10"/>
      <c r="O19" s="10"/>
      <c r="P19" s="9"/>
      <c r="Q19" s="10"/>
      <c r="R19" s="10"/>
      <c r="S19" s="10"/>
      <c r="T19" s="9"/>
      <c r="U19" s="10"/>
      <c r="V19" s="10"/>
      <c r="W19" s="34"/>
    </row>
    <row r="20" spans="1:48" ht="35.25" customHeight="1">
      <c r="A20" s="372" t="s">
        <v>275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7"/>
      <c r="O20" s="7"/>
      <c r="P20" s="7"/>
      <c r="Q20" s="7"/>
      <c r="R20" s="7"/>
      <c r="S20" s="7"/>
      <c r="T20" s="7"/>
      <c r="U20" s="21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spans="1:48" ht="15.95" customHeight="1" thickBot="1">
      <c r="A21" s="6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7"/>
      <c r="O21" s="7"/>
      <c r="P21" s="7"/>
      <c r="Q21" s="7"/>
      <c r="R21" s="7"/>
      <c r="S21" s="7"/>
      <c r="T21" s="7"/>
      <c r="U21" s="21"/>
      <c r="V21" s="7"/>
      <c r="W21" s="21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spans="1:48" s="7" customFormat="1" ht="15.95" customHeight="1" thickTop="1">
      <c r="A22" s="1128" t="s">
        <v>311</v>
      </c>
      <c r="B22" s="1128"/>
      <c r="C22" s="1128"/>
      <c r="D22" s="1124"/>
      <c r="E22" s="1124"/>
      <c r="F22" s="1124"/>
      <c r="G22" s="1124"/>
      <c r="H22" s="1124"/>
      <c r="I22" s="1124"/>
      <c r="J22" s="1124">
        <v>2018</v>
      </c>
      <c r="K22" s="1124"/>
      <c r="L22" s="1124">
        <v>2019</v>
      </c>
      <c r="M22" s="1124"/>
      <c r="N22" s="1124">
        <v>2020</v>
      </c>
      <c r="O22" s="1124"/>
      <c r="P22" s="1124">
        <v>2021</v>
      </c>
      <c r="Q22" s="1124"/>
      <c r="R22" s="1124">
        <v>2022</v>
      </c>
      <c r="S22" s="1124"/>
      <c r="T22" s="1124" t="s">
        <v>428</v>
      </c>
      <c r="U22" s="1124"/>
      <c r="V22" s="1124" t="s">
        <v>429</v>
      </c>
      <c r="W22" s="1124"/>
      <c r="X22" s="1124" t="s">
        <v>469</v>
      </c>
      <c r="Y22" s="1124"/>
      <c r="Z22" s="1124" t="s">
        <v>515</v>
      </c>
      <c r="AA22" s="1124"/>
      <c r="AB22" s="1124" t="s">
        <v>566</v>
      </c>
      <c r="AC22" s="1124"/>
      <c r="AD22" s="1124" t="s">
        <v>611</v>
      </c>
      <c r="AE22" s="1124"/>
      <c r="AF22" s="1124" t="s">
        <v>642</v>
      </c>
      <c r="AG22" s="1124"/>
      <c r="AH22" s="1124">
        <v>2024</v>
      </c>
      <c r="AI22" s="1124"/>
      <c r="AJ22" s="1124" t="s">
        <v>660</v>
      </c>
      <c r="AK22" s="1124"/>
      <c r="AL22" s="1124" t="s">
        <v>672</v>
      </c>
      <c r="AM22" s="1124"/>
      <c r="AN22" s="1124" t="s">
        <v>677</v>
      </c>
      <c r="AO22" s="1124"/>
      <c r="AP22" s="1124">
        <v>2025</v>
      </c>
      <c r="AQ22" s="1124"/>
      <c r="AR22" s="1124" t="s">
        <v>689</v>
      </c>
      <c r="AS22" s="1124"/>
      <c r="AT22" s="1147" t="s">
        <v>720</v>
      </c>
      <c r="AU22" s="1147"/>
      <c r="AV22" s="742"/>
    </row>
    <row r="23" spans="1:48" s="7" customFormat="1" ht="15.95" customHeight="1">
      <c r="A23" s="1128"/>
      <c r="B23" s="1128"/>
      <c r="C23" s="1128"/>
      <c r="D23" s="665"/>
      <c r="E23" s="665"/>
      <c r="F23" s="665"/>
      <c r="G23" s="665"/>
      <c r="H23" s="665"/>
      <c r="I23" s="665"/>
      <c r="J23" s="665" t="s">
        <v>44</v>
      </c>
      <c r="K23" s="665" t="s">
        <v>45</v>
      </c>
      <c r="L23" s="665" t="s">
        <v>44</v>
      </c>
      <c r="M23" s="665" t="s">
        <v>45</v>
      </c>
      <c r="N23" s="665" t="s">
        <v>44</v>
      </c>
      <c r="O23" s="665" t="s">
        <v>45</v>
      </c>
      <c r="P23" s="665" t="s">
        <v>44</v>
      </c>
      <c r="Q23" s="665" t="s">
        <v>45</v>
      </c>
      <c r="R23" s="665" t="s">
        <v>44</v>
      </c>
      <c r="S23" s="665" t="s">
        <v>45</v>
      </c>
      <c r="T23" s="665" t="s">
        <v>44</v>
      </c>
      <c r="U23" s="665" t="s">
        <v>45</v>
      </c>
      <c r="V23" s="665" t="s">
        <v>44</v>
      </c>
      <c r="W23" s="665" t="s">
        <v>45</v>
      </c>
      <c r="X23" s="665" t="s">
        <v>44</v>
      </c>
      <c r="Y23" s="665" t="s">
        <v>45</v>
      </c>
      <c r="Z23" s="665" t="s">
        <v>44</v>
      </c>
      <c r="AA23" s="665" t="s">
        <v>45</v>
      </c>
      <c r="AB23" s="665" t="s">
        <v>44</v>
      </c>
      <c r="AC23" s="665" t="s">
        <v>45</v>
      </c>
      <c r="AD23" s="665" t="s">
        <v>44</v>
      </c>
      <c r="AE23" s="665" t="s">
        <v>45</v>
      </c>
      <c r="AF23" s="665" t="s">
        <v>44</v>
      </c>
      <c r="AG23" s="665" t="s">
        <v>45</v>
      </c>
      <c r="AH23" s="665" t="s">
        <v>658</v>
      </c>
      <c r="AI23" s="665" t="s">
        <v>659</v>
      </c>
      <c r="AJ23" s="665" t="s">
        <v>44</v>
      </c>
      <c r="AK23" s="665" t="s">
        <v>45</v>
      </c>
      <c r="AL23" s="665" t="s">
        <v>44</v>
      </c>
      <c r="AM23" s="665" t="s">
        <v>45</v>
      </c>
      <c r="AN23" s="665" t="s">
        <v>44</v>
      </c>
      <c r="AO23" s="665" t="s">
        <v>45</v>
      </c>
      <c r="AP23" s="665" t="s">
        <v>44</v>
      </c>
      <c r="AQ23" s="665" t="s">
        <v>45</v>
      </c>
      <c r="AR23" s="665" t="s">
        <v>44</v>
      </c>
      <c r="AS23" s="665" t="s">
        <v>45</v>
      </c>
      <c r="AT23" s="671" t="s">
        <v>44</v>
      </c>
      <c r="AU23" s="671" t="s">
        <v>45</v>
      </c>
      <c r="AV23" s="671" t="s">
        <v>630</v>
      </c>
    </row>
    <row r="24" spans="1:48" s="529" customFormat="1" ht="17.25" customHeight="1">
      <c r="A24" s="1125" t="s">
        <v>1</v>
      </c>
      <c r="B24" s="1141" t="s">
        <v>2</v>
      </c>
      <c r="C24" s="1142"/>
      <c r="D24" s="528"/>
      <c r="E24" s="528"/>
      <c r="F24" s="479"/>
      <c r="G24" s="479"/>
      <c r="H24" s="479"/>
      <c r="I24" s="479"/>
      <c r="J24" s="528">
        <v>104.18563611111112</v>
      </c>
      <c r="K24" s="528">
        <v>1250.2276333333334</v>
      </c>
      <c r="L24" s="479">
        <v>143.81948111111112</v>
      </c>
      <c r="M24" s="479">
        <v>1725.8337733333335</v>
      </c>
      <c r="N24" s="479">
        <v>119.09668701388891</v>
      </c>
      <c r="O24" s="479">
        <v>1429.1602441666669</v>
      </c>
      <c r="P24" s="479">
        <v>101.69787694444445</v>
      </c>
      <c r="Q24" s="479">
        <v>1220.3745233333334</v>
      </c>
      <c r="R24" s="479">
        <v>93.416240694444454</v>
      </c>
      <c r="S24" s="479">
        <v>1120.9948883333334</v>
      </c>
      <c r="T24" s="479">
        <v>95.60940368861111</v>
      </c>
      <c r="U24" s="479">
        <v>286.82821106583333</v>
      </c>
      <c r="V24" s="479">
        <v>93.329545621666668</v>
      </c>
      <c r="W24" s="479">
        <v>559.97727372999998</v>
      </c>
      <c r="X24" s="478">
        <v>92.402888742592594</v>
      </c>
      <c r="Y24" s="478">
        <v>831.62599868333336</v>
      </c>
      <c r="Z24" s="478">
        <v>91.072323939375011</v>
      </c>
      <c r="AA24" s="479">
        <v>1092.8678872725002</v>
      </c>
      <c r="AB24" s="478">
        <v>101.65346814722223</v>
      </c>
      <c r="AC24" s="479">
        <v>304.9604044416667</v>
      </c>
      <c r="AD24" s="478">
        <v>98.812883630833326</v>
      </c>
      <c r="AE24" s="479">
        <v>592.87730178499999</v>
      </c>
      <c r="AF24" s="478">
        <v>98.113044753796302</v>
      </c>
      <c r="AG24" s="479">
        <v>883.01740278416673</v>
      </c>
      <c r="AH24" s="478">
        <v>102.17015081604167</v>
      </c>
      <c r="AI24" s="582">
        <v>1226.0418097925001</v>
      </c>
      <c r="AJ24" s="479">
        <v>96.017138574166665</v>
      </c>
      <c r="AK24" s="479">
        <v>288.0514157225</v>
      </c>
      <c r="AL24" s="479">
        <v>98.265018173333331</v>
      </c>
      <c r="AM24" s="479">
        <v>589.59010904000002</v>
      </c>
      <c r="AN24" s="479">
        <v>102.8967223987963</v>
      </c>
      <c r="AO24" s="479">
        <v>926.07050158916672</v>
      </c>
      <c r="AP24" s="479">
        <v>108.09512326826389</v>
      </c>
      <c r="AQ24" s="479">
        <v>1297.1414792191667</v>
      </c>
      <c r="AR24" s="743">
        <v>115.66476735777776</v>
      </c>
      <c r="AS24" s="743">
        <v>346.9943020733333</v>
      </c>
      <c r="AT24" s="636">
        <v>118.6522457792647</v>
      </c>
      <c r="AU24" s="636">
        <v>711.91347467558819</v>
      </c>
      <c r="AV24" s="539">
        <v>0.20747187539282352</v>
      </c>
    </row>
    <row r="25" spans="1:48" s="529" customFormat="1" ht="17.25" customHeight="1">
      <c r="A25" s="1126"/>
      <c r="B25" s="530"/>
      <c r="C25" s="531" t="s">
        <v>598</v>
      </c>
      <c r="D25" s="532"/>
      <c r="E25" s="480"/>
      <c r="F25" s="480"/>
      <c r="G25" s="480"/>
      <c r="H25" s="480"/>
      <c r="I25" s="480"/>
      <c r="J25" s="532">
        <v>102.14643569444445</v>
      </c>
      <c r="K25" s="480">
        <v>1225.7572283333334</v>
      </c>
      <c r="L25" s="480">
        <v>141.26004381944446</v>
      </c>
      <c r="M25" s="480">
        <v>1695.1205258333337</v>
      </c>
      <c r="N25" s="480">
        <v>117.14137270833335</v>
      </c>
      <c r="O25" s="480">
        <v>1405.6964725000003</v>
      </c>
      <c r="P25" s="480">
        <v>99.612069861111124</v>
      </c>
      <c r="Q25" s="480">
        <v>1195.3448383333334</v>
      </c>
      <c r="R25" s="480">
        <v>91.384974861111118</v>
      </c>
      <c r="S25" s="480">
        <v>1096.6196983333334</v>
      </c>
      <c r="T25" s="480">
        <v>93.09390162194444</v>
      </c>
      <c r="U25" s="480">
        <v>279.28170486583332</v>
      </c>
      <c r="V25" s="480">
        <v>90.972812788333329</v>
      </c>
      <c r="W25" s="480">
        <v>545.83687672999997</v>
      </c>
      <c r="X25" s="480">
        <v>90.180260998148157</v>
      </c>
      <c r="Y25" s="480">
        <v>811.62234898333338</v>
      </c>
      <c r="Z25" s="480">
        <v>88.99589760604168</v>
      </c>
      <c r="AA25" s="480">
        <v>1067.9507712725001</v>
      </c>
      <c r="AB25" s="480">
        <v>100.25075868055556</v>
      </c>
      <c r="AC25" s="480">
        <v>300.75227604166668</v>
      </c>
      <c r="AD25" s="480">
        <v>97.357113664166661</v>
      </c>
      <c r="AE25" s="480">
        <v>584.14268198499997</v>
      </c>
      <c r="AF25" s="480">
        <v>96.672995031574089</v>
      </c>
      <c r="AG25" s="481">
        <v>870.05695528416675</v>
      </c>
      <c r="AH25" s="480">
        <v>100.72071507437499</v>
      </c>
      <c r="AI25" s="481">
        <v>1208.6485808924999</v>
      </c>
      <c r="AJ25" s="480">
        <v>94.44462117416667</v>
      </c>
      <c r="AK25" s="480">
        <v>283.3338635225</v>
      </c>
      <c r="AL25" s="480">
        <v>96.82883649</v>
      </c>
      <c r="AM25" s="480">
        <v>580.97301893999997</v>
      </c>
      <c r="AN25" s="480">
        <v>101.49556848768519</v>
      </c>
      <c r="AO25" s="480">
        <v>913.46011638916673</v>
      </c>
      <c r="AP25" s="480">
        <v>106.71871838493057</v>
      </c>
      <c r="AQ25" s="480">
        <v>1280.6246206191668</v>
      </c>
      <c r="AR25" s="744">
        <v>114.27757382444445</v>
      </c>
      <c r="AS25" s="744">
        <v>342.83272147333332</v>
      </c>
      <c r="AT25" s="637">
        <v>117.18244794593137</v>
      </c>
      <c r="AU25" s="637">
        <v>703.09468767558826</v>
      </c>
      <c r="AV25" s="476">
        <v>0.21020196249113665</v>
      </c>
    </row>
    <row r="26" spans="1:48" ht="17.25" customHeight="1">
      <c r="A26" s="1127"/>
      <c r="B26" s="13"/>
      <c r="C26" s="81" t="s">
        <v>304</v>
      </c>
      <c r="D26" s="42"/>
      <c r="E26" s="42"/>
      <c r="F26" s="24"/>
      <c r="G26" s="24"/>
      <c r="H26" s="24"/>
      <c r="I26" s="24"/>
      <c r="J26" s="42">
        <v>76.255115763888895</v>
      </c>
      <c r="K26" s="42">
        <v>915.06138916666669</v>
      </c>
      <c r="L26" s="24">
        <v>98.835636249999993</v>
      </c>
      <c r="M26" s="24">
        <v>1186.0276349999999</v>
      </c>
      <c r="N26" s="24">
        <v>93.596042916666661</v>
      </c>
      <c r="O26" s="24">
        <v>1123.152515</v>
      </c>
      <c r="P26" s="24">
        <v>82.218998819444437</v>
      </c>
      <c r="Q26" s="24">
        <v>986.62798583333324</v>
      </c>
      <c r="R26" s="24">
        <v>72.623308750000021</v>
      </c>
      <c r="S26" s="24">
        <v>871.47970500000031</v>
      </c>
      <c r="T26" s="24">
        <v>61.455212152499996</v>
      </c>
      <c r="U26" s="24">
        <v>184.36563645749999</v>
      </c>
      <c r="V26" s="24">
        <v>59.423188525833332</v>
      </c>
      <c r="W26" s="24">
        <v>356.53913115500001</v>
      </c>
      <c r="X26" s="24">
        <v>60.617214296296297</v>
      </c>
      <c r="Y26" s="24">
        <v>545.55492866666668</v>
      </c>
      <c r="Z26" s="24">
        <v>62.619491274097221</v>
      </c>
      <c r="AA26" s="24">
        <v>751.43389528916668</v>
      </c>
      <c r="AB26" s="24">
        <v>79.118080708333338</v>
      </c>
      <c r="AC26" s="24">
        <v>237.35424212500001</v>
      </c>
      <c r="AD26" s="24">
        <v>76.066941428055557</v>
      </c>
      <c r="AE26" s="24">
        <v>456.40164856833337</v>
      </c>
      <c r="AF26" s="24">
        <v>74.942184896388895</v>
      </c>
      <c r="AG26" s="24">
        <v>674.47966406750004</v>
      </c>
      <c r="AH26" s="24">
        <v>78.518466136875006</v>
      </c>
      <c r="AI26" s="583">
        <v>942.22159364250001</v>
      </c>
      <c r="AJ26" s="24">
        <v>73.208719807500003</v>
      </c>
      <c r="AK26" s="24">
        <v>219.6261594225</v>
      </c>
      <c r="AL26" s="24">
        <v>75.035778053333331</v>
      </c>
      <c r="AM26" s="24">
        <v>450.21466831999999</v>
      </c>
      <c r="AN26" s="24">
        <v>78.290143802129634</v>
      </c>
      <c r="AO26" s="24">
        <v>704.61129421916667</v>
      </c>
      <c r="AP26" s="24">
        <v>79.475430709930563</v>
      </c>
      <c r="AQ26" s="24">
        <v>953.7051685191667</v>
      </c>
      <c r="AR26" s="745">
        <v>94.324394124444439</v>
      </c>
      <c r="AS26" s="745">
        <v>282.97318237333332</v>
      </c>
      <c r="AT26" s="638">
        <v>97.685506144542487</v>
      </c>
      <c r="AU26" s="638">
        <v>586.11303686725489</v>
      </c>
      <c r="AV26" s="316">
        <v>0.30185237867608117</v>
      </c>
    </row>
    <row r="27" spans="1:48" ht="17.25" customHeight="1">
      <c r="A27" s="1127"/>
      <c r="B27" s="13"/>
      <c r="C27" s="81" t="s">
        <v>308</v>
      </c>
      <c r="D27" s="42"/>
      <c r="E27" s="42"/>
      <c r="F27" s="24"/>
      <c r="G27" s="24"/>
      <c r="H27" s="24"/>
      <c r="I27" s="24"/>
      <c r="J27" s="42">
        <v>8.6101165972222216</v>
      </c>
      <c r="K27" s="42">
        <v>103.32139916666667</v>
      </c>
      <c r="L27" s="24">
        <v>15.105090694444444</v>
      </c>
      <c r="M27" s="24">
        <v>181.26108833333333</v>
      </c>
      <c r="N27" s="24">
        <v>10.138335625</v>
      </c>
      <c r="O27" s="24">
        <v>121.6600275</v>
      </c>
      <c r="P27" s="24">
        <v>9.1529560416666662</v>
      </c>
      <c r="Q27" s="24">
        <v>109.83547249999999</v>
      </c>
      <c r="R27" s="24">
        <v>11.411006944444445</v>
      </c>
      <c r="S27" s="24">
        <v>136.93208333333334</v>
      </c>
      <c r="T27" s="24">
        <v>12.117129402777778</v>
      </c>
      <c r="U27" s="24">
        <v>36.351388208333333</v>
      </c>
      <c r="V27" s="24">
        <v>13.553132429166666</v>
      </c>
      <c r="W27" s="24">
        <v>81.318794574999998</v>
      </c>
      <c r="X27" s="24">
        <v>12.563907635185185</v>
      </c>
      <c r="Y27" s="24">
        <v>113.07516871666667</v>
      </c>
      <c r="Z27" s="24">
        <v>11.055821340277779</v>
      </c>
      <c r="AA27" s="24">
        <v>132.66985608333334</v>
      </c>
      <c r="AB27" s="24">
        <v>6.7247564055555555</v>
      </c>
      <c r="AC27" s="24">
        <v>20.174269216666666</v>
      </c>
      <c r="AD27" s="24">
        <v>7.6707390194444445</v>
      </c>
      <c r="AE27" s="24">
        <v>46.024434116666669</v>
      </c>
      <c r="AF27" s="24">
        <v>7.9807999796296292</v>
      </c>
      <c r="AG27" s="24">
        <v>71.827199816666663</v>
      </c>
      <c r="AH27" s="24">
        <v>8.6729421875000003</v>
      </c>
      <c r="AI27" s="583">
        <v>104.07530625</v>
      </c>
      <c r="AJ27" s="24">
        <v>10.751431633333333</v>
      </c>
      <c r="AK27" s="24">
        <v>32.254294899999998</v>
      </c>
      <c r="AL27" s="24">
        <v>10.453243703333333</v>
      </c>
      <c r="AM27" s="24">
        <v>62.719462219999997</v>
      </c>
      <c r="AN27" s="24">
        <v>11.085930385555555</v>
      </c>
      <c r="AO27" s="24">
        <v>99.773373469999996</v>
      </c>
      <c r="AP27" s="24">
        <v>15.051541691666666</v>
      </c>
      <c r="AQ27" s="24">
        <v>180.61850029999999</v>
      </c>
      <c r="AR27" s="745">
        <v>6.9270341000000002</v>
      </c>
      <c r="AS27" s="745">
        <v>20.781102300000001</v>
      </c>
      <c r="AT27" s="638">
        <v>7.0220852347222227</v>
      </c>
      <c r="AU27" s="638">
        <v>42.132511408333336</v>
      </c>
      <c r="AV27" s="316">
        <v>-0.32823863730613889</v>
      </c>
    </row>
    <row r="28" spans="1:48" ht="17.25" customHeight="1">
      <c r="A28" s="1127"/>
      <c r="B28" s="13"/>
      <c r="C28" s="81" t="s">
        <v>306</v>
      </c>
      <c r="D28" s="42"/>
      <c r="E28" s="42"/>
      <c r="F28" s="24"/>
      <c r="G28" s="24"/>
      <c r="H28" s="24"/>
      <c r="I28" s="24"/>
      <c r="J28" s="42"/>
      <c r="K28" s="42"/>
      <c r="L28" s="24"/>
      <c r="M28" s="24"/>
      <c r="N28" s="24"/>
      <c r="O28" s="24"/>
      <c r="P28" s="24"/>
      <c r="Q28" s="24"/>
      <c r="R28" s="24"/>
      <c r="S28" s="24"/>
      <c r="T28" s="24">
        <v>11.103085099999999</v>
      </c>
      <c r="U28" s="24">
        <v>33.309255299999997</v>
      </c>
      <c r="V28" s="24">
        <v>11.244266783333332</v>
      </c>
      <c r="W28" s="24">
        <v>67.465600699999996</v>
      </c>
      <c r="X28" s="24">
        <v>11.310629499999999</v>
      </c>
      <c r="Y28" s="24">
        <v>101.7956655</v>
      </c>
      <c r="Z28" s="24">
        <v>9.2737983833333342</v>
      </c>
      <c r="AA28" s="24">
        <v>111.2855806</v>
      </c>
      <c r="AB28" s="24">
        <v>4.0809150000000001</v>
      </c>
      <c r="AC28" s="24">
        <v>12.242744999999999</v>
      </c>
      <c r="AD28" s="24">
        <v>3.82174185</v>
      </c>
      <c r="AE28" s="24">
        <v>22.930451099999999</v>
      </c>
      <c r="AF28" s="24">
        <v>3.6670399888888889</v>
      </c>
      <c r="AG28" s="24">
        <v>33.0033599</v>
      </c>
      <c r="AH28" s="24">
        <v>3.6718184083333334</v>
      </c>
      <c r="AI28" s="583">
        <v>44.061820900000001</v>
      </c>
      <c r="AJ28" s="24">
        <v>3.4430990666666665</v>
      </c>
      <c r="AK28" s="24">
        <v>10.329297199999999</v>
      </c>
      <c r="AL28" s="24">
        <v>3.4146487666666663</v>
      </c>
      <c r="AM28" s="24">
        <v>20.487892599999999</v>
      </c>
      <c r="AN28" s="24">
        <v>3.6318665555555558</v>
      </c>
      <c r="AO28" s="24">
        <v>32.686799000000001</v>
      </c>
      <c r="AP28" s="24">
        <v>3.7227121749999998</v>
      </c>
      <c r="AQ28" s="24">
        <v>44.672546099999998</v>
      </c>
      <c r="AR28" s="745">
        <v>3.6702641666666671</v>
      </c>
      <c r="AS28" s="745">
        <v>11.010792500000001</v>
      </c>
      <c r="AT28" s="638">
        <v>3.5586227166666666</v>
      </c>
      <c r="AU28" s="638">
        <v>21.351736299999999</v>
      </c>
      <c r="AV28" s="316">
        <v>4.2163619112294715E-2</v>
      </c>
    </row>
    <row r="29" spans="1:48" ht="17.25" customHeight="1">
      <c r="A29" s="1127"/>
      <c r="B29" s="13"/>
      <c r="C29" s="81" t="s">
        <v>309</v>
      </c>
      <c r="D29" s="42"/>
      <c r="E29" s="42"/>
      <c r="F29" s="24"/>
      <c r="G29" s="24"/>
      <c r="H29" s="24"/>
      <c r="I29" s="24"/>
      <c r="J29" s="42">
        <v>17.281203333333334</v>
      </c>
      <c r="K29" s="42">
        <v>207.37443999999999</v>
      </c>
      <c r="L29" s="24">
        <v>27.319383541666667</v>
      </c>
      <c r="M29" s="24">
        <v>327.83260250000001</v>
      </c>
      <c r="N29" s="24">
        <v>13.406994166666665</v>
      </c>
      <c r="O29" s="24">
        <v>160.88392999999999</v>
      </c>
      <c r="P29" s="24">
        <v>8.2401149999999994</v>
      </c>
      <c r="Q29" s="24">
        <v>98.881379999999993</v>
      </c>
      <c r="R29" s="24">
        <v>7.3506591666666665</v>
      </c>
      <c r="S29" s="24">
        <v>88.207909999999998</v>
      </c>
      <c r="T29" s="24">
        <v>8.4184749666666665</v>
      </c>
      <c r="U29" s="24">
        <v>25.255424900000001</v>
      </c>
      <c r="V29" s="24">
        <v>6.7522250499999998</v>
      </c>
      <c r="W29" s="24">
        <v>40.513350299999999</v>
      </c>
      <c r="X29" s="24">
        <v>5.6885095666666672</v>
      </c>
      <c r="Y29" s="24">
        <v>51.196586100000005</v>
      </c>
      <c r="Z29" s="24">
        <v>6.0467866083333339</v>
      </c>
      <c r="AA29" s="24">
        <v>72.561439300000004</v>
      </c>
      <c r="AB29" s="24">
        <v>10.327006566666666</v>
      </c>
      <c r="AC29" s="24">
        <v>30.981019700000001</v>
      </c>
      <c r="AD29" s="24">
        <v>9.7976913666666672</v>
      </c>
      <c r="AE29" s="24">
        <v>58.7861482</v>
      </c>
      <c r="AF29" s="24">
        <v>10.082970166666666</v>
      </c>
      <c r="AG29" s="24">
        <v>90.746731499999996</v>
      </c>
      <c r="AH29" s="24">
        <v>9.8574883416666665</v>
      </c>
      <c r="AI29" s="583">
        <v>118.2898601</v>
      </c>
      <c r="AJ29" s="24">
        <v>7.0413706666666664</v>
      </c>
      <c r="AK29" s="24">
        <v>21.124112</v>
      </c>
      <c r="AL29" s="24">
        <v>7.9251659666666674</v>
      </c>
      <c r="AM29" s="24">
        <v>47.550995800000003</v>
      </c>
      <c r="AN29" s="24">
        <v>8.4876277444444455</v>
      </c>
      <c r="AO29" s="24">
        <v>76.388649700000002</v>
      </c>
      <c r="AP29" s="24">
        <v>8.4690338083333341</v>
      </c>
      <c r="AQ29" s="24">
        <v>101.6284057</v>
      </c>
      <c r="AR29" s="745">
        <v>9.3558814333333338</v>
      </c>
      <c r="AS29" s="745">
        <v>28.067644300000001</v>
      </c>
      <c r="AT29" s="638">
        <v>8.6404161333333338</v>
      </c>
      <c r="AU29" s="638">
        <v>51.842496799999999</v>
      </c>
      <c r="AV29" s="316">
        <v>9.0250496920192713E-2</v>
      </c>
    </row>
    <row r="30" spans="1:48" ht="17.25" customHeight="1">
      <c r="A30" s="1127"/>
      <c r="B30" s="22"/>
      <c r="C30" s="72" t="s">
        <v>0</v>
      </c>
      <c r="D30" s="30"/>
      <c r="E30" s="31"/>
      <c r="F30" s="31"/>
      <c r="G30" s="31"/>
      <c r="H30" s="31"/>
      <c r="I30" s="31"/>
      <c r="J30" s="30">
        <v>2.0392004166666666</v>
      </c>
      <c r="K30" s="31">
        <v>24.470405</v>
      </c>
      <c r="L30" s="31">
        <v>2.5594372916666668</v>
      </c>
      <c r="M30" s="31">
        <v>30.713247500000001</v>
      </c>
      <c r="N30" s="31">
        <v>1.9553143055555557</v>
      </c>
      <c r="O30" s="31">
        <v>23.46377166666667</v>
      </c>
      <c r="P30" s="31">
        <v>2.0858070833333335</v>
      </c>
      <c r="Q30" s="31">
        <v>25.029685000000001</v>
      </c>
      <c r="R30" s="31">
        <v>2.0312658333333333</v>
      </c>
      <c r="S30" s="31">
        <v>24.37519</v>
      </c>
      <c r="T30" s="31">
        <v>2.5155020666666665</v>
      </c>
      <c r="U30" s="31">
        <v>7.5465061999999996</v>
      </c>
      <c r="V30" s="31">
        <v>2.3567328333333335</v>
      </c>
      <c r="W30" s="31">
        <v>14.140397</v>
      </c>
      <c r="X30" s="31">
        <v>2.2226277444444444</v>
      </c>
      <c r="Y30" s="31">
        <v>20.0036497</v>
      </c>
      <c r="Z30" s="31">
        <v>2.0764263333333335</v>
      </c>
      <c r="AA30" s="31">
        <v>24.917116</v>
      </c>
      <c r="AB30" s="31">
        <v>1.4027094666666666</v>
      </c>
      <c r="AC30" s="31">
        <v>4.2081283999999997</v>
      </c>
      <c r="AD30" s="31">
        <v>1.4557699666666668</v>
      </c>
      <c r="AE30" s="31">
        <v>8.7346198000000008</v>
      </c>
      <c r="AF30" s="31">
        <v>1.4400497222222224</v>
      </c>
      <c r="AG30" s="31">
        <v>12.960447500000001</v>
      </c>
      <c r="AH30" s="31">
        <v>1.4494357416666668</v>
      </c>
      <c r="AI30" s="584">
        <v>17.3932289</v>
      </c>
      <c r="AJ30" s="31">
        <v>1.5725174</v>
      </c>
      <c r="AK30" s="31">
        <v>4.7175522000000001</v>
      </c>
      <c r="AL30" s="31">
        <v>1.4361816833333334</v>
      </c>
      <c r="AM30" s="31">
        <v>8.6170901000000004</v>
      </c>
      <c r="AN30" s="31">
        <v>1.4011539111111111</v>
      </c>
      <c r="AO30" s="31">
        <v>12.6103852</v>
      </c>
      <c r="AP30" s="31">
        <v>1.3764048833333333</v>
      </c>
      <c r="AQ30" s="31">
        <v>16.516858599999999</v>
      </c>
      <c r="AR30" s="746">
        <v>1.3871935333333332</v>
      </c>
      <c r="AS30" s="746">
        <v>4.1615805999999997</v>
      </c>
      <c r="AT30" s="639">
        <v>1.4697978333333335</v>
      </c>
      <c r="AU30" s="639">
        <v>8.8187870000000004</v>
      </c>
      <c r="AV30" s="143">
        <v>2.3406613794139108E-2</v>
      </c>
    </row>
    <row r="31" spans="1:48" ht="17.25" customHeight="1">
      <c r="A31" s="1127"/>
      <c r="B31" s="1135" t="s">
        <v>12</v>
      </c>
      <c r="C31" s="1136"/>
      <c r="D31" s="32"/>
      <c r="E31" s="32"/>
      <c r="F31" s="27"/>
      <c r="G31" s="27"/>
      <c r="H31" s="27"/>
      <c r="I31" s="27"/>
      <c r="J31" s="86">
        <v>0.91439319444444445</v>
      </c>
      <c r="K31" s="86">
        <v>10.972718333333333</v>
      </c>
      <c r="L31" s="87">
        <v>0.95175590277777777</v>
      </c>
      <c r="M31" s="87">
        <v>11.421070833333333</v>
      </c>
      <c r="N31" s="87">
        <v>0.77981423611111111</v>
      </c>
      <c r="O31" s="87">
        <v>9.3577708333333334</v>
      </c>
      <c r="P31" s="87">
        <v>0.85761006944444451</v>
      </c>
      <c r="Q31" s="87">
        <v>10.291320833333334</v>
      </c>
      <c r="R31" s="87">
        <v>0.68171645833333328</v>
      </c>
      <c r="S31" s="87">
        <v>8.1805974999999993</v>
      </c>
      <c r="T31" s="87">
        <v>0.71127099999999999</v>
      </c>
      <c r="U31" s="87">
        <v>2.133813</v>
      </c>
      <c r="V31" s="87">
        <v>0.61947089583333337</v>
      </c>
      <c r="W31" s="87">
        <v>3.716825375</v>
      </c>
      <c r="X31" s="87">
        <v>0.58324055740740743</v>
      </c>
      <c r="Y31" s="87">
        <v>5.2491650166666668</v>
      </c>
      <c r="Z31" s="87">
        <v>0.56561059930555546</v>
      </c>
      <c r="AA31" s="87">
        <v>6.787327191666666</v>
      </c>
      <c r="AB31" s="87">
        <v>0.59801821111111109</v>
      </c>
      <c r="AC31" s="87">
        <v>1.7940546333333334</v>
      </c>
      <c r="AD31" s="87">
        <v>0.59710521527777782</v>
      </c>
      <c r="AE31" s="87">
        <v>3.5826312916666669</v>
      </c>
      <c r="AF31" s="87">
        <v>0.55460895833333335</v>
      </c>
      <c r="AG31" s="87">
        <v>4.9914806250000003</v>
      </c>
      <c r="AH31" s="87">
        <v>0.53438866597222223</v>
      </c>
      <c r="AI31" s="585">
        <v>6.4126639916666663</v>
      </c>
      <c r="AJ31" s="27">
        <v>0.69781056111111106</v>
      </c>
      <c r="AK31" s="27">
        <v>2.0934316833333333</v>
      </c>
      <c r="AL31" s="27">
        <v>0.61993085416666671</v>
      </c>
      <c r="AM31" s="27">
        <v>3.719585125</v>
      </c>
      <c r="AN31" s="27">
        <v>0.60593417962962959</v>
      </c>
      <c r="AO31" s="27">
        <v>5.4534076166666665</v>
      </c>
      <c r="AP31" s="27">
        <v>0.5960586347222222</v>
      </c>
      <c r="AQ31" s="27">
        <v>7.152703616666666</v>
      </c>
      <c r="AR31" s="747">
        <v>0.3936403</v>
      </c>
      <c r="AS31" s="747">
        <v>1.1809209000000001</v>
      </c>
      <c r="AT31" s="741">
        <v>0.28628723888888891</v>
      </c>
      <c r="AU31" s="741">
        <v>1.7177234333333333</v>
      </c>
      <c r="AV31" s="316">
        <v>-0.53819488582524821</v>
      </c>
    </row>
    <row r="32" spans="1:48" ht="17.25" customHeight="1">
      <c r="A32" s="1127"/>
      <c r="B32" s="1133" t="s">
        <v>13</v>
      </c>
      <c r="C32" s="1134"/>
      <c r="D32" s="42"/>
      <c r="E32" s="42"/>
      <c r="F32" s="24"/>
      <c r="G32" s="24"/>
      <c r="H32" s="24"/>
      <c r="I32" s="24"/>
      <c r="J32" s="88">
        <v>0.37520458333333334</v>
      </c>
      <c r="K32" s="88">
        <v>4.5024550000000003</v>
      </c>
      <c r="L32" s="89">
        <v>0.40969055555555561</v>
      </c>
      <c r="M32" s="89">
        <v>4.9162866666666671</v>
      </c>
      <c r="N32" s="89">
        <v>0.44346555555555561</v>
      </c>
      <c r="O32" s="89">
        <v>5.3215866666666676</v>
      </c>
      <c r="P32" s="89">
        <v>0.4371038888888889</v>
      </c>
      <c r="Q32" s="89">
        <v>5.2452466666666666</v>
      </c>
      <c r="R32" s="89">
        <v>0.34515111111111113</v>
      </c>
      <c r="S32" s="89">
        <v>4.1418133333333333</v>
      </c>
      <c r="T32" s="89">
        <v>0.55501719999999999</v>
      </c>
      <c r="U32" s="89">
        <v>1.6650516</v>
      </c>
      <c r="V32" s="89">
        <v>0.45312426666666666</v>
      </c>
      <c r="W32" s="89">
        <v>2.7187456000000001</v>
      </c>
      <c r="X32" s="89">
        <v>0.40937543703703699</v>
      </c>
      <c r="Y32" s="89">
        <v>3.684378933333333</v>
      </c>
      <c r="Z32" s="89">
        <v>0.38178415833333329</v>
      </c>
      <c r="AA32" s="89">
        <v>4.5814098999999997</v>
      </c>
      <c r="AB32" s="89">
        <v>0.48615049999999999</v>
      </c>
      <c r="AC32" s="89">
        <v>1.4584515</v>
      </c>
      <c r="AD32" s="89">
        <v>0.41553030555555553</v>
      </c>
      <c r="AE32" s="89">
        <v>2.4931818333333333</v>
      </c>
      <c r="AF32" s="89">
        <v>0.36909550000000002</v>
      </c>
      <c r="AG32" s="89">
        <v>3.3218595</v>
      </c>
      <c r="AH32" s="89">
        <v>0.33476220833333331</v>
      </c>
      <c r="AI32" s="583">
        <v>4.0171465</v>
      </c>
      <c r="AJ32" s="24">
        <v>0.44497154444444442</v>
      </c>
      <c r="AK32" s="24">
        <v>1.3349146333333333</v>
      </c>
      <c r="AL32" s="24">
        <v>0.38870980444444442</v>
      </c>
      <c r="AM32" s="24">
        <v>2.3322588266666666</v>
      </c>
      <c r="AN32" s="24">
        <v>0.35074933629629634</v>
      </c>
      <c r="AO32" s="24">
        <v>3.1567440266666669</v>
      </c>
      <c r="AP32" s="24">
        <v>0.32319755777777776</v>
      </c>
      <c r="AQ32" s="24">
        <v>3.8783706933333333</v>
      </c>
      <c r="AR32" s="745">
        <v>0.32112266666666667</v>
      </c>
      <c r="AS32" s="745">
        <v>0.963368</v>
      </c>
      <c r="AT32" s="638">
        <v>0.27813939444444441</v>
      </c>
      <c r="AU32" s="638">
        <v>1.6688363666666666</v>
      </c>
      <c r="AV32" s="143">
        <v>-0.28445490372446491</v>
      </c>
    </row>
    <row r="33" spans="1:49" s="529" customFormat="1" ht="17.25" customHeight="1">
      <c r="A33" s="1127"/>
      <c r="B33" s="1139" t="s">
        <v>14</v>
      </c>
      <c r="C33" s="1140"/>
      <c r="D33" s="533"/>
      <c r="E33" s="533"/>
      <c r="F33" s="482"/>
      <c r="G33" s="482"/>
      <c r="H33" s="482"/>
      <c r="I33" s="482"/>
      <c r="J33" s="533">
        <v>105.47523388888889</v>
      </c>
      <c r="K33" s="533">
        <v>1265.7028066666667</v>
      </c>
      <c r="L33" s="482">
        <v>145.18092756944444</v>
      </c>
      <c r="M33" s="482">
        <v>1742.1711308333333</v>
      </c>
      <c r="N33" s="482">
        <v>120.31996680555555</v>
      </c>
      <c r="O33" s="482">
        <v>1443.8396016666666</v>
      </c>
      <c r="P33" s="482">
        <v>102.99259090277776</v>
      </c>
      <c r="Q33" s="482">
        <v>1235.9110908333332</v>
      </c>
      <c r="R33" s="482">
        <v>94.443108263888902</v>
      </c>
      <c r="S33" s="482">
        <v>1133.3172991666668</v>
      </c>
      <c r="T33" s="482">
        <v>96.875691888611115</v>
      </c>
      <c r="U33" s="482">
        <v>290.62707566583333</v>
      </c>
      <c r="V33" s="482">
        <v>94.402140784166662</v>
      </c>
      <c r="W33" s="482">
        <v>566.412844705</v>
      </c>
      <c r="X33" s="482">
        <v>93.395504737037044</v>
      </c>
      <c r="Y33" s="482">
        <v>840.55954263333342</v>
      </c>
      <c r="Z33" s="482">
        <v>92.0197186970139</v>
      </c>
      <c r="AA33" s="482">
        <v>1104.2366243641668</v>
      </c>
      <c r="AB33" s="482">
        <v>102.73763685833335</v>
      </c>
      <c r="AC33" s="482">
        <v>308.21291057500002</v>
      </c>
      <c r="AD33" s="482">
        <v>99.825519151666654</v>
      </c>
      <c r="AE33" s="483">
        <v>598.95311490999995</v>
      </c>
      <c r="AF33" s="482">
        <v>99.036749212129635</v>
      </c>
      <c r="AG33" s="483">
        <v>891.3307429091667</v>
      </c>
      <c r="AH33" s="482">
        <v>103.03930169034722</v>
      </c>
      <c r="AI33" s="483">
        <v>1236.4716202841666</v>
      </c>
      <c r="AJ33" s="482">
        <v>97.159920679722234</v>
      </c>
      <c r="AK33" s="482">
        <v>291.4797620391667</v>
      </c>
      <c r="AL33" s="482">
        <v>99.273658831944431</v>
      </c>
      <c r="AM33" s="482">
        <v>595.64195299166659</v>
      </c>
      <c r="AN33" s="482">
        <v>103.85340591472223</v>
      </c>
      <c r="AO33" s="482">
        <v>934.68065323250005</v>
      </c>
      <c r="AP33" s="482">
        <v>109.01437946076389</v>
      </c>
      <c r="AQ33" s="482">
        <v>1308.1725535291666</v>
      </c>
      <c r="AR33" s="748">
        <v>116.37953032444445</v>
      </c>
      <c r="AS33" s="748">
        <v>349.13859097333335</v>
      </c>
      <c r="AT33" s="640">
        <v>119.21667241259804</v>
      </c>
      <c r="AU33" s="640">
        <v>715.30003447558829</v>
      </c>
      <c r="AV33" s="539">
        <v>0.20088927732999329</v>
      </c>
    </row>
    <row r="34" spans="1:49" ht="17.25" customHeight="1">
      <c r="A34" s="1129" t="s">
        <v>15</v>
      </c>
      <c r="B34" s="1137" t="s">
        <v>2</v>
      </c>
      <c r="C34" s="1138"/>
      <c r="D34" s="9"/>
      <c r="E34" s="10"/>
      <c r="F34" s="9"/>
      <c r="G34" s="10"/>
      <c r="H34" s="9"/>
      <c r="I34" s="10"/>
      <c r="J34" s="9">
        <v>0.98777345420123674</v>
      </c>
      <c r="K34" s="10">
        <v>0.98777345420123674</v>
      </c>
      <c r="L34" s="9">
        <v>0.99062241520889793</v>
      </c>
      <c r="M34" s="10">
        <v>0.99062241520889793</v>
      </c>
      <c r="N34" s="9">
        <v>0.98983311062873269</v>
      </c>
      <c r="O34" s="10">
        <v>0.98983311062873269</v>
      </c>
      <c r="P34" s="9">
        <v>0.98742905730417552</v>
      </c>
      <c r="Q34" s="10">
        <v>0.98742905730417552</v>
      </c>
      <c r="R34" s="9">
        <v>0.98912713073170766</v>
      </c>
      <c r="S34" s="10">
        <v>0.98912713073170766</v>
      </c>
      <c r="T34" s="9">
        <v>0.98692873129147818</v>
      </c>
      <c r="U34" s="10">
        <v>0.98692873129147818</v>
      </c>
      <c r="V34" s="9">
        <v>0.98863802077378427</v>
      </c>
      <c r="W34" s="10">
        <v>0.98863802077378415</v>
      </c>
      <c r="X34" s="9">
        <v>0.98863802077378427</v>
      </c>
      <c r="Y34" s="9">
        <v>0.98937190823863264</v>
      </c>
      <c r="Z34" s="10">
        <v>0.98970443758083737</v>
      </c>
      <c r="AA34" s="10">
        <v>0.98970443758083748</v>
      </c>
      <c r="AB34" s="10">
        <v>0.98944720995864355</v>
      </c>
      <c r="AC34" s="10">
        <v>0.98944720995864366</v>
      </c>
      <c r="AD34" s="10">
        <v>0.98985594535907384</v>
      </c>
      <c r="AE34" s="10">
        <v>0.98985594535907384</v>
      </c>
      <c r="AF34" s="10">
        <v>0.99067311411489467</v>
      </c>
      <c r="AG34" s="10">
        <v>0.99067311411489467</v>
      </c>
      <c r="AH34" s="10">
        <v>0.99156486059156812</v>
      </c>
      <c r="AI34" s="10">
        <v>0.99156486059156812</v>
      </c>
      <c r="AJ34" s="10">
        <v>0.98823813258017534</v>
      </c>
      <c r="AK34" s="10">
        <v>0.98823813258017534</v>
      </c>
      <c r="AL34" s="10">
        <v>0.98983979566706026</v>
      </c>
      <c r="AM34" s="10">
        <v>0.98983979566706037</v>
      </c>
      <c r="AN34" s="10">
        <v>0.99078813537698029</v>
      </c>
      <c r="AO34" s="10">
        <v>0.99078813537698041</v>
      </c>
      <c r="AP34" s="10">
        <v>0.99156756936977419</v>
      </c>
      <c r="AQ34" s="10">
        <v>0.9915675693697743</v>
      </c>
      <c r="AR34" s="749">
        <v>0.99385834463608802</v>
      </c>
      <c r="AS34" s="749">
        <v>0.99385834463608802</v>
      </c>
      <c r="AT34" s="534">
        <v>0.99526553944250418</v>
      </c>
      <c r="AU34" s="534">
        <v>0.99526553944250418</v>
      </c>
      <c r="AV34" s="540">
        <v>5.4257437754438032E-3</v>
      </c>
    </row>
    <row r="35" spans="1:49" ht="17.25" customHeight="1">
      <c r="A35" s="1130"/>
      <c r="B35" s="1131" t="s">
        <v>12</v>
      </c>
      <c r="C35" s="1132"/>
      <c r="D35" s="11"/>
      <c r="E35" s="12"/>
      <c r="F35" s="11"/>
      <c r="G35" s="12"/>
      <c r="H35" s="11"/>
      <c r="I35" s="12"/>
      <c r="J35" s="11">
        <v>1.2226545798763255E-2</v>
      </c>
      <c r="K35" s="12">
        <v>1.2226545798763366E-2</v>
      </c>
      <c r="L35" s="11">
        <v>9.3775847911020671E-3</v>
      </c>
      <c r="M35" s="12">
        <v>9.3775847911020671E-3</v>
      </c>
      <c r="N35" s="11">
        <v>1.0166889371267307E-2</v>
      </c>
      <c r="O35" s="12">
        <v>1.0166889371267307E-2</v>
      </c>
      <c r="P35" s="11">
        <v>1.2570942695824483E-2</v>
      </c>
      <c r="Q35" s="12">
        <v>1.2570942695824483E-2</v>
      </c>
      <c r="R35" s="11">
        <v>1.087286926829234E-2</v>
      </c>
      <c r="S35" s="12">
        <v>1.087286926829234E-2</v>
      </c>
      <c r="T35" s="11">
        <v>1.3071268708521783E-2</v>
      </c>
      <c r="U35" s="12">
        <v>1.3071268708521822E-2</v>
      </c>
      <c r="V35" s="11">
        <v>1.136197922621579E-2</v>
      </c>
      <c r="W35" s="12">
        <v>1.1361979226215846E-2</v>
      </c>
      <c r="X35" s="11">
        <v>1.136197922621579E-2</v>
      </c>
      <c r="Y35" s="11">
        <v>1.0628091761367364E-2</v>
      </c>
      <c r="Z35" s="12">
        <v>1.0295562419162629E-2</v>
      </c>
      <c r="AA35" s="12">
        <v>1.0295562419162518E-2</v>
      </c>
      <c r="AB35" s="12">
        <v>1.0552790041356452E-2</v>
      </c>
      <c r="AC35" s="12">
        <v>1.0552790041356341E-2</v>
      </c>
      <c r="AD35" s="12">
        <v>1.0144054640926159E-2</v>
      </c>
      <c r="AE35" s="12">
        <v>1.0144054640926159E-2</v>
      </c>
      <c r="AF35" s="12">
        <v>9.3268858851053293E-3</v>
      </c>
      <c r="AG35" s="12">
        <v>9.3268858851053293E-3</v>
      </c>
      <c r="AH35" s="12">
        <v>8.4351394084318798E-3</v>
      </c>
      <c r="AI35" s="12">
        <v>8.4351394084318798E-3</v>
      </c>
      <c r="AJ35" s="12">
        <v>1.1761867419824656E-2</v>
      </c>
      <c r="AK35" s="12">
        <v>1.1761867419824656E-2</v>
      </c>
      <c r="AL35" s="12">
        <v>1.0160204332939737E-2</v>
      </c>
      <c r="AM35" s="12">
        <v>1.0160204332939626E-2</v>
      </c>
      <c r="AN35" s="12">
        <v>9.2118646230197054E-3</v>
      </c>
      <c r="AO35" s="12">
        <v>9.2118646230195944E-3</v>
      </c>
      <c r="AP35" s="12">
        <v>8.4324306302258067E-3</v>
      </c>
      <c r="AQ35" s="12">
        <v>8.4324306302256957E-3</v>
      </c>
      <c r="AR35" s="750">
        <v>6.1416553639119797E-3</v>
      </c>
      <c r="AS35" s="750">
        <v>6.1416553639119797E-3</v>
      </c>
      <c r="AT35" s="535">
        <v>4.7344605574958232E-3</v>
      </c>
      <c r="AU35" s="535">
        <v>4.7344605574958232E-3</v>
      </c>
      <c r="AV35" s="541">
        <v>-5.4257437754438032E-3</v>
      </c>
    </row>
    <row r="36" spans="1:49" ht="15.9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F36" s="7"/>
      <c r="AH36" s="7"/>
      <c r="AJ36" s="7"/>
      <c r="AL36" s="7"/>
      <c r="AN36" s="557"/>
      <c r="AO36" s="7"/>
      <c r="AP36" s="557"/>
      <c r="AQ36" s="7"/>
      <c r="AR36" s="557"/>
      <c r="AS36" s="7"/>
      <c r="AT36" s="7"/>
      <c r="AU36" s="7"/>
      <c r="AV36" s="7"/>
    </row>
    <row r="37" spans="1:49" ht="35.25" customHeight="1">
      <c r="A37" s="1123" t="s">
        <v>46</v>
      </c>
      <c r="B37" s="1123"/>
      <c r="C37" s="1123"/>
      <c r="D37" s="1123"/>
      <c r="E37" s="1123"/>
      <c r="F37" s="1123"/>
      <c r="G37" s="1123"/>
      <c r="H37" s="1123"/>
      <c r="I37" s="1123"/>
      <c r="J37" s="1123"/>
      <c r="K37" s="1123"/>
      <c r="L37" s="1123"/>
      <c r="M37" s="1123"/>
      <c r="N37" s="1123"/>
      <c r="O37" s="1123"/>
      <c r="P37" s="1123"/>
      <c r="Q37" s="1123"/>
      <c r="R37" s="1123"/>
      <c r="S37" s="1123"/>
      <c r="T37" s="1123"/>
      <c r="U37" s="1123"/>
      <c r="V37" s="1123"/>
      <c r="W37" s="1123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1:49" ht="13.5" customHeight="1" thickBo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:49" ht="17.25" customHeight="1" thickTop="1">
      <c r="A39" s="414"/>
      <c r="B39" s="414" t="s">
        <v>47</v>
      </c>
      <c r="C39" s="414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>
        <v>2018</v>
      </c>
      <c r="T39" s="415">
        <v>2019</v>
      </c>
      <c r="U39" s="415">
        <v>2020</v>
      </c>
      <c r="V39" s="415">
        <v>2021</v>
      </c>
      <c r="W39" s="415">
        <v>2022</v>
      </c>
      <c r="X39" s="415" t="s">
        <v>388</v>
      </c>
      <c r="Y39" s="415" t="s">
        <v>596</v>
      </c>
      <c r="Z39" s="415" t="s">
        <v>516</v>
      </c>
      <c r="AA39" s="415" t="s">
        <v>567</v>
      </c>
      <c r="AB39" s="415" t="s">
        <v>637</v>
      </c>
      <c r="AC39" s="415" t="s">
        <v>606</v>
      </c>
      <c r="AD39" s="415" t="s">
        <v>644</v>
      </c>
      <c r="AE39" s="415" t="s">
        <v>662</v>
      </c>
      <c r="AF39" s="415" t="s">
        <v>650</v>
      </c>
      <c r="AG39" s="415" t="s">
        <v>667</v>
      </c>
      <c r="AH39" s="415" t="s">
        <v>677</v>
      </c>
      <c r="AI39" s="415" t="s">
        <v>685</v>
      </c>
      <c r="AJ39" s="415" t="s">
        <v>689</v>
      </c>
      <c r="AK39" s="1089" t="s">
        <v>720</v>
      </c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ht="17.25" customHeight="1">
      <c r="A40" s="68"/>
      <c r="B40" s="67" t="s">
        <v>3</v>
      </c>
      <c r="C40" s="67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>
        <v>0.81799999999999995</v>
      </c>
      <c r="T40" s="43">
        <v>0.82150000000000001</v>
      </c>
      <c r="U40" s="43">
        <v>0.83399999999999996</v>
      </c>
      <c r="V40" s="43">
        <v>0.83599999999999997</v>
      </c>
      <c r="W40" s="43">
        <v>0.84799999999999998</v>
      </c>
      <c r="X40" s="43">
        <v>0.85</v>
      </c>
      <c r="Y40" s="169">
        <v>0.84499999999999997</v>
      </c>
      <c r="Z40" s="169">
        <v>0.84699999999999998</v>
      </c>
      <c r="AA40" s="169">
        <v>0.84699999999999998</v>
      </c>
      <c r="AB40" s="169">
        <v>0.84799999999999998</v>
      </c>
      <c r="AC40" s="169">
        <v>0.84899999999999998</v>
      </c>
      <c r="AD40" s="169">
        <v>0.84799999999999998</v>
      </c>
      <c r="AE40" s="169">
        <v>0.84399999999999997</v>
      </c>
      <c r="AF40" s="169">
        <v>0.84199999999999997</v>
      </c>
      <c r="AG40" s="169">
        <v>0.84017842334052817</v>
      </c>
      <c r="AH40" s="169">
        <v>0.84</v>
      </c>
      <c r="AI40" s="169">
        <v>0.84399999999999997</v>
      </c>
      <c r="AJ40" s="169">
        <v>0.84199999999999997</v>
      </c>
      <c r="AK40" s="412">
        <v>0.84199999999999997</v>
      </c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ht="17.25" customHeight="1">
      <c r="A41" s="152"/>
      <c r="B41" s="153" t="s">
        <v>4</v>
      </c>
      <c r="C41" s="153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>
        <v>0.70499999999999996</v>
      </c>
      <c r="T41" s="154">
        <v>0.67300000000000004</v>
      </c>
      <c r="U41" s="154">
        <v>0.67879999999999996</v>
      </c>
      <c r="V41" s="154">
        <v>0.70399999999999996</v>
      </c>
      <c r="W41" s="154">
        <v>0.69099999999999995</v>
      </c>
      <c r="X41" s="154">
        <v>0.68300000000000005</v>
      </c>
      <c r="Y41" s="170">
        <v>0.68300000000000005</v>
      </c>
      <c r="Z41" s="170">
        <v>0.67400000000000004</v>
      </c>
      <c r="AA41" s="170">
        <v>0.66500000000000004</v>
      </c>
      <c r="AB41" s="170">
        <v>0.66200000000000003</v>
      </c>
      <c r="AC41" s="170">
        <v>0.64800000000000002</v>
      </c>
      <c r="AD41" s="170">
        <v>0.65</v>
      </c>
      <c r="AE41" s="170">
        <v>0.64600000000000002</v>
      </c>
      <c r="AF41" s="170">
        <v>0.64200000000000002</v>
      </c>
      <c r="AG41" s="170">
        <v>0.64194019404386449</v>
      </c>
      <c r="AH41" s="170">
        <v>0.64300000000000002</v>
      </c>
      <c r="AI41" s="170">
        <v>0.64500000000000002</v>
      </c>
      <c r="AJ41" s="170">
        <v>0.65400000000000003</v>
      </c>
      <c r="AK41" s="413">
        <v>0.66</v>
      </c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ht="13.5" customHeight="1">
      <c r="A42" s="192" t="s">
        <v>472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:49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49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49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49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49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49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23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23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</sheetData>
  <mergeCells count="42">
    <mergeCell ref="AB4:AJ4"/>
    <mergeCell ref="AT22:AU22"/>
    <mergeCell ref="AR22:AS22"/>
    <mergeCell ref="X22:Y22"/>
    <mergeCell ref="Z22:AA22"/>
    <mergeCell ref="AF22:AG22"/>
    <mergeCell ref="AJ22:AK22"/>
    <mergeCell ref="AH22:AI22"/>
    <mergeCell ref="AB22:AC22"/>
    <mergeCell ref="AD22:AE22"/>
    <mergeCell ref="AL22:AM22"/>
    <mergeCell ref="AN22:AO22"/>
    <mergeCell ref="AP22:AQ22"/>
    <mergeCell ref="A4:C5"/>
    <mergeCell ref="B14:C14"/>
    <mergeCell ref="R22:S22"/>
    <mergeCell ref="A16:A17"/>
    <mergeCell ref="B15:C15"/>
    <mergeCell ref="A6:A15"/>
    <mergeCell ref="B13:C13"/>
    <mergeCell ref="B6:C6"/>
    <mergeCell ref="P22:Q22"/>
    <mergeCell ref="B16:C16"/>
    <mergeCell ref="H22:I22"/>
    <mergeCell ref="B17:C17"/>
    <mergeCell ref="N22:O22"/>
    <mergeCell ref="A37:W37"/>
    <mergeCell ref="D22:E22"/>
    <mergeCell ref="F22:G22"/>
    <mergeCell ref="J22:K22"/>
    <mergeCell ref="A24:A33"/>
    <mergeCell ref="A22:C23"/>
    <mergeCell ref="A34:A35"/>
    <mergeCell ref="B35:C35"/>
    <mergeCell ref="B32:C32"/>
    <mergeCell ref="B31:C31"/>
    <mergeCell ref="L22:M22"/>
    <mergeCell ref="B34:C34"/>
    <mergeCell ref="B33:C33"/>
    <mergeCell ref="V22:W22"/>
    <mergeCell ref="B24:C24"/>
    <mergeCell ref="T22:U22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41" firstPageNumber="6" orientation="portrait" r:id="rId1"/>
  <rowBreaks count="2" manualBreakCount="2">
    <brk id="34" max="16383" man="1"/>
    <brk id="35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>
    <tabColor theme="5" tint="0.79998168889431442"/>
    <pageSetUpPr fitToPage="1"/>
  </sheetPr>
  <dimension ref="A2:AI23"/>
  <sheetViews>
    <sheetView showGridLines="0" view="pageBreakPreview" zoomScaleNormal="55" zoomScaleSheetLayoutView="100" workbookViewId="0">
      <selection activeCell="AK37" sqref="AK37"/>
    </sheetView>
  </sheetViews>
  <sheetFormatPr defaultColWidth="8.88671875" defaultRowHeight="18" customHeight="1"/>
  <cols>
    <col min="1" max="1" width="19.109375" style="3" customWidth="1"/>
    <col min="2" max="17" width="12" style="3" hidden="1" customWidth="1"/>
    <col min="18" max="25" width="10.21875" style="3" hidden="1" customWidth="1"/>
    <col min="26" max="35" width="10.21875" style="3" customWidth="1"/>
    <col min="36" max="16384" width="8.88671875" style="3"/>
  </cols>
  <sheetData>
    <row r="2" spans="1:35" ht="35.25" customHeight="1">
      <c r="A2" s="373" t="s">
        <v>60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293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</row>
    <row r="3" spans="1:35" ht="26.25" customHeight="1" thickBot="1">
      <c r="Q3" s="4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4" spans="1:35" s="679" customFormat="1" ht="21" customHeight="1" thickTop="1">
      <c r="A4" s="664" t="s">
        <v>315</v>
      </c>
      <c r="B4" s="406" t="s">
        <v>408</v>
      </c>
      <c r="C4" s="406" t="s">
        <v>473</v>
      </c>
      <c r="D4" s="406" t="s">
        <v>410</v>
      </c>
      <c r="E4" s="406" t="s">
        <v>470</v>
      </c>
      <c r="F4" s="406" t="s">
        <v>412</v>
      </c>
      <c r="G4" s="406" t="s">
        <v>473</v>
      </c>
      <c r="H4" s="406" t="s">
        <v>414</v>
      </c>
      <c r="I4" s="406" t="s">
        <v>415</v>
      </c>
      <c r="J4" s="406" t="s">
        <v>416</v>
      </c>
      <c r="K4" s="406" t="s">
        <v>474</v>
      </c>
      <c r="L4" s="406" t="s">
        <v>418</v>
      </c>
      <c r="M4" s="406" t="s">
        <v>419</v>
      </c>
      <c r="N4" s="406" t="s">
        <v>420</v>
      </c>
      <c r="O4" s="406" t="s">
        <v>475</v>
      </c>
      <c r="P4" s="406" t="s">
        <v>422</v>
      </c>
      <c r="Q4" s="406" t="s">
        <v>423</v>
      </c>
      <c r="R4" s="406" t="s">
        <v>390</v>
      </c>
      <c r="S4" s="406" t="s">
        <v>476</v>
      </c>
      <c r="T4" s="406" t="s">
        <v>425</v>
      </c>
      <c r="U4" s="406" t="s">
        <v>426</v>
      </c>
      <c r="V4" s="406" t="s">
        <v>388</v>
      </c>
      <c r="W4" s="406" t="s">
        <v>477</v>
      </c>
      <c r="X4" s="406" t="s">
        <v>468</v>
      </c>
      <c r="Y4" s="406" t="s">
        <v>567</v>
      </c>
      <c r="Z4" s="406" t="s">
        <v>566</v>
      </c>
      <c r="AA4" s="406" t="s">
        <v>628</v>
      </c>
      <c r="AB4" s="406" t="s">
        <v>646</v>
      </c>
      <c r="AC4" s="406" t="s">
        <v>662</v>
      </c>
      <c r="AD4" s="406" t="s">
        <v>650</v>
      </c>
      <c r="AE4" s="406" t="s">
        <v>672</v>
      </c>
      <c r="AF4" s="406" t="s">
        <v>682</v>
      </c>
      <c r="AG4" s="406" t="s">
        <v>685</v>
      </c>
      <c r="AH4" s="406" t="s">
        <v>689</v>
      </c>
      <c r="AI4" s="763" t="s">
        <v>720</v>
      </c>
    </row>
    <row r="5" spans="1:35" ht="21" customHeight="1">
      <c r="A5" s="200" t="s">
        <v>5</v>
      </c>
      <c r="B5" s="201">
        <v>69139.679332200016</v>
      </c>
      <c r="C5" s="201">
        <v>72770.687816840014</v>
      </c>
      <c r="D5" s="201">
        <v>76514.384032360002</v>
      </c>
      <c r="E5" s="201">
        <v>80327.329254819997</v>
      </c>
      <c r="F5" s="201">
        <v>84227.721897230003</v>
      </c>
      <c r="G5" s="201">
        <v>88419.133751389993</v>
      </c>
      <c r="H5" s="201">
        <v>92767.148919140003</v>
      </c>
      <c r="I5" s="201">
        <v>97276.161901130006</v>
      </c>
      <c r="J5" s="201">
        <v>101755.08091578001</v>
      </c>
      <c r="K5" s="201">
        <v>106399.33235453001</v>
      </c>
      <c r="L5" s="201">
        <v>111136.38501857998</v>
      </c>
      <c r="M5" s="201">
        <v>115898.65934103999</v>
      </c>
      <c r="N5" s="201">
        <v>120539.14443385998</v>
      </c>
      <c r="O5" s="201">
        <v>125177.08223976</v>
      </c>
      <c r="P5" s="201">
        <v>130347.33188371999</v>
      </c>
      <c r="Q5" s="201">
        <v>135557.00083622997</v>
      </c>
      <c r="R5" s="201">
        <v>140698.15343201996</v>
      </c>
      <c r="S5" s="201">
        <v>145924.76760837002</v>
      </c>
      <c r="T5" s="201">
        <v>151006.95620954997</v>
      </c>
      <c r="U5" s="201">
        <v>156037.76551264001</v>
      </c>
      <c r="V5" s="201">
        <v>161182.74074598</v>
      </c>
      <c r="W5" s="201">
        <v>165791.02601256996</v>
      </c>
      <c r="X5" s="201">
        <v>170551.52121155002</v>
      </c>
      <c r="Y5" s="201">
        <v>174742.07225007995</v>
      </c>
      <c r="Z5" s="201">
        <v>178733.96898676004</v>
      </c>
      <c r="AA5" s="201">
        <v>183146.46439031005</v>
      </c>
      <c r="AB5" s="201">
        <v>187361.71284224998</v>
      </c>
      <c r="AC5" s="201">
        <v>191369.80481163997</v>
      </c>
      <c r="AD5" s="201">
        <v>195374.88596515002</v>
      </c>
      <c r="AE5" s="201">
        <v>199758.97374743002</v>
      </c>
      <c r="AF5" s="201">
        <v>204180.51874214996</v>
      </c>
      <c r="AG5" s="201">
        <v>208642.49110687993</v>
      </c>
      <c r="AH5" s="201">
        <v>213222.61450747997</v>
      </c>
      <c r="AI5" s="751">
        <v>218186.80355081003</v>
      </c>
    </row>
    <row r="6" spans="1:35" ht="21" customHeight="1">
      <c r="A6" s="200" t="s">
        <v>6</v>
      </c>
      <c r="B6" s="202">
        <v>0.49530659709358921</v>
      </c>
      <c r="C6" s="202">
        <v>0.50711378930589213</v>
      </c>
      <c r="D6" s="202">
        <v>0.5199179065532098</v>
      </c>
      <c r="E6" s="202">
        <v>0.53193589302563216</v>
      </c>
      <c r="F6" s="202">
        <v>0.54387351750293589</v>
      </c>
      <c r="G6" s="202">
        <v>0.55564518227587278</v>
      </c>
      <c r="H6" s="202">
        <v>0.56735545500844853</v>
      </c>
      <c r="I6" s="202">
        <v>0.57875316326857673</v>
      </c>
      <c r="J6" s="202">
        <v>0.59158388272226792</v>
      </c>
      <c r="K6" s="202">
        <v>0.60403444987463339</v>
      </c>
      <c r="L6" s="202">
        <v>0.6159249406765267</v>
      </c>
      <c r="M6" s="202">
        <v>0.62689869272607179</v>
      </c>
      <c r="N6" s="202">
        <v>0.63780915683921835</v>
      </c>
      <c r="O6" s="202">
        <v>0.6480366121804636</v>
      </c>
      <c r="P6" s="202">
        <v>0.65838439959751249</v>
      </c>
      <c r="Q6" s="202">
        <v>0.66820629913479801</v>
      </c>
      <c r="R6" s="202">
        <v>0.67956379591938421</v>
      </c>
      <c r="S6" s="202">
        <v>0.68925194214352048</v>
      </c>
      <c r="T6" s="80">
        <v>0.69822103980581662</v>
      </c>
      <c r="U6" s="202">
        <v>0.70697995305037509</v>
      </c>
      <c r="V6" s="202">
        <v>0.71496418016326146</v>
      </c>
      <c r="W6" s="202">
        <v>0.72156561851876933</v>
      </c>
      <c r="X6" s="202">
        <v>0.72848349165452353</v>
      </c>
      <c r="Y6" s="202">
        <v>0.73439342622158155</v>
      </c>
      <c r="Z6" s="202">
        <v>0.74025198654226532</v>
      </c>
      <c r="AA6" s="202">
        <v>0.74628486754299783</v>
      </c>
      <c r="AB6" s="202">
        <v>0.75180078527997229</v>
      </c>
      <c r="AC6" s="202">
        <v>0.75703804033241706</v>
      </c>
      <c r="AD6" s="202">
        <v>0.7628683804348213</v>
      </c>
      <c r="AE6" s="202">
        <v>0.76835552448047706</v>
      </c>
      <c r="AF6" s="202">
        <v>0.77348931785035913</v>
      </c>
      <c r="AG6" s="202">
        <v>0.77904234112368032</v>
      </c>
      <c r="AH6" s="202">
        <v>0.78458180404502398</v>
      </c>
      <c r="AI6" s="752">
        <v>0.79005822251129021</v>
      </c>
    </row>
    <row r="7" spans="1:35" ht="21" customHeight="1">
      <c r="A7" s="203" t="s">
        <v>7</v>
      </c>
      <c r="B7" s="204">
        <v>3.6503173998060752E-2</v>
      </c>
      <c r="C7" s="204">
        <v>3.6385980296314235E-2</v>
      </c>
      <c r="D7" s="204">
        <v>3.6265258581701071E-2</v>
      </c>
      <c r="E7" s="204">
        <v>3.6140360155277232E-2</v>
      </c>
      <c r="F7" s="204">
        <v>3.5552358706255199E-2</v>
      </c>
      <c r="G7" s="204">
        <v>3.5422103738680911E-2</v>
      </c>
      <c r="H7" s="204">
        <v>3.5288155610787506E-2</v>
      </c>
      <c r="I7" s="204">
        <v>3.5149399851910922E-2</v>
      </c>
      <c r="J7" s="204">
        <v>3.4506866001526561E-2</v>
      </c>
      <c r="K7" s="204">
        <v>3.4380454894938101E-2</v>
      </c>
      <c r="L7" s="204">
        <v>3.4257517398470959E-2</v>
      </c>
      <c r="M7" s="204">
        <v>3.413769112949136E-2</v>
      </c>
      <c r="N7" s="204">
        <v>3.359626527304483E-2</v>
      </c>
      <c r="O7" s="204">
        <v>3.3490521781695266E-2</v>
      </c>
      <c r="P7" s="204">
        <v>3.3389568982137949E-2</v>
      </c>
      <c r="Q7" s="204">
        <v>3.3293725415118582E-2</v>
      </c>
      <c r="R7" s="204">
        <v>3.2818900377065516E-2</v>
      </c>
      <c r="S7" s="204">
        <v>3.2669544337037705E-2</v>
      </c>
      <c r="T7" s="204">
        <v>3.2530369679646835E-2</v>
      </c>
      <c r="U7" s="204">
        <v>3.2656099293326961E-2</v>
      </c>
      <c r="V7" s="204">
        <v>3.2409650917690817E-2</v>
      </c>
      <c r="W7" s="204">
        <v>3.2363127682204278E-2</v>
      </c>
      <c r="X7" s="204">
        <v>3.2317533423696872E-2</v>
      </c>
      <c r="Y7" s="204">
        <v>3.2271938015634223E-2</v>
      </c>
      <c r="Z7" s="204">
        <v>3.2059899689456002E-2</v>
      </c>
      <c r="AA7" s="204">
        <v>3.2020291893108253E-2</v>
      </c>
      <c r="AB7" s="204">
        <v>3.1982934846106731E-2</v>
      </c>
      <c r="AC7" s="204">
        <v>3.194728714881994E-2</v>
      </c>
      <c r="AD7" s="204">
        <v>3.1782962858468197E-2</v>
      </c>
      <c r="AE7" s="204">
        <v>3.1752726213423552E-2</v>
      </c>
      <c r="AF7" s="204">
        <v>3.1721362327440362E-2</v>
      </c>
      <c r="AG7" s="204">
        <v>3.1688828976278449E-2</v>
      </c>
      <c r="AH7" s="204">
        <v>3.1527575745049961E-2</v>
      </c>
      <c r="AI7" s="753">
        <v>3.1492239623559376E-2</v>
      </c>
    </row>
    <row r="8" spans="1:35" ht="21" customHeight="1">
      <c r="A8" s="200" t="s">
        <v>8</v>
      </c>
      <c r="B8" s="205">
        <v>70449.980361220005</v>
      </c>
      <c r="C8" s="205">
        <v>70729.034240500012</v>
      </c>
      <c r="D8" s="205">
        <v>70651.895620540003</v>
      </c>
      <c r="E8" s="205">
        <v>70682.088060340015</v>
      </c>
      <c r="F8" s="205">
        <v>70638.656381200009</v>
      </c>
      <c r="G8" s="205">
        <v>70709.635059730004</v>
      </c>
      <c r="H8" s="205">
        <v>70740.839063030013</v>
      </c>
      <c r="I8" s="205">
        <v>70802.680816120002</v>
      </c>
      <c r="J8" s="205">
        <v>70249.403803339985</v>
      </c>
      <c r="K8" s="205">
        <v>69748.455866179997</v>
      </c>
      <c r="L8" s="205">
        <v>69301.810740319997</v>
      </c>
      <c r="M8" s="205">
        <v>68977.558596269999</v>
      </c>
      <c r="N8" s="205">
        <v>68450.215692629994</v>
      </c>
      <c r="O8" s="205">
        <v>67986.513592539995</v>
      </c>
      <c r="P8" s="205">
        <v>67633.25812328</v>
      </c>
      <c r="Q8" s="205">
        <v>67309.989510539992</v>
      </c>
      <c r="R8" s="205">
        <v>66343.708239949992</v>
      </c>
      <c r="S8" s="205">
        <v>65789.93159806999</v>
      </c>
      <c r="T8" s="205">
        <v>65266.899203839988</v>
      </c>
      <c r="U8" s="205">
        <v>64672.545776089995</v>
      </c>
      <c r="V8" s="205">
        <v>64258.95999653</v>
      </c>
      <c r="W8" s="205">
        <v>63974.669244509998</v>
      </c>
      <c r="X8" s="205">
        <v>63567.059601029992</v>
      </c>
      <c r="Y8" s="205">
        <v>63198.609148880001</v>
      </c>
      <c r="Z8" s="205">
        <v>62716.202355069996</v>
      </c>
      <c r="AA8" s="205">
        <v>62264.466951880007</v>
      </c>
      <c r="AB8" s="205">
        <v>61855.521976780008</v>
      </c>
      <c r="AC8" s="205">
        <v>61417.762808620006</v>
      </c>
      <c r="AD8" s="205">
        <v>60730.742444550015</v>
      </c>
      <c r="AE8" s="205">
        <v>60223.504913729994</v>
      </c>
      <c r="AF8" s="205">
        <v>59792.769615080004</v>
      </c>
      <c r="AG8" s="205">
        <v>59176.701885809998</v>
      </c>
      <c r="AH8" s="205">
        <v>58543.329347170002</v>
      </c>
      <c r="AI8" s="754">
        <v>57978.67050410001</v>
      </c>
    </row>
    <row r="9" spans="1:35" ht="21" customHeight="1">
      <c r="A9" s="200" t="s">
        <v>6</v>
      </c>
      <c r="B9" s="202">
        <v>0.50469340290641085</v>
      </c>
      <c r="C9" s="202">
        <v>0.49288621069410782</v>
      </c>
      <c r="D9" s="202">
        <v>0.4800820934467902</v>
      </c>
      <c r="E9" s="202">
        <v>0.4680641069743679</v>
      </c>
      <c r="F9" s="202">
        <v>0.45612648249706406</v>
      </c>
      <c r="G9" s="202">
        <v>0.44435481772412716</v>
      </c>
      <c r="H9" s="202">
        <v>0.43264454499155142</v>
      </c>
      <c r="I9" s="202">
        <v>0.42124683673142344</v>
      </c>
      <c r="J9" s="202">
        <v>0.40841611727773208</v>
      </c>
      <c r="K9" s="202">
        <v>0.39596555012536655</v>
      </c>
      <c r="L9" s="202">
        <v>0.38407505932347336</v>
      </c>
      <c r="M9" s="202">
        <v>0.3731013072739281</v>
      </c>
      <c r="N9" s="202">
        <v>0.36219084316078154</v>
      </c>
      <c r="O9" s="202">
        <v>0.35196338781953646</v>
      </c>
      <c r="P9" s="202">
        <v>0.3416156004024874</v>
      </c>
      <c r="Q9" s="202">
        <v>0.33179370086520188</v>
      </c>
      <c r="R9" s="202">
        <v>0.32043620408061579</v>
      </c>
      <c r="S9" s="202">
        <v>0.31074805785647958</v>
      </c>
      <c r="T9" s="80">
        <v>0.30177896019418343</v>
      </c>
      <c r="U9" s="202">
        <v>0.29302004694962497</v>
      </c>
      <c r="V9" s="202">
        <v>0.28503581983673848</v>
      </c>
      <c r="W9" s="202">
        <v>0.27843438148123067</v>
      </c>
      <c r="X9" s="202">
        <v>0.27151650834547653</v>
      </c>
      <c r="Y9" s="202">
        <v>0.26560657377841834</v>
      </c>
      <c r="Z9" s="202">
        <v>0.25974801345773457</v>
      </c>
      <c r="AA9" s="202">
        <v>0.25371513245700211</v>
      </c>
      <c r="AB9" s="202">
        <v>0.24819921472002779</v>
      </c>
      <c r="AC9" s="202">
        <v>0.24296195966758297</v>
      </c>
      <c r="AD9" s="202">
        <v>0.2371316195651787</v>
      </c>
      <c r="AE9" s="202">
        <v>0.23164447551952302</v>
      </c>
      <c r="AF9" s="202">
        <v>0.22651068214964082</v>
      </c>
      <c r="AG9" s="202">
        <v>0.22095765887631963</v>
      </c>
      <c r="AH9" s="202">
        <v>0.21541819595497605</v>
      </c>
      <c r="AI9" s="752">
        <v>0.2099417774887099</v>
      </c>
    </row>
    <row r="10" spans="1:35" ht="21" customHeight="1">
      <c r="A10" s="200" t="s">
        <v>7</v>
      </c>
      <c r="B10" s="204">
        <v>2.4999999999999991E-2</v>
      </c>
      <c r="C10" s="204">
        <v>2.5000000000000001E-2</v>
      </c>
      <c r="D10" s="204">
        <v>2.4999999999999994E-2</v>
      </c>
      <c r="E10" s="204">
        <v>2.4999999999999988E-2</v>
      </c>
      <c r="F10" s="204">
        <v>2.4999999999999991E-2</v>
      </c>
      <c r="G10" s="204">
        <v>2.5000000000000005E-2</v>
      </c>
      <c r="H10" s="204">
        <v>2.4999999999999998E-2</v>
      </c>
      <c r="I10" s="204">
        <v>2.4999999999999994E-2</v>
      </c>
      <c r="J10" s="204">
        <v>2.4999999999999977E-2</v>
      </c>
      <c r="K10" s="204">
        <v>2.4999999999999998E-2</v>
      </c>
      <c r="L10" s="204">
        <v>2.4999999999999994E-2</v>
      </c>
      <c r="M10" s="204">
        <v>2.4999999999999991E-2</v>
      </c>
      <c r="N10" s="204">
        <v>2.4999999999999981E-2</v>
      </c>
      <c r="O10" s="204">
        <v>2.2427822889010011E-2</v>
      </c>
      <c r="P10" s="204">
        <v>2.2126726284031131E-2</v>
      </c>
      <c r="Q10" s="204">
        <v>2.2042351199707325E-2</v>
      </c>
      <c r="R10" s="204">
        <v>2.2724815536829791E-2</v>
      </c>
      <c r="S10" s="204">
        <v>2.4230083262941276E-2</v>
      </c>
      <c r="T10" s="204">
        <v>2.6650594768074871E-2</v>
      </c>
      <c r="U10" s="204">
        <v>2.520709708278723E-2</v>
      </c>
      <c r="V10" s="204">
        <v>3.1485052772200317E-2</v>
      </c>
      <c r="W10" s="204">
        <v>3.1442195114538482E-2</v>
      </c>
      <c r="X10" s="204">
        <v>3.1417599457156088E-2</v>
      </c>
      <c r="Y10" s="204">
        <v>3.1549328926662644E-2</v>
      </c>
      <c r="Z10" s="204">
        <v>3.1358108914098619E-2</v>
      </c>
      <c r="AA10" s="204">
        <v>3.0997153118572266E-2</v>
      </c>
      <c r="AB10" s="204">
        <v>3.0757646364451052E-2</v>
      </c>
      <c r="AC10" s="204">
        <v>3.0437887361583291E-2</v>
      </c>
      <c r="AD10" s="204">
        <v>2.8281308580600194E-2</v>
      </c>
      <c r="AE10" s="204">
        <v>2.7761931217465882E-2</v>
      </c>
      <c r="AF10" s="204">
        <v>2.7578545957835807E-2</v>
      </c>
      <c r="AG10" s="204">
        <v>2.75241268977914E-2</v>
      </c>
      <c r="AH10" s="204">
        <v>2.6375413082595837E-2</v>
      </c>
      <c r="AI10" s="753">
        <v>2.722962923925859E-2</v>
      </c>
    </row>
    <row r="11" spans="1:35" ht="21" customHeight="1">
      <c r="A11" s="206" t="s">
        <v>9</v>
      </c>
      <c r="B11" s="207">
        <v>139589.65969342002</v>
      </c>
      <c r="C11" s="207">
        <v>143499.72205734003</v>
      </c>
      <c r="D11" s="207">
        <v>147166.27965290003</v>
      </c>
      <c r="E11" s="207">
        <v>151009.41731516001</v>
      </c>
      <c r="F11" s="207">
        <v>154866.37827843</v>
      </c>
      <c r="G11" s="207">
        <v>159128.76881112001</v>
      </c>
      <c r="H11" s="207">
        <v>163507.98798217002</v>
      </c>
      <c r="I11" s="207">
        <v>168078.84271724999</v>
      </c>
      <c r="J11" s="207">
        <v>172004.48471912</v>
      </c>
      <c r="K11" s="207">
        <v>176147.78822071</v>
      </c>
      <c r="L11" s="207">
        <v>180438.19575889996</v>
      </c>
      <c r="M11" s="207">
        <v>184876.21793730999</v>
      </c>
      <c r="N11" s="207">
        <v>188989.36012649001</v>
      </c>
      <c r="O11" s="207">
        <v>193163.59583229996</v>
      </c>
      <c r="P11" s="207">
        <v>197980.59000700002</v>
      </c>
      <c r="Q11" s="207">
        <v>202866.99034676998</v>
      </c>
      <c r="R11" s="207">
        <v>207041.86167196996</v>
      </c>
      <c r="S11" s="207">
        <v>211714.69920644001</v>
      </c>
      <c r="T11" s="207">
        <v>216273.85541338995</v>
      </c>
      <c r="U11" s="207">
        <v>220710.31128872998</v>
      </c>
      <c r="V11" s="207">
        <v>225441.70074251003</v>
      </c>
      <c r="W11" s="207">
        <v>229765.69525707996</v>
      </c>
      <c r="X11" s="207">
        <v>234118.58081257998</v>
      </c>
      <c r="Y11" s="207">
        <v>237940.68139895998</v>
      </c>
      <c r="Z11" s="207">
        <v>241450.17134183005</v>
      </c>
      <c r="AA11" s="207">
        <v>245410.93134219004</v>
      </c>
      <c r="AB11" s="207">
        <v>249217.23481902998</v>
      </c>
      <c r="AC11" s="207">
        <v>252787.56762025997</v>
      </c>
      <c r="AD11" s="207">
        <v>256105.62840970003</v>
      </c>
      <c r="AE11" s="207">
        <v>259982.47866116001</v>
      </c>
      <c r="AF11" s="207">
        <v>263973.28835722996</v>
      </c>
      <c r="AG11" s="207">
        <v>267819.1929926899</v>
      </c>
      <c r="AH11" s="207">
        <v>271765.94385464996</v>
      </c>
      <c r="AI11" s="755">
        <v>276165.47405491001</v>
      </c>
    </row>
    <row r="12" spans="1:35" ht="21" customHeight="1">
      <c r="A12" s="208" t="s">
        <v>10</v>
      </c>
      <c r="B12" s="209">
        <v>3.145657258783232E-2</v>
      </c>
      <c r="C12" s="209">
        <v>3.146653661121232E-2</v>
      </c>
      <c r="D12" s="209">
        <v>3.140765656339637E-2</v>
      </c>
      <c r="E12" s="209">
        <v>3.1309781720939629E-2</v>
      </c>
      <c r="F12" s="209">
        <v>3.0943550072926599E-2</v>
      </c>
      <c r="G12" s="209">
        <v>3.1004750952799618E-2</v>
      </c>
      <c r="H12" s="209">
        <v>3.1056388643934625E-2</v>
      </c>
      <c r="I12" s="209">
        <v>3.1236383226536834E-2</v>
      </c>
      <c r="J12" s="209">
        <v>3.2482608290051215E-2</v>
      </c>
      <c r="K12" s="209">
        <v>3.2365583599378522E-2</v>
      </c>
      <c r="L12" s="209">
        <v>3.2039589389899897E-2</v>
      </c>
      <c r="M12" s="209">
        <v>3.1645138023427305E-2</v>
      </c>
      <c r="N12" s="209">
        <v>2.9710249168913818E-2</v>
      </c>
      <c r="O12" s="209">
        <v>2.9501579898222163E-2</v>
      </c>
      <c r="P12" s="209">
        <v>2.9387808508458974E-2</v>
      </c>
      <c r="Q12" s="209">
        <v>2.9355054219721771E-2</v>
      </c>
      <c r="R12" s="209">
        <v>2.9584390147192694E-2</v>
      </c>
      <c r="S12" s="209">
        <v>3.0046998198906882E-2</v>
      </c>
      <c r="T12" s="209">
        <v>3.0755977320656804E-2</v>
      </c>
      <c r="U12" s="209">
        <v>3.035056813599701E-2</v>
      </c>
      <c r="V12" s="209">
        <v>3.214360834115236E-2</v>
      </c>
      <c r="W12" s="209">
        <v>3.2101398538880971E-2</v>
      </c>
      <c r="X12" s="209">
        <v>3.2064959467431139E-2</v>
      </c>
      <c r="Y12" s="209">
        <v>3.2071577986686854E-2</v>
      </c>
      <c r="Z12" s="209">
        <v>3.1876245967680766E-2</v>
      </c>
      <c r="AA12" s="209">
        <v>3.1755565119429403E-2</v>
      </c>
      <c r="AB12" s="209">
        <v>3.1669530469735023E-2</v>
      </c>
      <c r="AC12" s="209">
        <v>3.1565499134395242E-2</v>
      </c>
      <c r="AD12" s="209">
        <v>3.094587512421184E-2</v>
      </c>
      <c r="AE12" s="209">
        <v>3.0809803530584098E-2</v>
      </c>
      <c r="AF12" s="209">
        <v>3.0753839556849606E-2</v>
      </c>
      <c r="AG12" s="209">
        <v>3.0727544547645154E-2</v>
      </c>
      <c r="AH12" s="209">
        <v>3.0407930115076719E-2</v>
      </c>
      <c r="AI12" s="756">
        <v>3.0577580038098604E-2</v>
      </c>
    </row>
    <row r="13" spans="1:35" ht="21" customHeight="1">
      <c r="A13" s="210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2"/>
      <c r="AC13" s="212"/>
      <c r="AD13" s="212"/>
      <c r="AE13" s="212"/>
      <c r="AF13" s="212"/>
      <c r="AG13" s="211"/>
      <c r="AH13" s="211"/>
      <c r="AI13" s="212"/>
    </row>
    <row r="14" spans="1:35" ht="21" hidden="1" customHeight="1">
      <c r="A14" s="213" t="s">
        <v>277</v>
      </c>
      <c r="B14" s="214">
        <v>9.1</v>
      </c>
      <c r="C14" s="214">
        <v>9.59</v>
      </c>
      <c r="D14" s="214">
        <v>10.17</v>
      </c>
      <c r="E14" s="214">
        <v>10.41</v>
      </c>
      <c r="F14" s="214">
        <v>10.44</v>
      </c>
      <c r="G14" s="214">
        <v>10.66</v>
      </c>
      <c r="H14" s="214">
        <v>11.18</v>
      </c>
      <c r="I14" s="214">
        <v>11.22</v>
      </c>
      <c r="J14" s="214">
        <v>10.48</v>
      </c>
      <c r="K14" s="214">
        <v>11.13</v>
      </c>
      <c r="L14" s="214">
        <v>11.43</v>
      </c>
      <c r="M14" s="214">
        <v>11.05</v>
      </c>
      <c r="N14" s="214">
        <v>11.43</v>
      </c>
      <c r="O14" s="214">
        <v>11.34</v>
      </c>
      <c r="P14" s="214">
        <v>11.43</v>
      </c>
      <c r="Q14" s="214">
        <v>11.42</v>
      </c>
      <c r="R14" s="214">
        <v>10.96</v>
      </c>
      <c r="S14" s="214">
        <v>11</v>
      </c>
      <c r="T14" s="214">
        <v>10.39</v>
      </c>
      <c r="U14" s="214">
        <v>10.199999999999999</v>
      </c>
      <c r="V14" s="214"/>
      <c r="W14" s="214"/>
      <c r="X14" s="214"/>
      <c r="Y14" s="302"/>
      <c r="Z14" s="302"/>
      <c r="AA14" s="214"/>
      <c r="AB14" s="214"/>
      <c r="AC14" s="214"/>
      <c r="AD14" s="214"/>
      <c r="AE14" s="214"/>
      <c r="AF14" s="572"/>
      <c r="AG14" s="642"/>
      <c r="AH14" s="757"/>
      <c r="AI14" s="758"/>
    </row>
    <row r="15" spans="1:35" ht="21" hidden="1" customHeight="1">
      <c r="A15" s="200" t="s">
        <v>278</v>
      </c>
      <c r="B15" s="215">
        <v>8.9600000000000009</v>
      </c>
      <c r="C15" s="215">
        <v>9.14</v>
      </c>
      <c r="D15" s="215">
        <v>9.36</v>
      </c>
      <c r="E15" s="215">
        <v>9.86</v>
      </c>
      <c r="F15" s="215">
        <v>10.02</v>
      </c>
      <c r="G15" s="215">
        <v>9.9499999999999993</v>
      </c>
      <c r="H15" s="215">
        <v>10.16</v>
      </c>
      <c r="I15" s="215">
        <v>10.16</v>
      </c>
      <c r="J15" s="215">
        <v>10.34</v>
      </c>
      <c r="K15" s="215">
        <v>10.52</v>
      </c>
      <c r="L15" s="215">
        <v>10.78</v>
      </c>
      <c r="M15" s="215">
        <v>11.13</v>
      </c>
      <c r="N15" s="215">
        <v>11.71</v>
      </c>
      <c r="O15" s="215">
        <v>11.26</v>
      </c>
      <c r="P15" s="215">
        <v>12.8</v>
      </c>
      <c r="Q15" s="215">
        <v>12.84</v>
      </c>
      <c r="R15" s="215">
        <v>14.25</v>
      </c>
      <c r="S15" s="215">
        <v>15.32</v>
      </c>
      <c r="T15" s="215">
        <v>16.399999999999999</v>
      </c>
      <c r="U15" s="215">
        <v>16.579999999999998</v>
      </c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573"/>
      <c r="AG15" s="643"/>
      <c r="AH15" s="643"/>
      <c r="AI15" s="416"/>
    </row>
    <row r="16" spans="1:35" ht="21" customHeight="1">
      <c r="A16" s="610" t="s">
        <v>11</v>
      </c>
      <c r="B16" s="611">
        <v>1.0156249999999998</v>
      </c>
      <c r="C16" s="611">
        <v>1.049234135667396</v>
      </c>
      <c r="D16" s="611">
        <v>1.0865384615384617</v>
      </c>
      <c r="E16" s="611">
        <v>1.0557809330628805</v>
      </c>
      <c r="F16" s="611">
        <v>1.0419161676646707</v>
      </c>
      <c r="G16" s="611">
        <v>1.0713567839195981</v>
      </c>
      <c r="H16" s="611">
        <v>1.1003937007874016</v>
      </c>
      <c r="I16" s="611">
        <v>1.1043307086614174</v>
      </c>
      <c r="J16" s="611">
        <v>1.0135396518375241</v>
      </c>
      <c r="K16" s="611">
        <v>1.0579847908745248</v>
      </c>
      <c r="L16" s="611">
        <v>1.0602968460111317</v>
      </c>
      <c r="M16" s="611">
        <v>0.99281221922731355</v>
      </c>
      <c r="N16" s="611">
        <v>0.97608881298035854</v>
      </c>
      <c r="O16" s="611">
        <v>1.0071047957371226</v>
      </c>
      <c r="P16" s="611">
        <v>0.89296874999999998</v>
      </c>
      <c r="Q16" s="611">
        <v>0.88940809968847356</v>
      </c>
      <c r="R16" s="611">
        <v>0.76912280701754387</v>
      </c>
      <c r="S16" s="611">
        <v>0.71801566579634468</v>
      </c>
      <c r="T16" s="612">
        <v>0.63353658536585378</v>
      </c>
      <c r="U16" s="611">
        <v>0.61519903498190598</v>
      </c>
      <c r="V16" s="611">
        <v>0.82</v>
      </c>
      <c r="W16" s="611">
        <v>0.89</v>
      </c>
      <c r="X16" s="611">
        <v>1.008</v>
      </c>
      <c r="Y16" s="611">
        <v>1.0589999999999999</v>
      </c>
      <c r="Z16" s="611">
        <v>1.069</v>
      </c>
      <c r="AA16" s="611">
        <v>1.0680000000000001</v>
      </c>
      <c r="AB16" s="611">
        <v>1.1100000000000001</v>
      </c>
      <c r="AC16" s="611">
        <v>1.111</v>
      </c>
      <c r="AD16" s="611">
        <v>0.99199999999999999</v>
      </c>
      <c r="AE16" s="611">
        <v>0.98399999999999999</v>
      </c>
      <c r="AF16" s="611">
        <v>1.0349999999999999</v>
      </c>
      <c r="AG16" s="611">
        <v>1.0879000000000001</v>
      </c>
      <c r="AH16" s="612">
        <v>1.1660999999999999</v>
      </c>
      <c r="AI16" s="759">
        <v>1.2430000000000001</v>
      </c>
    </row>
    <row r="17" spans="1:35" ht="21" customHeight="1">
      <c r="A17" s="191" t="s">
        <v>465</v>
      </c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8"/>
      <c r="AC17" s="218"/>
      <c r="AD17" s="218"/>
      <c r="AE17" s="218"/>
      <c r="AF17" s="218"/>
      <c r="AG17" s="217"/>
      <c r="AH17" s="217"/>
      <c r="AI17" s="218"/>
    </row>
    <row r="18" spans="1:35" ht="21" customHeight="1">
      <c r="A18" s="216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8"/>
      <c r="AC18" s="218"/>
      <c r="AD18" s="218"/>
      <c r="AE18" s="218"/>
      <c r="AF18" s="218"/>
      <c r="AG18" s="217"/>
      <c r="AH18" s="217"/>
      <c r="AI18" s="218"/>
    </row>
    <row r="19" spans="1:35" ht="21" customHeight="1">
      <c r="A19" s="213" t="s">
        <v>48</v>
      </c>
      <c r="B19" s="219">
        <v>20006</v>
      </c>
      <c r="C19" s="219">
        <v>22050</v>
      </c>
      <c r="D19" s="219">
        <v>24583</v>
      </c>
      <c r="E19" s="219">
        <v>27253</v>
      </c>
      <c r="F19" s="219">
        <v>29231</v>
      </c>
      <c r="G19" s="219">
        <v>34979</v>
      </c>
      <c r="H19" s="219">
        <v>36710</v>
      </c>
      <c r="I19" s="219">
        <v>34338</v>
      </c>
      <c r="J19" s="219">
        <v>36997</v>
      </c>
      <c r="K19" s="219">
        <v>39021</v>
      </c>
      <c r="L19" s="219">
        <v>40054</v>
      </c>
      <c r="M19" s="219">
        <v>35946.199999999997</v>
      </c>
      <c r="N19" s="219">
        <v>36685.21</v>
      </c>
      <c r="O19" s="219">
        <v>40572.9</v>
      </c>
      <c r="P19" s="219">
        <v>40650</v>
      </c>
      <c r="Q19" s="220">
        <v>39973</v>
      </c>
      <c r="R19" s="219">
        <v>36147</v>
      </c>
      <c r="S19" s="219">
        <v>49588.800000000003</v>
      </c>
      <c r="T19" s="220">
        <v>50346</v>
      </c>
      <c r="U19" s="221">
        <v>51130</v>
      </c>
      <c r="V19" s="221">
        <v>115146</v>
      </c>
      <c r="W19" s="222">
        <v>119095</v>
      </c>
      <c r="X19" s="222">
        <v>132224</v>
      </c>
      <c r="Y19" s="303">
        <v>129498</v>
      </c>
      <c r="Z19" s="303">
        <v>131320</v>
      </c>
      <c r="AA19" s="222">
        <v>131911.38</v>
      </c>
      <c r="AB19" s="222">
        <v>142199</v>
      </c>
      <c r="AC19" s="222">
        <v>135165</v>
      </c>
      <c r="AD19" s="222">
        <v>132441</v>
      </c>
      <c r="AE19" s="222">
        <v>133959</v>
      </c>
      <c r="AF19" s="303">
        <v>137901</v>
      </c>
      <c r="AG19" s="222">
        <v>133506.22</v>
      </c>
      <c r="AH19" s="303">
        <v>139047.5</v>
      </c>
      <c r="AI19" s="760">
        <v>145432</v>
      </c>
    </row>
    <row r="20" spans="1:35" s="613" customFormat="1" ht="21" customHeight="1">
      <c r="A20" s="200" t="s">
        <v>279</v>
      </c>
      <c r="B20" s="76">
        <v>11412</v>
      </c>
      <c r="C20" s="76">
        <v>11621</v>
      </c>
      <c r="D20" s="76">
        <v>12252</v>
      </c>
      <c r="E20" s="76">
        <v>12891</v>
      </c>
      <c r="F20" s="76">
        <v>13490</v>
      </c>
      <c r="G20" s="76">
        <v>14839</v>
      </c>
      <c r="H20" s="76">
        <v>16446</v>
      </c>
      <c r="I20" s="76">
        <v>16923</v>
      </c>
      <c r="J20" s="76">
        <v>16114</v>
      </c>
      <c r="K20" s="76">
        <v>17176</v>
      </c>
      <c r="L20" s="76">
        <v>17697</v>
      </c>
      <c r="M20" s="76">
        <v>16998.560000000001</v>
      </c>
      <c r="N20" s="76">
        <v>17259.77</v>
      </c>
      <c r="O20" s="76">
        <v>18261.25</v>
      </c>
      <c r="P20" s="76">
        <v>18682</v>
      </c>
      <c r="Q20" s="223">
        <v>19614</v>
      </c>
      <c r="R20" s="76">
        <v>20200</v>
      </c>
      <c r="S20" s="76">
        <v>23354.15</v>
      </c>
      <c r="T20" s="223">
        <v>27612</v>
      </c>
      <c r="U20" s="223">
        <v>30855</v>
      </c>
      <c r="V20" s="223">
        <v>56947</v>
      </c>
      <c r="W20" s="224">
        <v>57900</v>
      </c>
      <c r="X20" s="224">
        <v>57297</v>
      </c>
      <c r="Y20" s="224">
        <v>53463</v>
      </c>
      <c r="Z20" s="224">
        <v>57878</v>
      </c>
      <c r="AA20" s="224">
        <v>58688.75</v>
      </c>
      <c r="AB20" s="224">
        <v>55329</v>
      </c>
      <c r="AC20" s="224">
        <v>54449</v>
      </c>
      <c r="AD20" s="224">
        <v>55434</v>
      </c>
      <c r="AE20" s="224">
        <v>55852</v>
      </c>
      <c r="AF20" s="224">
        <v>56587</v>
      </c>
      <c r="AG20" s="224">
        <v>55321.86</v>
      </c>
      <c r="AH20" s="224">
        <v>57784.800000000003</v>
      </c>
      <c r="AI20" s="761">
        <v>62955</v>
      </c>
    </row>
    <row r="21" spans="1:35" ht="21" customHeight="1">
      <c r="A21" s="208" t="s">
        <v>280</v>
      </c>
      <c r="B21" s="83">
        <v>1.7529999999999999</v>
      </c>
      <c r="C21" s="83">
        <v>1.897</v>
      </c>
      <c r="D21" s="83">
        <v>2.0059999999999998</v>
      </c>
      <c r="E21" s="83">
        <v>2.1141106198122723</v>
      </c>
      <c r="F21" s="83">
        <v>2.1668643439584878</v>
      </c>
      <c r="G21" s="83">
        <v>2.3572343149807939</v>
      </c>
      <c r="H21" s="83">
        <v>2.2321537151891038</v>
      </c>
      <c r="I21" s="83">
        <v>2.0290728594220884</v>
      </c>
      <c r="J21" s="83">
        <v>2.2959538289685986</v>
      </c>
      <c r="K21" s="83">
        <v>2.2718327899394506</v>
      </c>
      <c r="L21" s="83">
        <v>2.2633214669152966</v>
      </c>
      <c r="M21" s="83">
        <v>2.114661477207481</v>
      </c>
      <c r="N21" s="83">
        <v>2.1254750208142981</v>
      </c>
      <c r="O21" s="83">
        <v>2.2218029981518241</v>
      </c>
      <c r="P21" s="83">
        <v>2.1758912322021198</v>
      </c>
      <c r="Q21" s="83">
        <v>2.0379830733149791</v>
      </c>
      <c r="R21" s="83">
        <v>1.7894554455445544</v>
      </c>
      <c r="S21" s="83">
        <v>2.1233399631328909</v>
      </c>
      <c r="T21" s="83">
        <v>1.8233376792698825</v>
      </c>
      <c r="U21" s="83">
        <v>1.6571058175336251</v>
      </c>
      <c r="V21" s="83">
        <v>2.0219853548035891</v>
      </c>
      <c r="W21" s="145">
        <v>2.0569084628670122</v>
      </c>
      <c r="X21" s="145">
        <v>2.307694992757038</v>
      </c>
      <c r="Y21" s="145">
        <v>2.4221985298243647</v>
      </c>
      <c r="Z21" s="145">
        <v>2.2690000000000001</v>
      </c>
      <c r="AA21" s="145">
        <v>2.2476433728781071</v>
      </c>
      <c r="AB21" s="145">
        <v>2.5700627157548483</v>
      </c>
      <c r="AC21" s="145">
        <v>2.4824147367261107</v>
      </c>
      <c r="AD21" s="145">
        <v>2.3891654941010931</v>
      </c>
      <c r="AE21" s="145">
        <v>2.3984637971782568</v>
      </c>
      <c r="AF21" s="145">
        <v>2.4369731563786736</v>
      </c>
      <c r="AG21" s="145">
        <v>2.4132634007605676</v>
      </c>
      <c r="AH21" s="145">
        <v>2.4062988882889615</v>
      </c>
      <c r="AI21" s="762">
        <v>2.3100945119529821</v>
      </c>
    </row>
    <row r="22" spans="1:35" ht="14.25" customHeight="1">
      <c r="A22" s="320" t="s">
        <v>601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Y22" s="29"/>
      <c r="AC22" s="29"/>
      <c r="AG22" s="29"/>
      <c r="AH22" s="29"/>
      <c r="AI22" s="29"/>
    </row>
    <row r="23" spans="1:35" ht="14.25" customHeight="1">
      <c r="A23" s="320" t="s">
        <v>722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</sheetData>
  <phoneticPr fontId="20" type="noConversion"/>
  <pageMargins left="0.70866141732283472" right="0.70866141732283472" top="0.74803149606299213" bottom="0.74803149606299213" header="0.31496062992125984" footer="0.31496062992125984"/>
  <pageSetup paperSize="9" scale="56" firstPageNumber="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  <pageSetUpPr fitToPage="1"/>
  </sheetPr>
  <dimension ref="A1:AB217"/>
  <sheetViews>
    <sheetView view="pageBreakPreview" zoomScaleNormal="100" zoomScaleSheetLayoutView="100" workbookViewId="0">
      <pane xSplit="1" topLeftCell="Q1" activePane="topRight" state="frozen"/>
      <selection pane="topRight" activeCell="U37" sqref="U37"/>
    </sheetView>
  </sheetViews>
  <sheetFormatPr defaultColWidth="8.88671875" defaultRowHeight="14.25"/>
  <cols>
    <col min="1" max="1" width="37.33203125" style="55" customWidth="1"/>
    <col min="2" max="8" width="19.6640625" style="55" hidden="1" customWidth="1"/>
    <col min="9" max="10" width="21.21875" style="55" hidden="1" customWidth="1"/>
    <col min="11" max="16" width="21.33203125" style="55" hidden="1" customWidth="1"/>
    <col min="17" max="17" width="21.33203125" style="55" customWidth="1"/>
    <col min="18" max="18" width="21.33203125" style="55" hidden="1" customWidth="1"/>
    <col min="19" max="19" width="20.109375" style="55" customWidth="1"/>
    <col min="20" max="20" width="21.33203125" style="55" customWidth="1"/>
    <col min="21" max="21" width="21.21875" style="55" customWidth="1"/>
    <col min="22" max="22" width="16.77734375" style="55" customWidth="1"/>
    <col min="23" max="23" width="16.33203125" style="55" bestFit="1" customWidth="1"/>
    <col min="24" max="24" width="14.44140625" style="55" bestFit="1" customWidth="1"/>
    <col min="25" max="25" width="16.33203125" style="55" bestFit="1" customWidth="1"/>
    <col min="26" max="26" width="12.33203125" style="55" bestFit="1" customWidth="1"/>
    <col min="27" max="16384" width="8.88671875" style="55"/>
  </cols>
  <sheetData>
    <row r="1" spans="1:28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</row>
    <row r="2" spans="1:28" s="158" customFormat="1" ht="35.25" customHeight="1">
      <c r="A2" s="374" t="s">
        <v>505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</row>
    <row r="3" spans="1:28" ht="15" customHeight="1" thickBot="1">
      <c r="A3" s="453"/>
      <c r="B3" s="453"/>
      <c r="C3" s="453"/>
      <c r="D3" s="453"/>
      <c r="E3" s="453"/>
      <c r="F3" s="453"/>
      <c r="G3" s="453"/>
      <c r="H3" s="453"/>
      <c r="I3" s="454"/>
      <c r="J3" s="346"/>
      <c r="K3" s="335"/>
      <c r="L3" s="426"/>
      <c r="M3" s="447"/>
      <c r="N3" s="451"/>
      <c r="O3" s="451"/>
      <c r="P3" s="451"/>
      <c r="Q3" s="451"/>
      <c r="R3" s="451"/>
      <c r="S3" s="451"/>
      <c r="T3" s="451"/>
      <c r="U3" s="299"/>
      <c r="Y3" s="158"/>
    </row>
    <row r="4" spans="1:28" s="95" customFormat="1" ht="18" customHeight="1" thickTop="1">
      <c r="A4" s="417" t="s">
        <v>407</v>
      </c>
      <c r="B4" s="417" t="s">
        <v>559</v>
      </c>
      <c r="C4" s="417" t="s">
        <v>639</v>
      </c>
      <c r="D4" s="417" t="s">
        <v>560</v>
      </c>
      <c r="E4" s="418">
        <v>2022</v>
      </c>
      <c r="F4" s="417" t="s">
        <v>555</v>
      </c>
      <c r="G4" s="417" t="s">
        <v>638</v>
      </c>
      <c r="H4" s="417" t="s">
        <v>558</v>
      </c>
      <c r="I4" s="418">
        <v>2023</v>
      </c>
      <c r="J4" s="418" t="s">
        <v>564</v>
      </c>
      <c r="K4" s="418" t="s">
        <v>636</v>
      </c>
      <c r="L4" s="418" t="s">
        <v>634</v>
      </c>
      <c r="M4" s="418">
        <v>2024</v>
      </c>
      <c r="N4" s="418" t="s">
        <v>648</v>
      </c>
      <c r="O4" s="418" t="s">
        <v>678</v>
      </c>
      <c r="P4" s="418" t="s">
        <v>679</v>
      </c>
      <c r="Q4" s="418">
        <v>2025</v>
      </c>
      <c r="R4" s="418" t="s">
        <v>689</v>
      </c>
      <c r="S4" s="766" t="s">
        <v>723</v>
      </c>
      <c r="T4" s="680"/>
      <c r="U4" s="681"/>
      <c r="Y4" s="157"/>
    </row>
    <row r="5" spans="1:28" s="95" customFormat="1" ht="16.5" customHeight="1">
      <c r="A5" s="327" t="s">
        <v>665</v>
      </c>
      <c r="B5" s="687">
        <v>24698313694675</v>
      </c>
      <c r="C5" s="687">
        <v>24967845242087</v>
      </c>
      <c r="D5" s="687">
        <v>25343183400342</v>
      </c>
      <c r="E5" s="687">
        <v>32262331015998</v>
      </c>
      <c r="F5" s="687">
        <v>34040526197422</v>
      </c>
      <c r="G5" s="687">
        <v>35581943292411</v>
      </c>
      <c r="H5" s="687">
        <v>35812118533129</v>
      </c>
      <c r="I5" s="687">
        <v>39403862443763</v>
      </c>
      <c r="J5" s="687">
        <v>39273881010051</v>
      </c>
      <c r="K5" s="687">
        <v>40579833893540</v>
      </c>
      <c r="L5" s="687">
        <v>43019407119973</v>
      </c>
      <c r="M5" s="687">
        <v>43358482458819</v>
      </c>
      <c r="N5" s="687">
        <v>44426134909558</v>
      </c>
      <c r="O5" s="687">
        <v>44466739671615</v>
      </c>
      <c r="P5" s="687">
        <v>44532796285194</v>
      </c>
      <c r="Q5" s="687">
        <v>44242792244563</v>
      </c>
      <c r="R5" s="687">
        <v>43115899748228</v>
      </c>
      <c r="S5" s="687">
        <v>43134931607073</v>
      </c>
      <c r="T5" s="682"/>
      <c r="U5" s="439"/>
      <c r="V5" s="123"/>
      <c r="X5" s="683"/>
    </row>
    <row r="6" spans="1:28" s="56" customFormat="1" ht="16.5" customHeight="1">
      <c r="A6" s="321" t="s">
        <v>63</v>
      </c>
      <c r="B6" s="419">
        <v>23234011391602</v>
      </c>
      <c r="C6" s="419">
        <v>23719972902911</v>
      </c>
      <c r="D6" s="419">
        <v>24044330825347</v>
      </c>
      <c r="E6" s="419">
        <v>30784389143429</v>
      </c>
      <c r="F6" s="419">
        <v>32562688045652</v>
      </c>
      <c r="G6" s="419">
        <v>34081307666558</v>
      </c>
      <c r="H6" s="419">
        <v>34451524307469</v>
      </c>
      <c r="I6" s="419">
        <v>37673227303232</v>
      </c>
      <c r="J6" s="419">
        <v>37714611896772</v>
      </c>
      <c r="K6" s="419">
        <v>38862958837064</v>
      </c>
      <c r="L6" s="419">
        <v>41120496136999</v>
      </c>
      <c r="M6" s="419">
        <v>41344387482995</v>
      </c>
      <c r="N6" s="419">
        <v>42265580485648</v>
      </c>
      <c r="O6" s="419">
        <v>42411398698986</v>
      </c>
      <c r="P6" s="419">
        <v>42594540120125</v>
      </c>
      <c r="Q6" s="419">
        <v>42515095495224</v>
      </c>
      <c r="R6" s="419">
        <v>41553663927261</v>
      </c>
      <c r="S6" s="419">
        <v>41286195168622</v>
      </c>
      <c r="T6" s="419"/>
      <c r="U6" s="301"/>
      <c r="V6" s="116"/>
      <c r="W6" s="59"/>
      <c r="Y6" s="61"/>
    </row>
    <row r="7" spans="1:28" s="95" customFormat="1" ht="16.5" customHeight="1">
      <c r="A7" s="322" t="s">
        <v>64</v>
      </c>
      <c r="B7" s="419">
        <v>673928018183</v>
      </c>
      <c r="C7" s="419">
        <v>823283342848</v>
      </c>
      <c r="D7" s="419">
        <v>608262466086</v>
      </c>
      <c r="E7" s="419">
        <v>2509175998640</v>
      </c>
      <c r="F7" s="419">
        <v>825261410904</v>
      </c>
      <c r="G7" s="419">
        <v>1536292895014</v>
      </c>
      <c r="H7" s="419">
        <v>701535382198</v>
      </c>
      <c r="I7" s="419">
        <v>1559871224968</v>
      </c>
      <c r="J7" s="419">
        <v>758854415986</v>
      </c>
      <c r="K7" s="419">
        <v>1218372199883</v>
      </c>
      <c r="L7" s="419">
        <v>920686582163</v>
      </c>
      <c r="M7" s="419">
        <v>849370835409</v>
      </c>
      <c r="N7" s="419">
        <v>730551305173</v>
      </c>
      <c r="O7" s="419">
        <v>919876949172</v>
      </c>
      <c r="P7" s="419">
        <v>832421833684</v>
      </c>
      <c r="Q7" s="419">
        <v>1470822014945</v>
      </c>
      <c r="R7" s="419">
        <v>800750235598</v>
      </c>
      <c r="S7" s="419">
        <v>973565804610</v>
      </c>
      <c r="T7" s="419"/>
      <c r="U7" s="439"/>
      <c r="V7" s="123"/>
    </row>
    <row r="8" spans="1:28" s="56" customFormat="1" ht="16.5" customHeight="1">
      <c r="A8" s="323" t="s">
        <v>65</v>
      </c>
      <c r="B8" s="419">
        <v>552384218183</v>
      </c>
      <c r="C8" s="419">
        <v>773283342848</v>
      </c>
      <c r="D8" s="419">
        <v>397933796086</v>
      </c>
      <c r="E8" s="419">
        <v>2509175998640</v>
      </c>
      <c r="F8" s="419">
        <v>643023258141</v>
      </c>
      <c r="G8" s="419">
        <v>816292895014</v>
      </c>
      <c r="H8" s="419">
        <v>651535382198</v>
      </c>
      <c r="I8" s="419">
        <v>969871224968</v>
      </c>
      <c r="J8" s="419">
        <v>608854415986</v>
      </c>
      <c r="K8" s="419">
        <v>816372199883</v>
      </c>
      <c r="L8" s="419">
        <v>840686582163</v>
      </c>
      <c r="M8" s="419">
        <v>667387075409</v>
      </c>
      <c r="N8" s="419">
        <v>680551305173</v>
      </c>
      <c r="O8" s="419">
        <v>619876949172</v>
      </c>
      <c r="P8" s="419">
        <v>683874569622</v>
      </c>
      <c r="Q8" s="419">
        <v>970822014945</v>
      </c>
      <c r="R8" s="419">
        <v>625750235598</v>
      </c>
      <c r="S8" s="419">
        <v>583565804610</v>
      </c>
      <c r="T8" s="419"/>
      <c r="U8" s="301"/>
      <c r="V8" s="116"/>
      <c r="Y8" s="61"/>
    </row>
    <row r="9" spans="1:28" s="56" customFormat="1" ht="16.5" customHeight="1">
      <c r="A9" s="324" t="s">
        <v>66</v>
      </c>
      <c r="B9" s="419">
        <v>6379077</v>
      </c>
      <c r="C9" s="419">
        <v>4890290</v>
      </c>
      <c r="D9" s="419">
        <v>5194416</v>
      </c>
      <c r="E9" s="419">
        <v>0</v>
      </c>
      <c r="F9" s="419">
        <v>3439809</v>
      </c>
      <c r="G9" s="419">
        <v>8665000</v>
      </c>
      <c r="H9" s="419">
        <v>1042638</v>
      </c>
      <c r="I9" s="419">
        <v>0</v>
      </c>
      <c r="J9" s="419">
        <v>3746924</v>
      </c>
      <c r="K9" s="419">
        <v>1889254</v>
      </c>
      <c r="L9" s="419">
        <v>674754</v>
      </c>
      <c r="M9" s="419">
        <v>0</v>
      </c>
      <c r="N9" s="419">
        <v>3056000</v>
      </c>
      <c r="O9" s="419">
        <v>1256000</v>
      </c>
      <c r="P9" s="419">
        <v>1736500</v>
      </c>
      <c r="Q9" s="419">
        <v>0</v>
      </c>
      <c r="R9" s="419">
        <v>3588000</v>
      </c>
      <c r="S9" s="419">
        <v>1616000</v>
      </c>
      <c r="T9" s="419"/>
      <c r="U9" s="301"/>
      <c r="V9" s="116"/>
      <c r="Y9" s="61"/>
    </row>
    <row r="10" spans="1:28" s="56" customFormat="1" ht="16.5" customHeight="1">
      <c r="A10" s="324" t="s">
        <v>67</v>
      </c>
      <c r="B10" s="419">
        <v>28671838427</v>
      </c>
      <c r="C10" s="419">
        <v>21733309330</v>
      </c>
      <c r="D10" s="419">
        <v>29167399772</v>
      </c>
      <c r="E10" s="419">
        <v>26116945696</v>
      </c>
      <c r="F10" s="419">
        <v>28793230239</v>
      </c>
      <c r="G10" s="419">
        <v>37508018928</v>
      </c>
      <c r="H10" s="419">
        <v>27179946489</v>
      </c>
      <c r="I10" s="419">
        <v>23953745038</v>
      </c>
      <c r="J10" s="419">
        <v>24117221558</v>
      </c>
      <c r="K10" s="419">
        <v>29745049057</v>
      </c>
      <c r="L10" s="419">
        <v>48733754747</v>
      </c>
      <c r="M10" s="419">
        <v>54699135136</v>
      </c>
      <c r="N10" s="419">
        <v>26561759911</v>
      </c>
      <c r="O10" s="419">
        <v>23765881686</v>
      </c>
      <c r="P10" s="419">
        <v>26016452341</v>
      </c>
      <c r="Q10" s="419">
        <v>19714318773</v>
      </c>
      <c r="R10" s="419">
        <v>18815978665</v>
      </c>
      <c r="S10" s="419">
        <v>24563082628</v>
      </c>
      <c r="T10" s="419"/>
      <c r="U10" s="301"/>
      <c r="V10" s="116"/>
      <c r="Y10" s="61"/>
    </row>
    <row r="11" spans="1:28" s="56" customFormat="1" ht="16.5" customHeight="1">
      <c r="A11" s="324" t="s">
        <v>68</v>
      </c>
      <c r="B11" s="419">
        <v>50010923159</v>
      </c>
      <c r="C11" s="419">
        <v>51898007813</v>
      </c>
      <c r="D11" s="419">
        <v>63875953095</v>
      </c>
      <c r="E11" s="419">
        <v>1020938892145</v>
      </c>
      <c r="F11" s="419">
        <v>33280631311</v>
      </c>
      <c r="G11" s="419">
        <v>169480076339</v>
      </c>
      <c r="H11" s="419">
        <v>37736555674</v>
      </c>
      <c r="I11" s="419">
        <v>50757392278</v>
      </c>
      <c r="J11" s="419">
        <v>36465399404</v>
      </c>
      <c r="K11" s="419">
        <v>35541921286</v>
      </c>
      <c r="L11" s="419">
        <v>44731660599</v>
      </c>
      <c r="M11" s="419">
        <v>51665906433</v>
      </c>
      <c r="N11" s="419">
        <v>46617509487</v>
      </c>
      <c r="O11" s="419">
        <v>79036549060</v>
      </c>
      <c r="P11" s="419">
        <v>55281350884</v>
      </c>
      <c r="Q11" s="419">
        <v>127231365751</v>
      </c>
      <c r="R11" s="419">
        <v>48977399969</v>
      </c>
      <c r="S11" s="419">
        <v>75074073690</v>
      </c>
      <c r="T11" s="419"/>
      <c r="U11" s="301"/>
      <c r="V11" s="297"/>
      <c r="W11" s="297"/>
      <c r="X11" s="297"/>
      <c r="Y11" s="61"/>
      <c r="Z11" s="297"/>
      <c r="AA11" s="297"/>
      <c r="AB11" s="297"/>
    </row>
    <row r="12" spans="1:28" s="61" customFormat="1" ht="16.5" customHeight="1">
      <c r="A12" s="324" t="s">
        <v>681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>
        <v>30000000000</v>
      </c>
      <c r="P12" s="419">
        <v>30000000000</v>
      </c>
      <c r="Q12" s="419">
        <v>30000000000</v>
      </c>
      <c r="R12" s="419">
        <v>30000000000</v>
      </c>
      <c r="S12" s="419">
        <v>30000000000</v>
      </c>
      <c r="T12" s="419"/>
      <c r="U12" s="301"/>
      <c r="V12" s="297"/>
      <c r="W12" s="297"/>
      <c r="X12" s="297"/>
      <c r="Z12" s="297"/>
      <c r="AA12" s="297"/>
      <c r="AB12" s="297"/>
    </row>
    <row r="13" spans="1:28" s="56" customFormat="1" ht="16.5" customHeight="1">
      <c r="A13" s="324" t="s">
        <v>680</v>
      </c>
      <c r="B13" s="419">
        <v>473695077520</v>
      </c>
      <c r="C13" s="419">
        <v>699647135415</v>
      </c>
      <c r="D13" s="419">
        <v>304885248803</v>
      </c>
      <c r="E13" s="419">
        <v>1462120160799</v>
      </c>
      <c r="F13" s="419">
        <v>580945956782</v>
      </c>
      <c r="G13" s="419">
        <v>609296134747</v>
      </c>
      <c r="H13" s="419">
        <v>586617837397</v>
      </c>
      <c r="I13" s="419">
        <v>895160087652</v>
      </c>
      <c r="J13" s="419">
        <v>548268048100</v>
      </c>
      <c r="K13" s="419">
        <v>751083340286</v>
      </c>
      <c r="L13" s="419">
        <v>747220492063</v>
      </c>
      <c r="M13" s="419">
        <v>561022033840</v>
      </c>
      <c r="N13" s="419">
        <v>607368979775</v>
      </c>
      <c r="O13" s="419">
        <v>487073262426</v>
      </c>
      <c r="P13" s="419">
        <v>572575029897</v>
      </c>
      <c r="Q13" s="419">
        <v>793876330421</v>
      </c>
      <c r="R13" s="419">
        <v>527953268964</v>
      </c>
      <c r="S13" s="419">
        <v>453927032292</v>
      </c>
      <c r="T13" s="419"/>
      <c r="U13" s="439"/>
      <c r="V13" s="297"/>
      <c r="W13" s="297"/>
      <c r="X13" s="297"/>
      <c r="Y13" s="61"/>
      <c r="Z13" s="297"/>
      <c r="AA13" s="297"/>
      <c r="AB13" s="297"/>
    </row>
    <row r="14" spans="1:28" s="56" customFormat="1" ht="16.5" customHeight="1">
      <c r="A14" s="323" t="s">
        <v>69</v>
      </c>
      <c r="B14" s="419">
        <v>121543800000</v>
      </c>
      <c r="C14" s="419">
        <v>50000000000</v>
      </c>
      <c r="D14" s="419">
        <v>210328670000</v>
      </c>
      <c r="E14" s="419">
        <v>0</v>
      </c>
      <c r="F14" s="419">
        <v>182238152763</v>
      </c>
      <c r="G14" s="419">
        <v>720000000000</v>
      </c>
      <c r="H14" s="419">
        <v>50000000000</v>
      </c>
      <c r="I14" s="419">
        <v>590000000000</v>
      </c>
      <c r="J14" s="419">
        <v>150000000000</v>
      </c>
      <c r="K14" s="419">
        <v>402000000000</v>
      </c>
      <c r="L14" s="419">
        <v>80000000000</v>
      </c>
      <c r="M14" s="419">
        <v>181983760000</v>
      </c>
      <c r="N14" s="419">
        <v>50000000000</v>
      </c>
      <c r="O14" s="419">
        <v>300000000000</v>
      </c>
      <c r="P14" s="419">
        <v>148547264062</v>
      </c>
      <c r="Q14" s="419">
        <v>500000000000</v>
      </c>
      <c r="R14" s="419">
        <v>175000000000</v>
      </c>
      <c r="S14" s="419">
        <v>390000000000</v>
      </c>
      <c r="T14" s="419"/>
      <c r="U14" s="439"/>
      <c r="V14" s="297"/>
      <c r="W14" s="297"/>
      <c r="X14" s="297"/>
      <c r="Y14" s="61"/>
      <c r="Z14" s="297"/>
      <c r="AA14" s="297"/>
      <c r="AB14" s="297"/>
    </row>
    <row r="15" spans="1:28" s="56" customFormat="1" ht="16.5" customHeight="1">
      <c r="A15" s="322" t="s">
        <v>70</v>
      </c>
      <c r="B15" s="419">
        <v>14672461155903</v>
      </c>
      <c r="C15" s="419">
        <v>14492082294566</v>
      </c>
      <c r="D15" s="419">
        <v>13983352004990</v>
      </c>
      <c r="E15" s="419">
        <v>17025294321800</v>
      </c>
      <c r="F15" s="419">
        <v>19969465770280</v>
      </c>
      <c r="G15" s="419">
        <v>20163949673964</v>
      </c>
      <c r="H15" s="419">
        <v>20641000953693</v>
      </c>
      <c r="I15" s="419">
        <v>22684520649131</v>
      </c>
      <c r="J15" s="419">
        <v>22798502586196</v>
      </c>
      <c r="K15" s="419">
        <v>22736197027874</v>
      </c>
      <c r="L15" s="419">
        <v>24740535500364</v>
      </c>
      <c r="M15" s="419">
        <v>24357004297681</v>
      </c>
      <c r="N15" s="419">
        <v>26548245862382</v>
      </c>
      <c r="O15" s="419">
        <v>26775436864514</v>
      </c>
      <c r="P15" s="419">
        <v>26894568533641</v>
      </c>
      <c r="Q15" s="419">
        <v>24812296636542</v>
      </c>
      <c r="R15" s="419">
        <v>24193640053987</v>
      </c>
      <c r="S15" s="419">
        <v>23479932101684</v>
      </c>
      <c r="T15" s="419"/>
      <c r="U15" s="439"/>
      <c r="V15" s="297"/>
      <c r="W15" s="297"/>
      <c r="X15" s="297"/>
      <c r="Y15" s="61"/>
      <c r="Z15" s="297"/>
      <c r="AA15" s="297"/>
      <c r="AB15" s="297"/>
    </row>
    <row r="16" spans="1:28" s="95" customFormat="1" ht="16.5" customHeight="1">
      <c r="A16" s="323" t="s">
        <v>71</v>
      </c>
      <c r="B16" s="419">
        <v>5061926021652</v>
      </c>
      <c r="C16" s="419">
        <v>4565560695631</v>
      </c>
      <c r="D16" s="419">
        <v>4509048439469</v>
      </c>
      <c r="E16" s="419">
        <v>6668138265242</v>
      </c>
      <c r="F16" s="419">
        <v>7231289040132</v>
      </c>
      <c r="G16" s="419">
        <v>6680627645303</v>
      </c>
      <c r="H16" s="419">
        <v>7094311354124</v>
      </c>
      <c r="I16" s="419">
        <v>7765785807154</v>
      </c>
      <c r="J16" s="419">
        <v>7444466736673</v>
      </c>
      <c r="K16" s="419">
        <v>6512368278670</v>
      </c>
      <c r="L16" s="419">
        <v>7497218460987</v>
      </c>
      <c r="M16" s="419">
        <v>6672790467712</v>
      </c>
      <c r="N16" s="419">
        <v>7716943128705</v>
      </c>
      <c r="O16" s="419">
        <v>8393371749747</v>
      </c>
      <c r="P16" s="419">
        <v>7983301384232</v>
      </c>
      <c r="Q16" s="419">
        <v>6690485945469</v>
      </c>
      <c r="R16" s="419">
        <v>5980446382927</v>
      </c>
      <c r="S16" s="419">
        <v>5657774972776</v>
      </c>
      <c r="T16" s="419"/>
      <c r="U16" s="439"/>
      <c r="V16" s="580"/>
      <c r="W16" s="581"/>
    </row>
    <row r="17" spans="1:23" s="95" customFormat="1" ht="16.5" customHeight="1">
      <c r="A17" s="324" t="s">
        <v>72</v>
      </c>
      <c r="B17" s="419">
        <v>60943324944</v>
      </c>
      <c r="C17" s="419">
        <v>43285393677</v>
      </c>
      <c r="D17" s="419">
        <v>38658912683</v>
      </c>
      <c r="E17" s="419">
        <v>37946765202</v>
      </c>
      <c r="F17" s="419">
        <v>42841798985</v>
      </c>
      <c r="G17" s="419">
        <v>52619856794</v>
      </c>
      <c r="H17" s="419">
        <v>49159156712</v>
      </c>
      <c r="I17" s="419">
        <v>51475963427</v>
      </c>
      <c r="J17" s="419">
        <v>49500354794</v>
      </c>
      <c r="K17" s="419">
        <v>51965068353</v>
      </c>
      <c r="L17" s="419">
        <v>38518209270</v>
      </c>
      <c r="M17" s="419">
        <v>45360715997</v>
      </c>
      <c r="N17" s="419">
        <v>46361676105</v>
      </c>
      <c r="O17" s="419">
        <v>59523752111</v>
      </c>
      <c r="P17" s="419">
        <v>55544947184</v>
      </c>
      <c r="Q17" s="419">
        <v>54767635452</v>
      </c>
      <c r="R17" s="419">
        <v>47290823352</v>
      </c>
      <c r="S17" s="419">
        <v>41973168839</v>
      </c>
      <c r="T17" s="419"/>
      <c r="U17" s="439"/>
      <c r="V17" s="580"/>
      <c r="W17" s="581"/>
    </row>
    <row r="18" spans="1:23" s="95" customFormat="1" ht="16.5" customHeight="1">
      <c r="A18" s="324" t="s">
        <v>73</v>
      </c>
      <c r="B18" s="419">
        <v>105090117387</v>
      </c>
      <c r="C18" s="419">
        <v>109237764323</v>
      </c>
      <c r="D18" s="419">
        <v>118462944912</v>
      </c>
      <c r="E18" s="419">
        <v>110840336986</v>
      </c>
      <c r="F18" s="419">
        <v>115979445511</v>
      </c>
      <c r="G18" s="419">
        <v>119404632494</v>
      </c>
      <c r="H18" s="419">
        <v>106601896227</v>
      </c>
      <c r="I18" s="419">
        <v>108807251486</v>
      </c>
      <c r="J18" s="419">
        <v>106278420229</v>
      </c>
      <c r="K18" s="419">
        <v>119382997253</v>
      </c>
      <c r="L18" s="419">
        <v>126374596800</v>
      </c>
      <c r="M18" s="419">
        <v>125730496778</v>
      </c>
      <c r="N18" s="419">
        <v>122903271786</v>
      </c>
      <c r="O18" s="419">
        <v>138415807847</v>
      </c>
      <c r="P18" s="419">
        <v>134982890207</v>
      </c>
      <c r="Q18" s="419">
        <v>139225049316</v>
      </c>
      <c r="R18" s="419">
        <v>133700153841</v>
      </c>
      <c r="S18" s="419">
        <v>142936390523</v>
      </c>
      <c r="T18" s="419"/>
      <c r="U18" s="439"/>
      <c r="V18" s="197"/>
      <c r="W18" s="581"/>
    </row>
    <row r="19" spans="1:23" s="95" customFormat="1" ht="16.5" customHeight="1">
      <c r="A19" s="324" t="s">
        <v>74</v>
      </c>
      <c r="B19" s="419">
        <v>98248415000</v>
      </c>
      <c r="C19" s="419">
        <v>94780395000</v>
      </c>
      <c r="D19" s="419">
        <v>91868410000</v>
      </c>
      <c r="E19" s="419">
        <v>92684550000</v>
      </c>
      <c r="F19" s="419">
        <v>95181505000</v>
      </c>
      <c r="G19" s="419">
        <v>94459095000</v>
      </c>
      <c r="H19" s="419">
        <v>94104955000</v>
      </c>
      <c r="I19" s="419">
        <v>96507700000</v>
      </c>
      <c r="J19" s="419">
        <v>56724700000</v>
      </c>
      <c r="K19" s="419">
        <v>27793975000</v>
      </c>
      <c r="L19" s="419">
        <v>28412860000</v>
      </c>
      <c r="M19" s="419">
        <v>28676410000</v>
      </c>
      <c r="N19" s="419">
        <v>29183395000</v>
      </c>
      <c r="O19" s="419">
        <v>29409155000</v>
      </c>
      <c r="P19" s="419">
        <v>29291570000</v>
      </c>
      <c r="Q19" s="419">
        <v>28573530000</v>
      </c>
      <c r="R19" s="419">
        <v>27811370000</v>
      </c>
      <c r="S19" s="419">
        <v>27681295000</v>
      </c>
      <c r="T19" s="419"/>
      <c r="U19" s="439"/>
      <c r="V19" s="580"/>
      <c r="W19" s="581"/>
    </row>
    <row r="20" spans="1:23" s="95" customFormat="1" ht="16.5" customHeight="1">
      <c r="A20" s="324" t="s">
        <v>75</v>
      </c>
      <c r="B20" s="419">
        <v>74379610000</v>
      </c>
      <c r="C20" s="419">
        <v>70398100000</v>
      </c>
      <c r="D20" s="419">
        <v>66568855000</v>
      </c>
      <c r="E20" s="419">
        <v>66634465000</v>
      </c>
      <c r="F20" s="419">
        <v>69748245000</v>
      </c>
      <c r="G20" s="419">
        <v>68656675000</v>
      </c>
      <c r="H20" s="419">
        <v>67710490000</v>
      </c>
      <c r="I20" s="419">
        <v>71909105000</v>
      </c>
      <c r="J20" s="419">
        <v>71326305000</v>
      </c>
      <c r="K20" s="419">
        <v>72943340000</v>
      </c>
      <c r="L20" s="419">
        <v>74535990000</v>
      </c>
      <c r="M20" s="419">
        <v>75123490000</v>
      </c>
      <c r="N20" s="419">
        <v>76353625000</v>
      </c>
      <c r="O20" s="419">
        <v>76953460000</v>
      </c>
      <c r="P20" s="419">
        <v>76640015000</v>
      </c>
      <c r="Q20" s="419">
        <v>74958840000</v>
      </c>
      <c r="R20" s="419">
        <v>73282140000</v>
      </c>
      <c r="S20" s="419">
        <v>73157185000</v>
      </c>
      <c r="T20" s="419"/>
      <c r="U20" s="439"/>
      <c r="V20" s="580"/>
    </row>
    <row r="21" spans="1:23" s="95" customFormat="1" ht="16.5" customHeight="1">
      <c r="A21" s="324" t="s">
        <v>76</v>
      </c>
      <c r="B21" s="419">
        <v>38445143250</v>
      </c>
      <c r="C21" s="419">
        <v>34668108000</v>
      </c>
      <c r="D21" s="419">
        <v>35600896500</v>
      </c>
      <c r="E21" s="419">
        <v>33082934500</v>
      </c>
      <c r="F21" s="419">
        <v>29358452500</v>
      </c>
      <c r="G21" s="419">
        <v>27067161000</v>
      </c>
      <c r="H21" s="419">
        <v>25966686000</v>
      </c>
      <c r="I21" s="419">
        <v>26929895750</v>
      </c>
      <c r="J21" s="419">
        <v>27045667750</v>
      </c>
      <c r="K21" s="419">
        <v>30953526500</v>
      </c>
      <c r="L21" s="419">
        <v>28199687750</v>
      </c>
      <c r="M21" s="419">
        <v>19313120000</v>
      </c>
      <c r="N21" s="419">
        <v>19502640000</v>
      </c>
      <c r="O21" s="419">
        <v>19622990000</v>
      </c>
      <c r="P21" s="419">
        <v>19585400000</v>
      </c>
      <c r="Q21" s="419">
        <v>19282030000</v>
      </c>
      <c r="R21" s="419">
        <v>18880920000</v>
      </c>
      <c r="S21" s="419">
        <v>18870560000</v>
      </c>
      <c r="T21" s="419"/>
      <c r="U21" s="439"/>
    </row>
    <row r="22" spans="1:23" s="95" customFormat="1" ht="16.5" customHeight="1">
      <c r="A22" s="324" t="s">
        <v>77</v>
      </c>
      <c r="B22" s="419">
        <v>3740833499824</v>
      </c>
      <c r="C22" s="419">
        <v>3066085026868</v>
      </c>
      <c r="D22" s="419">
        <v>3128910565699</v>
      </c>
      <c r="E22" s="419">
        <v>4848428249456</v>
      </c>
      <c r="F22" s="419">
        <v>6197139787862</v>
      </c>
      <c r="G22" s="419">
        <v>5592414985301</v>
      </c>
      <c r="H22" s="419">
        <v>6207350901251</v>
      </c>
      <c r="I22" s="419">
        <v>6432673591151</v>
      </c>
      <c r="J22" s="419">
        <v>6532791071604</v>
      </c>
      <c r="K22" s="419">
        <v>5566841504819</v>
      </c>
      <c r="L22" s="419">
        <v>6168444754300</v>
      </c>
      <c r="M22" s="419">
        <v>5180378733370</v>
      </c>
      <c r="N22" s="419">
        <v>6165172384262</v>
      </c>
      <c r="O22" s="419">
        <v>6840704368961</v>
      </c>
      <c r="P22" s="419">
        <v>6084633510475</v>
      </c>
      <c r="Q22" s="419">
        <v>5288234270828</v>
      </c>
      <c r="R22" s="419">
        <v>4468814447948</v>
      </c>
      <c r="S22" s="419">
        <v>4218080385247</v>
      </c>
      <c r="T22" s="419"/>
      <c r="U22" s="439"/>
    </row>
    <row r="23" spans="1:23" s="95" customFormat="1" ht="16.5" customHeight="1">
      <c r="A23" s="324" t="s">
        <v>78</v>
      </c>
      <c r="B23" s="419">
        <v>263008506247</v>
      </c>
      <c r="C23" s="419">
        <v>271967262213</v>
      </c>
      <c r="D23" s="419">
        <v>298903533508</v>
      </c>
      <c r="E23" s="419">
        <v>119695051621</v>
      </c>
      <c r="F23" s="419">
        <v>125217233126</v>
      </c>
      <c r="G23" s="419">
        <v>125525968890</v>
      </c>
      <c r="H23" s="419">
        <v>59981635854</v>
      </c>
      <c r="I23" s="419">
        <v>60091443515</v>
      </c>
      <c r="J23" s="419">
        <v>62336356142</v>
      </c>
      <c r="K23" s="419">
        <v>63472257311</v>
      </c>
      <c r="L23" s="419">
        <v>62420765684</v>
      </c>
      <c r="M23" s="419">
        <v>66869280865</v>
      </c>
      <c r="N23" s="419">
        <v>177732518608</v>
      </c>
      <c r="O23" s="419">
        <v>166822360117</v>
      </c>
      <c r="P23" s="419">
        <v>178377283594</v>
      </c>
      <c r="Q23" s="419">
        <v>123834217512</v>
      </c>
      <c r="R23" s="419">
        <v>134919653405</v>
      </c>
      <c r="S23" s="419">
        <v>150800996973</v>
      </c>
      <c r="T23" s="419"/>
      <c r="U23" s="439"/>
    </row>
    <row r="24" spans="1:23" s="95" customFormat="1" ht="16.5" customHeight="1">
      <c r="A24" s="324" t="s">
        <v>79</v>
      </c>
      <c r="B24" s="419">
        <v>680977405000</v>
      </c>
      <c r="C24" s="419">
        <v>875138645550</v>
      </c>
      <c r="D24" s="419">
        <v>730074321167</v>
      </c>
      <c r="E24" s="419">
        <v>1358825912477</v>
      </c>
      <c r="F24" s="419">
        <v>555822572148</v>
      </c>
      <c r="G24" s="419">
        <v>600479270824</v>
      </c>
      <c r="H24" s="419">
        <v>483435633080</v>
      </c>
      <c r="I24" s="419">
        <v>917390856825</v>
      </c>
      <c r="J24" s="419">
        <v>538463861154</v>
      </c>
      <c r="K24" s="419">
        <v>579015609434</v>
      </c>
      <c r="L24" s="419">
        <v>970311597183</v>
      </c>
      <c r="M24" s="419">
        <v>1131338220702</v>
      </c>
      <c r="N24" s="419">
        <v>1079733617944</v>
      </c>
      <c r="O24" s="419">
        <v>1061919855711</v>
      </c>
      <c r="P24" s="419">
        <v>1404245767772</v>
      </c>
      <c r="Q24" s="419">
        <v>961610372361</v>
      </c>
      <c r="R24" s="419">
        <v>1075746874381</v>
      </c>
      <c r="S24" s="419">
        <v>984274991194</v>
      </c>
      <c r="T24" s="419"/>
      <c r="U24" s="439"/>
    </row>
    <row r="25" spans="1:23" s="95" customFormat="1" ht="16.5" customHeight="1">
      <c r="A25" s="323" t="s">
        <v>80</v>
      </c>
      <c r="B25" s="419">
        <v>9564775288923</v>
      </c>
      <c r="C25" s="419">
        <v>9878291753607</v>
      </c>
      <c r="D25" s="419">
        <v>9426073720193</v>
      </c>
      <c r="E25" s="419">
        <v>10308926211230</v>
      </c>
      <c r="F25" s="419">
        <v>12679055032552</v>
      </c>
      <c r="G25" s="419">
        <v>13354333459185</v>
      </c>
      <c r="H25" s="419">
        <v>13412552030093</v>
      </c>
      <c r="I25" s="419">
        <v>14799637093577</v>
      </c>
      <c r="J25" s="419">
        <v>15240451648043</v>
      </c>
      <c r="K25" s="419">
        <v>16114341536724</v>
      </c>
      <c r="L25" s="419">
        <v>17121712253897</v>
      </c>
      <c r="M25" s="419">
        <v>17540509044489</v>
      </c>
      <c r="N25" s="419">
        <v>18685984039280</v>
      </c>
      <c r="O25" s="419">
        <v>18235868386394</v>
      </c>
      <c r="P25" s="419">
        <v>18697042139409</v>
      </c>
      <c r="Q25" s="419">
        <v>17902053884949</v>
      </c>
      <c r="R25" s="419">
        <v>17985836764936</v>
      </c>
      <c r="S25" s="419">
        <v>17601873240208</v>
      </c>
      <c r="T25" s="419"/>
      <c r="U25" s="439"/>
      <c r="V25" s="197"/>
    </row>
    <row r="26" spans="1:23" s="95" customFormat="1" ht="16.5" customHeight="1">
      <c r="A26" s="324" t="s">
        <v>72</v>
      </c>
      <c r="B26" s="419">
        <v>1354276000</v>
      </c>
      <c r="C26" s="419">
        <v>1012213000</v>
      </c>
      <c r="D26" s="419">
        <v>782059500</v>
      </c>
      <c r="E26" s="419">
        <v>748275500</v>
      </c>
      <c r="F26" s="419">
        <v>720553700</v>
      </c>
      <c r="G26" s="419">
        <v>739214000</v>
      </c>
      <c r="H26" s="419">
        <v>625386200</v>
      </c>
      <c r="I26" s="419">
        <v>660859400</v>
      </c>
      <c r="J26" s="419">
        <v>686654450</v>
      </c>
      <c r="K26" s="419">
        <v>607993200</v>
      </c>
      <c r="L26" s="419">
        <v>566539250</v>
      </c>
      <c r="M26" s="419">
        <v>604082450</v>
      </c>
      <c r="N26" s="419">
        <v>751908800</v>
      </c>
      <c r="O26" s="419">
        <v>911467400</v>
      </c>
      <c r="P26" s="419">
        <v>756601700</v>
      </c>
      <c r="Q26" s="419">
        <v>74665127425</v>
      </c>
      <c r="R26" s="419">
        <v>196642994335</v>
      </c>
      <c r="S26" s="419">
        <v>490215624655</v>
      </c>
      <c r="T26" s="419"/>
      <c r="U26" s="439"/>
      <c r="V26" s="197"/>
    </row>
    <row r="27" spans="1:23" s="95" customFormat="1" ht="16.5" customHeight="1">
      <c r="A27" s="324" t="s">
        <v>81</v>
      </c>
      <c r="B27" s="419">
        <v>6493272463338</v>
      </c>
      <c r="C27" s="419">
        <v>6578776276387</v>
      </c>
      <c r="D27" s="419">
        <v>5955195391641</v>
      </c>
      <c r="E27" s="419">
        <v>6308607222601</v>
      </c>
      <c r="F27" s="419">
        <v>7006901372919</v>
      </c>
      <c r="G27" s="419">
        <v>7096681953583</v>
      </c>
      <c r="H27" s="419">
        <v>7111050322537</v>
      </c>
      <c r="I27" s="419">
        <v>8335704392879</v>
      </c>
      <c r="J27" s="419">
        <v>8474173887072</v>
      </c>
      <c r="K27" s="419">
        <v>9193521757917</v>
      </c>
      <c r="L27" s="419">
        <v>10032923706996</v>
      </c>
      <c r="M27" s="419">
        <v>10338397374865</v>
      </c>
      <c r="N27" s="419">
        <v>11185875849770</v>
      </c>
      <c r="O27" s="419">
        <v>10732705890026</v>
      </c>
      <c r="P27" s="419">
        <v>10695130338589</v>
      </c>
      <c r="Q27" s="419">
        <v>9986945941159</v>
      </c>
      <c r="R27" s="419">
        <v>9573269356968</v>
      </c>
      <c r="S27" s="419">
        <v>9006468745079</v>
      </c>
      <c r="T27" s="419"/>
      <c r="U27" s="439"/>
      <c r="V27" s="197"/>
    </row>
    <row r="28" spans="1:23" s="95" customFormat="1" ht="16.5" customHeight="1">
      <c r="A28" s="324" t="s">
        <v>82</v>
      </c>
      <c r="B28" s="419">
        <v>1051975051800</v>
      </c>
      <c r="C28" s="419">
        <v>1219309918600</v>
      </c>
      <c r="D28" s="419">
        <v>1202105531900</v>
      </c>
      <c r="E28" s="419">
        <v>1358808620200</v>
      </c>
      <c r="F28" s="419">
        <v>1638775385900</v>
      </c>
      <c r="G28" s="419">
        <v>1745976804950</v>
      </c>
      <c r="H28" s="419">
        <v>1786339961300</v>
      </c>
      <c r="I28" s="419">
        <v>1975850168550</v>
      </c>
      <c r="J28" s="419">
        <v>1970994552800</v>
      </c>
      <c r="K28" s="419">
        <v>1949439413600</v>
      </c>
      <c r="L28" s="419">
        <v>2007658868250</v>
      </c>
      <c r="M28" s="419">
        <v>2010125518350</v>
      </c>
      <c r="N28" s="419">
        <v>2090184358300</v>
      </c>
      <c r="O28" s="419">
        <v>2263829017750</v>
      </c>
      <c r="P28" s="419">
        <v>2476893947750</v>
      </c>
      <c r="Q28" s="419">
        <v>2597386613800</v>
      </c>
      <c r="R28" s="419">
        <v>2365831136600</v>
      </c>
      <c r="S28" s="419">
        <v>2222835909400</v>
      </c>
      <c r="T28" s="419"/>
      <c r="U28" s="439"/>
    </row>
    <row r="29" spans="1:23" s="95" customFormat="1" ht="16.5" customHeight="1">
      <c r="A29" s="324" t="s">
        <v>83</v>
      </c>
      <c r="B29" s="419">
        <v>179454355000</v>
      </c>
      <c r="C29" s="419">
        <v>192599140000</v>
      </c>
      <c r="D29" s="419">
        <v>276095122500</v>
      </c>
      <c r="E29" s="419">
        <v>624511370500</v>
      </c>
      <c r="F29" s="419">
        <v>942307846500</v>
      </c>
      <c r="G29" s="419">
        <v>1254615483500</v>
      </c>
      <c r="H29" s="419">
        <v>1349617332000</v>
      </c>
      <c r="I29" s="419">
        <v>1202766005500</v>
      </c>
      <c r="J29" s="419">
        <v>1379242208500</v>
      </c>
      <c r="K29" s="419">
        <v>1442910201000</v>
      </c>
      <c r="L29" s="419">
        <v>1497804017500</v>
      </c>
      <c r="M29" s="419">
        <v>1369918040000</v>
      </c>
      <c r="N29" s="419">
        <v>1312064045000</v>
      </c>
      <c r="O29" s="419">
        <v>1082109120000</v>
      </c>
      <c r="P29" s="419">
        <v>1358177740000</v>
      </c>
      <c r="Q29" s="419">
        <v>1276048190000</v>
      </c>
      <c r="R29" s="419">
        <v>1587647925000</v>
      </c>
      <c r="S29" s="419">
        <v>1590926090000</v>
      </c>
      <c r="T29" s="419"/>
      <c r="U29" s="439"/>
    </row>
    <row r="30" spans="1:23" s="95" customFormat="1" ht="16.5" customHeight="1">
      <c r="A30" s="324" t="s">
        <v>76</v>
      </c>
      <c r="B30" s="419">
        <v>659205566435</v>
      </c>
      <c r="C30" s="419">
        <v>710600502404</v>
      </c>
      <c r="D30" s="419">
        <v>812737992212</v>
      </c>
      <c r="E30" s="419">
        <v>975859950405</v>
      </c>
      <c r="F30" s="419">
        <v>1309262442007</v>
      </c>
      <c r="G30" s="419">
        <v>1577836761794</v>
      </c>
      <c r="H30" s="419">
        <v>1651888820481</v>
      </c>
      <c r="I30" s="419">
        <v>1733487895906</v>
      </c>
      <c r="J30" s="419">
        <v>1916157426973</v>
      </c>
      <c r="K30" s="419">
        <v>1989967918641</v>
      </c>
      <c r="L30" s="419">
        <v>2036319429816</v>
      </c>
      <c r="M30" s="419">
        <v>2033471503971</v>
      </c>
      <c r="N30" s="419">
        <v>2106156244375</v>
      </c>
      <c r="O30" s="419">
        <v>2177891201868</v>
      </c>
      <c r="P30" s="419">
        <v>2185523246276</v>
      </c>
      <c r="Q30" s="419">
        <v>2094637240959</v>
      </c>
      <c r="R30" s="419">
        <v>2092389886524</v>
      </c>
      <c r="S30" s="419">
        <v>1829363471851</v>
      </c>
      <c r="T30" s="419"/>
      <c r="U30" s="439"/>
    </row>
    <row r="31" spans="1:23" s="95" customFormat="1" ht="16.5" customHeight="1">
      <c r="A31" s="324" t="s">
        <v>84</v>
      </c>
      <c r="B31" s="419">
        <v>1179513576350</v>
      </c>
      <c r="C31" s="419">
        <v>1175993703216</v>
      </c>
      <c r="D31" s="419">
        <v>1179157622440</v>
      </c>
      <c r="E31" s="419">
        <v>1040390772024</v>
      </c>
      <c r="F31" s="419">
        <v>1116236026526</v>
      </c>
      <c r="G31" s="419">
        <v>1112080991358</v>
      </c>
      <c r="H31" s="419">
        <v>1047481287575</v>
      </c>
      <c r="I31" s="419">
        <v>1107960706342</v>
      </c>
      <c r="J31" s="419">
        <v>1053422678248</v>
      </c>
      <c r="K31" s="419">
        <v>1073531333866</v>
      </c>
      <c r="L31" s="419">
        <v>1074427536085</v>
      </c>
      <c r="M31" s="419">
        <v>1112390357853</v>
      </c>
      <c r="N31" s="419">
        <v>1115740439035</v>
      </c>
      <c r="O31" s="419">
        <v>1069355358350</v>
      </c>
      <c r="P31" s="419">
        <v>1111563009094</v>
      </c>
      <c r="Q31" s="419">
        <v>1014597792606</v>
      </c>
      <c r="R31" s="419">
        <v>1110077146509</v>
      </c>
      <c r="S31" s="419">
        <v>1293204047223</v>
      </c>
      <c r="T31" s="419"/>
      <c r="U31" s="439"/>
    </row>
    <row r="32" spans="1:23" s="188" customFormat="1" ht="16.5" customHeight="1">
      <c r="A32" s="550" t="s">
        <v>276</v>
      </c>
      <c r="B32" s="420">
        <v>0</v>
      </c>
      <c r="C32" s="420">
        <v>0</v>
      </c>
      <c r="D32" s="420">
        <v>0</v>
      </c>
      <c r="E32" s="420">
        <v>0</v>
      </c>
      <c r="F32" s="420">
        <v>664851405000</v>
      </c>
      <c r="G32" s="420">
        <v>566402250000</v>
      </c>
      <c r="H32" s="420">
        <v>465548920000</v>
      </c>
      <c r="I32" s="420">
        <v>443207065000</v>
      </c>
      <c r="J32" s="420">
        <v>445774240000</v>
      </c>
      <c r="K32" s="420">
        <v>464362918500</v>
      </c>
      <c r="L32" s="420">
        <v>472012156000</v>
      </c>
      <c r="M32" s="420">
        <v>675602167000</v>
      </c>
      <c r="N32" s="420">
        <v>875211194000</v>
      </c>
      <c r="O32" s="420">
        <v>909066331000</v>
      </c>
      <c r="P32" s="420">
        <v>868997256000</v>
      </c>
      <c r="Q32" s="420">
        <v>857772979000</v>
      </c>
      <c r="R32" s="420">
        <v>1059978319000</v>
      </c>
      <c r="S32" s="420">
        <v>1168859352000</v>
      </c>
      <c r="T32" s="420"/>
      <c r="U32" s="544"/>
    </row>
    <row r="33" spans="1:25" s="95" customFormat="1" ht="16.5" customHeight="1">
      <c r="A33" s="323" t="s">
        <v>85</v>
      </c>
      <c r="B33" s="419">
        <v>45759845328</v>
      </c>
      <c r="C33" s="419">
        <v>48229845328</v>
      </c>
      <c r="D33" s="419">
        <v>48229845328</v>
      </c>
      <c r="E33" s="419">
        <v>48229845328</v>
      </c>
      <c r="F33" s="419">
        <v>59121697596</v>
      </c>
      <c r="G33" s="419">
        <v>128988569476</v>
      </c>
      <c r="H33" s="419">
        <v>134137569476</v>
      </c>
      <c r="I33" s="419">
        <v>119097748400</v>
      </c>
      <c r="J33" s="419">
        <v>113584201480</v>
      </c>
      <c r="K33" s="419">
        <v>109487212480</v>
      </c>
      <c r="L33" s="419">
        <v>121604785480</v>
      </c>
      <c r="M33" s="419">
        <v>143704785480</v>
      </c>
      <c r="N33" s="419">
        <v>145318694397</v>
      </c>
      <c r="O33" s="419">
        <v>146196728373</v>
      </c>
      <c r="P33" s="419">
        <v>214225010000</v>
      </c>
      <c r="Q33" s="419">
        <v>219756806124</v>
      </c>
      <c r="R33" s="419">
        <v>227356906124</v>
      </c>
      <c r="S33" s="419">
        <v>220283888700</v>
      </c>
      <c r="T33" s="419"/>
      <c r="U33" s="439"/>
    </row>
    <row r="34" spans="1:25" s="95" customFormat="1" ht="16.5" customHeight="1">
      <c r="A34" s="324" t="s">
        <v>72</v>
      </c>
      <c r="B34" s="419">
        <v>5243391714</v>
      </c>
      <c r="C34" s="419">
        <v>5243391714</v>
      </c>
      <c r="D34" s="419">
        <v>5243391714</v>
      </c>
      <c r="E34" s="419">
        <v>5243391714</v>
      </c>
      <c r="F34" s="419">
        <v>5243391714</v>
      </c>
      <c r="G34" s="419">
        <v>5243391714</v>
      </c>
      <c r="H34" s="419">
        <v>5243391714</v>
      </c>
      <c r="I34" s="419">
        <v>5243391714</v>
      </c>
      <c r="J34" s="419">
        <v>5243391714</v>
      </c>
      <c r="K34" s="419">
        <v>5243391714</v>
      </c>
      <c r="L34" s="419">
        <v>5243391714</v>
      </c>
      <c r="M34" s="419">
        <v>5243391714</v>
      </c>
      <c r="N34" s="419">
        <v>5243391714</v>
      </c>
      <c r="O34" s="419">
        <v>5243391714</v>
      </c>
      <c r="P34" s="419">
        <v>5243391714</v>
      </c>
      <c r="Q34" s="419">
        <v>5243391714</v>
      </c>
      <c r="R34" s="419">
        <v>5243391714</v>
      </c>
      <c r="S34" s="419">
        <v>5243391714</v>
      </c>
      <c r="T34" s="419"/>
      <c r="U34" s="439"/>
    </row>
    <row r="35" spans="1:25" s="95" customFormat="1" ht="16.5" customHeight="1">
      <c r="A35" s="324" t="s">
        <v>73</v>
      </c>
      <c r="B35" s="419">
        <v>40516453614</v>
      </c>
      <c r="C35" s="419">
        <v>42986453614</v>
      </c>
      <c r="D35" s="419">
        <v>42986453614</v>
      </c>
      <c r="E35" s="419">
        <v>42986453614</v>
      </c>
      <c r="F35" s="419">
        <v>53878305882</v>
      </c>
      <c r="G35" s="419">
        <v>123745177762</v>
      </c>
      <c r="H35" s="419">
        <v>128894177762</v>
      </c>
      <c r="I35" s="419">
        <v>113854356686</v>
      </c>
      <c r="J35" s="419">
        <v>108340809766</v>
      </c>
      <c r="K35" s="419">
        <v>104243820766</v>
      </c>
      <c r="L35" s="419">
        <v>116361393766</v>
      </c>
      <c r="M35" s="419">
        <v>138461393766</v>
      </c>
      <c r="N35" s="419">
        <v>140075302683</v>
      </c>
      <c r="O35" s="419">
        <v>140953336659</v>
      </c>
      <c r="P35" s="419">
        <v>208981618286</v>
      </c>
      <c r="Q35" s="419">
        <v>214513414410</v>
      </c>
      <c r="R35" s="419">
        <v>222113514410</v>
      </c>
      <c r="S35" s="419">
        <v>215040496986</v>
      </c>
      <c r="T35" s="419"/>
      <c r="U35" s="439"/>
    </row>
    <row r="36" spans="1:25" s="95" customFormat="1" ht="16.5" customHeight="1">
      <c r="A36" s="322" t="s">
        <v>86</v>
      </c>
      <c r="B36" s="419">
        <v>6936182822923</v>
      </c>
      <c r="C36" s="419">
        <v>7426756483209</v>
      </c>
      <c r="D36" s="419">
        <v>8473385187422</v>
      </c>
      <c r="E36" s="419">
        <v>10270695641079</v>
      </c>
      <c r="F36" s="419">
        <v>10790619234701</v>
      </c>
      <c r="G36" s="419">
        <v>11395567169954</v>
      </c>
      <c r="H36" s="419">
        <v>12116737508391</v>
      </c>
      <c r="I36" s="419">
        <v>12425423582264</v>
      </c>
      <c r="J36" s="419">
        <v>13134171940713</v>
      </c>
      <c r="K36" s="419">
        <v>13756269147832</v>
      </c>
      <c r="L36" s="419">
        <v>14287220962430</v>
      </c>
      <c r="M36" s="419">
        <v>14968236362310</v>
      </c>
      <c r="N36" s="419">
        <v>13820359245237</v>
      </c>
      <c r="O36" s="419">
        <v>13551996165787</v>
      </c>
      <c r="P36" s="419">
        <v>13703013703339</v>
      </c>
      <c r="Q36" s="419">
        <v>15068933530827</v>
      </c>
      <c r="R36" s="419">
        <v>15398371447583</v>
      </c>
      <c r="S36" s="419">
        <v>15674459910370</v>
      </c>
      <c r="T36" s="419"/>
      <c r="U36" s="439"/>
    </row>
    <row r="37" spans="1:25" s="95" customFormat="1" ht="16.5" customHeight="1">
      <c r="A37" s="323" t="s">
        <v>87</v>
      </c>
      <c r="B37" s="419">
        <v>-158012475</v>
      </c>
      <c r="C37" s="419">
        <v>-178453525</v>
      </c>
      <c r="D37" s="419">
        <v>-95121603</v>
      </c>
      <c r="E37" s="419">
        <v>-249164718</v>
      </c>
      <c r="F37" s="419">
        <v>-184670076</v>
      </c>
      <c r="G37" s="419">
        <v>-169301846</v>
      </c>
      <c r="H37" s="419">
        <v>-301880139</v>
      </c>
      <c r="I37" s="419">
        <v>-228461491</v>
      </c>
      <c r="J37" s="419">
        <v>-202317197</v>
      </c>
      <c r="K37" s="419">
        <v>-246175563</v>
      </c>
      <c r="L37" s="419">
        <v>-3183253211</v>
      </c>
      <c r="M37" s="419">
        <v>-3429802337</v>
      </c>
      <c r="N37" s="419">
        <v>-3418867931</v>
      </c>
      <c r="O37" s="419">
        <v>-4576088703</v>
      </c>
      <c r="P37" s="419">
        <v>-4321631009</v>
      </c>
      <c r="Q37" s="419">
        <v>-4298977787</v>
      </c>
      <c r="R37" s="419">
        <v>-4205196751</v>
      </c>
      <c r="S37" s="419">
        <v>-4304062453</v>
      </c>
      <c r="T37" s="419"/>
      <c r="U37" s="439"/>
    </row>
    <row r="38" spans="1:25" s="95" customFormat="1" ht="16.5" customHeight="1">
      <c r="A38" s="323" t="s">
        <v>91</v>
      </c>
      <c r="B38" s="419">
        <v>-64909480191</v>
      </c>
      <c r="C38" s="419">
        <v>-83380209939</v>
      </c>
      <c r="D38" s="419">
        <v>-114139300319</v>
      </c>
      <c r="E38" s="419">
        <v>-122350899645</v>
      </c>
      <c r="F38" s="419">
        <v>-142816825429</v>
      </c>
      <c r="G38" s="419">
        <v>-179801454538</v>
      </c>
      <c r="H38" s="419">
        <v>-177227710975</v>
      </c>
      <c r="I38" s="419">
        <v>-180027324236</v>
      </c>
      <c r="J38" s="419">
        <v>-188537565110</v>
      </c>
      <c r="K38" s="419">
        <v>-193248591579</v>
      </c>
      <c r="L38" s="419">
        <v>-196948583214</v>
      </c>
      <c r="M38" s="419">
        <v>-214952968055</v>
      </c>
      <c r="N38" s="419">
        <v>-175954763568</v>
      </c>
      <c r="O38" s="419">
        <v>-145826704040</v>
      </c>
      <c r="P38" s="419">
        <v>-124708377651</v>
      </c>
      <c r="Q38" s="419">
        <v>-121850292966</v>
      </c>
      <c r="R38" s="419">
        <v>-115197151667</v>
      </c>
      <c r="S38" s="419">
        <v>-102353981285</v>
      </c>
      <c r="T38" s="419"/>
      <c r="U38" s="439"/>
    </row>
    <row r="39" spans="1:25" s="95" customFormat="1" ht="16.5" customHeight="1">
      <c r="A39" s="323" t="s">
        <v>88</v>
      </c>
      <c r="B39" s="419">
        <v>6482007518711</v>
      </c>
      <c r="C39" s="419">
        <v>7156085813517</v>
      </c>
      <c r="D39" s="419">
        <v>8174735607904</v>
      </c>
      <c r="E39" s="419">
        <v>9939898305075</v>
      </c>
      <c r="F39" s="419">
        <v>10316850888108</v>
      </c>
      <c r="G39" s="419">
        <v>10917325107630</v>
      </c>
      <c r="H39" s="419">
        <v>11470425967138</v>
      </c>
      <c r="I39" s="419">
        <v>11770016864103</v>
      </c>
      <c r="J39" s="419">
        <v>12323813156526</v>
      </c>
      <c r="K39" s="419">
        <v>13001016148346</v>
      </c>
      <c r="L39" s="419">
        <v>13429147190947</v>
      </c>
      <c r="M39" s="419">
        <v>14117395272632</v>
      </c>
      <c r="N39" s="419">
        <v>12936685944451</v>
      </c>
      <c r="O39" s="419">
        <v>12735279392962</v>
      </c>
      <c r="P39" s="419">
        <v>13240789664934</v>
      </c>
      <c r="Q39" s="419">
        <v>14660771436498</v>
      </c>
      <c r="R39" s="419">
        <v>14996907198233</v>
      </c>
      <c r="S39" s="419">
        <v>15118792487704</v>
      </c>
      <c r="T39" s="419"/>
      <c r="U39" s="439"/>
    </row>
    <row r="40" spans="1:25" s="95" customFormat="1" ht="16.5" customHeight="1">
      <c r="A40" s="324" t="s">
        <v>89</v>
      </c>
      <c r="B40" s="419">
        <v>864661818</v>
      </c>
      <c r="C40" s="419">
        <v>901309737</v>
      </c>
      <c r="D40" s="419">
        <v>927008251</v>
      </c>
      <c r="E40" s="419">
        <v>920158637</v>
      </c>
      <c r="F40" s="419">
        <v>948232614</v>
      </c>
      <c r="G40" s="419">
        <v>943275641</v>
      </c>
      <c r="H40" s="419">
        <v>961666231</v>
      </c>
      <c r="I40" s="419">
        <v>1069039185</v>
      </c>
      <c r="J40" s="419">
        <v>1060758276</v>
      </c>
      <c r="K40" s="419">
        <v>1011497074</v>
      </c>
      <c r="L40" s="419">
        <v>976788672</v>
      </c>
      <c r="M40" s="419">
        <v>987278389</v>
      </c>
      <c r="N40" s="419">
        <v>945109346</v>
      </c>
      <c r="O40" s="419">
        <v>933399548</v>
      </c>
      <c r="P40" s="419">
        <v>844112032</v>
      </c>
      <c r="Q40" s="419">
        <v>803147295</v>
      </c>
      <c r="R40" s="419">
        <v>850295004</v>
      </c>
      <c r="S40" s="419">
        <v>948554931</v>
      </c>
      <c r="T40" s="419"/>
      <c r="U40" s="439"/>
    </row>
    <row r="41" spans="1:25" s="95" customFormat="1" ht="16.5" customHeight="1">
      <c r="A41" s="324" t="s">
        <v>90</v>
      </c>
      <c r="B41" s="419">
        <v>6481142856893</v>
      </c>
      <c r="C41" s="419">
        <v>7155184503780</v>
      </c>
      <c r="D41" s="419">
        <v>8173808599653</v>
      </c>
      <c r="E41" s="419">
        <v>9938978146438</v>
      </c>
      <c r="F41" s="419">
        <v>10315902655494</v>
      </c>
      <c r="G41" s="419">
        <v>10916381831989</v>
      </c>
      <c r="H41" s="419">
        <v>11469464300907</v>
      </c>
      <c r="I41" s="419">
        <v>11768947824918</v>
      </c>
      <c r="J41" s="419">
        <v>12322752398250</v>
      </c>
      <c r="K41" s="419">
        <v>13000004651272</v>
      </c>
      <c r="L41" s="419">
        <v>13428170402275</v>
      </c>
      <c r="M41" s="419">
        <v>13692142054243</v>
      </c>
      <c r="N41" s="419">
        <v>12478722515105</v>
      </c>
      <c r="O41" s="419">
        <v>12584903243414</v>
      </c>
      <c r="P41" s="419">
        <v>12745594452902</v>
      </c>
      <c r="Q41" s="419">
        <v>13715298369203</v>
      </c>
      <c r="R41" s="419">
        <v>14049334793229</v>
      </c>
      <c r="S41" s="419">
        <v>13909921761773</v>
      </c>
      <c r="T41" s="419"/>
      <c r="U41" s="439"/>
    </row>
    <row r="42" spans="1:25" s="95" customFormat="1" ht="16.5" customHeight="1">
      <c r="A42" s="323" t="s">
        <v>92</v>
      </c>
      <c r="B42" s="419">
        <v>519204576678</v>
      </c>
      <c r="C42" s="419">
        <v>354199082956</v>
      </c>
      <c r="D42" s="419">
        <v>412856821240</v>
      </c>
      <c r="E42" s="419">
        <v>453376570167</v>
      </c>
      <c r="F42" s="419">
        <v>616750961898</v>
      </c>
      <c r="G42" s="419">
        <v>658196008508</v>
      </c>
      <c r="H42" s="419">
        <v>823826532167</v>
      </c>
      <c r="I42" s="419">
        <v>835649863688</v>
      </c>
      <c r="J42" s="419">
        <v>999087886294</v>
      </c>
      <c r="K42" s="419">
        <v>948740746428</v>
      </c>
      <c r="L42" s="419">
        <v>1058200047708</v>
      </c>
      <c r="M42" s="419">
        <v>1069219679870</v>
      </c>
      <c r="N42" s="419">
        <v>1063043352085</v>
      </c>
      <c r="O42" s="419">
        <v>967116685368</v>
      </c>
      <c r="P42" s="419">
        <v>591252947065</v>
      </c>
      <c r="Q42" s="419">
        <v>534310865082</v>
      </c>
      <c r="R42" s="419">
        <v>520866097768</v>
      </c>
      <c r="S42" s="419">
        <v>662325466404</v>
      </c>
      <c r="T42" s="419"/>
      <c r="U42" s="439"/>
    </row>
    <row r="43" spans="1:25" s="95" customFormat="1" ht="16.5" customHeight="1">
      <c r="A43" s="323" t="s">
        <v>93</v>
      </c>
      <c r="B43" s="419">
        <v>38220200</v>
      </c>
      <c r="C43" s="419">
        <v>30250200</v>
      </c>
      <c r="D43" s="419">
        <v>27180200</v>
      </c>
      <c r="E43" s="419">
        <v>20830200</v>
      </c>
      <c r="F43" s="419">
        <v>18880200</v>
      </c>
      <c r="G43" s="419">
        <v>16810200</v>
      </c>
      <c r="H43" s="419">
        <v>14600200</v>
      </c>
      <c r="I43" s="419">
        <v>12640200</v>
      </c>
      <c r="J43" s="419">
        <v>10780200</v>
      </c>
      <c r="K43" s="419">
        <v>7020200</v>
      </c>
      <c r="L43" s="419">
        <v>5560200</v>
      </c>
      <c r="M43" s="419">
        <v>4180200</v>
      </c>
      <c r="N43" s="419">
        <v>3580200</v>
      </c>
      <c r="O43" s="419">
        <v>2880200</v>
      </c>
      <c r="P43" s="419">
        <v>1100000</v>
      </c>
      <c r="Q43" s="419">
        <v>500000</v>
      </c>
      <c r="R43" s="419">
        <v>500000</v>
      </c>
      <c r="S43" s="419">
        <v>0</v>
      </c>
      <c r="T43" s="419"/>
      <c r="U43" s="439"/>
    </row>
    <row r="44" spans="1:25" s="95" customFormat="1" ht="16.5" customHeight="1">
      <c r="A44" s="322" t="s">
        <v>94</v>
      </c>
      <c r="B44" s="419">
        <v>951439394593</v>
      </c>
      <c r="C44" s="419">
        <v>977850782288</v>
      </c>
      <c r="D44" s="419">
        <v>979331166849</v>
      </c>
      <c r="E44" s="419">
        <v>979223181910</v>
      </c>
      <c r="F44" s="419">
        <v>977341629767</v>
      </c>
      <c r="G44" s="419">
        <v>985497927626</v>
      </c>
      <c r="H44" s="419">
        <v>992250463187</v>
      </c>
      <c r="I44" s="419">
        <v>1003411846869</v>
      </c>
      <c r="J44" s="419">
        <v>1023082953877</v>
      </c>
      <c r="K44" s="419">
        <v>1152120461475</v>
      </c>
      <c r="L44" s="419">
        <v>1172053092042</v>
      </c>
      <c r="M44" s="419">
        <v>1169775987595</v>
      </c>
      <c r="N44" s="419">
        <v>1166424072856</v>
      </c>
      <c r="O44" s="419">
        <v>1164088719513</v>
      </c>
      <c r="P44" s="419">
        <v>1164536049461</v>
      </c>
      <c r="Q44" s="419">
        <v>1163043312910</v>
      </c>
      <c r="R44" s="419">
        <v>1160902190093</v>
      </c>
      <c r="S44" s="419">
        <v>1158237351958</v>
      </c>
      <c r="T44" s="419"/>
      <c r="U44" s="439"/>
    </row>
    <row r="45" spans="1:25" s="95" customFormat="1" ht="16.5" customHeight="1">
      <c r="A45" s="323" t="s">
        <v>95</v>
      </c>
      <c r="B45" s="419">
        <v>-2156550320</v>
      </c>
      <c r="C45" s="419">
        <v>-2156550320</v>
      </c>
      <c r="D45" s="419">
        <v>-2156550320</v>
      </c>
      <c r="E45" s="419">
        <v>-2156550320</v>
      </c>
      <c r="F45" s="419">
        <v>-2156550320</v>
      </c>
      <c r="G45" s="419">
        <v>-2156550320</v>
      </c>
      <c r="H45" s="419">
        <v>-2156550320</v>
      </c>
      <c r="I45" s="419">
        <v>-2156550320</v>
      </c>
      <c r="J45" s="419">
        <v>-2156550320</v>
      </c>
      <c r="K45" s="419">
        <v>0</v>
      </c>
      <c r="L45" s="419">
        <v>0</v>
      </c>
      <c r="M45" s="419">
        <v>0</v>
      </c>
      <c r="N45" s="419">
        <v>0</v>
      </c>
      <c r="O45" s="419">
        <v>0</v>
      </c>
      <c r="P45" s="419">
        <v>0</v>
      </c>
      <c r="Q45" s="419">
        <v>0</v>
      </c>
      <c r="R45" s="419">
        <v>0</v>
      </c>
      <c r="S45" s="419">
        <v>0</v>
      </c>
      <c r="T45" s="419"/>
      <c r="U45" s="439"/>
    </row>
    <row r="46" spans="1:25" s="95" customFormat="1" ht="16.5" customHeight="1">
      <c r="A46" s="324" t="s">
        <v>96</v>
      </c>
      <c r="B46" s="419">
        <v>282412578437</v>
      </c>
      <c r="C46" s="419">
        <v>281414686402</v>
      </c>
      <c r="D46" s="419">
        <v>280416794367</v>
      </c>
      <c r="E46" s="419">
        <v>275991465361</v>
      </c>
      <c r="F46" s="419">
        <v>306856389295</v>
      </c>
      <c r="G46" s="419">
        <v>298730342686</v>
      </c>
      <c r="H46" s="419">
        <v>277400384128</v>
      </c>
      <c r="I46" s="419">
        <v>282315063824</v>
      </c>
      <c r="J46" s="419">
        <v>281312567111</v>
      </c>
      <c r="K46" s="419">
        <v>277981335862</v>
      </c>
      <c r="L46" s="419">
        <v>304832056657</v>
      </c>
      <c r="M46" s="419">
        <v>301278241785</v>
      </c>
      <c r="N46" s="419">
        <v>275617704467</v>
      </c>
      <c r="O46" s="419">
        <v>274608575256</v>
      </c>
      <c r="P46" s="419">
        <v>273871266547</v>
      </c>
      <c r="Q46" s="419">
        <v>274328032748</v>
      </c>
      <c r="R46" s="419">
        <v>273357540668</v>
      </c>
      <c r="S46" s="419">
        <v>273111030450</v>
      </c>
      <c r="T46" s="419"/>
      <c r="U46" s="439"/>
    </row>
    <row r="47" spans="1:25" s="56" customFormat="1" ht="16.5" customHeight="1">
      <c r="A47" s="323" t="s">
        <v>97</v>
      </c>
      <c r="B47" s="419">
        <v>182625798952</v>
      </c>
      <c r="C47" s="419">
        <v>182625798952</v>
      </c>
      <c r="D47" s="419">
        <v>182625798952</v>
      </c>
      <c r="E47" s="419">
        <v>181640962190</v>
      </c>
      <c r="F47" s="419">
        <v>208618103591</v>
      </c>
      <c r="G47" s="419">
        <v>201595181471</v>
      </c>
      <c r="H47" s="419">
        <v>184697649830</v>
      </c>
      <c r="I47" s="419">
        <v>189433350709</v>
      </c>
      <c r="J47" s="419">
        <v>189433350709</v>
      </c>
      <c r="K47" s="419">
        <v>187164745909</v>
      </c>
      <c r="L47" s="419">
        <v>205950860275</v>
      </c>
      <c r="M47" s="419">
        <v>204133452953</v>
      </c>
      <c r="N47" s="419">
        <v>182601759423</v>
      </c>
      <c r="O47" s="419">
        <v>182601759423</v>
      </c>
      <c r="P47" s="419">
        <v>182604021431</v>
      </c>
      <c r="Q47" s="419">
        <v>183052608050</v>
      </c>
      <c r="R47" s="419">
        <v>183054075441</v>
      </c>
      <c r="S47" s="419">
        <v>183054075441</v>
      </c>
      <c r="T47" s="419"/>
      <c r="U47" s="439"/>
      <c r="Y47" s="61"/>
    </row>
    <row r="48" spans="1:25" s="56" customFormat="1" ht="16.5" customHeight="1">
      <c r="A48" s="323" t="s">
        <v>98</v>
      </c>
      <c r="B48" s="419">
        <v>99786779485</v>
      </c>
      <c r="C48" s="419">
        <v>98788887450</v>
      </c>
      <c r="D48" s="419">
        <v>97790995415</v>
      </c>
      <c r="E48" s="419">
        <v>94350503171</v>
      </c>
      <c r="F48" s="419">
        <v>98238285704</v>
      </c>
      <c r="G48" s="419">
        <v>97135161215</v>
      </c>
      <c r="H48" s="419">
        <v>92702734298</v>
      </c>
      <c r="I48" s="419">
        <v>92881713115</v>
      </c>
      <c r="J48" s="419">
        <v>91879216402</v>
      </c>
      <c r="K48" s="419">
        <v>90816589953</v>
      </c>
      <c r="L48" s="419">
        <v>98881196382</v>
      </c>
      <c r="M48" s="419">
        <v>97144788832</v>
      </c>
      <c r="N48" s="419">
        <v>93015945044</v>
      </c>
      <c r="O48" s="419">
        <v>92006815833</v>
      </c>
      <c r="P48" s="419">
        <v>91267245116</v>
      </c>
      <c r="Q48" s="419">
        <v>91275424698</v>
      </c>
      <c r="R48" s="419">
        <v>90303465227</v>
      </c>
      <c r="S48" s="419">
        <v>90056955009</v>
      </c>
      <c r="T48" s="419"/>
      <c r="U48" s="439"/>
      <c r="Y48" s="61"/>
    </row>
    <row r="49" spans="1:25" s="56" customFormat="1" ht="16.5" customHeight="1">
      <c r="A49" s="323" t="s">
        <v>99</v>
      </c>
      <c r="B49" s="419">
        <v>718716279268</v>
      </c>
      <c r="C49" s="419">
        <v>718716279268</v>
      </c>
      <c r="D49" s="419">
        <v>718716279268</v>
      </c>
      <c r="E49" s="419">
        <v>755379050972</v>
      </c>
      <c r="F49" s="419">
        <v>755379050972</v>
      </c>
      <c r="G49" s="419">
        <v>755379050972</v>
      </c>
      <c r="H49" s="419">
        <v>755379050972</v>
      </c>
      <c r="I49" s="419">
        <v>755379050972</v>
      </c>
      <c r="J49" s="419">
        <v>755379050972</v>
      </c>
      <c r="K49" s="419">
        <v>880950083346</v>
      </c>
      <c r="L49" s="419">
        <v>888774872838</v>
      </c>
      <c r="M49" s="419">
        <v>888617523838</v>
      </c>
      <c r="N49" s="419">
        <v>888617523838</v>
      </c>
      <c r="O49" s="419">
        <v>888617523838</v>
      </c>
      <c r="P49" s="419">
        <v>888643583838</v>
      </c>
      <c r="Q49" s="419">
        <v>888643583838</v>
      </c>
      <c r="R49" s="419">
        <v>888660489268</v>
      </c>
      <c r="S49" s="419">
        <v>888660489268</v>
      </c>
      <c r="T49" s="419"/>
      <c r="U49" s="439"/>
      <c r="Y49" s="61"/>
    </row>
    <row r="50" spans="1:25" s="56" customFormat="1" ht="16.5" customHeight="1">
      <c r="A50" s="323" t="s">
        <v>100</v>
      </c>
      <c r="B50" s="419">
        <v>196568149344</v>
      </c>
      <c r="C50" s="419">
        <v>194503180015</v>
      </c>
      <c r="D50" s="419">
        <v>192708230896</v>
      </c>
      <c r="E50" s="419">
        <v>190911568757</v>
      </c>
      <c r="F50" s="419">
        <v>188843206614</v>
      </c>
      <c r="G50" s="419">
        <v>186774844473</v>
      </c>
      <c r="H50" s="419">
        <v>184706482334</v>
      </c>
      <c r="I50" s="419">
        <v>182638120196</v>
      </c>
      <c r="J50" s="419">
        <v>180569758053</v>
      </c>
      <c r="K50" s="419">
        <v>178501395912</v>
      </c>
      <c r="L50" s="419">
        <v>280855992704</v>
      </c>
      <c r="M50" s="419">
        <v>278132256347</v>
      </c>
      <c r="N50" s="419">
        <v>274640041448</v>
      </c>
      <c r="O50" s="419">
        <v>271921118105</v>
      </c>
      <c r="P50" s="419">
        <v>272317885813</v>
      </c>
      <c r="Q50" s="419">
        <v>269582634718</v>
      </c>
      <c r="R50" s="419">
        <v>267414310471</v>
      </c>
      <c r="S50" s="419">
        <v>265878478037</v>
      </c>
      <c r="T50" s="419"/>
      <c r="U50" s="439"/>
      <c r="Y50" s="61"/>
    </row>
    <row r="51" spans="1:25" s="56" customFormat="1" ht="16.5" customHeight="1">
      <c r="A51" s="324" t="s">
        <v>101</v>
      </c>
      <c r="B51" s="419">
        <v>-131548153367</v>
      </c>
      <c r="C51" s="419">
        <v>-133613122696</v>
      </c>
      <c r="D51" s="419">
        <v>-135679221815</v>
      </c>
      <c r="E51" s="419">
        <v>-137747583954</v>
      </c>
      <c r="F51" s="419">
        <v>-139815946097</v>
      </c>
      <c r="G51" s="419">
        <v>-141884308238</v>
      </c>
      <c r="H51" s="419">
        <v>-143952670377</v>
      </c>
      <c r="I51" s="419">
        <v>-146021032515</v>
      </c>
      <c r="J51" s="419">
        <v>-148089394658</v>
      </c>
      <c r="K51" s="419">
        <v>-150157756799</v>
      </c>
      <c r="L51" s="419">
        <v>-152663035084</v>
      </c>
      <c r="M51" s="419">
        <v>-155386771441</v>
      </c>
      <c r="N51" s="419">
        <v>-158108903464</v>
      </c>
      <c r="O51" s="419">
        <v>-160827826807</v>
      </c>
      <c r="P51" s="419">
        <v>-163555112441</v>
      </c>
      <c r="Q51" s="419">
        <v>-166295820136</v>
      </c>
      <c r="R51" s="419">
        <v>-169037795713</v>
      </c>
      <c r="S51" s="419">
        <v>-171792724363</v>
      </c>
      <c r="T51" s="419"/>
      <c r="U51" s="439"/>
      <c r="Y51" s="61"/>
    </row>
    <row r="52" spans="1:25" s="56" customFormat="1" ht="16.5" customHeight="1">
      <c r="A52" s="323" t="s">
        <v>102</v>
      </c>
      <c r="B52" s="419">
        <v>0</v>
      </c>
      <c r="C52" s="419">
        <v>0</v>
      </c>
      <c r="D52" s="419">
        <v>0</v>
      </c>
      <c r="E52" s="419">
        <v>0</v>
      </c>
      <c r="F52" s="419">
        <v>0</v>
      </c>
      <c r="G52" s="419">
        <v>0</v>
      </c>
      <c r="H52" s="419">
        <v>0</v>
      </c>
      <c r="I52" s="419">
        <v>0</v>
      </c>
      <c r="J52" s="419">
        <v>0</v>
      </c>
      <c r="K52" s="419">
        <v>0</v>
      </c>
      <c r="L52" s="419">
        <v>0</v>
      </c>
      <c r="M52" s="419">
        <v>0</v>
      </c>
      <c r="N52" s="419">
        <v>0</v>
      </c>
      <c r="O52" s="419">
        <v>0</v>
      </c>
      <c r="P52" s="419">
        <v>0</v>
      </c>
      <c r="Q52" s="419">
        <v>0</v>
      </c>
      <c r="R52" s="419">
        <v>0</v>
      </c>
      <c r="S52" s="419">
        <v>0</v>
      </c>
      <c r="T52" s="419"/>
      <c r="U52" s="439"/>
      <c r="Y52" s="61"/>
    </row>
    <row r="53" spans="1:25" s="56" customFormat="1" ht="16.5" customHeight="1">
      <c r="A53" s="323" t="s">
        <v>103</v>
      </c>
      <c r="B53" s="419">
        <v>34804249981</v>
      </c>
      <c r="C53" s="419">
        <v>63280607005</v>
      </c>
      <c r="D53" s="419">
        <v>66555940685</v>
      </c>
      <c r="E53" s="419">
        <v>31581846181</v>
      </c>
      <c r="F53" s="419">
        <v>31768656181</v>
      </c>
      <c r="G53" s="419">
        <v>41993316181</v>
      </c>
      <c r="H53" s="419">
        <v>50814213881</v>
      </c>
      <c r="I53" s="419">
        <v>64043959701</v>
      </c>
      <c r="J53" s="419">
        <v>85783428852</v>
      </c>
      <c r="K53" s="419">
        <v>91318266217</v>
      </c>
      <c r="L53" s="419">
        <v>1071510500</v>
      </c>
      <c r="M53" s="419">
        <v>1675491410</v>
      </c>
      <c r="N53" s="419">
        <v>1815791570</v>
      </c>
      <c r="O53" s="419">
        <v>2199361570</v>
      </c>
      <c r="P53" s="419">
        <v>2223863810</v>
      </c>
      <c r="Q53" s="419">
        <v>3466378354</v>
      </c>
      <c r="R53" s="419">
        <v>3476674354</v>
      </c>
      <c r="S53" s="419">
        <v>3698384653</v>
      </c>
      <c r="T53" s="419"/>
      <c r="U53" s="439"/>
      <c r="Y53" s="61"/>
    </row>
    <row r="54" spans="1:25" s="56" customFormat="1" ht="16.5" customHeight="1">
      <c r="A54" s="323" t="s">
        <v>104</v>
      </c>
      <c r="B54" s="419">
        <v>3507266320</v>
      </c>
      <c r="C54" s="419">
        <v>3507266320</v>
      </c>
      <c r="D54" s="419">
        <v>3507266320</v>
      </c>
      <c r="E54" s="419">
        <v>3507266320</v>
      </c>
      <c r="F54" s="419">
        <v>3507266320</v>
      </c>
      <c r="G54" s="419">
        <v>3507266320</v>
      </c>
      <c r="H54" s="419">
        <v>3507266320</v>
      </c>
      <c r="I54" s="419">
        <v>3507266320</v>
      </c>
      <c r="J54" s="419">
        <v>3507266320</v>
      </c>
      <c r="K54" s="419">
        <v>1350716000</v>
      </c>
      <c r="L54" s="419">
        <v>1350716000</v>
      </c>
      <c r="M54" s="419">
        <v>1350716000</v>
      </c>
      <c r="N54" s="419">
        <v>1350716000</v>
      </c>
      <c r="O54" s="419">
        <v>1350716000</v>
      </c>
      <c r="P54" s="419">
        <v>1350716000</v>
      </c>
      <c r="Q54" s="419">
        <v>1350716000</v>
      </c>
      <c r="R54" s="419">
        <v>1350716000</v>
      </c>
      <c r="S54" s="419">
        <v>0</v>
      </c>
      <c r="T54" s="419"/>
      <c r="U54" s="439"/>
      <c r="Y54" s="61"/>
    </row>
    <row r="55" spans="1:25" s="56" customFormat="1" ht="16.5" customHeight="1">
      <c r="A55" s="324" t="s">
        <v>105</v>
      </c>
      <c r="B55" s="419">
        <v>-2124659122</v>
      </c>
      <c r="C55" s="419">
        <v>-2124659122</v>
      </c>
      <c r="D55" s="419">
        <v>-2124659122</v>
      </c>
      <c r="E55" s="419">
        <v>-2124659122</v>
      </c>
      <c r="F55" s="419">
        <v>-2124659122</v>
      </c>
      <c r="G55" s="419">
        <v>-2124659122</v>
      </c>
      <c r="H55" s="419">
        <v>-2124659122</v>
      </c>
      <c r="I55" s="419">
        <v>-2124659122</v>
      </c>
      <c r="J55" s="419">
        <v>-2124659122</v>
      </c>
      <c r="K55" s="419">
        <v>-2124659122</v>
      </c>
      <c r="L55" s="419">
        <v>-2124659122</v>
      </c>
      <c r="M55" s="419">
        <v>-2124659122</v>
      </c>
      <c r="N55" s="419">
        <v>-2124659122</v>
      </c>
      <c r="O55" s="419">
        <v>-2124659122</v>
      </c>
      <c r="P55" s="419">
        <v>-2124659122</v>
      </c>
      <c r="Q55" s="419">
        <v>-2124659122</v>
      </c>
      <c r="R55" s="419">
        <v>-2124659122</v>
      </c>
      <c r="S55" s="419">
        <v>0</v>
      </c>
      <c r="T55" s="419"/>
      <c r="U55" s="439"/>
      <c r="Y55" s="61"/>
    </row>
    <row r="56" spans="1:25" s="56" customFormat="1" ht="16.5" customHeight="1">
      <c r="A56" s="321" t="s">
        <v>106</v>
      </c>
      <c r="B56" s="419">
        <v>1464302303073</v>
      </c>
      <c r="C56" s="419">
        <v>1247872339176</v>
      </c>
      <c r="D56" s="419">
        <v>1298852574995</v>
      </c>
      <c r="E56" s="419">
        <v>1477941872569</v>
      </c>
      <c r="F56" s="419">
        <v>1477838151770</v>
      </c>
      <c r="G56" s="419">
        <v>1500635625853</v>
      </c>
      <c r="H56" s="419">
        <v>1360594225660</v>
      </c>
      <c r="I56" s="419">
        <v>1730635140531</v>
      </c>
      <c r="J56" s="419">
        <v>1559269113279</v>
      </c>
      <c r="K56" s="419">
        <v>1716875056476</v>
      </c>
      <c r="L56" s="419">
        <v>1898910982974</v>
      </c>
      <c r="M56" s="419">
        <v>2014094975824</v>
      </c>
      <c r="N56" s="419">
        <v>2160554423910</v>
      </c>
      <c r="O56" s="419">
        <v>2055340972629</v>
      </c>
      <c r="P56" s="419">
        <v>1938256165069</v>
      </c>
      <c r="Q56" s="419">
        <v>1727696749339</v>
      </c>
      <c r="R56" s="419">
        <v>1562235820967</v>
      </c>
      <c r="S56" s="419">
        <v>1848736438451</v>
      </c>
      <c r="T56" s="419"/>
      <c r="U56" s="439"/>
      <c r="Y56" s="61"/>
    </row>
    <row r="57" spans="1:25" s="56" customFormat="1" ht="16.5" customHeight="1">
      <c r="A57" s="322" t="s">
        <v>107</v>
      </c>
      <c r="B57" s="419">
        <v>7876440618</v>
      </c>
      <c r="C57" s="419">
        <v>6142994261</v>
      </c>
      <c r="D57" s="419">
        <v>4986306368</v>
      </c>
      <c r="E57" s="419">
        <v>6387572459</v>
      </c>
      <c r="F57" s="419">
        <v>9254433031</v>
      </c>
      <c r="G57" s="419">
        <v>8869498396</v>
      </c>
      <c r="H57" s="419">
        <v>8352023771</v>
      </c>
      <c r="I57" s="419">
        <v>11342723029</v>
      </c>
      <c r="J57" s="419">
        <v>11464399266</v>
      </c>
      <c r="K57" s="419">
        <v>11966582642</v>
      </c>
      <c r="L57" s="419">
        <v>11885658994</v>
      </c>
      <c r="M57" s="419">
        <v>13422443806</v>
      </c>
      <c r="N57" s="419">
        <v>12443795329</v>
      </c>
      <c r="O57" s="419">
        <v>12284751563</v>
      </c>
      <c r="P57" s="419">
        <v>11449980383</v>
      </c>
      <c r="Q57" s="419">
        <v>34774598623</v>
      </c>
      <c r="R57" s="419">
        <v>46619391274</v>
      </c>
      <c r="S57" s="419">
        <v>292762103850</v>
      </c>
      <c r="T57" s="419"/>
      <c r="U57" s="439"/>
      <c r="Y57" s="61"/>
    </row>
    <row r="58" spans="1:25" s="56" customFormat="1" ht="16.5" customHeight="1">
      <c r="A58" s="323" t="s">
        <v>108</v>
      </c>
      <c r="B58" s="419">
        <v>9390397284</v>
      </c>
      <c r="C58" s="419">
        <v>7806840723</v>
      </c>
      <c r="D58" s="419">
        <v>7037745234</v>
      </c>
      <c r="E58" s="419">
        <v>8352892596</v>
      </c>
      <c r="F58" s="419">
        <v>11405806153</v>
      </c>
      <c r="G58" s="419">
        <v>11312473419</v>
      </c>
      <c r="H58" s="419">
        <v>11058271039</v>
      </c>
      <c r="I58" s="419">
        <v>14436456575</v>
      </c>
      <c r="J58" s="419">
        <v>14698480312</v>
      </c>
      <c r="K58" s="419">
        <v>15350037083</v>
      </c>
      <c r="L58" s="419">
        <v>15614650381</v>
      </c>
      <c r="M58" s="419">
        <v>17619545885</v>
      </c>
      <c r="N58" s="419">
        <v>16630319200</v>
      </c>
      <c r="O58" s="419">
        <v>16524199204</v>
      </c>
      <c r="P58" s="419">
        <v>15868144803</v>
      </c>
      <c r="Q58" s="419">
        <v>165883994648</v>
      </c>
      <c r="R58" s="419">
        <v>176756588475</v>
      </c>
      <c r="S58" s="419">
        <v>729586927773</v>
      </c>
      <c r="T58" s="419"/>
      <c r="U58" s="439"/>
      <c r="Y58" s="61"/>
    </row>
    <row r="59" spans="1:25" s="56" customFormat="1" ht="16.5" customHeight="1">
      <c r="A59" s="324" t="s">
        <v>109</v>
      </c>
      <c r="B59" s="419">
        <v>47628125687</v>
      </c>
      <c r="C59" s="419">
        <v>49175457979</v>
      </c>
      <c r="D59" s="419">
        <v>51199314671</v>
      </c>
      <c r="E59" s="419">
        <v>56466212137</v>
      </c>
      <c r="F59" s="419">
        <v>63765910739</v>
      </c>
      <c r="G59" s="419">
        <v>66438288050</v>
      </c>
      <c r="H59" s="419">
        <v>66692374130</v>
      </c>
      <c r="I59" s="419">
        <v>67567994503</v>
      </c>
      <c r="J59" s="419">
        <v>66814065062</v>
      </c>
      <c r="K59" s="419">
        <v>66350112139</v>
      </c>
      <c r="L59" s="419">
        <v>65420549253</v>
      </c>
      <c r="M59" s="419">
        <v>80921173949</v>
      </c>
      <c r="N59" s="419">
        <v>69479197539</v>
      </c>
      <c r="O59" s="419">
        <v>68340178269</v>
      </c>
      <c r="P59" s="419">
        <v>66711451621</v>
      </c>
      <c r="Q59" s="419">
        <v>643585531107</v>
      </c>
      <c r="R59" s="419">
        <v>681698679210</v>
      </c>
      <c r="S59" s="419">
        <v>4646748673522</v>
      </c>
      <c r="T59" s="419"/>
      <c r="U59" s="439"/>
      <c r="Y59" s="61"/>
    </row>
    <row r="60" spans="1:25" s="56" customFormat="1" ht="16.5" customHeight="1">
      <c r="A60" s="324" t="s">
        <v>110</v>
      </c>
      <c r="B60" s="419">
        <v>-2220906384</v>
      </c>
      <c r="C60" s="419">
        <v>-2189985322</v>
      </c>
      <c r="D60" s="419">
        <v>-2212707697</v>
      </c>
      <c r="E60" s="419">
        <v>-2357506408</v>
      </c>
      <c r="F60" s="419">
        <v>-3118309804</v>
      </c>
      <c r="G60" s="419">
        <v>-3205529624</v>
      </c>
      <c r="H60" s="419">
        <v>-3130721679</v>
      </c>
      <c r="I60" s="419">
        <v>-3125858056</v>
      </c>
      <c r="J60" s="419">
        <v>-3006784629</v>
      </c>
      <c r="K60" s="419">
        <v>-2946360392</v>
      </c>
      <c r="L60" s="419">
        <v>-2884886305</v>
      </c>
      <c r="M60" s="419">
        <v>-2610711842</v>
      </c>
      <c r="N60" s="419">
        <v>-2055751985</v>
      </c>
      <c r="O60" s="419">
        <v>-2014198238</v>
      </c>
      <c r="P60" s="419">
        <v>-1903891187</v>
      </c>
      <c r="Q60" s="419">
        <v>-98843404739</v>
      </c>
      <c r="R60" s="419">
        <v>-97529048962</v>
      </c>
      <c r="S60" s="419">
        <v>-473427857146</v>
      </c>
      <c r="T60" s="419"/>
      <c r="U60" s="439"/>
      <c r="Y60" s="61"/>
    </row>
    <row r="61" spans="1:25" s="56" customFormat="1" ht="16.5" customHeight="1">
      <c r="A61" s="324" t="s">
        <v>111</v>
      </c>
      <c r="B61" s="419">
        <v>-36016822019</v>
      </c>
      <c r="C61" s="419">
        <v>-39178631934</v>
      </c>
      <c r="D61" s="419">
        <v>-41948861740</v>
      </c>
      <c r="E61" s="419">
        <v>-45755813133</v>
      </c>
      <c r="F61" s="419">
        <v>-49241794782</v>
      </c>
      <c r="G61" s="419">
        <v>-51920146464</v>
      </c>
      <c r="H61" s="419">
        <v>-52503381412</v>
      </c>
      <c r="I61" s="419">
        <v>-50005679872</v>
      </c>
      <c r="J61" s="419">
        <v>-49108800121</v>
      </c>
      <c r="K61" s="419">
        <v>-48053714664</v>
      </c>
      <c r="L61" s="419">
        <v>-46921012567</v>
      </c>
      <c r="M61" s="419">
        <v>-60690916222</v>
      </c>
      <c r="N61" s="419">
        <v>-50793126354</v>
      </c>
      <c r="O61" s="419">
        <v>-49801780827</v>
      </c>
      <c r="P61" s="419">
        <v>-48939415631</v>
      </c>
      <c r="Q61" s="419">
        <v>-378858131720</v>
      </c>
      <c r="R61" s="419">
        <v>-407413041773</v>
      </c>
      <c r="S61" s="419">
        <v>-3443733888603</v>
      </c>
      <c r="T61" s="419"/>
      <c r="U61" s="439"/>
      <c r="Y61" s="61"/>
    </row>
    <row r="62" spans="1:25" s="56" customFormat="1" ht="16.5" customHeight="1">
      <c r="A62" s="324" t="s">
        <v>112</v>
      </c>
      <c r="B62" s="419">
        <v>0</v>
      </c>
      <c r="C62" s="419">
        <v>0</v>
      </c>
      <c r="D62" s="419">
        <v>0</v>
      </c>
      <c r="E62" s="419">
        <v>0</v>
      </c>
      <c r="F62" s="419">
        <v>0</v>
      </c>
      <c r="G62" s="419">
        <v>-138543</v>
      </c>
      <c r="H62" s="419">
        <v>0</v>
      </c>
      <c r="I62" s="419">
        <v>0</v>
      </c>
      <c r="J62" s="419">
        <v>0</v>
      </c>
      <c r="K62" s="419">
        <v>0</v>
      </c>
      <c r="L62" s="419">
        <v>0</v>
      </c>
      <c r="M62" s="419">
        <v>0</v>
      </c>
      <c r="N62" s="419">
        <v>0</v>
      </c>
      <c r="O62" s="419">
        <v>0</v>
      </c>
      <c r="P62" s="419">
        <v>0</v>
      </c>
      <c r="Q62" s="419">
        <v>0</v>
      </c>
      <c r="R62" s="419">
        <v>0</v>
      </c>
      <c r="S62" s="419">
        <v>0</v>
      </c>
      <c r="T62" s="419"/>
      <c r="U62" s="439"/>
      <c r="Y62" s="61"/>
    </row>
    <row r="63" spans="1:25" s="56" customFormat="1" ht="16.5" customHeight="1">
      <c r="A63" s="323" t="s">
        <v>113</v>
      </c>
      <c r="B63" s="419">
        <v>-1513956666</v>
      </c>
      <c r="C63" s="419">
        <v>-1663846462</v>
      </c>
      <c r="D63" s="419">
        <v>-2051438866</v>
      </c>
      <c r="E63" s="419">
        <v>-1965320137</v>
      </c>
      <c r="F63" s="419">
        <v>-2151373122</v>
      </c>
      <c r="G63" s="419">
        <v>-2442975023</v>
      </c>
      <c r="H63" s="419">
        <v>-2706247268</v>
      </c>
      <c r="I63" s="419">
        <v>-3093733546</v>
      </c>
      <c r="J63" s="419">
        <v>-3234081046</v>
      </c>
      <c r="K63" s="419">
        <v>-3383454441</v>
      </c>
      <c r="L63" s="419">
        <v>-3728991387</v>
      </c>
      <c r="M63" s="419">
        <v>-4197102079</v>
      </c>
      <c r="N63" s="419">
        <v>-4186523871</v>
      </c>
      <c r="O63" s="419">
        <v>-4239447641</v>
      </c>
      <c r="P63" s="419">
        <v>-4418164420</v>
      </c>
      <c r="Q63" s="419">
        <v>-131109396025</v>
      </c>
      <c r="R63" s="419">
        <v>-130137197201</v>
      </c>
      <c r="S63" s="419">
        <v>-436824823923</v>
      </c>
      <c r="T63" s="419"/>
      <c r="U63" s="439"/>
      <c r="Y63" s="61"/>
    </row>
    <row r="64" spans="1:25" s="95" customFormat="1" ht="16.5" customHeight="1">
      <c r="A64" s="324" t="s">
        <v>109</v>
      </c>
      <c r="B64" s="419">
        <v>-1374162599</v>
      </c>
      <c r="C64" s="419">
        <v>-1522189689</v>
      </c>
      <c r="D64" s="419">
        <v>-1894224893</v>
      </c>
      <c r="E64" s="419">
        <v>-1791123427</v>
      </c>
      <c r="F64" s="419">
        <v>-1958693282</v>
      </c>
      <c r="G64" s="419">
        <v>-2220579914</v>
      </c>
      <c r="H64" s="419">
        <v>-2448147795</v>
      </c>
      <c r="I64" s="419">
        <v>-2809072496</v>
      </c>
      <c r="J64" s="419">
        <v>-2934864407</v>
      </c>
      <c r="K64" s="419">
        <v>-3051000978</v>
      </c>
      <c r="L64" s="419">
        <v>-3325621538</v>
      </c>
      <c r="M64" s="419">
        <v>-3768824336</v>
      </c>
      <c r="N64" s="419">
        <v>-3779892923</v>
      </c>
      <c r="O64" s="419">
        <v>-3847642826</v>
      </c>
      <c r="P64" s="419">
        <v>-4028955578</v>
      </c>
      <c r="Q64" s="419">
        <v>-126120809109</v>
      </c>
      <c r="R64" s="419">
        <v>-125371084799</v>
      </c>
      <c r="S64" s="419">
        <v>-422697619458</v>
      </c>
      <c r="T64" s="419"/>
      <c r="U64" s="439"/>
      <c r="Y64" s="61"/>
    </row>
    <row r="65" spans="1:25" s="95" customFormat="1" ht="16.5" customHeight="1">
      <c r="A65" s="324" t="s">
        <v>110</v>
      </c>
      <c r="B65" s="419">
        <v>-139794067</v>
      </c>
      <c r="C65" s="419">
        <v>-141656773</v>
      </c>
      <c r="D65" s="419">
        <v>-157213973</v>
      </c>
      <c r="E65" s="419">
        <v>-174196710</v>
      </c>
      <c r="F65" s="419">
        <v>-192679840</v>
      </c>
      <c r="G65" s="419">
        <v>-222395109</v>
      </c>
      <c r="H65" s="419">
        <v>-258099473</v>
      </c>
      <c r="I65" s="419">
        <v>-284661050</v>
      </c>
      <c r="J65" s="419">
        <v>-299216639</v>
      </c>
      <c r="K65" s="419">
        <v>-332453463</v>
      </c>
      <c r="L65" s="419">
        <v>-403369849</v>
      </c>
      <c r="M65" s="419">
        <v>-428277743</v>
      </c>
      <c r="N65" s="419">
        <v>-406630948</v>
      </c>
      <c r="O65" s="419">
        <v>-391804815</v>
      </c>
      <c r="P65" s="419">
        <v>-389208842</v>
      </c>
      <c r="Q65" s="419">
        <v>-4988586916</v>
      </c>
      <c r="R65" s="419">
        <v>-4766112402</v>
      </c>
      <c r="S65" s="419">
        <v>-14127204465</v>
      </c>
      <c r="T65" s="419"/>
      <c r="U65" s="439"/>
      <c r="Y65" s="61"/>
    </row>
    <row r="66" spans="1:25" s="95" customFormat="1" ht="16.5" customHeight="1">
      <c r="A66" s="322" t="s">
        <v>114</v>
      </c>
      <c r="B66" s="419">
        <v>948209541776</v>
      </c>
      <c r="C66" s="419">
        <v>871413994819</v>
      </c>
      <c r="D66" s="419">
        <v>962928167260</v>
      </c>
      <c r="E66" s="419">
        <v>986113553985</v>
      </c>
      <c r="F66" s="419">
        <v>1017899190333</v>
      </c>
      <c r="G66" s="419">
        <v>1014199072036</v>
      </c>
      <c r="H66" s="419">
        <v>852681083199</v>
      </c>
      <c r="I66" s="419">
        <v>921131674571</v>
      </c>
      <c r="J66" s="419">
        <v>897052298001</v>
      </c>
      <c r="K66" s="419">
        <v>910428164453</v>
      </c>
      <c r="L66" s="419">
        <v>931674885023</v>
      </c>
      <c r="M66" s="419">
        <v>949547316975</v>
      </c>
      <c r="N66" s="419">
        <v>970775380583</v>
      </c>
      <c r="O66" s="419">
        <v>1006806128241</v>
      </c>
      <c r="P66" s="419">
        <v>1037278210624</v>
      </c>
      <c r="Q66" s="419">
        <v>958975156161</v>
      </c>
      <c r="R66" s="419">
        <v>897957626642</v>
      </c>
      <c r="S66" s="419">
        <v>908317041842</v>
      </c>
      <c r="T66" s="419"/>
      <c r="U66" s="439"/>
      <c r="V66" s="197"/>
      <c r="Y66" s="61"/>
    </row>
    <row r="67" spans="1:25" s="95" customFormat="1" ht="16.5" customHeight="1">
      <c r="A67" s="323" t="s">
        <v>108</v>
      </c>
      <c r="B67" s="419">
        <v>442211105911</v>
      </c>
      <c r="C67" s="419">
        <v>335685959456</v>
      </c>
      <c r="D67" s="419">
        <v>327940713968</v>
      </c>
      <c r="E67" s="419">
        <v>317742021748</v>
      </c>
      <c r="F67" s="419">
        <v>323155695777</v>
      </c>
      <c r="G67" s="419">
        <v>361172143646</v>
      </c>
      <c r="H67" s="419">
        <v>207916598184</v>
      </c>
      <c r="I67" s="419">
        <v>264403078417</v>
      </c>
      <c r="J67" s="419">
        <v>294115407558</v>
      </c>
      <c r="K67" s="419">
        <v>321117868252</v>
      </c>
      <c r="L67" s="419">
        <v>308953328776</v>
      </c>
      <c r="M67" s="419">
        <v>287196988542</v>
      </c>
      <c r="N67" s="419">
        <v>403954278106</v>
      </c>
      <c r="O67" s="419">
        <v>395688961248</v>
      </c>
      <c r="P67" s="419">
        <v>405347553361</v>
      </c>
      <c r="Q67" s="419">
        <v>355113987174</v>
      </c>
      <c r="R67" s="419">
        <v>327064540137</v>
      </c>
      <c r="S67" s="419">
        <v>294295413538</v>
      </c>
      <c r="T67" s="419"/>
      <c r="U67" s="439"/>
      <c r="V67" s="197"/>
      <c r="Y67" s="61"/>
    </row>
    <row r="68" spans="1:25" s="95" customFormat="1" ht="16.5" customHeight="1">
      <c r="A68" s="324" t="s">
        <v>109</v>
      </c>
      <c r="B68" s="419">
        <v>1007670189745</v>
      </c>
      <c r="C68" s="419">
        <v>910645911848</v>
      </c>
      <c r="D68" s="419">
        <v>873774066364</v>
      </c>
      <c r="E68" s="419">
        <v>806218998365</v>
      </c>
      <c r="F68" s="419">
        <v>756765436777</v>
      </c>
      <c r="G68" s="419">
        <v>790674858759</v>
      </c>
      <c r="H68" s="419">
        <v>552204142043</v>
      </c>
      <c r="I68" s="419">
        <v>423468968012</v>
      </c>
      <c r="J68" s="419">
        <v>388657107093</v>
      </c>
      <c r="K68" s="419">
        <v>413875735930</v>
      </c>
      <c r="L68" s="419">
        <v>402167843844</v>
      </c>
      <c r="M68" s="419">
        <v>226622699583</v>
      </c>
      <c r="N68" s="419">
        <v>344350973159</v>
      </c>
      <c r="O68" s="419">
        <v>322700327382</v>
      </c>
      <c r="P68" s="419">
        <v>376734499630</v>
      </c>
      <c r="Q68" s="419">
        <v>215292538705</v>
      </c>
      <c r="R68" s="419">
        <v>164201424853</v>
      </c>
      <c r="S68" s="419">
        <v>-32980614437</v>
      </c>
      <c r="T68" s="419"/>
      <c r="U68" s="439"/>
      <c r="V68" s="197"/>
      <c r="Y68" s="61"/>
    </row>
    <row r="69" spans="1:25" s="95" customFormat="1" ht="16.5" customHeight="1">
      <c r="A69" s="324" t="s">
        <v>110</v>
      </c>
      <c r="B69" s="419">
        <v>177816017686</v>
      </c>
      <c r="C69" s="419">
        <v>167133199651</v>
      </c>
      <c r="D69" s="419">
        <v>159406562321</v>
      </c>
      <c r="E69" s="419">
        <v>172408343591</v>
      </c>
      <c r="F69" s="419">
        <v>195042902599</v>
      </c>
      <c r="G69" s="419">
        <v>188147916092</v>
      </c>
      <c r="H69" s="419">
        <v>168509569270</v>
      </c>
      <c r="I69" s="419">
        <v>144345420317</v>
      </c>
      <c r="J69" s="419">
        <v>163565145684</v>
      </c>
      <c r="K69" s="419">
        <v>156650588533</v>
      </c>
      <c r="L69" s="419">
        <v>157905967500</v>
      </c>
      <c r="M69" s="419">
        <v>137071077763</v>
      </c>
      <c r="N69" s="419">
        <v>142012794251</v>
      </c>
      <c r="O69" s="419">
        <v>126552428550</v>
      </c>
      <c r="P69" s="419">
        <v>129545885602</v>
      </c>
      <c r="Q69" s="419">
        <v>111069862430</v>
      </c>
      <c r="R69" s="419">
        <v>105026811654</v>
      </c>
      <c r="S69" s="419">
        <v>90828051022</v>
      </c>
      <c r="T69" s="419"/>
      <c r="U69" s="439"/>
      <c r="V69" s="197"/>
      <c r="Y69" s="61"/>
    </row>
    <row r="70" spans="1:25" s="95" customFormat="1" ht="16.5" customHeight="1">
      <c r="A70" s="324" t="s">
        <v>111</v>
      </c>
      <c r="B70" s="419">
        <v>-782089254841</v>
      </c>
      <c r="C70" s="419">
        <v>-767851517122</v>
      </c>
      <c r="D70" s="419">
        <v>-752259150202</v>
      </c>
      <c r="E70" s="419">
        <v>-688305184279</v>
      </c>
      <c r="F70" s="419">
        <v>-676219191021</v>
      </c>
      <c r="G70" s="419">
        <v>-655805725256</v>
      </c>
      <c r="H70" s="419">
        <v>-566576967118</v>
      </c>
      <c r="I70" s="419">
        <v>-343385328935</v>
      </c>
      <c r="J70" s="419">
        <v>-293073956361</v>
      </c>
      <c r="K70" s="419">
        <v>-294084973777</v>
      </c>
      <c r="L70" s="419">
        <v>-292959269891</v>
      </c>
      <c r="M70" s="419">
        <v>-123484840402</v>
      </c>
      <c r="N70" s="419">
        <v>-129225265450</v>
      </c>
      <c r="O70" s="419">
        <v>-99707784722</v>
      </c>
      <c r="P70" s="419">
        <v>-139797525999</v>
      </c>
      <c r="Q70" s="419">
        <v>-11435141202</v>
      </c>
      <c r="R70" s="419">
        <v>23166654019</v>
      </c>
      <c r="S70" s="419">
        <v>219460674643</v>
      </c>
      <c r="T70" s="419"/>
      <c r="U70" s="439"/>
      <c r="V70" s="197"/>
      <c r="Y70" s="61"/>
    </row>
    <row r="71" spans="1:25" s="95" customFormat="1" ht="16.5" customHeight="1">
      <c r="A71" s="324" t="s">
        <v>112</v>
      </c>
      <c r="B71" s="419">
        <v>38814153321</v>
      </c>
      <c r="C71" s="419">
        <v>25758365079</v>
      </c>
      <c r="D71" s="419">
        <v>47019235485</v>
      </c>
      <c r="E71" s="419">
        <v>27419864071</v>
      </c>
      <c r="F71" s="419">
        <v>47566547422</v>
      </c>
      <c r="G71" s="419">
        <v>38155094051</v>
      </c>
      <c r="H71" s="419">
        <v>53779853989</v>
      </c>
      <c r="I71" s="419">
        <v>39974019023</v>
      </c>
      <c r="J71" s="419">
        <v>34967111142</v>
      </c>
      <c r="K71" s="419">
        <v>44676517566</v>
      </c>
      <c r="L71" s="419">
        <v>41838787323</v>
      </c>
      <c r="M71" s="419">
        <v>46988051598</v>
      </c>
      <c r="N71" s="419">
        <v>46815776146</v>
      </c>
      <c r="O71" s="419">
        <v>46143990038</v>
      </c>
      <c r="P71" s="419">
        <v>38864694128</v>
      </c>
      <c r="Q71" s="419">
        <v>40186727241</v>
      </c>
      <c r="R71" s="419">
        <v>34669649611</v>
      </c>
      <c r="S71" s="419">
        <v>16987302310</v>
      </c>
      <c r="T71" s="419"/>
      <c r="U71" s="439"/>
      <c r="V71" s="197"/>
      <c r="Y71" s="61"/>
    </row>
    <row r="72" spans="1:25" s="95" customFormat="1" ht="16.5" customHeight="1">
      <c r="A72" s="323" t="s">
        <v>113</v>
      </c>
      <c r="B72" s="419">
        <v>505998435865</v>
      </c>
      <c r="C72" s="419">
        <v>535728035363</v>
      </c>
      <c r="D72" s="419">
        <v>634987453292</v>
      </c>
      <c r="E72" s="419">
        <v>668371532237</v>
      </c>
      <c r="F72" s="419">
        <v>694743494556</v>
      </c>
      <c r="G72" s="419">
        <v>653026928390</v>
      </c>
      <c r="H72" s="419">
        <v>644764485015</v>
      </c>
      <c r="I72" s="419">
        <v>656728596154</v>
      </c>
      <c r="J72" s="419">
        <v>602936890443</v>
      </c>
      <c r="K72" s="419">
        <v>589310296201</v>
      </c>
      <c r="L72" s="419">
        <v>622721556247</v>
      </c>
      <c r="M72" s="419">
        <v>662350328433</v>
      </c>
      <c r="N72" s="419">
        <v>566821102477</v>
      </c>
      <c r="O72" s="419">
        <v>611117166993</v>
      </c>
      <c r="P72" s="419">
        <v>631930657263</v>
      </c>
      <c r="Q72" s="419">
        <v>603861168987</v>
      </c>
      <c r="R72" s="419">
        <v>570893086505</v>
      </c>
      <c r="S72" s="419">
        <v>614021628304</v>
      </c>
      <c r="T72" s="419"/>
      <c r="U72" s="439"/>
      <c r="V72" s="197"/>
      <c r="Y72" s="61"/>
    </row>
    <row r="73" spans="1:25" s="95" customFormat="1" ht="16.5" customHeight="1">
      <c r="A73" s="324" t="s">
        <v>109</v>
      </c>
      <c r="B73" s="419">
        <v>486553192475</v>
      </c>
      <c r="C73" s="419">
        <v>515825786670</v>
      </c>
      <c r="D73" s="419">
        <v>605900754144</v>
      </c>
      <c r="E73" s="419">
        <v>644638226214</v>
      </c>
      <c r="F73" s="419">
        <v>671559699013</v>
      </c>
      <c r="G73" s="419">
        <v>629266134313</v>
      </c>
      <c r="H73" s="419">
        <v>623583911253</v>
      </c>
      <c r="I73" s="419">
        <v>627344840302</v>
      </c>
      <c r="J73" s="419">
        <v>580800430496</v>
      </c>
      <c r="K73" s="419">
        <v>566676484471</v>
      </c>
      <c r="L73" s="419">
        <v>595164358806</v>
      </c>
      <c r="M73" s="419">
        <v>645462984930</v>
      </c>
      <c r="N73" s="419">
        <v>549139993586</v>
      </c>
      <c r="O73" s="419">
        <v>597433207577</v>
      </c>
      <c r="P73" s="419">
        <v>611350844690</v>
      </c>
      <c r="Q73" s="419">
        <v>585816471214</v>
      </c>
      <c r="R73" s="419">
        <v>554224806411</v>
      </c>
      <c r="S73" s="419">
        <v>596235631731</v>
      </c>
      <c r="T73" s="419"/>
      <c r="U73" s="439"/>
      <c r="V73" s="197"/>
      <c r="Y73" s="61"/>
    </row>
    <row r="74" spans="1:25" s="56" customFormat="1" ht="16.5" customHeight="1">
      <c r="A74" s="324" t="s">
        <v>110</v>
      </c>
      <c r="B74" s="419">
        <v>19445243390</v>
      </c>
      <c r="C74" s="419">
        <v>19902248693</v>
      </c>
      <c r="D74" s="419">
        <v>29086699148</v>
      </c>
      <c r="E74" s="419">
        <v>23733306023</v>
      </c>
      <c r="F74" s="419">
        <v>23183795543</v>
      </c>
      <c r="G74" s="419">
        <v>23760794077</v>
      </c>
      <c r="H74" s="419">
        <v>21180573762</v>
      </c>
      <c r="I74" s="419">
        <v>29383755852</v>
      </c>
      <c r="J74" s="419">
        <v>22136459947</v>
      </c>
      <c r="K74" s="419">
        <v>22633811730</v>
      </c>
      <c r="L74" s="419">
        <v>27557197441</v>
      </c>
      <c r="M74" s="419">
        <v>16887343503</v>
      </c>
      <c r="N74" s="419">
        <v>17681108891</v>
      </c>
      <c r="O74" s="419">
        <v>13683959416</v>
      </c>
      <c r="P74" s="419">
        <v>20579812573</v>
      </c>
      <c r="Q74" s="419">
        <v>18044697773</v>
      </c>
      <c r="R74" s="419">
        <v>16668280094</v>
      </c>
      <c r="S74" s="419">
        <v>17785996573</v>
      </c>
      <c r="T74" s="419"/>
      <c r="U74" s="439"/>
      <c r="V74" s="59"/>
      <c r="Y74" s="61"/>
    </row>
    <row r="75" spans="1:25" s="56" customFormat="1" ht="16.5" customHeight="1">
      <c r="A75" s="322" t="s">
        <v>115</v>
      </c>
      <c r="B75" s="419">
        <v>91629621598</v>
      </c>
      <c r="C75" s="419">
        <v>94695916023</v>
      </c>
      <c r="D75" s="419">
        <v>88463401934</v>
      </c>
      <c r="E75" s="419">
        <v>140169211476</v>
      </c>
      <c r="F75" s="419">
        <v>105722182910</v>
      </c>
      <c r="G75" s="419">
        <v>106273227841</v>
      </c>
      <c r="H75" s="419">
        <v>148769346162</v>
      </c>
      <c r="I75" s="419">
        <v>122266378673</v>
      </c>
      <c r="J75" s="419">
        <v>111452211960</v>
      </c>
      <c r="K75" s="419">
        <v>143014719768</v>
      </c>
      <c r="L75" s="419">
        <v>138180386102</v>
      </c>
      <c r="M75" s="419">
        <v>132597328513</v>
      </c>
      <c r="N75" s="419">
        <v>112887323532</v>
      </c>
      <c r="O75" s="419">
        <v>120039661837</v>
      </c>
      <c r="P75" s="419">
        <v>121250595235</v>
      </c>
      <c r="Q75" s="419">
        <v>124069381928</v>
      </c>
      <c r="R75" s="419">
        <v>115714339896</v>
      </c>
      <c r="S75" s="419">
        <v>105789015462</v>
      </c>
      <c r="T75" s="419"/>
      <c r="U75" s="439"/>
      <c r="Y75" s="61"/>
    </row>
    <row r="76" spans="1:25" s="95" customFormat="1" ht="16.5" customHeight="1">
      <c r="A76" s="323" t="s">
        <v>116</v>
      </c>
      <c r="B76" s="419">
        <v>26702832395</v>
      </c>
      <c r="C76" s="419">
        <v>28405177765</v>
      </c>
      <c r="D76" s="419">
        <v>26956698138</v>
      </c>
      <c r="E76" s="419">
        <v>33741093585</v>
      </c>
      <c r="F76" s="419">
        <v>33241181297</v>
      </c>
      <c r="G76" s="419">
        <v>32647034370</v>
      </c>
      <c r="H76" s="419">
        <v>35301312699</v>
      </c>
      <c r="I76" s="419">
        <v>35562519583</v>
      </c>
      <c r="J76" s="419">
        <v>35151131744</v>
      </c>
      <c r="K76" s="419">
        <v>31119227340</v>
      </c>
      <c r="L76" s="419">
        <v>33241983856</v>
      </c>
      <c r="M76" s="419">
        <v>35693983901</v>
      </c>
      <c r="N76" s="419">
        <v>30166644063</v>
      </c>
      <c r="O76" s="419">
        <v>30535578190</v>
      </c>
      <c r="P76" s="419">
        <v>31667723382</v>
      </c>
      <c r="Q76" s="419">
        <v>33277549733</v>
      </c>
      <c r="R76" s="419">
        <v>27266144034</v>
      </c>
      <c r="S76" s="419">
        <v>15902359971</v>
      </c>
      <c r="T76" s="419"/>
      <c r="U76" s="439"/>
    </row>
    <row r="77" spans="1:25" s="95" customFormat="1" ht="16.5" customHeight="1">
      <c r="A77" s="323" t="s">
        <v>117</v>
      </c>
      <c r="B77" s="419">
        <v>71550866203</v>
      </c>
      <c r="C77" s="419">
        <v>73012286258</v>
      </c>
      <c r="D77" s="419">
        <v>68144576796</v>
      </c>
      <c r="E77" s="419">
        <v>112880663891</v>
      </c>
      <c r="F77" s="419">
        <v>79590571613</v>
      </c>
      <c r="G77" s="419">
        <v>80325287471</v>
      </c>
      <c r="H77" s="419">
        <v>121966118463</v>
      </c>
      <c r="I77" s="419">
        <v>93294472090</v>
      </c>
      <c r="J77" s="419">
        <v>84069119216</v>
      </c>
      <c r="K77" s="419">
        <v>119645770428</v>
      </c>
      <c r="L77" s="419">
        <v>111933839246</v>
      </c>
      <c r="M77" s="419">
        <v>103390072612</v>
      </c>
      <c r="N77" s="419">
        <v>89166937469</v>
      </c>
      <c r="O77" s="419">
        <v>96176824647</v>
      </c>
      <c r="P77" s="419">
        <v>96606975853</v>
      </c>
      <c r="Q77" s="419">
        <v>97895070195</v>
      </c>
      <c r="R77" s="419">
        <v>95915469862</v>
      </c>
      <c r="S77" s="419">
        <v>97596767491</v>
      </c>
      <c r="T77" s="419"/>
      <c r="U77" s="439"/>
    </row>
    <row r="78" spans="1:25" s="95" customFormat="1" ht="16.5" customHeight="1">
      <c r="A78" s="323" t="s">
        <v>118</v>
      </c>
      <c r="B78" s="419">
        <v>-6624077000</v>
      </c>
      <c r="C78" s="419">
        <v>-6721548000</v>
      </c>
      <c r="D78" s="419">
        <v>-6637873000</v>
      </c>
      <c r="E78" s="419">
        <v>-6452546000</v>
      </c>
      <c r="F78" s="419">
        <v>-7109570000</v>
      </c>
      <c r="G78" s="419">
        <v>-6699094000</v>
      </c>
      <c r="H78" s="419">
        <v>-8498085000</v>
      </c>
      <c r="I78" s="419">
        <v>-6590613000</v>
      </c>
      <c r="J78" s="419">
        <v>-7768039000</v>
      </c>
      <c r="K78" s="419">
        <v>-7750278000</v>
      </c>
      <c r="L78" s="419">
        <v>-6995437000</v>
      </c>
      <c r="M78" s="419">
        <v>-6486728000</v>
      </c>
      <c r="N78" s="419">
        <v>-6446258000</v>
      </c>
      <c r="O78" s="419">
        <v>-6672741000</v>
      </c>
      <c r="P78" s="419">
        <v>-7024104000</v>
      </c>
      <c r="Q78" s="419">
        <v>-7103238000</v>
      </c>
      <c r="R78" s="419">
        <v>-7467274000</v>
      </c>
      <c r="S78" s="419">
        <v>-7710112000</v>
      </c>
      <c r="T78" s="419"/>
      <c r="U78" s="439"/>
    </row>
    <row r="79" spans="1:25" s="95" customFormat="1" ht="16.5" customHeight="1">
      <c r="A79" s="322" t="s">
        <v>119</v>
      </c>
      <c r="B79" s="419">
        <v>54865243483</v>
      </c>
      <c r="C79" s="419">
        <v>54795639694</v>
      </c>
      <c r="D79" s="419">
        <v>56059715242</v>
      </c>
      <c r="E79" s="419">
        <v>55751613164</v>
      </c>
      <c r="F79" s="419">
        <v>54378735476</v>
      </c>
      <c r="G79" s="419">
        <v>51542288642</v>
      </c>
      <c r="H79" s="419">
        <v>55991504914</v>
      </c>
      <c r="I79" s="419">
        <v>54636463429</v>
      </c>
      <c r="J79" s="419">
        <v>54549127165</v>
      </c>
      <c r="K79" s="419">
        <v>52692305002</v>
      </c>
      <c r="L79" s="419">
        <v>49282616297</v>
      </c>
      <c r="M79" s="419">
        <v>46318447428</v>
      </c>
      <c r="N79" s="419">
        <v>48350124477</v>
      </c>
      <c r="O79" s="419">
        <v>46102161334</v>
      </c>
      <c r="P79" s="419">
        <v>52395696867</v>
      </c>
      <c r="Q79" s="419">
        <v>53571556799</v>
      </c>
      <c r="R79" s="419">
        <v>53128013370</v>
      </c>
      <c r="S79" s="419">
        <v>57282217905</v>
      </c>
      <c r="T79" s="419"/>
      <c r="U79" s="439"/>
    </row>
    <row r="80" spans="1:25" s="95" customFormat="1" ht="16.5" customHeight="1">
      <c r="A80" s="323" t="s">
        <v>120</v>
      </c>
      <c r="B80" s="419">
        <v>-1063022581</v>
      </c>
      <c r="C80" s="419">
        <v>-1088049098</v>
      </c>
      <c r="D80" s="419">
        <v>-929969450</v>
      </c>
      <c r="E80" s="419">
        <v>-1133620878</v>
      </c>
      <c r="F80" s="419">
        <v>-973680324</v>
      </c>
      <c r="G80" s="419">
        <v>-3317783958</v>
      </c>
      <c r="H80" s="419">
        <v>-1162684908</v>
      </c>
      <c r="I80" s="419">
        <v>-1121911429</v>
      </c>
      <c r="J80" s="419">
        <v>-1418713374</v>
      </c>
      <c r="K80" s="419">
        <v>-1486898578</v>
      </c>
      <c r="L80" s="419">
        <v>-1259992773</v>
      </c>
      <c r="M80" s="419">
        <v>-1169747297</v>
      </c>
      <c r="N80" s="419">
        <v>-1198737049</v>
      </c>
      <c r="O80" s="419">
        <v>-1115815522</v>
      </c>
      <c r="P80" s="419">
        <v>-939818389</v>
      </c>
      <c r="Q80" s="419">
        <v>-997442457</v>
      </c>
      <c r="R80" s="419">
        <v>-1078408586</v>
      </c>
      <c r="S80" s="419">
        <v>-1048799951</v>
      </c>
      <c r="T80" s="419"/>
      <c r="U80" s="439"/>
    </row>
    <row r="81" spans="1:25" s="95" customFormat="1" ht="16.5" customHeight="1">
      <c r="A81" s="323" t="s">
        <v>599</v>
      </c>
      <c r="B81" s="419">
        <v>52612279004</v>
      </c>
      <c r="C81" s="419">
        <v>52054139004</v>
      </c>
      <c r="D81" s="419">
        <v>52316934904</v>
      </c>
      <c r="E81" s="419">
        <v>51615784254</v>
      </c>
      <c r="F81" s="419">
        <v>49531754454</v>
      </c>
      <c r="G81" s="419">
        <v>48262311254</v>
      </c>
      <c r="H81" s="419">
        <v>49084306654</v>
      </c>
      <c r="I81" s="419">
        <v>47177380524</v>
      </c>
      <c r="J81" s="419">
        <v>47687856695</v>
      </c>
      <c r="K81" s="419">
        <v>45773071087</v>
      </c>
      <c r="L81" s="419">
        <v>41231106087</v>
      </c>
      <c r="M81" s="419">
        <v>37125864466</v>
      </c>
      <c r="N81" s="419">
        <v>35906864466</v>
      </c>
      <c r="O81" s="419">
        <v>34780084796</v>
      </c>
      <c r="P81" s="419">
        <v>34315173196</v>
      </c>
      <c r="Q81" s="419">
        <v>19664615000</v>
      </c>
      <c r="R81" s="419">
        <v>19574915000</v>
      </c>
      <c r="S81" s="419">
        <v>21910865000</v>
      </c>
      <c r="T81" s="419"/>
      <c r="U81" s="439"/>
    </row>
    <row r="82" spans="1:25" s="95" customFormat="1" ht="16.5" customHeight="1">
      <c r="A82" s="323" t="s">
        <v>121</v>
      </c>
      <c r="B82" s="419">
        <v>145887060</v>
      </c>
      <c r="C82" s="419">
        <v>116887060</v>
      </c>
      <c r="D82" s="419">
        <v>116887060</v>
      </c>
      <c r="E82" s="419">
        <v>116887060</v>
      </c>
      <c r="F82" s="419">
        <v>116887060</v>
      </c>
      <c r="G82" s="419">
        <v>116887060</v>
      </c>
      <c r="H82" s="419">
        <v>116887060</v>
      </c>
      <c r="I82" s="419">
        <v>81887060</v>
      </c>
      <c r="J82" s="419">
        <v>81887060</v>
      </c>
      <c r="K82" s="419">
        <v>81887060</v>
      </c>
      <c r="L82" s="419">
        <v>81887060</v>
      </c>
      <c r="M82" s="419">
        <v>81887060</v>
      </c>
      <c r="N82" s="419">
        <v>81887060</v>
      </c>
      <c r="O82" s="419">
        <v>81887060</v>
      </c>
      <c r="P82" s="419">
        <v>81887060</v>
      </c>
      <c r="Q82" s="419">
        <v>81887060</v>
      </c>
      <c r="R82" s="419">
        <v>81887060</v>
      </c>
      <c r="S82" s="419">
        <v>81887060</v>
      </c>
      <c r="T82" s="419"/>
      <c r="U82" s="439"/>
    </row>
    <row r="83" spans="1:25" s="95" customFormat="1" ht="16.5" customHeight="1">
      <c r="A83" s="323" t="s">
        <v>600</v>
      </c>
      <c r="B83" s="419">
        <v>3170100000</v>
      </c>
      <c r="C83" s="419">
        <v>3712662728</v>
      </c>
      <c r="D83" s="419">
        <v>4555862728</v>
      </c>
      <c r="E83" s="419">
        <v>5152562728</v>
      </c>
      <c r="F83" s="419">
        <v>5703774286</v>
      </c>
      <c r="G83" s="419">
        <v>6480874286</v>
      </c>
      <c r="H83" s="419">
        <v>7952996108</v>
      </c>
      <c r="I83" s="419">
        <v>8499107274</v>
      </c>
      <c r="J83" s="419">
        <v>8198096784</v>
      </c>
      <c r="K83" s="419">
        <v>8324245433</v>
      </c>
      <c r="L83" s="419">
        <v>9229615923</v>
      </c>
      <c r="M83" s="419">
        <v>10280443199</v>
      </c>
      <c r="N83" s="419">
        <v>13560110000</v>
      </c>
      <c r="O83" s="419">
        <v>12356005000</v>
      </c>
      <c r="P83" s="419">
        <v>18938455000</v>
      </c>
      <c r="Q83" s="419">
        <v>34822497196</v>
      </c>
      <c r="R83" s="419">
        <v>34549619896</v>
      </c>
      <c r="S83" s="419">
        <v>36338265796</v>
      </c>
      <c r="T83" s="419"/>
      <c r="U83" s="439"/>
    </row>
    <row r="84" spans="1:25" s="95" customFormat="1" ht="16.5" customHeight="1">
      <c r="A84" s="322" t="s">
        <v>122</v>
      </c>
      <c r="B84" s="419">
        <v>65523044960</v>
      </c>
      <c r="C84" s="419">
        <v>103414886844</v>
      </c>
      <c r="D84" s="419">
        <v>85204133921</v>
      </c>
      <c r="E84" s="419">
        <v>124506469327</v>
      </c>
      <c r="F84" s="419">
        <v>115474584285</v>
      </c>
      <c r="G84" s="419">
        <v>166331086975</v>
      </c>
      <c r="H84" s="419">
        <v>161108156116</v>
      </c>
      <c r="I84" s="419">
        <v>208023388376</v>
      </c>
      <c r="J84" s="419">
        <v>180734603642</v>
      </c>
      <c r="K84" s="419">
        <v>240364342707</v>
      </c>
      <c r="L84" s="419">
        <v>211474548394</v>
      </c>
      <c r="M84" s="419">
        <v>287444839406</v>
      </c>
      <c r="N84" s="419">
        <v>242063467694</v>
      </c>
      <c r="O84" s="419">
        <v>274975717549</v>
      </c>
      <c r="P84" s="419">
        <v>226370635708</v>
      </c>
      <c r="Q84" s="419">
        <v>283196679332</v>
      </c>
      <c r="R84" s="419">
        <v>272968077430</v>
      </c>
      <c r="S84" s="419">
        <v>330904402201</v>
      </c>
      <c r="T84" s="419"/>
      <c r="U84" s="439"/>
    </row>
    <row r="85" spans="1:25" s="95" customFormat="1" ht="16.5" customHeight="1">
      <c r="A85" s="323" t="s">
        <v>118</v>
      </c>
      <c r="B85" s="419">
        <v>-148165242</v>
      </c>
      <c r="C85" s="419">
        <v>-169105433</v>
      </c>
      <c r="D85" s="419">
        <v>-228444759</v>
      </c>
      <c r="E85" s="419">
        <v>-273256485</v>
      </c>
      <c r="F85" s="419">
        <v>-392430231</v>
      </c>
      <c r="G85" s="419">
        <v>-527940090</v>
      </c>
      <c r="H85" s="419">
        <v>-773347580</v>
      </c>
      <c r="I85" s="419">
        <v>-885766112</v>
      </c>
      <c r="J85" s="419">
        <v>-1285505106</v>
      </c>
      <c r="K85" s="419">
        <v>-1639898019</v>
      </c>
      <c r="L85" s="419">
        <v>-1640300791</v>
      </c>
      <c r="M85" s="419">
        <v>-1951028467</v>
      </c>
      <c r="N85" s="419">
        <v>-1223099801</v>
      </c>
      <c r="O85" s="419">
        <v>-890372636</v>
      </c>
      <c r="P85" s="419">
        <v>-1218887049</v>
      </c>
      <c r="Q85" s="419">
        <v>-1700724202</v>
      </c>
      <c r="R85" s="419">
        <v>-1398963994</v>
      </c>
      <c r="S85" s="419">
        <v>-1511540903</v>
      </c>
      <c r="T85" s="419"/>
      <c r="U85" s="439"/>
    </row>
    <row r="86" spans="1:25" s="95" customFormat="1" ht="16.5" customHeight="1">
      <c r="A86" s="323" t="s">
        <v>123</v>
      </c>
      <c r="B86" s="419">
        <v>65671210202</v>
      </c>
      <c r="C86" s="419">
        <v>103583992277</v>
      </c>
      <c r="D86" s="419">
        <v>85432578680</v>
      </c>
      <c r="E86" s="419">
        <v>124779725812</v>
      </c>
      <c r="F86" s="419">
        <v>115867014516</v>
      </c>
      <c r="G86" s="419">
        <v>166859027065</v>
      </c>
      <c r="H86" s="419">
        <v>161881503696</v>
      </c>
      <c r="I86" s="419">
        <v>208909154488</v>
      </c>
      <c r="J86" s="419">
        <v>182020108748</v>
      </c>
      <c r="K86" s="419">
        <v>242004240726</v>
      </c>
      <c r="L86" s="419">
        <v>213114849185</v>
      </c>
      <c r="M86" s="419">
        <v>289395867873</v>
      </c>
      <c r="N86" s="419">
        <v>243286567495</v>
      </c>
      <c r="O86" s="419">
        <v>275866090185</v>
      </c>
      <c r="P86" s="419">
        <v>227589522757</v>
      </c>
      <c r="Q86" s="419">
        <v>284897403534</v>
      </c>
      <c r="R86" s="419">
        <v>274367041424</v>
      </c>
      <c r="S86" s="419">
        <v>332415943104</v>
      </c>
      <c r="T86" s="419"/>
      <c r="U86" s="439"/>
    </row>
    <row r="87" spans="1:25" s="95" customFormat="1" ht="16.5" customHeight="1">
      <c r="A87" s="322" t="s">
        <v>124</v>
      </c>
      <c r="B87" s="419">
        <v>14524411943</v>
      </c>
      <c r="C87" s="419">
        <v>11492703712</v>
      </c>
      <c r="D87" s="419">
        <v>6772551152</v>
      </c>
      <c r="E87" s="419">
        <v>4722135685</v>
      </c>
      <c r="F87" s="419">
        <v>16439265784</v>
      </c>
      <c r="G87" s="419">
        <v>15664808206</v>
      </c>
      <c r="H87" s="419">
        <v>8330867857</v>
      </c>
      <c r="I87" s="419">
        <v>7709434230</v>
      </c>
      <c r="J87" s="419">
        <v>19859423751</v>
      </c>
      <c r="K87" s="419">
        <v>15209021153</v>
      </c>
      <c r="L87" s="419">
        <v>8656151183</v>
      </c>
      <c r="M87" s="419">
        <v>8045782084</v>
      </c>
      <c r="N87" s="419">
        <v>21156231556</v>
      </c>
      <c r="O87" s="419">
        <v>16036264200</v>
      </c>
      <c r="P87" s="419">
        <v>9330250530</v>
      </c>
      <c r="Q87" s="419">
        <v>9494373804</v>
      </c>
      <c r="R87" s="419">
        <v>23062586929</v>
      </c>
      <c r="S87" s="419">
        <v>18254003823</v>
      </c>
      <c r="T87" s="419"/>
      <c r="U87" s="439"/>
    </row>
    <row r="88" spans="1:25" s="95" customFormat="1" ht="16.5" customHeight="1">
      <c r="A88" s="325" t="s">
        <v>125</v>
      </c>
      <c r="B88" s="419">
        <v>0</v>
      </c>
      <c r="C88" s="419">
        <v>0</v>
      </c>
      <c r="D88" s="419">
        <v>79904990</v>
      </c>
      <c r="E88" s="419">
        <v>0</v>
      </c>
      <c r="F88" s="419">
        <v>18698563714</v>
      </c>
      <c r="G88" s="419">
        <v>0</v>
      </c>
      <c r="H88" s="419">
        <v>0</v>
      </c>
      <c r="I88" s="419">
        <v>0</v>
      </c>
      <c r="J88" s="419">
        <v>0</v>
      </c>
      <c r="K88" s="419">
        <v>0</v>
      </c>
      <c r="L88" s="419">
        <v>0</v>
      </c>
      <c r="M88" s="419">
        <v>0</v>
      </c>
      <c r="N88" s="419">
        <v>0</v>
      </c>
      <c r="O88" s="419">
        <v>0</v>
      </c>
      <c r="P88" s="419">
        <v>0</v>
      </c>
      <c r="Q88" s="419">
        <v>0</v>
      </c>
      <c r="R88" s="419">
        <v>0</v>
      </c>
      <c r="S88" s="419">
        <v>0</v>
      </c>
      <c r="T88" s="419"/>
      <c r="U88" s="439"/>
    </row>
    <row r="89" spans="1:25" s="95" customFormat="1" ht="16.5" customHeight="1">
      <c r="A89" s="325" t="s">
        <v>126</v>
      </c>
      <c r="B89" s="419">
        <v>0</v>
      </c>
      <c r="C89" s="419">
        <v>0</v>
      </c>
      <c r="D89" s="419">
        <v>0</v>
      </c>
      <c r="E89" s="419">
        <v>0</v>
      </c>
      <c r="F89" s="419">
        <v>0</v>
      </c>
      <c r="G89" s="419">
        <v>0</v>
      </c>
      <c r="H89" s="419">
        <v>0</v>
      </c>
      <c r="I89" s="419">
        <v>0</v>
      </c>
      <c r="J89" s="419">
        <v>0</v>
      </c>
      <c r="K89" s="419">
        <v>0</v>
      </c>
      <c r="L89" s="419">
        <v>0</v>
      </c>
      <c r="M89" s="419">
        <v>0</v>
      </c>
      <c r="N89" s="419">
        <v>770082876</v>
      </c>
      <c r="O89" s="419">
        <v>0</v>
      </c>
      <c r="P89" s="419">
        <v>0</v>
      </c>
      <c r="Q89" s="419">
        <v>0</v>
      </c>
      <c r="R89" s="419">
        <v>0</v>
      </c>
      <c r="S89" s="419">
        <v>0</v>
      </c>
      <c r="T89" s="419"/>
      <c r="U89" s="439"/>
    </row>
    <row r="90" spans="1:25" s="95" customFormat="1" ht="16.5" customHeight="1">
      <c r="A90" s="325" t="s">
        <v>127</v>
      </c>
      <c r="B90" s="419">
        <v>2646474034</v>
      </c>
      <c r="C90" s="419">
        <v>3104071473</v>
      </c>
      <c r="D90" s="419">
        <v>3032515030</v>
      </c>
      <c r="E90" s="419">
        <v>1204221000</v>
      </c>
      <c r="F90" s="419">
        <v>2474023674</v>
      </c>
      <c r="G90" s="419">
        <v>5026063569</v>
      </c>
      <c r="H90" s="419">
        <v>2870899920</v>
      </c>
      <c r="I90" s="419">
        <v>940835500</v>
      </c>
      <c r="J90" s="419">
        <v>2662769242</v>
      </c>
      <c r="K90" s="419">
        <v>1790605179</v>
      </c>
      <c r="L90" s="419">
        <v>2201471935</v>
      </c>
      <c r="M90" s="419">
        <v>330644560</v>
      </c>
      <c r="N90" s="419">
        <v>1329916362</v>
      </c>
      <c r="O90" s="419">
        <v>1034939706</v>
      </c>
      <c r="P90" s="420">
        <v>2214473794</v>
      </c>
      <c r="Q90" s="419">
        <v>277596760</v>
      </c>
      <c r="R90" s="419">
        <v>3620915152</v>
      </c>
      <c r="S90" s="419">
        <v>3419669281</v>
      </c>
      <c r="T90" s="419"/>
      <c r="U90" s="439"/>
    </row>
    <row r="91" spans="1:25" s="188" customFormat="1" ht="16.5" customHeight="1">
      <c r="A91" s="326" t="s">
        <v>128</v>
      </c>
      <c r="B91" s="420">
        <v>2646474034</v>
      </c>
      <c r="C91" s="420">
        <v>3104071473</v>
      </c>
      <c r="D91" s="420">
        <v>3032515030</v>
      </c>
      <c r="E91" s="420">
        <v>1204221000</v>
      </c>
      <c r="F91" s="420">
        <v>2474023674</v>
      </c>
      <c r="G91" s="420">
        <v>5026063569</v>
      </c>
      <c r="H91" s="420">
        <v>2870899920</v>
      </c>
      <c r="I91" s="420">
        <v>940835500</v>
      </c>
      <c r="J91" s="420">
        <v>2662769242</v>
      </c>
      <c r="K91" s="420">
        <v>1790605179</v>
      </c>
      <c r="L91" s="420">
        <v>2201471935</v>
      </c>
      <c r="M91" s="420">
        <v>330644560</v>
      </c>
      <c r="N91" s="420">
        <v>1329916362</v>
      </c>
      <c r="O91" s="420">
        <v>1034939706</v>
      </c>
      <c r="P91" s="419">
        <v>2214473794</v>
      </c>
      <c r="Q91" s="419">
        <v>277596760</v>
      </c>
      <c r="R91" s="419">
        <v>3620915152</v>
      </c>
      <c r="S91" s="419">
        <v>3419669281</v>
      </c>
      <c r="T91" s="419"/>
      <c r="U91" s="439"/>
    </row>
    <row r="92" spans="1:25" s="95" customFormat="1" ht="16.5" customHeight="1">
      <c r="A92" s="325" t="s">
        <v>129</v>
      </c>
      <c r="B92" s="419">
        <v>0</v>
      </c>
      <c r="C92" s="419">
        <v>0</v>
      </c>
      <c r="D92" s="419">
        <v>0</v>
      </c>
      <c r="E92" s="419">
        <v>0</v>
      </c>
      <c r="F92" s="419">
        <v>0</v>
      </c>
      <c r="G92" s="419">
        <v>0</v>
      </c>
      <c r="H92" s="419">
        <v>0</v>
      </c>
      <c r="I92" s="419">
        <v>0</v>
      </c>
      <c r="J92" s="419">
        <v>0</v>
      </c>
      <c r="K92" s="419">
        <v>0</v>
      </c>
      <c r="L92" s="419">
        <v>0</v>
      </c>
      <c r="M92" s="419">
        <v>0</v>
      </c>
      <c r="N92" s="419">
        <v>0</v>
      </c>
      <c r="O92" s="419">
        <v>0</v>
      </c>
      <c r="P92" s="419">
        <v>0</v>
      </c>
      <c r="Q92" s="419">
        <v>0</v>
      </c>
      <c r="R92" s="419">
        <v>0</v>
      </c>
      <c r="S92" s="419">
        <v>0</v>
      </c>
      <c r="T92" s="419"/>
      <c r="U92" s="439"/>
    </row>
    <row r="93" spans="1:25" s="188" customFormat="1" ht="16.5" customHeight="1">
      <c r="A93" s="326" t="s">
        <v>118</v>
      </c>
      <c r="B93" s="420">
        <v>0</v>
      </c>
      <c r="C93" s="420">
        <v>0</v>
      </c>
      <c r="D93" s="420">
        <v>0</v>
      </c>
      <c r="E93" s="420">
        <v>0</v>
      </c>
      <c r="F93" s="420">
        <v>0</v>
      </c>
      <c r="G93" s="420">
        <v>0</v>
      </c>
      <c r="H93" s="420">
        <v>0</v>
      </c>
      <c r="I93" s="420">
        <v>0</v>
      </c>
      <c r="J93" s="420">
        <v>0</v>
      </c>
      <c r="K93" s="420">
        <v>0</v>
      </c>
      <c r="L93" s="420">
        <v>0</v>
      </c>
      <c r="M93" s="420">
        <v>0</v>
      </c>
      <c r="N93" s="420">
        <v>0</v>
      </c>
      <c r="O93" s="420">
        <v>0</v>
      </c>
      <c r="P93" s="420">
        <v>0</v>
      </c>
      <c r="Q93" s="419">
        <v>0</v>
      </c>
      <c r="R93" s="419">
        <v>0</v>
      </c>
      <c r="S93" s="419">
        <v>0</v>
      </c>
      <c r="T93" s="419"/>
      <c r="U93" s="544"/>
    </row>
    <row r="94" spans="1:25" s="188" customFormat="1" ht="16.5" customHeight="1">
      <c r="A94" s="326" t="s">
        <v>130</v>
      </c>
      <c r="B94" s="420">
        <v>0</v>
      </c>
      <c r="C94" s="420">
        <v>0</v>
      </c>
      <c r="D94" s="420">
        <v>0</v>
      </c>
      <c r="E94" s="420">
        <v>0</v>
      </c>
      <c r="F94" s="420">
        <v>0</v>
      </c>
      <c r="G94" s="420">
        <v>0</v>
      </c>
      <c r="H94" s="420">
        <v>0</v>
      </c>
      <c r="I94" s="420">
        <v>0</v>
      </c>
      <c r="J94" s="420">
        <v>0</v>
      </c>
      <c r="K94" s="420">
        <v>0</v>
      </c>
      <c r="L94" s="420">
        <v>0</v>
      </c>
      <c r="M94" s="420">
        <v>0</v>
      </c>
      <c r="N94" s="420">
        <v>0</v>
      </c>
      <c r="O94" s="420">
        <v>0</v>
      </c>
      <c r="P94" s="420">
        <v>0</v>
      </c>
      <c r="Q94" s="419">
        <v>0</v>
      </c>
      <c r="R94" s="419">
        <v>0</v>
      </c>
      <c r="S94" s="419">
        <v>0</v>
      </c>
      <c r="T94" s="419"/>
      <c r="U94" s="544"/>
    </row>
    <row r="95" spans="1:25" s="95" customFormat="1" ht="16.5" customHeight="1">
      <c r="A95" s="325" t="s">
        <v>131</v>
      </c>
      <c r="B95" s="419">
        <v>0</v>
      </c>
      <c r="C95" s="419">
        <v>0</v>
      </c>
      <c r="D95" s="419">
        <v>0</v>
      </c>
      <c r="E95" s="419">
        <v>0</v>
      </c>
      <c r="F95" s="419">
        <v>0</v>
      </c>
      <c r="G95" s="419">
        <v>0</v>
      </c>
      <c r="H95" s="419">
        <v>0</v>
      </c>
      <c r="I95" s="419">
        <v>0</v>
      </c>
      <c r="J95" s="419">
        <v>0</v>
      </c>
      <c r="K95" s="419">
        <v>0</v>
      </c>
      <c r="L95" s="419">
        <v>0</v>
      </c>
      <c r="M95" s="419">
        <v>0</v>
      </c>
      <c r="N95" s="419">
        <v>0</v>
      </c>
      <c r="O95" s="419">
        <v>0</v>
      </c>
      <c r="P95" s="419">
        <v>0</v>
      </c>
      <c r="Q95" s="419">
        <v>0</v>
      </c>
      <c r="R95" s="419">
        <v>0</v>
      </c>
      <c r="S95" s="419">
        <v>0</v>
      </c>
      <c r="T95" s="419"/>
      <c r="U95" s="439"/>
    </row>
    <row r="96" spans="1:25" s="95" customFormat="1" ht="16.5" customHeight="1">
      <c r="A96" s="325" t="s">
        <v>132</v>
      </c>
      <c r="B96" s="419">
        <v>0</v>
      </c>
      <c r="C96" s="419">
        <v>0</v>
      </c>
      <c r="D96" s="419">
        <v>0</v>
      </c>
      <c r="E96" s="419">
        <v>0</v>
      </c>
      <c r="F96" s="419">
        <v>0</v>
      </c>
      <c r="G96" s="419">
        <v>0</v>
      </c>
      <c r="H96" s="419">
        <v>0</v>
      </c>
      <c r="I96" s="419">
        <v>0</v>
      </c>
      <c r="J96" s="419">
        <v>0</v>
      </c>
      <c r="K96" s="419">
        <v>0</v>
      </c>
      <c r="L96" s="419">
        <v>0</v>
      </c>
      <c r="M96" s="419">
        <v>0</v>
      </c>
      <c r="N96" s="419">
        <v>0</v>
      </c>
      <c r="O96" s="419">
        <v>0</v>
      </c>
      <c r="P96" s="419">
        <v>0</v>
      </c>
      <c r="Q96" s="419">
        <v>0</v>
      </c>
      <c r="R96" s="419">
        <v>0</v>
      </c>
      <c r="S96" s="419">
        <v>0</v>
      </c>
      <c r="T96" s="419"/>
      <c r="U96" s="439"/>
      <c r="Y96" s="61"/>
    </row>
    <row r="97" spans="1:25" s="95" customFormat="1" ht="16.5" customHeight="1">
      <c r="A97" s="322" t="s">
        <v>133</v>
      </c>
      <c r="B97" s="419">
        <v>74118094</v>
      </c>
      <c r="C97" s="419">
        <v>67169522</v>
      </c>
      <c r="D97" s="419">
        <v>102071368</v>
      </c>
      <c r="E97" s="419">
        <v>92393422</v>
      </c>
      <c r="F97" s="419">
        <v>36391667</v>
      </c>
      <c r="G97" s="419">
        <v>42935979</v>
      </c>
      <c r="H97" s="419">
        <v>39614667</v>
      </c>
      <c r="I97" s="419">
        <v>36293354</v>
      </c>
      <c r="J97" s="419">
        <v>32972041</v>
      </c>
      <c r="K97" s="419">
        <v>29650729</v>
      </c>
      <c r="L97" s="419">
        <v>26329416</v>
      </c>
      <c r="M97" s="419">
        <v>23008104</v>
      </c>
      <c r="N97" s="419">
        <v>19686791</v>
      </c>
      <c r="O97" s="419">
        <v>16365479</v>
      </c>
      <c r="P97" s="419">
        <v>13044166</v>
      </c>
      <c r="Q97" s="419">
        <v>9722854</v>
      </c>
      <c r="R97" s="419">
        <v>6401541</v>
      </c>
      <c r="S97" s="419">
        <v>3080229</v>
      </c>
      <c r="T97" s="419"/>
      <c r="U97" s="439"/>
      <c r="Y97" s="61"/>
    </row>
    <row r="98" spans="1:25" s="95" customFormat="1" ht="16.5" customHeight="1">
      <c r="A98" s="323" t="s">
        <v>101</v>
      </c>
      <c r="B98" s="419">
        <v>-37059046</v>
      </c>
      <c r="C98" s="419">
        <v>-44007618</v>
      </c>
      <c r="D98" s="419">
        <v>-52775772</v>
      </c>
      <c r="E98" s="419">
        <v>-62453718</v>
      </c>
      <c r="F98" s="419">
        <v>-7278333</v>
      </c>
      <c r="G98" s="419">
        <v>-10205021</v>
      </c>
      <c r="H98" s="419">
        <v>-13526333</v>
      </c>
      <c r="I98" s="419">
        <v>-16847646</v>
      </c>
      <c r="J98" s="419">
        <v>-20168959</v>
      </c>
      <c r="K98" s="419">
        <v>-23490271</v>
      </c>
      <c r="L98" s="419">
        <v>-26811584</v>
      </c>
      <c r="M98" s="419">
        <v>-30132896</v>
      </c>
      <c r="N98" s="419">
        <v>-33454209</v>
      </c>
      <c r="O98" s="419">
        <v>-36775521</v>
      </c>
      <c r="P98" s="419">
        <v>-40096834</v>
      </c>
      <c r="Q98" s="419">
        <v>-43418146</v>
      </c>
      <c r="R98" s="419">
        <v>-46739459</v>
      </c>
      <c r="S98" s="419">
        <v>-50060771</v>
      </c>
      <c r="T98" s="419"/>
      <c r="U98" s="439"/>
      <c r="Y98" s="61"/>
    </row>
    <row r="99" spans="1:25" s="95" customFormat="1" ht="16.5" customHeight="1">
      <c r="A99" s="322" t="s">
        <v>134</v>
      </c>
      <c r="B99" s="419">
        <v>23045180142</v>
      </c>
      <c r="C99" s="419">
        <v>23589464980</v>
      </c>
      <c r="D99" s="419">
        <v>21096796052</v>
      </c>
      <c r="E99" s="419">
        <v>21799712780</v>
      </c>
      <c r="F99" s="419">
        <v>20955528061</v>
      </c>
      <c r="G99" s="419">
        <v>19264222971</v>
      </c>
      <c r="H99" s="419">
        <v>21774316224</v>
      </c>
      <c r="I99" s="419">
        <v>23102003671</v>
      </c>
      <c r="J99" s="419">
        <v>21071456450</v>
      </c>
      <c r="K99" s="419">
        <v>24866868631</v>
      </c>
      <c r="L99" s="419">
        <v>29410904913</v>
      </c>
      <c r="M99" s="419">
        <v>30475195705</v>
      </c>
      <c r="N99" s="419">
        <v>29516155967</v>
      </c>
      <c r="O99" s="419">
        <v>27990990431</v>
      </c>
      <c r="P99" s="419">
        <v>26646333800</v>
      </c>
      <c r="Q99" s="419">
        <v>31977866883</v>
      </c>
      <c r="R99" s="419">
        <v>35270762876</v>
      </c>
      <c r="S99" s="419">
        <v>40225760306</v>
      </c>
      <c r="T99" s="419"/>
      <c r="U99" s="439"/>
      <c r="Y99" s="61"/>
    </row>
    <row r="100" spans="1:25" s="95" customFormat="1" ht="16.5" customHeight="1">
      <c r="A100" s="323" t="s">
        <v>101</v>
      </c>
      <c r="B100" s="419">
        <v>-118148769271</v>
      </c>
      <c r="C100" s="419">
        <v>-121395809727</v>
      </c>
      <c r="D100" s="419">
        <v>-124158812308</v>
      </c>
      <c r="E100" s="419">
        <v>-126462130435</v>
      </c>
      <c r="F100" s="419">
        <v>-128531458746</v>
      </c>
      <c r="G100" s="419">
        <v>-128929705807</v>
      </c>
      <c r="H100" s="419">
        <v>-130695952800</v>
      </c>
      <c r="I100" s="419">
        <v>-129325213121</v>
      </c>
      <c r="J100" s="419">
        <v>-131171949785</v>
      </c>
      <c r="K100" s="419">
        <v>-133789844030</v>
      </c>
      <c r="L100" s="419">
        <v>-136219006018</v>
      </c>
      <c r="M100" s="419">
        <v>-138815162214</v>
      </c>
      <c r="N100" s="419">
        <v>-142090287965</v>
      </c>
      <c r="O100" s="419">
        <v>-144642394839</v>
      </c>
      <c r="P100" s="419">
        <v>-142171777566</v>
      </c>
      <c r="Q100" s="419">
        <v>-145603975108</v>
      </c>
      <c r="R100" s="419">
        <v>-148060317920</v>
      </c>
      <c r="S100" s="419">
        <v>-151389967592</v>
      </c>
      <c r="T100" s="419"/>
      <c r="U100" s="439"/>
      <c r="Y100" s="61"/>
    </row>
    <row r="101" spans="1:25" s="95" customFormat="1" ht="16.5" customHeight="1">
      <c r="A101" s="322" t="s">
        <v>135</v>
      </c>
      <c r="B101" s="419">
        <v>34876214891</v>
      </c>
      <c r="C101" s="419">
        <v>33143849356</v>
      </c>
      <c r="D101" s="419">
        <v>28422029686</v>
      </c>
      <c r="E101" s="419">
        <v>28783465298</v>
      </c>
      <c r="F101" s="419">
        <v>24436680508</v>
      </c>
      <c r="G101" s="419">
        <v>27347627102</v>
      </c>
      <c r="H101" s="419">
        <v>26118601148</v>
      </c>
      <c r="I101" s="419">
        <v>24416899365</v>
      </c>
      <c r="J101" s="419">
        <v>27566494198</v>
      </c>
      <c r="K101" s="419">
        <v>32101576202</v>
      </c>
      <c r="L101" s="419">
        <v>28267270790</v>
      </c>
      <c r="M101" s="419">
        <v>25606237549</v>
      </c>
      <c r="N101" s="419">
        <v>27046704000</v>
      </c>
      <c r="O101" s="419">
        <v>27314173169</v>
      </c>
      <c r="P101" s="419">
        <v>25502530205</v>
      </c>
      <c r="Q101" s="419">
        <v>26250842362</v>
      </c>
      <c r="R101" s="419">
        <v>28493792678</v>
      </c>
      <c r="S101" s="419">
        <v>26510171376</v>
      </c>
      <c r="T101" s="419"/>
      <c r="U101" s="439"/>
      <c r="Y101" s="61"/>
    </row>
    <row r="102" spans="1:25" s="95" customFormat="1" ht="16.5" customHeight="1">
      <c r="A102" s="323" t="s">
        <v>101</v>
      </c>
      <c r="B102" s="419">
        <v>-35636863284</v>
      </c>
      <c r="C102" s="419">
        <v>-37201903879</v>
      </c>
      <c r="D102" s="419">
        <v>-40801703605</v>
      </c>
      <c r="E102" s="419">
        <v>-30486991129</v>
      </c>
      <c r="F102" s="419">
        <v>-29176746455</v>
      </c>
      <c r="G102" s="419">
        <v>-28234253391</v>
      </c>
      <c r="H102" s="419">
        <v>-31427825948</v>
      </c>
      <c r="I102" s="419">
        <v>-35983810156</v>
      </c>
      <c r="J102" s="419">
        <v>-34366618812</v>
      </c>
      <c r="K102" s="419">
        <v>-30147391055</v>
      </c>
      <c r="L102" s="419">
        <v>0</v>
      </c>
      <c r="M102" s="419">
        <v>0</v>
      </c>
      <c r="N102" s="419">
        <v>0</v>
      </c>
      <c r="O102" s="419">
        <v>0</v>
      </c>
      <c r="P102" s="419">
        <v>-24655092756</v>
      </c>
      <c r="Q102" s="419">
        <v>-26127763219</v>
      </c>
      <c r="R102" s="419">
        <v>-23979501439</v>
      </c>
      <c r="S102" s="419">
        <v>-26629678948</v>
      </c>
      <c r="T102" s="419"/>
      <c r="U102" s="439"/>
      <c r="Y102" s="61"/>
    </row>
    <row r="103" spans="1:25" s="56" customFormat="1" ht="16.5" customHeight="1">
      <c r="A103" s="322" t="s">
        <v>136</v>
      </c>
      <c r="B103" s="419">
        <v>0</v>
      </c>
      <c r="C103" s="419">
        <v>0</v>
      </c>
      <c r="D103" s="419">
        <v>0</v>
      </c>
      <c r="E103" s="419">
        <v>0</v>
      </c>
      <c r="F103" s="419">
        <v>0</v>
      </c>
      <c r="G103" s="419">
        <v>0</v>
      </c>
      <c r="H103" s="419">
        <v>0</v>
      </c>
      <c r="I103" s="419">
        <v>0</v>
      </c>
      <c r="J103" s="419">
        <v>0</v>
      </c>
      <c r="K103" s="419">
        <v>0</v>
      </c>
      <c r="L103" s="419">
        <v>0</v>
      </c>
      <c r="M103" s="419">
        <v>0</v>
      </c>
      <c r="N103" s="419">
        <v>0</v>
      </c>
      <c r="O103" s="419">
        <v>0</v>
      </c>
      <c r="P103" s="419">
        <v>0</v>
      </c>
      <c r="Q103" s="419">
        <v>0</v>
      </c>
      <c r="R103" s="419">
        <v>0</v>
      </c>
      <c r="S103" s="419">
        <v>0</v>
      </c>
      <c r="T103" s="419"/>
      <c r="U103" s="439"/>
      <c r="Y103" s="61"/>
    </row>
    <row r="104" spans="1:25" s="56" customFormat="1" ht="16.5" customHeight="1">
      <c r="A104" s="323" t="s">
        <v>101</v>
      </c>
      <c r="B104" s="419">
        <v>0</v>
      </c>
      <c r="C104" s="419">
        <v>0</v>
      </c>
      <c r="D104" s="419">
        <v>0</v>
      </c>
      <c r="E104" s="419">
        <v>0</v>
      </c>
      <c r="F104" s="419">
        <v>0</v>
      </c>
      <c r="G104" s="419">
        <v>0</v>
      </c>
      <c r="H104" s="419">
        <v>0</v>
      </c>
      <c r="I104" s="419">
        <v>0</v>
      </c>
      <c r="J104" s="419">
        <v>0</v>
      </c>
      <c r="K104" s="419">
        <v>0</v>
      </c>
      <c r="L104" s="419">
        <v>0</v>
      </c>
      <c r="M104" s="419">
        <v>0</v>
      </c>
      <c r="N104" s="419">
        <v>0</v>
      </c>
      <c r="O104" s="419">
        <v>0</v>
      </c>
      <c r="P104" s="419">
        <v>0</v>
      </c>
      <c r="Q104" s="419">
        <v>0</v>
      </c>
      <c r="R104" s="419">
        <v>0</v>
      </c>
      <c r="S104" s="419">
        <v>0</v>
      </c>
      <c r="T104" s="419"/>
      <c r="U104" s="439"/>
      <c r="Y104" s="61"/>
    </row>
    <row r="105" spans="1:25" s="56" customFormat="1" ht="16.5" customHeight="1">
      <c r="A105" s="322" t="s">
        <v>137</v>
      </c>
      <c r="B105" s="419">
        <v>169442449844</v>
      </c>
      <c r="C105" s="419">
        <v>0</v>
      </c>
      <c r="D105" s="419">
        <v>0</v>
      </c>
      <c r="E105" s="419">
        <v>1809744095</v>
      </c>
      <c r="F105" s="419">
        <v>0</v>
      </c>
      <c r="G105" s="419">
        <v>0</v>
      </c>
      <c r="H105" s="419">
        <v>0</v>
      </c>
      <c r="I105" s="419">
        <v>0</v>
      </c>
      <c r="J105" s="419">
        <v>0</v>
      </c>
      <c r="K105" s="419">
        <v>0</v>
      </c>
      <c r="L105" s="419">
        <v>0</v>
      </c>
      <c r="M105" s="419">
        <v>0</v>
      </c>
      <c r="N105" s="419">
        <v>0</v>
      </c>
      <c r="O105" s="419">
        <v>0</v>
      </c>
      <c r="P105" s="419">
        <v>0</v>
      </c>
      <c r="Q105" s="419">
        <v>0</v>
      </c>
      <c r="R105" s="419">
        <v>0</v>
      </c>
      <c r="S105" s="419">
        <v>0</v>
      </c>
      <c r="T105" s="419"/>
      <c r="U105" s="439"/>
      <c r="Y105" s="61"/>
    </row>
    <row r="106" spans="1:25" s="56" customFormat="1" ht="16.5" customHeight="1">
      <c r="A106" s="322" t="s">
        <v>138</v>
      </c>
      <c r="B106" s="419">
        <v>1447615833</v>
      </c>
      <c r="C106" s="419">
        <v>49989970</v>
      </c>
      <c r="D106" s="419">
        <v>0</v>
      </c>
      <c r="E106" s="419">
        <v>25862084480</v>
      </c>
      <c r="F106" s="419">
        <v>13966973953</v>
      </c>
      <c r="G106" s="419">
        <v>11752581047</v>
      </c>
      <c r="H106" s="419">
        <v>3902785257</v>
      </c>
      <c r="I106" s="419">
        <v>291438147990</v>
      </c>
      <c r="J106" s="419">
        <v>173009674920</v>
      </c>
      <c r="K106" s="419">
        <v>230109132109</v>
      </c>
      <c r="L106" s="419">
        <v>437529212506</v>
      </c>
      <c r="M106" s="419">
        <v>470313098724</v>
      </c>
      <c r="N106" s="419">
        <v>648493271293</v>
      </c>
      <c r="O106" s="419">
        <v>481910498727</v>
      </c>
      <c r="P106" s="419">
        <v>385325562087</v>
      </c>
      <c r="Q106" s="419">
        <v>145500326823</v>
      </c>
      <c r="R106" s="419">
        <v>21348408413</v>
      </c>
      <c r="S106" s="419">
        <v>2989115828</v>
      </c>
      <c r="T106" s="419"/>
      <c r="U106" s="439"/>
      <c r="Y106" s="61"/>
    </row>
    <row r="107" spans="1:25" s="56" customFormat="1" ht="16.5" customHeight="1">
      <c r="A107" s="323" t="s">
        <v>139</v>
      </c>
      <c r="B107" s="419">
        <v>0</v>
      </c>
      <c r="C107" s="419">
        <v>0</v>
      </c>
      <c r="D107" s="419">
        <v>0</v>
      </c>
      <c r="E107" s="419">
        <v>700440010</v>
      </c>
      <c r="F107" s="419">
        <v>552264041</v>
      </c>
      <c r="G107" s="419">
        <v>216532515</v>
      </c>
      <c r="H107" s="419">
        <v>0</v>
      </c>
      <c r="I107" s="419">
        <v>271157143651</v>
      </c>
      <c r="J107" s="419">
        <v>169833422137</v>
      </c>
      <c r="K107" s="419">
        <v>228882310327</v>
      </c>
      <c r="L107" s="419">
        <v>425182091099</v>
      </c>
      <c r="M107" s="419">
        <v>470313098724</v>
      </c>
      <c r="N107" s="419">
        <v>648493271293</v>
      </c>
      <c r="O107" s="419">
        <v>454116290507</v>
      </c>
      <c r="P107" s="419">
        <v>378809602155</v>
      </c>
      <c r="Q107" s="419">
        <v>143628992140</v>
      </c>
      <c r="R107" s="419">
        <v>21348408413</v>
      </c>
      <c r="S107" s="419">
        <v>2818457398</v>
      </c>
      <c r="T107" s="419"/>
      <c r="U107" s="439"/>
      <c r="Y107" s="61"/>
    </row>
    <row r="108" spans="1:25" s="56" customFormat="1" ht="16.5" customHeight="1">
      <c r="A108" s="323" t="s">
        <v>140</v>
      </c>
      <c r="B108" s="419">
        <v>1447615833</v>
      </c>
      <c r="C108" s="419">
        <v>49989970</v>
      </c>
      <c r="D108" s="419">
        <v>0</v>
      </c>
      <c r="E108" s="419">
        <v>25161644470</v>
      </c>
      <c r="F108" s="419">
        <v>13414709912</v>
      </c>
      <c r="G108" s="419">
        <v>11536048532</v>
      </c>
      <c r="H108" s="419">
        <v>3902785257</v>
      </c>
      <c r="I108" s="419">
        <v>20281004339</v>
      </c>
      <c r="J108" s="419">
        <v>3176252783</v>
      </c>
      <c r="K108" s="419">
        <v>1226821782</v>
      </c>
      <c r="L108" s="419">
        <v>12347121407</v>
      </c>
      <c r="M108" s="419">
        <v>0</v>
      </c>
      <c r="N108" s="419">
        <v>0</v>
      </c>
      <c r="O108" s="419">
        <v>27794208220</v>
      </c>
      <c r="P108" s="419">
        <v>6515959932</v>
      </c>
      <c r="Q108" s="419">
        <v>1871334683</v>
      </c>
      <c r="R108" s="419">
        <v>0</v>
      </c>
      <c r="S108" s="419">
        <v>170658430</v>
      </c>
      <c r="T108" s="419"/>
      <c r="U108" s="439"/>
      <c r="Y108" s="61"/>
    </row>
    <row r="109" spans="1:25" s="56" customFormat="1" ht="16.5" customHeight="1">
      <c r="A109" s="323" t="s">
        <v>141</v>
      </c>
      <c r="B109" s="419">
        <v>0</v>
      </c>
      <c r="C109" s="419">
        <v>0</v>
      </c>
      <c r="D109" s="419">
        <v>0</v>
      </c>
      <c r="E109" s="419">
        <v>0</v>
      </c>
      <c r="F109" s="419">
        <v>0</v>
      </c>
      <c r="G109" s="419">
        <v>0</v>
      </c>
      <c r="H109" s="419">
        <v>0</v>
      </c>
      <c r="I109" s="419">
        <v>0</v>
      </c>
      <c r="J109" s="419">
        <v>0</v>
      </c>
      <c r="K109" s="419">
        <v>0</v>
      </c>
      <c r="L109" s="419">
        <v>0</v>
      </c>
      <c r="M109" s="419">
        <v>0</v>
      </c>
      <c r="N109" s="419">
        <v>0</v>
      </c>
      <c r="O109" s="419">
        <v>0</v>
      </c>
      <c r="P109" s="419">
        <v>0</v>
      </c>
      <c r="Q109" s="419">
        <v>0</v>
      </c>
      <c r="R109" s="419">
        <v>0</v>
      </c>
      <c r="S109" s="419">
        <v>0</v>
      </c>
      <c r="T109" s="419"/>
      <c r="U109" s="439"/>
      <c r="Y109" s="61"/>
    </row>
    <row r="110" spans="1:25" s="56" customFormat="1" ht="16.5" customHeight="1">
      <c r="A110" s="322" t="s">
        <v>142</v>
      </c>
      <c r="B110" s="419">
        <v>40180608754</v>
      </c>
      <c r="C110" s="419">
        <v>39531164524</v>
      </c>
      <c r="D110" s="419">
        <v>38632392622</v>
      </c>
      <c r="E110" s="419">
        <v>44370937255</v>
      </c>
      <c r="F110" s="419">
        <v>44592788004</v>
      </c>
      <c r="G110" s="419">
        <v>43252979027</v>
      </c>
      <c r="H110" s="419">
        <v>41894485982</v>
      </c>
      <c r="I110" s="419">
        <v>40534844833</v>
      </c>
      <c r="J110" s="419">
        <v>38070676009</v>
      </c>
      <c r="K110" s="419">
        <v>35840841949</v>
      </c>
      <c r="L110" s="419">
        <v>34550077105</v>
      </c>
      <c r="M110" s="419">
        <v>34069424121</v>
      </c>
      <c r="N110" s="419">
        <v>33063397194</v>
      </c>
      <c r="O110" s="419">
        <v>31651161448</v>
      </c>
      <c r="P110" s="419">
        <v>34514453493</v>
      </c>
      <c r="Q110" s="419">
        <v>37408893949</v>
      </c>
      <c r="R110" s="419">
        <v>45525833621</v>
      </c>
      <c r="S110" s="419">
        <v>47641526279</v>
      </c>
      <c r="T110" s="419"/>
      <c r="U110" s="439"/>
      <c r="Y110" s="61"/>
    </row>
    <row r="111" spans="1:25" s="56" customFormat="1" ht="16.5" customHeight="1">
      <c r="A111" s="323" t="s">
        <v>143</v>
      </c>
      <c r="B111" s="419">
        <v>7184736362</v>
      </c>
      <c r="C111" s="419">
        <v>6979390276</v>
      </c>
      <c r="D111" s="419">
        <v>6730806688</v>
      </c>
      <c r="E111" s="419">
        <v>13158412880</v>
      </c>
      <c r="F111" s="419">
        <v>12623932419</v>
      </c>
      <c r="G111" s="419">
        <v>12223077983</v>
      </c>
      <c r="H111" s="419">
        <v>11847856393</v>
      </c>
      <c r="I111" s="419">
        <v>12018341783</v>
      </c>
      <c r="J111" s="419">
        <v>11133220433</v>
      </c>
      <c r="K111" s="419">
        <v>10526782180</v>
      </c>
      <c r="L111" s="419">
        <v>9954793445</v>
      </c>
      <c r="M111" s="419">
        <v>9892746554</v>
      </c>
      <c r="N111" s="419">
        <v>9540919013</v>
      </c>
      <c r="O111" s="419">
        <v>9297082721</v>
      </c>
      <c r="P111" s="419">
        <v>9542322565</v>
      </c>
      <c r="Q111" s="419">
        <v>9539898864</v>
      </c>
      <c r="R111" s="419">
        <v>11340074069</v>
      </c>
      <c r="S111" s="419">
        <v>11135568522</v>
      </c>
      <c r="T111" s="419"/>
      <c r="U111" s="439"/>
      <c r="Y111" s="61"/>
    </row>
    <row r="112" spans="1:25" s="56" customFormat="1" ht="16.5" customHeight="1">
      <c r="A112" s="324" t="s">
        <v>144</v>
      </c>
      <c r="B112" s="419">
        <v>-54345291980</v>
      </c>
      <c r="C112" s="419">
        <v>-55032376066</v>
      </c>
      <c r="D112" s="419">
        <v>-55723999854</v>
      </c>
      <c r="E112" s="419">
        <v>-56497874062</v>
      </c>
      <c r="F112" s="419">
        <v>-57459224523</v>
      </c>
      <c r="G112" s="419">
        <v>-58416561567</v>
      </c>
      <c r="H112" s="419">
        <v>-59375399157</v>
      </c>
      <c r="I112" s="419">
        <v>-60053616267</v>
      </c>
      <c r="J112" s="419">
        <v>-61066337617</v>
      </c>
      <c r="K112" s="419">
        <v>-61980225870</v>
      </c>
      <c r="L112" s="419">
        <v>-62890178605</v>
      </c>
      <c r="M112" s="419">
        <v>-63835965496</v>
      </c>
      <c r="N112" s="419">
        <v>-64743161037</v>
      </c>
      <c r="O112" s="419">
        <v>-65670856929</v>
      </c>
      <c r="P112" s="419">
        <v>-66614743885</v>
      </c>
      <c r="Q112" s="419">
        <v>-67526047586</v>
      </c>
      <c r="R112" s="419">
        <v>-68476197651</v>
      </c>
      <c r="S112" s="419">
        <v>-69451388058</v>
      </c>
      <c r="T112" s="419"/>
      <c r="U112" s="439"/>
      <c r="Y112" s="61"/>
    </row>
    <row r="113" spans="1:25" s="56" customFormat="1" ht="16.5" customHeight="1">
      <c r="A113" s="323" t="s">
        <v>145</v>
      </c>
      <c r="B113" s="419">
        <v>26862174087</v>
      </c>
      <c r="C113" s="419">
        <v>26432075943</v>
      </c>
      <c r="D113" s="419">
        <v>25779387629</v>
      </c>
      <c r="E113" s="419">
        <v>25142826070</v>
      </c>
      <c r="F113" s="419">
        <v>24242127180</v>
      </c>
      <c r="G113" s="419">
        <v>23303172639</v>
      </c>
      <c r="H113" s="419">
        <v>22319901184</v>
      </c>
      <c r="I113" s="419">
        <v>20788024645</v>
      </c>
      <c r="J113" s="419">
        <v>19208977171</v>
      </c>
      <c r="K113" s="419">
        <v>17589081364</v>
      </c>
      <c r="L113" s="419">
        <v>16870305255</v>
      </c>
      <c r="M113" s="419">
        <v>16451699162</v>
      </c>
      <c r="N113" s="419">
        <v>15800999776</v>
      </c>
      <c r="O113" s="419">
        <v>14633600322</v>
      </c>
      <c r="P113" s="419">
        <v>15723406123</v>
      </c>
      <c r="Q113" s="419">
        <v>17068364480</v>
      </c>
      <c r="R113" s="419">
        <v>23385128947</v>
      </c>
      <c r="S113" s="419">
        <v>25705327152</v>
      </c>
      <c r="T113" s="419"/>
      <c r="U113" s="439"/>
      <c r="Y113" s="61"/>
    </row>
    <row r="114" spans="1:25" s="56" customFormat="1" ht="16.5" customHeight="1">
      <c r="A114" s="324" t="s">
        <v>146</v>
      </c>
      <c r="B114" s="419">
        <v>-122255593242</v>
      </c>
      <c r="C114" s="419">
        <v>-123948758386</v>
      </c>
      <c r="D114" s="419">
        <v>-125625972700</v>
      </c>
      <c r="E114" s="419">
        <v>-127361714259</v>
      </c>
      <c r="F114" s="419">
        <v>-128993139653</v>
      </c>
      <c r="G114" s="419">
        <v>-130669297762</v>
      </c>
      <c r="H114" s="419">
        <v>-132358510717</v>
      </c>
      <c r="I114" s="419">
        <v>-134060647256</v>
      </c>
      <c r="J114" s="419">
        <v>-135761004730</v>
      </c>
      <c r="K114" s="419">
        <v>-137456140537</v>
      </c>
      <c r="L114" s="419">
        <v>-139163665846</v>
      </c>
      <c r="M114" s="419">
        <v>-140887176953</v>
      </c>
      <c r="N114" s="419">
        <v>-142665499339</v>
      </c>
      <c r="O114" s="419">
        <v>-144424971393</v>
      </c>
      <c r="P114" s="419">
        <v>-146194289762</v>
      </c>
      <c r="Q114" s="419">
        <v>-148037716305</v>
      </c>
      <c r="R114" s="419">
        <v>-150222464168</v>
      </c>
      <c r="S114" s="419">
        <v>-152441698963</v>
      </c>
      <c r="T114" s="419"/>
      <c r="U114" s="439"/>
      <c r="Y114" s="61"/>
    </row>
    <row r="115" spans="1:25" s="56" customFormat="1" ht="16.5" customHeight="1">
      <c r="A115" s="323" t="s">
        <v>147</v>
      </c>
      <c r="B115" s="419">
        <v>6133698305</v>
      </c>
      <c r="C115" s="419">
        <v>6119698305</v>
      </c>
      <c r="D115" s="419">
        <v>6122198305</v>
      </c>
      <c r="E115" s="419">
        <v>6069698305</v>
      </c>
      <c r="F115" s="419">
        <v>7726728405</v>
      </c>
      <c r="G115" s="419">
        <v>7726728405</v>
      </c>
      <c r="H115" s="419">
        <v>7726728405</v>
      </c>
      <c r="I115" s="419">
        <v>7728478405</v>
      </c>
      <c r="J115" s="419">
        <v>7728478405</v>
      </c>
      <c r="K115" s="419">
        <v>7724978405</v>
      </c>
      <c r="L115" s="419">
        <v>7724978405</v>
      </c>
      <c r="M115" s="419">
        <v>7724978405</v>
      </c>
      <c r="N115" s="419">
        <v>7721478405</v>
      </c>
      <c r="O115" s="419">
        <v>7720478405</v>
      </c>
      <c r="P115" s="419">
        <v>9248724805</v>
      </c>
      <c r="Q115" s="419">
        <v>10800630605</v>
      </c>
      <c r="R115" s="419">
        <v>10800630605</v>
      </c>
      <c r="S115" s="419">
        <v>10800630605</v>
      </c>
      <c r="T115" s="419"/>
      <c r="U115" s="439"/>
      <c r="Y115" s="61"/>
    </row>
    <row r="116" spans="1:25" s="56" customFormat="1" ht="16.5" customHeight="1">
      <c r="A116" s="322" t="s">
        <v>148</v>
      </c>
      <c r="B116" s="419">
        <v>19892300</v>
      </c>
      <c r="C116" s="419">
        <v>4193950</v>
      </c>
      <c r="D116" s="419">
        <v>8411590</v>
      </c>
      <c r="E116" s="419">
        <v>391992894</v>
      </c>
      <c r="F116" s="419">
        <v>16517380</v>
      </c>
      <c r="G116" s="419">
        <v>0</v>
      </c>
      <c r="H116" s="419">
        <v>4215995</v>
      </c>
      <c r="I116" s="419">
        <v>318787797</v>
      </c>
      <c r="J116" s="419">
        <v>14679955</v>
      </c>
      <c r="K116" s="419">
        <v>0</v>
      </c>
      <c r="L116" s="419">
        <v>0</v>
      </c>
      <c r="M116" s="419">
        <v>11965965</v>
      </c>
      <c r="N116" s="419">
        <v>21862424</v>
      </c>
      <c r="O116" s="419">
        <v>0</v>
      </c>
      <c r="P116" s="419">
        <v>13584346</v>
      </c>
      <c r="Q116" s="419">
        <v>16844695</v>
      </c>
      <c r="R116" s="419">
        <v>23296915</v>
      </c>
      <c r="S116" s="419">
        <v>0</v>
      </c>
      <c r="T116" s="419"/>
      <c r="U116" s="439"/>
      <c r="Y116" s="61"/>
    </row>
    <row r="117" spans="1:25" s="56" customFormat="1" ht="16.5" customHeight="1">
      <c r="A117" s="323" t="s">
        <v>118</v>
      </c>
      <c r="B117" s="419">
        <v>-99000</v>
      </c>
      <c r="C117" s="419">
        <v>-21000</v>
      </c>
      <c r="D117" s="419">
        <v>-42000</v>
      </c>
      <c r="E117" s="419">
        <v>-1969000</v>
      </c>
      <c r="F117" s="419">
        <v>-82000</v>
      </c>
      <c r="G117" s="419">
        <v>0</v>
      </c>
      <c r="H117" s="419">
        <v>-21000</v>
      </c>
      <c r="I117" s="419">
        <v>-1601000</v>
      </c>
      <c r="J117" s="419">
        <v>-73000</v>
      </c>
      <c r="K117" s="419">
        <v>0</v>
      </c>
      <c r="L117" s="419">
        <v>0</v>
      </c>
      <c r="M117" s="419">
        <v>-60000</v>
      </c>
      <c r="N117" s="419">
        <v>-109000</v>
      </c>
      <c r="O117" s="419">
        <v>0</v>
      </c>
      <c r="P117" s="419">
        <v>-68000</v>
      </c>
      <c r="Q117" s="419">
        <v>-84000</v>
      </c>
      <c r="R117" s="419">
        <v>-117000</v>
      </c>
      <c r="S117" s="419">
        <v>0</v>
      </c>
      <c r="T117" s="419"/>
      <c r="U117" s="439"/>
      <c r="Y117" s="61"/>
    </row>
    <row r="118" spans="1:25" s="56" customFormat="1" ht="16.5" customHeight="1">
      <c r="A118" s="323" t="s">
        <v>149</v>
      </c>
      <c r="B118" s="419">
        <v>19991300</v>
      </c>
      <c r="C118" s="419">
        <v>4214950</v>
      </c>
      <c r="D118" s="419">
        <v>8453590</v>
      </c>
      <c r="E118" s="419">
        <v>393961894</v>
      </c>
      <c r="F118" s="419">
        <v>16599380</v>
      </c>
      <c r="G118" s="419">
        <v>0</v>
      </c>
      <c r="H118" s="419">
        <v>4236995</v>
      </c>
      <c r="I118" s="419">
        <v>320388797</v>
      </c>
      <c r="J118" s="419">
        <v>14752955</v>
      </c>
      <c r="K118" s="419">
        <v>0</v>
      </c>
      <c r="L118" s="419">
        <v>0</v>
      </c>
      <c r="M118" s="419">
        <v>12025965</v>
      </c>
      <c r="N118" s="419">
        <v>21971424</v>
      </c>
      <c r="O118" s="419">
        <v>0</v>
      </c>
      <c r="P118" s="419">
        <v>13652346</v>
      </c>
      <c r="Q118" s="419">
        <v>16928695</v>
      </c>
      <c r="R118" s="419">
        <v>23413915</v>
      </c>
      <c r="S118" s="419">
        <v>0</v>
      </c>
      <c r="T118" s="419"/>
      <c r="U118" s="439"/>
      <c r="Y118" s="61"/>
    </row>
    <row r="119" spans="1:25" s="95" customFormat="1" ht="16.5" customHeight="1">
      <c r="A119" s="322" t="s">
        <v>150</v>
      </c>
      <c r="B119" s="419">
        <v>8124964303</v>
      </c>
      <c r="C119" s="419">
        <v>4609819548</v>
      </c>
      <c r="D119" s="419">
        <v>1247697280</v>
      </c>
      <c r="E119" s="419">
        <v>34160284749</v>
      </c>
      <c r="F119" s="419">
        <v>31675812490</v>
      </c>
      <c r="G119" s="419">
        <v>29252753562</v>
      </c>
      <c r="H119" s="419">
        <v>2</v>
      </c>
      <c r="I119" s="419">
        <v>22885785213</v>
      </c>
      <c r="J119" s="419">
        <v>19876846179</v>
      </c>
      <c r="K119" s="419">
        <v>16609765452</v>
      </c>
      <c r="L119" s="419">
        <v>13549989816</v>
      </c>
      <c r="M119" s="419">
        <v>13667762384</v>
      </c>
      <c r="N119" s="419">
        <v>10395543332</v>
      </c>
      <c r="O119" s="419">
        <v>6956678445</v>
      </c>
      <c r="P119" s="419">
        <v>3729333331</v>
      </c>
      <c r="Q119" s="419">
        <v>19951427866</v>
      </c>
      <c r="R119" s="419">
        <v>16274893730</v>
      </c>
      <c r="S119" s="419">
        <v>12416849569</v>
      </c>
      <c r="T119" s="419"/>
      <c r="U119" s="439"/>
      <c r="Y119" s="61"/>
    </row>
    <row r="120" spans="1:25" s="56" customFormat="1" ht="16.5" customHeight="1">
      <c r="A120" s="322" t="s">
        <v>151</v>
      </c>
      <c r="B120" s="419">
        <v>1816480500</v>
      </c>
      <c r="C120" s="419">
        <v>1816480500</v>
      </c>
      <c r="D120" s="419">
        <v>1816480500</v>
      </c>
      <c r="E120" s="419">
        <v>1816480500</v>
      </c>
      <c r="F120" s="419">
        <v>1816480500</v>
      </c>
      <c r="G120" s="419">
        <v>1816480500</v>
      </c>
      <c r="H120" s="419">
        <v>1851480500</v>
      </c>
      <c r="I120" s="419">
        <v>1851480500</v>
      </c>
      <c r="J120" s="419">
        <v>1851480500</v>
      </c>
      <c r="K120" s="419">
        <v>1851480500</v>
      </c>
      <c r="L120" s="419">
        <v>2221480500</v>
      </c>
      <c r="M120" s="419">
        <v>2221480500</v>
      </c>
      <c r="N120" s="419">
        <v>2221480500</v>
      </c>
      <c r="O120" s="419">
        <v>2221480500</v>
      </c>
      <c r="P120" s="419">
        <v>2221480500</v>
      </c>
      <c r="Q120" s="419">
        <v>2221480500</v>
      </c>
      <c r="R120" s="419">
        <v>2221480500</v>
      </c>
      <c r="S120" s="419">
        <v>2221480500</v>
      </c>
      <c r="T120" s="419"/>
      <c r="U120" s="439"/>
      <c r="Y120" s="61"/>
    </row>
    <row r="121" spans="1:25" s="56" customFormat="1" ht="16.5" customHeight="1">
      <c r="A121" s="321" t="s">
        <v>152</v>
      </c>
      <c r="B121" s="419">
        <v>0</v>
      </c>
      <c r="C121" s="419">
        <v>0</v>
      </c>
      <c r="D121" s="419">
        <v>0</v>
      </c>
      <c r="E121" s="419">
        <v>0</v>
      </c>
      <c r="F121" s="419">
        <v>0</v>
      </c>
      <c r="G121" s="419">
        <v>0</v>
      </c>
      <c r="H121" s="419">
        <v>0</v>
      </c>
      <c r="I121" s="419">
        <v>0</v>
      </c>
      <c r="J121" s="419">
        <v>0</v>
      </c>
      <c r="K121" s="419">
        <v>0</v>
      </c>
      <c r="L121" s="419">
        <v>0</v>
      </c>
      <c r="M121" s="419">
        <v>0</v>
      </c>
      <c r="N121" s="419">
        <v>0</v>
      </c>
      <c r="O121" s="419">
        <v>0</v>
      </c>
      <c r="P121" s="419">
        <v>0</v>
      </c>
      <c r="Q121" s="419">
        <v>0</v>
      </c>
      <c r="R121" s="419">
        <v>0</v>
      </c>
      <c r="S121" s="419">
        <v>0</v>
      </c>
      <c r="T121" s="419"/>
      <c r="U121" s="439"/>
      <c r="Y121" s="61"/>
    </row>
    <row r="122" spans="1:25" s="56" customFormat="1" ht="16.5" customHeight="1">
      <c r="A122" s="322" t="s">
        <v>153</v>
      </c>
      <c r="B122" s="419">
        <v>0</v>
      </c>
      <c r="C122" s="419">
        <v>0</v>
      </c>
      <c r="D122" s="419">
        <v>0</v>
      </c>
      <c r="E122" s="419">
        <v>0</v>
      </c>
      <c r="F122" s="419">
        <v>0</v>
      </c>
      <c r="G122" s="419">
        <v>0</v>
      </c>
      <c r="H122" s="419">
        <v>0</v>
      </c>
      <c r="I122" s="419">
        <v>0</v>
      </c>
      <c r="J122" s="419">
        <v>0</v>
      </c>
      <c r="K122" s="419">
        <v>0</v>
      </c>
      <c r="L122" s="419">
        <v>0</v>
      </c>
      <c r="M122" s="419">
        <v>0</v>
      </c>
      <c r="N122" s="419">
        <v>0</v>
      </c>
      <c r="O122" s="419">
        <v>0</v>
      </c>
      <c r="P122" s="419">
        <v>0</v>
      </c>
      <c r="Q122" s="419">
        <v>0</v>
      </c>
      <c r="R122" s="419">
        <v>0</v>
      </c>
      <c r="S122" s="419">
        <v>0</v>
      </c>
      <c r="T122" s="419"/>
      <c r="U122" s="301"/>
      <c r="Y122" s="61"/>
    </row>
    <row r="123" spans="1:25" s="95" customFormat="1" ht="16.5" customHeight="1">
      <c r="A123" s="327" t="s">
        <v>154</v>
      </c>
      <c r="B123" s="422">
        <v>22335112631411</v>
      </c>
      <c r="C123" s="422">
        <v>21806672078346</v>
      </c>
      <c r="D123" s="422">
        <v>21704858774525</v>
      </c>
      <c r="E123" s="422">
        <v>28600508116680.512</v>
      </c>
      <c r="F123" s="422">
        <v>29964104027035</v>
      </c>
      <c r="G123" s="422">
        <v>30992917548108</v>
      </c>
      <c r="H123" s="422">
        <v>30545017022144</v>
      </c>
      <c r="I123" s="422">
        <v>33931288790780</v>
      </c>
      <c r="J123" s="422">
        <v>34426440643039</v>
      </c>
      <c r="K123" s="422">
        <v>35308336870151</v>
      </c>
      <c r="L123" s="422">
        <v>37488673170045</v>
      </c>
      <c r="M123" s="422">
        <v>37618396153772</v>
      </c>
      <c r="N123" s="422">
        <v>39173541920856</v>
      </c>
      <c r="O123" s="422">
        <v>38752729105954</v>
      </c>
      <c r="P123" s="422">
        <v>38937420158409</v>
      </c>
      <c r="Q123" s="422">
        <v>38388473445768</v>
      </c>
      <c r="R123" s="422">
        <v>37264179477233</v>
      </c>
      <c r="S123" s="422">
        <v>36457508742668</v>
      </c>
      <c r="T123" s="627"/>
      <c r="U123" s="439"/>
      <c r="V123" s="683"/>
    </row>
    <row r="124" spans="1:25" s="56" customFormat="1" ht="16.5" customHeight="1">
      <c r="A124" s="321" t="s">
        <v>155</v>
      </c>
      <c r="B124" s="419">
        <v>20236084441167</v>
      </c>
      <c r="C124" s="419">
        <v>19297256469063</v>
      </c>
      <c r="D124" s="419">
        <v>18941576140086</v>
      </c>
      <c r="E124" s="419">
        <v>25837467544451</v>
      </c>
      <c r="F124" s="419">
        <v>27214244597700</v>
      </c>
      <c r="G124" s="419">
        <v>28267405029913</v>
      </c>
      <c r="H124" s="419">
        <v>27450222320321</v>
      </c>
      <c r="I124" s="419">
        <v>30890249722785</v>
      </c>
      <c r="J124" s="419">
        <v>31458978641249</v>
      </c>
      <c r="K124" s="419">
        <v>32545723722684</v>
      </c>
      <c r="L124" s="419">
        <v>34151417251626</v>
      </c>
      <c r="M124" s="419">
        <v>34235174512755</v>
      </c>
      <c r="N124" s="419">
        <v>36016077864687</v>
      </c>
      <c r="O124" s="419">
        <v>35699321067909</v>
      </c>
      <c r="P124" s="419">
        <v>35807647473574</v>
      </c>
      <c r="Q124" s="419">
        <v>34664948147842</v>
      </c>
      <c r="R124" s="419">
        <v>33304565135989</v>
      </c>
      <c r="S124" s="419">
        <v>32017506409770</v>
      </c>
      <c r="T124" s="419"/>
      <c r="U124" s="301"/>
      <c r="V124" s="291"/>
      <c r="W124" s="59"/>
      <c r="Y124" s="61"/>
    </row>
    <row r="125" spans="1:25" s="95" customFormat="1" ht="16.5" customHeight="1">
      <c r="A125" s="322" t="s">
        <v>156</v>
      </c>
      <c r="B125" s="419">
        <v>20178160860022</v>
      </c>
      <c r="C125" s="419">
        <v>18798148992596</v>
      </c>
      <c r="D125" s="419">
        <v>18178814284884</v>
      </c>
      <c r="E125" s="419">
        <v>18957277112402</v>
      </c>
      <c r="F125" s="419">
        <v>20054537607428</v>
      </c>
      <c r="G125" s="419">
        <v>19846794834960</v>
      </c>
      <c r="H125" s="419">
        <v>19016341549222</v>
      </c>
      <c r="I125" s="419">
        <v>21549324737068</v>
      </c>
      <c r="J125" s="419">
        <v>21869375968414</v>
      </c>
      <c r="K125" s="419">
        <v>22760808740293</v>
      </c>
      <c r="L125" s="419">
        <v>24062799270256</v>
      </c>
      <c r="M125" s="419">
        <v>24357752492165</v>
      </c>
      <c r="N125" s="419">
        <v>25971651582767</v>
      </c>
      <c r="O125" s="419">
        <v>25472225285432</v>
      </c>
      <c r="P125" s="419">
        <v>25520745511828</v>
      </c>
      <c r="Q125" s="419">
        <v>23715710921184</v>
      </c>
      <c r="R125" s="419">
        <v>22092105191429</v>
      </c>
      <c r="S125" s="419">
        <v>20801103966123</v>
      </c>
      <c r="T125" s="419"/>
      <c r="U125" s="439"/>
      <c r="V125" s="291"/>
      <c r="W125" s="197"/>
    </row>
    <row r="126" spans="1:25" s="56" customFormat="1" ht="16.5" customHeight="1">
      <c r="A126" s="323" t="s">
        <v>108</v>
      </c>
      <c r="B126" s="419">
        <v>17740695915596</v>
      </c>
      <c r="C126" s="419">
        <v>16333823942995</v>
      </c>
      <c r="D126" s="419">
        <v>15578410362765</v>
      </c>
      <c r="E126" s="419">
        <v>16429458692122</v>
      </c>
      <c r="F126" s="419">
        <v>17521314120010</v>
      </c>
      <c r="G126" s="419">
        <v>17271595151890</v>
      </c>
      <c r="H126" s="419">
        <v>16447884644367</v>
      </c>
      <c r="I126" s="419">
        <v>19125495118211</v>
      </c>
      <c r="J126" s="419">
        <v>19477212028267</v>
      </c>
      <c r="K126" s="419">
        <v>20353334969567</v>
      </c>
      <c r="L126" s="419">
        <v>21609275012459</v>
      </c>
      <c r="M126" s="419">
        <v>21901220568700</v>
      </c>
      <c r="N126" s="419">
        <v>23470934476348</v>
      </c>
      <c r="O126" s="419">
        <v>22944719612657</v>
      </c>
      <c r="P126" s="419">
        <v>22909799973316</v>
      </c>
      <c r="Q126" s="419">
        <v>21185521708910</v>
      </c>
      <c r="R126" s="419">
        <v>19587319584041</v>
      </c>
      <c r="S126" s="419">
        <v>18549832892002</v>
      </c>
      <c r="T126" s="419"/>
      <c r="U126" s="301"/>
      <c r="V126" s="291"/>
      <c r="W126" s="59"/>
      <c r="Y126" s="61"/>
    </row>
    <row r="127" spans="1:25" s="56" customFormat="1" ht="16.5" customHeight="1">
      <c r="A127" s="324" t="s">
        <v>109</v>
      </c>
      <c r="B127" s="419">
        <v>7227146650249</v>
      </c>
      <c r="C127" s="419">
        <v>5612500290082</v>
      </c>
      <c r="D127" s="419">
        <v>4673133965692</v>
      </c>
      <c r="E127" s="419">
        <v>4225881311123</v>
      </c>
      <c r="F127" s="419">
        <v>5223025474961</v>
      </c>
      <c r="G127" s="419">
        <v>4948387721207</v>
      </c>
      <c r="H127" s="419">
        <v>3630597669668</v>
      </c>
      <c r="I127" s="419">
        <v>6226244534018</v>
      </c>
      <c r="J127" s="419">
        <v>6257949577460</v>
      </c>
      <c r="K127" s="419">
        <v>7146337891053</v>
      </c>
      <c r="L127" s="419">
        <v>8354074150386</v>
      </c>
      <c r="M127" s="419">
        <v>8591873114484</v>
      </c>
      <c r="N127" s="419">
        <v>10107475979033</v>
      </c>
      <c r="O127" s="419">
        <v>9486283973260</v>
      </c>
      <c r="P127" s="419">
        <v>9209581839049</v>
      </c>
      <c r="Q127" s="419">
        <v>8338659607839</v>
      </c>
      <c r="R127" s="419">
        <v>6529758217423</v>
      </c>
      <c r="S127" s="419">
        <v>7951020427379</v>
      </c>
      <c r="T127" s="419"/>
      <c r="U127" s="301"/>
      <c r="V127" s="59"/>
      <c r="W127" s="59"/>
      <c r="Y127" s="61"/>
    </row>
    <row r="128" spans="1:25" s="56" customFormat="1" ht="16.5" customHeight="1">
      <c r="A128" s="324" t="s">
        <v>110</v>
      </c>
      <c r="B128" s="419">
        <v>2059984788650</v>
      </c>
      <c r="C128" s="419">
        <v>1949069384124</v>
      </c>
      <c r="D128" s="419">
        <v>1884180010599</v>
      </c>
      <c r="E128" s="419">
        <v>1915200059857</v>
      </c>
      <c r="F128" s="419">
        <v>1972237475293</v>
      </c>
      <c r="G128" s="419">
        <v>1939433760231</v>
      </c>
      <c r="H128" s="419">
        <v>1794427137539</v>
      </c>
      <c r="I128" s="419">
        <v>1745738194855</v>
      </c>
      <c r="J128" s="419">
        <v>1773671777946</v>
      </c>
      <c r="K128" s="419">
        <v>1834635823292</v>
      </c>
      <c r="L128" s="419">
        <v>1894345279219</v>
      </c>
      <c r="M128" s="419">
        <v>1413307087933</v>
      </c>
      <c r="N128" s="419">
        <v>1444329055171</v>
      </c>
      <c r="O128" s="419">
        <v>1458300795168</v>
      </c>
      <c r="P128" s="419">
        <v>1467181106647</v>
      </c>
      <c r="Q128" s="419">
        <v>1316146288495</v>
      </c>
      <c r="R128" s="419">
        <v>1315403717617</v>
      </c>
      <c r="S128" s="419">
        <v>1065820988940</v>
      </c>
      <c r="T128" s="419"/>
      <c r="U128" s="301"/>
      <c r="V128" s="59"/>
      <c r="W128" s="59"/>
      <c r="Y128" s="61"/>
    </row>
    <row r="129" spans="1:26" s="95" customFormat="1" ht="16.5" customHeight="1">
      <c r="A129" s="324" t="s">
        <v>111</v>
      </c>
      <c r="B129" s="419">
        <v>7764775434839</v>
      </c>
      <c r="C129" s="419">
        <v>8060932576259</v>
      </c>
      <c r="D129" s="419">
        <v>8312364008332</v>
      </c>
      <c r="E129" s="419">
        <v>9591883617317</v>
      </c>
      <c r="F129" s="419">
        <v>9596203482015</v>
      </c>
      <c r="G129" s="419">
        <v>9649623966479</v>
      </c>
      <c r="H129" s="419">
        <v>10285791977540</v>
      </c>
      <c r="I129" s="419">
        <v>10418721298766</v>
      </c>
      <c r="J129" s="419">
        <v>10693572149706</v>
      </c>
      <c r="K129" s="419">
        <v>10616104715974</v>
      </c>
      <c r="L129" s="419">
        <v>10594744357056</v>
      </c>
      <c r="M129" s="419">
        <v>11127198802657</v>
      </c>
      <c r="N129" s="419">
        <v>11116288109269</v>
      </c>
      <c r="O129" s="419">
        <v>11198404739148</v>
      </c>
      <c r="P129" s="419">
        <v>11422206847815</v>
      </c>
      <c r="Q129" s="419">
        <v>10724838783499</v>
      </c>
      <c r="R129" s="419">
        <v>10884318596073</v>
      </c>
      <c r="S129" s="419">
        <v>8677031464950</v>
      </c>
      <c r="T129" s="419"/>
      <c r="U129" s="301"/>
      <c r="V129" s="197"/>
      <c r="W129" s="197"/>
      <c r="X129" s="197"/>
      <c r="Y129" s="61"/>
      <c r="Z129" s="197"/>
    </row>
    <row r="130" spans="1:26" s="56" customFormat="1" ht="16.5" customHeight="1">
      <c r="A130" s="324" t="s">
        <v>112</v>
      </c>
      <c r="B130" s="419">
        <v>688789041858</v>
      </c>
      <c r="C130" s="419">
        <v>711321692530</v>
      </c>
      <c r="D130" s="419">
        <v>708732378142</v>
      </c>
      <c r="E130" s="419">
        <v>696493703825</v>
      </c>
      <c r="F130" s="419">
        <v>729847687741</v>
      </c>
      <c r="G130" s="419">
        <v>734149703973</v>
      </c>
      <c r="H130" s="419">
        <v>737067859620</v>
      </c>
      <c r="I130" s="419">
        <v>734791090572</v>
      </c>
      <c r="J130" s="419">
        <v>752018523155</v>
      </c>
      <c r="K130" s="419">
        <v>756256539248</v>
      </c>
      <c r="L130" s="419">
        <v>766111225798</v>
      </c>
      <c r="M130" s="419">
        <v>768841563626</v>
      </c>
      <c r="N130" s="419">
        <v>802841332875</v>
      </c>
      <c r="O130" s="419">
        <v>801730105081</v>
      </c>
      <c r="P130" s="419">
        <v>810830179805</v>
      </c>
      <c r="Q130" s="419">
        <v>805877029077</v>
      </c>
      <c r="R130" s="419">
        <v>857839052928</v>
      </c>
      <c r="S130" s="419">
        <v>855960010733</v>
      </c>
      <c r="T130" s="419"/>
      <c r="U130" s="301"/>
      <c r="V130" s="59"/>
      <c r="W130" s="59"/>
      <c r="X130" s="59"/>
      <c r="Y130" s="61"/>
    </row>
    <row r="131" spans="1:26" s="56" customFormat="1" ht="16.5" customHeight="1">
      <c r="A131" s="323" t="s">
        <v>113</v>
      </c>
      <c r="B131" s="419">
        <v>2437464944426</v>
      </c>
      <c r="C131" s="419">
        <v>2464325049601</v>
      </c>
      <c r="D131" s="419">
        <v>2600403922119</v>
      </c>
      <c r="E131" s="419">
        <v>2527818420280</v>
      </c>
      <c r="F131" s="419">
        <v>2533223487418</v>
      </c>
      <c r="G131" s="419">
        <v>2575199683070</v>
      </c>
      <c r="H131" s="419">
        <v>2568456904855</v>
      </c>
      <c r="I131" s="419">
        <v>2423829618857</v>
      </c>
      <c r="J131" s="419">
        <v>2392163940147</v>
      </c>
      <c r="K131" s="419">
        <v>2407473770726</v>
      </c>
      <c r="L131" s="419">
        <v>2453524257797</v>
      </c>
      <c r="M131" s="419">
        <v>2456531923465</v>
      </c>
      <c r="N131" s="419">
        <v>2500717106419</v>
      </c>
      <c r="O131" s="419">
        <v>2527505672775</v>
      </c>
      <c r="P131" s="419">
        <v>2610945538512</v>
      </c>
      <c r="Q131" s="419">
        <v>2530189212274</v>
      </c>
      <c r="R131" s="419">
        <v>2504785607388</v>
      </c>
      <c r="S131" s="419">
        <v>2251271074121</v>
      </c>
      <c r="T131" s="419"/>
      <c r="U131" s="301"/>
      <c r="V131" s="59"/>
      <c r="W131" s="59"/>
      <c r="X131" s="59"/>
      <c r="Y131" s="61"/>
    </row>
    <row r="132" spans="1:26" s="56" customFormat="1" ht="16.5" customHeight="1">
      <c r="A132" s="324" t="s">
        <v>109</v>
      </c>
      <c r="B132" s="419">
        <v>2352759784825</v>
      </c>
      <c r="C132" s="419">
        <v>2378782538599</v>
      </c>
      <c r="D132" s="419">
        <v>2502290728002</v>
      </c>
      <c r="E132" s="419">
        <v>2422172936967</v>
      </c>
      <c r="F132" s="419">
        <v>2428436981421</v>
      </c>
      <c r="G132" s="419">
        <v>2472551436014</v>
      </c>
      <c r="H132" s="419">
        <v>2466405068725</v>
      </c>
      <c r="I132" s="419">
        <v>2310505487607</v>
      </c>
      <c r="J132" s="419">
        <v>2290272987503</v>
      </c>
      <c r="K132" s="419">
        <v>2305759247480</v>
      </c>
      <c r="L132" s="419">
        <v>2339194605980</v>
      </c>
      <c r="M132" s="419">
        <v>2366275701803</v>
      </c>
      <c r="N132" s="419">
        <v>2411682099467</v>
      </c>
      <c r="O132" s="419">
        <v>2445953077837</v>
      </c>
      <c r="P132" s="419">
        <v>2514276692299</v>
      </c>
      <c r="Q132" s="419">
        <v>2444038426013</v>
      </c>
      <c r="R132" s="419">
        <v>2424626416520</v>
      </c>
      <c r="S132" s="419">
        <v>2178604737246</v>
      </c>
      <c r="T132" s="419"/>
      <c r="U132" s="301"/>
      <c r="V132" s="59"/>
      <c r="W132" s="59"/>
      <c r="Y132" s="61"/>
    </row>
    <row r="133" spans="1:26" s="56" customFormat="1" ht="16.5" customHeight="1">
      <c r="A133" s="324" t="s">
        <v>110</v>
      </c>
      <c r="B133" s="419">
        <v>84705159601</v>
      </c>
      <c r="C133" s="419">
        <v>85542511002</v>
      </c>
      <c r="D133" s="419">
        <v>98113194117</v>
      </c>
      <c r="E133" s="419">
        <v>105645483313</v>
      </c>
      <c r="F133" s="419">
        <v>104786505997</v>
      </c>
      <c r="G133" s="419">
        <v>102648247056</v>
      </c>
      <c r="H133" s="419">
        <v>102051836130</v>
      </c>
      <c r="I133" s="419">
        <v>113324131250</v>
      </c>
      <c r="J133" s="419">
        <v>101890952644</v>
      </c>
      <c r="K133" s="419">
        <v>101714523246</v>
      </c>
      <c r="L133" s="419">
        <v>114329651817</v>
      </c>
      <c r="M133" s="419">
        <v>90256221662</v>
      </c>
      <c r="N133" s="419">
        <v>89035006952</v>
      </c>
      <c r="O133" s="419">
        <v>81552594938</v>
      </c>
      <c r="P133" s="419">
        <v>96668846213</v>
      </c>
      <c r="Q133" s="419">
        <v>86150786261</v>
      </c>
      <c r="R133" s="419">
        <v>80159190868</v>
      </c>
      <c r="S133" s="419">
        <v>72666336875</v>
      </c>
      <c r="T133" s="419"/>
      <c r="U133" s="301"/>
      <c r="V133" s="59"/>
      <c r="W133" s="59"/>
      <c r="Y133" s="61"/>
    </row>
    <row r="134" spans="1:26" s="95" customFormat="1" ht="16.5" customHeight="1">
      <c r="A134" s="322" t="s">
        <v>157</v>
      </c>
      <c r="B134" s="419">
        <v>0</v>
      </c>
      <c r="C134" s="419">
        <v>0</v>
      </c>
      <c r="D134" s="419">
        <v>0</v>
      </c>
      <c r="E134" s="419">
        <v>0</v>
      </c>
      <c r="F134" s="419">
        <v>0</v>
      </c>
      <c r="G134" s="419">
        <v>0</v>
      </c>
      <c r="H134" s="419">
        <v>0</v>
      </c>
      <c r="I134" s="419">
        <v>715860724</v>
      </c>
      <c r="J134" s="419">
        <v>0</v>
      </c>
      <c r="K134" s="419">
        <v>613505521</v>
      </c>
      <c r="L134" s="419">
        <v>546375209</v>
      </c>
      <c r="M134" s="419">
        <v>385162305</v>
      </c>
      <c r="N134" s="419">
        <v>386672060</v>
      </c>
      <c r="O134" s="419">
        <v>266142083</v>
      </c>
      <c r="P134" s="419">
        <v>12013379435</v>
      </c>
      <c r="Q134" s="419">
        <v>57481152108</v>
      </c>
      <c r="R134" s="419">
        <v>73572602410</v>
      </c>
      <c r="S134" s="419">
        <v>88095114159</v>
      </c>
      <c r="T134" s="419"/>
      <c r="U134" s="439"/>
      <c r="W134" s="197"/>
    </row>
    <row r="135" spans="1:26" s="95" customFormat="1" ht="16.5" customHeight="1">
      <c r="A135" s="323" t="s">
        <v>108</v>
      </c>
      <c r="B135" s="419">
        <v>0</v>
      </c>
      <c r="C135" s="419">
        <v>0</v>
      </c>
      <c r="D135" s="419">
        <v>0</v>
      </c>
      <c r="E135" s="419">
        <v>0</v>
      </c>
      <c r="F135" s="419">
        <v>0</v>
      </c>
      <c r="G135" s="419">
        <v>0</v>
      </c>
      <c r="H135" s="419">
        <v>0</v>
      </c>
      <c r="I135" s="419">
        <v>2766458206</v>
      </c>
      <c r="J135" s="419">
        <v>0</v>
      </c>
      <c r="K135" s="419">
        <v>2591517173</v>
      </c>
      <c r="L135" s="419">
        <v>2505676687</v>
      </c>
      <c r="M135" s="419">
        <v>2418460601</v>
      </c>
      <c r="N135" s="419">
        <v>2334586417</v>
      </c>
      <c r="O135" s="419">
        <v>2255065718</v>
      </c>
      <c r="P135" s="419">
        <v>29221889363</v>
      </c>
      <c r="Q135" s="419">
        <v>97773055321</v>
      </c>
      <c r="R135" s="419">
        <v>97412818153</v>
      </c>
      <c r="S135" s="419">
        <v>114042853761</v>
      </c>
      <c r="T135" s="419"/>
      <c r="U135" s="439"/>
      <c r="W135" s="197"/>
    </row>
    <row r="136" spans="1:26" s="95" customFormat="1" ht="16.5" customHeight="1">
      <c r="A136" s="324" t="s">
        <v>109</v>
      </c>
      <c r="B136" s="419">
        <v>0</v>
      </c>
      <c r="C136" s="419">
        <v>0</v>
      </c>
      <c r="D136" s="419">
        <v>0</v>
      </c>
      <c r="E136" s="419">
        <v>0</v>
      </c>
      <c r="F136" s="419">
        <v>0</v>
      </c>
      <c r="G136" s="419">
        <v>0</v>
      </c>
      <c r="H136" s="419">
        <v>0</v>
      </c>
      <c r="I136" s="419">
        <v>239911729</v>
      </c>
      <c r="J136" s="419">
        <v>0</v>
      </c>
      <c r="K136" s="419">
        <v>239192983</v>
      </c>
      <c r="L136" s="419">
        <v>238813778</v>
      </c>
      <c r="M136" s="419">
        <v>254964992</v>
      </c>
      <c r="N136" s="419">
        <v>245547929</v>
      </c>
      <c r="O136" s="419">
        <v>244242948</v>
      </c>
      <c r="P136" s="419">
        <v>112658975649</v>
      </c>
      <c r="Q136" s="419">
        <v>180988527764</v>
      </c>
      <c r="R136" s="419">
        <v>177832109238</v>
      </c>
      <c r="S136" s="419">
        <v>193595724372</v>
      </c>
      <c r="T136" s="419"/>
      <c r="U136" s="439"/>
      <c r="W136" s="197"/>
    </row>
    <row r="137" spans="1:26" s="95" customFormat="1" ht="16.5" customHeight="1">
      <c r="A137" s="324" t="s">
        <v>110</v>
      </c>
      <c r="B137" s="419">
        <v>0</v>
      </c>
      <c r="C137" s="419">
        <v>0</v>
      </c>
      <c r="D137" s="419">
        <v>0</v>
      </c>
      <c r="E137" s="419">
        <v>0</v>
      </c>
      <c r="F137" s="419">
        <v>0</v>
      </c>
      <c r="G137" s="419">
        <v>0</v>
      </c>
      <c r="H137" s="419">
        <v>0</v>
      </c>
      <c r="I137" s="419">
        <v>-6014125</v>
      </c>
      <c r="J137" s="419">
        <v>0</v>
      </c>
      <c r="K137" s="419">
        <v>-6086301</v>
      </c>
      <c r="L137" s="419">
        <v>-6143395</v>
      </c>
      <c r="M137" s="419">
        <v>-6241352</v>
      </c>
      <c r="N137" s="419">
        <v>-5938000</v>
      </c>
      <c r="O137" s="419">
        <v>-1709721</v>
      </c>
      <c r="P137" s="419">
        <v>-511966124</v>
      </c>
      <c r="Q137" s="419">
        <v>-525586078</v>
      </c>
      <c r="R137" s="419">
        <v>-517995535</v>
      </c>
      <c r="S137" s="419">
        <v>-4051925457</v>
      </c>
      <c r="T137" s="419"/>
      <c r="U137" s="439"/>
      <c r="W137" s="197"/>
    </row>
    <row r="138" spans="1:26" s="95" customFormat="1" ht="16.5" customHeight="1">
      <c r="A138" s="324" t="s">
        <v>111</v>
      </c>
      <c r="B138" s="419">
        <v>0</v>
      </c>
      <c r="C138" s="419">
        <v>0</v>
      </c>
      <c r="D138" s="419">
        <v>0</v>
      </c>
      <c r="E138" s="419">
        <v>0</v>
      </c>
      <c r="F138" s="419">
        <v>0</v>
      </c>
      <c r="G138" s="419">
        <v>0</v>
      </c>
      <c r="H138" s="419">
        <v>0</v>
      </c>
      <c r="I138" s="419">
        <v>2532560602</v>
      </c>
      <c r="J138" s="419">
        <v>0</v>
      </c>
      <c r="K138" s="419">
        <v>2358410491</v>
      </c>
      <c r="L138" s="419">
        <v>2273006304</v>
      </c>
      <c r="M138" s="419">
        <v>2169736961</v>
      </c>
      <c r="N138" s="419">
        <v>2094976488</v>
      </c>
      <c r="O138" s="419">
        <v>2012532491</v>
      </c>
      <c r="P138" s="419">
        <v>-82925120162</v>
      </c>
      <c r="Q138" s="419">
        <v>-82689886365</v>
      </c>
      <c r="R138" s="419">
        <v>-79901295550</v>
      </c>
      <c r="S138" s="419">
        <v>-75500945154</v>
      </c>
      <c r="T138" s="419"/>
      <c r="U138" s="439"/>
      <c r="V138" s="440"/>
      <c r="W138" s="197"/>
    </row>
    <row r="139" spans="1:26" s="95" customFormat="1" ht="16.5" customHeight="1">
      <c r="A139" s="324" t="s">
        <v>112</v>
      </c>
      <c r="B139" s="419">
        <v>0</v>
      </c>
      <c r="C139" s="419">
        <v>0</v>
      </c>
      <c r="D139" s="419">
        <v>0</v>
      </c>
      <c r="E139" s="419">
        <v>0</v>
      </c>
      <c r="F139" s="419">
        <v>0</v>
      </c>
      <c r="G139" s="419">
        <v>0</v>
      </c>
      <c r="H139" s="419">
        <v>0</v>
      </c>
      <c r="I139" s="419">
        <v>0</v>
      </c>
      <c r="J139" s="419">
        <v>0</v>
      </c>
      <c r="K139" s="419">
        <v>0</v>
      </c>
      <c r="L139" s="419">
        <v>0</v>
      </c>
      <c r="M139" s="419">
        <v>0</v>
      </c>
      <c r="N139" s="419">
        <v>0</v>
      </c>
      <c r="O139" s="419">
        <v>0</v>
      </c>
      <c r="P139" s="419">
        <v>0</v>
      </c>
      <c r="Q139" s="419">
        <v>0</v>
      </c>
      <c r="R139" s="419">
        <v>0</v>
      </c>
      <c r="S139" s="419">
        <v>0</v>
      </c>
      <c r="T139" s="419"/>
      <c r="U139" s="439"/>
      <c r="V139" s="440"/>
      <c r="W139" s="197"/>
    </row>
    <row r="140" spans="1:26" s="95" customFormat="1" ht="16.5" customHeight="1">
      <c r="A140" s="323" t="s">
        <v>113</v>
      </c>
      <c r="B140" s="419">
        <v>0</v>
      </c>
      <c r="C140" s="419">
        <v>0</v>
      </c>
      <c r="D140" s="419">
        <v>0</v>
      </c>
      <c r="E140" s="419">
        <v>0</v>
      </c>
      <c r="F140" s="419">
        <v>0</v>
      </c>
      <c r="G140" s="419">
        <v>0</v>
      </c>
      <c r="H140" s="419">
        <v>0</v>
      </c>
      <c r="I140" s="419">
        <v>-2050597482</v>
      </c>
      <c r="J140" s="419">
        <v>0</v>
      </c>
      <c r="K140" s="419">
        <v>-1978011652</v>
      </c>
      <c r="L140" s="419">
        <v>-1959301478</v>
      </c>
      <c r="M140" s="419">
        <v>-2033298296</v>
      </c>
      <c r="N140" s="419">
        <v>-1947914357</v>
      </c>
      <c r="O140" s="419">
        <v>-1988923635</v>
      </c>
      <c r="P140" s="419">
        <v>-17208509928</v>
      </c>
      <c r="Q140" s="419">
        <v>-40291903213</v>
      </c>
      <c r="R140" s="419">
        <v>-23840215743</v>
      </c>
      <c r="S140" s="419">
        <v>-25947739602</v>
      </c>
      <c r="T140" s="419"/>
      <c r="U140" s="439"/>
      <c r="V140" s="440"/>
      <c r="W140" s="197"/>
    </row>
    <row r="141" spans="1:26" s="95" customFormat="1" ht="16.5" customHeight="1">
      <c r="A141" s="324" t="s">
        <v>109</v>
      </c>
      <c r="B141" s="419">
        <v>0</v>
      </c>
      <c r="C141" s="419">
        <v>0</v>
      </c>
      <c r="D141" s="419">
        <v>0</v>
      </c>
      <c r="E141" s="419">
        <v>0</v>
      </c>
      <c r="F141" s="419">
        <v>0</v>
      </c>
      <c r="G141" s="419">
        <v>0</v>
      </c>
      <c r="H141" s="419">
        <v>0</v>
      </c>
      <c r="I141" s="419">
        <v>-2044800949</v>
      </c>
      <c r="J141" s="419">
        <v>0</v>
      </c>
      <c r="K141" s="419">
        <v>-1972877031</v>
      </c>
      <c r="L141" s="419">
        <v>-1954289799</v>
      </c>
      <c r="M141" s="419">
        <v>-2028504147</v>
      </c>
      <c r="N141" s="419">
        <v>-1943680057</v>
      </c>
      <c r="O141" s="419">
        <v>-1985124199</v>
      </c>
      <c r="P141" s="419">
        <v>-17140840919</v>
      </c>
      <c r="Q141" s="419">
        <v>-40178818268</v>
      </c>
      <c r="R141" s="419">
        <v>-23667193518</v>
      </c>
      <c r="S141" s="419">
        <v>-25719093939</v>
      </c>
      <c r="T141" s="419"/>
      <c r="U141" s="439"/>
      <c r="W141" s="197"/>
    </row>
    <row r="142" spans="1:26" s="56" customFormat="1" ht="16.5" customHeight="1">
      <c r="A142" s="324" t="s">
        <v>110</v>
      </c>
      <c r="B142" s="419">
        <v>0</v>
      </c>
      <c r="C142" s="419">
        <v>0</v>
      </c>
      <c r="D142" s="419">
        <v>0</v>
      </c>
      <c r="E142" s="419">
        <v>0</v>
      </c>
      <c r="F142" s="419">
        <v>0</v>
      </c>
      <c r="G142" s="419">
        <v>0</v>
      </c>
      <c r="H142" s="419">
        <v>0</v>
      </c>
      <c r="I142" s="419">
        <v>-5796533</v>
      </c>
      <c r="J142" s="419">
        <v>0</v>
      </c>
      <c r="K142" s="419">
        <v>-5134621</v>
      </c>
      <c r="L142" s="419">
        <v>-5011679</v>
      </c>
      <c r="M142" s="419">
        <v>-4794149</v>
      </c>
      <c r="N142" s="419">
        <v>-4234300</v>
      </c>
      <c r="O142" s="419">
        <v>-3799436</v>
      </c>
      <c r="P142" s="419">
        <v>-67669009</v>
      </c>
      <c r="Q142" s="419">
        <v>-113084945</v>
      </c>
      <c r="R142" s="419">
        <v>-173022225</v>
      </c>
      <c r="S142" s="419">
        <v>-228645663</v>
      </c>
      <c r="T142" s="419"/>
      <c r="U142" s="301"/>
      <c r="W142" s="59"/>
      <c r="Y142" s="61"/>
    </row>
    <row r="143" spans="1:26" s="95" customFormat="1" ht="16.5" customHeight="1">
      <c r="A143" s="322" t="s">
        <v>158</v>
      </c>
      <c r="B143" s="419">
        <v>57923581145</v>
      </c>
      <c r="C143" s="419">
        <v>499107476467</v>
      </c>
      <c r="D143" s="419">
        <v>762761855202</v>
      </c>
      <c r="E143" s="419">
        <v>6880190432049</v>
      </c>
      <c r="F143" s="419">
        <v>7159706990272</v>
      </c>
      <c r="G143" s="419">
        <v>8420610194953</v>
      </c>
      <c r="H143" s="419">
        <v>8433880771099</v>
      </c>
      <c r="I143" s="419">
        <v>9340209124993</v>
      </c>
      <c r="J143" s="419">
        <v>9589602672835</v>
      </c>
      <c r="K143" s="419">
        <v>9784301476870</v>
      </c>
      <c r="L143" s="419">
        <v>10088071606161</v>
      </c>
      <c r="M143" s="419">
        <v>9877036858285</v>
      </c>
      <c r="N143" s="419">
        <v>10044039609860</v>
      </c>
      <c r="O143" s="419">
        <v>10226829640394</v>
      </c>
      <c r="P143" s="419">
        <v>10274888582311</v>
      </c>
      <c r="Q143" s="419">
        <v>10891756074550</v>
      </c>
      <c r="R143" s="419">
        <v>11138887342150</v>
      </c>
      <c r="S143" s="419">
        <v>11128307329488</v>
      </c>
      <c r="T143" s="419"/>
      <c r="U143" s="439"/>
      <c r="V143" s="440"/>
      <c r="W143" s="197"/>
    </row>
    <row r="144" spans="1:26" s="56" customFormat="1" ht="16.5" customHeight="1">
      <c r="A144" s="321" t="s">
        <v>713</v>
      </c>
      <c r="B144" s="419">
        <v>2099028190244</v>
      </c>
      <c r="C144" s="419">
        <v>2509415609283</v>
      </c>
      <c r="D144" s="419">
        <v>2763282634439</v>
      </c>
      <c r="E144" s="419">
        <v>2763040572229.5112</v>
      </c>
      <c r="F144" s="419">
        <v>2749859429335</v>
      </c>
      <c r="G144" s="419">
        <v>2725512518195</v>
      </c>
      <c r="H144" s="419">
        <v>3094794701823</v>
      </c>
      <c r="I144" s="419">
        <v>3041039067995</v>
      </c>
      <c r="J144" s="419">
        <v>2967462001790</v>
      </c>
      <c r="K144" s="419">
        <v>2762613147467</v>
      </c>
      <c r="L144" s="419">
        <v>3337255918419</v>
      </c>
      <c r="M144" s="419">
        <v>3383221641017</v>
      </c>
      <c r="N144" s="419">
        <v>3157464056169</v>
      </c>
      <c r="O144" s="419">
        <v>3053408038045</v>
      </c>
      <c r="P144" s="419">
        <v>3129772684835</v>
      </c>
      <c r="Q144" s="419">
        <v>3723525297926</v>
      </c>
      <c r="R144" s="419">
        <v>3959614341244</v>
      </c>
      <c r="S144" s="419">
        <v>4440002332898</v>
      </c>
      <c r="T144" s="419"/>
      <c r="U144" s="301"/>
      <c r="W144" s="59"/>
      <c r="Y144" s="61"/>
    </row>
    <row r="145" spans="1:25" s="56" customFormat="1" ht="16.5" customHeight="1">
      <c r="A145" s="322" t="s">
        <v>159</v>
      </c>
      <c r="B145" s="419">
        <v>203467332177</v>
      </c>
      <c r="C145" s="419">
        <v>119258570056</v>
      </c>
      <c r="D145" s="419">
        <v>115508812939</v>
      </c>
      <c r="E145" s="419">
        <v>137596784850</v>
      </c>
      <c r="F145" s="419">
        <v>148559255177</v>
      </c>
      <c r="G145" s="419">
        <v>201774536850</v>
      </c>
      <c r="H145" s="419">
        <v>123647248672</v>
      </c>
      <c r="I145" s="419">
        <v>135417019704</v>
      </c>
      <c r="J145" s="419">
        <v>175243867968</v>
      </c>
      <c r="K145" s="419">
        <v>214337466122</v>
      </c>
      <c r="L145" s="419">
        <v>142500228503</v>
      </c>
      <c r="M145" s="419">
        <v>155485272630</v>
      </c>
      <c r="N145" s="419">
        <v>149740646522</v>
      </c>
      <c r="O145" s="419">
        <v>145311514586</v>
      </c>
      <c r="P145" s="419">
        <v>165734890491</v>
      </c>
      <c r="Q145" s="419">
        <v>194378039605</v>
      </c>
      <c r="R145" s="419">
        <v>174359821588</v>
      </c>
      <c r="S145" s="419">
        <v>192362443678</v>
      </c>
      <c r="T145" s="419"/>
      <c r="U145" s="301"/>
      <c r="W145" s="59"/>
      <c r="Y145" s="61"/>
    </row>
    <row r="146" spans="1:25" s="56" customFormat="1" ht="16.5" customHeight="1">
      <c r="A146" s="322" t="s">
        <v>160</v>
      </c>
      <c r="B146" s="419">
        <v>351812094176</v>
      </c>
      <c r="C146" s="419">
        <v>347055147171</v>
      </c>
      <c r="D146" s="419">
        <v>348221201755</v>
      </c>
      <c r="E146" s="419">
        <v>498162285398</v>
      </c>
      <c r="F146" s="419">
        <v>367598474708</v>
      </c>
      <c r="G146" s="419">
        <v>421924801515</v>
      </c>
      <c r="H146" s="419">
        <v>588001994391</v>
      </c>
      <c r="I146" s="419">
        <v>676996091030</v>
      </c>
      <c r="J146" s="419">
        <v>568347836201</v>
      </c>
      <c r="K146" s="419">
        <v>524767542878</v>
      </c>
      <c r="L146" s="419">
        <v>550282680045</v>
      </c>
      <c r="M146" s="419">
        <v>760733818290</v>
      </c>
      <c r="N146" s="419">
        <v>552553430002</v>
      </c>
      <c r="O146" s="419">
        <v>532253728578</v>
      </c>
      <c r="P146" s="419">
        <v>545193766216</v>
      </c>
      <c r="Q146" s="419">
        <v>741008332377</v>
      </c>
      <c r="R146" s="419">
        <v>523323566104</v>
      </c>
      <c r="S146" s="419">
        <v>522023387638</v>
      </c>
      <c r="T146" s="419"/>
      <c r="U146" s="301"/>
      <c r="W146" s="59"/>
      <c r="Y146" s="61"/>
    </row>
    <row r="147" spans="1:25" s="56" customFormat="1" ht="16.5" customHeight="1">
      <c r="A147" s="322" t="s">
        <v>552</v>
      </c>
      <c r="B147" s="419">
        <v>193210557517</v>
      </c>
      <c r="C147" s="419">
        <v>142857924177</v>
      </c>
      <c r="D147" s="419">
        <v>115032592147</v>
      </c>
      <c r="E147" s="419">
        <v>195876913942</v>
      </c>
      <c r="F147" s="419">
        <v>111653986862</v>
      </c>
      <c r="G147" s="419">
        <v>37782362920</v>
      </c>
      <c r="H147" s="419">
        <v>96372781319</v>
      </c>
      <c r="I147" s="419">
        <v>171910546375</v>
      </c>
      <c r="J147" s="419">
        <v>242171113818</v>
      </c>
      <c r="K147" s="419">
        <v>97543847471</v>
      </c>
      <c r="L147" s="419">
        <v>123505901262</v>
      </c>
      <c r="M147" s="419">
        <v>245905252629</v>
      </c>
      <c r="N147" s="419">
        <v>167923759788</v>
      </c>
      <c r="O147" s="419">
        <v>109271180320</v>
      </c>
      <c r="P147" s="419">
        <v>113481720981</v>
      </c>
      <c r="Q147" s="419">
        <v>57154936584</v>
      </c>
      <c r="R147" s="419">
        <v>35323729423</v>
      </c>
      <c r="S147" s="419">
        <v>16113526705</v>
      </c>
      <c r="T147" s="419"/>
      <c r="U147" s="301"/>
      <c r="W147" s="59"/>
      <c r="Y147" s="61"/>
    </row>
    <row r="148" spans="1:25" s="56" customFormat="1" ht="16.5" customHeight="1">
      <c r="A148" s="322" t="s">
        <v>161</v>
      </c>
      <c r="B148" s="419">
        <v>957959773450</v>
      </c>
      <c r="C148" s="419">
        <v>1342666438250</v>
      </c>
      <c r="D148" s="419">
        <v>1342915053150</v>
      </c>
      <c r="E148" s="419">
        <v>1343166057696</v>
      </c>
      <c r="F148" s="419">
        <v>1343418354255</v>
      </c>
      <c r="G148" s="419">
        <v>1243660090816</v>
      </c>
      <c r="H148" s="419">
        <v>1243901719446</v>
      </c>
      <c r="I148" s="419">
        <v>1244145655569</v>
      </c>
      <c r="J148" s="419">
        <v>1244391778155</v>
      </c>
      <c r="K148" s="419">
        <v>1144119331132</v>
      </c>
      <c r="L148" s="419">
        <v>1791863296835</v>
      </c>
      <c r="M148" s="419">
        <v>1542175256630</v>
      </c>
      <c r="N148" s="419">
        <v>1691561772463</v>
      </c>
      <c r="O148" s="419">
        <v>1691866206150</v>
      </c>
      <c r="P148" s="419">
        <v>1692172593497</v>
      </c>
      <c r="Q148" s="419">
        <v>1797155311695</v>
      </c>
      <c r="R148" s="419">
        <v>1797481938809</v>
      </c>
      <c r="S148" s="419">
        <v>1587775106452</v>
      </c>
      <c r="T148" s="419"/>
      <c r="U148" s="301"/>
      <c r="W148" s="59"/>
      <c r="Y148" s="61"/>
    </row>
    <row r="149" spans="1:25" s="56" customFormat="1" ht="16.5" customHeight="1">
      <c r="A149" s="323" t="s">
        <v>162</v>
      </c>
      <c r="B149" s="419">
        <v>957959773450</v>
      </c>
      <c r="C149" s="419">
        <v>1342666438250</v>
      </c>
      <c r="D149" s="419">
        <v>1342915053150</v>
      </c>
      <c r="E149" s="419">
        <v>1343166057696</v>
      </c>
      <c r="F149" s="419">
        <v>1343418354255</v>
      </c>
      <c r="G149" s="419">
        <v>1243660090816</v>
      </c>
      <c r="H149" s="419">
        <v>1243901719446</v>
      </c>
      <c r="I149" s="419">
        <v>1244145655569</v>
      </c>
      <c r="J149" s="419">
        <v>1244391778155</v>
      </c>
      <c r="K149" s="419">
        <v>1144119331132</v>
      </c>
      <c r="L149" s="419">
        <v>1791863296835</v>
      </c>
      <c r="M149" s="419">
        <v>1542175256630</v>
      </c>
      <c r="N149" s="419">
        <v>1691561772463</v>
      </c>
      <c r="O149" s="419">
        <v>1691866206150</v>
      </c>
      <c r="P149" s="419">
        <v>1692172593497</v>
      </c>
      <c r="Q149" s="419">
        <v>1797155311695</v>
      </c>
      <c r="R149" s="419">
        <v>1797481938809</v>
      </c>
      <c r="S149" s="419">
        <v>1587775106452</v>
      </c>
      <c r="T149" s="419"/>
      <c r="U149" s="301"/>
      <c r="W149" s="59"/>
      <c r="Y149" s="61"/>
    </row>
    <row r="150" spans="1:25" s="56" customFormat="1" ht="16.5" customHeight="1">
      <c r="A150" s="322" t="s">
        <v>163</v>
      </c>
      <c r="B150" s="419">
        <v>1080362606</v>
      </c>
      <c r="C150" s="419">
        <v>797633805</v>
      </c>
      <c r="D150" s="419">
        <v>4845284738</v>
      </c>
      <c r="E150" s="419">
        <v>12869881075</v>
      </c>
      <c r="F150" s="419">
        <v>14304532239</v>
      </c>
      <c r="G150" s="419">
        <v>1284336494</v>
      </c>
      <c r="H150" s="419">
        <v>1442034083</v>
      </c>
      <c r="I150" s="419">
        <v>1983131609</v>
      </c>
      <c r="J150" s="419">
        <v>1850349395</v>
      </c>
      <c r="K150" s="419">
        <v>1724814999</v>
      </c>
      <c r="L150" s="419">
        <v>2999322323</v>
      </c>
      <c r="M150" s="419">
        <v>3090955967</v>
      </c>
      <c r="N150" s="419">
        <v>3270674733</v>
      </c>
      <c r="O150" s="419">
        <v>3309162130</v>
      </c>
      <c r="P150" s="419">
        <v>5015623969</v>
      </c>
      <c r="Q150" s="419">
        <v>3221402338</v>
      </c>
      <c r="R150" s="419">
        <v>3417619923</v>
      </c>
      <c r="S150" s="419">
        <v>2367036635</v>
      </c>
      <c r="T150" s="419"/>
      <c r="U150" s="301"/>
      <c r="W150" s="59"/>
      <c r="Y150" s="61"/>
    </row>
    <row r="151" spans="1:25" s="56" customFormat="1" ht="16.5" customHeight="1">
      <c r="A151" s="322" t="s">
        <v>164</v>
      </c>
      <c r="B151" s="419">
        <v>140569108258</v>
      </c>
      <c r="C151" s="419">
        <v>156987533559</v>
      </c>
      <c r="D151" s="419">
        <v>180683409442</v>
      </c>
      <c r="E151" s="419">
        <v>196488172364</v>
      </c>
      <c r="F151" s="419">
        <v>208776315302</v>
      </c>
      <c r="G151" s="419">
        <v>192297366543</v>
      </c>
      <c r="H151" s="419">
        <v>191116561882</v>
      </c>
      <c r="I151" s="419">
        <v>190152687855</v>
      </c>
      <c r="J151" s="419">
        <v>178727059240</v>
      </c>
      <c r="K151" s="419">
        <v>178410362866</v>
      </c>
      <c r="L151" s="419">
        <v>165233164779</v>
      </c>
      <c r="M151" s="419">
        <v>104030991406</v>
      </c>
      <c r="N151" s="419">
        <v>96994030285</v>
      </c>
      <c r="O151" s="419">
        <v>85799098379</v>
      </c>
      <c r="P151" s="419">
        <v>75368707356</v>
      </c>
      <c r="Q151" s="419">
        <v>88454313488</v>
      </c>
      <c r="R151" s="419">
        <v>98530562444</v>
      </c>
      <c r="S151" s="419">
        <v>92260826845</v>
      </c>
      <c r="T151" s="419"/>
      <c r="U151" s="301"/>
      <c r="W151" s="59"/>
      <c r="Y151" s="61"/>
    </row>
    <row r="152" spans="1:25" s="56" customFormat="1" ht="16.5" customHeight="1">
      <c r="A152" s="322" t="s">
        <v>165</v>
      </c>
      <c r="B152" s="419">
        <v>3677981322</v>
      </c>
      <c r="C152" s="419">
        <v>3571786219</v>
      </c>
      <c r="D152" s="419">
        <v>3685281170</v>
      </c>
      <c r="E152" s="419">
        <v>4552662331</v>
      </c>
      <c r="F152" s="419">
        <v>3680624966</v>
      </c>
      <c r="G152" s="419">
        <v>3708798853</v>
      </c>
      <c r="H152" s="419">
        <v>3793686058</v>
      </c>
      <c r="I152" s="419">
        <v>3751167584</v>
      </c>
      <c r="J152" s="419">
        <v>4804879607</v>
      </c>
      <c r="K152" s="419">
        <v>4859943882</v>
      </c>
      <c r="L152" s="419">
        <v>3672535540</v>
      </c>
      <c r="M152" s="419">
        <v>4573819026</v>
      </c>
      <c r="N152" s="419">
        <v>9327497660</v>
      </c>
      <c r="O152" s="419">
        <v>4612093681</v>
      </c>
      <c r="P152" s="419">
        <v>5046110983</v>
      </c>
      <c r="Q152" s="419">
        <v>4836413596</v>
      </c>
      <c r="R152" s="419">
        <v>6726299790</v>
      </c>
      <c r="S152" s="419">
        <v>4619026548</v>
      </c>
      <c r="T152" s="419"/>
      <c r="U152" s="301"/>
      <c r="W152" s="59"/>
      <c r="Y152" s="61"/>
    </row>
    <row r="153" spans="1:25" s="56" customFormat="1" ht="16.5" customHeight="1">
      <c r="A153" s="322" t="s">
        <v>166</v>
      </c>
      <c r="B153" s="419">
        <v>375176728</v>
      </c>
      <c r="C153" s="419">
        <v>453918207</v>
      </c>
      <c r="D153" s="419">
        <v>537563024</v>
      </c>
      <c r="E153" s="419">
        <v>1066371243</v>
      </c>
      <c r="F153" s="419">
        <v>410960104</v>
      </c>
      <c r="G153" s="419">
        <v>586913385</v>
      </c>
      <c r="H153" s="419">
        <v>475137100</v>
      </c>
      <c r="I153" s="419">
        <v>625079393</v>
      </c>
      <c r="J153" s="419">
        <v>539214489</v>
      </c>
      <c r="K153" s="419">
        <v>595193346</v>
      </c>
      <c r="L153" s="419">
        <v>551271929</v>
      </c>
      <c r="M153" s="419">
        <v>710878704</v>
      </c>
      <c r="N153" s="419">
        <v>550491099</v>
      </c>
      <c r="O153" s="419">
        <v>939115877</v>
      </c>
      <c r="P153" s="419">
        <v>760249077</v>
      </c>
      <c r="Q153" s="419">
        <v>830727580</v>
      </c>
      <c r="R153" s="419">
        <v>712454131</v>
      </c>
      <c r="S153" s="419">
        <v>813580185</v>
      </c>
      <c r="T153" s="419"/>
      <c r="U153" s="301"/>
      <c r="W153" s="59"/>
      <c r="Y153" s="61"/>
    </row>
    <row r="154" spans="1:25" s="56" customFormat="1" ht="16.5" customHeight="1">
      <c r="A154" s="322" t="s">
        <v>167</v>
      </c>
      <c r="B154" s="419">
        <v>0</v>
      </c>
      <c r="C154" s="419">
        <v>0</v>
      </c>
      <c r="D154" s="419">
        <v>0</v>
      </c>
      <c r="E154" s="419">
        <v>0</v>
      </c>
      <c r="F154" s="419">
        <v>0</v>
      </c>
      <c r="G154" s="419">
        <v>0</v>
      </c>
      <c r="H154" s="419">
        <v>0</v>
      </c>
      <c r="I154" s="419">
        <v>0</v>
      </c>
      <c r="J154" s="419">
        <v>0</v>
      </c>
      <c r="K154" s="419">
        <v>0</v>
      </c>
      <c r="L154" s="419">
        <v>0</v>
      </c>
      <c r="M154" s="419">
        <v>0</v>
      </c>
      <c r="N154" s="419">
        <v>0</v>
      </c>
      <c r="O154" s="419">
        <v>0</v>
      </c>
      <c r="P154" s="419">
        <v>0</v>
      </c>
      <c r="Q154" s="419">
        <v>0</v>
      </c>
      <c r="R154" s="419">
        <v>0</v>
      </c>
      <c r="S154" s="419">
        <v>0</v>
      </c>
      <c r="T154" s="419"/>
      <c r="U154" s="301"/>
      <c r="Y154" s="61"/>
    </row>
    <row r="155" spans="1:25" s="56" customFormat="1" ht="16.5" customHeight="1">
      <c r="A155" s="322" t="s">
        <v>168</v>
      </c>
      <c r="B155" s="419">
        <v>6949831339</v>
      </c>
      <c r="C155" s="419">
        <v>6424222741</v>
      </c>
      <c r="D155" s="419">
        <v>4902443658</v>
      </c>
      <c r="E155" s="419">
        <v>8330655668</v>
      </c>
      <c r="F155" s="419">
        <v>7468893406</v>
      </c>
      <c r="G155" s="419">
        <v>7813513731</v>
      </c>
      <c r="H155" s="419">
        <v>6712703055</v>
      </c>
      <c r="I155" s="419">
        <v>17196325756</v>
      </c>
      <c r="J155" s="419">
        <v>10222786265</v>
      </c>
      <c r="K155" s="419">
        <v>6681963673</v>
      </c>
      <c r="L155" s="419">
        <v>6241149431</v>
      </c>
      <c r="M155" s="419">
        <v>15118900765</v>
      </c>
      <c r="N155" s="419">
        <v>12486747869</v>
      </c>
      <c r="O155" s="419">
        <v>7204972417</v>
      </c>
      <c r="P155" s="419">
        <v>7981456252</v>
      </c>
      <c r="Q155" s="419">
        <v>20314598810</v>
      </c>
      <c r="R155" s="419">
        <v>15992449999</v>
      </c>
      <c r="S155" s="419">
        <v>16572659698</v>
      </c>
      <c r="T155" s="419"/>
      <c r="U155" s="301"/>
      <c r="Y155" s="61"/>
    </row>
    <row r="156" spans="1:25" s="56" customFormat="1" ht="16.5" customHeight="1">
      <c r="A156" s="322" t="s">
        <v>169</v>
      </c>
      <c r="B156" s="419">
        <v>0</v>
      </c>
      <c r="C156" s="419">
        <v>0</v>
      </c>
      <c r="D156" s="419">
        <v>0</v>
      </c>
      <c r="E156" s="419">
        <v>0</v>
      </c>
      <c r="F156" s="419">
        <v>0</v>
      </c>
      <c r="G156" s="419">
        <v>0</v>
      </c>
      <c r="H156" s="419">
        <v>0</v>
      </c>
      <c r="I156" s="419">
        <v>0</v>
      </c>
      <c r="J156" s="419">
        <v>0</v>
      </c>
      <c r="K156" s="419">
        <v>0</v>
      </c>
      <c r="L156" s="419">
        <v>0</v>
      </c>
      <c r="M156" s="419">
        <v>0</v>
      </c>
      <c r="N156" s="419">
        <v>0</v>
      </c>
      <c r="O156" s="419">
        <v>0</v>
      </c>
      <c r="P156" s="419">
        <v>0</v>
      </c>
      <c r="Q156" s="419">
        <v>0</v>
      </c>
      <c r="R156" s="419">
        <v>0</v>
      </c>
      <c r="S156" s="419">
        <v>0</v>
      </c>
      <c r="T156" s="419"/>
      <c r="U156" s="301"/>
      <c r="Y156" s="61"/>
    </row>
    <row r="157" spans="1:25" s="56" customFormat="1" ht="16.5" customHeight="1">
      <c r="A157" s="322" t="s">
        <v>170</v>
      </c>
      <c r="B157" s="419">
        <v>0</v>
      </c>
      <c r="C157" s="419">
        <v>7574309321</v>
      </c>
      <c r="D157" s="419">
        <v>82608939120</v>
      </c>
      <c r="E157" s="419">
        <v>-0.48900222778320313</v>
      </c>
      <c r="F157" s="419">
        <v>150569000889</v>
      </c>
      <c r="G157" s="419">
        <v>258679107934</v>
      </c>
      <c r="H157" s="419">
        <v>402210335261</v>
      </c>
      <c r="I157" s="419">
        <v>367049066127</v>
      </c>
      <c r="J157" s="419">
        <v>273266756703</v>
      </c>
      <c r="K157" s="419">
        <v>334703007592</v>
      </c>
      <c r="L157" s="419">
        <v>385187939290</v>
      </c>
      <c r="M157" s="419">
        <v>280083445107</v>
      </c>
      <c r="N157" s="419">
        <v>236973889543</v>
      </c>
      <c r="O157" s="419">
        <v>304946291706</v>
      </c>
      <c r="P157" s="419">
        <v>301932534431</v>
      </c>
      <c r="Q157" s="419">
        <v>431883928696</v>
      </c>
      <c r="R157" s="419">
        <v>590186356862</v>
      </c>
      <c r="S157" s="419">
        <v>867640251219</v>
      </c>
      <c r="T157" s="419"/>
      <c r="U157" s="301"/>
      <c r="Y157" s="61"/>
    </row>
    <row r="158" spans="1:25" s="56" customFormat="1" ht="16.5" customHeight="1">
      <c r="A158" s="322" t="s">
        <v>171</v>
      </c>
      <c r="B158" s="419">
        <v>18390542121</v>
      </c>
      <c r="C158" s="419">
        <v>17050703513</v>
      </c>
      <c r="D158" s="419">
        <v>17111342117</v>
      </c>
      <c r="E158" s="419">
        <v>16536560769</v>
      </c>
      <c r="F158" s="419">
        <v>16662379052</v>
      </c>
      <c r="G158" s="419">
        <v>17023407320</v>
      </c>
      <c r="H158" s="419">
        <v>17938899551</v>
      </c>
      <c r="I158" s="419">
        <v>19224017193</v>
      </c>
      <c r="J158" s="419">
        <v>17599915600</v>
      </c>
      <c r="K158" s="419">
        <v>17791530997</v>
      </c>
      <c r="L158" s="419">
        <v>19258117840</v>
      </c>
      <c r="M158" s="419">
        <v>19535376840</v>
      </c>
      <c r="N158" s="419">
        <v>18133478214</v>
      </c>
      <c r="O158" s="419">
        <v>20260036294</v>
      </c>
      <c r="P158" s="419">
        <v>19293308340</v>
      </c>
      <c r="Q158" s="419">
        <v>19646215407</v>
      </c>
      <c r="R158" s="419">
        <v>19714801709</v>
      </c>
      <c r="S158" s="419">
        <v>17798831481</v>
      </c>
      <c r="T158" s="419"/>
      <c r="U158" s="301"/>
      <c r="Y158" s="61"/>
    </row>
    <row r="159" spans="1:25" s="56" customFormat="1" ht="16.5" customHeight="1">
      <c r="A159" s="323" t="s">
        <v>120</v>
      </c>
      <c r="B159" s="419">
        <v>-661455284</v>
      </c>
      <c r="C159" s="419">
        <v>-712905492</v>
      </c>
      <c r="D159" s="419">
        <v>-652266888</v>
      </c>
      <c r="E159" s="419">
        <v>-1227048236</v>
      </c>
      <c r="F159" s="419">
        <v>-1136411953</v>
      </c>
      <c r="G159" s="419">
        <v>-1313609774</v>
      </c>
      <c r="H159" s="419">
        <v>-1221016852</v>
      </c>
      <c r="I159" s="419">
        <v>-1327605510</v>
      </c>
      <c r="J159" s="419">
        <v>-1157357103</v>
      </c>
      <c r="K159" s="419">
        <v>-1065741706</v>
      </c>
      <c r="L159" s="419">
        <v>-1279253943</v>
      </c>
      <c r="M159" s="419">
        <v>-1267391729</v>
      </c>
      <c r="N159" s="419">
        <v>-1173520143</v>
      </c>
      <c r="O159" s="419">
        <v>-1334200892</v>
      </c>
      <c r="P159" s="419">
        <v>-1209130232</v>
      </c>
      <c r="Q159" s="419">
        <v>-1089548166</v>
      </c>
      <c r="R159" s="419">
        <v>-1020961864</v>
      </c>
      <c r="S159" s="419">
        <v>-1008428892</v>
      </c>
      <c r="T159" s="419"/>
      <c r="U159" s="301"/>
      <c r="Y159" s="61"/>
    </row>
    <row r="160" spans="1:25" s="56" customFormat="1" ht="16.5" customHeight="1">
      <c r="A160" s="323" t="s">
        <v>172</v>
      </c>
      <c r="B160" s="419">
        <v>19051997405</v>
      </c>
      <c r="C160" s="419">
        <v>17763609005</v>
      </c>
      <c r="D160" s="419">
        <v>17763609005</v>
      </c>
      <c r="E160" s="419">
        <v>17763609005</v>
      </c>
      <c r="F160" s="419">
        <v>17798791005</v>
      </c>
      <c r="G160" s="419">
        <v>18337017094</v>
      </c>
      <c r="H160" s="419">
        <v>19159916403</v>
      </c>
      <c r="I160" s="419">
        <v>20551622703</v>
      </c>
      <c r="J160" s="419">
        <v>18757272703</v>
      </c>
      <c r="K160" s="419">
        <v>18857272703</v>
      </c>
      <c r="L160" s="419">
        <v>19258117840</v>
      </c>
      <c r="M160" s="419">
        <v>19535376840</v>
      </c>
      <c r="N160" s="419">
        <v>18133478214</v>
      </c>
      <c r="O160" s="419">
        <v>20260036294</v>
      </c>
      <c r="P160" s="419">
        <v>20502438572</v>
      </c>
      <c r="Q160" s="419">
        <v>20735763573</v>
      </c>
      <c r="R160" s="419">
        <v>20735763573</v>
      </c>
      <c r="S160" s="419">
        <v>18807260373</v>
      </c>
      <c r="T160" s="419"/>
      <c r="U160" s="301"/>
      <c r="Y160" s="61"/>
    </row>
    <row r="161" spans="1:25" s="56" customFormat="1" ht="16.5" customHeight="1">
      <c r="A161" s="322" t="s">
        <v>173</v>
      </c>
      <c r="B161" s="419">
        <v>0</v>
      </c>
      <c r="C161" s="419">
        <v>0</v>
      </c>
      <c r="D161" s="419">
        <v>0</v>
      </c>
      <c r="E161" s="419">
        <v>0</v>
      </c>
      <c r="F161" s="419">
        <v>0</v>
      </c>
      <c r="G161" s="419">
        <v>0</v>
      </c>
      <c r="H161" s="419">
        <v>0</v>
      </c>
      <c r="I161" s="419">
        <v>0</v>
      </c>
      <c r="J161" s="419">
        <v>0</v>
      </c>
      <c r="K161" s="419">
        <v>0</v>
      </c>
      <c r="L161" s="419">
        <v>0</v>
      </c>
      <c r="M161" s="419">
        <v>0</v>
      </c>
      <c r="N161" s="419">
        <v>0</v>
      </c>
      <c r="O161" s="419">
        <v>0</v>
      </c>
      <c r="P161" s="419">
        <v>0</v>
      </c>
      <c r="Q161" s="419">
        <v>0</v>
      </c>
      <c r="R161" s="419">
        <v>0</v>
      </c>
      <c r="S161" s="419">
        <v>0</v>
      </c>
      <c r="T161" s="419"/>
      <c r="U161" s="301"/>
      <c r="Y161" s="61"/>
    </row>
    <row r="162" spans="1:25" s="56" customFormat="1" ht="16.5" customHeight="1">
      <c r="A162" s="323" t="s">
        <v>174</v>
      </c>
      <c r="B162" s="419">
        <v>91866056014</v>
      </c>
      <c r="C162" s="419">
        <v>94012769993</v>
      </c>
      <c r="D162" s="419">
        <v>96742119420</v>
      </c>
      <c r="E162" s="419">
        <v>78733490025</v>
      </c>
      <c r="F162" s="419">
        <v>78460422937</v>
      </c>
      <c r="G162" s="419">
        <v>80002583928</v>
      </c>
      <c r="H162" s="419">
        <v>82486773979</v>
      </c>
      <c r="I162" s="419">
        <v>95120452584</v>
      </c>
      <c r="J162" s="419">
        <v>95319913316</v>
      </c>
      <c r="K162" s="419">
        <v>89484186818</v>
      </c>
      <c r="L162" s="419">
        <v>92236144193</v>
      </c>
      <c r="M162" s="419">
        <v>104621424254</v>
      </c>
      <c r="N162" s="419">
        <v>102600548815</v>
      </c>
      <c r="O162" s="419">
        <v>105683051358</v>
      </c>
      <c r="P162" s="419">
        <v>108882811099</v>
      </c>
      <c r="Q162" s="419">
        <v>111322598078</v>
      </c>
      <c r="R162" s="419">
        <v>105946495763</v>
      </c>
      <c r="S162" s="419">
        <v>108633599177</v>
      </c>
      <c r="T162" s="419"/>
      <c r="U162" s="301"/>
      <c r="Y162" s="61"/>
    </row>
    <row r="163" spans="1:25" s="56" customFormat="1" ht="16.5" customHeight="1">
      <c r="A163" s="323" t="s">
        <v>175</v>
      </c>
      <c r="B163" s="419">
        <v>-91866056014</v>
      </c>
      <c r="C163" s="419">
        <v>-94012769993</v>
      </c>
      <c r="D163" s="419">
        <v>-96742119420</v>
      </c>
      <c r="E163" s="419">
        <v>-78733490025</v>
      </c>
      <c r="F163" s="419">
        <v>-78460422937</v>
      </c>
      <c r="G163" s="419">
        <v>-80002583928</v>
      </c>
      <c r="H163" s="419">
        <v>-82486773979</v>
      </c>
      <c r="I163" s="419">
        <v>-95120452584</v>
      </c>
      <c r="J163" s="419">
        <v>-95319913316</v>
      </c>
      <c r="K163" s="419">
        <v>-89484186818</v>
      </c>
      <c r="L163" s="419">
        <v>-92236144193</v>
      </c>
      <c r="M163" s="419">
        <v>-104621424254</v>
      </c>
      <c r="N163" s="419">
        <v>-102600548815</v>
      </c>
      <c r="O163" s="419">
        <v>-105683051358</v>
      </c>
      <c r="P163" s="420">
        <v>-108882811099</v>
      </c>
      <c r="Q163" s="420">
        <v>-111322598078</v>
      </c>
      <c r="R163" s="420">
        <v>-105946495763</v>
      </c>
      <c r="S163" s="420">
        <v>-108633599177</v>
      </c>
      <c r="T163" s="420"/>
      <c r="U163" s="301"/>
      <c r="Y163" s="61"/>
    </row>
    <row r="164" spans="1:25" s="56" customFormat="1" ht="16.5" customHeight="1">
      <c r="A164" s="325" t="s">
        <v>176</v>
      </c>
      <c r="B164" s="420">
        <v>176105208797</v>
      </c>
      <c r="C164" s="420">
        <v>319952731392</v>
      </c>
      <c r="D164" s="420">
        <v>507738961137</v>
      </c>
      <c r="E164" s="420">
        <v>308090744501</v>
      </c>
      <c r="F164" s="420">
        <v>312986456656</v>
      </c>
      <c r="G164" s="420">
        <v>275884177816</v>
      </c>
      <c r="H164" s="420">
        <v>360536519725</v>
      </c>
      <c r="I164" s="420">
        <v>159260154919</v>
      </c>
      <c r="J164" s="420">
        <v>199966615702</v>
      </c>
      <c r="K164" s="420">
        <v>183335703298</v>
      </c>
      <c r="L164" s="420">
        <v>103367547234</v>
      </c>
      <c r="M164" s="420">
        <v>213768457475</v>
      </c>
      <c r="N164" s="420">
        <v>181363327201</v>
      </c>
      <c r="O164" s="420">
        <v>110263391575</v>
      </c>
      <c r="P164" s="420">
        <v>162106883013</v>
      </c>
      <c r="Q164" s="420">
        <v>326343456093</v>
      </c>
      <c r="R164" s="420">
        <v>655896919971</v>
      </c>
      <c r="S164" s="420">
        <v>1081779966571</v>
      </c>
      <c r="T164" s="420"/>
      <c r="U164" s="301"/>
      <c r="Y164" s="61"/>
    </row>
    <row r="165" spans="1:25" s="56" customFormat="1" ht="16.5" customHeight="1">
      <c r="A165" s="323" t="s">
        <v>139</v>
      </c>
      <c r="B165" s="420">
        <v>117676059176</v>
      </c>
      <c r="C165" s="420">
        <v>192915286800</v>
      </c>
      <c r="D165" s="420">
        <v>239456298079</v>
      </c>
      <c r="E165" s="420">
        <v>244910112479</v>
      </c>
      <c r="F165" s="420">
        <v>224991708638</v>
      </c>
      <c r="G165" s="420">
        <v>199004291862</v>
      </c>
      <c r="H165" s="420">
        <v>267239887530</v>
      </c>
      <c r="I165" s="420">
        <v>112959954956</v>
      </c>
      <c r="J165" s="420">
        <v>136767474778</v>
      </c>
      <c r="K165" s="420">
        <v>94294014084</v>
      </c>
      <c r="L165" s="420">
        <v>62398381143</v>
      </c>
      <c r="M165" s="420">
        <v>61292665113</v>
      </c>
      <c r="N165" s="420">
        <v>27209763513</v>
      </c>
      <c r="O165" s="420">
        <v>65570685260</v>
      </c>
      <c r="P165" s="420">
        <v>80015605259</v>
      </c>
      <c r="Q165" s="420">
        <v>238439629052</v>
      </c>
      <c r="R165" s="420">
        <v>522835000902</v>
      </c>
      <c r="S165" s="420">
        <v>944682041700</v>
      </c>
      <c r="T165" s="420"/>
      <c r="U165" s="301"/>
      <c r="Y165" s="61"/>
    </row>
    <row r="166" spans="1:25" s="56" customFormat="1" ht="16.5" customHeight="1">
      <c r="A166" s="323" t="s">
        <v>140</v>
      </c>
      <c r="B166" s="420">
        <v>58429149621</v>
      </c>
      <c r="C166" s="420">
        <v>127037444592</v>
      </c>
      <c r="D166" s="420">
        <v>268282663058</v>
      </c>
      <c r="E166" s="420">
        <v>63180632022</v>
      </c>
      <c r="F166" s="420">
        <v>87994748018</v>
      </c>
      <c r="G166" s="420">
        <v>76879885954</v>
      </c>
      <c r="H166" s="420">
        <v>93296632195</v>
      </c>
      <c r="I166" s="420">
        <v>46300199963</v>
      </c>
      <c r="J166" s="420">
        <v>63199140924</v>
      </c>
      <c r="K166" s="420">
        <v>89041689214</v>
      </c>
      <c r="L166" s="420">
        <v>40969166091</v>
      </c>
      <c r="M166" s="420">
        <v>152475792362</v>
      </c>
      <c r="N166" s="420">
        <v>154153563688</v>
      </c>
      <c r="O166" s="420">
        <v>44692706315</v>
      </c>
      <c r="P166" s="420">
        <v>82091277754</v>
      </c>
      <c r="Q166" s="420">
        <v>87903827041</v>
      </c>
      <c r="R166" s="420">
        <v>133061919069</v>
      </c>
      <c r="S166" s="420">
        <v>137097924871</v>
      </c>
      <c r="T166" s="420"/>
      <c r="U166" s="301"/>
      <c r="Y166" s="61"/>
    </row>
    <row r="167" spans="1:25" s="56" customFormat="1" ht="16.5" customHeight="1">
      <c r="A167" s="322" t="s">
        <v>177</v>
      </c>
      <c r="B167" s="420">
        <v>6762630988</v>
      </c>
      <c r="C167" s="420">
        <v>6717130363</v>
      </c>
      <c r="D167" s="420">
        <v>6739454617</v>
      </c>
      <c r="E167" s="420">
        <v>6804630242</v>
      </c>
      <c r="F167" s="420">
        <v>6601897054</v>
      </c>
      <c r="G167" s="420">
        <v>6540402576</v>
      </c>
      <c r="H167" s="420">
        <v>6544025017</v>
      </c>
      <c r="I167" s="420">
        <v>6532679509</v>
      </c>
      <c r="J167" s="420">
        <v>6630637498</v>
      </c>
      <c r="K167" s="420">
        <v>6756791505</v>
      </c>
      <c r="L167" s="420">
        <v>6075754349</v>
      </c>
      <c r="M167" s="420">
        <v>5768760785</v>
      </c>
      <c r="N167" s="420">
        <v>6499504370</v>
      </c>
      <c r="O167" s="420">
        <v>6704876985</v>
      </c>
      <c r="P167" s="420">
        <v>6833166249</v>
      </c>
      <c r="Q167" s="420">
        <v>7164474531</v>
      </c>
      <c r="R167" s="420">
        <v>7329008294</v>
      </c>
      <c r="S167" s="420">
        <v>7559072500</v>
      </c>
      <c r="T167" s="420"/>
      <c r="U167" s="301"/>
      <c r="Y167" s="61"/>
    </row>
    <row r="168" spans="1:25" s="56" customFormat="1" ht="16.5" customHeight="1">
      <c r="A168" s="322" t="s">
        <v>178</v>
      </c>
      <c r="B168" s="420">
        <v>38667590765</v>
      </c>
      <c r="C168" s="420">
        <v>38047560509</v>
      </c>
      <c r="D168" s="420">
        <v>32752295425</v>
      </c>
      <c r="E168" s="420">
        <v>33498852151</v>
      </c>
      <c r="F168" s="420">
        <v>57168298665</v>
      </c>
      <c r="G168" s="420">
        <v>56552701442</v>
      </c>
      <c r="H168" s="420">
        <v>52101056263</v>
      </c>
      <c r="I168" s="420">
        <v>46795445372</v>
      </c>
      <c r="J168" s="420">
        <v>43699191149</v>
      </c>
      <c r="K168" s="420">
        <v>46985647706</v>
      </c>
      <c r="L168" s="420">
        <v>37796263002</v>
      </c>
      <c r="M168" s="420">
        <v>33507846492</v>
      </c>
      <c r="N168" s="420">
        <v>31258326563</v>
      </c>
      <c r="O168" s="420">
        <v>32000570259</v>
      </c>
      <c r="P168" s="420">
        <v>28851673980</v>
      </c>
      <c r="Q168" s="420">
        <v>31133147126</v>
      </c>
      <c r="R168" s="420">
        <v>30618812197</v>
      </c>
      <c r="S168" s="420">
        <v>30316616743</v>
      </c>
      <c r="T168" s="420"/>
      <c r="U168" s="301"/>
      <c r="Y168" s="61"/>
    </row>
    <row r="169" spans="1:25" s="56" customFormat="1" ht="16.5" customHeight="1">
      <c r="A169" s="321" t="s">
        <v>179</v>
      </c>
      <c r="B169" s="420">
        <v>0</v>
      </c>
      <c r="C169" s="420">
        <v>0</v>
      </c>
      <c r="D169" s="420">
        <v>0</v>
      </c>
      <c r="E169" s="420">
        <v>0</v>
      </c>
      <c r="F169" s="420">
        <v>0</v>
      </c>
      <c r="G169" s="420">
        <v>0</v>
      </c>
      <c r="H169" s="420">
        <v>0</v>
      </c>
      <c r="I169" s="420">
        <v>0</v>
      </c>
      <c r="J169" s="420">
        <v>0</v>
      </c>
      <c r="K169" s="420">
        <v>0</v>
      </c>
      <c r="L169" s="420">
        <v>0</v>
      </c>
      <c r="M169" s="420">
        <v>0</v>
      </c>
      <c r="N169" s="420">
        <v>0</v>
      </c>
      <c r="O169" s="420">
        <v>0</v>
      </c>
      <c r="P169" s="420">
        <v>0</v>
      </c>
      <c r="Q169" s="420">
        <v>0</v>
      </c>
      <c r="R169" s="420">
        <v>0</v>
      </c>
      <c r="S169" s="420">
        <v>0</v>
      </c>
      <c r="T169" s="420"/>
      <c r="U169" s="301"/>
      <c r="Y169" s="61"/>
    </row>
    <row r="170" spans="1:25" s="56" customFormat="1" ht="16.5" customHeight="1">
      <c r="A170" s="322" t="s">
        <v>180</v>
      </c>
      <c r="B170" s="420">
        <v>0</v>
      </c>
      <c r="C170" s="420">
        <v>0</v>
      </c>
      <c r="D170" s="420">
        <v>0</v>
      </c>
      <c r="E170" s="420">
        <v>0</v>
      </c>
      <c r="F170" s="420">
        <v>0</v>
      </c>
      <c r="G170" s="420">
        <v>0</v>
      </c>
      <c r="H170" s="420">
        <v>0</v>
      </c>
      <c r="I170" s="420">
        <v>0</v>
      </c>
      <c r="J170" s="420">
        <v>0</v>
      </c>
      <c r="K170" s="420">
        <v>0</v>
      </c>
      <c r="L170" s="420">
        <v>0</v>
      </c>
      <c r="M170" s="420">
        <v>0</v>
      </c>
      <c r="N170" s="420">
        <v>0</v>
      </c>
      <c r="O170" s="420">
        <v>0</v>
      </c>
      <c r="P170" s="420">
        <v>0</v>
      </c>
      <c r="Q170" s="420">
        <v>0</v>
      </c>
      <c r="R170" s="420">
        <v>0</v>
      </c>
      <c r="S170" s="420">
        <v>0</v>
      </c>
      <c r="T170" s="420"/>
      <c r="U170" s="301"/>
      <c r="Y170" s="61"/>
    </row>
    <row r="171" spans="1:25" s="685" customFormat="1" ht="16.5" customHeight="1">
      <c r="A171" s="327" t="s">
        <v>181</v>
      </c>
      <c r="B171" s="422">
        <v>2363201063264</v>
      </c>
      <c r="C171" s="422">
        <v>3161173163741</v>
      </c>
      <c r="D171" s="422">
        <v>3638324625817</v>
      </c>
      <c r="E171" s="422">
        <v>3661822899317.4893</v>
      </c>
      <c r="F171" s="422">
        <v>4076422170387</v>
      </c>
      <c r="G171" s="422">
        <v>4589025744303</v>
      </c>
      <c r="H171" s="422">
        <v>5267101510985</v>
      </c>
      <c r="I171" s="422">
        <v>5472573652983</v>
      </c>
      <c r="J171" s="422">
        <v>4847440367012</v>
      </c>
      <c r="K171" s="422">
        <v>5271497023389</v>
      </c>
      <c r="L171" s="422">
        <v>5530733949928</v>
      </c>
      <c r="M171" s="422">
        <v>5740086305047</v>
      </c>
      <c r="N171" s="422">
        <v>5252592988702</v>
      </c>
      <c r="O171" s="422">
        <v>5714010565661</v>
      </c>
      <c r="P171" s="422">
        <v>5595376126785</v>
      </c>
      <c r="Q171" s="422">
        <v>5854318798795</v>
      </c>
      <c r="R171" s="422">
        <v>5851720270995</v>
      </c>
      <c r="S171" s="764">
        <v>6677422864405</v>
      </c>
      <c r="T171" s="627"/>
      <c r="U171" s="439"/>
      <c r="V171" s="684"/>
    </row>
    <row r="172" spans="1:25" s="56" customFormat="1" ht="16.5" customHeight="1">
      <c r="A172" s="626" t="s">
        <v>182</v>
      </c>
      <c r="B172" s="627">
        <v>60312500000</v>
      </c>
      <c r="C172" s="627">
        <v>60312500000</v>
      </c>
      <c r="D172" s="627">
        <v>60312500000</v>
      </c>
      <c r="E172" s="627">
        <v>60312500000</v>
      </c>
      <c r="F172" s="627">
        <v>60312500000</v>
      </c>
      <c r="G172" s="627">
        <v>60312500000</v>
      </c>
      <c r="H172" s="627">
        <v>60312500000</v>
      </c>
      <c r="I172" s="627">
        <v>60312500000</v>
      </c>
      <c r="J172" s="627">
        <v>60312500000</v>
      </c>
      <c r="K172" s="627">
        <v>60312500000</v>
      </c>
      <c r="L172" s="627">
        <v>60312500000</v>
      </c>
      <c r="M172" s="627">
        <v>60312500000</v>
      </c>
      <c r="N172" s="627">
        <v>60312500000</v>
      </c>
      <c r="O172" s="627">
        <v>60312500000</v>
      </c>
      <c r="P172" s="421">
        <v>60312500000</v>
      </c>
      <c r="Q172" s="421">
        <v>60312500000</v>
      </c>
      <c r="R172" s="421">
        <v>60312500000</v>
      </c>
      <c r="S172" s="421">
        <v>60312500000</v>
      </c>
      <c r="T172" s="421"/>
      <c r="U172" s="301"/>
      <c r="Y172" s="61"/>
    </row>
    <row r="173" spans="1:25" s="56" customFormat="1" ht="16.5" customHeight="1">
      <c r="A173" s="626" t="s">
        <v>183</v>
      </c>
      <c r="B173" s="421">
        <v>101409747877</v>
      </c>
      <c r="C173" s="421">
        <v>101409747877</v>
      </c>
      <c r="D173" s="421">
        <v>101409747877</v>
      </c>
      <c r="E173" s="421">
        <v>101409747877</v>
      </c>
      <c r="F173" s="421">
        <v>101623120971</v>
      </c>
      <c r="G173" s="421">
        <v>101623120971</v>
      </c>
      <c r="H173" s="421">
        <v>101623120971</v>
      </c>
      <c r="I173" s="421">
        <v>101623120971</v>
      </c>
      <c r="J173" s="421">
        <v>101623120971</v>
      </c>
      <c r="K173" s="421">
        <v>101623120971</v>
      </c>
      <c r="L173" s="421">
        <v>101623120971</v>
      </c>
      <c r="M173" s="421">
        <v>101623120971</v>
      </c>
      <c r="N173" s="421">
        <v>101623120971</v>
      </c>
      <c r="O173" s="421">
        <v>101623120971</v>
      </c>
      <c r="P173" s="421">
        <v>101623120971</v>
      </c>
      <c r="Q173" s="421">
        <v>101623120971</v>
      </c>
      <c r="R173" s="421">
        <v>101623120971</v>
      </c>
      <c r="S173" s="421">
        <v>101623120971</v>
      </c>
      <c r="T173" s="421"/>
      <c r="U173" s="301"/>
      <c r="Y173" s="61"/>
    </row>
    <row r="174" spans="1:25" s="56" customFormat="1" ht="16.5" customHeight="1">
      <c r="A174" s="322" t="s">
        <v>184</v>
      </c>
      <c r="B174" s="419">
        <v>92233149030</v>
      </c>
      <c r="C174" s="419">
        <v>92233149030</v>
      </c>
      <c r="D174" s="419">
        <v>92233149030</v>
      </c>
      <c r="E174" s="419">
        <v>92233149030</v>
      </c>
      <c r="F174" s="419">
        <v>92233149030</v>
      </c>
      <c r="G174" s="419">
        <v>92233149030</v>
      </c>
      <c r="H174" s="419">
        <v>92233149030</v>
      </c>
      <c r="I174" s="419">
        <v>92233149030</v>
      </c>
      <c r="J174" s="419">
        <v>92233149030</v>
      </c>
      <c r="K174" s="419">
        <v>92233149030</v>
      </c>
      <c r="L174" s="419">
        <v>92233149030</v>
      </c>
      <c r="M174" s="419">
        <v>92233149030</v>
      </c>
      <c r="N174" s="419">
        <v>92233149030</v>
      </c>
      <c r="O174" s="419">
        <v>92233149030</v>
      </c>
      <c r="P174" s="419">
        <v>92233149030</v>
      </c>
      <c r="Q174" s="419">
        <v>92233149030</v>
      </c>
      <c r="R174" s="419">
        <v>92233149030</v>
      </c>
      <c r="S174" s="419">
        <v>92233149030</v>
      </c>
      <c r="T174" s="419"/>
      <c r="U174" s="301"/>
      <c r="Y174" s="61"/>
    </row>
    <row r="175" spans="1:25" s="56" customFormat="1" ht="16.5" customHeight="1">
      <c r="A175" s="322" t="s">
        <v>185</v>
      </c>
      <c r="B175" s="419">
        <v>9176598847</v>
      </c>
      <c r="C175" s="419">
        <v>9176598847</v>
      </c>
      <c r="D175" s="419">
        <v>9176598847</v>
      </c>
      <c r="E175" s="419">
        <v>9176598847</v>
      </c>
      <c r="F175" s="419">
        <v>9176598847</v>
      </c>
      <c r="G175" s="419">
        <v>9176598847</v>
      </c>
      <c r="H175" s="419">
        <v>9176598847</v>
      </c>
      <c r="I175" s="419">
        <v>9176598847</v>
      </c>
      <c r="J175" s="419">
        <v>9176598847</v>
      </c>
      <c r="K175" s="419">
        <v>9176598847</v>
      </c>
      <c r="L175" s="419">
        <v>9176598847</v>
      </c>
      <c r="M175" s="419">
        <v>9176598847</v>
      </c>
      <c r="N175" s="419">
        <v>9176598847</v>
      </c>
      <c r="O175" s="419">
        <v>9176598847</v>
      </c>
      <c r="P175" s="419">
        <v>9176598847</v>
      </c>
      <c r="Q175" s="419">
        <v>9176598847</v>
      </c>
      <c r="R175" s="419">
        <v>9176598847</v>
      </c>
      <c r="S175" s="419">
        <v>9176598847</v>
      </c>
      <c r="T175" s="419"/>
      <c r="U175" s="301"/>
      <c r="Y175" s="61"/>
    </row>
    <row r="176" spans="1:25" s="188" customFormat="1" ht="16.5" customHeight="1">
      <c r="A176" s="325" t="s">
        <v>471</v>
      </c>
      <c r="B176" s="420">
        <v>0</v>
      </c>
      <c r="C176" s="420">
        <v>0</v>
      </c>
      <c r="D176" s="420">
        <v>0</v>
      </c>
      <c r="E176" s="420">
        <v>0</v>
      </c>
      <c r="F176" s="420">
        <v>213373094</v>
      </c>
      <c r="G176" s="420">
        <v>213373094</v>
      </c>
      <c r="H176" s="420">
        <v>213373094</v>
      </c>
      <c r="I176" s="420">
        <v>213373094</v>
      </c>
      <c r="J176" s="420">
        <v>213373094</v>
      </c>
      <c r="K176" s="420">
        <v>213373094</v>
      </c>
      <c r="L176" s="420">
        <v>213373094</v>
      </c>
      <c r="M176" s="420">
        <v>213373094</v>
      </c>
      <c r="N176" s="420">
        <v>213373094</v>
      </c>
      <c r="O176" s="420">
        <v>213373094</v>
      </c>
      <c r="P176" s="420">
        <v>213373094</v>
      </c>
      <c r="Q176" s="420">
        <v>213373094</v>
      </c>
      <c r="R176" s="420">
        <v>213373094</v>
      </c>
      <c r="S176" s="420">
        <v>213373094</v>
      </c>
      <c r="T176" s="420"/>
      <c r="U176" s="439"/>
      <c r="Y176" s="95"/>
    </row>
    <row r="177" spans="1:28" s="56" customFormat="1" ht="16.5" customHeight="1">
      <c r="A177" s="626" t="s">
        <v>186</v>
      </c>
      <c r="B177" s="421">
        <v>104534360000</v>
      </c>
      <c r="C177" s="421">
        <v>283729680000</v>
      </c>
      <c r="D177" s="421">
        <v>283729680000</v>
      </c>
      <c r="E177" s="421">
        <v>283729680000</v>
      </c>
      <c r="F177" s="421">
        <v>283729680000</v>
      </c>
      <c r="G177" s="421">
        <v>283729680000</v>
      </c>
      <c r="H177" s="421">
        <v>283729680000</v>
      </c>
      <c r="I177" s="421">
        <v>283729680000</v>
      </c>
      <c r="J177" s="421">
        <v>283729680000</v>
      </c>
      <c r="K177" s="421">
        <v>283729680000</v>
      </c>
      <c r="L177" s="421">
        <v>283729680000</v>
      </c>
      <c r="M177" s="421">
        <v>283729680000</v>
      </c>
      <c r="N177" s="421">
        <v>283729680000</v>
      </c>
      <c r="O177" s="421">
        <v>283729680000</v>
      </c>
      <c r="P177" s="421">
        <v>283729680000</v>
      </c>
      <c r="Q177" s="421">
        <v>179195320000</v>
      </c>
      <c r="R177" s="421">
        <v>179195320000</v>
      </c>
      <c r="S177" s="421">
        <v>179195320000</v>
      </c>
      <c r="T177" s="421"/>
      <c r="U177" s="301"/>
      <c r="Y177" s="61"/>
    </row>
    <row r="178" spans="1:28" s="56" customFormat="1" ht="16.5" customHeight="1">
      <c r="A178" s="626" t="s">
        <v>187</v>
      </c>
      <c r="B178" s="421">
        <v>2462771875816</v>
      </c>
      <c r="C178" s="421">
        <v>2804637229044</v>
      </c>
      <c r="D178" s="421">
        <v>3002654136208</v>
      </c>
      <c r="E178" s="421">
        <v>3109774532300.4893</v>
      </c>
      <c r="F178" s="421">
        <v>3384516200345</v>
      </c>
      <c r="G178" s="421">
        <v>3801563925997</v>
      </c>
      <c r="H178" s="421">
        <v>4279226123293</v>
      </c>
      <c r="I178" s="421">
        <v>4547708998364</v>
      </c>
      <c r="J178" s="421">
        <v>4401633721478</v>
      </c>
      <c r="K178" s="421">
        <v>4907184030012</v>
      </c>
      <c r="L178" s="421">
        <v>5250998348577</v>
      </c>
      <c r="M178" s="421">
        <v>5466333303446</v>
      </c>
      <c r="N178" s="421">
        <v>5413297496289</v>
      </c>
      <c r="O178" s="421">
        <v>5935608563494</v>
      </c>
      <c r="P178" s="421">
        <v>6054894860252</v>
      </c>
      <c r="Q178" s="421">
        <v>6272973470370</v>
      </c>
      <c r="R178" s="421">
        <v>6247416202903</v>
      </c>
      <c r="S178" s="421">
        <v>6804560594124</v>
      </c>
      <c r="T178" s="421"/>
      <c r="U178" s="301"/>
      <c r="Y178" s="61"/>
    </row>
    <row r="179" spans="1:28" s="56" customFormat="1" ht="16.5" customHeight="1">
      <c r="A179" s="322" t="s">
        <v>188</v>
      </c>
      <c r="B179" s="419">
        <v>30156250000</v>
      </c>
      <c r="C179" s="419">
        <v>30156250000</v>
      </c>
      <c r="D179" s="419">
        <v>30156250000</v>
      </c>
      <c r="E179" s="419">
        <v>30156250000</v>
      </c>
      <c r="F179" s="419">
        <v>30156250000</v>
      </c>
      <c r="G179" s="419">
        <v>30156250000</v>
      </c>
      <c r="H179" s="419">
        <v>30156250000</v>
      </c>
      <c r="I179" s="419">
        <v>30156250000</v>
      </c>
      <c r="J179" s="419">
        <v>30156250000</v>
      </c>
      <c r="K179" s="419">
        <v>30156250000</v>
      </c>
      <c r="L179" s="419">
        <v>30156250000</v>
      </c>
      <c r="M179" s="419">
        <v>30156250000</v>
      </c>
      <c r="N179" s="419">
        <v>30156250000</v>
      </c>
      <c r="O179" s="419">
        <v>30156250000</v>
      </c>
      <c r="P179" s="419">
        <v>30156250000</v>
      </c>
      <c r="Q179" s="419">
        <v>30156250000</v>
      </c>
      <c r="R179" s="419">
        <v>30156250000</v>
      </c>
      <c r="S179" s="419">
        <v>30156250000</v>
      </c>
      <c r="T179" s="419"/>
      <c r="U179" s="301"/>
      <c r="Y179" s="61"/>
    </row>
    <row r="180" spans="1:28" s="56" customFormat="1" ht="16.5" customHeight="1">
      <c r="A180" s="322" t="s">
        <v>189</v>
      </c>
      <c r="B180" s="419">
        <v>1285800000000</v>
      </c>
      <c r="C180" s="419">
        <v>1285800000000</v>
      </c>
      <c r="D180" s="419">
        <v>1285800000000</v>
      </c>
      <c r="E180" s="419">
        <v>1285800000000</v>
      </c>
      <c r="F180" s="419">
        <v>1285800000000</v>
      </c>
      <c r="G180" s="419">
        <v>1285800000000</v>
      </c>
      <c r="H180" s="419">
        <v>1285800000000</v>
      </c>
      <c r="I180" s="419">
        <v>1285800000000</v>
      </c>
      <c r="J180" s="419">
        <v>1285800000000</v>
      </c>
      <c r="K180" s="419">
        <v>1285800000000</v>
      </c>
      <c r="L180" s="419">
        <v>1285800000000</v>
      </c>
      <c r="M180" s="419">
        <v>1285800000000</v>
      </c>
      <c r="N180" s="419">
        <v>1285800000000</v>
      </c>
      <c r="O180" s="419">
        <v>1285800000000</v>
      </c>
      <c r="P180" s="419">
        <v>1285800000000</v>
      </c>
      <c r="Q180" s="419">
        <v>1285800000000</v>
      </c>
      <c r="R180" s="419">
        <v>1285800000000</v>
      </c>
      <c r="S180" s="419">
        <v>1285800000000</v>
      </c>
      <c r="T180" s="419"/>
      <c r="U180" s="301"/>
      <c r="Y180" s="61"/>
    </row>
    <row r="181" spans="1:28" s="56" customFormat="1" ht="16.5" customHeight="1">
      <c r="A181" s="322" t="s">
        <v>591</v>
      </c>
      <c r="B181" s="419">
        <v>809291466076</v>
      </c>
      <c r="C181" s="419">
        <v>1123607577206</v>
      </c>
      <c r="D181" s="419">
        <v>1317093119590</v>
      </c>
      <c r="E181" s="419">
        <v>1430750364713.489</v>
      </c>
      <c r="F181" s="419">
        <v>1290101664734</v>
      </c>
      <c r="G181" s="419">
        <v>1472303761500</v>
      </c>
      <c r="H181" s="419">
        <v>1537958639203</v>
      </c>
      <c r="I181" s="419">
        <v>1787491692539</v>
      </c>
      <c r="J181" s="419">
        <v>1305122912800</v>
      </c>
      <c r="K181" s="419">
        <v>1420797776003</v>
      </c>
      <c r="L181" s="419">
        <v>1406797222369</v>
      </c>
      <c r="M181" s="419">
        <v>1845675686635</v>
      </c>
      <c r="N181" s="419">
        <v>1204562632912</v>
      </c>
      <c r="O181" s="419">
        <v>1505043658834</v>
      </c>
      <c r="P181" s="419">
        <v>1390010246773</v>
      </c>
      <c r="Q181" s="419">
        <v>1122697147819</v>
      </c>
      <c r="R181" s="419">
        <v>807931908193</v>
      </c>
      <c r="S181" s="419">
        <v>926083033257</v>
      </c>
      <c r="T181" s="419"/>
      <c r="U181" s="301"/>
      <c r="Y181" s="61"/>
    </row>
    <row r="182" spans="1:28" s="56" customFormat="1" ht="16.5" customHeight="1">
      <c r="A182" s="322" t="s">
        <v>190</v>
      </c>
      <c r="B182" s="419">
        <v>308401614932</v>
      </c>
      <c r="C182" s="419">
        <v>314897869775</v>
      </c>
      <c r="D182" s="419">
        <v>320807610669</v>
      </c>
      <c r="E182" s="419">
        <v>321055455820</v>
      </c>
      <c r="F182" s="419">
        <v>328904214606</v>
      </c>
      <c r="G182" s="419">
        <v>335892955549</v>
      </c>
      <c r="H182" s="419">
        <v>343211482423</v>
      </c>
      <c r="I182" s="419">
        <v>352611801664</v>
      </c>
      <c r="J182" s="419">
        <v>359567402726</v>
      </c>
      <c r="K182" s="419">
        <v>368056779252</v>
      </c>
      <c r="L182" s="419">
        <v>376113963978</v>
      </c>
      <c r="M182" s="419">
        <v>384383518460</v>
      </c>
      <c r="N182" s="419">
        <v>393673251029</v>
      </c>
      <c r="O182" s="419">
        <v>403005466723</v>
      </c>
      <c r="P182" s="419">
        <v>411541741599</v>
      </c>
      <c r="Q182" s="419">
        <v>405810303982</v>
      </c>
      <c r="R182" s="419">
        <v>412047808073</v>
      </c>
      <c r="S182" s="419">
        <v>419808450231</v>
      </c>
      <c r="T182" s="419"/>
      <c r="U182" s="301"/>
      <c r="Y182" s="61"/>
    </row>
    <row r="183" spans="1:28" s="56" customFormat="1" ht="16.5" customHeight="1">
      <c r="A183" s="322" t="s">
        <v>191</v>
      </c>
      <c r="B183" s="419">
        <v>29122544808</v>
      </c>
      <c r="C183" s="419">
        <v>50175532063</v>
      </c>
      <c r="D183" s="419">
        <v>48797155949</v>
      </c>
      <c r="E183" s="419">
        <v>42012461767</v>
      </c>
      <c r="F183" s="419">
        <v>54924058878</v>
      </c>
      <c r="G183" s="419">
        <v>59791680947</v>
      </c>
      <c r="H183" s="419">
        <v>72030985669</v>
      </c>
      <c r="I183" s="419">
        <v>60394349736</v>
      </c>
      <c r="J183" s="419">
        <v>76594827031</v>
      </c>
      <c r="K183" s="419">
        <v>108831089692</v>
      </c>
      <c r="L183" s="419">
        <v>136449440590</v>
      </c>
      <c r="M183" s="419">
        <v>127228499248</v>
      </c>
      <c r="N183" s="419">
        <v>480034757171</v>
      </c>
      <c r="O183" s="419">
        <v>477545845613</v>
      </c>
      <c r="P183" s="419">
        <v>447379325948</v>
      </c>
      <c r="Q183" s="419">
        <v>451943366535</v>
      </c>
      <c r="R183" s="419">
        <v>486249536131</v>
      </c>
      <c r="S183" s="419">
        <v>606287494122</v>
      </c>
      <c r="T183" s="419"/>
      <c r="U183" s="301"/>
      <c r="V183" s="433"/>
      <c r="Y183" s="61"/>
    </row>
    <row r="184" spans="1:28" s="56" customFormat="1" ht="16.5" customHeight="1">
      <c r="A184" s="322" t="s">
        <v>192</v>
      </c>
      <c r="B184" s="419">
        <v>0</v>
      </c>
      <c r="C184" s="419">
        <v>0</v>
      </c>
      <c r="D184" s="419">
        <v>0</v>
      </c>
      <c r="E184" s="419">
        <v>0</v>
      </c>
      <c r="F184" s="419">
        <v>394630012127</v>
      </c>
      <c r="G184" s="419">
        <v>617619278001</v>
      </c>
      <c r="H184" s="419">
        <v>1010068765998</v>
      </c>
      <c r="I184" s="419">
        <v>1031254904425</v>
      </c>
      <c r="J184" s="419">
        <v>1344392328921</v>
      </c>
      <c r="K184" s="419">
        <v>1693542135065</v>
      </c>
      <c r="L184" s="419">
        <v>2015681471640</v>
      </c>
      <c r="M184" s="419">
        <v>1793089349103</v>
      </c>
      <c r="N184" s="419">
        <v>2019070605177</v>
      </c>
      <c r="O184" s="419">
        <v>2234057342324</v>
      </c>
      <c r="P184" s="419">
        <v>2490007295932</v>
      </c>
      <c r="Q184" s="419">
        <v>2976566402034</v>
      </c>
      <c r="R184" s="419">
        <v>3225230700506</v>
      </c>
      <c r="S184" s="419">
        <v>3536425366514</v>
      </c>
      <c r="T184" s="419"/>
      <c r="U184" s="301"/>
      <c r="Y184" s="61"/>
    </row>
    <row r="185" spans="1:28" s="56" customFormat="1" ht="16.5" customHeight="1">
      <c r="A185" s="626" t="s">
        <v>193</v>
      </c>
      <c r="B185" s="421">
        <v>-412851134296</v>
      </c>
      <c r="C185" s="421">
        <v>-459263716496</v>
      </c>
      <c r="D185" s="421">
        <v>-279842976496</v>
      </c>
      <c r="E185" s="421">
        <v>-179856766452</v>
      </c>
      <c r="F185" s="421">
        <v>-534502565</v>
      </c>
      <c r="G185" s="421">
        <v>-534502565</v>
      </c>
      <c r="H185" s="421">
        <v>-534502565</v>
      </c>
      <c r="I185" s="421">
        <v>-534502565</v>
      </c>
      <c r="J185" s="421">
        <v>-534502565</v>
      </c>
      <c r="K185" s="421">
        <v>-534502565</v>
      </c>
      <c r="L185" s="421">
        <v>-534502565</v>
      </c>
      <c r="M185" s="421">
        <v>-534502565</v>
      </c>
      <c r="N185" s="421">
        <v>-534502565</v>
      </c>
      <c r="O185" s="421">
        <v>-534502565</v>
      </c>
      <c r="P185" s="421">
        <v>-534502565</v>
      </c>
      <c r="Q185" s="421">
        <v>-528001858</v>
      </c>
      <c r="R185" s="421">
        <v>-528001858</v>
      </c>
      <c r="S185" s="421">
        <v>-528001858</v>
      </c>
      <c r="T185" s="421"/>
      <c r="U185" s="301"/>
      <c r="Y185" s="61"/>
    </row>
    <row r="186" spans="1:28" s="56" customFormat="1" ht="16.5" customHeight="1">
      <c r="A186" s="322" t="s">
        <v>194</v>
      </c>
      <c r="B186" s="419">
        <v>-412321687837</v>
      </c>
      <c r="C186" s="419">
        <v>-458734270037</v>
      </c>
      <c r="D186" s="419">
        <v>-279313530037</v>
      </c>
      <c r="E186" s="419">
        <v>-179322263887</v>
      </c>
      <c r="F186" s="419">
        <v>0</v>
      </c>
      <c r="G186" s="419">
        <v>0</v>
      </c>
      <c r="H186" s="419">
        <v>0</v>
      </c>
      <c r="I186" s="419">
        <v>0</v>
      </c>
      <c r="J186" s="419">
        <v>0</v>
      </c>
      <c r="K186" s="419">
        <v>0</v>
      </c>
      <c r="L186" s="419">
        <v>0</v>
      </c>
      <c r="M186" s="419">
        <v>0</v>
      </c>
      <c r="N186" s="419">
        <v>0</v>
      </c>
      <c r="O186" s="419">
        <v>0</v>
      </c>
      <c r="P186" s="419">
        <v>0</v>
      </c>
      <c r="Q186" s="419">
        <v>0</v>
      </c>
      <c r="R186" s="419">
        <v>0</v>
      </c>
      <c r="S186" s="419">
        <v>0</v>
      </c>
      <c r="T186" s="419"/>
      <c r="U186" s="301"/>
      <c r="Y186" s="61"/>
    </row>
    <row r="187" spans="1:28" s="56" customFormat="1" ht="16.5" customHeight="1">
      <c r="A187" s="322" t="s">
        <v>195</v>
      </c>
      <c r="B187" s="419">
        <v>-529446459</v>
      </c>
      <c r="C187" s="419">
        <v>-529446459</v>
      </c>
      <c r="D187" s="419">
        <v>-529446459</v>
      </c>
      <c r="E187" s="419">
        <v>-534502565</v>
      </c>
      <c r="F187" s="419">
        <v>-534502565</v>
      </c>
      <c r="G187" s="419">
        <v>-534502565</v>
      </c>
      <c r="H187" s="419">
        <v>-534502565</v>
      </c>
      <c r="I187" s="419">
        <v>-534502565</v>
      </c>
      <c r="J187" s="419">
        <v>-534502565</v>
      </c>
      <c r="K187" s="419">
        <v>-534502565</v>
      </c>
      <c r="L187" s="419">
        <v>-534502565</v>
      </c>
      <c r="M187" s="419">
        <v>-534502565</v>
      </c>
      <c r="N187" s="419">
        <v>-534502565</v>
      </c>
      <c r="O187" s="419">
        <v>-534502565</v>
      </c>
      <c r="P187" s="419">
        <v>-534502565</v>
      </c>
      <c r="Q187" s="419">
        <v>-528001858</v>
      </c>
      <c r="R187" s="419">
        <v>-528001858</v>
      </c>
      <c r="S187" s="419">
        <v>-528001858</v>
      </c>
      <c r="T187" s="419"/>
      <c r="U187" s="301"/>
      <c r="Y187" s="61"/>
    </row>
    <row r="188" spans="1:28" s="56" customFormat="1" ht="16.5" customHeight="1">
      <c r="A188" s="626" t="s">
        <v>196</v>
      </c>
      <c r="B188" s="421">
        <v>47023713867</v>
      </c>
      <c r="C188" s="421">
        <v>370347723316</v>
      </c>
      <c r="D188" s="421">
        <v>470061538228</v>
      </c>
      <c r="E188" s="421">
        <v>286453205592</v>
      </c>
      <c r="F188" s="421">
        <v>246775171636</v>
      </c>
      <c r="G188" s="421">
        <v>342331019900</v>
      </c>
      <c r="H188" s="421">
        <v>542744589286</v>
      </c>
      <c r="I188" s="421">
        <v>479733856213</v>
      </c>
      <c r="J188" s="421">
        <v>675847128</v>
      </c>
      <c r="K188" s="421">
        <v>-80817805029</v>
      </c>
      <c r="L188" s="421">
        <v>-165395197055</v>
      </c>
      <c r="M188" s="421">
        <v>-171377796805</v>
      </c>
      <c r="N188" s="421">
        <v>-605835305993</v>
      </c>
      <c r="O188" s="421">
        <v>-666728796239</v>
      </c>
      <c r="P188" s="421">
        <v>-904649531873</v>
      </c>
      <c r="Q188" s="421">
        <v>-759257610688</v>
      </c>
      <c r="R188" s="421">
        <v>-736298871021</v>
      </c>
      <c r="S188" s="421">
        <v>-467740668832</v>
      </c>
      <c r="T188" s="421"/>
      <c r="U188" s="301"/>
      <c r="V188" s="57"/>
      <c r="W188" s="57"/>
      <c r="X188" s="57"/>
      <c r="Y188" s="61"/>
      <c r="Z188" s="57"/>
      <c r="AA188" s="57"/>
      <c r="AB188" s="57"/>
    </row>
    <row r="189" spans="1:28" s="56" customFormat="1" ht="16.5" customHeight="1">
      <c r="A189" s="322" t="s">
        <v>197</v>
      </c>
      <c r="B189" s="419">
        <v>-1626148302974</v>
      </c>
      <c r="C189" s="419">
        <v>-2486605535245</v>
      </c>
      <c r="D189" s="419">
        <v>-3094951622567</v>
      </c>
      <c r="E189" s="419">
        <v>-2936135960018</v>
      </c>
      <c r="F189" s="419">
        <v>-2496609690939</v>
      </c>
      <c r="G189" s="419">
        <v>-2811974137280</v>
      </c>
      <c r="H189" s="419">
        <v>-3139151840012</v>
      </c>
      <c r="I189" s="419">
        <v>-1907169329467</v>
      </c>
      <c r="J189" s="419">
        <v>-2145368601054</v>
      </c>
      <c r="K189" s="419">
        <v>-1888802451762</v>
      </c>
      <c r="L189" s="419">
        <v>-1306559132269</v>
      </c>
      <c r="M189" s="419">
        <v>-1239767938702</v>
      </c>
      <c r="N189" s="419">
        <v>-785425759940</v>
      </c>
      <c r="O189" s="419">
        <v>-1170046790016</v>
      </c>
      <c r="P189" s="419">
        <v>-1415031035477</v>
      </c>
      <c r="Q189" s="419">
        <v>-2106734139460</v>
      </c>
      <c r="R189" s="419">
        <v>-2983281761073</v>
      </c>
      <c r="S189" s="419">
        <v>-3549662114087</v>
      </c>
      <c r="T189" s="419"/>
      <c r="U189" s="301"/>
      <c r="V189" s="57"/>
      <c r="W189" s="57"/>
      <c r="X189" s="57"/>
      <c r="Y189" s="61"/>
      <c r="Z189" s="57"/>
      <c r="AA189" s="57"/>
      <c r="AB189" s="57"/>
    </row>
    <row r="190" spans="1:28" s="56" customFormat="1" ht="16.5" customHeight="1">
      <c r="A190" s="322" t="s">
        <v>198</v>
      </c>
      <c r="B190" s="419">
        <v>47033760087</v>
      </c>
      <c r="C190" s="419">
        <v>52112907565</v>
      </c>
      <c r="D190" s="419">
        <v>58964928320</v>
      </c>
      <c r="E190" s="419">
        <v>71190694183</v>
      </c>
      <c r="F190" s="419">
        <v>96246180666</v>
      </c>
      <c r="G190" s="419">
        <v>100889501367</v>
      </c>
      <c r="H190" s="419">
        <v>112233949571</v>
      </c>
      <c r="I190" s="419">
        <v>125846861361</v>
      </c>
      <c r="J190" s="419">
        <v>148818886070</v>
      </c>
      <c r="K190" s="419">
        <v>220531072833</v>
      </c>
      <c r="L190" s="419">
        <v>212038297732</v>
      </c>
      <c r="M190" s="419">
        <v>200255783925</v>
      </c>
      <c r="N190" s="419">
        <v>191278987612</v>
      </c>
      <c r="O190" s="419">
        <v>196111083258</v>
      </c>
      <c r="P190" s="419">
        <v>199568618284</v>
      </c>
      <c r="Q190" s="419">
        <v>190716091474</v>
      </c>
      <c r="R190" s="419">
        <v>158417212010</v>
      </c>
      <c r="S190" s="419">
        <v>167989421295</v>
      </c>
      <c r="T190" s="419"/>
      <c r="U190" s="301"/>
      <c r="V190" s="57"/>
      <c r="W190" s="57"/>
      <c r="X190" s="57"/>
      <c r="Y190" s="61"/>
      <c r="Z190" s="57"/>
      <c r="AA190" s="57"/>
      <c r="AB190" s="57"/>
    </row>
    <row r="191" spans="1:28" s="56" customFormat="1" ht="16.5" customHeight="1">
      <c r="A191" s="322" t="s">
        <v>199</v>
      </c>
      <c r="B191" s="419">
        <v>0</v>
      </c>
      <c r="C191" s="419">
        <v>0</v>
      </c>
      <c r="D191" s="419">
        <v>0</v>
      </c>
      <c r="E191" s="419">
        <v>0</v>
      </c>
      <c r="F191" s="419">
        <v>0</v>
      </c>
      <c r="G191" s="419">
        <v>0</v>
      </c>
      <c r="H191" s="419">
        <v>0</v>
      </c>
      <c r="I191" s="419">
        <v>0</v>
      </c>
      <c r="J191" s="419">
        <v>0</v>
      </c>
      <c r="K191" s="419">
        <v>0</v>
      </c>
      <c r="L191" s="419">
        <v>0</v>
      </c>
      <c r="M191" s="419">
        <v>0</v>
      </c>
      <c r="N191" s="419">
        <v>0</v>
      </c>
      <c r="O191" s="419">
        <v>0</v>
      </c>
      <c r="P191" s="419">
        <v>0</v>
      </c>
      <c r="Q191" s="419">
        <v>0</v>
      </c>
      <c r="R191" s="419">
        <v>0</v>
      </c>
      <c r="S191" s="419">
        <v>0</v>
      </c>
      <c r="T191" s="419"/>
      <c r="U191" s="301"/>
      <c r="V191" s="57"/>
      <c r="W191" s="57"/>
      <c r="X191" s="57"/>
      <c r="Y191" s="61"/>
      <c r="Z191" s="57"/>
      <c r="AA191" s="57"/>
      <c r="AB191" s="57"/>
    </row>
    <row r="192" spans="1:28" s="56" customFormat="1" ht="16.5" customHeight="1">
      <c r="A192" s="322" t="s">
        <v>200</v>
      </c>
      <c r="B192" s="419">
        <v>1406554867121</v>
      </c>
      <c r="C192" s="419">
        <v>2698316370660</v>
      </c>
      <c r="D192" s="419">
        <v>3465367803655</v>
      </c>
      <c r="E192" s="419">
        <v>3079864338976</v>
      </c>
      <c r="F192" s="419">
        <v>2528263061782</v>
      </c>
      <c r="G192" s="419">
        <v>2926894159074</v>
      </c>
      <c r="H192" s="419">
        <v>3488227992303</v>
      </c>
      <c r="I192" s="419">
        <v>1816539824256</v>
      </c>
      <c r="J192" s="419">
        <v>1649347570851</v>
      </c>
      <c r="K192" s="419">
        <v>1077083982902</v>
      </c>
      <c r="L192" s="419">
        <v>230449026790</v>
      </c>
      <c r="M192" s="419">
        <v>125599608474</v>
      </c>
      <c r="N192" s="419">
        <v>-944371302973</v>
      </c>
      <c r="O192" s="419">
        <v>-452287830214</v>
      </c>
      <c r="P192" s="419">
        <v>-347343615289</v>
      </c>
      <c r="Q192" s="419">
        <v>862203773391</v>
      </c>
      <c r="R192" s="419">
        <v>2146907370524</v>
      </c>
      <c r="S192" s="419">
        <v>3317823599773</v>
      </c>
      <c r="T192" s="419"/>
      <c r="U192" s="301"/>
      <c r="V192" s="57"/>
      <c r="W192" s="57"/>
      <c r="X192" s="57"/>
      <c r="Y192" s="61"/>
      <c r="Z192" s="57"/>
      <c r="AA192" s="57"/>
      <c r="AB192" s="57"/>
    </row>
    <row r="193" spans="1:28" s="56" customFormat="1" ht="16.5" customHeight="1">
      <c r="A193" s="322" t="s">
        <v>201</v>
      </c>
      <c r="B193" s="419">
        <v>-62438363922</v>
      </c>
      <c r="C193" s="419">
        <v>-124787582383</v>
      </c>
      <c r="D193" s="419">
        <v>-163932210761</v>
      </c>
      <c r="E193" s="419">
        <v>-141115360940</v>
      </c>
      <c r="F193" s="419">
        <v>-105393577055</v>
      </c>
      <c r="G193" s="419">
        <v>-123801321476</v>
      </c>
      <c r="H193" s="419">
        <v>-115666561046</v>
      </c>
      <c r="I193" s="419">
        <v>-55657622547</v>
      </c>
      <c r="J193" s="419">
        <v>-49876182202</v>
      </c>
      <c r="K193" s="419">
        <v>-33703432548</v>
      </c>
      <c r="L193" s="419">
        <v>-15068966568</v>
      </c>
      <c r="M193" s="419">
        <v>-10497481075</v>
      </c>
      <c r="N193" s="419">
        <v>12387199235</v>
      </c>
      <c r="O193" s="419">
        <v>4660350831</v>
      </c>
      <c r="P193" s="419">
        <v>-5364709543</v>
      </c>
      <c r="Q193" s="419">
        <v>-63453555101</v>
      </c>
      <c r="R193" s="419">
        <v>-95696053379</v>
      </c>
      <c r="S193" s="419">
        <v>-103837588940</v>
      </c>
      <c r="T193" s="419"/>
      <c r="U193" s="301"/>
      <c r="V193" s="57"/>
      <c r="W193" s="57"/>
      <c r="X193" s="57"/>
      <c r="Y193" s="61"/>
      <c r="Z193" s="57"/>
      <c r="AA193" s="57"/>
      <c r="AB193" s="57"/>
    </row>
    <row r="194" spans="1:28" s="56" customFormat="1" ht="16.5" customHeight="1">
      <c r="A194" s="322" t="s">
        <v>202</v>
      </c>
      <c r="B194" s="419">
        <v>-80962039005</v>
      </c>
      <c r="C194" s="419">
        <v>-131116695991</v>
      </c>
      <c r="D194" s="419">
        <v>-157372250835</v>
      </c>
      <c r="E194" s="419">
        <v>-166517566581</v>
      </c>
      <c r="F194" s="419">
        <v>-154399176968</v>
      </c>
      <c r="G194" s="419">
        <v>-127892315979</v>
      </c>
      <c r="H194" s="419">
        <v>-180716456259</v>
      </c>
      <c r="I194" s="419">
        <v>130303225726</v>
      </c>
      <c r="J194" s="419">
        <v>28278831247</v>
      </c>
      <c r="K194" s="419">
        <v>87936726541</v>
      </c>
      <c r="L194" s="419">
        <v>258042454007</v>
      </c>
      <c r="M194" s="419">
        <v>305807514253</v>
      </c>
      <c r="N194" s="419">
        <v>473340414218</v>
      </c>
      <c r="O194" s="419">
        <v>308238310374</v>
      </c>
      <c r="P194" s="419">
        <v>217130866238</v>
      </c>
      <c r="Q194" s="419">
        <v>-82980027667</v>
      </c>
      <c r="R194" s="419">
        <v>-403211599025</v>
      </c>
      <c r="S194" s="419">
        <v>-740062976067</v>
      </c>
      <c r="T194" s="419"/>
      <c r="U194" s="301"/>
      <c r="V194" s="57"/>
      <c r="W194" s="57"/>
      <c r="X194" s="57"/>
      <c r="Y194" s="61"/>
      <c r="Z194" s="57"/>
      <c r="AA194" s="57"/>
      <c r="AB194" s="57"/>
    </row>
    <row r="195" spans="1:28" s="56" customFormat="1" ht="16.5" customHeight="1">
      <c r="A195" s="323" t="s">
        <v>203</v>
      </c>
      <c r="B195" s="419">
        <v>7674482914</v>
      </c>
      <c r="C195" s="419">
        <v>10910368948</v>
      </c>
      <c r="D195" s="419">
        <v>18160985601</v>
      </c>
      <c r="E195" s="419">
        <v>15262814600</v>
      </c>
      <c r="F195" s="419">
        <v>14401664062</v>
      </c>
      <c r="G195" s="419">
        <v>19271457917</v>
      </c>
      <c r="H195" s="419">
        <v>16987581437</v>
      </c>
      <c r="I195" s="419">
        <v>213999391414</v>
      </c>
      <c r="J195" s="419">
        <v>140570701209</v>
      </c>
      <c r="K195" s="419">
        <v>187742952355</v>
      </c>
      <c r="L195" s="419">
        <v>335023564941</v>
      </c>
      <c r="M195" s="419">
        <v>380472550198</v>
      </c>
      <c r="N195" s="419">
        <v>527044756850</v>
      </c>
      <c r="O195" s="419">
        <v>392286399597</v>
      </c>
      <c r="P195" s="419">
        <v>323710927840</v>
      </c>
      <c r="Q195" s="419">
        <v>147447636796</v>
      </c>
      <c r="R195" s="419">
        <v>57280262104</v>
      </c>
      <c r="S195" s="419">
        <v>46816291467</v>
      </c>
      <c r="T195" s="419"/>
      <c r="U195" s="301"/>
      <c r="V195" s="57"/>
      <c r="W195" s="57"/>
      <c r="X195" s="57"/>
      <c r="Y195" s="61"/>
      <c r="Z195" s="57"/>
      <c r="AA195" s="57"/>
      <c r="AB195" s="57"/>
    </row>
    <row r="196" spans="1:28" s="56" customFormat="1" ht="16.5" customHeight="1">
      <c r="A196" s="323" t="s">
        <v>204</v>
      </c>
      <c r="B196" s="419">
        <v>-88636521919</v>
      </c>
      <c r="C196" s="419">
        <v>-142027064939</v>
      </c>
      <c r="D196" s="419">
        <v>-175533236436</v>
      </c>
      <c r="E196" s="419">
        <v>-181780381181</v>
      </c>
      <c r="F196" s="419">
        <v>-168800841030</v>
      </c>
      <c r="G196" s="419">
        <v>-147163773896</v>
      </c>
      <c r="H196" s="419">
        <v>-197704037696</v>
      </c>
      <c r="I196" s="419">
        <v>-83696165688</v>
      </c>
      <c r="J196" s="419">
        <v>-112291869962</v>
      </c>
      <c r="K196" s="419">
        <v>-99806225814</v>
      </c>
      <c r="L196" s="419">
        <v>-76981110934</v>
      </c>
      <c r="M196" s="419">
        <v>-74665035945</v>
      </c>
      <c r="N196" s="419">
        <v>-53704342632</v>
      </c>
      <c r="O196" s="419">
        <v>-84048089223</v>
      </c>
      <c r="P196" s="419">
        <v>-106580061602</v>
      </c>
      <c r="Q196" s="419">
        <v>-230427664463</v>
      </c>
      <c r="R196" s="419">
        <v>-460491861129</v>
      </c>
      <c r="S196" s="419">
        <v>-786879267534</v>
      </c>
      <c r="T196" s="419"/>
      <c r="U196" s="301"/>
      <c r="V196" s="57"/>
      <c r="W196" s="57"/>
      <c r="X196" s="57"/>
      <c r="Y196" s="61"/>
      <c r="Z196" s="57"/>
      <c r="AA196" s="57"/>
      <c r="AB196" s="57"/>
    </row>
    <row r="197" spans="1:28" s="56" customFormat="1" ht="16.5" customHeight="1">
      <c r="A197" s="322" t="s">
        <v>205</v>
      </c>
      <c r="B197" s="419">
        <v>377711070095</v>
      </c>
      <c r="C197" s="419">
        <v>377711070095</v>
      </c>
      <c r="D197" s="419">
        <v>377711070095</v>
      </c>
      <c r="E197" s="419">
        <v>381318133520</v>
      </c>
      <c r="F197" s="419">
        <v>381318133520</v>
      </c>
      <c r="G197" s="419">
        <v>381318133520</v>
      </c>
      <c r="H197" s="419">
        <v>381318133520</v>
      </c>
      <c r="I197" s="419">
        <v>381318133520</v>
      </c>
      <c r="J197" s="419">
        <v>381318133520</v>
      </c>
      <c r="K197" s="419">
        <v>468565667903</v>
      </c>
      <c r="L197" s="419">
        <v>468565667903</v>
      </c>
      <c r="M197" s="419">
        <v>468466192367</v>
      </c>
      <c r="N197" s="419">
        <v>468466192367</v>
      </c>
      <c r="O197" s="419">
        <v>468466192366</v>
      </c>
      <c r="P197" s="419">
        <v>468466192366</v>
      </c>
      <c r="Q197" s="419">
        <v>462768630567</v>
      </c>
      <c r="R197" s="419">
        <v>462768630567</v>
      </c>
      <c r="S197" s="419">
        <v>462768630567</v>
      </c>
      <c r="T197" s="419"/>
      <c r="U197" s="301"/>
      <c r="V197" s="57"/>
      <c r="W197" s="57"/>
      <c r="X197" s="57"/>
      <c r="Y197" s="61"/>
      <c r="Z197" s="57"/>
      <c r="AA197" s="57"/>
      <c r="AB197" s="57"/>
    </row>
    <row r="198" spans="1:28" s="56" customFormat="1" ht="16.5" customHeight="1">
      <c r="A198" s="322" t="s">
        <v>206</v>
      </c>
      <c r="B198" s="419">
        <v>-14727277535</v>
      </c>
      <c r="C198" s="419">
        <v>-15282811385</v>
      </c>
      <c r="D198" s="419">
        <v>-15726179679</v>
      </c>
      <c r="E198" s="419">
        <v>-2151073548</v>
      </c>
      <c r="F198" s="419">
        <v>-2649759370</v>
      </c>
      <c r="G198" s="419">
        <v>-3102999326</v>
      </c>
      <c r="H198" s="419">
        <v>-3500628791</v>
      </c>
      <c r="I198" s="419">
        <v>-11447236636</v>
      </c>
      <c r="J198" s="419">
        <v>-11842791304</v>
      </c>
      <c r="K198" s="419">
        <v>-12429370898</v>
      </c>
      <c r="L198" s="419">
        <v>-12862544650</v>
      </c>
      <c r="M198" s="419">
        <v>-21241476047</v>
      </c>
      <c r="N198" s="419">
        <v>-21511036512</v>
      </c>
      <c r="O198" s="419">
        <v>-21870112838</v>
      </c>
      <c r="P198" s="419">
        <v>-22075848452</v>
      </c>
      <c r="Q198" s="419">
        <v>-21778383892</v>
      </c>
      <c r="R198" s="419">
        <v>-22202670645</v>
      </c>
      <c r="S198" s="419">
        <v>-22759641373</v>
      </c>
      <c r="T198" s="419"/>
      <c r="U198" s="301"/>
      <c r="V198" s="57"/>
      <c r="W198" s="57"/>
      <c r="X198" s="57"/>
      <c r="Y198" s="61"/>
      <c r="Z198" s="57"/>
      <c r="AA198" s="57"/>
      <c r="AB198" s="57"/>
    </row>
    <row r="199" spans="1:28" s="95" customFormat="1" ht="16.5" customHeight="1">
      <c r="A199" s="328" t="s">
        <v>207</v>
      </c>
      <c r="B199" s="423">
        <v>24698313694675</v>
      </c>
      <c r="C199" s="423">
        <v>24967845242087</v>
      </c>
      <c r="D199" s="423">
        <v>25343183400342</v>
      </c>
      <c r="E199" s="423">
        <v>32262331015998</v>
      </c>
      <c r="F199" s="423">
        <v>34040526197422</v>
      </c>
      <c r="G199" s="423">
        <v>35581943292411</v>
      </c>
      <c r="H199" s="423">
        <v>35812118533129</v>
      </c>
      <c r="I199" s="423">
        <v>39403862443763</v>
      </c>
      <c r="J199" s="423">
        <v>39273881010051</v>
      </c>
      <c r="K199" s="423">
        <v>40579833893540</v>
      </c>
      <c r="L199" s="423">
        <v>43019407119973</v>
      </c>
      <c r="M199" s="423">
        <v>43358482458819</v>
      </c>
      <c r="N199" s="423">
        <v>44426134909558</v>
      </c>
      <c r="O199" s="423">
        <v>44466739671615</v>
      </c>
      <c r="P199" s="423">
        <v>44532796285194</v>
      </c>
      <c r="Q199" s="423">
        <v>44242792244563</v>
      </c>
      <c r="R199" s="423">
        <v>43115899748228</v>
      </c>
      <c r="S199" s="423">
        <v>43134931607073</v>
      </c>
      <c r="T199" s="421"/>
      <c r="U199" s="439"/>
      <c r="V199" s="686"/>
      <c r="W199" s="686"/>
      <c r="X199" s="686"/>
      <c r="Z199" s="686"/>
      <c r="AA199" s="686"/>
      <c r="AB199" s="686"/>
    </row>
    <row r="200" spans="1:28" ht="16.5" customHeight="1">
      <c r="A200" s="441" t="s">
        <v>554</v>
      </c>
      <c r="B200" s="441"/>
      <c r="C200" s="441"/>
      <c r="D200" s="441"/>
      <c r="E200" s="441"/>
      <c r="F200" s="441"/>
      <c r="G200" s="441"/>
      <c r="H200" s="441"/>
      <c r="I200" s="441"/>
      <c r="J200" s="441"/>
      <c r="K200" s="441"/>
      <c r="L200" s="441"/>
      <c r="M200" s="441"/>
      <c r="N200" s="441"/>
      <c r="O200" s="441"/>
      <c r="P200" s="441"/>
      <c r="Q200" s="441"/>
      <c r="R200" s="441"/>
      <c r="S200" s="441"/>
      <c r="T200" s="441"/>
      <c r="U200" s="194"/>
      <c r="V200" s="58"/>
      <c r="W200" s="58"/>
      <c r="X200" s="58"/>
      <c r="Y200" s="61"/>
      <c r="Z200" s="58"/>
      <c r="AA200" s="58"/>
      <c r="AB200" s="58"/>
    </row>
    <row r="201" spans="1:28" ht="16.5" customHeight="1">
      <c r="A201" s="566"/>
      <c r="B201" s="566"/>
      <c r="C201" s="566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194"/>
      <c r="V201" s="58"/>
      <c r="W201" s="58"/>
      <c r="X201" s="58"/>
      <c r="Y201" s="61"/>
      <c r="Z201" s="58"/>
      <c r="AA201" s="58"/>
      <c r="AB201" s="58"/>
    </row>
    <row r="202" spans="1:28" ht="16.5">
      <c r="A202" s="568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68"/>
      <c r="P202" s="568"/>
      <c r="Q202" s="568"/>
      <c r="R202" s="568"/>
      <c r="S202" s="568"/>
      <c r="T202" s="568"/>
      <c r="V202" s="58"/>
      <c r="W202" s="58"/>
      <c r="X202" s="58"/>
      <c r="Y202" s="291"/>
      <c r="Z202" s="58"/>
      <c r="AA202" s="58"/>
      <c r="AB202" s="58"/>
    </row>
    <row r="203" spans="1:28" ht="16.5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68"/>
      <c r="P203" s="568"/>
      <c r="Q203" s="568"/>
      <c r="R203" s="568"/>
      <c r="S203" s="568"/>
      <c r="T203" s="568"/>
      <c r="V203" s="58"/>
      <c r="W203" s="58"/>
      <c r="X203" s="58"/>
      <c r="Y203" s="58"/>
      <c r="Z203" s="58"/>
      <c r="AA203" s="58"/>
      <c r="AB203" s="58"/>
    </row>
    <row r="204" spans="1:28" ht="16.5">
      <c r="A204" s="568"/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V204" s="58"/>
      <c r="W204" s="58"/>
      <c r="X204" s="58"/>
      <c r="Y204" s="58"/>
      <c r="Z204" s="58"/>
      <c r="AA204" s="58"/>
      <c r="AB204" s="58"/>
    </row>
    <row r="205" spans="1:28" ht="16.5">
      <c r="A205" s="568"/>
      <c r="B205" s="568"/>
      <c r="C205" s="568"/>
      <c r="D205" s="568"/>
      <c r="E205" s="568"/>
      <c r="F205" s="568"/>
      <c r="G205" s="568"/>
      <c r="H205" s="568"/>
      <c r="I205" s="568"/>
      <c r="J205" s="568"/>
      <c r="K205" s="568"/>
      <c r="L205" s="568"/>
      <c r="M205" s="568"/>
      <c r="N205" s="568"/>
      <c r="O205" s="568"/>
      <c r="P205" s="568"/>
      <c r="Q205" s="568"/>
      <c r="R205" s="568"/>
      <c r="S205" s="568"/>
      <c r="T205" s="568"/>
      <c r="V205" s="58"/>
      <c r="W205" s="58"/>
      <c r="X205" s="58"/>
      <c r="Y205" s="58"/>
      <c r="Z205" s="58"/>
      <c r="AA205" s="58"/>
      <c r="AB205" s="58"/>
    </row>
    <row r="206" spans="1:28" ht="16.5">
      <c r="A206" s="568"/>
      <c r="B206" s="568"/>
      <c r="C206" s="568"/>
      <c r="D206" s="568"/>
      <c r="E206" s="568"/>
      <c r="F206" s="568"/>
      <c r="G206" s="568"/>
      <c r="H206" s="568"/>
      <c r="I206" s="568"/>
      <c r="J206" s="568"/>
      <c r="K206" s="568"/>
      <c r="L206" s="568"/>
      <c r="M206" s="568"/>
      <c r="N206" s="568"/>
      <c r="O206" s="568"/>
      <c r="P206" s="568"/>
      <c r="Q206" s="568"/>
      <c r="R206" s="568"/>
      <c r="S206" s="568"/>
      <c r="T206" s="568"/>
      <c r="Y206" s="58"/>
    </row>
    <row r="207" spans="1:28" ht="16.5">
      <c r="A207" s="568"/>
      <c r="B207" s="564"/>
      <c r="C207" s="564"/>
      <c r="D207" s="564"/>
      <c r="E207" s="564"/>
      <c r="F207" s="564"/>
      <c r="G207" s="564"/>
      <c r="H207" s="564"/>
      <c r="I207" s="564"/>
      <c r="J207" s="564"/>
      <c r="K207" s="564"/>
      <c r="L207" s="564"/>
      <c r="M207" s="564"/>
      <c r="N207" s="564"/>
      <c r="O207" s="564"/>
      <c r="P207" s="564"/>
      <c r="Q207" s="564"/>
      <c r="R207" s="564"/>
      <c r="S207" s="564"/>
      <c r="T207" s="564"/>
    </row>
    <row r="208" spans="1:28" ht="16.5">
      <c r="A208" s="568"/>
      <c r="B208" s="568"/>
      <c r="C208" s="568"/>
      <c r="D208" s="568"/>
      <c r="E208" s="568"/>
      <c r="F208" s="568"/>
      <c r="G208" s="568"/>
      <c r="H208" s="568"/>
      <c r="I208" s="568"/>
      <c r="J208" s="568"/>
      <c r="K208" s="568"/>
      <c r="L208" s="568"/>
      <c r="M208" s="568"/>
      <c r="N208" s="568"/>
      <c r="O208" s="568"/>
      <c r="P208" s="568"/>
      <c r="Q208" s="568"/>
      <c r="R208" s="568"/>
      <c r="S208" s="568"/>
      <c r="T208" s="568"/>
    </row>
    <row r="209" spans="1:22" ht="16.5">
      <c r="A209" s="568"/>
      <c r="B209" s="568"/>
      <c r="C209" s="568"/>
      <c r="D209" s="568"/>
      <c r="E209" s="568"/>
      <c r="F209" s="568"/>
      <c r="G209" s="568"/>
      <c r="H209" s="568"/>
      <c r="I209" s="568"/>
      <c r="J209" s="568"/>
      <c r="K209" s="568"/>
      <c r="L209" s="568"/>
      <c r="M209" s="568"/>
      <c r="N209" s="568"/>
      <c r="O209" s="568"/>
      <c r="P209" s="568"/>
      <c r="Q209" s="568"/>
      <c r="R209" s="568"/>
      <c r="S209" s="568"/>
      <c r="T209" s="568"/>
    </row>
    <row r="210" spans="1:22" s="473" customFormat="1" ht="16.5">
      <c r="A210" s="569"/>
      <c r="B210" s="564"/>
      <c r="C210" s="564"/>
      <c r="D210" s="564"/>
      <c r="E210" s="564"/>
      <c r="F210" s="565"/>
      <c r="G210" s="564"/>
      <c r="H210" s="564"/>
      <c r="I210" s="564"/>
      <c r="J210" s="565"/>
      <c r="K210" s="564"/>
      <c r="L210" s="564"/>
      <c r="M210" s="564"/>
      <c r="N210" s="564"/>
      <c r="O210" s="564"/>
      <c r="P210" s="564"/>
      <c r="Q210" s="564"/>
      <c r="R210" s="564"/>
      <c r="S210" s="564"/>
      <c r="T210" s="564"/>
    </row>
    <row r="211" spans="1:22" s="473" customFormat="1" ht="16.5">
      <c r="A211" s="570"/>
      <c r="B211" s="564"/>
      <c r="C211" s="564"/>
      <c r="D211" s="564"/>
      <c r="E211" s="564"/>
      <c r="F211" s="565"/>
      <c r="G211" s="564"/>
      <c r="H211" s="564"/>
      <c r="I211" s="564"/>
      <c r="J211" s="565"/>
      <c r="K211" s="564"/>
      <c r="L211" s="564"/>
      <c r="M211" s="564"/>
      <c r="N211" s="564"/>
      <c r="O211" s="564"/>
      <c r="P211" s="564"/>
      <c r="Q211" s="564"/>
      <c r="R211" s="564"/>
      <c r="S211" s="564"/>
      <c r="T211" s="564"/>
    </row>
    <row r="212" spans="1:22" ht="17.25">
      <c r="A212" s="570"/>
      <c r="B212" s="564"/>
      <c r="C212" s="564"/>
      <c r="D212" s="564"/>
      <c r="E212" s="564"/>
      <c r="F212" s="565"/>
      <c r="G212" s="564"/>
      <c r="H212" s="564"/>
      <c r="I212" s="564"/>
      <c r="J212" s="565"/>
      <c r="K212" s="564"/>
      <c r="L212" s="564"/>
      <c r="M212" s="564"/>
      <c r="N212" s="564"/>
      <c r="O212" s="564"/>
      <c r="P212" s="564"/>
      <c r="Q212" s="564"/>
      <c r="R212" s="564"/>
      <c r="S212" s="564"/>
      <c r="T212" s="564"/>
      <c r="V212" s="571"/>
    </row>
    <row r="214" spans="1:22" ht="17.25">
      <c r="B214" s="444"/>
      <c r="C214" s="444"/>
      <c r="D214" s="444"/>
      <c r="E214" s="444"/>
      <c r="F214" s="444"/>
      <c r="G214" s="444"/>
      <c r="H214" s="444"/>
      <c r="I214" s="444"/>
      <c r="J214" s="444"/>
      <c r="K214" s="444"/>
      <c r="L214" s="444"/>
      <c r="S214" s="765"/>
    </row>
    <row r="215" spans="1:22" ht="17.25">
      <c r="B215" s="444"/>
      <c r="C215" s="444"/>
      <c r="D215" s="444"/>
      <c r="E215" s="444"/>
      <c r="F215" s="444"/>
      <c r="G215" s="444"/>
      <c r="H215" s="444"/>
      <c r="I215" s="444"/>
      <c r="J215" s="444"/>
      <c r="K215" s="444"/>
      <c r="L215" s="444"/>
      <c r="S215" s="765"/>
    </row>
    <row r="216" spans="1:22">
      <c r="S216" s="765"/>
    </row>
    <row r="217" spans="1:22" ht="17.25">
      <c r="S217" s="571"/>
    </row>
  </sheetData>
  <phoneticPr fontId="100" type="noConversion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rowBreaks count="3" manualBreakCount="3">
    <brk id="48" max="18" man="1"/>
    <brk id="97" max="18" man="1"/>
    <brk id="143" max="18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79998168889431442"/>
    <pageSetUpPr fitToPage="1"/>
  </sheetPr>
  <dimension ref="A1:BL214"/>
  <sheetViews>
    <sheetView view="pageBreakPreview" zoomScaleNormal="100" zoomScaleSheetLayoutView="100" workbookViewId="0">
      <pane xSplit="1" topLeftCell="E1" activePane="topRight" state="frozen"/>
      <selection activeCell="F44" sqref="F44"/>
      <selection pane="topRight" activeCell="T28" sqref="T28"/>
    </sheetView>
  </sheetViews>
  <sheetFormatPr defaultColWidth="8.88671875" defaultRowHeight="13.5"/>
  <cols>
    <col min="1" max="1" width="45.33203125" style="61" bestFit="1" customWidth="1"/>
    <col min="2" max="13" width="19.21875" style="61" hidden="1" customWidth="1"/>
    <col min="14" max="14" width="17.6640625" style="61" hidden="1" customWidth="1"/>
    <col min="15" max="15" width="17.6640625" style="61" customWidth="1"/>
    <col min="16" max="18" width="17.6640625" style="61" hidden="1" customWidth="1"/>
    <col min="19" max="19" width="17.6640625" style="61" customWidth="1"/>
    <col min="20" max="21" width="19.21875" style="488" customWidth="1"/>
    <col min="22" max="43" width="8.88671875" style="60"/>
    <col min="44" max="16384" width="8.88671875" style="61"/>
  </cols>
  <sheetData>
    <row r="1" spans="1:44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485"/>
      <c r="U1" s="485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1"/>
      <c r="AK1" s="61"/>
      <c r="AL1" s="61"/>
      <c r="AM1" s="61"/>
      <c r="AN1" s="61"/>
      <c r="AO1" s="61"/>
      <c r="AP1" s="61"/>
      <c r="AQ1" s="61"/>
    </row>
    <row r="2" spans="1:44" ht="35.25" customHeight="1">
      <c r="A2" s="374" t="s">
        <v>674</v>
      </c>
      <c r="B2" s="374"/>
      <c r="C2" s="374"/>
      <c r="D2" s="374"/>
      <c r="E2" s="374"/>
      <c r="F2" s="374"/>
      <c r="G2" s="374"/>
      <c r="H2" s="374"/>
      <c r="I2" s="374"/>
      <c r="J2" s="300"/>
      <c r="K2" s="298"/>
      <c r="L2" s="300"/>
      <c r="M2" s="300"/>
      <c r="N2" s="300"/>
      <c r="O2" s="300"/>
      <c r="P2" s="300"/>
      <c r="Q2" s="300"/>
      <c r="R2" s="300"/>
      <c r="S2" s="300"/>
      <c r="T2" s="486"/>
      <c r="U2" s="486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1"/>
      <c r="AK2" s="61"/>
      <c r="AL2" s="61"/>
      <c r="AM2" s="61"/>
      <c r="AN2" s="61"/>
      <c r="AO2" s="61"/>
      <c r="AP2" s="61"/>
      <c r="AQ2" s="61"/>
    </row>
    <row r="3" spans="1:44" ht="15" thickBo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487"/>
      <c r="U3" s="487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1"/>
      <c r="AK3" s="61"/>
      <c r="AL3" s="61"/>
      <c r="AM3" s="61"/>
      <c r="AN3" s="61"/>
      <c r="AO3" s="61"/>
      <c r="AP3" s="61"/>
      <c r="AQ3" s="61"/>
    </row>
    <row r="4" spans="1:44" s="690" customFormat="1" ht="19.5" customHeight="1" thickTop="1">
      <c r="A4" s="417" t="s">
        <v>393</v>
      </c>
      <c r="B4" s="417" t="s">
        <v>557</v>
      </c>
      <c r="C4" s="417" t="s">
        <v>669</v>
      </c>
      <c r="D4" s="417" t="s">
        <v>556</v>
      </c>
      <c r="E4" s="418">
        <v>2022</v>
      </c>
      <c r="F4" s="417" t="s">
        <v>561</v>
      </c>
      <c r="G4" s="417" t="s">
        <v>638</v>
      </c>
      <c r="H4" s="418" t="s">
        <v>562</v>
      </c>
      <c r="I4" s="418">
        <v>2023</v>
      </c>
      <c r="J4" s="418" t="s">
        <v>563</v>
      </c>
      <c r="K4" s="418" t="s">
        <v>673</v>
      </c>
      <c r="L4" s="418" t="s">
        <v>623</v>
      </c>
      <c r="M4" s="418">
        <v>2024</v>
      </c>
      <c r="N4" s="418" t="s">
        <v>647</v>
      </c>
      <c r="O4" s="418" t="s">
        <v>666</v>
      </c>
      <c r="P4" s="418" t="s">
        <v>675</v>
      </c>
      <c r="Q4" s="418">
        <v>2025</v>
      </c>
      <c r="R4" s="418" t="s">
        <v>688</v>
      </c>
      <c r="S4" s="670" t="s">
        <v>720</v>
      </c>
      <c r="T4" s="688"/>
      <c r="U4" s="688"/>
      <c r="V4" s="689"/>
      <c r="W4" s="689"/>
      <c r="X4" s="689"/>
      <c r="Y4" s="689"/>
      <c r="Z4" s="689"/>
      <c r="AA4" s="689"/>
      <c r="AB4" s="689"/>
      <c r="AC4" s="689"/>
      <c r="AD4" s="689"/>
      <c r="AE4" s="689"/>
      <c r="AF4" s="689"/>
      <c r="AG4" s="689"/>
      <c r="AH4" s="689"/>
      <c r="AI4" s="689"/>
      <c r="AJ4" s="689"/>
      <c r="AK4" s="689"/>
      <c r="AL4" s="689"/>
      <c r="AM4" s="689"/>
      <c r="AN4" s="689"/>
      <c r="AO4" s="689"/>
      <c r="AP4" s="689"/>
      <c r="AQ4" s="689"/>
      <c r="AR4" s="689"/>
    </row>
    <row r="5" spans="1:44" s="95" customFormat="1" ht="16.5" customHeight="1">
      <c r="A5" s="694" t="s">
        <v>394</v>
      </c>
      <c r="B5" s="687">
        <v>334805008361</v>
      </c>
      <c r="C5" s="687">
        <v>746731359407</v>
      </c>
      <c r="D5" s="687">
        <v>1154674835324</v>
      </c>
      <c r="E5" s="687">
        <v>1398554645025</v>
      </c>
      <c r="F5" s="687">
        <v>400988560613</v>
      </c>
      <c r="G5" s="687">
        <v>779302220377</v>
      </c>
      <c r="H5" s="687">
        <v>1233704626867</v>
      </c>
      <c r="I5" s="687">
        <v>1497057260733</v>
      </c>
      <c r="J5" s="687">
        <v>457913266203</v>
      </c>
      <c r="K5" s="687">
        <v>941140976929</v>
      </c>
      <c r="L5" s="687">
        <v>1404299373014</v>
      </c>
      <c r="M5" s="687">
        <v>1533644053333</v>
      </c>
      <c r="N5" s="687">
        <v>359840075626</v>
      </c>
      <c r="O5" s="687">
        <v>724191945967</v>
      </c>
      <c r="P5" s="687">
        <v>1024249485878</v>
      </c>
      <c r="Q5" s="687">
        <v>1425411278890</v>
      </c>
      <c r="R5" s="687">
        <v>334565043124</v>
      </c>
      <c r="S5" s="687">
        <v>697455718365</v>
      </c>
      <c r="T5" s="551"/>
      <c r="U5" s="551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</row>
    <row r="6" spans="1:44" s="95" customFormat="1" ht="16.5" customHeight="1">
      <c r="A6" s="329" t="s">
        <v>208</v>
      </c>
      <c r="B6" s="419">
        <v>1856105626716</v>
      </c>
      <c r="C6" s="419">
        <v>3754742437424</v>
      </c>
      <c r="D6" s="419">
        <v>5711487928801</v>
      </c>
      <c r="E6" s="419">
        <v>7744375557824</v>
      </c>
      <c r="F6" s="419">
        <v>2031519041902</v>
      </c>
      <c r="G6" s="419">
        <v>4100134207748</v>
      </c>
      <c r="H6" s="419">
        <v>6218965101160</v>
      </c>
      <c r="I6" s="419">
        <v>8346176088963</v>
      </c>
      <c r="J6" s="419">
        <v>2183499883509</v>
      </c>
      <c r="K6" s="419">
        <v>4357807313272</v>
      </c>
      <c r="L6" s="419">
        <v>6567162526684</v>
      </c>
      <c r="M6" s="419">
        <v>8713633004050</v>
      </c>
      <c r="N6" s="419">
        <v>2239910666989</v>
      </c>
      <c r="O6" s="419">
        <v>4504974623047</v>
      </c>
      <c r="P6" s="419">
        <v>6825395005573</v>
      </c>
      <c r="Q6" s="419">
        <v>9109984605332</v>
      </c>
      <c r="R6" s="419">
        <v>2429577742411</v>
      </c>
      <c r="S6" s="419">
        <v>4922367917544</v>
      </c>
      <c r="T6" s="551"/>
      <c r="U6" s="55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</row>
    <row r="7" spans="1:44" s="95" customFormat="1" ht="16.5" customHeight="1">
      <c r="A7" s="330" t="s">
        <v>209</v>
      </c>
      <c r="B7" s="419">
        <v>1513114260756</v>
      </c>
      <c r="C7" s="419">
        <v>3047238649984</v>
      </c>
      <c r="D7" s="419">
        <v>4620028247081</v>
      </c>
      <c r="E7" s="419">
        <v>6267743079616</v>
      </c>
      <c r="F7" s="419">
        <v>1656554895688</v>
      </c>
      <c r="G7" s="419">
        <v>3336075531804</v>
      </c>
      <c r="H7" s="419">
        <v>5059465142788</v>
      </c>
      <c r="I7" s="419">
        <v>6783759225125</v>
      </c>
      <c r="J7" s="419">
        <v>1777447178513</v>
      </c>
      <c r="K7" s="419">
        <v>3542240124240</v>
      </c>
      <c r="L7" s="419">
        <v>5335070816173</v>
      </c>
      <c r="M7" s="419">
        <v>7061753636067</v>
      </c>
      <c r="N7" s="419">
        <v>1830280502982</v>
      </c>
      <c r="O7" s="419">
        <v>3670021922209</v>
      </c>
      <c r="P7" s="419">
        <v>5553048084586</v>
      </c>
      <c r="Q7" s="419">
        <v>7400884529162</v>
      </c>
      <c r="R7" s="419">
        <v>2003760367968</v>
      </c>
      <c r="S7" s="419">
        <v>4043311452433</v>
      </c>
      <c r="T7" s="551"/>
      <c r="U7" s="551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</row>
    <row r="8" spans="1:44" s="95" customFormat="1" ht="16.5" customHeight="1">
      <c r="A8" s="331" t="s">
        <v>210</v>
      </c>
      <c r="B8" s="419">
        <v>1057494433487</v>
      </c>
      <c r="C8" s="419">
        <v>2132375231428</v>
      </c>
      <c r="D8" s="419">
        <v>3232143797312</v>
      </c>
      <c r="E8" s="419">
        <v>4359755561965</v>
      </c>
      <c r="F8" s="419">
        <v>1139696043880</v>
      </c>
      <c r="G8" s="419">
        <v>2293947002162</v>
      </c>
      <c r="H8" s="419">
        <v>3469827150605</v>
      </c>
      <c r="I8" s="419">
        <v>4624945266946</v>
      </c>
      <c r="J8" s="419">
        <v>1121392796394</v>
      </c>
      <c r="K8" s="419">
        <v>2256682176583</v>
      </c>
      <c r="L8" s="419">
        <v>3408413414404</v>
      </c>
      <c r="M8" s="419">
        <v>4573218620518</v>
      </c>
      <c r="N8" s="419">
        <v>1159790845638</v>
      </c>
      <c r="O8" s="419">
        <v>2334158075326</v>
      </c>
      <c r="P8" s="419">
        <v>3530135458946</v>
      </c>
      <c r="Q8" s="419">
        <v>4747836280887</v>
      </c>
      <c r="R8" s="419">
        <v>1218335746830</v>
      </c>
      <c r="S8" s="419">
        <v>2482501041831</v>
      </c>
      <c r="T8" s="551"/>
      <c r="U8" s="551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</row>
    <row r="9" spans="1:44" s="95" customFormat="1" ht="16.5" customHeight="1">
      <c r="A9" s="331" t="s">
        <v>211</v>
      </c>
      <c r="B9" s="419">
        <v>26114201576</v>
      </c>
      <c r="C9" s="419">
        <v>52920145992</v>
      </c>
      <c r="D9" s="419">
        <v>80470919443</v>
      </c>
      <c r="E9" s="419">
        <v>108633600736</v>
      </c>
      <c r="F9" s="419">
        <v>28806093087</v>
      </c>
      <c r="G9" s="419">
        <v>58248665208</v>
      </c>
      <c r="H9" s="419">
        <v>88378735637</v>
      </c>
      <c r="I9" s="419">
        <v>119028711000</v>
      </c>
      <c r="J9" s="419">
        <v>30649504337</v>
      </c>
      <c r="K9" s="419">
        <v>61839847405</v>
      </c>
      <c r="L9" s="419">
        <v>93565556308</v>
      </c>
      <c r="M9" s="419">
        <v>125783240301</v>
      </c>
      <c r="N9" s="419">
        <v>32064174255</v>
      </c>
      <c r="O9" s="419">
        <v>64727442946</v>
      </c>
      <c r="P9" s="419">
        <v>98123245625</v>
      </c>
      <c r="Q9" s="419">
        <v>132175812374</v>
      </c>
      <c r="R9" s="419">
        <v>36202802201</v>
      </c>
      <c r="S9" s="419">
        <v>73253242142</v>
      </c>
      <c r="T9" s="551"/>
      <c r="U9" s="551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</row>
    <row r="10" spans="1:44" s="95" customFormat="1" ht="16.5" customHeight="1">
      <c r="A10" s="331" t="s">
        <v>212</v>
      </c>
      <c r="B10" s="419">
        <v>54967827093</v>
      </c>
      <c r="C10" s="419">
        <v>110695156974</v>
      </c>
      <c r="D10" s="419">
        <v>167299949024</v>
      </c>
      <c r="E10" s="419">
        <v>224956163361</v>
      </c>
      <c r="F10" s="419">
        <v>57581810843</v>
      </c>
      <c r="G10" s="419">
        <v>115245574925</v>
      </c>
      <c r="H10" s="419">
        <v>173552925588</v>
      </c>
      <c r="I10" s="419">
        <v>246587282884</v>
      </c>
      <c r="J10" s="419">
        <v>78790653378</v>
      </c>
      <c r="K10" s="419">
        <v>158351301968</v>
      </c>
      <c r="L10" s="419">
        <v>238786099591</v>
      </c>
      <c r="M10" s="419">
        <v>320101706782</v>
      </c>
      <c r="N10" s="419">
        <v>84676231018</v>
      </c>
      <c r="O10" s="419">
        <v>170156979496</v>
      </c>
      <c r="P10" s="419">
        <v>257608530970</v>
      </c>
      <c r="Q10" s="419">
        <v>345394987043</v>
      </c>
      <c r="R10" s="419">
        <v>103915140099</v>
      </c>
      <c r="S10" s="419">
        <v>209390057459</v>
      </c>
      <c r="T10" s="551"/>
      <c r="U10" s="551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</row>
    <row r="11" spans="1:44" s="95" customFormat="1" ht="16.5" customHeight="1">
      <c r="A11" s="331" t="s">
        <v>213</v>
      </c>
      <c r="B11" s="419">
        <v>7511236961</v>
      </c>
      <c r="C11" s="419">
        <v>15209436137</v>
      </c>
      <c r="D11" s="419">
        <v>23110375089</v>
      </c>
      <c r="E11" s="419">
        <v>31228914916</v>
      </c>
      <c r="F11" s="419">
        <v>8780816076</v>
      </c>
      <c r="G11" s="419">
        <v>17776650112</v>
      </c>
      <c r="H11" s="419">
        <v>26989516164</v>
      </c>
      <c r="I11" s="419">
        <v>31163439750</v>
      </c>
      <c r="J11" s="419">
        <v>6896814545</v>
      </c>
      <c r="K11" s="419">
        <v>13919983751</v>
      </c>
      <c r="L11" s="419">
        <v>21083526857</v>
      </c>
      <c r="M11" s="419">
        <v>28380681724</v>
      </c>
      <c r="N11" s="419">
        <v>6330498083</v>
      </c>
      <c r="O11" s="419">
        <v>12760341515</v>
      </c>
      <c r="P11" s="419">
        <v>19303899391</v>
      </c>
      <c r="Q11" s="419">
        <v>24645644099</v>
      </c>
      <c r="R11" s="419">
        <v>5537330475</v>
      </c>
      <c r="S11" s="419">
        <v>11162362780</v>
      </c>
      <c r="T11" s="551"/>
      <c r="U11" s="551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</row>
    <row r="12" spans="1:44" s="95" customFormat="1" ht="16.5" customHeight="1">
      <c r="A12" s="331" t="s">
        <v>214</v>
      </c>
      <c r="B12" s="419">
        <v>37402857475</v>
      </c>
      <c r="C12" s="419">
        <v>72451059779</v>
      </c>
      <c r="D12" s="419">
        <v>107286783944</v>
      </c>
      <c r="E12" s="419">
        <v>138174204994</v>
      </c>
      <c r="F12" s="419">
        <v>25261112910</v>
      </c>
      <c r="G12" s="419">
        <v>53287772102</v>
      </c>
      <c r="H12" s="419">
        <v>92119931782</v>
      </c>
      <c r="I12" s="419">
        <v>133070025069</v>
      </c>
      <c r="J12" s="419">
        <v>40626861425</v>
      </c>
      <c r="K12" s="419">
        <v>80667110990</v>
      </c>
      <c r="L12" s="419">
        <v>120186250004</v>
      </c>
      <c r="M12" s="419">
        <v>157740848222</v>
      </c>
      <c r="N12" s="419">
        <v>42979635814</v>
      </c>
      <c r="O12" s="419">
        <v>87963782439</v>
      </c>
      <c r="P12" s="419">
        <v>134758426758</v>
      </c>
      <c r="Q12" s="419">
        <v>184281734752</v>
      </c>
      <c r="R12" s="419">
        <v>50497669394</v>
      </c>
      <c r="S12" s="419">
        <v>101094955489</v>
      </c>
      <c r="T12" s="551"/>
      <c r="U12" s="551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</row>
    <row r="13" spans="1:44" s="95" customFormat="1" ht="16.5" customHeight="1">
      <c r="A13" s="331" t="s">
        <v>215</v>
      </c>
      <c r="B13" s="419">
        <v>202881870182</v>
      </c>
      <c r="C13" s="419">
        <v>414431606874</v>
      </c>
      <c r="D13" s="419">
        <v>634263883489</v>
      </c>
      <c r="E13" s="419">
        <v>897773806227</v>
      </c>
      <c r="F13" s="419">
        <v>256695302101</v>
      </c>
      <c r="G13" s="419">
        <v>515014171010</v>
      </c>
      <c r="H13" s="419">
        <v>784280413745</v>
      </c>
      <c r="I13" s="419">
        <v>1069759888782</v>
      </c>
      <c r="J13" s="419">
        <v>289027874755</v>
      </c>
      <c r="K13" s="419">
        <v>575941635422</v>
      </c>
      <c r="L13" s="419">
        <v>857676546557</v>
      </c>
      <c r="M13" s="419">
        <v>1150168675571</v>
      </c>
      <c r="N13" s="419">
        <v>287644244306</v>
      </c>
      <c r="O13" s="419">
        <v>574444822763</v>
      </c>
      <c r="P13" s="419">
        <v>869104116893</v>
      </c>
      <c r="Q13" s="419">
        <v>1167264440179</v>
      </c>
      <c r="R13" s="419">
        <v>304121204600</v>
      </c>
      <c r="S13" s="419">
        <v>625849796890</v>
      </c>
      <c r="T13" s="551"/>
      <c r="U13" s="551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</row>
    <row r="14" spans="1:44" s="95" customFormat="1" ht="16.5" customHeight="1">
      <c r="A14" s="331" t="s">
        <v>216</v>
      </c>
      <c r="B14" s="419">
        <v>140357711453</v>
      </c>
      <c r="C14" s="419">
        <v>284731125352</v>
      </c>
      <c r="D14" s="419">
        <v>434091750899</v>
      </c>
      <c r="E14" s="419">
        <v>596842053060</v>
      </c>
      <c r="F14" s="419">
        <v>161668989855</v>
      </c>
      <c r="G14" s="419">
        <v>327623314890</v>
      </c>
      <c r="H14" s="419">
        <v>494170819977</v>
      </c>
      <c r="I14" s="419">
        <v>678427034294</v>
      </c>
      <c r="J14" s="419">
        <v>192769401962</v>
      </c>
      <c r="K14" s="419">
        <v>391320776080</v>
      </c>
      <c r="L14" s="419">
        <v>605702577671</v>
      </c>
      <c r="M14" s="419">
        <v>820000607699</v>
      </c>
      <c r="N14" s="419">
        <v>218386346435</v>
      </c>
      <c r="O14" s="419">
        <v>439295710198</v>
      </c>
      <c r="P14" s="419">
        <v>667926814681</v>
      </c>
      <c r="Q14" s="419">
        <v>924587290639</v>
      </c>
      <c r="R14" s="419">
        <v>262934435915</v>
      </c>
      <c r="S14" s="419">
        <v>532715941396</v>
      </c>
      <c r="T14" s="551"/>
      <c r="U14" s="551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</row>
    <row r="15" spans="1:44" s="95" customFormat="1" ht="16.5" customHeight="1">
      <c r="A15" s="331" t="s">
        <v>226</v>
      </c>
      <c r="B15" s="419">
        <v>-13703263358</v>
      </c>
      <c r="C15" s="419">
        <v>-28678869713</v>
      </c>
      <c r="D15" s="419">
        <v>-45156770120</v>
      </c>
      <c r="E15" s="419">
        <v>-63454689523</v>
      </c>
      <c r="F15" s="419">
        <v>-20147513456</v>
      </c>
      <c r="G15" s="419">
        <v>-41461219423</v>
      </c>
      <c r="H15" s="419">
        <v>-64264391942</v>
      </c>
      <c r="I15" s="419">
        <v>-81718811655</v>
      </c>
      <c r="J15" s="419">
        <v>-29282700997</v>
      </c>
      <c r="K15" s="419">
        <v>-58364536343</v>
      </c>
      <c r="L15" s="419">
        <v>-86872408138</v>
      </c>
      <c r="M15" s="419">
        <v>-115483959449</v>
      </c>
      <c r="N15" s="419">
        <v>-31132363373</v>
      </c>
      <c r="O15" s="419">
        <v>-61864456632</v>
      </c>
      <c r="P15" s="419">
        <v>-94044328494</v>
      </c>
      <c r="Q15" s="419">
        <v>-126758192280</v>
      </c>
      <c r="R15" s="419">
        <v>-22143421145</v>
      </c>
      <c r="S15" s="419">
        <v>-43586393848</v>
      </c>
      <c r="T15" s="551"/>
      <c r="U15" s="551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</row>
    <row r="16" spans="1:44" s="95" customFormat="1" ht="16.5" customHeight="1">
      <c r="A16" s="331" t="s">
        <v>395</v>
      </c>
      <c r="B16" s="419">
        <v>87385887</v>
      </c>
      <c r="C16" s="419">
        <v>-6896242839</v>
      </c>
      <c r="D16" s="419">
        <v>-13482441999</v>
      </c>
      <c r="E16" s="419">
        <v>-26166536120</v>
      </c>
      <c r="F16" s="419">
        <v>-1787759608</v>
      </c>
      <c r="G16" s="419">
        <v>-3606399182</v>
      </c>
      <c r="H16" s="419">
        <v>-5589958768</v>
      </c>
      <c r="I16" s="419">
        <v>-37503611945</v>
      </c>
      <c r="J16" s="419">
        <v>46575972714</v>
      </c>
      <c r="K16" s="419">
        <v>61881828384</v>
      </c>
      <c r="L16" s="419">
        <v>76529252919</v>
      </c>
      <c r="M16" s="419">
        <v>1843214699</v>
      </c>
      <c r="N16" s="419">
        <v>29540890806</v>
      </c>
      <c r="O16" s="419">
        <v>48379224158</v>
      </c>
      <c r="P16" s="419">
        <v>70131919816</v>
      </c>
      <c r="Q16" s="419">
        <v>1456531469</v>
      </c>
      <c r="R16" s="419">
        <v>44359459599</v>
      </c>
      <c r="S16" s="419">
        <v>50930448294</v>
      </c>
      <c r="T16" s="551"/>
      <c r="U16" s="551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</row>
    <row r="17" spans="1:44" s="95" customFormat="1" ht="16.5" customHeight="1">
      <c r="A17" s="330" t="s">
        <v>217</v>
      </c>
      <c r="B17" s="419">
        <v>342991365960</v>
      </c>
      <c r="C17" s="419">
        <v>707503787440</v>
      </c>
      <c r="D17" s="419">
        <v>1091459681720</v>
      </c>
      <c r="E17" s="419">
        <v>1476632478208</v>
      </c>
      <c r="F17" s="419">
        <v>374964146214</v>
      </c>
      <c r="G17" s="419">
        <v>764058675944</v>
      </c>
      <c r="H17" s="419">
        <v>1159499958372</v>
      </c>
      <c r="I17" s="419">
        <v>1562416863838</v>
      </c>
      <c r="J17" s="419">
        <v>406052704996</v>
      </c>
      <c r="K17" s="419">
        <v>815567189032</v>
      </c>
      <c r="L17" s="419">
        <v>1232091710511</v>
      </c>
      <c r="M17" s="419">
        <v>1651879367983</v>
      </c>
      <c r="N17" s="419">
        <v>409630164007</v>
      </c>
      <c r="O17" s="419">
        <v>834952700838</v>
      </c>
      <c r="P17" s="419">
        <v>1272346920987</v>
      </c>
      <c r="Q17" s="419">
        <v>1709100076170</v>
      </c>
      <c r="R17" s="419">
        <v>425817374443</v>
      </c>
      <c r="S17" s="419">
        <v>879056465111</v>
      </c>
      <c r="T17" s="551"/>
      <c r="U17" s="551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</row>
    <row r="18" spans="1:44" s="188" customFormat="1" ht="16.5" customHeight="1">
      <c r="A18" s="555" t="s">
        <v>218</v>
      </c>
      <c r="B18" s="420">
        <v>1422346026415</v>
      </c>
      <c r="C18" s="420">
        <v>2849937892327</v>
      </c>
      <c r="D18" s="420">
        <v>4436909656898</v>
      </c>
      <c r="E18" s="420">
        <v>6018796703390</v>
      </c>
      <c r="F18" s="420">
        <v>1611252153060</v>
      </c>
      <c r="G18" s="420">
        <v>3177260658913</v>
      </c>
      <c r="H18" s="420">
        <v>4429448880719</v>
      </c>
      <c r="I18" s="420">
        <v>6201490426295</v>
      </c>
      <c r="J18" s="420">
        <v>1617119936979</v>
      </c>
      <c r="K18" s="420">
        <v>3159173672877</v>
      </c>
      <c r="L18" s="420">
        <v>4808891139696</v>
      </c>
      <c r="M18" s="420">
        <v>6707593666480</v>
      </c>
      <c r="N18" s="420">
        <v>1806003085314</v>
      </c>
      <c r="O18" s="420">
        <v>3648276397510</v>
      </c>
      <c r="P18" s="420">
        <v>5609386641062</v>
      </c>
      <c r="Q18" s="420">
        <v>7346245791178</v>
      </c>
      <c r="R18" s="420">
        <v>2011935575902</v>
      </c>
      <c r="S18" s="420">
        <v>4046707690075</v>
      </c>
      <c r="T18" s="556"/>
      <c r="U18" s="556"/>
      <c r="V18" s="553"/>
      <c r="W18" s="553"/>
      <c r="X18" s="553"/>
      <c r="Y18" s="553"/>
      <c r="Z18" s="553"/>
      <c r="AA18" s="553"/>
      <c r="AB18" s="553"/>
      <c r="AC18" s="553"/>
      <c r="AD18" s="553"/>
      <c r="AE18" s="553"/>
      <c r="AF18" s="553"/>
      <c r="AG18" s="553"/>
      <c r="AH18" s="553"/>
      <c r="AI18" s="553"/>
      <c r="AJ18" s="553"/>
      <c r="AK18" s="553"/>
      <c r="AL18" s="553"/>
      <c r="AM18" s="553"/>
      <c r="AN18" s="553"/>
      <c r="AO18" s="553"/>
      <c r="AP18" s="553"/>
      <c r="AQ18" s="553"/>
      <c r="AR18" s="553"/>
    </row>
    <row r="19" spans="1:44" s="188" customFormat="1" ht="16.5" customHeight="1">
      <c r="A19" s="552" t="s">
        <v>219</v>
      </c>
      <c r="B19" s="420">
        <v>1121368767544</v>
      </c>
      <c r="C19" s="420">
        <v>2240907313105</v>
      </c>
      <c r="D19" s="420">
        <v>3377364995329</v>
      </c>
      <c r="E19" s="420">
        <v>4640526662459</v>
      </c>
      <c r="F19" s="420">
        <v>1317637817771</v>
      </c>
      <c r="G19" s="420">
        <v>2567069394734</v>
      </c>
      <c r="H19" s="420">
        <v>3487007142145</v>
      </c>
      <c r="I19" s="420">
        <v>4851332861236</v>
      </c>
      <c r="J19" s="420">
        <v>1325178286563</v>
      </c>
      <c r="K19" s="420">
        <v>2557602178757</v>
      </c>
      <c r="L19" s="420">
        <v>3858798142515</v>
      </c>
      <c r="M19" s="420">
        <v>5357754757466</v>
      </c>
      <c r="N19" s="420">
        <v>1429830721021</v>
      </c>
      <c r="O19" s="420">
        <v>2902499223606</v>
      </c>
      <c r="P19" s="420">
        <v>4440872124369</v>
      </c>
      <c r="Q19" s="420">
        <v>5786696537262</v>
      </c>
      <c r="R19" s="420">
        <v>1646810792811</v>
      </c>
      <c r="S19" s="420">
        <v>3291132626514</v>
      </c>
      <c r="T19" s="556"/>
      <c r="U19" s="556"/>
      <c r="V19" s="553"/>
      <c r="W19" s="553"/>
      <c r="X19" s="553"/>
      <c r="Y19" s="553"/>
      <c r="Z19" s="553"/>
      <c r="AA19" s="553"/>
      <c r="AB19" s="553"/>
      <c r="AC19" s="553"/>
      <c r="AD19" s="553"/>
      <c r="AE19" s="553"/>
      <c r="AF19" s="553"/>
      <c r="AG19" s="553"/>
      <c r="AH19" s="553"/>
      <c r="AI19" s="553"/>
      <c r="AJ19" s="553"/>
      <c r="AK19" s="553"/>
      <c r="AL19" s="553"/>
      <c r="AM19" s="553"/>
      <c r="AN19" s="553"/>
      <c r="AO19" s="553"/>
      <c r="AP19" s="553"/>
      <c r="AQ19" s="553"/>
      <c r="AR19" s="553"/>
    </row>
    <row r="20" spans="1:44" s="188" customFormat="1" ht="16.5" customHeight="1">
      <c r="A20" s="554" t="s">
        <v>220</v>
      </c>
      <c r="B20" s="420">
        <v>1015673648425</v>
      </c>
      <c r="C20" s="420">
        <v>2057122722160</v>
      </c>
      <c r="D20" s="420">
        <v>3134881049700</v>
      </c>
      <c r="E20" s="420">
        <v>4110302408259</v>
      </c>
      <c r="F20" s="420">
        <v>1020487930279</v>
      </c>
      <c r="G20" s="420">
        <v>2069237718764</v>
      </c>
      <c r="H20" s="420">
        <v>3062735669511</v>
      </c>
      <c r="I20" s="420">
        <v>4056403232585</v>
      </c>
      <c r="J20" s="420">
        <v>1000686690038</v>
      </c>
      <c r="K20" s="420">
        <v>1961836170013</v>
      </c>
      <c r="L20" s="420">
        <v>2929182345983</v>
      </c>
      <c r="M20" s="420">
        <v>4406108596872</v>
      </c>
      <c r="N20" s="420">
        <v>1154919022276</v>
      </c>
      <c r="O20" s="420">
        <v>2324160061948</v>
      </c>
      <c r="P20" s="420">
        <v>3617519215923</v>
      </c>
      <c r="Q20" s="420">
        <v>4921631203941</v>
      </c>
      <c r="R20" s="420">
        <v>1339653218478</v>
      </c>
      <c r="S20" s="420">
        <v>2692520054750</v>
      </c>
      <c r="T20" s="556"/>
      <c r="U20" s="556"/>
      <c r="V20" s="553"/>
      <c r="W20" s="553"/>
      <c r="X20" s="553"/>
      <c r="Y20" s="553"/>
      <c r="Z20" s="553"/>
      <c r="AA20" s="553"/>
      <c r="AB20" s="553"/>
      <c r="AC20" s="553"/>
      <c r="AD20" s="553"/>
      <c r="AE20" s="553"/>
      <c r="AF20" s="553"/>
      <c r="AG20" s="553"/>
      <c r="AH20" s="553"/>
      <c r="AI20" s="553"/>
      <c r="AJ20" s="553"/>
      <c r="AK20" s="553"/>
      <c r="AL20" s="553"/>
      <c r="AM20" s="553"/>
      <c r="AN20" s="553"/>
      <c r="AO20" s="553"/>
      <c r="AP20" s="553"/>
      <c r="AQ20" s="553"/>
      <c r="AR20" s="553"/>
    </row>
    <row r="21" spans="1:44" s="188" customFormat="1" ht="16.5" customHeight="1">
      <c r="A21" s="554" t="s">
        <v>221</v>
      </c>
      <c r="B21" s="420">
        <v>24691514746</v>
      </c>
      <c r="C21" s="420">
        <v>51209271611</v>
      </c>
      <c r="D21" s="420">
        <v>77795875991</v>
      </c>
      <c r="E21" s="420">
        <v>105772451778</v>
      </c>
      <c r="F21" s="420">
        <v>28126258995</v>
      </c>
      <c r="G21" s="420">
        <v>55906883488</v>
      </c>
      <c r="H21" s="420">
        <v>84858770685</v>
      </c>
      <c r="I21" s="420">
        <v>115680025744</v>
      </c>
      <c r="J21" s="420">
        <v>30175732955</v>
      </c>
      <c r="K21" s="420">
        <v>59407711288</v>
      </c>
      <c r="L21" s="420">
        <v>88717697163</v>
      </c>
      <c r="M21" s="420">
        <v>121344666267</v>
      </c>
      <c r="N21" s="420">
        <v>33229415578</v>
      </c>
      <c r="O21" s="420">
        <v>65793123819</v>
      </c>
      <c r="P21" s="420">
        <v>100584328450</v>
      </c>
      <c r="Q21" s="420">
        <v>135442918243</v>
      </c>
      <c r="R21" s="420">
        <v>31592023526</v>
      </c>
      <c r="S21" s="420">
        <v>69418011509</v>
      </c>
      <c r="T21" s="556"/>
      <c r="U21" s="556"/>
      <c r="V21" s="553"/>
      <c r="W21" s="553"/>
      <c r="X21" s="553"/>
      <c r="Y21" s="553"/>
      <c r="Z21" s="553"/>
      <c r="AA21" s="553"/>
      <c r="AB21" s="553"/>
      <c r="AC21" s="553"/>
      <c r="AD21" s="553"/>
      <c r="AE21" s="553"/>
      <c r="AF21" s="553"/>
      <c r="AG21" s="553"/>
      <c r="AH21" s="553"/>
      <c r="AI21" s="553"/>
      <c r="AJ21" s="553"/>
      <c r="AK21" s="553"/>
      <c r="AL21" s="553"/>
      <c r="AM21" s="553"/>
      <c r="AN21" s="553"/>
      <c r="AO21" s="553"/>
      <c r="AP21" s="553"/>
      <c r="AQ21" s="553"/>
      <c r="AR21" s="553"/>
    </row>
    <row r="22" spans="1:44" s="188" customFormat="1" ht="16.5" customHeight="1">
      <c r="A22" s="554" t="s">
        <v>222</v>
      </c>
      <c r="B22" s="420">
        <v>50739440387</v>
      </c>
      <c r="C22" s="420">
        <v>101465662208</v>
      </c>
      <c r="D22" s="420">
        <v>155308272202</v>
      </c>
      <c r="E22" s="420">
        <v>211971679004</v>
      </c>
      <c r="F22" s="420">
        <v>54102571223</v>
      </c>
      <c r="G22" s="420">
        <v>109137569755</v>
      </c>
      <c r="H22" s="420">
        <v>165009538099</v>
      </c>
      <c r="I22" s="420">
        <v>252704714498</v>
      </c>
      <c r="J22" s="420">
        <v>66759877019</v>
      </c>
      <c r="K22" s="420">
        <v>135942352498</v>
      </c>
      <c r="L22" s="420">
        <v>210242027124</v>
      </c>
      <c r="M22" s="420">
        <v>322487025951</v>
      </c>
      <c r="N22" s="420">
        <v>79764927540</v>
      </c>
      <c r="O22" s="420">
        <v>158855601221</v>
      </c>
      <c r="P22" s="420">
        <v>239045953588</v>
      </c>
      <c r="Q22" s="420">
        <v>354983956586</v>
      </c>
      <c r="R22" s="420">
        <v>97680370331</v>
      </c>
      <c r="S22" s="420">
        <v>195326855667</v>
      </c>
      <c r="T22" s="556"/>
      <c r="U22" s="556"/>
      <c r="V22" s="553"/>
      <c r="W22" s="553"/>
      <c r="X22" s="553"/>
      <c r="Y22" s="553"/>
      <c r="Z22" s="553"/>
      <c r="AA22" s="553"/>
      <c r="AB22" s="553"/>
      <c r="AC22" s="553"/>
      <c r="AD22" s="553"/>
      <c r="AE22" s="553"/>
      <c r="AF22" s="553"/>
      <c r="AG22" s="553"/>
      <c r="AH22" s="553"/>
      <c r="AI22" s="553"/>
      <c r="AJ22" s="553"/>
      <c r="AK22" s="553"/>
      <c r="AL22" s="553"/>
      <c r="AM22" s="553"/>
      <c r="AN22" s="553"/>
      <c r="AO22" s="553"/>
      <c r="AP22" s="553"/>
      <c r="AQ22" s="553"/>
      <c r="AR22" s="553"/>
    </row>
    <row r="23" spans="1:44" s="188" customFormat="1" ht="16.5" customHeight="1">
      <c r="A23" s="554" t="s">
        <v>223</v>
      </c>
      <c r="B23" s="420">
        <v>9924384686</v>
      </c>
      <c r="C23" s="420">
        <v>19134720569</v>
      </c>
      <c r="D23" s="420">
        <v>30322553410</v>
      </c>
      <c r="E23" s="420">
        <v>40335849374</v>
      </c>
      <c r="F23" s="420">
        <v>10392388216</v>
      </c>
      <c r="G23" s="420">
        <v>20771372009</v>
      </c>
      <c r="H23" s="420">
        <v>32295049188</v>
      </c>
      <c r="I23" s="420">
        <v>37375046655</v>
      </c>
      <c r="J23" s="420">
        <v>1496347995</v>
      </c>
      <c r="K23" s="420">
        <v>4931190708</v>
      </c>
      <c r="L23" s="420">
        <v>8386323866</v>
      </c>
      <c r="M23" s="420">
        <v>25787888414</v>
      </c>
      <c r="N23" s="420">
        <v>2837209754</v>
      </c>
      <c r="O23" s="420">
        <v>4966755806</v>
      </c>
      <c r="P23" s="420">
        <v>8929541296</v>
      </c>
      <c r="Q23" s="420">
        <v>27839273514</v>
      </c>
      <c r="R23" s="420">
        <v>2072245859</v>
      </c>
      <c r="S23" s="420">
        <v>3991428488</v>
      </c>
      <c r="T23" s="556"/>
      <c r="U23" s="556"/>
      <c r="V23" s="553"/>
      <c r="W23" s="553"/>
      <c r="X23" s="553"/>
      <c r="Y23" s="553"/>
      <c r="Z23" s="553"/>
      <c r="AA23" s="553"/>
      <c r="AB23" s="553"/>
      <c r="AC23" s="553"/>
      <c r="AD23" s="553"/>
      <c r="AE23" s="553"/>
      <c r="AF23" s="553"/>
      <c r="AG23" s="553"/>
      <c r="AH23" s="553"/>
      <c r="AI23" s="553"/>
      <c r="AJ23" s="553"/>
      <c r="AK23" s="553"/>
      <c r="AL23" s="553"/>
      <c r="AM23" s="553"/>
      <c r="AN23" s="553"/>
      <c r="AO23" s="553"/>
      <c r="AP23" s="553"/>
      <c r="AQ23" s="553"/>
      <c r="AR23" s="553"/>
    </row>
    <row r="24" spans="1:44" s="188" customFormat="1" ht="16.5" customHeight="1">
      <c r="A24" s="554" t="s">
        <v>224</v>
      </c>
      <c r="B24" s="420">
        <v>45521507453</v>
      </c>
      <c r="C24" s="420">
        <v>84250048645</v>
      </c>
      <c r="D24" s="420">
        <v>124306972577</v>
      </c>
      <c r="E24" s="420">
        <v>212847880748</v>
      </c>
      <c r="F24" s="420">
        <v>52163629455</v>
      </c>
      <c r="G24" s="420">
        <v>95857228493</v>
      </c>
      <c r="H24" s="420">
        <v>-159858202955</v>
      </c>
      <c r="I24" s="420">
        <v>133765902264</v>
      </c>
      <c r="J24" s="420">
        <v>7070809730</v>
      </c>
      <c r="K24" s="420">
        <v>-25274856819</v>
      </c>
      <c r="L24" s="420">
        <v>-44658737253</v>
      </c>
      <c r="M24" s="420">
        <v>38558699672</v>
      </c>
      <c r="N24" s="420">
        <v>-12061506682</v>
      </c>
      <c r="O24" s="420">
        <v>22199929092</v>
      </c>
      <c r="P24" s="420">
        <v>16263663621</v>
      </c>
      <c r="Q24" s="420">
        <v>-276517841187</v>
      </c>
      <c r="R24" s="420">
        <v>33198427852</v>
      </c>
      <c r="S24" s="420">
        <v>-493660569</v>
      </c>
      <c r="T24" s="556"/>
      <c r="U24" s="556"/>
      <c r="V24" s="553"/>
      <c r="W24" s="553"/>
      <c r="X24" s="553"/>
      <c r="Y24" s="553"/>
      <c r="Z24" s="553"/>
      <c r="AA24" s="553"/>
      <c r="AB24" s="553"/>
      <c r="AC24" s="553"/>
      <c r="AD24" s="553"/>
      <c r="AE24" s="553"/>
      <c r="AF24" s="553"/>
      <c r="AG24" s="553"/>
      <c r="AH24" s="553"/>
      <c r="AI24" s="553"/>
      <c r="AJ24" s="553"/>
      <c r="AK24" s="553"/>
      <c r="AL24" s="553"/>
      <c r="AM24" s="553"/>
      <c r="AN24" s="553"/>
      <c r="AO24" s="553"/>
      <c r="AP24" s="553"/>
      <c r="AQ24" s="553"/>
      <c r="AR24" s="553"/>
    </row>
    <row r="25" spans="1:44" s="188" customFormat="1" ht="16.5" customHeight="1">
      <c r="A25" s="554" t="s">
        <v>225</v>
      </c>
      <c r="B25" s="420">
        <v>-151836176248</v>
      </c>
      <c r="C25" s="420">
        <v>-328327367727</v>
      </c>
      <c r="D25" s="420">
        <v>-534184709330</v>
      </c>
      <c r="E25" s="420">
        <v>-574090970241</v>
      </c>
      <c r="F25" s="420">
        <v>10843563204</v>
      </c>
      <c r="G25" s="420">
        <v>-70003473242</v>
      </c>
      <c r="H25" s="420">
        <v>-127940110418</v>
      </c>
      <c r="I25" s="420">
        <v>-341304283149</v>
      </c>
      <c r="J25" s="420">
        <v>55502127861</v>
      </c>
      <c r="K25" s="420">
        <v>87803371332</v>
      </c>
      <c r="L25" s="420">
        <v>148098316099</v>
      </c>
      <c r="M25" s="420">
        <v>-261048767960</v>
      </c>
      <c r="N25" s="420">
        <v>-16112330507</v>
      </c>
      <c r="O25" s="420">
        <v>-50907501846</v>
      </c>
      <c r="P25" s="420">
        <v>-115353064696</v>
      </c>
      <c r="Q25" s="420">
        <v>-174512072194</v>
      </c>
      <c r="R25" s="420">
        <v>-98176508005</v>
      </c>
      <c r="S25" s="420">
        <v>-158759610879</v>
      </c>
      <c r="T25" s="556"/>
      <c r="U25" s="556"/>
      <c r="V25" s="553"/>
      <c r="W25" s="553"/>
      <c r="X25" s="553"/>
      <c r="Y25" s="553"/>
      <c r="Z25" s="553"/>
      <c r="AA25" s="553"/>
      <c r="AB25" s="553"/>
      <c r="AC25" s="553"/>
      <c r="AD25" s="553"/>
      <c r="AE25" s="553"/>
      <c r="AF25" s="553"/>
      <c r="AG25" s="553"/>
      <c r="AH25" s="553"/>
      <c r="AI25" s="553"/>
      <c r="AJ25" s="553"/>
      <c r="AK25" s="553"/>
      <c r="AL25" s="553"/>
      <c r="AM25" s="553"/>
      <c r="AN25" s="553"/>
      <c r="AO25" s="553"/>
      <c r="AP25" s="553"/>
      <c r="AQ25" s="553"/>
      <c r="AR25" s="553"/>
    </row>
    <row r="26" spans="1:44" s="188" customFormat="1" ht="16.5" customHeight="1">
      <c r="A26" s="554" t="s">
        <v>216</v>
      </c>
      <c r="B26" s="420">
        <v>140357711453</v>
      </c>
      <c r="C26" s="420">
        <v>284731125352</v>
      </c>
      <c r="D26" s="420">
        <v>434091750899</v>
      </c>
      <c r="E26" s="420">
        <v>596842053060</v>
      </c>
      <c r="F26" s="420">
        <v>161668989855</v>
      </c>
      <c r="G26" s="420">
        <v>327623314890</v>
      </c>
      <c r="H26" s="420">
        <v>494170819977</v>
      </c>
      <c r="I26" s="420">
        <v>678427034294</v>
      </c>
      <c r="J26" s="420">
        <v>192769401962</v>
      </c>
      <c r="K26" s="420">
        <v>391320776080</v>
      </c>
      <c r="L26" s="420">
        <v>605702577671</v>
      </c>
      <c r="M26" s="420">
        <v>820000607699</v>
      </c>
      <c r="N26" s="420">
        <v>218386346435</v>
      </c>
      <c r="O26" s="420">
        <v>439295710198</v>
      </c>
      <c r="P26" s="420">
        <v>667926814681</v>
      </c>
      <c r="Q26" s="420">
        <v>924587290639</v>
      </c>
      <c r="R26" s="420">
        <v>262934435915</v>
      </c>
      <c r="S26" s="420">
        <v>532715941396</v>
      </c>
      <c r="T26" s="556"/>
      <c r="U26" s="556"/>
      <c r="V26" s="553"/>
      <c r="W26" s="553"/>
      <c r="X26" s="553"/>
      <c r="Y26" s="553"/>
      <c r="Z26" s="553"/>
      <c r="AA26" s="553"/>
      <c r="AB26" s="553"/>
      <c r="AC26" s="553"/>
      <c r="AD26" s="553"/>
      <c r="AE26" s="553"/>
      <c r="AF26" s="553"/>
      <c r="AG26" s="553"/>
      <c r="AH26" s="553"/>
      <c r="AI26" s="553"/>
      <c r="AJ26" s="553"/>
      <c r="AK26" s="553"/>
      <c r="AL26" s="553"/>
      <c r="AM26" s="553"/>
      <c r="AN26" s="553"/>
      <c r="AO26" s="553"/>
      <c r="AP26" s="553"/>
      <c r="AQ26" s="553"/>
      <c r="AR26" s="553"/>
    </row>
    <row r="27" spans="1:44" s="188" customFormat="1" ht="16.5" customHeight="1">
      <c r="A27" s="554" t="s">
        <v>226</v>
      </c>
      <c r="B27" s="420">
        <v>-13703263358</v>
      </c>
      <c r="C27" s="420">
        <v>-28678869713</v>
      </c>
      <c r="D27" s="420">
        <v>-45156770120</v>
      </c>
      <c r="E27" s="420">
        <v>-63454689523</v>
      </c>
      <c r="F27" s="420">
        <v>-20147513456</v>
      </c>
      <c r="G27" s="420">
        <v>-41461219423</v>
      </c>
      <c r="H27" s="420">
        <v>-64264391942</v>
      </c>
      <c r="I27" s="420">
        <v>-81718811655</v>
      </c>
      <c r="J27" s="420">
        <v>-29282700997</v>
      </c>
      <c r="K27" s="420">
        <v>-58364536343</v>
      </c>
      <c r="L27" s="420">
        <v>-86872408138</v>
      </c>
      <c r="M27" s="420">
        <v>-115483959449</v>
      </c>
      <c r="N27" s="420">
        <v>-31132363373</v>
      </c>
      <c r="O27" s="420">
        <v>-61864456632</v>
      </c>
      <c r="P27" s="420">
        <v>-94044328494</v>
      </c>
      <c r="Q27" s="420">
        <v>-126758192280</v>
      </c>
      <c r="R27" s="420">
        <v>-22143421145</v>
      </c>
      <c r="S27" s="420">
        <v>-43586393848</v>
      </c>
      <c r="T27" s="556"/>
      <c r="U27" s="556"/>
      <c r="V27" s="553"/>
      <c r="W27" s="553"/>
      <c r="X27" s="553"/>
      <c r="Y27" s="553"/>
      <c r="Z27" s="553"/>
      <c r="AA27" s="553"/>
      <c r="AB27" s="553"/>
      <c r="AC27" s="553"/>
      <c r="AD27" s="553"/>
      <c r="AE27" s="553"/>
      <c r="AF27" s="553"/>
      <c r="AG27" s="553"/>
      <c r="AH27" s="553"/>
      <c r="AI27" s="553"/>
      <c r="AJ27" s="553"/>
      <c r="AK27" s="553"/>
      <c r="AL27" s="553"/>
      <c r="AM27" s="553"/>
      <c r="AN27" s="553"/>
      <c r="AO27" s="553"/>
      <c r="AP27" s="553"/>
      <c r="AQ27" s="553"/>
      <c r="AR27" s="553"/>
    </row>
    <row r="28" spans="1:44" s="188" customFormat="1" ht="16.5" customHeight="1">
      <c r="A28" s="552" t="s">
        <v>227</v>
      </c>
      <c r="B28" s="420">
        <v>300977258871</v>
      </c>
      <c r="C28" s="420">
        <v>609030579222</v>
      </c>
      <c r="D28" s="420">
        <v>1059544661569</v>
      </c>
      <c r="E28" s="420">
        <v>1378270040931</v>
      </c>
      <c r="F28" s="420">
        <v>293614335289</v>
      </c>
      <c r="G28" s="420">
        <v>610191264179</v>
      </c>
      <c r="H28" s="420">
        <v>942441738574</v>
      </c>
      <c r="I28" s="420">
        <v>1350157565059</v>
      </c>
      <c r="J28" s="420">
        <v>291941650416</v>
      </c>
      <c r="K28" s="420">
        <v>601571494120</v>
      </c>
      <c r="L28" s="420">
        <v>950092997181</v>
      </c>
      <c r="M28" s="420">
        <v>1349838909014</v>
      </c>
      <c r="N28" s="420">
        <v>376172364293</v>
      </c>
      <c r="O28" s="420">
        <v>745777173904</v>
      </c>
      <c r="P28" s="420">
        <v>1168514516693</v>
      </c>
      <c r="Q28" s="420">
        <v>1559549253916</v>
      </c>
      <c r="R28" s="420">
        <v>365124783091</v>
      </c>
      <c r="S28" s="420">
        <v>755575063561</v>
      </c>
      <c r="T28" s="556"/>
      <c r="U28" s="556"/>
      <c r="V28" s="553"/>
      <c r="W28" s="553"/>
      <c r="X28" s="553"/>
      <c r="Y28" s="553"/>
      <c r="Z28" s="553"/>
      <c r="AA28" s="553"/>
      <c r="AB28" s="553"/>
      <c r="AC28" s="553"/>
      <c r="AD28" s="553"/>
      <c r="AE28" s="553"/>
      <c r="AF28" s="553"/>
      <c r="AG28" s="553"/>
      <c r="AH28" s="553"/>
      <c r="AI28" s="553"/>
      <c r="AJ28" s="553"/>
      <c r="AK28" s="553"/>
      <c r="AL28" s="553"/>
      <c r="AM28" s="553"/>
      <c r="AN28" s="553"/>
      <c r="AO28" s="553"/>
      <c r="AP28" s="553"/>
      <c r="AQ28" s="553"/>
      <c r="AR28" s="553"/>
    </row>
    <row r="29" spans="1:44" s="188" customFormat="1" ht="16.5" customHeight="1">
      <c r="A29" s="554" t="s">
        <v>220</v>
      </c>
      <c r="B29" s="420">
        <v>218484151619</v>
      </c>
      <c r="C29" s="420">
        <v>428311123099</v>
      </c>
      <c r="D29" s="420">
        <v>771583390365</v>
      </c>
      <c r="E29" s="420">
        <v>1023394469714</v>
      </c>
      <c r="F29" s="420">
        <v>209687915175</v>
      </c>
      <c r="G29" s="420">
        <v>449402045727</v>
      </c>
      <c r="H29" s="420">
        <v>698137489543</v>
      </c>
      <c r="I29" s="420">
        <v>971663918857</v>
      </c>
      <c r="J29" s="420">
        <v>205624115881</v>
      </c>
      <c r="K29" s="420">
        <v>415150457260</v>
      </c>
      <c r="L29" s="420">
        <v>670881634169</v>
      </c>
      <c r="M29" s="420">
        <v>945373199270</v>
      </c>
      <c r="N29" s="420">
        <v>228362227855</v>
      </c>
      <c r="O29" s="420">
        <v>491912070492</v>
      </c>
      <c r="P29" s="420">
        <v>790894342629</v>
      </c>
      <c r="Q29" s="420">
        <v>1036451856168</v>
      </c>
      <c r="R29" s="420">
        <v>247874191302</v>
      </c>
      <c r="S29" s="420">
        <v>514140756345</v>
      </c>
      <c r="T29" s="556"/>
      <c r="U29" s="556"/>
      <c r="V29" s="553"/>
      <c r="W29" s="553"/>
      <c r="X29" s="553"/>
      <c r="Y29" s="553"/>
      <c r="Z29" s="553"/>
      <c r="AA29" s="553"/>
      <c r="AB29" s="553"/>
      <c r="AC29" s="553"/>
      <c r="AD29" s="553"/>
      <c r="AE29" s="553"/>
      <c r="AF29" s="553"/>
      <c r="AG29" s="553"/>
      <c r="AH29" s="553"/>
      <c r="AI29" s="553"/>
      <c r="AJ29" s="553"/>
      <c r="AK29" s="553"/>
      <c r="AL29" s="553"/>
      <c r="AM29" s="553"/>
      <c r="AN29" s="553"/>
      <c r="AO29" s="553"/>
      <c r="AP29" s="553"/>
      <c r="AQ29" s="553"/>
      <c r="AR29" s="553"/>
    </row>
    <row r="30" spans="1:44" s="188" customFormat="1" ht="16.5" customHeight="1">
      <c r="A30" s="554" t="s">
        <v>221</v>
      </c>
      <c r="B30" s="420">
        <v>13015259052</v>
      </c>
      <c r="C30" s="420">
        <v>27037052655</v>
      </c>
      <c r="D30" s="420">
        <v>42010780263</v>
      </c>
      <c r="E30" s="420">
        <v>58859314332</v>
      </c>
      <c r="F30" s="420">
        <v>16299813343</v>
      </c>
      <c r="G30" s="420">
        <v>32569738907</v>
      </c>
      <c r="H30" s="420">
        <v>49600337339</v>
      </c>
      <c r="I30" s="420">
        <v>66116459874</v>
      </c>
      <c r="J30" s="420">
        <v>17114638824</v>
      </c>
      <c r="K30" s="420">
        <v>34181102007</v>
      </c>
      <c r="L30" s="420">
        <v>49691477242</v>
      </c>
      <c r="M30" s="420">
        <v>67026708511</v>
      </c>
      <c r="N30" s="420">
        <v>16498045831</v>
      </c>
      <c r="O30" s="420">
        <v>33004056040</v>
      </c>
      <c r="P30" s="420">
        <v>49783854570</v>
      </c>
      <c r="Q30" s="420">
        <v>67884953264</v>
      </c>
      <c r="R30" s="420">
        <v>17847846375</v>
      </c>
      <c r="S30" s="420">
        <v>35226871979</v>
      </c>
      <c r="T30" s="556"/>
      <c r="U30" s="556"/>
      <c r="V30" s="553"/>
      <c r="W30" s="553"/>
      <c r="X30" s="553"/>
      <c r="Y30" s="553"/>
      <c r="Z30" s="553"/>
      <c r="AA30" s="553"/>
      <c r="AB30" s="553"/>
      <c r="AC30" s="553"/>
      <c r="AD30" s="553"/>
      <c r="AE30" s="553"/>
      <c r="AF30" s="553"/>
      <c r="AG30" s="553"/>
      <c r="AH30" s="553"/>
      <c r="AI30" s="553"/>
      <c r="AJ30" s="553"/>
      <c r="AK30" s="553"/>
      <c r="AL30" s="553"/>
      <c r="AM30" s="553"/>
      <c r="AN30" s="553"/>
      <c r="AO30" s="553"/>
      <c r="AP30" s="553"/>
      <c r="AQ30" s="553"/>
      <c r="AR30" s="553"/>
    </row>
    <row r="31" spans="1:44" s="188" customFormat="1" ht="16.5" customHeight="1">
      <c r="A31" s="554" t="s">
        <v>228</v>
      </c>
      <c r="B31" s="420">
        <v>0</v>
      </c>
      <c r="C31" s="420">
        <v>0</v>
      </c>
      <c r="D31" s="420">
        <v>0</v>
      </c>
      <c r="E31" s="420">
        <v>0</v>
      </c>
      <c r="F31" s="420">
        <v>0</v>
      </c>
      <c r="G31" s="420">
        <v>0</v>
      </c>
      <c r="H31" s="420">
        <v>0</v>
      </c>
      <c r="I31" s="420">
        <v>0</v>
      </c>
      <c r="J31" s="420">
        <v>11910813</v>
      </c>
      <c r="K31" s="420">
        <v>20948188</v>
      </c>
      <c r="L31" s="420">
        <v>10560556</v>
      </c>
      <c r="M31" s="420">
        <v>1858531136</v>
      </c>
      <c r="N31" s="420">
        <v>-985061378</v>
      </c>
      <c r="O31" s="420">
        <v>-910277941</v>
      </c>
      <c r="P31" s="420">
        <v>-829458075</v>
      </c>
      <c r="Q31" s="420">
        <v>75821128</v>
      </c>
      <c r="R31" s="420">
        <v>-833901411</v>
      </c>
      <c r="S31" s="420">
        <v>-1126681263</v>
      </c>
      <c r="T31" s="556"/>
      <c r="U31" s="556"/>
      <c r="V31" s="553"/>
      <c r="W31" s="553"/>
      <c r="X31" s="553"/>
      <c r="Y31" s="553"/>
      <c r="Z31" s="553"/>
      <c r="AA31" s="553"/>
      <c r="AB31" s="553"/>
      <c r="AC31" s="553"/>
      <c r="AD31" s="553"/>
      <c r="AE31" s="553"/>
      <c r="AF31" s="553"/>
      <c r="AG31" s="553"/>
      <c r="AH31" s="553"/>
      <c r="AI31" s="553"/>
      <c r="AJ31" s="553"/>
      <c r="AK31" s="553"/>
      <c r="AL31" s="553"/>
      <c r="AM31" s="553"/>
      <c r="AN31" s="553"/>
      <c r="AO31" s="553"/>
      <c r="AP31" s="553"/>
      <c r="AQ31" s="553"/>
      <c r="AR31" s="553"/>
    </row>
    <row r="32" spans="1:44" s="188" customFormat="1" ht="16.5" customHeight="1">
      <c r="A32" s="554" t="s">
        <v>229</v>
      </c>
      <c r="B32" s="420">
        <v>11028755695</v>
      </c>
      <c r="C32" s="420">
        <v>33190285009</v>
      </c>
      <c r="D32" s="420">
        <v>64412857472</v>
      </c>
      <c r="E32" s="420">
        <v>52805953767</v>
      </c>
      <c r="F32" s="420">
        <v>3985872296</v>
      </c>
      <c r="G32" s="420">
        <v>-1471130878</v>
      </c>
      <c r="H32" s="420">
        <v>-206993185</v>
      </c>
      <c r="I32" s="420">
        <v>39961823406</v>
      </c>
      <c r="J32" s="420">
        <v>-5594727072</v>
      </c>
      <c r="K32" s="420">
        <v>4472149967</v>
      </c>
      <c r="L32" s="420">
        <v>10929236316</v>
      </c>
      <c r="M32" s="420">
        <v>19150224840</v>
      </c>
      <c r="N32" s="420">
        <v>33270400316</v>
      </c>
      <c r="O32" s="420">
        <v>43894608182</v>
      </c>
      <c r="P32" s="420">
        <v>73997965707</v>
      </c>
      <c r="Q32" s="420">
        <v>103735273961</v>
      </c>
      <c r="R32" s="420">
        <v>15563102305</v>
      </c>
      <c r="S32" s="420">
        <v>45569455721</v>
      </c>
      <c r="T32" s="556"/>
      <c r="U32" s="556"/>
      <c r="V32" s="553"/>
      <c r="W32" s="553"/>
      <c r="X32" s="553"/>
      <c r="Y32" s="553"/>
      <c r="Z32" s="553"/>
      <c r="AA32" s="553"/>
      <c r="AB32" s="553"/>
      <c r="AC32" s="553"/>
      <c r="AD32" s="553"/>
      <c r="AE32" s="553"/>
      <c r="AF32" s="553"/>
      <c r="AG32" s="553"/>
      <c r="AH32" s="553"/>
      <c r="AI32" s="553"/>
      <c r="AJ32" s="553"/>
      <c r="AK32" s="553"/>
      <c r="AL32" s="553"/>
      <c r="AM32" s="553"/>
      <c r="AN32" s="553"/>
      <c r="AO32" s="553"/>
      <c r="AP32" s="553"/>
      <c r="AQ32" s="553"/>
      <c r="AR32" s="553"/>
    </row>
    <row r="33" spans="1:44" s="188" customFormat="1" ht="16.5" customHeight="1">
      <c r="A33" s="554" t="s">
        <v>230</v>
      </c>
      <c r="B33" s="420">
        <v>27953538925</v>
      </c>
      <c r="C33" s="420">
        <v>57443810052</v>
      </c>
      <c r="D33" s="420">
        <v>84181591801</v>
      </c>
      <c r="E33" s="420">
        <v>109362593826</v>
      </c>
      <c r="F33" s="420">
        <v>25882148433</v>
      </c>
      <c r="G33" s="420">
        <v>52941604377</v>
      </c>
      <c r="H33" s="420">
        <v>78616734805</v>
      </c>
      <c r="I33" s="420">
        <v>109041485422</v>
      </c>
      <c r="J33" s="420">
        <v>22074481564</v>
      </c>
      <c r="K33" s="420">
        <v>48095934264</v>
      </c>
      <c r="L33" s="420">
        <v>73637226700</v>
      </c>
      <c r="M33" s="420">
        <v>112910329943</v>
      </c>
      <c r="N33" s="420">
        <v>21993455485</v>
      </c>
      <c r="O33" s="420">
        <v>45861177884</v>
      </c>
      <c r="P33" s="420">
        <v>70098085292</v>
      </c>
      <c r="Q33" s="420">
        <v>104046850698</v>
      </c>
      <c r="R33" s="420">
        <v>23059176326</v>
      </c>
      <c r="S33" s="420">
        <v>45623883400</v>
      </c>
      <c r="T33" s="556"/>
      <c r="U33" s="556"/>
      <c r="V33" s="553"/>
      <c r="W33" s="553"/>
      <c r="X33" s="553"/>
      <c r="Y33" s="553"/>
      <c r="Z33" s="553"/>
      <c r="AA33" s="553"/>
      <c r="AB33" s="553"/>
      <c r="AC33" s="553"/>
      <c r="AD33" s="553"/>
      <c r="AE33" s="553"/>
      <c r="AF33" s="553"/>
      <c r="AG33" s="553"/>
      <c r="AH33" s="553"/>
      <c r="AI33" s="553"/>
      <c r="AJ33" s="553"/>
      <c r="AK33" s="553"/>
      <c r="AL33" s="553"/>
      <c r="AM33" s="553"/>
      <c r="AN33" s="553"/>
      <c r="AO33" s="553"/>
      <c r="AP33" s="553"/>
      <c r="AQ33" s="553"/>
      <c r="AR33" s="553"/>
    </row>
    <row r="34" spans="1:44" s="188" customFormat="1" ht="16.5" customHeight="1">
      <c r="A34" s="554" t="s">
        <v>231</v>
      </c>
      <c r="B34" s="420">
        <v>21348113904</v>
      </c>
      <c r="C34" s="420">
        <v>44156042406</v>
      </c>
      <c r="D34" s="420">
        <v>68767932283</v>
      </c>
      <c r="E34" s="420">
        <v>95595928933</v>
      </c>
      <c r="F34" s="420">
        <v>28190034750</v>
      </c>
      <c r="G34" s="420">
        <v>57351046513</v>
      </c>
      <c r="H34" s="420">
        <v>86695086376</v>
      </c>
      <c r="I34" s="420">
        <v>118590775076</v>
      </c>
      <c r="J34" s="420">
        <v>33216196954</v>
      </c>
      <c r="K34" s="420">
        <v>69297120285</v>
      </c>
      <c r="L34" s="420">
        <v>103411581160</v>
      </c>
      <c r="M34" s="420">
        <v>140102959277</v>
      </c>
      <c r="N34" s="420">
        <v>52770627482</v>
      </c>
      <c r="O34" s="420">
        <v>94293799379</v>
      </c>
      <c r="P34" s="420">
        <v>133350034966</v>
      </c>
      <c r="Q34" s="420">
        <v>173081741376</v>
      </c>
      <c r="R34" s="420">
        <v>39646657240</v>
      </c>
      <c r="S34" s="420">
        <v>79901706849</v>
      </c>
      <c r="T34" s="556"/>
      <c r="U34" s="556"/>
      <c r="V34" s="553"/>
      <c r="W34" s="553"/>
      <c r="X34" s="553"/>
      <c r="Y34" s="553"/>
      <c r="Z34" s="553"/>
      <c r="AA34" s="553"/>
      <c r="AB34" s="553"/>
      <c r="AC34" s="553"/>
      <c r="AD34" s="553"/>
      <c r="AE34" s="553"/>
      <c r="AF34" s="553"/>
      <c r="AG34" s="553"/>
      <c r="AH34" s="553"/>
      <c r="AI34" s="553"/>
      <c r="AJ34" s="553"/>
      <c r="AK34" s="553"/>
      <c r="AL34" s="553"/>
      <c r="AM34" s="553"/>
      <c r="AN34" s="553"/>
      <c r="AO34" s="553"/>
      <c r="AP34" s="553"/>
      <c r="AQ34" s="553"/>
      <c r="AR34" s="553"/>
    </row>
    <row r="35" spans="1:44" s="188" customFormat="1" ht="16.5" customHeight="1">
      <c r="A35" s="554" t="s">
        <v>232</v>
      </c>
      <c r="B35" s="420">
        <v>9147439676</v>
      </c>
      <c r="C35" s="420">
        <v>18892266001</v>
      </c>
      <c r="D35" s="420">
        <v>28588109385</v>
      </c>
      <c r="E35" s="420">
        <v>38251780359</v>
      </c>
      <c r="F35" s="420">
        <v>9568551292</v>
      </c>
      <c r="G35" s="420">
        <v>19397959533</v>
      </c>
      <c r="H35" s="420">
        <v>29599083696</v>
      </c>
      <c r="I35" s="420">
        <v>44783102424</v>
      </c>
      <c r="J35" s="420">
        <v>19495033452</v>
      </c>
      <c r="K35" s="420">
        <v>30353782149</v>
      </c>
      <c r="L35" s="420">
        <v>41531281038</v>
      </c>
      <c r="M35" s="420">
        <v>63416956037</v>
      </c>
      <c r="N35" s="420">
        <v>24262668702</v>
      </c>
      <c r="O35" s="420">
        <v>37721739868</v>
      </c>
      <c r="P35" s="420">
        <v>51219691604</v>
      </c>
      <c r="Q35" s="420">
        <v>74272757321</v>
      </c>
      <c r="R35" s="420">
        <v>21967710954</v>
      </c>
      <c r="S35" s="420">
        <v>36239070530</v>
      </c>
      <c r="T35" s="556"/>
      <c r="U35" s="556"/>
      <c r="V35" s="553"/>
      <c r="W35" s="553"/>
      <c r="X35" s="553"/>
      <c r="Y35" s="553"/>
      <c r="Z35" s="553"/>
      <c r="AA35" s="553"/>
      <c r="AB35" s="553"/>
      <c r="AC35" s="553"/>
      <c r="AD35" s="553"/>
      <c r="AE35" s="553"/>
      <c r="AF35" s="553"/>
      <c r="AG35" s="553"/>
      <c r="AH35" s="553"/>
      <c r="AI35" s="553"/>
      <c r="AJ35" s="553"/>
      <c r="AK35" s="553"/>
      <c r="AL35" s="553"/>
      <c r="AM35" s="553"/>
      <c r="AN35" s="553"/>
      <c r="AO35" s="553"/>
      <c r="AP35" s="553"/>
      <c r="AQ35" s="553"/>
      <c r="AR35" s="553"/>
    </row>
    <row r="36" spans="1:44" s="188" customFormat="1" ht="15.75" customHeight="1">
      <c r="A36" s="555" t="s">
        <v>233</v>
      </c>
      <c r="B36" s="420">
        <v>80902319486</v>
      </c>
      <c r="C36" s="420">
        <v>148909411823</v>
      </c>
      <c r="D36" s="420">
        <v>308813265331</v>
      </c>
      <c r="E36" s="420">
        <v>389699244244</v>
      </c>
      <c r="F36" s="420">
        <v>100425100547</v>
      </c>
      <c r="G36" s="420">
        <v>187846294797</v>
      </c>
      <c r="H36" s="420">
        <v>236881964544</v>
      </c>
      <c r="I36" s="420">
        <v>326403643802</v>
      </c>
      <c r="J36" s="420">
        <v>56941347091</v>
      </c>
      <c r="K36" s="420">
        <v>122370713878</v>
      </c>
      <c r="L36" s="420">
        <v>188322601691</v>
      </c>
      <c r="M36" s="420">
        <v>263440124458</v>
      </c>
      <c r="N36" s="420">
        <v>116115269390</v>
      </c>
      <c r="O36" s="420">
        <v>239693259623</v>
      </c>
      <c r="P36" s="420">
        <v>359761349802</v>
      </c>
      <c r="Q36" s="420">
        <v>432070341775</v>
      </c>
      <c r="R36" s="420">
        <v>113049663356</v>
      </c>
      <c r="S36" s="420">
        <v>223925628081</v>
      </c>
      <c r="T36" s="556"/>
      <c r="U36" s="556"/>
      <c r="V36" s="553"/>
      <c r="W36" s="553"/>
      <c r="X36" s="553"/>
      <c r="Y36" s="553"/>
      <c r="Z36" s="553"/>
      <c r="AA36" s="553"/>
      <c r="AB36" s="553"/>
      <c r="AC36" s="553"/>
      <c r="AD36" s="553"/>
      <c r="AE36" s="553"/>
      <c r="AF36" s="553"/>
      <c r="AG36" s="553"/>
      <c r="AH36" s="553"/>
      <c r="AI36" s="553"/>
      <c r="AJ36" s="553"/>
      <c r="AK36" s="553"/>
      <c r="AL36" s="553"/>
      <c r="AM36" s="553"/>
      <c r="AN36" s="553"/>
      <c r="AO36" s="553"/>
      <c r="AP36" s="553"/>
      <c r="AQ36" s="553"/>
      <c r="AR36" s="553"/>
    </row>
    <row r="37" spans="1:44" s="188" customFormat="1" ht="16.5" customHeight="1">
      <c r="A37" s="552" t="s">
        <v>234</v>
      </c>
      <c r="B37" s="420">
        <v>31124814156</v>
      </c>
      <c r="C37" s="420">
        <v>62556936962</v>
      </c>
      <c r="D37" s="420">
        <v>88610611472</v>
      </c>
      <c r="E37" s="420">
        <v>149146348960</v>
      </c>
      <c r="F37" s="420">
        <v>69675838993</v>
      </c>
      <c r="G37" s="420">
        <v>116505679128</v>
      </c>
      <c r="H37" s="420">
        <v>135214516901</v>
      </c>
      <c r="I37" s="420">
        <v>165662887900</v>
      </c>
      <c r="J37" s="420">
        <v>43374029267</v>
      </c>
      <c r="K37" s="420">
        <v>79618398917</v>
      </c>
      <c r="L37" s="420">
        <v>111999466170</v>
      </c>
      <c r="M37" s="420">
        <v>147453180549</v>
      </c>
      <c r="N37" s="420">
        <v>68466163946</v>
      </c>
      <c r="O37" s="420">
        <v>128833173096</v>
      </c>
      <c r="P37" s="420">
        <v>189697362164</v>
      </c>
      <c r="Q37" s="420">
        <v>247803333827</v>
      </c>
      <c r="R37" s="420">
        <v>69921647836</v>
      </c>
      <c r="S37" s="420">
        <v>127288421803</v>
      </c>
      <c r="T37" s="556"/>
      <c r="U37" s="556"/>
      <c r="V37" s="553"/>
      <c r="W37" s="553"/>
      <c r="X37" s="553"/>
      <c r="Y37" s="553"/>
      <c r="Z37" s="553"/>
      <c r="AA37" s="553"/>
      <c r="AB37" s="553"/>
      <c r="AC37" s="553"/>
      <c r="AD37" s="553"/>
      <c r="AE37" s="553"/>
      <c r="AF37" s="553"/>
      <c r="AG37" s="553"/>
      <c r="AH37" s="553"/>
      <c r="AI37" s="553"/>
      <c r="AJ37" s="553"/>
      <c r="AK37" s="553"/>
      <c r="AL37" s="553"/>
      <c r="AM37" s="553"/>
      <c r="AN37" s="553"/>
      <c r="AO37" s="553"/>
      <c r="AP37" s="553"/>
      <c r="AQ37" s="553"/>
      <c r="AR37" s="553"/>
    </row>
    <row r="38" spans="1:44" s="188" customFormat="1" ht="16.5" customHeight="1">
      <c r="A38" s="554" t="s">
        <v>235</v>
      </c>
      <c r="B38" s="420">
        <v>46809306010</v>
      </c>
      <c r="C38" s="420">
        <v>111180162322</v>
      </c>
      <c r="D38" s="420">
        <v>160855886851</v>
      </c>
      <c r="E38" s="420">
        <v>217490360747</v>
      </c>
      <c r="F38" s="420">
        <v>61272226604</v>
      </c>
      <c r="G38" s="420">
        <v>119653683572</v>
      </c>
      <c r="H38" s="420">
        <v>157426105490</v>
      </c>
      <c r="I38" s="420">
        <v>211110732591</v>
      </c>
      <c r="J38" s="420">
        <v>49901847347</v>
      </c>
      <c r="K38" s="420">
        <v>90027428022</v>
      </c>
      <c r="L38" s="420">
        <v>130471667201</v>
      </c>
      <c r="M38" s="420">
        <v>244070654637</v>
      </c>
      <c r="N38" s="420">
        <v>81985932169</v>
      </c>
      <c r="O38" s="420">
        <v>155638948592</v>
      </c>
      <c r="P38" s="420">
        <v>234663129285</v>
      </c>
      <c r="Q38" s="420">
        <v>319670337685</v>
      </c>
      <c r="R38" s="420">
        <v>97492066888</v>
      </c>
      <c r="S38" s="420">
        <v>190027762926</v>
      </c>
      <c r="T38" s="556"/>
      <c r="U38" s="556"/>
      <c r="V38" s="553"/>
      <c r="W38" s="553"/>
      <c r="X38" s="553"/>
      <c r="Y38" s="553"/>
      <c r="Z38" s="553"/>
      <c r="AA38" s="553"/>
      <c r="AB38" s="553"/>
      <c r="AC38" s="553"/>
      <c r="AD38" s="553"/>
      <c r="AE38" s="553"/>
      <c r="AF38" s="553"/>
      <c r="AG38" s="553"/>
      <c r="AH38" s="553"/>
      <c r="AI38" s="553"/>
      <c r="AJ38" s="553"/>
      <c r="AK38" s="553"/>
      <c r="AL38" s="553"/>
      <c r="AM38" s="553"/>
      <c r="AN38" s="553"/>
      <c r="AO38" s="553"/>
      <c r="AP38" s="553"/>
      <c r="AQ38" s="553"/>
      <c r="AR38" s="553"/>
    </row>
    <row r="39" spans="1:44" s="188" customFormat="1" ht="16.5" customHeight="1">
      <c r="A39" s="554" t="s">
        <v>221</v>
      </c>
      <c r="B39" s="420">
        <v>619402832</v>
      </c>
      <c r="C39" s="420">
        <v>1386527153</v>
      </c>
      <c r="D39" s="420">
        <v>2106428578</v>
      </c>
      <c r="E39" s="420">
        <v>3156530798</v>
      </c>
      <c r="F39" s="420">
        <v>1070085958</v>
      </c>
      <c r="G39" s="420">
        <v>2006097343</v>
      </c>
      <c r="H39" s="420">
        <v>2867490631</v>
      </c>
      <c r="I39" s="420">
        <v>3727283469</v>
      </c>
      <c r="J39" s="420">
        <v>834958559</v>
      </c>
      <c r="K39" s="420">
        <v>1840154807</v>
      </c>
      <c r="L39" s="420">
        <v>2803071998</v>
      </c>
      <c r="M39" s="420">
        <v>3933619717</v>
      </c>
      <c r="N39" s="420">
        <v>985390952</v>
      </c>
      <c r="O39" s="420">
        <v>2028995770</v>
      </c>
      <c r="P39" s="420">
        <v>3030502761</v>
      </c>
      <c r="Q39" s="420">
        <v>4053786487</v>
      </c>
      <c r="R39" s="420">
        <v>843739453</v>
      </c>
      <c r="S39" s="420">
        <v>1576363361</v>
      </c>
      <c r="T39" s="556"/>
      <c r="U39" s="556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F39" s="553"/>
      <c r="AG39" s="553"/>
      <c r="AH39" s="553"/>
      <c r="AI39" s="553"/>
      <c r="AJ39" s="553"/>
      <c r="AK39" s="553"/>
      <c r="AL39" s="553"/>
      <c r="AM39" s="553"/>
      <c r="AN39" s="553"/>
      <c r="AO39" s="553"/>
      <c r="AP39" s="553"/>
      <c r="AQ39" s="553"/>
      <c r="AR39" s="553"/>
    </row>
    <row r="40" spans="1:44" s="188" customFormat="1" ht="16.5" customHeight="1">
      <c r="A40" s="554" t="s">
        <v>236</v>
      </c>
      <c r="B40" s="420">
        <v>537381830</v>
      </c>
      <c r="C40" s="420">
        <v>327765656</v>
      </c>
      <c r="D40" s="420">
        <v>-43074450</v>
      </c>
      <c r="E40" s="420">
        <v>3211948823</v>
      </c>
      <c r="F40" s="420">
        <v>5310502883</v>
      </c>
      <c r="G40" s="420">
        <v>7554520983</v>
      </c>
      <c r="H40" s="420">
        <v>3338608317</v>
      </c>
      <c r="I40" s="420">
        <v>16877233703</v>
      </c>
      <c r="J40" s="420">
        <v>3118697362</v>
      </c>
      <c r="K40" s="420">
        <v>4897021263</v>
      </c>
      <c r="L40" s="420">
        <v>1078215502</v>
      </c>
      <c r="M40" s="420">
        <v>-11880670664</v>
      </c>
      <c r="N40" s="420">
        <v>-364361411</v>
      </c>
      <c r="O40" s="420">
        <v>1286189448</v>
      </c>
      <c r="P40" s="420">
        <v>689925078</v>
      </c>
      <c r="Q40" s="420">
        <v>-10937592783</v>
      </c>
      <c r="R40" s="420">
        <v>-1493075646</v>
      </c>
      <c r="S40" s="420">
        <v>-14193678797</v>
      </c>
      <c r="T40" s="556"/>
      <c r="U40" s="556"/>
      <c r="V40" s="553"/>
      <c r="W40" s="553"/>
      <c r="X40" s="553"/>
      <c r="Y40" s="553"/>
      <c r="Z40" s="553"/>
      <c r="AA40" s="553"/>
      <c r="AB40" s="553"/>
      <c r="AC40" s="553"/>
      <c r="AD40" s="553"/>
      <c r="AE40" s="553"/>
      <c r="AF40" s="553"/>
      <c r="AG40" s="553"/>
      <c r="AH40" s="553"/>
      <c r="AI40" s="553"/>
      <c r="AJ40" s="553"/>
      <c r="AK40" s="553"/>
      <c r="AL40" s="553"/>
      <c r="AM40" s="553"/>
      <c r="AN40" s="553"/>
      <c r="AO40" s="553"/>
      <c r="AP40" s="553"/>
      <c r="AQ40" s="553"/>
      <c r="AR40" s="553"/>
    </row>
    <row r="41" spans="1:44" s="188" customFormat="1" ht="16.5" customHeight="1">
      <c r="A41" s="554" t="s">
        <v>229</v>
      </c>
      <c r="B41" s="420">
        <v>-15648500055</v>
      </c>
      <c r="C41" s="420">
        <v>-47976423037</v>
      </c>
      <c r="D41" s="420">
        <v>-70802690502</v>
      </c>
      <c r="E41" s="420">
        <v>-70079721651</v>
      </c>
      <c r="F41" s="420">
        <v>3263538042</v>
      </c>
      <c r="G41" s="420">
        <v>-10136377211</v>
      </c>
      <c r="H41" s="420">
        <v>-24459563335</v>
      </c>
      <c r="I41" s="420">
        <v>-60748398447</v>
      </c>
      <c r="J41" s="420">
        <v>-8471164519</v>
      </c>
      <c r="K41" s="420">
        <v>-13026628695</v>
      </c>
      <c r="L41" s="420">
        <v>-16078102192</v>
      </c>
      <c r="M41" s="420">
        <v>-80340529310</v>
      </c>
      <c r="N41" s="420">
        <v>-12583211374</v>
      </c>
      <c r="O41" s="420">
        <v>-27125434517</v>
      </c>
      <c r="P41" s="420">
        <v>-44171440400</v>
      </c>
      <c r="Q41" s="420">
        <v>-58920151350</v>
      </c>
      <c r="R41" s="420">
        <v>-25772016155</v>
      </c>
      <c r="S41" s="420">
        <v>-47896689051</v>
      </c>
      <c r="T41" s="556"/>
      <c r="U41" s="556"/>
      <c r="V41" s="553"/>
      <c r="W41" s="553"/>
      <c r="X41" s="553"/>
      <c r="Y41" s="553"/>
      <c r="Z41" s="553"/>
      <c r="AA41" s="553"/>
      <c r="AB41" s="553"/>
      <c r="AC41" s="553"/>
      <c r="AD41" s="553"/>
      <c r="AE41" s="553"/>
      <c r="AF41" s="553"/>
      <c r="AG41" s="553"/>
      <c r="AH41" s="553"/>
      <c r="AI41" s="553"/>
      <c r="AJ41" s="553"/>
      <c r="AK41" s="553"/>
      <c r="AL41" s="553"/>
      <c r="AM41" s="553"/>
      <c r="AN41" s="553"/>
      <c r="AO41" s="553"/>
      <c r="AP41" s="553"/>
      <c r="AQ41" s="553"/>
      <c r="AR41" s="553"/>
    </row>
    <row r="42" spans="1:44" s="188" customFormat="1" ht="16.5" customHeight="1">
      <c r="A42" s="554" t="s">
        <v>396</v>
      </c>
      <c r="B42" s="420">
        <v>-1192776461</v>
      </c>
      <c r="C42" s="420">
        <v>-2361095132</v>
      </c>
      <c r="D42" s="420">
        <v>-3505939005</v>
      </c>
      <c r="E42" s="420">
        <v>-4632769757</v>
      </c>
      <c r="F42" s="420">
        <v>-1240514494</v>
      </c>
      <c r="G42" s="420">
        <v>-2572245559</v>
      </c>
      <c r="H42" s="420">
        <v>-3958124202</v>
      </c>
      <c r="I42" s="420">
        <v>-5303963416</v>
      </c>
      <c r="J42" s="420">
        <v>-2010309482</v>
      </c>
      <c r="K42" s="420">
        <v>-4119576480</v>
      </c>
      <c r="L42" s="420">
        <v>-6275386339</v>
      </c>
      <c r="M42" s="420">
        <v>-8329893831</v>
      </c>
      <c r="N42" s="420">
        <v>-1557586390</v>
      </c>
      <c r="O42" s="420">
        <v>-2995526197</v>
      </c>
      <c r="P42" s="420">
        <v>-4514754560</v>
      </c>
      <c r="Q42" s="420">
        <v>-6063046212</v>
      </c>
      <c r="R42" s="420">
        <v>-1149066704</v>
      </c>
      <c r="S42" s="420">
        <v>-2225336636</v>
      </c>
      <c r="T42" s="556"/>
      <c r="U42" s="556"/>
      <c r="V42" s="553"/>
      <c r="W42" s="553"/>
      <c r="X42" s="553"/>
      <c r="Y42" s="553"/>
      <c r="Z42" s="553"/>
      <c r="AA42" s="553"/>
      <c r="AB42" s="553"/>
      <c r="AC42" s="553"/>
      <c r="AD42" s="553"/>
      <c r="AE42" s="553"/>
      <c r="AF42" s="553"/>
      <c r="AG42" s="553"/>
      <c r="AH42" s="553"/>
      <c r="AI42" s="553"/>
      <c r="AJ42" s="553"/>
      <c r="AK42" s="553"/>
      <c r="AL42" s="553"/>
      <c r="AM42" s="553"/>
      <c r="AN42" s="553"/>
      <c r="AO42" s="553"/>
      <c r="AP42" s="553"/>
      <c r="AQ42" s="553"/>
      <c r="AR42" s="553"/>
    </row>
    <row r="43" spans="1:44" s="188" customFormat="1" ht="16.5" customHeight="1">
      <c r="A43" s="552" t="s">
        <v>237</v>
      </c>
      <c r="B43" s="420">
        <v>49777505330</v>
      </c>
      <c r="C43" s="420">
        <v>86352474861</v>
      </c>
      <c r="D43" s="420">
        <v>220202653859</v>
      </c>
      <c r="E43" s="420">
        <v>240552895284</v>
      </c>
      <c r="F43" s="420">
        <v>30749261554</v>
      </c>
      <c r="G43" s="420">
        <v>71340615669</v>
      </c>
      <c r="H43" s="420">
        <v>101667447643</v>
      </c>
      <c r="I43" s="420">
        <v>160740755902</v>
      </c>
      <c r="J43" s="420">
        <v>13567317824</v>
      </c>
      <c r="K43" s="420">
        <v>42752314961</v>
      </c>
      <c r="L43" s="420">
        <v>76323135521</v>
      </c>
      <c r="M43" s="420">
        <v>115986943909</v>
      </c>
      <c r="N43" s="420">
        <v>47649105444</v>
      </c>
      <c r="O43" s="420">
        <v>110860086527</v>
      </c>
      <c r="P43" s="420">
        <v>170063987638</v>
      </c>
      <c r="Q43" s="420">
        <v>184267007948</v>
      </c>
      <c r="R43" s="420">
        <v>43128015520</v>
      </c>
      <c r="S43" s="420">
        <v>96637206278</v>
      </c>
      <c r="T43" s="556"/>
      <c r="U43" s="556"/>
      <c r="V43" s="553"/>
      <c r="W43" s="553"/>
      <c r="X43" s="553"/>
      <c r="Y43" s="553"/>
      <c r="Z43" s="553"/>
      <c r="AA43" s="553"/>
      <c r="AB43" s="553"/>
      <c r="AC43" s="553"/>
      <c r="AD43" s="553"/>
      <c r="AE43" s="553"/>
      <c r="AF43" s="553"/>
      <c r="AG43" s="553"/>
      <c r="AH43" s="553"/>
      <c r="AI43" s="553"/>
      <c r="AJ43" s="553"/>
      <c r="AK43" s="553"/>
      <c r="AL43" s="553"/>
      <c r="AM43" s="553"/>
      <c r="AN43" s="553"/>
      <c r="AO43" s="553"/>
      <c r="AP43" s="553"/>
      <c r="AQ43" s="553"/>
      <c r="AR43" s="553"/>
    </row>
    <row r="44" spans="1:44" s="188" customFormat="1" ht="16.5" customHeight="1">
      <c r="A44" s="554" t="s">
        <v>235</v>
      </c>
      <c r="B44" s="420">
        <v>54682434921</v>
      </c>
      <c r="C44" s="420">
        <v>91861387999</v>
      </c>
      <c r="D44" s="420">
        <v>216003633188</v>
      </c>
      <c r="E44" s="420">
        <v>257226376091</v>
      </c>
      <c r="F44" s="420">
        <v>37478992225</v>
      </c>
      <c r="G44" s="420">
        <v>84600343306</v>
      </c>
      <c r="H44" s="420">
        <v>127225106878</v>
      </c>
      <c r="I44" s="420">
        <v>184523914462</v>
      </c>
      <c r="J44" s="420">
        <v>32697280758</v>
      </c>
      <c r="K44" s="420">
        <v>61880944839</v>
      </c>
      <c r="L44" s="420">
        <v>104151874283</v>
      </c>
      <c r="M44" s="420">
        <v>146839482029</v>
      </c>
      <c r="N44" s="420">
        <v>31536216423</v>
      </c>
      <c r="O44" s="420">
        <v>86272238904</v>
      </c>
      <c r="P44" s="420">
        <v>140781130887</v>
      </c>
      <c r="Q44" s="420">
        <v>161020260165</v>
      </c>
      <c r="R44" s="420">
        <v>40710180436</v>
      </c>
      <c r="S44" s="420">
        <v>82222532621</v>
      </c>
      <c r="T44" s="556"/>
      <c r="U44" s="556"/>
      <c r="V44" s="553"/>
      <c r="W44" s="553"/>
      <c r="X44" s="553"/>
      <c r="Y44" s="553"/>
      <c r="Z44" s="553"/>
      <c r="AA44" s="553"/>
      <c r="AB44" s="553"/>
      <c r="AC44" s="553"/>
      <c r="AD44" s="553"/>
      <c r="AE44" s="553"/>
      <c r="AF44" s="553"/>
      <c r="AG44" s="553"/>
      <c r="AH44" s="553"/>
      <c r="AI44" s="553"/>
      <c r="AJ44" s="553"/>
      <c r="AK44" s="553"/>
      <c r="AL44" s="553"/>
      <c r="AM44" s="553"/>
      <c r="AN44" s="553"/>
      <c r="AO44" s="553"/>
      <c r="AP44" s="553"/>
      <c r="AQ44" s="553"/>
      <c r="AR44" s="553"/>
    </row>
    <row r="45" spans="1:44" s="188" customFormat="1" ht="16.5" customHeight="1">
      <c r="A45" s="554" t="s">
        <v>221</v>
      </c>
      <c r="B45" s="420">
        <v>801812895</v>
      </c>
      <c r="C45" s="420">
        <v>1810523941</v>
      </c>
      <c r="D45" s="420">
        <v>2549048922</v>
      </c>
      <c r="E45" s="420">
        <v>4537096584</v>
      </c>
      <c r="F45" s="420">
        <v>1494225226</v>
      </c>
      <c r="G45" s="420">
        <v>2891908465</v>
      </c>
      <c r="H45" s="420">
        <v>4230315803</v>
      </c>
      <c r="I45" s="420">
        <v>5527339574</v>
      </c>
      <c r="J45" s="420">
        <v>1560187723</v>
      </c>
      <c r="K45" s="420">
        <v>2782812637</v>
      </c>
      <c r="L45" s="420">
        <v>3835545177</v>
      </c>
      <c r="M45" s="420">
        <v>5656150953</v>
      </c>
      <c r="N45" s="420">
        <v>1572224274</v>
      </c>
      <c r="O45" s="420">
        <v>3073244191</v>
      </c>
      <c r="P45" s="420">
        <v>4675351572</v>
      </c>
      <c r="Q45" s="420">
        <v>6289528542</v>
      </c>
      <c r="R45" s="420">
        <v>2227843991</v>
      </c>
      <c r="S45" s="420">
        <v>3863495368</v>
      </c>
      <c r="T45" s="556"/>
      <c r="U45" s="556"/>
      <c r="V45" s="553"/>
      <c r="W45" s="553"/>
      <c r="X45" s="553"/>
      <c r="Y45" s="553"/>
      <c r="Z45" s="553"/>
      <c r="AA45" s="553"/>
      <c r="AB45" s="553"/>
      <c r="AC45" s="553"/>
      <c r="AD45" s="553"/>
      <c r="AE45" s="553"/>
      <c r="AF45" s="553"/>
      <c r="AG45" s="553"/>
      <c r="AH45" s="553"/>
      <c r="AI45" s="553"/>
      <c r="AJ45" s="553"/>
      <c r="AK45" s="553"/>
      <c r="AL45" s="553"/>
      <c r="AM45" s="553"/>
      <c r="AN45" s="553"/>
      <c r="AO45" s="553"/>
      <c r="AP45" s="553"/>
      <c r="AQ45" s="553"/>
      <c r="AR45" s="553"/>
    </row>
    <row r="46" spans="1:44" s="188" customFormat="1" ht="16.5" customHeight="1">
      <c r="A46" s="554" t="s">
        <v>236</v>
      </c>
      <c r="B46" s="420">
        <v>0</v>
      </c>
      <c r="C46" s="420">
        <v>0</v>
      </c>
      <c r="D46" s="420">
        <v>0</v>
      </c>
      <c r="E46" s="420">
        <v>0</v>
      </c>
      <c r="F46" s="420">
        <v>0</v>
      </c>
      <c r="G46" s="420">
        <v>0</v>
      </c>
      <c r="H46" s="420">
        <v>0</v>
      </c>
      <c r="I46" s="420">
        <v>0</v>
      </c>
      <c r="J46" s="420">
        <v>5183301</v>
      </c>
      <c r="K46" s="420">
        <v>7910713</v>
      </c>
      <c r="L46" s="420">
        <v>5224579</v>
      </c>
      <c r="M46" s="420">
        <v>152492285</v>
      </c>
      <c r="N46" s="420">
        <v>-121060750</v>
      </c>
      <c r="O46" s="420">
        <v>-121391760</v>
      </c>
      <c r="P46" s="420">
        <v>-114007081</v>
      </c>
      <c r="Q46" s="420">
        <v>-110375349</v>
      </c>
      <c r="R46" s="420">
        <v>187678431</v>
      </c>
      <c r="S46" s="420">
        <v>2550828</v>
      </c>
      <c r="T46" s="556"/>
      <c r="U46" s="556"/>
      <c r="V46" s="553"/>
      <c r="W46" s="553"/>
      <c r="X46" s="553"/>
      <c r="Y46" s="553"/>
      <c r="Z46" s="553"/>
      <c r="AA46" s="553"/>
      <c r="AB46" s="553"/>
      <c r="AC46" s="553"/>
      <c r="AD46" s="553"/>
      <c r="AE46" s="553"/>
      <c r="AF46" s="553"/>
      <c r="AG46" s="553"/>
      <c r="AH46" s="553"/>
      <c r="AI46" s="553"/>
      <c r="AJ46" s="553"/>
      <c r="AK46" s="553"/>
      <c r="AL46" s="553"/>
      <c r="AM46" s="553"/>
      <c r="AN46" s="553"/>
      <c r="AO46" s="553"/>
      <c r="AP46" s="553"/>
      <c r="AQ46" s="553"/>
      <c r="AR46" s="553"/>
    </row>
    <row r="47" spans="1:44" s="188" customFormat="1" ht="16.5" customHeight="1">
      <c r="A47" s="554" t="s">
        <v>229</v>
      </c>
      <c r="B47" s="420">
        <v>-5706742486</v>
      </c>
      <c r="C47" s="420">
        <v>-7319437079</v>
      </c>
      <c r="D47" s="420">
        <v>1649971749</v>
      </c>
      <c r="E47" s="420">
        <v>-21210577391</v>
      </c>
      <c r="F47" s="420">
        <v>-8223955897</v>
      </c>
      <c r="G47" s="420">
        <v>-16151636102</v>
      </c>
      <c r="H47" s="420">
        <v>-29787975038</v>
      </c>
      <c r="I47" s="420">
        <v>-29310498134</v>
      </c>
      <c r="J47" s="420">
        <v>-20695333958</v>
      </c>
      <c r="K47" s="420">
        <v>-21919353228</v>
      </c>
      <c r="L47" s="420">
        <v>-31669508518</v>
      </c>
      <c r="M47" s="420">
        <v>-36661181358</v>
      </c>
      <c r="N47" s="420">
        <v>14661725497</v>
      </c>
      <c r="O47" s="420">
        <v>21635995192</v>
      </c>
      <c r="P47" s="420">
        <v>24721512260</v>
      </c>
      <c r="Q47" s="420">
        <v>17067594590</v>
      </c>
      <c r="R47" s="420">
        <v>2312662</v>
      </c>
      <c r="S47" s="420">
        <v>10548627461</v>
      </c>
      <c r="T47" s="556"/>
      <c r="U47" s="556"/>
      <c r="V47" s="553"/>
      <c r="W47" s="553"/>
      <c r="X47" s="553"/>
      <c r="Y47" s="553"/>
      <c r="Z47" s="553"/>
      <c r="AA47" s="553"/>
      <c r="AB47" s="553"/>
      <c r="AC47" s="553"/>
      <c r="AD47" s="553"/>
      <c r="AE47" s="553"/>
      <c r="AF47" s="553"/>
      <c r="AG47" s="553"/>
      <c r="AH47" s="553"/>
      <c r="AI47" s="553"/>
      <c r="AJ47" s="553"/>
      <c r="AK47" s="553"/>
      <c r="AL47" s="553"/>
      <c r="AM47" s="553"/>
      <c r="AN47" s="553"/>
      <c r="AO47" s="553"/>
      <c r="AP47" s="553"/>
      <c r="AQ47" s="553"/>
      <c r="AR47" s="553"/>
    </row>
    <row r="48" spans="1:44" s="188" customFormat="1" ht="16.5" customHeight="1">
      <c r="A48" s="555" t="s">
        <v>238</v>
      </c>
      <c r="B48" s="420">
        <v>96355991424</v>
      </c>
      <c r="C48" s="420">
        <v>194589813350</v>
      </c>
      <c r="D48" s="420">
        <v>298205765456</v>
      </c>
      <c r="E48" s="420">
        <v>432144531372</v>
      </c>
      <c r="F48" s="420">
        <v>130751498394</v>
      </c>
      <c r="G48" s="420">
        <v>258352678210</v>
      </c>
      <c r="H48" s="420">
        <v>552711894079</v>
      </c>
      <c r="I48" s="420">
        <v>704399581659</v>
      </c>
      <c r="J48" s="420">
        <v>144555667928</v>
      </c>
      <c r="K48" s="420">
        <v>285020731340</v>
      </c>
      <c r="L48" s="420">
        <v>428872536582</v>
      </c>
      <c r="M48" s="420">
        <v>577036036553</v>
      </c>
      <c r="N48" s="420">
        <v>164259605462</v>
      </c>
      <c r="O48" s="420">
        <v>317612193360</v>
      </c>
      <c r="P48" s="420">
        <v>471062118584</v>
      </c>
      <c r="Q48" s="420">
        <v>632687649505</v>
      </c>
      <c r="R48" s="420">
        <v>168651846407</v>
      </c>
      <c r="S48" s="420">
        <v>341200059791</v>
      </c>
      <c r="T48" s="556"/>
      <c r="U48" s="556"/>
      <c r="V48" s="553"/>
      <c r="W48" s="553"/>
      <c r="X48" s="553"/>
      <c r="Y48" s="553"/>
      <c r="Z48" s="553"/>
      <c r="AA48" s="553"/>
      <c r="AB48" s="553"/>
      <c r="AC48" s="553"/>
      <c r="AD48" s="553"/>
      <c r="AE48" s="553"/>
      <c r="AF48" s="553"/>
      <c r="AG48" s="553"/>
      <c r="AH48" s="553"/>
      <c r="AI48" s="553"/>
      <c r="AJ48" s="553"/>
      <c r="AK48" s="553"/>
      <c r="AL48" s="553"/>
      <c r="AM48" s="553"/>
      <c r="AN48" s="553"/>
      <c r="AO48" s="553"/>
      <c r="AP48" s="553"/>
      <c r="AQ48" s="553"/>
      <c r="AR48" s="553"/>
    </row>
    <row r="49" spans="1:44" s="188" customFormat="1" ht="16.5" customHeight="1">
      <c r="A49" s="552" t="s">
        <v>239</v>
      </c>
      <c r="B49" s="420">
        <v>25699220209</v>
      </c>
      <c r="C49" s="420">
        <v>54433445778</v>
      </c>
      <c r="D49" s="420">
        <v>82229712587</v>
      </c>
      <c r="E49" s="420">
        <v>137218557332</v>
      </c>
      <c r="F49" s="420">
        <v>51762559270</v>
      </c>
      <c r="G49" s="420">
        <v>94693117692</v>
      </c>
      <c r="H49" s="420">
        <v>304722263190</v>
      </c>
      <c r="I49" s="420">
        <v>356716236153</v>
      </c>
      <c r="J49" s="420">
        <v>48288856269</v>
      </c>
      <c r="K49" s="420">
        <v>100574241392</v>
      </c>
      <c r="L49" s="420">
        <v>154898058202</v>
      </c>
      <c r="M49" s="420">
        <v>215991002188</v>
      </c>
      <c r="N49" s="420">
        <v>74209398736</v>
      </c>
      <c r="O49" s="420">
        <v>142134476030</v>
      </c>
      <c r="P49" s="420">
        <v>212776751905</v>
      </c>
      <c r="Q49" s="420">
        <v>290307285655</v>
      </c>
      <c r="R49" s="420">
        <v>83697170240</v>
      </c>
      <c r="S49" s="420">
        <v>169648236707</v>
      </c>
      <c r="T49" s="556"/>
      <c r="U49" s="556"/>
      <c r="V49" s="553"/>
      <c r="W49" s="553"/>
      <c r="X49" s="553"/>
      <c r="Y49" s="553"/>
      <c r="Z49" s="553"/>
      <c r="AA49" s="553"/>
      <c r="AB49" s="553"/>
      <c r="AC49" s="553"/>
      <c r="AD49" s="553"/>
      <c r="AE49" s="553"/>
      <c r="AF49" s="553"/>
      <c r="AG49" s="553"/>
      <c r="AH49" s="553"/>
      <c r="AI49" s="553"/>
      <c r="AJ49" s="553"/>
      <c r="AK49" s="553"/>
      <c r="AL49" s="553"/>
      <c r="AM49" s="553"/>
      <c r="AN49" s="553"/>
      <c r="AO49" s="553"/>
      <c r="AP49" s="553"/>
      <c r="AQ49" s="553"/>
      <c r="AR49" s="553"/>
    </row>
    <row r="50" spans="1:44" s="188" customFormat="1" ht="16.5" customHeight="1">
      <c r="A50" s="554" t="s">
        <v>240</v>
      </c>
      <c r="B50" s="420">
        <v>43918687362</v>
      </c>
      <c r="C50" s="420">
        <v>88111272257</v>
      </c>
      <c r="D50" s="420">
        <v>135958882301</v>
      </c>
      <c r="E50" s="420">
        <v>187891930531</v>
      </c>
      <c r="F50" s="420">
        <v>57626443417</v>
      </c>
      <c r="G50" s="420">
        <v>122835240958</v>
      </c>
      <c r="H50" s="420">
        <v>228584492787</v>
      </c>
      <c r="I50" s="420">
        <v>295025716846</v>
      </c>
      <c r="J50" s="420">
        <v>60866151968</v>
      </c>
      <c r="K50" s="420">
        <v>118524238182</v>
      </c>
      <c r="L50" s="420">
        <v>179613341401</v>
      </c>
      <c r="M50" s="420">
        <v>244161252249</v>
      </c>
      <c r="N50" s="420">
        <v>73339763547</v>
      </c>
      <c r="O50" s="420">
        <v>139410567593</v>
      </c>
      <c r="P50" s="420">
        <v>204895677310</v>
      </c>
      <c r="Q50" s="420">
        <v>267248973037</v>
      </c>
      <c r="R50" s="420">
        <v>74031489451</v>
      </c>
      <c r="S50" s="420">
        <v>144726784507</v>
      </c>
      <c r="T50" s="556"/>
      <c r="U50" s="556"/>
      <c r="V50" s="553"/>
      <c r="W50" s="553"/>
      <c r="X50" s="553"/>
      <c r="Y50" s="553"/>
      <c r="Z50" s="553"/>
      <c r="AA50" s="553"/>
      <c r="AB50" s="553"/>
      <c r="AC50" s="553"/>
      <c r="AD50" s="553"/>
      <c r="AE50" s="553"/>
      <c r="AF50" s="553"/>
      <c r="AG50" s="553"/>
      <c r="AH50" s="553"/>
      <c r="AI50" s="553"/>
      <c r="AJ50" s="553"/>
      <c r="AK50" s="553"/>
      <c r="AL50" s="553"/>
      <c r="AM50" s="553"/>
      <c r="AN50" s="553"/>
      <c r="AO50" s="553"/>
      <c r="AP50" s="553"/>
      <c r="AQ50" s="553"/>
      <c r="AR50" s="553"/>
    </row>
    <row r="51" spans="1:44" s="95" customFormat="1" ht="16.5" customHeight="1">
      <c r="A51" s="331" t="s">
        <v>211</v>
      </c>
      <c r="B51" s="419">
        <v>884804460</v>
      </c>
      <c r="C51" s="419">
        <v>1811883029</v>
      </c>
      <c r="D51" s="419">
        <v>2777872522</v>
      </c>
      <c r="E51" s="419">
        <v>3784136121</v>
      </c>
      <c r="F51" s="419">
        <v>1022979294</v>
      </c>
      <c r="G51" s="419">
        <v>2113156881</v>
      </c>
      <c r="H51" s="419">
        <v>3234717970</v>
      </c>
      <c r="I51" s="419">
        <v>4326351487</v>
      </c>
      <c r="J51" s="419">
        <v>1286957778</v>
      </c>
      <c r="K51" s="419">
        <v>2601460847</v>
      </c>
      <c r="L51" s="419">
        <v>3934976866</v>
      </c>
      <c r="M51" s="419">
        <v>5284637380</v>
      </c>
      <c r="N51" s="419">
        <v>1071603335</v>
      </c>
      <c r="O51" s="419">
        <v>2159996523</v>
      </c>
      <c r="P51" s="419">
        <v>3288002994</v>
      </c>
      <c r="Q51" s="419">
        <v>4430282166</v>
      </c>
      <c r="R51" s="419">
        <v>1106138911</v>
      </c>
      <c r="S51" s="419">
        <v>2216397352</v>
      </c>
      <c r="T51" s="551"/>
      <c r="U51" s="551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</row>
    <row r="52" spans="1:44" s="95" customFormat="1" ht="16.5" customHeight="1">
      <c r="A52" s="331" t="s">
        <v>397</v>
      </c>
      <c r="B52" s="419">
        <v>2233735009</v>
      </c>
      <c r="C52" s="419">
        <v>4372204864</v>
      </c>
      <c r="D52" s="419">
        <v>6420844690</v>
      </c>
      <c r="E52" s="419">
        <v>8247106159</v>
      </c>
      <c r="F52" s="419">
        <v>1610211759</v>
      </c>
      <c r="G52" s="419">
        <v>3197948737</v>
      </c>
      <c r="H52" s="419">
        <v>6154018943</v>
      </c>
      <c r="I52" s="419">
        <v>9001758654</v>
      </c>
      <c r="J52" s="419">
        <v>2314014420</v>
      </c>
      <c r="K52" s="419">
        <v>4256555814</v>
      </c>
      <c r="L52" s="419">
        <v>6272324249</v>
      </c>
      <c r="M52" s="419">
        <v>8384987063</v>
      </c>
      <c r="N52" s="419">
        <v>1971264516</v>
      </c>
      <c r="O52" s="419">
        <v>3905156766</v>
      </c>
      <c r="P52" s="419">
        <v>6749652537</v>
      </c>
      <c r="Q52" s="419">
        <v>8857575914</v>
      </c>
      <c r="R52" s="419">
        <v>1979596170</v>
      </c>
      <c r="S52" s="419">
        <v>3954858974</v>
      </c>
      <c r="T52" s="551"/>
      <c r="U52" s="551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</row>
    <row r="53" spans="1:44" s="95" customFormat="1" ht="16.5" customHeight="1">
      <c r="A53" s="331" t="s">
        <v>398</v>
      </c>
      <c r="B53" s="419">
        <v>-19432384142</v>
      </c>
      <c r="C53" s="419">
        <v>-38455981904</v>
      </c>
      <c r="D53" s="419">
        <v>-57077546247</v>
      </c>
      <c r="E53" s="419">
        <v>-74395305795</v>
      </c>
      <c r="F53" s="419">
        <v>-16702811700</v>
      </c>
      <c r="G53" s="419">
        <v>-32553656391</v>
      </c>
      <c r="H53" s="419">
        <v>123293462140</v>
      </c>
      <c r="I53" s="419">
        <v>121200534404</v>
      </c>
      <c r="J53" s="419">
        <v>-5184621612</v>
      </c>
      <c r="K53" s="419">
        <v>-9525415844</v>
      </c>
      <c r="L53" s="419">
        <v>-12916009623</v>
      </c>
      <c r="M53" s="419">
        <v>-11733076340</v>
      </c>
      <c r="N53" s="419">
        <v>4954364025</v>
      </c>
      <c r="O53" s="419">
        <v>11491423276</v>
      </c>
      <c r="P53" s="419">
        <v>20010234343</v>
      </c>
      <c r="Q53" s="419">
        <v>34965540292</v>
      </c>
      <c r="R53" s="419">
        <v>13868872320</v>
      </c>
      <c r="S53" s="419">
        <v>33262696531</v>
      </c>
      <c r="T53" s="551"/>
      <c r="U53" s="551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</row>
    <row r="54" spans="1:44" s="95" customFormat="1" ht="16.5" customHeight="1">
      <c r="A54" s="331" t="s">
        <v>396</v>
      </c>
      <c r="B54" s="419">
        <v>-1192776461</v>
      </c>
      <c r="C54" s="419">
        <v>-2361095132</v>
      </c>
      <c r="D54" s="419">
        <v>-3505939005</v>
      </c>
      <c r="E54" s="419">
        <v>-4632769757</v>
      </c>
      <c r="F54" s="419">
        <v>-1240514494</v>
      </c>
      <c r="G54" s="419">
        <v>-2572245559</v>
      </c>
      <c r="H54" s="419">
        <v>-3958124202</v>
      </c>
      <c r="I54" s="419">
        <v>-5303963416</v>
      </c>
      <c r="J54" s="419">
        <v>-2010309482</v>
      </c>
      <c r="K54" s="419">
        <v>-4119576480</v>
      </c>
      <c r="L54" s="419">
        <v>-6275386339</v>
      </c>
      <c r="M54" s="419">
        <v>-8329893831</v>
      </c>
      <c r="N54" s="419">
        <v>-1557586390</v>
      </c>
      <c r="O54" s="419">
        <v>-2995526197</v>
      </c>
      <c r="P54" s="419">
        <v>-4514754560</v>
      </c>
      <c r="Q54" s="419">
        <v>-6063046212</v>
      </c>
      <c r="R54" s="419">
        <v>-1149066704</v>
      </c>
      <c r="S54" s="419">
        <v>-2225336636</v>
      </c>
      <c r="T54" s="551"/>
      <c r="U54" s="551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</row>
    <row r="55" spans="1:44" s="95" customFormat="1" ht="16.5" customHeight="1">
      <c r="A55" s="331" t="s">
        <v>399</v>
      </c>
      <c r="B55" s="419">
        <v>-712846019</v>
      </c>
      <c r="C55" s="419">
        <v>955162664</v>
      </c>
      <c r="D55" s="419">
        <v>-2344401674</v>
      </c>
      <c r="E55" s="419">
        <v>16323460073</v>
      </c>
      <c r="F55" s="419">
        <v>9446250994</v>
      </c>
      <c r="G55" s="419">
        <v>1672673066</v>
      </c>
      <c r="H55" s="419">
        <v>-52586304448</v>
      </c>
      <c r="I55" s="419">
        <v>-67534161822</v>
      </c>
      <c r="J55" s="419">
        <v>-8983336803</v>
      </c>
      <c r="K55" s="419">
        <v>-11163021127</v>
      </c>
      <c r="L55" s="419">
        <v>-15731188352</v>
      </c>
      <c r="M55" s="419">
        <v>-21776904333</v>
      </c>
      <c r="N55" s="419">
        <v>-5570010297</v>
      </c>
      <c r="O55" s="419">
        <v>-11837141931</v>
      </c>
      <c r="P55" s="419">
        <v>-17652060719</v>
      </c>
      <c r="Q55" s="419">
        <v>-19132039542</v>
      </c>
      <c r="R55" s="419">
        <v>-6139859908</v>
      </c>
      <c r="S55" s="419">
        <v>-12287164021</v>
      </c>
      <c r="T55" s="551"/>
      <c r="U55" s="551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</row>
    <row r="56" spans="1:44" s="95" customFormat="1" ht="16.5" customHeight="1">
      <c r="A56" s="330" t="s">
        <v>241</v>
      </c>
      <c r="B56" s="419">
        <v>70656771215</v>
      </c>
      <c r="C56" s="419">
        <v>140156367572</v>
      </c>
      <c r="D56" s="419">
        <v>215976052869</v>
      </c>
      <c r="E56" s="419">
        <v>294925974040</v>
      </c>
      <c r="F56" s="419">
        <v>78988939124</v>
      </c>
      <c r="G56" s="419">
        <v>163659560518</v>
      </c>
      <c r="H56" s="419">
        <v>247989630889</v>
      </c>
      <c r="I56" s="419">
        <v>347683345506</v>
      </c>
      <c r="J56" s="419">
        <v>96266811659</v>
      </c>
      <c r="K56" s="419">
        <v>184446489948</v>
      </c>
      <c r="L56" s="419">
        <v>273974478380</v>
      </c>
      <c r="M56" s="419">
        <v>361045034365</v>
      </c>
      <c r="N56" s="419">
        <v>90050206726</v>
      </c>
      <c r="O56" s="419">
        <v>175477717330</v>
      </c>
      <c r="P56" s="419">
        <v>258285366679</v>
      </c>
      <c r="Q56" s="419">
        <v>342380363850</v>
      </c>
      <c r="R56" s="420">
        <v>84954676167</v>
      </c>
      <c r="S56" s="420">
        <v>171551823084</v>
      </c>
      <c r="T56" s="551"/>
      <c r="U56" s="551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</row>
    <row r="57" spans="1:44" s="95" customFormat="1" ht="16.5" customHeight="1">
      <c r="A57" s="329" t="s">
        <v>242</v>
      </c>
      <c r="B57" s="419">
        <v>83500920002</v>
      </c>
      <c r="C57" s="419">
        <v>112392784163</v>
      </c>
      <c r="D57" s="419">
        <v>130510936454</v>
      </c>
      <c r="E57" s="419">
        <v>284578922281</v>
      </c>
      <c r="F57" s="419">
        <v>-11048069618</v>
      </c>
      <c r="G57" s="419">
        <v>73064945045</v>
      </c>
      <c r="H57" s="419">
        <v>239981664039</v>
      </c>
      <c r="I57" s="419">
        <v>269632464078</v>
      </c>
      <c r="J57" s="419">
        <v>20852359490</v>
      </c>
      <c r="K57" s="419">
        <v>94842646004</v>
      </c>
      <c r="L57" s="419">
        <v>113422079083</v>
      </c>
      <c r="M57" s="419">
        <v>158799372142</v>
      </c>
      <c r="N57" s="419">
        <v>25923169977</v>
      </c>
      <c r="O57" s="419">
        <v>54587345833</v>
      </c>
      <c r="P57" s="419">
        <v>80458109851</v>
      </c>
      <c r="Q57" s="419">
        <v>137710227534</v>
      </c>
      <c r="R57" s="420">
        <v>27474940334</v>
      </c>
      <c r="S57" s="420">
        <v>60930077394</v>
      </c>
      <c r="T57" s="551"/>
      <c r="U57" s="551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</row>
    <row r="58" spans="1:44" s="95" customFormat="1" ht="16.5" customHeight="1">
      <c r="A58" s="694" t="s">
        <v>400</v>
      </c>
      <c r="B58" s="423">
        <v>112797345485</v>
      </c>
      <c r="C58" s="423">
        <v>172737693973</v>
      </c>
      <c r="D58" s="423">
        <v>285821129684</v>
      </c>
      <c r="E58" s="423">
        <v>313927464607</v>
      </c>
      <c r="F58" s="423">
        <v>142609417211</v>
      </c>
      <c r="G58" s="423">
        <v>322931424937</v>
      </c>
      <c r="H58" s="423">
        <v>509124652110</v>
      </c>
      <c r="I58" s="423">
        <v>609453528718</v>
      </c>
      <c r="J58" s="423">
        <v>202735201442</v>
      </c>
      <c r="K58" s="423">
        <v>395909776069</v>
      </c>
      <c r="L58" s="423">
        <v>599780287898</v>
      </c>
      <c r="M58" s="423">
        <v>761577442493</v>
      </c>
      <c r="N58" s="423">
        <v>262063498393</v>
      </c>
      <c r="O58" s="423">
        <v>604753852688</v>
      </c>
      <c r="P58" s="423">
        <v>929742882806</v>
      </c>
      <c r="Q58" s="423">
        <v>862345448548</v>
      </c>
      <c r="R58" s="423">
        <v>296179670347</v>
      </c>
      <c r="S58" s="423">
        <v>703142106981</v>
      </c>
      <c r="T58" s="551"/>
      <c r="U58" s="551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</row>
    <row r="59" spans="1:44" s="95" customFormat="1" ht="16.5" customHeight="1">
      <c r="A59" s="329" t="s">
        <v>243</v>
      </c>
      <c r="B59" s="419">
        <v>378079735032</v>
      </c>
      <c r="C59" s="419">
        <v>782751025937</v>
      </c>
      <c r="D59" s="419">
        <v>1323016304897</v>
      </c>
      <c r="E59" s="419">
        <v>1461478146178</v>
      </c>
      <c r="F59" s="419">
        <v>572259431803</v>
      </c>
      <c r="G59" s="419">
        <v>1100796424943</v>
      </c>
      <c r="H59" s="419">
        <v>1674463926885</v>
      </c>
      <c r="I59" s="419">
        <v>2189107560767</v>
      </c>
      <c r="J59" s="419">
        <v>672454698764</v>
      </c>
      <c r="K59" s="419">
        <v>1275589568038</v>
      </c>
      <c r="L59" s="419">
        <v>1799748205574</v>
      </c>
      <c r="M59" s="419">
        <v>2580776362442</v>
      </c>
      <c r="N59" s="419">
        <v>657672249429</v>
      </c>
      <c r="O59" s="419">
        <v>1466724247502</v>
      </c>
      <c r="P59" s="419">
        <v>2064879389954</v>
      </c>
      <c r="Q59" s="419">
        <v>2717934664858</v>
      </c>
      <c r="R59" s="419">
        <v>765245977490</v>
      </c>
      <c r="S59" s="419">
        <v>1561146900908</v>
      </c>
      <c r="T59" s="551"/>
      <c r="U59" s="551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</row>
    <row r="60" spans="1:44" s="95" customFormat="1" ht="16.5" customHeight="1">
      <c r="A60" s="330" t="s">
        <v>244</v>
      </c>
      <c r="B60" s="419">
        <v>3547052588</v>
      </c>
      <c r="C60" s="419">
        <v>8329771134</v>
      </c>
      <c r="D60" s="419">
        <v>13731194343</v>
      </c>
      <c r="E60" s="419">
        <v>16772804528</v>
      </c>
      <c r="F60" s="419">
        <v>6418018463</v>
      </c>
      <c r="G60" s="419">
        <v>11641788541</v>
      </c>
      <c r="H60" s="419">
        <v>21059532744</v>
      </c>
      <c r="I60" s="419">
        <v>25932864124</v>
      </c>
      <c r="J60" s="419">
        <v>4184219926</v>
      </c>
      <c r="K60" s="419">
        <v>12146022597</v>
      </c>
      <c r="L60" s="419">
        <v>17130066171</v>
      </c>
      <c r="M60" s="419">
        <v>27919351787</v>
      </c>
      <c r="N60" s="419">
        <v>6245607863</v>
      </c>
      <c r="O60" s="419">
        <v>12901049594</v>
      </c>
      <c r="P60" s="419">
        <v>18403740852</v>
      </c>
      <c r="Q60" s="419">
        <v>33663079261</v>
      </c>
      <c r="R60" s="419">
        <v>5785350024</v>
      </c>
      <c r="S60" s="419">
        <v>12019289133</v>
      </c>
      <c r="T60" s="551"/>
      <c r="U60" s="551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</row>
    <row r="61" spans="1:44" s="95" customFormat="1" ht="16.5" customHeight="1">
      <c r="A61" s="330" t="s">
        <v>245</v>
      </c>
      <c r="B61" s="419">
        <v>175505754188</v>
      </c>
      <c r="C61" s="419">
        <v>355859559444</v>
      </c>
      <c r="D61" s="419">
        <v>575091626498</v>
      </c>
      <c r="E61" s="419">
        <v>826237934471</v>
      </c>
      <c r="F61" s="419">
        <v>296514379270</v>
      </c>
      <c r="G61" s="419">
        <v>629764461835</v>
      </c>
      <c r="H61" s="419">
        <v>996111587348</v>
      </c>
      <c r="I61" s="419">
        <v>1376654788683</v>
      </c>
      <c r="J61" s="419">
        <v>383946187913</v>
      </c>
      <c r="K61" s="419">
        <v>787106037321</v>
      </c>
      <c r="L61" s="419">
        <v>1218759499601</v>
      </c>
      <c r="M61" s="419">
        <v>1683903966920</v>
      </c>
      <c r="N61" s="419">
        <v>441574254069</v>
      </c>
      <c r="O61" s="419">
        <v>856964944602</v>
      </c>
      <c r="P61" s="419">
        <v>1269883522193</v>
      </c>
      <c r="Q61" s="419">
        <v>1675816454369</v>
      </c>
      <c r="R61" s="419">
        <v>387653074272</v>
      </c>
      <c r="S61" s="419">
        <v>778444060694</v>
      </c>
      <c r="T61" s="551"/>
      <c r="U61" s="551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</row>
    <row r="62" spans="1:44" s="95" customFormat="1" ht="16.5" customHeight="1">
      <c r="A62" s="330" t="s">
        <v>246</v>
      </c>
      <c r="B62" s="419">
        <v>7890605714</v>
      </c>
      <c r="C62" s="419">
        <v>16128365291</v>
      </c>
      <c r="D62" s="419">
        <v>25055283550</v>
      </c>
      <c r="E62" s="419">
        <v>33974283832</v>
      </c>
      <c r="F62" s="419">
        <v>8773460377</v>
      </c>
      <c r="G62" s="419">
        <v>17264194553</v>
      </c>
      <c r="H62" s="419">
        <v>24009181852</v>
      </c>
      <c r="I62" s="419">
        <v>30056664340</v>
      </c>
      <c r="J62" s="419">
        <v>6007889288</v>
      </c>
      <c r="K62" s="419">
        <v>11888546021</v>
      </c>
      <c r="L62" s="419">
        <v>17977841763</v>
      </c>
      <c r="M62" s="419">
        <v>25548625938</v>
      </c>
      <c r="N62" s="419">
        <v>10307875635</v>
      </c>
      <c r="O62" s="419">
        <v>22117479782</v>
      </c>
      <c r="P62" s="419">
        <v>34080053196</v>
      </c>
      <c r="Q62" s="419">
        <v>45719147048</v>
      </c>
      <c r="R62" s="419">
        <v>14479218350</v>
      </c>
      <c r="S62" s="419">
        <v>29792679013</v>
      </c>
      <c r="T62" s="551"/>
      <c r="U62" s="551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</row>
    <row r="63" spans="1:44" s="95" customFormat="1" ht="16.5" customHeight="1">
      <c r="A63" s="330" t="s">
        <v>247</v>
      </c>
      <c r="B63" s="419">
        <v>4027214150</v>
      </c>
      <c r="C63" s="419">
        <v>9455806043</v>
      </c>
      <c r="D63" s="419">
        <v>14614064659</v>
      </c>
      <c r="E63" s="419">
        <v>19723357532</v>
      </c>
      <c r="F63" s="419">
        <v>4629237356</v>
      </c>
      <c r="G63" s="419">
        <v>10466859195</v>
      </c>
      <c r="H63" s="419">
        <v>16231915277</v>
      </c>
      <c r="I63" s="419">
        <v>22244564297</v>
      </c>
      <c r="J63" s="419">
        <v>5472704215</v>
      </c>
      <c r="K63" s="419">
        <v>12206826158</v>
      </c>
      <c r="L63" s="419">
        <v>18830239606</v>
      </c>
      <c r="M63" s="419">
        <v>25561423572</v>
      </c>
      <c r="N63" s="419">
        <v>5819601717</v>
      </c>
      <c r="O63" s="419">
        <v>12292862011</v>
      </c>
      <c r="P63" s="419">
        <v>19081003636</v>
      </c>
      <c r="Q63" s="419">
        <v>26262340220</v>
      </c>
      <c r="R63" s="419">
        <v>7029157169</v>
      </c>
      <c r="S63" s="419">
        <v>14460213544</v>
      </c>
      <c r="T63" s="551"/>
      <c r="U63" s="551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</row>
    <row r="64" spans="1:44" s="95" customFormat="1" ht="16.5" customHeight="1">
      <c r="A64" s="330" t="s">
        <v>248</v>
      </c>
      <c r="B64" s="419">
        <v>24192646526</v>
      </c>
      <c r="C64" s="419">
        <v>51173870934</v>
      </c>
      <c r="D64" s="419">
        <v>73369916178</v>
      </c>
      <c r="E64" s="419">
        <v>93776211875</v>
      </c>
      <c r="F64" s="419">
        <v>24761259497</v>
      </c>
      <c r="G64" s="419">
        <v>35878448063</v>
      </c>
      <c r="H64" s="419">
        <v>50393072074</v>
      </c>
      <c r="I64" s="419">
        <v>59647489918</v>
      </c>
      <c r="J64" s="419">
        <v>5761171872</v>
      </c>
      <c r="K64" s="419">
        <v>13630106923</v>
      </c>
      <c r="L64" s="419">
        <v>17861313277</v>
      </c>
      <c r="M64" s="419">
        <v>24901033042</v>
      </c>
      <c r="N64" s="419">
        <v>2920480908</v>
      </c>
      <c r="O64" s="419">
        <v>8666647169</v>
      </c>
      <c r="P64" s="419">
        <v>12338867076</v>
      </c>
      <c r="Q64" s="419">
        <v>16345203389</v>
      </c>
      <c r="R64" s="419">
        <v>5397904275</v>
      </c>
      <c r="S64" s="419">
        <v>11096061113</v>
      </c>
      <c r="T64" s="551"/>
      <c r="U64" s="551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</row>
    <row r="65" spans="1:47" s="95" customFormat="1" ht="16.5" customHeight="1">
      <c r="A65" s="330" t="s">
        <v>249</v>
      </c>
      <c r="B65" s="419">
        <v>3636973046</v>
      </c>
      <c r="C65" s="419">
        <v>9507644157</v>
      </c>
      <c r="D65" s="419">
        <v>16739231984</v>
      </c>
      <c r="E65" s="419">
        <v>21086952920</v>
      </c>
      <c r="F65" s="419">
        <v>15141478229</v>
      </c>
      <c r="G65" s="419">
        <v>36858146886</v>
      </c>
      <c r="H65" s="419">
        <v>59680414315</v>
      </c>
      <c r="I65" s="419">
        <v>94108039339</v>
      </c>
      <c r="J65" s="419">
        <v>28835145209</v>
      </c>
      <c r="K65" s="419">
        <v>53395635670</v>
      </c>
      <c r="L65" s="419">
        <v>82285112324</v>
      </c>
      <c r="M65" s="419">
        <v>111331689690</v>
      </c>
      <c r="N65" s="419">
        <v>19309044142</v>
      </c>
      <c r="O65" s="419">
        <v>119855142202</v>
      </c>
      <c r="P65" s="419">
        <v>250954694258</v>
      </c>
      <c r="Q65" s="419">
        <v>269411651384</v>
      </c>
      <c r="R65" s="419">
        <v>9883250005</v>
      </c>
      <c r="S65" s="419">
        <v>50849837202</v>
      </c>
      <c r="T65" s="551"/>
      <c r="U65" s="551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</row>
    <row r="66" spans="1:47" s="95" customFormat="1" ht="16.5" customHeight="1">
      <c r="A66" s="330" t="s">
        <v>250</v>
      </c>
      <c r="B66" s="419">
        <v>52828050303</v>
      </c>
      <c r="C66" s="419">
        <v>63718600583</v>
      </c>
      <c r="D66" s="419">
        <v>89131819339</v>
      </c>
      <c r="E66" s="419">
        <v>36129810496</v>
      </c>
      <c r="F66" s="419">
        <v>86475182425</v>
      </c>
      <c r="G66" s="419">
        <v>120067670381</v>
      </c>
      <c r="H66" s="419">
        <v>137438821207</v>
      </c>
      <c r="I66" s="419">
        <v>119809751429</v>
      </c>
      <c r="J66" s="419">
        <v>52210015895</v>
      </c>
      <c r="K66" s="419">
        <v>71447372543</v>
      </c>
      <c r="L66" s="419">
        <v>102365205217</v>
      </c>
      <c r="M66" s="419">
        <v>91109472476</v>
      </c>
      <c r="N66" s="419">
        <v>56843985820</v>
      </c>
      <c r="O66" s="419">
        <v>133304972762</v>
      </c>
      <c r="P66" s="419">
        <v>156280892539</v>
      </c>
      <c r="Q66" s="419">
        <v>146505931409</v>
      </c>
      <c r="R66" s="419">
        <v>124437638894</v>
      </c>
      <c r="S66" s="419">
        <v>373879180856</v>
      </c>
      <c r="T66" s="551"/>
      <c r="U66" s="551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</row>
    <row r="67" spans="1:47" s="95" customFormat="1" ht="16.5" customHeight="1">
      <c r="A67" s="330" t="s">
        <v>251</v>
      </c>
      <c r="B67" s="419">
        <v>4248758589</v>
      </c>
      <c r="C67" s="419">
        <v>3079485362</v>
      </c>
      <c r="D67" s="419">
        <v>1635182447</v>
      </c>
      <c r="E67" s="419">
        <v>3817827829</v>
      </c>
      <c r="F67" s="419">
        <v>5265421972</v>
      </c>
      <c r="G67" s="419">
        <v>2268081832</v>
      </c>
      <c r="H67" s="419">
        <v>4296345184</v>
      </c>
      <c r="I67" s="419">
        <v>5077094430</v>
      </c>
      <c r="J67" s="419">
        <v>27969340590</v>
      </c>
      <c r="K67" s="419">
        <v>26705668669</v>
      </c>
      <c r="L67" s="419">
        <v>42041280897</v>
      </c>
      <c r="M67" s="419">
        <v>54368972330</v>
      </c>
      <c r="N67" s="419">
        <v>31436018579</v>
      </c>
      <c r="O67" s="419">
        <v>43978524191</v>
      </c>
      <c r="P67" s="419">
        <v>43019714227</v>
      </c>
      <c r="Q67" s="419">
        <v>102532054629</v>
      </c>
      <c r="R67" s="419">
        <v>38810037109</v>
      </c>
      <c r="S67" s="419">
        <v>46859313977</v>
      </c>
      <c r="T67" s="551"/>
      <c r="U67" s="551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</row>
    <row r="68" spans="1:47" s="95" customFormat="1" ht="16.5" customHeight="1">
      <c r="A68" s="330" t="s">
        <v>401</v>
      </c>
      <c r="B68" s="419">
        <v>0</v>
      </c>
      <c r="C68" s="419">
        <v>0</v>
      </c>
      <c r="D68" s="419">
        <v>2500000</v>
      </c>
      <c r="E68" s="419">
        <v>0</v>
      </c>
      <c r="F68" s="419">
        <v>0</v>
      </c>
      <c r="G68" s="419">
        <v>0</v>
      </c>
      <c r="H68" s="419">
        <v>0</v>
      </c>
      <c r="I68" s="419">
        <v>3500000</v>
      </c>
      <c r="J68" s="419">
        <v>0</v>
      </c>
      <c r="K68" s="419">
        <v>0</v>
      </c>
      <c r="L68" s="419">
        <v>0</v>
      </c>
      <c r="M68" s="419">
        <v>0</v>
      </c>
      <c r="N68" s="419">
        <v>0</v>
      </c>
      <c r="O68" s="419">
        <v>2500000</v>
      </c>
      <c r="P68" s="419">
        <v>2500000</v>
      </c>
      <c r="Q68" s="419">
        <v>2500000</v>
      </c>
      <c r="R68" s="419">
        <v>0</v>
      </c>
      <c r="S68" s="419">
        <v>0</v>
      </c>
      <c r="T68" s="551"/>
      <c r="U68" s="551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</row>
    <row r="69" spans="1:47" s="95" customFormat="1" ht="16.5" customHeight="1">
      <c r="A69" s="330" t="s">
        <v>252</v>
      </c>
      <c r="B69" s="419">
        <v>2099583405</v>
      </c>
      <c r="C69" s="419">
        <v>2250731912</v>
      </c>
      <c r="D69" s="419">
        <v>2251940325</v>
      </c>
      <c r="E69" s="419">
        <v>3039151163</v>
      </c>
      <c r="F69" s="419">
        <v>1826129187</v>
      </c>
      <c r="G69" s="419">
        <v>3185285508</v>
      </c>
      <c r="H69" s="419">
        <v>3548347927</v>
      </c>
      <c r="I69" s="419">
        <v>3553503778</v>
      </c>
      <c r="J69" s="419">
        <v>29009058</v>
      </c>
      <c r="K69" s="419">
        <v>368477413</v>
      </c>
      <c r="L69" s="419">
        <v>368711034</v>
      </c>
      <c r="M69" s="419">
        <v>368826912</v>
      </c>
      <c r="N69" s="419">
        <v>1287957695</v>
      </c>
      <c r="O69" s="419">
        <v>6781870888</v>
      </c>
      <c r="P69" s="419">
        <v>13873179527</v>
      </c>
      <c r="Q69" s="419">
        <v>19407926060</v>
      </c>
      <c r="R69" s="419">
        <v>204385345</v>
      </c>
      <c r="S69" s="419">
        <v>1088040861</v>
      </c>
      <c r="T69" s="551"/>
      <c r="U69" s="551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</row>
    <row r="70" spans="1:47" s="95" customFormat="1" ht="16.5" customHeight="1">
      <c r="A70" s="330" t="s">
        <v>253</v>
      </c>
      <c r="B70" s="419">
        <v>370345682</v>
      </c>
      <c r="C70" s="419">
        <v>63616009</v>
      </c>
      <c r="D70" s="419">
        <v>784087</v>
      </c>
      <c r="E70" s="419">
        <v>23561932999</v>
      </c>
      <c r="F70" s="419">
        <v>158839167</v>
      </c>
      <c r="G70" s="419">
        <v>2036966778</v>
      </c>
      <c r="H70" s="419">
        <v>8987121</v>
      </c>
      <c r="I70" s="419">
        <v>9158433204</v>
      </c>
      <c r="J70" s="419">
        <v>99408930</v>
      </c>
      <c r="K70" s="419">
        <v>4087711</v>
      </c>
      <c r="L70" s="419">
        <v>8295959398</v>
      </c>
      <c r="M70" s="419">
        <v>43055049</v>
      </c>
      <c r="N70" s="419">
        <v>2616587832</v>
      </c>
      <c r="O70" s="419">
        <v>113517511470</v>
      </c>
      <c r="P70" s="419">
        <v>53708094945</v>
      </c>
      <c r="Q70" s="419">
        <v>16149793952</v>
      </c>
      <c r="R70" s="419">
        <v>3201759709</v>
      </c>
      <c r="S70" s="419">
        <v>1491183266</v>
      </c>
      <c r="T70" s="551"/>
      <c r="U70" s="551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</row>
    <row r="71" spans="1:47" s="95" customFormat="1" ht="16.5" customHeight="1">
      <c r="A71" s="330" t="s">
        <v>254</v>
      </c>
      <c r="B71" s="419">
        <v>2064921524</v>
      </c>
      <c r="C71" s="419">
        <v>9512941837</v>
      </c>
      <c r="D71" s="419">
        <v>12349757696</v>
      </c>
      <c r="E71" s="419">
        <v>46544687873</v>
      </c>
      <c r="F71" s="419">
        <v>0</v>
      </c>
      <c r="G71" s="419">
        <v>222803066</v>
      </c>
      <c r="H71" s="419">
        <v>3860562615</v>
      </c>
      <c r="I71" s="419">
        <v>3910572516</v>
      </c>
      <c r="J71" s="419">
        <v>1503987528</v>
      </c>
      <c r="K71" s="419">
        <v>1744938142</v>
      </c>
      <c r="L71" s="419">
        <v>1862244855</v>
      </c>
      <c r="M71" s="419">
        <v>2218923625</v>
      </c>
      <c r="N71" s="419">
        <v>474369286</v>
      </c>
      <c r="O71" s="419">
        <v>642606546</v>
      </c>
      <c r="P71" s="419">
        <v>692241847</v>
      </c>
      <c r="Q71" s="419">
        <v>4782997615</v>
      </c>
      <c r="R71" s="419">
        <v>1194599403</v>
      </c>
      <c r="S71" s="419">
        <v>1862668422</v>
      </c>
      <c r="T71" s="551"/>
      <c r="U71" s="551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</row>
    <row r="72" spans="1:47" s="95" customFormat="1" ht="16.5" customHeight="1">
      <c r="A72" s="330" t="s">
        <v>255</v>
      </c>
      <c r="B72" s="419">
        <v>32617441061</v>
      </c>
      <c r="C72" s="419">
        <v>129633583944</v>
      </c>
      <c r="D72" s="419">
        <v>304567584711</v>
      </c>
      <c r="E72" s="419">
        <v>81560106321</v>
      </c>
      <c r="F72" s="419">
        <v>45351163897</v>
      </c>
      <c r="G72" s="419">
        <v>54891736229</v>
      </c>
      <c r="H72" s="419">
        <v>83276210814</v>
      </c>
      <c r="I72" s="419">
        <v>29594467562</v>
      </c>
      <c r="J72" s="419">
        <v>56016897294</v>
      </c>
      <c r="K72" s="419">
        <v>98724940615</v>
      </c>
      <c r="L72" s="419">
        <v>32715647442</v>
      </c>
      <c r="M72" s="419">
        <v>178190991325</v>
      </c>
      <c r="N72" s="419">
        <v>9937905973</v>
      </c>
      <c r="O72" s="419">
        <v>6444547638</v>
      </c>
      <c r="P72" s="419">
        <v>11903888326</v>
      </c>
      <c r="Q72" s="419">
        <v>13354584316</v>
      </c>
      <c r="R72" s="419">
        <v>73139822377</v>
      </c>
      <c r="S72" s="419">
        <v>100624974494</v>
      </c>
      <c r="T72" s="551"/>
      <c r="U72" s="551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</row>
    <row r="73" spans="1:47" s="95" customFormat="1" ht="16.5" customHeight="1">
      <c r="A73" s="330" t="s">
        <v>724</v>
      </c>
      <c r="B73" s="419">
        <v>0</v>
      </c>
      <c r="C73" s="419">
        <v>0</v>
      </c>
      <c r="D73" s="419">
        <v>0</v>
      </c>
      <c r="E73" s="419">
        <v>0</v>
      </c>
      <c r="F73" s="419">
        <v>0</v>
      </c>
      <c r="G73" s="419">
        <v>0</v>
      </c>
      <c r="H73" s="419">
        <v>0</v>
      </c>
      <c r="I73" s="419">
        <v>0</v>
      </c>
      <c r="J73" s="419">
        <v>0</v>
      </c>
      <c r="K73" s="419">
        <v>0</v>
      </c>
      <c r="L73" s="419">
        <v>0</v>
      </c>
      <c r="M73" s="419">
        <v>0</v>
      </c>
      <c r="N73" s="419">
        <v>0</v>
      </c>
      <c r="O73" s="419">
        <v>0</v>
      </c>
      <c r="P73" s="419">
        <v>0</v>
      </c>
      <c r="Q73" s="419">
        <v>0</v>
      </c>
      <c r="R73" s="419">
        <v>0</v>
      </c>
      <c r="S73" s="419">
        <v>0</v>
      </c>
      <c r="T73" s="769"/>
      <c r="U73" s="769"/>
      <c r="V73" s="551"/>
      <c r="W73" s="551"/>
      <c r="X73" s="551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</row>
    <row r="74" spans="1:47" s="95" customFormat="1" ht="16.5" customHeight="1">
      <c r="A74" s="330" t="s">
        <v>256</v>
      </c>
      <c r="B74" s="419">
        <v>65050388256</v>
      </c>
      <c r="C74" s="419">
        <v>124037049287</v>
      </c>
      <c r="D74" s="419">
        <v>194475419080</v>
      </c>
      <c r="E74" s="419">
        <v>255253084339</v>
      </c>
      <c r="F74" s="419">
        <v>76944861963</v>
      </c>
      <c r="G74" s="419">
        <v>176249982076</v>
      </c>
      <c r="H74" s="419">
        <v>274548948407</v>
      </c>
      <c r="I74" s="419">
        <v>409355827147</v>
      </c>
      <c r="J74" s="419">
        <v>100418721046</v>
      </c>
      <c r="K74" s="419">
        <v>186220908255</v>
      </c>
      <c r="L74" s="419">
        <v>239255083989</v>
      </c>
      <c r="M74" s="419">
        <v>355310029776</v>
      </c>
      <c r="N74" s="419">
        <v>68898559910</v>
      </c>
      <c r="O74" s="419">
        <v>129253588647</v>
      </c>
      <c r="P74" s="419">
        <v>180656997332</v>
      </c>
      <c r="Q74" s="419">
        <v>347981001206</v>
      </c>
      <c r="R74" s="419">
        <v>94029780558</v>
      </c>
      <c r="S74" s="419">
        <v>138679398333</v>
      </c>
      <c r="T74" s="551"/>
      <c r="U74" s="551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</row>
    <row r="75" spans="1:47" s="95" customFormat="1" ht="16.5" customHeight="1">
      <c r="A75" s="329" t="s">
        <v>257</v>
      </c>
      <c r="B75" s="419">
        <v>265282389547</v>
      </c>
      <c r="C75" s="419">
        <v>610013331964</v>
      </c>
      <c r="D75" s="419">
        <v>1037195175213</v>
      </c>
      <c r="E75" s="419">
        <v>1147550681571</v>
      </c>
      <c r="F75" s="419">
        <v>429650014592</v>
      </c>
      <c r="G75" s="419">
        <v>777865000006</v>
      </c>
      <c r="H75" s="419">
        <v>1165339274775</v>
      </c>
      <c r="I75" s="419">
        <v>1579654032049</v>
      </c>
      <c r="J75" s="419">
        <v>469719497322</v>
      </c>
      <c r="K75" s="419">
        <v>879679791969</v>
      </c>
      <c r="L75" s="419">
        <v>1199967917676</v>
      </c>
      <c r="M75" s="419">
        <v>1819198919949</v>
      </c>
      <c r="N75" s="419">
        <v>395608751036</v>
      </c>
      <c r="O75" s="419">
        <v>861970394814</v>
      </c>
      <c r="P75" s="419">
        <v>1135136507148</v>
      </c>
      <c r="Q75" s="419">
        <v>1855589216310</v>
      </c>
      <c r="R75" s="419">
        <v>469066307143</v>
      </c>
      <c r="S75" s="419">
        <v>858004793927</v>
      </c>
      <c r="T75" s="551"/>
      <c r="U75" s="551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</row>
    <row r="76" spans="1:47" s="95" customFormat="1" ht="16.5" customHeight="1">
      <c r="A76" s="330" t="s">
        <v>258</v>
      </c>
      <c r="B76" s="419">
        <v>134746260398</v>
      </c>
      <c r="C76" s="419">
        <v>281153960655</v>
      </c>
      <c r="D76" s="419">
        <v>435755093208</v>
      </c>
      <c r="E76" s="419">
        <v>593252754847</v>
      </c>
      <c r="F76" s="419">
        <v>163380618576</v>
      </c>
      <c r="G76" s="419">
        <v>333695969987</v>
      </c>
      <c r="H76" s="419">
        <v>503264213252</v>
      </c>
      <c r="I76" s="419">
        <v>673995363422</v>
      </c>
      <c r="J76" s="419">
        <v>179428228965</v>
      </c>
      <c r="K76" s="419">
        <v>358481164057</v>
      </c>
      <c r="L76" s="419">
        <v>537262029728</v>
      </c>
      <c r="M76" s="419">
        <v>719221843999</v>
      </c>
      <c r="N76" s="419">
        <v>168056830150</v>
      </c>
      <c r="O76" s="419">
        <v>331473587195</v>
      </c>
      <c r="P76" s="419">
        <v>498519441117</v>
      </c>
      <c r="Q76" s="419">
        <v>675238217876</v>
      </c>
      <c r="R76" s="419">
        <v>172008519193</v>
      </c>
      <c r="S76" s="419">
        <v>347607509959</v>
      </c>
      <c r="T76" s="551"/>
      <c r="U76" s="551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</row>
    <row r="77" spans="1:47" s="95" customFormat="1" ht="16.5" customHeight="1">
      <c r="A77" s="330" t="s">
        <v>259</v>
      </c>
      <c r="B77" s="419">
        <v>339068094</v>
      </c>
      <c r="C77" s="419">
        <v>348581706</v>
      </c>
      <c r="D77" s="419">
        <v>351678440</v>
      </c>
      <c r="E77" s="419">
        <v>942449157</v>
      </c>
      <c r="F77" s="419">
        <v>665978108</v>
      </c>
      <c r="G77" s="419">
        <v>676261484</v>
      </c>
      <c r="H77" s="419">
        <v>784109064</v>
      </c>
      <c r="I77" s="419">
        <v>856195931</v>
      </c>
      <c r="J77" s="419">
        <v>3438375</v>
      </c>
      <c r="K77" s="419">
        <v>3438375</v>
      </c>
      <c r="L77" s="419">
        <v>71070879</v>
      </c>
      <c r="M77" s="419">
        <v>86997069</v>
      </c>
      <c r="N77" s="419">
        <v>292318</v>
      </c>
      <c r="O77" s="419">
        <v>348244680</v>
      </c>
      <c r="P77" s="419">
        <v>2701857598</v>
      </c>
      <c r="Q77" s="419">
        <v>5797826729</v>
      </c>
      <c r="R77" s="419">
        <v>86124630</v>
      </c>
      <c r="S77" s="419">
        <v>182864110</v>
      </c>
      <c r="T77" s="551"/>
      <c r="U77" s="551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</row>
    <row r="78" spans="1:47" s="95" customFormat="1" ht="16.5" customHeight="1">
      <c r="A78" s="330" t="s">
        <v>260</v>
      </c>
      <c r="B78" s="419">
        <v>10070568249</v>
      </c>
      <c r="C78" s="419">
        <v>21006065523</v>
      </c>
      <c r="D78" s="419">
        <v>38797445577</v>
      </c>
      <c r="E78" s="419">
        <v>67737890926</v>
      </c>
      <c r="F78" s="419">
        <v>105785844954</v>
      </c>
      <c r="G78" s="419">
        <v>214696665430</v>
      </c>
      <c r="H78" s="419">
        <v>337003924766</v>
      </c>
      <c r="I78" s="419">
        <v>460947240850</v>
      </c>
      <c r="J78" s="419">
        <v>120473404523</v>
      </c>
      <c r="K78" s="419">
        <v>242694484261</v>
      </c>
      <c r="L78" s="419">
        <v>370188443706</v>
      </c>
      <c r="M78" s="419">
        <v>502440066645</v>
      </c>
      <c r="N78" s="419">
        <v>122266119198</v>
      </c>
      <c r="O78" s="419">
        <v>247719415286</v>
      </c>
      <c r="P78" s="419">
        <v>374516061169</v>
      </c>
      <c r="Q78" s="419">
        <v>499456234466</v>
      </c>
      <c r="R78" s="419">
        <v>116584932943</v>
      </c>
      <c r="S78" s="419">
        <v>237271276121</v>
      </c>
      <c r="T78" s="551"/>
      <c r="U78" s="551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</row>
    <row r="79" spans="1:47" s="95" customFormat="1" ht="16.5" customHeight="1">
      <c r="A79" s="330" t="s">
        <v>261</v>
      </c>
      <c r="B79" s="419">
        <v>142345262</v>
      </c>
      <c r="C79" s="419">
        <v>31942894</v>
      </c>
      <c r="D79" s="419">
        <v>-27557106</v>
      </c>
      <c r="E79" s="419">
        <v>727499006</v>
      </c>
      <c r="F79" s="419">
        <v>0</v>
      </c>
      <c r="G79" s="419">
        <v>0</v>
      </c>
      <c r="H79" s="419">
        <v>0</v>
      </c>
      <c r="I79" s="419">
        <v>7882294</v>
      </c>
      <c r="J79" s="419">
        <v>1865680</v>
      </c>
      <c r="K79" s="419">
        <v>0</v>
      </c>
      <c r="L79" s="419">
        <v>215548234</v>
      </c>
      <c r="M79" s="419">
        <v>3017</v>
      </c>
      <c r="N79" s="419">
        <v>3723112002</v>
      </c>
      <c r="O79" s="419">
        <v>122959983806</v>
      </c>
      <c r="P79" s="419">
        <v>68966842214</v>
      </c>
      <c r="Q79" s="419">
        <v>27433564343</v>
      </c>
      <c r="R79" s="419">
        <v>0</v>
      </c>
      <c r="S79" s="419">
        <v>40121775</v>
      </c>
      <c r="T79" s="551"/>
      <c r="U79" s="551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</row>
    <row r="80" spans="1:47" s="95" customFormat="1" ht="16.5" customHeight="1">
      <c r="A80" s="330" t="s">
        <v>262</v>
      </c>
      <c r="B80" s="419">
        <v>11945209431</v>
      </c>
      <c r="C80" s="419">
        <v>14735320784</v>
      </c>
      <c r="D80" s="419">
        <v>15686011915</v>
      </c>
      <c r="E80" s="419">
        <v>31255333685</v>
      </c>
      <c r="F80" s="419">
        <v>2099003491</v>
      </c>
      <c r="G80" s="419">
        <v>9616018130</v>
      </c>
      <c r="H80" s="419">
        <v>24102887535</v>
      </c>
      <c r="I80" s="419">
        <v>31226255661</v>
      </c>
      <c r="J80" s="419">
        <v>1929202721</v>
      </c>
      <c r="K80" s="419">
        <v>6016127087</v>
      </c>
      <c r="L80" s="419">
        <v>7908010645</v>
      </c>
      <c r="M80" s="419">
        <v>16289049374</v>
      </c>
      <c r="N80" s="419">
        <v>2400919476</v>
      </c>
      <c r="O80" s="419">
        <v>5347044633</v>
      </c>
      <c r="P80" s="419">
        <v>7958308712</v>
      </c>
      <c r="Q80" s="419">
        <v>23955774512</v>
      </c>
      <c r="R80" s="419">
        <v>3263283914</v>
      </c>
      <c r="S80" s="419">
        <v>8177948765</v>
      </c>
      <c r="T80" s="551"/>
      <c r="U80" s="551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</row>
    <row r="81" spans="1:47" s="95" customFormat="1" ht="16.5" customHeight="1">
      <c r="A81" s="330" t="s">
        <v>725</v>
      </c>
      <c r="B81" s="419">
        <v>0</v>
      </c>
      <c r="C81" s="419">
        <v>0</v>
      </c>
      <c r="D81" s="419">
        <v>0</v>
      </c>
      <c r="E81" s="419">
        <v>0</v>
      </c>
      <c r="F81" s="419">
        <v>0</v>
      </c>
      <c r="G81" s="419">
        <v>0</v>
      </c>
      <c r="H81" s="419">
        <v>0</v>
      </c>
      <c r="I81" s="419">
        <v>0</v>
      </c>
      <c r="J81" s="419">
        <v>0</v>
      </c>
      <c r="K81" s="419">
        <v>0</v>
      </c>
      <c r="L81" s="419">
        <v>0</v>
      </c>
      <c r="M81" s="419">
        <v>0</v>
      </c>
      <c r="N81" s="419">
        <v>0</v>
      </c>
      <c r="O81" s="419">
        <v>0</v>
      </c>
      <c r="P81" s="419">
        <v>0</v>
      </c>
      <c r="Q81" s="419">
        <v>0</v>
      </c>
      <c r="R81" s="419">
        <v>0</v>
      </c>
      <c r="S81" s="419">
        <v>9347345</v>
      </c>
      <c r="T81" s="767"/>
      <c r="U81" s="768"/>
      <c r="V81" s="551"/>
      <c r="W81" s="551"/>
      <c r="X81" s="551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</row>
    <row r="82" spans="1:47" s="95" customFormat="1" ht="16.5" customHeight="1">
      <c r="A82" s="330" t="s">
        <v>263</v>
      </c>
      <c r="B82" s="419">
        <v>1290431920</v>
      </c>
      <c r="C82" s="419">
        <v>2550497235</v>
      </c>
      <c r="D82" s="419">
        <v>3881999540</v>
      </c>
      <c r="E82" s="419">
        <v>5080707412</v>
      </c>
      <c r="F82" s="419">
        <v>1416019242</v>
      </c>
      <c r="G82" s="419">
        <v>2777195556</v>
      </c>
      <c r="H82" s="419">
        <v>4310368766</v>
      </c>
      <c r="I82" s="419">
        <v>5782609384</v>
      </c>
      <c r="J82" s="419">
        <v>1402050633</v>
      </c>
      <c r="K82" s="419">
        <v>2775121158</v>
      </c>
      <c r="L82" s="419">
        <v>4472610303</v>
      </c>
      <c r="M82" s="419">
        <v>6016669521</v>
      </c>
      <c r="N82" s="419">
        <v>1556945781</v>
      </c>
      <c r="O82" s="419">
        <v>3355347146</v>
      </c>
      <c r="P82" s="419">
        <v>4965747925</v>
      </c>
      <c r="Q82" s="419">
        <v>6615527439</v>
      </c>
      <c r="R82" s="419">
        <v>1130493172</v>
      </c>
      <c r="S82" s="419">
        <v>2962707975</v>
      </c>
      <c r="T82" s="551"/>
      <c r="U82" s="551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</row>
    <row r="83" spans="1:47" s="95" customFormat="1" ht="16.5" customHeight="1">
      <c r="A83" s="330" t="s">
        <v>264</v>
      </c>
      <c r="B83" s="419">
        <v>997892036</v>
      </c>
      <c r="C83" s="419">
        <v>1995784071</v>
      </c>
      <c r="D83" s="419">
        <v>2993676104</v>
      </c>
      <c r="E83" s="419">
        <v>3906848213</v>
      </c>
      <c r="F83" s="419">
        <v>1042145399</v>
      </c>
      <c r="G83" s="419">
        <v>2055069214</v>
      </c>
      <c r="H83" s="419">
        <v>2969812618</v>
      </c>
      <c r="I83" s="419">
        <v>3979929615</v>
      </c>
      <c r="J83" s="419">
        <v>994982404</v>
      </c>
      <c r="K83" s="419">
        <v>1998612815</v>
      </c>
      <c r="L83" s="419">
        <v>3035843543</v>
      </c>
      <c r="M83" s="419">
        <v>4052407710</v>
      </c>
      <c r="N83" s="419">
        <v>1009407725</v>
      </c>
      <c r="O83" s="419">
        <v>2018536937</v>
      </c>
      <c r="P83" s="419">
        <v>3029275484</v>
      </c>
      <c r="Q83" s="419">
        <v>4080120663</v>
      </c>
      <c r="R83" s="419">
        <v>1021752406</v>
      </c>
      <c r="S83" s="419">
        <v>2050434757</v>
      </c>
      <c r="T83" s="551"/>
      <c r="U83" s="551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</row>
    <row r="84" spans="1:47" s="95" customFormat="1" ht="16.5" customHeight="1">
      <c r="A84" s="330" t="s">
        <v>265</v>
      </c>
      <c r="B84" s="419">
        <v>8718433436</v>
      </c>
      <c r="C84" s="419">
        <v>12747994493</v>
      </c>
      <c r="D84" s="419">
        <v>15608799642</v>
      </c>
      <c r="E84" s="419">
        <v>28219646150</v>
      </c>
      <c r="F84" s="419">
        <v>7271975370</v>
      </c>
      <c r="G84" s="419">
        <v>22114598003</v>
      </c>
      <c r="H84" s="419">
        <v>28673981901</v>
      </c>
      <c r="I84" s="419">
        <v>46011837261</v>
      </c>
      <c r="J84" s="419">
        <v>11971111217</v>
      </c>
      <c r="K84" s="419">
        <v>37805694424</v>
      </c>
      <c r="L84" s="419">
        <v>60479105835</v>
      </c>
      <c r="M84" s="419">
        <v>92023589385</v>
      </c>
      <c r="N84" s="419">
        <v>18974984500</v>
      </c>
      <c r="O84" s="419">
        <v>42823751183</v>
      </c>
      <c r="P84" s="419">
        <v>59657584540</v>
      </c>
      <c r="Q84" s="419">
        <v>264623749466</v>
      </c>
      <c r="R84" s="419">
        <v>54080576807</v>
      </c>
      <c r="S84" s="419">
        <v>67935922910</v>
      </c>
      <c r="T84" s="551"/>
      <c r="U84" s="551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</row>
    <row r="85" spans="1:47" s="95" customFormat="1" ht="16.5" customHeight="1">
      <c r="A85" s="330" t="s">
        <v>266</v>
      </c>
      <c r="B85" s="419">
        <v>2353402075</v>
      </c>
      <c r="C85" s="419">
        <v>4733651305</v>
      </c>
      <c r="D85" s="419">
        <v>7102489407</v>
      </c>
      <c r="E85" s="419">
        <v>9612105174</v>
      </c>
      <c r="F85" s="419">
        <v>2592775855</v>
      </c>
      <c r="G85" s="419">
        <v>5226271008</v>
      </c>
      <c r="H85" s="419">
        <v>7874321553</v>
      </c>
      <c r="I85" s="419">
        <v>10576770702</v>
      </c>
      <c r="J85" s="419">
        <v>2713078824</v>
      </c>
      <c r="K85" s="419">
        <v>5322102884</v>
      </c>
      <c r="L85" s="419">
        <v>7939580928</v>
      </c>
      <c r="M85" s="419">
        <v>10608878926</v>
      </c>
      <c r="N85" s="419">
        <v>2685517927</v>
      </c>
      <c r="O85" s="419">
        <v>5372685873</v>
      </c>
      <c r="P85" s="419">
        <v>8085891198</v>
      </c>
      <c r="Q85" s="419">
        <v>10840621442</v>
      </c>
      <c r="R85" s="419">
        <v>3134897928</v>
      </c>
      <c r="S85" s="419">
        <v>6329323130</v>
      </c>
      <c r="T85" s="551"/>
      <c r="U85" s="551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</row>
    <row r="86" spans="1:47" s="95" customFormat="1" ht="16.5" customHeight="1">
      <c r="A86" s="330" t="s">
        <v>267</v>
      </c>
      <c r="B86" s="419">
        <v>56127690357</v>
      </c>
      <c r="C86" s="419">
        <v>123748007149</v>
      </c>
      <c r="D86" s="419">
        <v>185260032635</v>
      </c>
      <c r="E86" s="419">
        <v>220157496168</v>
      </c>
      <c r="F86" s="419">
        <v>33009802299</v>
      </c>
      <c r="G86" s="419">
        <v>62156761125</v>
      </c>
      <c r="H86" s="419">
        <v>87076853618</v>
      </c>
      <c r="I86" s="419">
        <v>205074722413</v>
      </c>
      <c r="J86" s="419">
        <v>40804144145</v>
      </c>
      <c r="K86" s="419">
        <v>49906412194</v>
      </c>
      <c r="L86" s="419">
        <v>82052108385</v>
      </c>
      <c r="M86" s="419">
        <v>207229171183</v>
      </c>
      <c r="N86" s="419">
        <v>42271148197</v>
      </c>
      <c r="O86" s="419">
        <v>53384478386</v>
      </c>
      <c r="P86" s="419">
        <v>51278838301</v>
      </c>
      <c r="Q86" s="419">
        <v>213599378024</v>
      </c>
      <c r="R86" s="419">
        <v>36918283619</v>
      </c>
      <c r="S86" s="419">
        <v>50024277344</v>
      </c>
      <c r="T86" s="551"/>
      <c r="U86" s="551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</row>
    <row r="87" spans="1:47" s="95" customFormat="1" ht="16.5" customHeight="1">
      <c r="A87" s="330" t="s">
        <v>268</v>
      </c>
      <c r="B87" s="419">
        <v>3702600999</v>
      </c>
      <c r="C87" s="419">
        <v>3703122495</v>
      </c>
      <c r="D87" s="419">
        <v>3703693497</v>
      </c>
      <c r="E87" s="419">
        <v>3704171716</v>
      </c>
      <c r="F87" s="419">
        <v>1259330</v>
      </c>
      <c r="G87" s="419">
        <v>1787267</v>
      </c>
      <c r="H87" s="419">
        <v>3093223</v>
      </c>
      <c r="I87" s="419">
        <v>4148114</v>
      </c>
      <c r="J87" s="419">
        <v>434926</v>
      </c>
      <c r="K87" s="419">
        <v>1076129</v>
      </c>
      <c r="L87" s="419">
        <v>1833788</v>
      </c>
      <c r="M87" s="419">
        <v>2294389</v>
      </c>
      <c r="N87" s="419">
        <v>206960</v>
      </c>
      <c r="O87" s="419">
        <v>15905146</v>
      </c>
      <c r="P87" s="419">
        <v>16588514</v>
      </c>
      <c r="Q87" s="419">
        <v>17667130</v>
      </c>
      <c r="R87" s="419">
        <v>543337</v>
      </c>
      <c r="S87" s="419">
        <v>698169897</v>
      </c>
      <c r="T87" s="551"/>
      <c r="U87" s="551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</row>
    <row r="88" spans="1:47" s="95" customFormat="1" ht="16.5" customHeight="1">
      <c r="A88" s="330" t="s">
        <v>269</v>
      </c>
      <c r="B88" s="419">
        <v>349982158</v>
      </c>
      <c r="C88" s="419">
        <v>6148994177</v>
      </c>
      <c r="D88" s="419">
        <v>14009183380</v>
      </c>
      <c r="E88" s="419">
        <v>32140241544</v>
      </c>
      <c r="F88" s="419">
        <v>66267919733</v>
      </c>
      <c r="G88" s="419">
        <v>65718468034</v>
      </c>
      <c r="H88" s="419">
        <v>79704812612</v>
      </c>
      <c r="I88" s="419">
        <v>95300564835</v>
      </c>
      <c r="J88" s="419">
        <v>52556507390</v>
      </c>
      <c r="K88" s="419">
        <v>69410200013</v>
      </c>
      <c r="L88" s="419">
        <v>75165860533</v>
      </c>
      <c r="M88" s="419">
        <v>73875551689</v>
      </c>
      <c r="N88" s="419">
        <v>20170290570</v>
      </c>
      <c r="O88" s="419">
        <v>38928105671</v>
      </c>
      <c r="P88" s="419">
        <v>39733059087</v>
      </c>
      <c r="Q88" s="419">
        <v>91556651407</v>
      </c>
      <c r="R88" s="419">
        <v>4277816020</v>
      </c>
      <c r="S88" s="419">
        <v>27582451896</v>
      </c>
      <c r="T88" s="551"/>
      <c r="U88" s="551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</row>
    <row r="89" spans="1:47" s="95" customFormat="1" ht="16.5" customHeight="1">
      <c r="A89" s="330" t="s">
        <v>608</v>
      </c>
      <c r="B89" s="419">
        <v>0</v>
      </c>
      <c r="C89" s="419">
        <v>0</v>
      </c>
      <c r="D89" s="419">
        <v>0</v>
      </c>
      <c r="E89" s="419">
        <v>0</v>
      </c>
      <c r="F89" s="419">
        <v>0</v>
      </c>
      <c r="G89" s="419">
        <v>0</v>
      </c>
      <c r="H89" s="419">
        <v>0</v>
      </c>
      <c r="I89" s="419">
        <v>0</v>
      </c>
      <c r="J89" s="419">
        <v>0</v>
      </c>
      <c r="K89" s="419">
        <v>4096989000</v>
      </c>
      <c r="L89" s="419">
        <v>4462416000</v>
      </c>
      <c r="M89" s="419">
        <v>4462416000</v>
      </c>
      <c r="N89" s="419">
        <v>0</v>
      </c>
      <c r="O89" s="419">
        <v>0</v>
      </c>
      <c r="P89" s="419">
        <v>0</v>
      </c>
      <c r="Q89" s="419">
        <v>0</v>
      </c>
      <c r="R89" s="419">
        <v>0</v>
      </c>
      <c r="S89" s="419">
        <v>0</v>
      </c>
      <c r="T89" s="551"/>
      <c r="U89" s="551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</row>
    <row r="90" spans="1:47" s="95" customFormat="1" ht="16.5" customHeight="1">
      <c r="A90" s="330" t="s">
        <v>270</v>
      </c>
      <c r="B90" s="419">
        <v>0</v>
      </c>
      <c r="C90" s="419">
        <v>14000000</v>
      </c>
      <c r="D90" s="419">
        <v>14000000</v>
      </c>
      <c r="E90" s="419">
        <v>14000000</v>
      </c>
      <c r="F90" s="419">
        <v>0</v>
      </c>
      <c r="G90" s="419">
        <v>0</v>
      </c>
      <c r="H90" s="419">
        <v>0</v>
      </c>
      <c r="I90" s="419">
        <v>1750000</v>
      </c>
      <c r="J90" s="419">
        <v>0</v>
      </c>
      <c r="K90" s="419">
        <v>3500000</v>
      </c>
      <c r="L90" s="419">
        <v>3500000</v>
      </c>
      <c r="M90" s="419">
        <v>3500000</v>
      </c>
      <c r="N90" s="419">
        <v>3500000</v>
      </c>
      <c r="O90" s="419">
        <v>7000000</v>
      </c>
      <c r="P90" s="419">
        <v>8750000</v>
      </c>
      <c r="Q90" s="419">
        <v>8750000</v>
      </c>
      <c r="R90" s="419">
        <v>0</v>
      </c>
      <c r="S90" s="419">
        <v>0</v>
      </c>
      <c r="T90" s="551"/>
      <c r="U90" s="551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</row>
    <row r="91" spans="1:47" s="95" customFormat="1" ht="16.5" customHeight="1">
      <c r="A91" s="330" t="s">
        <v>271</v>
      </c>
      <c r="B91" s="419">
        <v>4424789732</v>
      </c>
      <c r="C91" s="419">
        <v>24266544143</v>
      </c>
      <c r="D91" s="419">
        <v>47783444724</v>
      </c>
      <c r="E91" s="419">
        <v>94795303635</v>
      </c>
      <c r="F91" s="419">
        <v>1711693287</v>
      </c>
      <c r="G91" s="419">
        <v>10659166537</v>
      </c>
      <c r="H91" s="419">
        <v>16365444531</v>
      </c>
      <c r="I91" s="419">
        <v>22184033995</v>
      </c>
      <c r="J91" s="419">
        <v>5964428201</v>
      </c>
      <c r="K91" s="419">
        <v>15123617015</v>
      </c>
      <c r="L91" s="419">
        <v>21639328756</v>
      </c>
      <c r="M91" s="419">
        <v>27403744518</v>
      </c>
      <c r="N91" s="419">
        <v>155116</v>
      </c>
      <c r="O91" s="419">
        <v>4521886059</v>
      </c>
      <c r="P91" s="419">
        <v>4702025302</v>
      </c>
      <c r="Q91" s="419">
        <v>11862323687</v>
      </c>
      <c r="R91" s="419">
        <v>11799804465</v>
      </c>
      <c r="S91" s="419">
        <v>21217648953</v>
      </c>
      <c r="T91" s="551"/>
      <c r="U91" s="551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</row>
    <row r="92" spans="1:47" s="95" customFormat="1" ht="16.5" customHeight="1">
      <c r="A92" s="330" t="s">
        <v>272</v>
      </c>
      <c r="B92" s="419">
        <v>30073715400</v>
      </c>
      <c r="C92" s="419">
        <v>112828865334</v>
      </c>
      <c r="D92" s="419">
        <v>266275184250</v>
      </c>
      <c r="E92" s="419">
        <v>56004233938</v>
      </c>
      <c r="F92" s="419">
        <v>44404978948</v>
      </c>
      <c r="G92" s="419">
        <v>48470768231</v>
      </c>
      <c r="H92" s="419">
        <v>73205451336</v>
      </c>
      <c r="I92" s="419">
        <v>23704727572</v>
      </c>
      <c r="J92" s="419">
        <v>51476619318</v>
      </c>
      <c r="K92" s="419">
        <v>86041252557</v>
      </c>
      <c r="L92" s="419">
        <v>25070626413</v>
      </c>
      <c r="M92" s="419">
        <v>155482736524</v>
      </c>
      <c r="N92" s="419">
        <v>12489321116</v>
      </c>
      <c r="O92" s="419">
        <v>3694422813</v>
      </c>
      <c r="P92" s="419">
        <v>10996235987</v>
      </c>
      <c r="Q92" s="419">
        <v>20502809126</v>
      </c>
      <c r="R92" s="419">
        <v>64759278709</v>
      </c>
      <c r="S92" s="419">
        <v>85914788990</v>
      </c>
      <c r="T92" s="551"/>
      <c r="U92" s="551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</row>
    <row r="93" spans="1:47" s="95" customFormat="1" ht="16.5" customHeight="1">
      <c r="A93" s="693" t="s">
        <v>402</v>
      </c>
      <c r="B93" s="423">
        <v>447602353846</v>
      </c>
      <c r="C93" s="423">
        <v>919469053380</v>
      </c>
      <c r="D93" s="423">
        <v>1440495965008</v>
      </c>
      <c r="E93" s="423">
        <v>1712482109632</v>
      </c>
      <c r="F93" s="423">
        <v>543597977824</v>
      </c>
      <c r="G93" s="423">
        <v>1102233645314</v>
      </c>
      <c r="H93" s="423">
        <v>1742829278977</v>
      </c>
      <c r="I93" s="423">
        <v>2106510789451</v>
      </c>
      <c r="J93" s="423">
        <v>660648467645</v>
      </c>
      <c r="K93" s="423">
        <v>1337050752998</v>
      </c>
      <c r="L93" s="423">
        <v>2004079660912</v>
      </c>
      <c r="M93" s="423">
        <v>2295221495826</v>
      </c>
      <c r="N93" s="423">
        <v>621903574019</v>
      </c>
      <c r="O93" s="423">
        <v>1328945798655</v>
      </c>
      <c r="P93" s="423">
        <v>1953992368684</v>
      </c>
      <c r="Q93" s="423">
        <v>2287756727438</v>
      </c>
      <c r="R93" s="423">
        <v>630744713471</v>
      </c>
      <c r="S93" s="423">
        <v>1400597825346</v>
      </c>
      <c r="T93" s="551"/>
      <c r="U93" s="551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</row>
    <row r="94" spans="1:47" s="95" customFormat="1" ht="16.5" customHeight="1">
      <c r="A94" s="332" t="s">
        <v>403</v>
      </c>
      <c r="B94" s="421">
        <v>330688743</v>
      </c>
      <c r="C94" s="421">
        <v>548218119</v>
      </c>
      <c r="D94" s="421">
        <v>1755378960</v>
      </c>
      <c r="E94" s="421">
        <v>1782977766</v>
      </c>
      <c r="F94" s="421">
        <v>-133115737</v>
      </c>
      <c r="G94" s="421">
        <v>830625513</v>
      </c>
      <c r="H94" s="421">
        <v>11454872496</v>
      </c>
      <c r="I94" s="421">
        <v>12976406515</v>
      </c>
      <c r="J94" s="421">
        <v>416998726</v>
      </c>
      <c r="K94" s="421">
        <v>735560556</v>
      </c>
      <c r="L94" s="421">
        <v>1262793391</v>
      </c>
      <c r="M94" s="421">
        <v>3185918989</v>
      </c>
      <c r="N94" s="421">
        <v>2113188600</v>
      </c>
      <c r="O94" s="421">
        <v>2528642953</v>
      </c>
      <c r="P94" s="421">
        <v>4551946684</v>
      </c>
      <c r="Q94" s="421">
        <v>6270729184</v>
      </c>
      <c r="R94" s="421">
        <v>281453617</v>
      </c>
      <c r="S94" s="419">
        <v>-330492409</v>
      </c>
      <c r="T94" s="551"/>
      <c r="U94" s="551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</row>
    <row r="95" spans="1:47" s="95" customFormat="1" ht="16.5" customHeight="1">
      <c r="A95" s="329" t="s">
        <v>273</v>
      </c>
      <c r="B95" s="419">
        <v>914983498</v>
      </c>
      <c r="C95" s="419">
        <v>1735517239</v>
      </c>
      <c r="D95" s="419">
        <v>3571667347</v>
      </c>
      <c r="E95" s="419">
        <v>5459308257</v>
      </c>
      <c r="F95" s="419">
        <v>1088513342</v>
      </c>
      <c r="G95" s="419">
        <v>2735787269</v>
      </c>
      <c r="H95" s="419">
        <v>13914465059</v>
      </c>
      <c r="I95" s="419">
        <v>16142030618</v>
      </c>
      <c r="J95" s="419">
        <v>1302164892</v>
      </c>
      <c r="K95" s="419">
        <v>2017807886</v>
      </c>
      <c r="L95" s="419">
        <v>3354315416</v>
      </c>
      <c r="M95" s="419">
        <v>5855692447</v>
      </c>
      <c r="N95" s="419">
        <v>2651975122</v>
      </c>
      <c r="O95" s="419">
        <v>3686969661</v>
      </c>
      <c r="P95" s="419">
        <v>6193847603</v>
      </c>
      <c r="Q95" s="419">
        <v>8438617888</v>
      </c>
      <c r="R95" s="419">
        <v>1178511202</v>
      </c>
      <c r="S95" s="419">
        <v>2483878145</v>
      </c>
      <c r="T95" s="551"/>
      <c r="U95" s="551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</row>
    <row r="96" spans="1:47" s="95" customFormat="1" ht="16.5" customHeight="1">
      <c r="A96" s="329" t="s">
        <v>274</v>
      </c>
      <c r="B96" s="419">
        <v>584294755</v>
      </c>
      <c r="C96" s="419">
        <v>1187299120</v>
      </c>
      <c r="D96" s="419">
        <v>1816288387</v>
      </c>
      <c r="E96" s="419">
        <v>3676330491</v>
      </c>
      <c r="F96" s="419">
        <v>1221629079</v>
      </c>
      <c r="G96" s="419">
        <v>1905161756</v>
      </c>
      <c r="H96" s="419">
        <v>2459592563</v>
      </c>
      <c r="I96" s="419">
        <v>3165624103</v>
      </c>
      <c r="J96" s="419">
        <v>885166166</v>
      </c>
      <c r="K96" s="419">
        <v>1282247330</v>
      </c>
      <c r="L96" s="419">
        <v>2091522025</v>
      </c>
      <c r="M96" s="419">
        <v>2669773458</v>
      </c>
      <c r="N96" s="419">
        <v>538786522</v>
      </c>
      <c r="O96" s="419">
        <v>1158326708</v>
      </c>
      <c r="P96" s="419">
        <v>1641900919</v>
      </c>
      <c r="Q96" s="419">
        <v>2167888704</v>
      </c>
      <c r="R96" s="419">
        <v>897057585</v>
      </c>
      <c r="S96" s="419">
        <v>2814370554</v>
      </c>
      <c r="T96" s="551"/>
      <c r="U96" s="551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</row>
    <row r="97" spans="1:64" s="95" customFormat="1" ht="16.5" customHeight="1">
      <c r="A97" s="693" t="s">
        <v>404</v>
      </c>
      <c r="B97" s="423">
        <v>447933042589</v>
      </c>
      <c r="C97" s="423">
        <v>920017271499</v>
      </c>
      <c r="D97" s="423">
        <v>1442251343968</v>
      </c>
      <c r="E97" s="423">
        <v>1714265087398</v>
      </c>
      <c r="F97" s="423">
        <v>543464862087</v>
      </c>
      <c r="G97" s="423">
        <v>1103064270827</v>
      </c>
      <c r="H97" s="423">
        <v>1754284151473</v>
      </c>
      <c r="I97" s="423">
        <v>2119487195966</v>
      </c>
      <c r="J97" s="423">
        <v>661065466371</v>
      </c>
      <c r="K97" s="423">
        <v>1337786313554</v>
      </c>
      <c r="L97" s="423">
        <v>2005342454303</v>
      </c>
      <c r="M97" s="423">
        <v>2298407414815</v>
      </c>
      <c r="N97" s="423">
        <v>624016762619</v>
      </c>
      <c r="O97" s="423">
        <v>1331474441608</v>
      </c>
      <c r="P97" s="423">
        <v>1958544315368</v>
      </c>
      <c r="Q97" s="423">
        <v>2294027456622</v>
      </c>
      <c r="R97" s="423">
        <v>631026167088</v>
      </c>
      <c r="S97" s="423">
        <v>1400267332937</v>
      </c>
      <c r="T97" s="551"/>
      <c r="U97" s="551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</row>
    <row r="98" spans="1:64" s="95" customFormat="1" ht="16.5" customHeight="1">
      <c r="A98" s="332" t="s">
        <v>405</v>
      </c>
      <c r="B98" s="421">
        <v>122284326353</v>
      </c>
      <c r="C98" s="421">
        <v>251191192875</v>
      </c>
      <c r="D98" s="421">
        <v>393602167066</v>
      </c>
      <c r="E98" s="421">
        <v>456093372483.51099</v>
      </c>
      <c r="F98" s="421">
        <v>146938715486</v>
      </c>
      <c r="G98" s="421">
        <v>287060466847</v>
      </c>
      <c r="H98" s="421">
        <v>458214829849</v>
      </c>
      <c r="I98" s="421">
        <v>552504563436</v>
      </c>
      <c r="J98" s="421">
        <v>170201329315</v>
      </c>
      <c r="K98" s="421">
        <v>340101312372</v>
      </c>
      <c r="L98" s="421">
        <v>512557961624</v>
      </c>
      <c r="M98" s="421">
        <v>587857531432</v>
      </c>
      <c r="N98" s="421">
        <v>161503390270</v>
      </c>
      <c r="O98" s="421">
        <v>344220070327</v>
      </c>
      <c r="P98" s="421">
        <v>507468474397</v>
      </c>
      <c r="Q98" s="421">
        <v>613003126393</v>
      </c>
      <c r="R98" s="421">
        <v>164954825757</v>
      </c>
      <c r="S98" s="419">
        <v>375928954622</v>
      </c>
      <c r="T98" s="551"/>
      <c r="U98" s="551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</row>
    <row r="99" spans="1:64" s="95" customFormat="1" ht="16.5" customHeight="1">
      <c r="A99" s="691" t="s">
        <v>406</v>
      </c>
      <c r="B99" s="692">
        <v>325648716236</v>
      </c>
      <c r="C99" s="692">
        <v>668826078624</v>
      </c>
      <c r="D99" s="692">
        <v>1048649176902</v>
      </c>
      <c r="E99" s="692">
        <v>1258171714914.489</v>
      </c>
      <c r="F99" s="692">
        <v>396526146601</v>
      </c>
      <c r="G99" s="692">
        <v>816003803980</v>
      </c>
      <c r="H99" s="692">
        <v>1296069321624</v>
      </c>
      <c r="I99" s="692">
        <v>1566982632530</v>
      </c>
      <c r="J99" s="692">
        <v>490864137056</v>
      </c>
      <c r="K99" s="692">
        <v>997685001182</v>
      </c>
      <c r="L99" s="692">
        <v>1492784492679</v>
      </c>
      <c r="M99" s="692">
        <v>1710549883383</v>
      </c>
      <c r="N99" s="692">
        <v>462513372349</v>
      </c>
      <c r="O99" s="692">
        <v>987254371281</v>
      </c>
      <c r="P99" s="692">
        <v>1451075840971</v>
      </c>
      <c r="Q99" s="692">
        <v>1681024330229</v>
      </c>
      <c r="R99" s="692">
        <v>466071341331</v>
      </c>
      <c r="S99" s="692">
        <v>1024338378315</v>
      </c>
      <c r="T99" s="551"/>
      <c r="U99" s="551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</row>
    <row r="100" spans="1:64" s="95" customFormat="1" ht="16.5" customHeight="1">
      <c r="A100" s="188" t="s">
        <v>553</v>
      </c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489"/>
      <c r="Q100" s="489"/>
      <c r="R100" s="489"/>
      <c r="S100" s="489"/>
      <c r="T100" s="551"/>
      <c r="U100" s="423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</row>
    <row r="101" spans="1:64" ht="17.25">
      <c r="T101" s="457"/>
      <c r="U101" s="562"/>
      <c r="V101" s="457"/>
      <c r="W101" s="457"/>
      <c r="X101" s="457"/>
      <c r="Y101" s="62"/>
      <c r="Z101" s="563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</row>
    <row r="102" spans="1:64" ht="17.25">
      <c r="T102" s="457"/>
      <c r="U102" s="562"/>
      <c r="V102" s="457"/>
      <c r="W102" s="457"/>
      <c r="X102" s="457"/>
      <c r="Y102" s="62"/>
      <c r="Z102" s="563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</row>
    <row r="103" spans="1:64" ht="17.25">
      <c r="T103" s="457"/>
      <c r="U103" s="562"/>
      <c r="V103" s="457"/>
      <c r="W103" s="457"/>
      <c r="X103" s="457"/>
      <c r="Y103" s="62"/>
      <c r="Z103" s="563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</row>
    <row r="104" spans="1:64" ht="17.25">
      <c r="T104" s="457"/>
      <c r="U104" s="562"/>
      <c r="V104" s="457"/>
      <c r="W104" s="457"/>
      <c r="X104" s="457"/>
      <c r="Y104" s="62"/>
      <c r="Z104" s="563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</row>
    <row r="105" spans="1:64" ht="17.25">
      <c r="T105" s="457"/>
      <c r="U105" s="562"/>
      <c r="V105" s="457"/>
      <c r="W105" s="457"/>
      <c r="X105" s="457"/>
      <c r="Y105" s="62"/>
      <c r="Z105" s="563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</row>
    <row r="106" spans="1:64" ht="17.25">
      <c r="T106" s="457"/>
      <c r="U106" s="562"/>
      <c r="V106" s="457"/>
      <c r="W106" s="457"/>
      <c r="X106" s="457"/>
      <c r="Y106" s="62"/>
      <c r="Z106" s="563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</row>
    <row r="107" spans="1:64" ht="17.25">
      <c r="T107" s="457"/>
      <c r="U107" s="562"/>
      <c r="V107" s="457"/>
      <c r="W107" s="457"/>
      <c r="X107" s="457"/>
      <c r="Y107" s="62"/>
      <c r="Z107" s="563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</row>
    <row r="108" spans="1:64" ht="17.25">
      <c r="T108" s="457"/>
      <c r="U108" s="562"/>
      <c r="V108" s="457"/>
      <c r="W108" s="457"/>
      <c r="X108" s="457"/>
      <c r="Y108" s="62"/>
      <c r="Z108" s="563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</row>
    <row r="109" spans="1:64" ht="17.25">
      <c r="T109" s="457"/>
      <c r="U109" s="562"/>
      <c r="V109" s="457"/>
      <c r="W109" s="457"/>
      <c r="X109" s="457"/>
      <c r="Y109" s="62"/>
      <c r="Z109" s="563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</row>
    <row r="110" spans="1:64" ht="17.25">
      <c r="U110" s="61"/>
      <c r="V110" s="61"/>
      <c r="W110" s="61"/>
      <c r="X110" s="61"/>
      <c r="Y110" s="62"/>
      <c r="Z110" s="563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</row>
    <row r="111" spans="1:64" s="56" customForma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488"/>
      <c r="U111" s="488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</row>
    <row r="112" spans="1:64" s="56" customForma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488"/>
      <c r="U112" s="488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</row>
    <row r="113" spans="1:44" s="56" customForma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488"/>
      <c r="U113" s="488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</row>
    <row r="114" spans="1:44" s="56" customForma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488"/>
      <c r="U114" s="488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</row>
    <row r="115" spans="1:44" s="56" customForma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488"/>
      <c r="U115" s="488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</row>
    <row r="116" spans="1:44" s="56" customForma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488"/>
      <c r="U116" s="488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</row>
    <row r="117" spans="1:44" s="56" customForma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488"/>
      <c r="U117" s="488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</row>
    <row r="118" spans="1:44" s="56" customForma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488"/>
      <c r="U118" s="488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</row>
    <row r="119" spans="1:44" s="56" customForma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488"/>
      <c r="U119" s="488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</row>
    <row r="120" spans="1:44" s="56" customForma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488"/>
      <c r="U120" s="488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</row>
    <row r="121" spans="1:44" s="56" customForma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488"/>
      <c r="U121" s="488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</row>
    <row r="122" spans="1:44" s="56" customForma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488"/>
      <c r="U122" s="488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</row>
    <row r="123" spans="1:44" s="56" customForma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488"/>
      <c r="U123" s="488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</row>
    <row r="124" spans="1:44" s="56" customForma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488"/>
      <c r="U124" s="488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</row>
    <row r="125" spans="1:44" s="56" customForma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488"/>
      <c r="U125" s="488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</row>
    <row r="126" spans="1:44" s="93" customForma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488"/>
      <c r="U126" s="488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</row>
    <row r="127" spans="1:44" s="56" customForma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488"/>
      <c r="U127" s="488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</row>
    <row r="128" spans="1:44" s="56" customForma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488"/>
      <c r="U128" s="488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</row>
    <row r="129" spans="1:44" s="56" customForma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488"/>
      <c r="U129" s="488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</row>
    <row r="130" spans="1:44" s="56" customForma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488"/>
      <c r="U130" s="488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</row>
    <row r="131" spans="1:44" s="56" customForma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488"/>
      <c r="U131" s="488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</row>
    <row r="132" spans="1:44" s="56" customForma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488"/>
      <c r="U132" s="488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</row>
    <row r="133" spans="1:44" s="56" customForma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488"/>
      <c r="U133" s="488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</row>
    <row r="134" spans="1:44" s="56" customForma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488"/>
      <c r="U134" s="488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</row>
    <row r="135" spans="1:44" s="56" customForma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488"/>
      <c r="U135" s="488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</row>
    <row r="136" spans="1:44" s="56" customForma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488"/>
      <c r="U136" s="488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</row>
    <row r="137" spans="1:44" s="56" customForma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488"/>
      <c r="U137" s="488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</row>
    <row r="138" spans="1:44" s="56" customForma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488"/>
      <c r="U138" s="488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</row>
    <row r="139" spans="1:44" s="56" customForma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488"/>
      <c r="U139" s="488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</row>
    <row r="140" spans="1:44" s="56" customForma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488"/>
      <c r="U140" s="488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</row>
    <row r="141" spans="1:44" s="56" customForma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488"/>
      <c r="U141" s="488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</row>
    <row r="142" spans="1:44" s="56" customForma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488"/>
      <c r="U142" s="488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</row>
    <row r="143" spans="1:44" s="56" customForma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488"/>
      <c r="U143" s="488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</row>
    <row r="144" spans="1:44" s="56" customForma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488"/>
      <c r="U144" s="488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</row>
    <row r="145" spans="1:44" s="56" customForma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488"/>
      <c r="U145" s="488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</row>
    <row r="146" spans="1:44" s="56" customForma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488"/>
      <c r="U146" s="488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</row>
    <row r="147" spans="1:44" s="56" customForma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488"/>
      <c r="U147" s="488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</row>
    <row r="148" spans="1:44" s="56" customForma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488"/>
      <c r="U148" s="488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</row>
    <row r="149" spans="1:44" s="56" customForma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488"/>
      <c r="U149" s="488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</row>
    <row r="150" spans="1:44" s="56" customForma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488"/>
      <c r="U150" s="488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</row>
    <row r="151" spans="1:44" s="56" customForma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488"/>
      <c r="U151" s="488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</row>
    <row r="152" spans="1:44" s="56" customForma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488"/>
      <c r="U152" s="488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</row>
    <row r="153" spans="1:44" s="56" customForma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488"/>
      <c r="U153" s="488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</row>
    <row r="154" spans="1:44" s="56" customForma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488"/>
      <c r="U154" s="488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</row>
    <row r="155" spans="1:44" s="56" customForma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488"/>
      <c r="U155" s="488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</row>
    <row r="156" spans="1:44" s="56" customForma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488"/>
      <c r="U156" s="488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</row>
    <row r="157" spans="1:44" s="56" customForma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488"/>
      <c r="U157" s="488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</row>
    <row r="158" spans="1:44" s="56" customForma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488"/>
      <c r="U158" s="488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</row>
    <row r="159" spans="1:44" s="56" customForma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488"/>
      <c r="U159" s="488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</row>
    <row r="160" spans="1:44" s="56" customForma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488"/>
      <c r="U160" s="488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</row>
    <row r="161" spans="1:44" s="56" customForma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488"/>
      <c r="U161" s="488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</row>
    <row r="162" spans="1:44" s="56" customForma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488"/>
      <c r="U162" s="488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</row>
    <row r="163" spans="1:44" s="56" customForma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488"/>
      <c r="U163" s="488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</row>
    <row r="164" spans="1:44" s="56" customForma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488"/>
      <c r="U164" s="488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</row>
    <row r="165" spans="1:44" s="56" customForma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488"/>
      <c r="U165" s="488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</row>
    <row r="166" spans="1:44" s="56" customForma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488"/>
      <c r="U166" s="488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</row>
    <row r="167" spans="1:44" s="56" customForma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488"/>
      <c r="U167" s="488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</row>
    <row r="168" spans="1:44" s="56" customForma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488"/>
      <c r="U168" s="488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</row>
    <row r="169" spans="1:44" s="56" customForma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488"/>
      <c r="U169" s="488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</row>
    <row r="170" spans="1:44" s="56" customForma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488"/>
      <c r="U170" s="488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</row>
    <row r="171" spans="1:44" s="56" customForma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488"/>
      <c r="U171" s="488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</row>
    <row r="172" spans="1:44" s="56" customForma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488"/>
      <c r="U172" s="488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</row>
    <row r="173" spans="1:44" s="56" customForma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488"/>
      <c r="U173" s="488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</row>
    <row r="174" spans="1:44" s="56" customForma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488"/>
      <c r="U174" s="488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</row>
    <row r="175" spans="1:44" s="56" customForma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488"/>
      <c r="U175" s="488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</row>
    <row r="176" spans="1:44" s="56" customForma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488"/>
      <c r="U176" s="488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</row>
    <row r="177" spans="1:44" s="56" customForma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488"/>
      <c r="U177" s="488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</row>
    <row r="178" spans="1:44" s="56" customForma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488"/>
      <c r="U178" s="488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</row>
    <row r="179" spans="1:44" s="56" customForma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488"/>
      <c r="U179" s="488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</row>
    <row r="180" spans="1:44" s="56" customForma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488"/>
      <c r="U180" s="488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</row>
    <row r="181" spans="1:44" s="56" customForma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488"/>
      <c r="U181" s="488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</row>
    <row r="182" spans="1:44" s="56" customForma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488"/>
      <c r="U182" s="488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</row>
    <row r="183" spans="1:44" s="56" customForma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488"/>
      <c r="U183" s="488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</row>
    <row r="184" spans="1:44" s="56" customForma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488"/>
      <c r="U184" s="488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</row>
    <row r="185" spans="1:44" s="56" customForma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488"/>
      <c r="U185" s="488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</row>
    <row r="186" spans="1:44" s="56" customForma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488"/>
      <c r="U186" s="488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</row>
    <row r="187" spans="1:44" s="85" customFormat="1" ht="13.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488"/>
      <c r="U187" s="488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</row>
    <row r="188" spans="1:44" s="85" customFormat="1" ht="13.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488"/>
      <c r="U188" s="488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</row>
    <row r="189" spans="1:44" s="85" customFormat="1" ht="13.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488"/>
      <c r="U189" s="488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</row>
    <row r="190" spans="1:44" s="85" customFormat="1" ht="13.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488"/>
      <c r="U190" s="488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</row>
    <row r="191" spans="1:44" s="56" customForma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488"/>
      <c r="U191" s="488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</row>
    <row r="192" spans="1:44" s="85" customForma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488"/>
      <c r="U192" s="488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</row>
    <row r="193" spans="1:44" s="85" customForma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488"/>
      <c r="U193" s="488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</row>
    <row r="194" spans="1:44" s="85" customForma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488"/>
      <c r="U194" s="488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</row>
    <row r="195" spans="1:44" s="85" customForma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488"/>
      <c r="U195" s="488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</row>
    <row r="196" spans="1:44" s="85" customForma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488"/>
      <c r="U196" s="488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</row>
    <row r="197" spans="1:44" s="85" customForma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488"/>
      <c r="U197" s="488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</row>
    <row r="198" spans="1:44" s="56" customForma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488"/>
      <c r="U198" s="488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</row>
    <row r="199" spans="1:44" s="56" customForma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488"/>
      <c r="U199" s="488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</row>
    <row r="200" spans="1:44" s="56" customForma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488"/>
      <c r="U200" s="488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</row>
    <row r="201" spans="1:44" s="56" customForma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488"/>
      <c r="U201" s="488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</row>
    <row r="202" spans="1:44" s="56" customForma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488"/>
      <c r="U202" s="488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</row>
    <row r="203" spans="1:44" s="56" customForma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488"/>
      <c r="U203" s="488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</row>
    <row r="204" spans="1:44" s="56" customForma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488"/>
      <c r="U204" s="488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</row>
    <row r="205" spans="1:44" s="56" customForma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488"/>
      <c r="U205" s="488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</row>
    <row r="206" spans="1:44" s="56" customForma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488"/>
      <c r="U206" s="488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</row>
    <row r="207" spans="1:44" s="56" customForma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488"/>
      <c r="U207" s="488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</row>
    <row r="208" spans="1:44" s="56" customForma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488"/>
      <c r="U208" s="488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</row>
    <row r="209" spans="1:44" s="56" customForma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488"/>
      <c r="U209" s="488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</row>
    <row r="210" spans="1:44" s="56" customForma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488"/>
      <c r="U210" s="488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</row>
    <row r="211" spans="1:44" s="56" customForma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488"/>
      <c r="U211" s="488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</row>
    <row r="212" spans="1:44" s="56" customForma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488"/>
      <c r="U212" s="488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</row>
    <row r="213" spans="1:44" s="56" customForma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488"/>
      <c r="U213" s="488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</row>
    <row r="214" spans="1:44" s="56" customForma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488"/>
      <c r="U214" s="488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9592-2FED-47B1-AC4C-95E05E2EB36F}">
  <sheetPr>
    <tabColor theme="5" tint="0.79998168889431442"/>
    <pageSetUpPr fitToPage="1"/>
  </sheetPr>
  <dimension ref="A1:AQ67"/>
  <sheetViews>
    <sheetView showGridLines="0" view="pageBreakPreview" zoomScaleNormal="100" zoomScaleSheetLayoutView="100" workbookViewId="0">
      <pane ySplit="4" topLeftCell="A5" activePane="bottomLeft" state="frozen"/>
      <selection activeCell="BJ51" sqref="BJ51"/>
      <selection pane="bottomLeft" activeCell="AV10" sqref="AV10"/>
    </sheetView>
  </sheetViews>
  <sheetFormatPr defaultColWidth="8.88671875" defaultRowHeight="17.25"/>
  <cols>
    <col min="1" max="1" width="2.21875" style="772" customWidth="1"/>
    <col min="2" max="2" width="29.77734375" style="772" customWidth="1"/>
    <col min="3" max="35" width="8.77734375" style="772" hidden="1" customWidth="1"/>
    <col min="36" max="39" width="8.77734375" style="772" customWidth="1"/>
    <col min="40" max="40" width="8.88671875" style="773" customWidth="1"/>
    <col min="41" max="42" width="8.77734375" style="772" customWidth="1"/>
    <col min="43" max="43" width="10.44140625" style="774" bestFit="1" customWidth="1"/>
    <col min="44" max="16384" width="8.88671875" style="773"/>
  </cols>
  <sheetData>
    <row r="1" spans="1:43" ht="12" customHeight="1">
      <c r="A1" s="771"/>
      <c r="B1" s="771"/>
    </row>
    <row r="2" spans="1:43" ht="38.25" customHeight="1">
      <c r="A2" s="775" t="s">
        <v>726</v>
      </c>
      <c r="B2" s="776"/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776"/>
      <c r="AA2" s="776"/>
      <c r="AB2" s="776"/>
      <c r="AC2" s="776"/>
      <c r="AD2" s="776"/>
      <c r="AE2" s="776"/>
      <c r="AF2" s="776"/>
      <c r="AG2" s="776"/>
      <c r="AH2" s="776"/>
      <c r="AI2" s="776"/>
      <c r="AJ2" s="776"/>
      <c r="AK2" s="776"/>
      <c r="AL2" s="776"/>
      <c r="AM2" s="776"/>
      <c r="AN2" s="777"/>
      <c r="AO2" s="776"/>
      <c r="AP2" s="776"/>
    </row>
    <row r="3" spans="1:43" s="781" customFormat="1" ht="18" customHeight="1" thickBot="1">
      <c r="A3" s="778"/>
      <c r="B3" s="778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79"/>
      <c r="AF3" s="779"/>
      <c r="AG3" s="779"/>
      <c r="AH3" s="779"/>
      <c r="AI3" s="779"/>
      <c r="AJ3" s="779"/>
      <c r="AK3" s="779"/>
      <c r="AL3" s="779"/>
      <c r="AM3" s="779"/>
      <c r="AN3" s="779"/>
      <c r="AO3" s="779"/>
      <c r="AP3" s="779"/>
      <c r="AQ3" s="780"/>
    </row>
    <row r="4" spans="1:43" ht="28.5" customHeight="1" thickTop="1">
      <c r="A4" s="1148" t="s">
        <v>727</v>
      </c>
      <c r="B4" s="1148"/>
      <c r="C4" s="782" t="s">
        <v>728</v>
      </c>
      <c r="D4" s="782" t="s">
        <v>729</v>
      </c>
      <c r="E4" s="782" t="s">
        <v>730</v>
      </c>
      <c r="F4" s="782" t="s">
        <v>731</v>
      </c>
      <c r="G4" s="782" t="s">
        <v>408</v>
      </c>
      <c r="H4" s="783" t="s">
        <v>409</v>
      </c>
      <c r="I4" s="784" t="s">
        <v>410</v>
      </c>
      <c r="J4" s="784" t="s">
        <v>470</v>
      </c>
      <c r="K4" s="784" t="s">
        <v>412</v>
      </c>
      <c r="L4" s="784" t="s">
        <v>413</v>
      </c>
      <c r="M4" s="784" t="s">
        <v>414</v>
      </c>
      <c r="N4" s="784" t="s">
        <v>415</v>
      </c>
      <c r="O4" s="784" t="s">
        <v>416</v>
      </c>
      <c r="P4" s="784" t="s">
        <v>417</v>
      </c>
      <c r="Q4" s="784" t="s">
        <v>418</v>
      </c>
      <c r="R4" s="784" t="s">
        <v>419</v>
      </c>
      <c r="S4" s="784" t="s">
        <v>420</v>
      </c>
      <c r="T4" s="784" t="s">
        <v>421</v>
      </c>
      <c r="U4" s="784" t="s">
        <v>422</v>
      </c>
      <c r="V4" s="784" t="s">
        <v>423</v>
      </c>
      <c r="W4" s="784" t="s">
        <v>390</v>
      </c>
      <c r="X4" s="785" t="s">
        <v>424</v>
      </c>
      <c r="Y4" s="785" t="s">
        <v>425</v>
      </c>
      <c r="Z4" s="785" t="s">
        <v>426</v>
      </c>
      <c r="AA4" s="785" t="s">
        <v>388</v>
      </c>
      <c r="AB4" s="785" t="s">
        <v>703</v>
      </c>
      <c r="AC4" s="785" t="s">
        <v>468</v>
      </c>
      <c r="AD4" s="784" t="s">
        <v>567</v>
      </c>
      <c r="AE4" s="784" t="s">
        <v>637</v>
      </c>
      <c r="AF4" s="784" t="s">
        <v>704</v>
      </c>
      <c r="AG4" s="784" t="s">
        <v>635</v>
      </c>
      <c r="AH4" s="784" t="s">
        <v>705</v>
      </c>
      <c r="AI4" s="784" t="s">
        <v>702</v>
      </c>
      <c r="AJ4" s="784" t="s">
        <v>676</v>
      </c>
      <c r="AK4" s="784" t="s">
        <v>675</v>
      </c>
      <c r="AL4" s="784" t="s">
        <v>686</v>
      </c>
      <c r="AM4" s="784" t="s">
        <v>688</v>
      </c>
      <c r="AN4" s="786" t="s">
        <v>732</v>
      </c>
      <c r="AO4" s="784" t="s">
        <v>733</v>
      </c>
      <c r="AP4" s="784" t="s">
        <v>286</v>
      </c>
    </row>
    <row r="5" spans="1:43" ht="15.75" customHeight="1">
      <c r="A5" s="787" t="s">
        <v>734</v>
      </c>
      <c r="B5" s="787" t="s">
        <v>735</v>
      </c>
      <c r="C5" s="788"/>
      <c r="D5" s="788"/>
      <c r="E5" s="788"/>
      <c r="F5" s="788"/>
      <c r="G5" s="788"/>
      <c r="H5" s="788"/>
      <c r="I5" s="788"/>
      <c r="J5" s="788"/>
      <c r="K5" s="788"/>
      <c r="L5" s="788"/>
      <c r="M5" s="788"/>
      <c r="N5" s="788"/>
      <c r="O5" s="788"/>
      <c r="P5" s="788"/>
      <c r="Q5" s="788"/>
      <c r="R5" s="788"/>
      <c r="S5" s="788"/>
      <c r="T5" s="788"/>
      <c r="U5" s="788"/>
      <c r="V5" s="788"/>
      <c r="W5" s="788"/>
      <c r="X5" s="788"/>
      <c r="Y5" s="788"/>
      <c r="Z5" s="788"/>
      <c r="AA5" s="788"/>
      <c r="AB5" s="788"/>
      <c r="AC5" s="789"/>
      <c r="AD5" s="789"/>
      <c r="AE5" s="789"/>
      <c r="AF5" s="789"/>
      <c r="AG5" s="789"/>
      <c r="AH5" s="789"/>
      <c r="AI5" s="789"/>
      <c r="AJ5" s="789"/>
      <c r="AK5" s="789"/>
      <c r="AL5" s="789"/>
      <c r="AM5" s="789"/>
      <c r="AN5" s="790"/>
      <c r="AO5" s="791"/>
      <c r="AP5" s="791"/>
    </row>
    <row r="6" spans="1:43" ht="15.75" customHeight="1">
      <c r="A6" s="792"/>
      <c r="B6" s="793" t="s">
        <v>736</v>
      </c>
      <c r="C6" s="794">
        <v>8.218856528339888</v>
      </c>
      <c r="D6" s="794">
        <v>10.003575894793517</v>
      </c>
      <c r="E6" s="794">
        <v>9.2772933659521115</v>
      </c>
      <c r="F6" s="794">
        <v>13.29569101940856</v>
      </c>
      <c r="G6" s="794">
        <v>15.907882329003096</v>
      </c>
      <c r="H6" s="794">
        <v>15.261130586341473</v>
      </c>
      <c r="I6" s="794">
        <v>10.579596437630769</v>
      </c>
      <c r="J6" s="794">
        <v>10.736649581625015</v>
      </c>
      <c r="K6" s="794">
        <v>10.905529321333676</v>
      </c>
      <c r="L6" s="794">
        <v>10.908158138945613</v>
      </c>
      <c r="M6" s="794">
        <v>10.051641622013637</v>
      </c>
      <c r="N6" s="794">
        <v>11.237157401361205</v>
      </c>
      <c r="O6" s="794">
        <v>18.973858387745516</v>
      </c>
      <c r="P6" s="794">
        <v>26.48421131104644</v>
      </c>
      <c r="Q6" s="794">
        <v>30.893714246354968</v>
      </c>
      <c r="R6" s="794">
        <v>32.03713103810766</v>
      </c>
      <c r="S6" s="794">
        <v>38.009049586358131</v>
      </c>
      <c r="T6" s="794">
        <v>29.537495689978869</v>
      </c>
      <c r="U6" s="794">
        <v>28.890204366181074</v>
      </c>
      <c r="V6" s="794">
        <v>25.524091511101489</v>
      </c>
      <c r="W6" s="794">
        <v>22.645934392513762</v>
      </c>
      <c r="X6" s="794">
        <v>20.310716705247678</v>
      </c>
      <c r="Y6" s="794">
        <v>17.170388757661716</v>
      </c>
      <c r="Z6" s="794">
        <v>15.9730242865745</v>
      </c>
      <c r="AA6" s="794">
        <v>20.645310026544756</v>
      </c>
      <c r="AB6" s="794">
        <v>24.390690351250033</v>
      </c>
      <c r="AC6" s="795">
        <v>27.833749370696047</v>
      </c>
      <c r="AD6" s="795">
        <v>19.501321890921766</v>
      </c>
      <c r="AE6" s="795">
        <v>24.915687982320737</v>
      </c>
      <c r="AF6" s="795">
        <v>24.298680700132898</v>
      </c>
      <c r="AG6" s="795">
        <v>22.486589528796387</v>
      </c>
      <c r="AH6" s="795">
        <v>19.727013708760687</v>
      </c>
      <c r="AI6" s="795">
        <v>22.782962801162636</v>
      </c>
      <c r="AJ6" s="795">
        <v>28.043766724284016</v>
      </c>
      <c r="AK6" s="795">
        <v>31.340627057987799</v>
      </c>
      <c r="AL6" s="795">
        <v>45.605053049303493</v>
      </c>
      <c r="AM6" s="795">
        <v>84.851325602817809</v>
      </c>
      <c r="AN6" s="796">
        <v>118.33083853055726</v>
      </c>
      <c r="AO6" s="797">
        <f>IFERROR(AN6/AM6-1,"-")</f>
        <v>0.39456676357013376</v>
      </c>
      <c r="AP6" s="797">
        <f>IFERROR(AN6/AJ6-1,"-")</f>
        <v>3.2195058778637859</v>
      </c>
    </row>
    <row r="7" spans="1:43" ht="15.75" customHeight="1">
      <c r="A7" s="798"/>
      <c r="B7" s="799" t="s">
        <v>737</v>
      </c>
      <c r="C7" s="800">
        <v>5</v>
      </c>
      <c r="D7" s="800">
        <v>5.86</v>
      </c>
      <c r="E7" s="800">
        <v>5.37</v>
      </c>
      <c r="F7" s="800">
        <v>8.39</v>
      </c>
      <c r="G7" s="800">
        <v>10.166643228516039</v>
      </c>
      <c r="H7" s="800">
        <v>9.996893418095901</v>
      </c>
      <c r="I7" s="800">
        <v>6.3583133237245502</v>
      </c>
      <c r="J7" s="800">
        <v>6.0250472193447022</v>
      </c>
      <c r="K7" s="800">
        <v>6.4823926049698386</v>
      </c>
      <c r="L7" s="800">
        <v>6.683399828616774</v>
      </c>
      <c r="M7" s="800">
        <v>6.1913881022101265</v>
      </c>
      <c r="N7" s="800">
        <v>7.0524987881717909</v>
      </c>
      <c r="O7" s="800">
        <v>11.663006801885048</v>
      </c>
      <c r="P7" s="800">
        <v>19.161462225783257</v>
      </c>
      <c r="Q7" s="800">
        <v>23.385225234673825</v>
      </c>
      <c r="R7" s="800">
        <v>23.152018678507474</v>
      </c>
      <c r="S7" s="800">
        <v>26.38186493360282</v>
      </c>
      <c r="T7" s="800">
        <v>21.256661994409988</v>
      </c>
      <c r="U7" s="800">
        <v>20.462193736698943</v>
      </c>
      <c r="V7" s="800">
        <v>17.226031637252291</v>
      </c>
      <c r="W7" s="800">
        <v>14.456523363192627</v>
      </c>
      <c r="X7" s="800">
        <v>13.070578360391595</v>
      </c>
      <c r="Y7" s="800">
        <v>10.711741922280142</v>
      </c>
      <c r="Z7" s="800">
        <v>9.3908948411654585</v>
      </c>
      <c r="AA7" s="800">
        <v>13.299637355138387</v>
      </c>
      <c r="AB7" s="800">
        <v>16.287878018593105</v>
      </c>
      <c r="AC7" s="801">
        <v>18.010677636383953</v>
      </c>
      <c r="AD7" s="801">
        <v>12.024735980429542</v>
      </c>
      <c r="AE7" s="801">
        <v>15.538353160498909</v>
      </c>
      <c r="AF7" s="801">
        <v>15.025091291538116</v>
      </c>
      <c r="AG7" s="801">
        <v>12.896790270719848</v>
      </c>
      <c r="AH7" s="801">
        <v>11.119271661454968</v>
      </c>
      <c r="AI7" s="801">
        <v>13.057709700427345</v>
      </c>
      <c r="AJ7" s="801">
        <v>17.408507367359594</v>
      </c>
      <c r="AK7" s="801">
        <v>18.944135200364432</v>
      </c>
      <c r="AL7" s="801">
        <v>27.572100534695629</v>
      </c>
      <c r="AM7" s="801">
        <v>51.394040608929032</v>
      </c>
      <c r="AN7" s="802">
        <v>62.521832110758787</v>
      </c>
      <c r="AO7" s="803">
        <f>IFERROR(AN7/AM7-1,"-")</f>
        <v>0.21651910163094756</v>
      </c>
      <c r="AP7" s="803">
        <f>IFERROR(AN7/AJ7-1,"-")</f>
        <v>2.5914527760137132</v>
      </c>
    </row>
    <row r="8" spans="1:43" ht="15.75" customHeight="1">
      <c r="A8" s="787"/>
      <c r="B8" s="787" t="s">
        <v>738</v>
      </c>
      <c r="C8" s="788"/>
      <c r="D8" s="788"/>
      <c r="E8" s="788"/>
      <c r="F8" s="788"/>
      <c r="G8" s="788"/>
      <c r="H8" s="788"/>
      <c r="I8" s="788"/>
      <c r="J8" s="788"/>
      <c r="K8" s="788"/>
      <c r="L8" s="788"/>
      <c r="M8" s="788"/>
      <c r="N8" s="788"/>
      <c r="O8" s="788"/>
      <c r="P8" s="788"/>
      <c r="Q8" s="788"/>
      <c r="R8" s="788"/>
      <c r="S8" s="788"/>
      <c r="T8" s="788"/>
      <c r="U8" s="788"/>
      <c r="V8" s="788"/>
      <c r="W8" s="788"/>
      <c r="X8" s="788"/>
      <c r="Y8" s="788"/>
      <c r="Z8" s="788"/>
      <c r="AA8" s="788"/>
      <c r="AB8" s="788"/>
      <c r="AC8" s="789"/>
      <c r="AD8" s="789"/>
      <c r="AE8" s="789"/>
      <c r="AF8" s="789"/>
      <c r="AG8" s="789"/>
      <c r="AH8" s="789"/>
      <c r="AI8" s="789"/>
      <c r="AJ8" s="789"/>
      <c r="AK8" s="789"/>
      <c r="AL8" s="789"/>
      <c r="AM8" s="789"/>
      <c r="AN8" s="790"/>
      <c r="AO8" s="791"/>
      <c r="AP8" s="791"/>
    </row>
    <row r="9" spans="1:43" ht="15.75" customHeight="1">
      <c r="A9" s="792"/>
      <c r="B9" s="793" t="s">
        <v>739</v>
      </c>
      <c r="C9" s="804">
        <v>152755</v>
      </c>
      <c r="D9" s="804">
        <v>153057</v>
      </c>
      <c r="E9" s="804">
        <v>153671</v>
      </c>
      <c r="F9" s="804">
        <v>152834</v>
      </c>
      <c r="G9" s="804">
        <v>154850</v>
      </c>
      <c r="H9" s="804">
        <v>156473</v>
      </c>
      <c r="I9" s="804">
        <v>155217</v>
      </c>
      <c r="J9" s="804">
        <v>156045</v>
      </c>
      <c r="K9" s="804">
        <v>156468</v>
      </c>
      <c r="L9" s="804">
        <v>155126</v>
      </c>
      <c r="M9" s="804">
        <v>150447</v>
      </c>
      <c r="N9" s="804">
        <v>146874</v>
      </c>
      <c r="O9" s="804">
        <v>146568</v>
      </c>
      <c r="P9" s="804">
        <v>166633</v>
      </c>
      <c r="Q9" s="804">
        <v>163430</v>
      </c>
      <c r="R9" s="804">
        <v>127941</v>
      </c>
      <c r="S9" s="804">
        <v>124562</v>
      </c>
      <c r="T9" s="804">
        <v>125240</v>
      </c>
      <c r="U9" s="804">
        <v>121224</v>
      </c>
      <c r="V9" s="804">
        <v>118977</v>
      </c>
      <c r="W9" s="804">
        <v>118189</v>
      </c>
      <c r="X9" s="804">
        <v>119024</v>
      </c>
      <c r="Y9" s="804">
        <v>118550</v>
      </c>
      <c r="Z9" s="804">
        <v>116731</v>
      </c>
      <c r="AA9" s="804">
        <v>115925</v>
      </c>
      <c r="AB9" s="804">
        <v>118480</v>
      </c>
      <c r="AC9" s="805">
        <v>129008</v>
      </c>
      <c r="AD9" s="805">
        <v>135789</v>
      </c>
      <c r="AE9" s="805">
        <v>137981</v>
      </c>
      <c r="AF9" s="805">
        <v>159140</v>
      </c>
      <c r="AG9" s="805">
        <v>165953</v>
      </c>
      <c r="AH9" s="805">
        <v>195589</v>
      </c>
      <c r="AI9" s="805">
        <v>247770</v>
      </c>
      <c r="AJ9" s="805">
        <v>278176</v>
      </c>
      <c r="AK9" s="805">
        <v>321192</v>
      </c>
      <c r="AL9" s="805">
        <v>431576</v>
      </c>
      <c r="AM9" s="805">
        <v>476072</v>
      </c>
      <c r="AN9" s="806">
        <v>526567</v>
      </c>
      <c r="AO9" s="797">
        <f t="shared" ref="AO9:AO10" si="0">IFERROR(AN9/AM9-1,"-")</f>
        <v>0.10606588919323134</v>
      </c>
      <c r="AP9" s="797">
        <f t="shared" ref="AP9:AP10" si="1">IFERROR(AN9/AJ9-1,"-")</f>
        <v>0.8929274991372369</v>
      </c>
    </row>
    <row r="10" spans="1:43" ht="15.75" customHeight="1">
      <c r="A10" s="798"/>
      <c r="B10" s="799" t="s">
        <v>740</v>
      </c>
      <c r="C10" s="807">
        <v>114798.40393083099</v>
      </c>
      <c r="D10" s="807">
        <v>141797.020722621</v>
      </c>
      <c r="E10" s="807">
        <v>147346.21792411502</v>
      </c>
      <c r="F10" s="807">
        <v>150554.69195496</v>
      </c>
      <c r="G10" s="807">
        <v>147033</v>
      </c>
      <c r="H10" s="807">
        <v>145410</v>
      </c>
      <c r="I10" s="807">
        <v>151313.43045639803</v>
      </c>
      <c r="J10" s="807">
        <v>144186.87682579301</v>
      </c>
      <c r="K10" s="807">
        <v>159149</v>
      </c>
      <c r="L10" s="807">
        <v>156613</v>
      </c>
      <c r="M10" s="807">
        <v>140744.07729498207</v>
      </c>
      <c r="N10" s="807">
        <v>142269.80356461334</v>
      </c>
      <c r="O10" s="807">
        <v>116015.720413377</v>
      </c>
      <c r="P10" s="807">
        <v>127930.37412972987</v>
      </c>
      <c r="Q10" s="807">
        <v>138340.20515402491</v>
      </c>
      <c r="R10" s="807">
        <v>163718.29340917879</v>
      </c>
      <c r="S10" s="807">
        <v>190167.30030849093</v>
      </c>
      <c r="T10" s="807">
        <v>216656.49829883009</v>
      </c>
      <c r="U10" s="807">
        <v>220900.66542079239</v>
      </c>
      <c r="V10" s="807">
        <v>238111.94973408611</v>
      </c>
      <c r="W10" s="807">
        <v>244387.78754035107</v>
      </c>
      <c r="X10" s="807">
        <v>182283.33591609597</v>
      </c>
      <c r="Y10" s="807">
        <v>173110.56085650317</v>
      </c>
      <c r="Z10" s="807">
        <v>213085.08854812477</v>
      </c>
      <c r="AA10" s="807">
        <v>182927.33750615499</v>
      </c>
      <c r="AB10" s="807">
        <v>204762.12306723502</v>
      </c>
      <c r="AC10" s="808">
        <v>217442.01640430983</v>
      </c>
      <c r="AD10" s="808">
        <v>238439.16878838479</v>
      </c>
      <c r="AE10" s="808">
        <v>266462.59243745997</v>
      </c>
      <c r="AF10" s="808">
        <v>242991.00821519489</v>
      </c>
      <c r="AG10" s="808">
        <v>255732.68616697003</v>
      </c>
      <c r="AH10" s="808">
        <v>273399.31090576987</v>
      </c>
      <c r="AI10" s="808">
        <v>318051.26322652795</v>
      </c>
      <c r="AJ10" s="808">
        <v>353926.70777199976</v>
      </c>
      <c r="AK10" s="808">
        <v>419203.66080671002</v>
      </c>
      <c r="AL10" s="808">
        <v>474028</v>
      </c>
      <c r="AM10" s="808">
        <v>543156.62355714059</v>
      </c>
      <c r="AN10" s="809">
        <v>716621.30284262495</v>
      </c>
      <c r="AO10" s="810">
        <f t="shared" si="0"/>
        <v>0.31936401355001753</v>
      </c>
      <c r="AP10" s="803">
        <f t="shared" si="1"/>
        <v>1.0247731722587994</v>
      </c>
    </row>
    <row r="11" spans="1:43" ht="15.75" customHeight="1">
      <c r="A11" s="787"/>
      <c r="B11" s="787" t="s">
        <v>741</v>
      </c>
      <c r="C11" s="788"/>
      <c r="D11" s="788"/>
      <c r="E11" s="788"/>
      <c r="F11" s="788"/>
      <c r="G11" s="788"/>
      <c r="H11" s="788"/>
      <c r="I11" s="788"/>
      <c r="J11" s="788"/>
      <c r="K11" s="788"/>
      <c r="L11" s="788"/>
      <c r="M11" s="788"/>
      <c r="N11" s="788"/>
      <c r="O11" s="788"/>
      <c r="P11" s="788"/>
      <c r="Q11" s="788"/>
      <c r="R11" s="788"/>
      <c r="S11" s="788"/>
      <c r="T11" s="788"/>
      <c r="U11" s="788"/>
      <c r="V11" s="788"/>
      <c r="W11" s="788"/>
      <c r="X11" s="788"/>
      <c r="Y11" s="788"/>
      <c r="Z11" s="788"/>
      <c r="AA11" s="788"/>
      <c r="AB11" s="788"/>
      <c r="AC11" s="789"/>
      <c r="AD11" s="789"/>
      <c r="AE11" s="789"/>
      <c r="AF11" s="789"/>
      <c r="AG11" s="789"/>
      <c r="AH11" s="789"/>
      <c r="AI11" s="789"/>
      <c r="AJ11" s="789"/>
      <c r="AK11" s="789"/>
      <c r="AL11" s="789"/>
      <c r="AM11" s="789"/>
      <c r="AN11" s="790"/>
      <c r="AO11" s="791"/>
      <c r="AP11" s="791"/>
    </row>
    <row r="12" spans="1:43" ht="15.75" customHeight="1">
      <c r="A12" s="792"/>
      <c r="B12" s="793" t="s">
        <v>742</v>
      </c>
      <c r="C12" s="804">
        <v>83809.003373279993</v>
      </c>
      <c r="D12" s="804">
        <v>110070.00186712999</v>
      </c>
      <c r="E12" s="804">
        <v>116106.21699853001</v>
      </c>
      <c r="F12" s="804">
        <v>120609.36604200999</v>
      </c>
      <c r="G12" s="804">
        <v>115940</v>
      </c>
      <c r="H12" s="804">
        <v>114563</v>
      </c>
      <c r="I12" s="804">
        <v>121786.41943102001</v>
      </c>
      <c r="J12" s="804">
        <v>114397.44198735</v>
      </c>
      <c r="K12" s="804">
        <v>128466</v>
      </c>
      <c r="L12" s="804">
        <v>126785</v>
      </c>
      <c r="M12" s="804">
        <v>110091.71169667007</v>
      </c>
      <c r="N12" s="804">
        <v>112631.80184728</v>
      </c>
      <c r="O12" s="804">
        <v>89367.077827479996</v>
      </c>
      <c r="P12" s="804">
        <v>103192.49617817986</v>
      </c>
      <c r="Q12" s="804">
        <v>114845.71334241988</v>
      </c>
      <c r="R12" s="804">
        <v>140253.27682109002</v>
      </c>
      <c r="S12" s="804">
        <v>165095.81423880995</v>
      </c>
      <c r="T12" s="804">
        <v>192597.53924166012</v>
      </c>
      <c r="U12" s="804">
        <v>195653.68722590993</v>
      </c>
      <c r="V12" s="804">
        <v>209419.16469837009</v>
      </c>
      <c r="W12" s="804">
        <v>214261.42499110007</v>
      </c>
      <c r="X12" s="804">
        <v>153443.58151076993</v>
      </c>
      <c r="Y12" s="804">
        <v>141867.90964300014</v>
      </c>
      <c r="Z12" s="804">
        <v>184286.67484968976</v>
      </c>
      <c r="AA12" s="804">
        <v>149008.59198359004</v>
      </c>
      <c r="AB12" s="804">
        <v>172915.12210872004</v>
      </c>
      <c r="AC12" s="805">
        <v>178620.90325328993</v>
      </c>
      <c r="AD12" s="805">
        <v>198489.61782768992</v>
      </c>
      <c r="AE12" s="805">
        <v>220164.70693145</v>
      </c>
      <c r="AF12" s="805">
        <v>198167.11149659989</v>
      </c>
      <c r="AG12" s="805">
        <v>212265.13054305999</v>
      </c>
      <c r="AH12" s="805">
        <v>227705.59649126991</v>
      </c>
      <c r="AI12" s="805">
        <v>270189.38049938995</v>
      </c>
      <c r="AJ12" s="805">
        <v>297993.93649731984</v>
      </c>
      <c r="AK12" s="805">
        <v>358129.53006874002</v>
      </c>
      <c r="AL12" s="805">
        <v>407603.56064519013</v>
      </c>
      <c r="AM12" s="805">
        <v>467306.6335207707</v>
      </c>
      <c r="AN12" s="806">
        <v>628521.87835288001</v>
      </c>
      <c r="AO12" s="797">
        <f t="shared" ref="AO12:AO14" si="2">IFERROR(AN12/AM12-1,"-")</f>
        <v>0.34498813684172469</v>
      </c>
      <c r="AP12" s="797">
        <f t="shared" ref="AP12:AP14" si="3">IFERROR(AN12/AJ12-1,"-")</f>
        <v>1.1091767360794367</v>
      </c>
    </row>
    <row r="13" spans="1:43" ht="15.75" customHeight="1">
      <c r="A13" s="792"/>
      <c r="B13" s="811" t="s">
        <v>743</v>
      </c>
      <c r="C13" s="812">
        <v>30989.400557550998</v>
      </c>
      <c r="D13" s="812">
        <v>31727.018855491002</v>
      </c>
      <c r="E13" s="812">
        <v>31240.000925585002</v>
      </c>
      <c r="F13" s="812">
        <v>29945.325912949993</v>
      </c>
      <c r="G13" s="812">
        <v>31093</v>
      </c>
      <c r="H13" s="812">
        <v>30847</v>
      </c>
      <c r="I13" s="812">
        <v>29527.011025378004</v>
      </c>
      <c r="J13" s="812">
        <v>29789.434838442998</v>
      </c>
      <c r="K13" s="812">
        <v>30683</v>
      </c>
      <c r="L13" s="812">
        <v>29828</v>
      </c>
      <c r="M13" s="812">
        <v>30652.365598312008</v>
      </c>
      <c r="N13" s="812">
        <v>29638.001717333347</v>
      </c>
      <c r="O13" s="812">
        <v>26648.642585897</v>
      </c>
      <c r="P13" s="812">
        <v>24737.877951550006</v>
      </c>
      <c r="Q13" s="812">
        <v>23494.491811605018</v>
      </c>
      <c r="R13" s="812">
        <v>23465.01658808878</v>
      </c>
      <c r="S13" s="812">
        <v>25071.486069680988</v>
      </c>
      <c r="T13" s="812">
        <v>24058.95905716997</v>
      </c>
      <c r="U13" s="812">
        <v>25246.978194882453</v>
      </c>
      <c r="V13" s="812">
        <v>28692.785035716006</v>
      </c>
      <c r="W13" s="812">
        <v>30126.362549251011</v>
      </c>
      <c r="X13" s="812">
        <v>28839.754405326024</v>
      </c>
      <c r="Y13" s="812">
        <v>31242.651213503032</v>
      </c>
      <c r="Z13" s="812">
        <v>28798.413698434997</v>
      </c>
      <c r="AA13" s="812">
        <v>33918.745522564946</v>
      </c>
      <c r="AB13" s="812">
        <v>31847.000958514989</v>
      </c>
      <c r="AC13" s="813">
        <v>38821.113151019919</v>
      </c>
      <c r="AD13" s="813">
        <v>39949.550960694884</v>
      </c>
      <c r="AE13" s="813">
        <v>46297.885506009967</v>
      </c>
      <c r="AF13" s="813">
        <v>44823.896718595002</v>
      </c>
      <c r="AG13" s="813">
        <v>43467.555623910033</v>
      </c>
      <c r="AH13" s="813">
        <v>45693.714414499969</v>
      </c>
      <c r="AI13" s="813">
        <v>47861.882727138</v>
      </c>
      <c r="AJ13" s="813">
        <v>55932.771274679915</v>
      </c>
      <c r="AK13" s="813">
        <v>61074.130737970023</v>
      </c>
      <c r="AL13" s="813">
        <v>64570.934813499945</v>
      </c>
      <c r="AM13" s="813">
        <v>75849.990036369869</v>
      </c>
      <c r="AN13" s="814">
        <v>88099.424489744983</v>
      </c>
      <c r="AO13" s="815">
        <f t="shared" si="2"/>
        <v>0.1614955314760298</v>
      </c>
      <c r="AP13" s="815">
        <f t="shared" si="3"/>
        <v>0.57509493061050088</v>
      </c>
    </row>
    <row r="14" spans="1:43" s="823" customFormat="1" ht="15.75" customHeight="1">
      <c r="A14" s="816"/>
      <c r="B14" s="817" t="s">
        <v>744</v>
      </c>
      <c r="C14" s="818">
        <v>114798.40393083099</v>
      </c>
      <c r="D14" s="818">
        <v>141797.020722621</v>
      </c>
      <c r="E14" s="818">
        <v>147346.21792411502</v>
      </c>
      <c r="F14" s="818">
        <v>150554.69195496</v>
      </c>
      <c r="G14" s="818">
        <v>147033</v>
      </c>
      <c r="H14" s="818">
        <v>145410</v>
      </c>
      <c r="I14" s="818">
        <v>151313.43045639803</v>
      </c>
      <c r="J14" s="818">
        <v>144186.87682579301</v>
      </c>
      <c r="K14" s="818">
        <v>159149</v>
      </c>
      <c r="L14" s="818">
        <v>156613</v>
      </c>
      <c r="M14" s="818">
        <v>140744.07729498207</v>
      </c>
      <c r="N14" s="818">
        <v>142269.80356461334</v>
      </c>
      <c r="O14" s="818">
        <v>116015.720413377</v>
      </c>
      <c r="P14" s="818">
        <v>127930.37412972987</v>
      </c>
      <c r="Q14" s="818">
        <v>138340.20515402491</v>
      </c>
      <c r="R14" s="818">
        <v>163718.29340917879</v>
      </c>
      <c r="S14" s="818">
        <v>190167.30030849093</v>
      </c>
      <c r="T14" s="818">
        <v>216656.49829883009</v>
      </c>
      <c r="U14" s="818">
        <v>220900.66542079239</v>
      </c>
      <c r="V14" s="818">
        <v>238111.94973408611</v>
      </c>
      <c r="W14" s="818">
        <v>244387.78754035107</v>
      </c>
      <c r="X14" s="818">
        <v>182283.33591609597</v>
      </c>
      <c r="Y14" s="818">
        <v>173110.56085650317</v>
      </c>
      <c r="Z14" s="818">
        <v>213085.08854812477</v>
      </c>
      <c r="AA14" s="818">
        <v>182927.33750615499</v>
      </c>
      <c r="AB14" s="818">
        <v>204762.12306723502</v>
      </c>
      <c r="AC14" s="819">
        <v>217442.01640430983</v>
      </c>
      <c r="AD14" s="819">
        <v>238439.16878838479</v>
      </c>
      <c r="AE14" s="819">
        <v>266462.59243745997</v>
      </c>
      <c r="AF14" s="819">
        <v>242991.00821519489</v>
      </c>
      <c r="AG14" s="819">
        <v>255732.68616697003</v>
      </c>
      <c r="AH14" s="819">
        <v>273399.31090576987</v>
      </c>
      <c r="AI14" s="819">
        <v>318051.26322652795</v>
      </c>
      <c r="AJ14" s="819">
        <v>353926.70777199976</v>
      </c>
      <c r="AK14" s="819">
        <v>419203.66080671002</v>
      </c>
      <c r="AL14" s="819">
        <v>472174.4954586901</v>
      </c>
      <c r="AM14" s="819">
        <v>543156.62355714059</v>
      </c>
      <c r="AN14" s="820">
        <v>716621.30284262495</v>
      </c>
      <c r="AO14" s="821">
        <f t="shared" si="2"/>
        <v>0.31936401355001753</v>
      </c>
      <c r="AP14" s="821">
        <f t="shared" si="3"/>
        <v>1.0247731722587994</v>
      </c>
      <c r="AQ14" s="822"/>
    </row>
    <row r="15" spans="1:43" ht="15.75" customHeight="1">
      <c r="A15" s="787"/>
      <c r="B15" s="787" t="s">
        <v>745</v>
      </c>
      <c r="C15" s="788"/>
      <c r="D15" s="788"/>
      <c r="E15" s="788"/>
      <c r="F15" s="788"/>
      <c r="G15" s="788"/>
      <c r="H15" s="788"/>
      <c r="I15" s="788"/>
      <c r="J15" s="788"/>
      <c r="K15" s="788"/>
      <c r="L15" s="788"/>
      <c r="M15" s="788"/>
      <c r="N15" s="788"/>
      <c r="O15" s="788"/>
      <c r="P15" s="788"/>
      <c r="Q15" s="788"/>
      <c r="R15" s="788"/>
      <c r="S15" s="788"/>
      <c r="T15" s="788"/>
      <c r="U15" s="788"/>
      <c r="V15" s="788"/>
      <c r="W15" s="788"/>
      <c r="X15" s="788"/>
      <c r="Y15" s="788"/>
      <c r="Z15" s="788"/>
      <c r="AA15" s="788"/>
      <c r="AB15" s="788"/>
      <c r="AC15" s="789"/>
      <c r="AD15" s="789"/>
      <c r="AE15" s="789"/>
      <c r="AF15" s="789"/>
      <c r="AG15" s="789"/>
      <c r="AH15" s="789"/>
      <c r="AI15" s="789"/>
      <c r="AJ15" s="789"/>
      <c r="AK15" s="789"/>
      <c r="AL15" s="789"/>
      <c r="AM15" s="789"/>
      <c r="AN15" s="790"/>
      <c r="AO15" s="791"/>
      <c r="AP15" s="791"/>
    </row>
    <row r="16" spans="1:43" ht="15.75" customHeight="1">
      <c r="A16" s="792"/>
      <c r="B16" s="793" t="s">
        <v>746</v>
      </c>
      <c r="C16" s="804">
        <v>6772.2760546809996</v>
      </c>
      <c r="D16" s="804">
        <v>8002.4048107709996</v>
      </c>
      <c r="E16" s="804">
        <v>8294.4899315750008</v>
      </c>
      <c r="F16" s="804">
        <v>6639.0078891899984</v>
      </c>
      <c r="G16" s="804">
        <v>6885.864319235</v>
      </c>
      <c r="H16" s="804">
        <v>7874.3389957909994</v>
      </c>
      <c r="I16" s="804">
        <v>8286.8869791779998</v>
      </c>
      <c r="J16" s="804">
        <v>8582.6223272430016</v>
      </c>
      <c r="K16" s="804">
        <v>9428.6220010599991</v>
      </c>
      <c r="L16" s="804">
        <v>10979.577094654107</v>
      </c>
      <c r="M16" s="804">
        <v>13004.523557152004</v>
      </c>
      <c r="N16" s="804">
        <v>12347.24893848335</v>
      </c>
      <c r="O16" s="804">
        <v>11548.300503816999</v>
      </c>
      <c r="P16" s="804">
        <v>10496.557504720004</v>
      </c>
      <c r="Q16" s="804">
        <v>10856.677866685031</v>
      </c>
      <c r="R16" s="804">
        <v>10466.476236148788</v>
      </c>
      <c r="S16" s="804">
        <v>11072.824872140993</v>
      </c>
      <c r="T16" s="804">
        <v>10460.981515399995</v>
      </c>
      <c r="U16" s="804">
        <v>10959.744880822502</v>
      </c>
      <c r="V16" s="804">
        <v>12561.744626676005</v>
      </c>
      <c r="W16" s="804">
        <v>13578.700596751003</v>
      </c>
      <c r="X16" s="804">
        <v>12717.085203466006</v>
      </c>
      <c r="Y16" s="804">
        <v>12584.477801892999</v>
      </c>
      <c r="Z16" s="804">
        <v>10991.390061845002</v>
      </c>
      <c r="AA16" s="804">
        <v>11798.84684089499</v>
      </c>
      <c r="AB16" s="804">
        <v>10019.814445425</v>
      </c>
      <c r="AC16" s="805">
        <v>9657.5747743699976</v>
      </c>
      <c r="AD16" s="805">
        <v>10151.767475154998</v>
      </c>
      <c r="AE16" s="805">
        <v>18165.707775740004</v>
      </c>
      <c r="AF16" s="805">
        <v>13220.705510455015</v>
      </c>
      <c r="AG16" s="805">
        <v>10862.361532539993</v>
      </c>
      <c r="AH16" s="805">
        <v>13543.783942390002</v>
      </c>
      <c r="AI16" s="805">
        <v>16992.494865698001</v>
      </c>
      <c r="AJ16" s="805">
        <v>19895.803050729995</v>
      </c>
      <c r="AK16" s="805">
        <v>20175.685243260003</v>
      </c>
      <c r="AL16" s="805">
        <v>19580.421885420001</v>
      </c>
      <c r="AM16" s="805">
        <v>23945.62388254</v>
      </c>
      <c r="AN16" s="806">
        <v>28971.573735685008</v>
      </c>
      <c r="AO16" s="797">
        <f t="shared" ref="AO16:AO24" si="4">IFERROR(AN16/AM16-1,"-")</f>
        <v>0.20989011928854739</v>
      </c>
      <c r="AP16" s="797">
        <f t="shared" ref="AP16:AP24" si="5">IFERROR(AN16/AJ16-1,"-")</f>
        <v>0.45616508475751183</v>
      </c>
    </row>
    <row r="17" spans="1:43" ht="15.75" customHeight="1">
      <c r="A17" s="792"/>
      <c r="B17" s="824" t="s">
        <v>747</v>
      </c>
      <c r="C17" s="825">
        <v>603.15840016999994</v>
      </c>
      <c r="D17" s="825">
        <v>724.76930200000004</v>
      </c>
      <c r="E17" s="825">
        <v>869.16602302000001</v>
      </c>
      <c r="F17" s="825">
        <v>910.75792676000015</v>
      </c>
      <c r="G17" s="825">
        <v>1194.2456343299998</v>
      </c>
      <c r="H17" s="825">
        <v>1181.9489466700002</v>
      </c>
      <c r="I17" s="825">
        <v>1016.6848159200001</v>
      </c>
      <c r="J17" s="825">
        <v>1155.54528439</v>
      </c>
      <c r="K17" s="825">
        <v>1113.86217915</v>
      </c>
      <c r="L17" s="825">
        <v>1152.2112128700001</v>
      </c>
      <c r="M17" s="825">
        <v>1070.4977276000002</v>
      </c>
      <c r="N17" s="825">
        <v>1260.4280916800001</v>
      </c>
      <c r="O17" s="825">
        <v>1481.0077822999999</v>
      </c>
      <c r="P17" s="825">
        <v>1618.1701793499999</v>
      </c>
      <c r="Q17" s="825">
        <v>2341.3589374099993</v>
      </c>
      <c r="R17" s="825">
        <v>2661.5983940899996</v>
      </c>
      <c r="S17" s="825">
        <v>2874.7100213499989</v>
      </c>
      <c r="T17" s="825">
        <v>3328.5714087000001</v>
      </c>
      <c r="U17" s="825">
        <v>3533.3871894799991</v>
      </c>
      <c r="V17" s="825">
        <v>4250.6579301499987</v>
      </c>
      <c r="W17" s="825">
        <v>4324.2640258299998</v>
      </c>
      <c r="X17" s="825">
        <v>3317.3403789699983</v>
      </c>
      <c r="Y17" s="825">
        <v>3898.876655550001</v>
      </c>
      <c r="Z17" s="825">
        <v>3744.1749527999991</v>
      </c>
      <c r="AA17" s="825">
        <v>5035.3839161399992</v>
      </c>
      <c r="AB17" s="825">
        <v>5343.1279330000007</v>
      </c>
      <c r="AC17" s="826">
        <v>5509.9653652099978</v>
      </c>
      <c r="AD17" s="826">
        <v>5461.0778659700009</v>
      </c>
      <c r="AE17" s="826">
        <v>6538.6511735299991</v>
      </c>
      <c r="AF17" s="826">
        <v>7503.9133482399993</v>
      </c>
      <c r="AG17" s="826">
        <v>8488.0796460599995</v>
      </c>
      <c r="AH17" s="826">
        <v>8532.8302485099957</v>
      </c>
      <c r="AI17" s="826">
        <v>8993.9098163099989</v>
      </c>
      <c r="AJ17" s="826">
        <v>10152.491756419997</v>
      </c>
      <c r="AK17" s="826">
        <v>11645.993235800006</v>
      </c>
      <c r="AL17" s="826">
        <v>13301.999804339997</v>
      </c>
      <c r="AM17" s="826">
        <v>16244.844631150003</v>
      </c>
      <c r="AN17" s="827">
        <v>22725.906130559997</v>
      </c>
      <c r="AO17" s="828">
        <f t="shared" si="4"/>
        <v>0.39896112561041996</v>
      </c>
      <c r="AP17" s="828">
        <f t="shared" si="5"/>
        <v>1.2384560042798474</v>
      </c>
    </row>
    <row r="18" spans="1:43" ht="15.75" customHeight="1">
      <c r="A18" s="792"/>
      <c r="B18" s="824" t="s">
        <v>748</v>
      </c>
      <c r="C18" s="825">
        <v>794.62473635000003</v>
      </c>
      <c r="D18" s="825">
        <v>759.00463451999997</v>
      </c>
      <c r="E18" s="825">
        <v>703.45645548000005</v>
      </c>
      <c r="F18" s="825">
        <v>691.63645460000009</v>
      </c>
      <c r="G18" s="825">
        <v>642.11557267000001</v>
      </c>
      <c r="H18" s="825">
        <v>641.79736210999999</v>
      </c>
      <c r="I18" s="825">
        <v>575.36710119000008</v>
      </c>
      <c r="J18" s="825">
        <v>925.52763410999989</v>
      </c>
      <c r="K18" s="825">
        <v>1477.01656877</v>
      </c>
      <c r="L18" s="825">
        <v>814.27910494000002</v>
      </c>
      <c r="M18" s="825">
        <v>838.73763327999961</v>
      </c>
      <c r="N18" s="825">
        <v>930.09331411000005</v>
      </c>
      <c r="O18" s="825">
        <v>1035.9292335099999</v>
      </c>
      <c r="P18" s="825">
        <v>1309.7865936700002</v>
      </c>
      <c r="Q18" s="825">
        <v>1246.5125159300007</v>
      </c>
      <c r="R18" s="825">
        <v>1116.9239333400001</v>
      </c>
      <c r="S18" s="825">
        <v>1343.3076913700006</v>
      </c>
      <c r="T18" s="825">
        <v>1655.7668204400002</v>
      </c>
      <c r="U18" s="825">
        <v>1747.5644060099989</v>
      </c>
      <c r="V18" s="825">
        <v>1839.2721145500007</v>
      </c>
      <c r="W18" s="825">
        <v>1861.2750447999999</v>
      </c>
      <c r="X18" s="825">
        <v>1919.2805995799997</v>
      </c>
      <c r="Y18" s="825">
        <v>1952.4699817300007</v>
      </c>
      <c r="Z18" s="825">
        <v>1884.1652767799999</v>
      </c>
      <c r="AA18" s="825">
        <v>1969.2961186299997</v>
      </c>
      <c r="AB18" s="825">
        <v>1987.2445952200014</v>
      </c>
      <c r="AC18" s="826">
        <v>1829.8947045699999</v>
      </c>
      <c r="AD18" s="826">
        <v>1757.4036156899995</v>
      </c>
      <c r="AE18" s="826">
        <v>1687.0180344000003</v>
      </c>
      <c r="AF18" s="826">
        <v>1729.7783234599999</v>
      </c>
      <c r="AG18" s="826">
        <v>1605.1462382899992</v>
      </c>
      <c r="AH18" s="826">
        <v>1534.4721673899994</v>
      </c>
      <c r="AI18" s="826">
        <v>1501.9342771399999</v>
      </c>
      <c r="AJ18" s="826">
        <v>1544.6422026099999</v>
      </c>
      <c r="AK18" s="826">
        <v>1680.9896933300001</v>
      </c>
      <c r="AL18" s="826">
        <v>3753.2321320000001</v>
      </c>
      <c r="AM18" s="826">
        <v>4350.0092980999989</v>
      </c>
      <c r="AN18" s="827">
        <v>3954.3904948199984</v>
      </c>
      <c r="AO18" s="828">
        <f t="shared" si="4"/>
        <v>-9.0946656930779302E-2</v>
      </c>
      <c r="AP18" s="828">
        <f t="shared" si="5"/>
        <v>1.5600689196101327</v>
      </c>
    </row>
    <row r="19" spans="1:43" ht="15.75" customHeight="1">
      <c r="A19" s="792"/>
      <c r="B19" s="824" t="s">
        <v>749</v>
      </c>
      <c r="C19" s="825">
        <v>1620.37</v>
      </c>
      <c r="D19" s="825">
        <v>2563.9700000000003</v>
      </c>
      <c r="E19" s="825">
        <v>1800.26</v>
      </c>
      <c r="F19" s="825">
        <v>1811.5897</v>
      </c>
      <c r="G19" s="825">
        <v>1963.3773999999996</v>
      </c>
      <c r="H19" s="825">
        <v>1559.3841</v>
      </c>
      <c r="I19" s="825">
        <v>897.56409999999994</v>
      </c>
      <c r="J19" s="825">
        <v>802.84260000000006</v>
      </c>
      <c r="K19" s="825">
        <v>718.03771523</v>
      </c>
      <c r="L19" s="825">
        <v>550.08433199000001</v>
      </c>
      <c r="M19" s="825">
        <v>466.62218772000006</v>
      </c>
      <c r="N19" s="825">
        <v>461.99580039</v>
      </c>
      <c r="O19" s="825">
        <v>396.19420572000001</v>
      </c>
      <c r="P19" s="825">
        <v>753.11739999999986</v>
      </c>
      <c r="Q19" s="825">
        <v>245.50609007000003</v>
      </c>
      <c r="R19" s="825">
        <v>220.11541311000008</v>
      </c>
      <c r="S19" s="825">
        <v>86.840248080000009</v>
      </c>
      <c r="T19" s="825">
        <v>68.640637949999984</v>
      </c>
      <c r="U19" s="825">
        <v>66.338458760000009</v>
      </c>
      <c r="V19" s="825">
        <v>67.748503139999997</v>
      </c>
      <c r="W19" s="825">
        <v>39.743795900000002</v>
      </c>
      <c r="X19" s="825">
        <v>38.999372299999997</v>
      </c>
      <c r="Y19" s="825">
        <v>38.746224050000002</v>
      </c>
      <c r="Z19" s="825">
        <v>38.776405199999999</v>
      </c>
      <c r="AA19" s="825">
        <v>39.004414300000001</v>
      </c>
      <c r="AB19" s="825">
        <v>38.716770599999997</v>
      </c>
      <c r="AC19" s="826">
        <v>38.567650749999999</v>
      </c>
      <c r="AD19" s="826">
        <v>39.149327700000001</v>
      </c>
      <c r="AE19" s="826">
        <v>0</v>
      </c>
      <c r="AF19" s="826">
        <v>0</v>
      </c>
      <c r="AG19" s="826">
        <v>0</v>
      </c>
      <c r="AH19" s="826">
        <v>0</v>
      </c>
      <c r="AI19" s="826">
        <v>0</v>
      </c>
      <c r="AJ19" s="826">
        <v>73.326400859999993</v>
      </c>
      <c r="AK19" s="826">
        <v>390.15501089000009</v>
      </c>
      <c r="AL19" s="826">
        <v>527.75756722000006</v>
      </c>
      <c r="AM19" s="826">
        <v>835.0116499799999</v>
      </c>
      <c r="AN19" s="827">
        <v>948.01659047999976</v>
      </c>
      <c r="AO19" s="828">
        <f t="shared" si="4"/>
        <v>0.13533336990293066</v>
      </c>
      <c r="AP19" s="828">
        <f t="shared" si="5"/>
        <v>11.928721161291154</v>
      </c>
    </row>
    <row r="20" spans="1:43" ht="15.75" customHeight="1">
      <c r="A20" s="792"/>
      <c r="B20" s="824" t="s">
        <v>750</v>
      </c>
      <c r="C20" s="825">
        <v>961.73132117</v>
      </c>
      <c r="D20" s="825">
        <v>1068.39208306</v>
      </c>
      <c r="E20" s="825">
        <v>1093.5881792099999</v>
      </c>
      <c r="F20" s="825">
        <v>973.46676031000015</v>
      </c>
      <c r="G20" s="825">
        <v>1083.1375764700001</v>
      </c>
      <c r="H20" s="825">
        <v>1024.5602068999999</v>
      </c>
      <c r="I20" s="825">
        <v>1346.0604471699999</v>
      </c>
      <c r="J20" s="825">
        <v>1824.9776735800001</v>
      </c>
      <c r="K20" s="825">
        <v>2224.0531858200002</v>
      </c>
      <c r="L20" s="825">
        <v>2403.36306178</v>
      </c>
      <c r="M20" s="825">
        <v>2694.4924266300004</v>
      </c>
      <c r="N20" s="825">
        <v>2592.8241122099998</v>
      </c>
      <c r="O20" s="825">
        <v>2760.21259667</v>
      </c>
      <c r="P20" s="825">
        <v>3607.7569859000005</v>
      </c>
      <c r="Q20" s="825">
        <v>3373.0867908499977</v>
      </c>
      <c r="R20" s="825">
        <v>3796.3365914599976</v>
      </c>
      <c r="S20" s="825">
        <v>3398.2801672399974</v>
      </c>
      <c r="T20" s="825">
        <v>3314.2501426100025</v>
      </c>
      <c r="U20" s="825">
        <v>3228.2462340800012</v>
      </c>
      <c r="V20" s="825">
        <v>3765.7931653500009</v>
      </c>
      <c r="W20" s="825">
        <v>4096.1543395199969</v>
      </c>
      <c r="X20" s="825">
        <v>4237.4221056899969</v>
      </c>
      <c r="Y20" s="825">
        <v>3977.014368159998</v>
      </c>
      <c r="Z20" s="825">
        <v>3399.4994408700009</v>
      </c>
      <c r="AA20" s="825">
        <v>3395.6521177900004</v>
      </c>
      <c r="AB20" s="825">
        <v>3001.1645931899993</v>
      </c>
      <c r="AC20" s="826">
        <v>3225.5706180700022</v>
      </c>
      <c r="AD20" s="826">
        <v>4010.9286739700015</v>
      </c>
      <c r="AE20" s="826">
        <v>4354.0532849199981</v>
      </c>
      <c r="AF20" s="826">
        <v>4693.4224068500016</v>
      </c>
      <c r="AG20" s="826">
        <v>4225.526197500003</v>
      </c>
      <c r="AH20" s="826">
        <v>4286.5838805400008</v>
      </c>
      <c r="AI20" s="826">
        <v>3614.6668922100025</v>
      </c>
      <c r="AJ20" s="826">
        <v>3697.8004040100004</v>
      </c>
      <c r="AK20" s="826">
        <v>4922.6175424499997</v>
      </c>
      <c r="AL20" s="826">
        <v>5193.1766176399997</v>
      </c>
      <c r="AM20" s="826">
        <v>5423.354395080004</v>
      </c>
      <c r="AN20" s="827">
        <v>5914.4161221500008</v>
      </c>
      <c r="AO20" s="828">
        <f t="shared" si="4"/>
        <v>9.054575661061004E-2</v>
      </c>
      <c r="AP20" s="828">
        <f t="shared" si="5"/>
        <v>0.59944168856064772</v>
      </c>
    </row>
    <row r="21" spans="1:43" ht="15.75" customHeight="1">
      <c r="A21" s="792"/>
      <c r="B21" s="824" t="s">
        <v>751</v>
      </c>
      <c r="C21" s="825">
        <v>4670.5791258399995</v>
      </c>
      <c r="D21" s="825">
        <v>4729.97721172</v>
      </c>
      <c r="E21" s="825">
        <v>4388.2788469500001</v>
      </c>
      <c r="F21" s="825">
        <v>4754.1690228200005</v>
      </c>
      <c r="G21" s="825">
        <v>4855.3073708599995</v>
      </c>
      <c r="H21" s="825">
        <v>4748.5723091900009</v>
      </c>
      <c r="I21" s="825">
        <v>4708.3058265999998</v>
      </c>
      <c r="J21" s="825">
        <v>4710.31360159</v>
      </c>
      <c r="K21" s="825">
        <v>3875.2718000599998</v>
      </c>
      <c r="L21" s="825">
        <v>3818.7344454200002</v>
      </c>
      <c r="M21" s="825">
        <v>3771.4275570499999</v>
      </c>
      <c r="N21" s="825">
        <v>4149.1155321599999</v>
      </c>
      <c r="O21" s="825">
        <v>3676.8238387199999</v>
      </c>
      <c r="P21" s="825">
        <v>5390.1596162999977</v>
      </c>
      <c r="Q21" s="825">
        <v>3902.0279546000002</v>
      </c>
      <c r="R21" s="825">
        <v>4003.2495730099999</v>
      </c>
      <c r="S21" s="825">
        <v>4036.2004619500003</v>
      </c>
      <c r="T21" s="825">
        <v>4143.1987503800001</v>
      </c>
      <c r="U21" s="825">
        <v>4405.5843576499983</v>
      </c>
      <c r="V21" s="825">
        <v>4934.0191405300002</v>
      </c>
      <c r="W21" s="825">
        <v>4674.1366335299999</v>
      </c>
      <c r="X21" s="825">
        <v>5206.9237913799989</v>
      </c>
      <c r="Y21" s="825">
        <v>6873.5583582199952</v>
      </c>
      <c r="Z21" s="825">
        <v>7204.5787469899979</v>
      </c>
      <c r="AA21" s="825">
        <v>9517.4260520799944</v>
      </c>
      <c r="AB21" s="825">
        <v>9570.9967696000003</v>
      </c>
      <c r="AC21" s="826">
        <v>16407.6072881</v>
      </c>
      <c r="AD21" s="826">
        <v>16233.18852534</v>
      </c>
      <c r="AE21" s="826">
        <v>12897.381841030001</v>
      </c>
      <c r="AF21" s="826">
        <v>14408.415895390004</v>
      </c>
      <c r="AG21" s="826">
        <v>14161.621485289998</v>
      </c>
      <c r="AH21" s="826">
        <v>13919.143554479992</v>
      </c>
      <c r="AI21" s="826">
        <v>13354.977073060003</v>
      </c>
      <c r="AJ21" s="826">
        <v>16545.238014909992</v>
      </c>
      <c r="AK21" s="826">
        <v>18525.675117990006</v>
      </c>
      <c r="AL21" s="826">
        <v>18341.007213389996</v>
      </c>
      <c r="AM21" s="826">
        <v>19334.371746639983</v>
      </c>
      <c r="AN21" s="827">
        <v>20497.378979919991</v>
      </c>
      <c r="AO21" s="828">
        <f t="shared" si="4"/>
        <v>6.0152315705945814E-2</v>
      </c>
      <c r="AP21" s="828">
        <f t="shared" si="5"/>
        <v>0.23886878879883544</v>
      </c>
    </row>
    <row r="22" spans="1:43" ht="15.75" hidden="1" customHeight="1">
      <c r="A22" s="792"/>
      <c r="B22" s="824" t="s">
        <v>752</v>
      </c>
      <c r="C22" s="825">
        <v>15566.66091934</v>
      </c>
      <c r="D22" s="825">
        <v>13878.50081342</v>
      </c>
      <c r="E22" s="825">
        <v>14090.761489349999</v>
      </c>
      <c r="F22" s="825">
        <v>14164.698159269996</v>
      </c>
      <c r="G22" s="825">
        <v>14468.690762240003</v>
      </c>
      <c r="H22" s="825">
        <v>13815.90187263</v>
      </c>
      <c r="I22" s="825">
        <v>12696.141755320003</v>
      </c>
      <c r="J22" s="825">
        <v>11787.605717530003</v>
      </c>
      <c r="K22" s="825">
        <v>11809.765194310001</v>
      </c>
      <c r="L22" s="825">
        <v>9839.3419095099998</v>
      </c>
      <c r="M22" s="825">
        <v>8444.6563047599957</v>
      </c>
      <c r="N22" s="825">
        <v>7443.3465357699997</v>
      </c>
      <c r="O22" s="825">
        <v>4195.1927175600003</v>
      </c>
      <c r="P22" s="825">
        <v>0</v>
      </c>
      <c r="Q22" s="825">
        <v>0</v>
      </c>
      <c r="R22" s="825">
        <v>0</v>
      </c>
      <c r="S22" s="825">
        <v>0</v>
      </c>
      <c r="T22" s="825">
        <v>0</v>
      </c>
      <c r="U22" s="825">
        <v>0</v>
      </c>
      <c r="V22" s="825">
        <v>0</v>
      </c>
      <c r="W22" s="825">
        <v>0</v>
      </c>
      <c r="X22" s="825">
        <v>0</v>
      </c>
      <c r="Y22" s="825">
        <v>0</v>
      </c>
      <c r="Z22" s="825">
        <v>0</v>
      </c>
      <c r="AA22" s="825">
        <v>0</v>
      </c>
      <c r="AB22" s="825">
        <v>0</v>
      </c>
      <c r="AC22" s="826">
        <v>0</v>
      </c>
      <c r="AD22" s="826">
        <v>0</v>
      </c>
      <c r="AE22" s="826">
        <v>0</v>
      </c>
      <c r="AF22" s="826">
        <v>0</v>
      </c>
      <c r="AG22" s="826">
        <v>0</v>
      </c>
      <c r="AH22" s="826">
        <v>0</v>
      </c>
      <c r="AI22" s="826">
        <v>0</v>
      </c>
      <c r="AJ22" s="826">
        <v>0</v>
      </c>
      <c r="AK22" s="826">
        <v>0</v>
      </c>
      <c r="AL22" s="826">
        <v>0</v>
      </c>
      <c r="AM22" s="826">
        <v>0</v>
      </c>
      <c r="AN22" s="827">
        <v>0</v>
      </c>
      <c r="AO22" s="828" t="str">
        <f t="shared" si="4"/>
        <v>-</v>
      </c>
      <c r="AP22" s="828" t="str">
        <f t="shared" si="5"/>
        <v>-</v>
      </c>
    </row>
    <row r="23" spans="1:43" ht="15.75" customHeight="1">
      <c r="A23" s="792"/>
      <c r="B23" s="811" t="s">
        <v>753</v>
      </c>
      <c r="C23" s="812"/>
      <c r="D23" s="812"/>
      <c r="E23" s="812"/>
      <c r="F23" s="812"/>
      <c r="G23" s="812"/>
      <c r="H23" s="812"/>
      <c r="I23" s="812"/>
      <c r="J23" s="812"/>
      <c r="K23" s="812">
        <v>35.90774845</v>
      </c>
      <c r="L23" s="812">
        <v>270.19134967999997</v>
      </c>
      <c r="M23" s="812">
        <v>361.40820411999982</v>
      </c>
      <c r="N23" s="812">
        <v>452.94939253000001</v>
      </c>
      <c r="O23" s="812">
        <v>1554.9817075999999</v>
      </c>
      <c r="P23" s="812">
        <v>1562.3296716100008</v>
      </c>
      <c r="Q23" s="812">
        <v>1529.3216560600004</v>
      </c>
      <c r="R23" s="812">
        <v>1200.3164469300009</v>
      </c>
      <c r="S23" s="812">
        <v>2259.3226075499988</v>
      </c>
      <c r="T23" s="812">
        <v>1087.5497816900004</v>
      </c>
      <c r="U23" s="812">
        <v>1306.1126680800007</v>
      </c>
      <c r="V23" s="812">
        <v>1273.5495553200008</v>
      </c>
      <c r="W23" s="812">
        <v>1552.08811292</v>
      </c>
      <c r="X23" s="812">
        <v>1402.7029539400003</v>
      </c>
      <c r="Y23" s="812">
        <v>1917.5078238999988</v>
      </c>
      <c r="Z23" s="812">
        <v>1535.8288139499984</v>
      </c>
      <c r="AA23" s="812">
        <v>2163.1360627299978</v>
      </c>
      <c r="AB23" s="812">
        <v>1885.9358514800008</v>
      </c>
      <c r="AC23" s="813">
        <v>2151.9327499500009</v>
      </c>
      <c r="AD23" s="813">
        <v>2296.0354768699999</v>
      </c>
      <c r="AE23" s="813">
        <v>2655.0733963899975</v>
      </c>
      <c r="AF23" s="813">
        <v>3267.6612341999994</v>
      </c>
      <c r="AG23" s="813">
        <v>4124.8205242299982</v>
      </c>
      <c r="AH23" s="813">
        <v>3876.9006211900009</v>
      </c>
      <c r="AI23" s="813">
        <v>3403.8998027200014</v>
      </c>
      <c r="AJ23" s="813">
        <v>4023.4694451399992</v>
      </c>
      <c r="AK23" s="813">
        <v>3733.0148942500027</v>
      </c>
      <c r="AL23" s="813">
        <v>3873.33959349</v>
      </c>
      <c r="AM23" s="813">
        <v>5716.774432879999</v>
      </c>
      <c r="AN23" s="814">
        <v>5087.74243613</v>
      </c>
      <c r="AO23" s="815">
        <f t="shared" si="4"/>
        <v>-0.11003267736647515</v>
      </c>
      <c r="AP23" s="815">
        <f t="shared" si="5"/>
        <v>0.26451623542849312</v>
      </c>
    </row>
    <row r="24" spans="1:43" s="823" customFormat="1" ht="15.75" customHeight="1">
      <c r="A24" s="816"/>
      <c r="B24" s="817" t="s">
        <v>744</v>
      </c>
      <c r="C24" s="818">
        <v>30989.400557550998</v>
      </c>
      <c r="D24" s="818">
        <v>31727.018855491002</v>
      </c>
      <c r="E24" s="818">
        <v>31240.000925585002</v>
      </c>
      <c r="F24" s="818">
        <v>29945.325912949997</v>
      </c>
      <c r="G24" s="818">
        <v>31092.738635805003</v>
      </c>
      <c r="H24" s="818">
        <v>30846.503793290998</v>
      </c>
      <c r="I24" s="818">
        <v>29527.011025378</v>
      </c>
      <c r="J24" s="818">
        <v>29789.434838443005</v>
      </c>
      <c r="K24" s="818">
        <v>30682.536392850001</v>
      </c>
      <c r="L24" s="818">
        <v>29827.782510844107</v>
      </c>
      <c r="M24" s="818">
        <v>30652.365598312001</v>
      </c>
      <c r="N24" s="818">
        <v>29638.001717333347</v>
      </c>
      <c r="O24" s="818">
        <v>26648.642585896996</v>
      </c>
      <c r="P24" s="818">
        <v>24737.877951549999</v>
      </c>
      <c r="Q24" s="818">
        <v>23494.491811605028</v>
      </c>
      <c r="R24" s="818">
        <v>23465.016588088787</v>
      </c>
      <c r="S24" s="818">
        <v>25071.486069680988</v>
      </c>
      <c r="T24" s="818">
        <v>24058.959057169996</v>
      </c>
      <c r="U24" s="818">
        <v>25246.978194882497</v>
      </c>
      <c r="V24" s="818">
        <v>28692.785035716006</v>
      </c>
      <c r="W24" s="818">
        <v>30126.362549251</v>
      </c>
      <c r="X24" s="818">
        <v>28839.754405325999</v>
      </c>
      <c r="Y24" s="818">
        <v>31242.651213502995</v>
      </c>
      <c r="Z24" s="818">
        <v>28798.413698435001</v>
      </c>
      <c r="AA24" s="818">
        <v>33918.745522564976</v>
      </c>
      <c r="AB24" s="818">
        <v>31847.000958515</v>
      </c>
      <c r="AC24" s="819">
        <v>38821.113151019999</v>
      </c>
      <c r="AD24" s="819">
        <v>39949.550960695</v>
      </c>
      <c r="AE24" s="819">
        <v>46297.885506010003</v>
      </c>
      <c r="AF24" s="819">
        <v>44823.896718595017</v>
      </c>
      <c r="AG24" s="819">
        <v>43467.55562390999</v>
      </c>
      <c r="AH24" s="819">
        <v>45693.714414499991</v>
      </c>
      <c r="AI24" s="819">
        <v>47861.882727138007</v>
      </c>
      <c r="AJ24" s="819">
        <v>55932.771274679988</v>
      </c>
      <c r="AK24" s="819">
        <v>61074.130737970008</v>
      </c>
      <c r="AL24" s="819">
        <v>64570.934813499989</v>
      </c>
      <c r="AM24" s="819">
        <v>75849.990036369985</v>
      </c>
      <c r="AN24" s="820">
        <v>88099.424489744997</v>
      </c>
      <c r="AO24" s="821">
        <f t="shared" si="4"/>
        <v>0.16149553147602824</v>
      </c>
      <c r="AP24" s="821">
        <f t="shared" si="5"/>
        <v>0.5750949306104991</v>
      </c>
      <c r="AQ24" s="822"/>
    </row>
    <row r="25" spans="1:43" ht="15.75" customHeight="1">
      <c r="A25" s="787"/>
      <c r="B25" s="787" t="s">
        <v>754</v>
      </c>
      <c r="C25" s="788"/>
      <c r="D25" s="788"/>
      <c r="E25" s="788"/>
      <c r="F25" s="788"/>
      <c r="G25" s="788"/>
      <c r="H25" s="788"/>
      <c r="I25" s="788"/>
      <c r="J25" s="788"/>
      <c r="K25" s="788"/>
      <c r="L25" s="788"/>
      <c r="M25" s="788"/>
      <c r="N25" s="788"/>
      <c r="O25" s="788"/>
      <c r="P25" s="788"/>
      <c r="Q25" s="788"/>
      <c r="R25" s="788"/>
      <c r="S25" s="788"/>
      <c r="T25" s="788"/>
      <c r="U25" s="788"/>
      <c r="V25" s="788"/>
      <c r="W25" s="788"/>
      <c r="X25" s="788"/>
      <c r="Y25" s="788"/>
      <c r="Z25" s="788"/>
      <c r="AA25" s="788"/>
      <c r="AB25" s="788"/>
      <c r="AC25" s="789"/>
      <c r="AD25" s="789"/>
      <c r="AE25" s="789"/>
      <c r="AF25" s="789"/>
      <c r="AG25" s="789"/>
      <c r="AH25" s="789"/>
      <c r="AI25" s="789"/>
      <c r="AJ25" s="789"/>
      <c r="AK25" s="789"/>
      <c r="AL25" s="789"/>
      <c r="AM25" s="789"/>
      <c r="AN25" s="790"/>
      <c r="AO25" s="791"/>
      <c r="AP25" s="791"/>
    </row>
    <row r="26" spans="1:43" ht="15.75" customHeight="1">
      <c r="A26" s="792"/>
      <c r="B26" s="793" t="s">
        <v>755</v>
      </c>
      <c r="C26" s="804">
        <v>20685.89158</v>
      </c>
      <c r="D26" s="804">
        <v>22378.622319999999</v>
      </c>
      <c r="E26" s="804">
        <v>22009.34777</v>
      </c>
      <c r="F26" s="804">
        <v>21576.36608</v>
      </c>
      <c r="G26" s="804">
        <v>24456.717688920002</v>
      </c>
      <c r="H26" s="804">
        <v>32788.861991539998</v>
      </c>
      <c r="I26" s="804">
        <v>37816</v>
      </c>
      <c r="J26" s="804">
        <v>48240</v>
      </c>
      <c r="K26" s="804">
        <v>50083</v>
      </c>
      <c r="L26" s="804">
        <v>51416</v>
      </c>
      <c r="M26" s="804">
        <v>55137</v>
      </c>
      <c r="N26" s="804">
        <v>52689</v>
      </c>
      <c r="O26" s="804">
        <v>52317</v>
      </c>
      <c r="P26" s="804">
        <v>46520</v>
      </c>
      <c r="Q26" s="804">
        <v>43476</v>
      </c>
      <c r="R26" s="804">
        <v>43618</v>
      </c>
      <c r="S26" s="804">
        <v>39064</v>
      </c>
      <c r="T26" s="804">
        <v>39654</v>
      </c>
      <c r="U26" s="804">
        <v>35267</v>
      </c>
      <c r="V26" s="804">
        <v>32730</v>
      </c>
      <c r="W26" s="804">
        <v>30572</v>
      </c>
      <c r="X26" s="804">
        <v>30533</v>
      </c>
      <c r="Y26" s="804">
        <v>31205</v>
      </c>
      <c r="Z26" s="804">
        <v>29390</v>
      </c>
      <c r="AA26" s="804">
        <v>32086</v>
      </c>
      <c r="AB26" s="804">
        <v>32744</v>
      </c>
      <c r="AC26" s="805">
        <v>38273</v>
      </c>
      <c r="AD26" s="805">
        <v>36033</v>
      </c>
      <c r="AE26" s="805">
        <v>33480</v>
      </c>
      <c r="AF26" s="805">
        <v>42794</v>
      </c>
      <c r="AG26" s="805">
        <v>44794</v>
      </c>
      <c r="AH26" s="805">
        <v>52105</v>
      </c>
      <c r="AI26" s="805">
        <v>47864</v>
      </c>
      <c r="AJ26" s="805">
        <v>43172</v>
      </c>
      <c r="AK26" s="805">
        <v>40477</v>
      </c>
      <c r="AL26" s="805">
        <v>59016</v>
      </c>
      <c r="AM26" s="805">
        <v>59983</v>
      </c>
      <c r="AN26" s="806">
        <v>55612</v>
      </c>
      <c r="AO26" s="797">
        <f t="shared" ref="AO26:AO30" si="6">IFERROR(AN26/AM26-1,"-")</f>
        <v>-7.2870646683226958E-2</v>
      </c>
      <c r="AP26" s="797">
        <f t="shared" ref="AP26:AP30" si="7">IFERROR(AN26/AJ26-1,"-")</f>
        <v>0.28814972667469663</v>
      </c>
    </row>
    <row r="27" spans="1:43" ht="15.75" customHeight="1">
      <c r="A27" s="792"/>
      <c r="B27" s="824" t="s">
        <v>756</v>
      </c>
      <c r="C27" s="825">
        <v>7556</v>
      </c>
      <c r="D27" s="825">
        <v>8717.9902000000002</v>
      </c>
      <c r="E27" s="825">
        <v>9388</v>
      </c>
      <c r="F27" s="825">
        <v>8633</v>
      </c>
      <c r="G27" s="825">
        <v>8923</v>
      </c>
      <c r="H27" s="825">
        <v>8502</v>
      </c>
      <c r="I27" s="825">
        <v>12244</v>
      </c>
      <c r="J27" s="825">
        <v>11779</v>
      </c>
      <c r="K27" s="825">
        <v>12203</v>
      </c>
      <c r="L27" s="825">
        <v>12679</v>
      </c>
      <c r="M27" s="825">
        <v>11600</v>
      </c>
      <c r="N27" s="825">
        <v>15056</v>
      </c>
      <c r="O27" s="825">
        <v>9179</v>
      </c>
      <c r="P27" s="825">
        <v>17975</v>
      </c>
      <c r="Q27" s="825">
        <v>13042</v>
      </c>
      <c r="R27" s="825">
        <v>19451</v>
      </c>
      <c r="S27" s="825">
        <v>13665</v>
      </c>
      <c r="T27" s="825">
        <v>7586</v>
      </c>
      <c r="U27" s="825">
        <v>13351</v>
      </c>
      <c r="V27" s="825">
        <v>22502</v>
      </c>
      <c r="W27" s="825">
        <v>16916</v>
      </c>
      <c r="X27" s="825">
        <v>22785</v>
      </c>
      <c r="Y27" s="825">
        <v>15999</v>
      </c>
      <c r="Z27" s="825">
        <v>28853</v>
      </c>
      <c r="AA27" s="825">
        <v>13327</v>
      </c>
      <c r="AB27" s="825">
        <v>15382</v>
      </c>
      <c r="AC27" s="826">
        <v>6525</v>
      </c>
      <c r="AD27" s="826">
        <v>12698</v>
      </c>
      <c r="AE27" s="826">
        <v>9903</v>
      </c>
      <c r="AF27" s="826">
        <v>10134</v>
      </c>
      <c r="AG27" s="826">
        <v>14224</v>
      </c>
      <c r="AH27" s="826">
        <v>14168</v>
      </c>
      <c r="AI27" s="826">
        <v>17370</v>
      </c>
      <c r="AJ27" s="826">
        <v>19024</v>
      </c>
      <c r="AK27" s="826">
        <v>23638</v>
      </c>
      <c r="AL27" s="826">
        <v>11443</v>
      </c>
      <c r="AM27" s="826">
        <v>21447</v>
      </c>
      <c r="AN27" s="827">
        <v>19356</v>
      </c>
      <c r="AO27" s="828">
        <f t="shared" si="6"/>
        <v>-9.7496153308154976E-2</v>
      </c>
      <c r="AP27" s="828">
        <f t="shared" si="7"/>
        <v>1.7451640033641747E-2</v>
      </c>
    </row>
    <row r="28" spans="1:43" ht="15.75" customHeight="1">
      <c r="A28" s="792"/>
      <c r="B28" s="824" t="s">
        <v>757</v>
      </c>
      <c r="C28" s="825">
        <v>7294.3280000000004</v>
      </c>
      <c r="D28" s="825">
        <v>7923.5955199999999</v>
      </c>
      <c r="E28" s="825">
        <v>8246.5373500000005</v>
      </c>
      <c r="F28" s="825">
        <v>8961.1162899999999</v>
      </c>
      <c r="G28" s="825">
        <v>9597.14833</v>
      </c>
      <c r="H28" s="825">
        <v>11702.44859263</v>
      </c>
      <c r="I28" s="825">
        <v>12858</v>
      </c>
      <c r="J28" s="825">
        <v>11729</v>
      </c>
      <c r="K28" s="825">
        <v>12699</v>
      </c>
      <c r="L28" s="825">
        <v>12490</v>
      </c>
      <c r="M28" s="825">
        <v>7679</v>
      </c>
      <c r="N28" s="825">
        <v>6547</v>
      </c>
      <c r="O28" s="825">
        <v>4184</v>
      </c>
      <c r="P28" s="825">
        <v>3612</v>
      </c>
      <c r="Q28" s="825">
        <v>4689</v>
      </c>
      <c r="R28" s="825">
        <v>6626</v>
      </c>
      <c r="S28" s="825">
        <v>8525</v>
      </c>
      <c r="T28" s="825">
        <v>13917</v>
      </c>
      <c r="U28" s="825">
        <v>13232</v>
      </c>
      <c r="V28" s="825">
        <v>12774</v>
      </c>
      <c r="W28" s="825">
        <v>13941</v>
      </c>
      <c r="X28" s="825">
        <v>7046</v>
      </c>
      <c r="Y28" s="825">
        <v>6870</v>
      </c>
      <c r="Z28" s="825">
        <v>6748</v>
      </c>
      <c r="AA28" s="825">
        <v>6720</v>
      </c>
      <c r="AB28" s="825">
        <v>15996</v>
      </c>
      <c r="AC28" s="826">
        <v>14706</v>
      </c>
      <c r="AD28" s="826">
        <v>16646</v>
      </c>
      <c r="AE28" s="826">
        <v>11313</v>
      </c>
      <c r="AF28" s="826">
        <v>6479</v>
      </c>
      <c r="AG28" s="826">
        <v>5945</v>
      </c>
      <c r="AH28" s="826">
        <v>5811</v>
      </c>
      <c r="AI28" s="826">
        <v>6389</v>
      </c>
      <c r="AJ28" s="826">
        <v>7251</v>
      </c>
      <c r="AK28" s="826">
        <v>8444</v>
      </c>
      <c r="AL28" s="826">
        <v>10024</v>
      </c>
      <c r="AM28" s="826">
        <v>13446</v>
      </c>
      <c r="AN28" s="827">
        <v>24348</v>
      </c>
      <c r="AO28" s="828">
        <f t="shared" si="6"/>
        <v>0.81079875055778672</v>
      </c>
      <c r="AP28" s="828">
        <f t="shared" si="7"/>
        <v>2.3578816714935873</v>
      </c>
    </row>
    <row r="29" spans="1:43" ht="15.75" customHeight="1">
      <c r="A29" s="792"/>
      <c r="B29" s="811" t="s">
        <v>758</v>
      </c>
      <c r="C29" s="812">
        <v>2296.5471600000001</v>
      </c>
      <c r="D29" s="812">
        <v>1920.4001900000001</v>
      </c>
      <c r="E29" s="812">
        <v>1572.2275099999999</v>
      </c>
      <c r="F29" s="812">
        <v>1273.8502800000001</v>
      </c>
      <c r="G29" s="812">
        <v>999.55182000000002</v>
      </c>
      <c r="H29" s="812">
        <v>744.06370627999991</v>
      </c>
      <c r="I29" s="812">
        <v>572</v>
      </c>
      <c r="J29" s="812">
        <v>445</v>
      </c>
      <c r="K29" s="812">
        <v>322</v>
      </c>
      <c r="L29" s="812">
        <v>227</v>
      </c>
      <c r="M29" s="812">
        <v>162</v>
      </c>
      <c r="N29" s="812">
        <v>110</v>
      </c>
      <c r="O29" s="812">
        <v>77</v>
      </c>
      <c r="P29" s="812">
        <v>74</v>
      </c>
      <c r="Q29" s="812">
        <v>69</v>
      </c>
      <c r="R29" s="812">
        <v>69</v>
      </c>
      <c r="S29" s="812">
        <v>69</v>
      </c>
      <c r="T29" s="812">
        <v>70</v>
      </c>
      <c r="U29" s="812">
        <v>70</v>
      </c>
      <c r="V29" s="812">
        <v>69</v>
      </c>
      <c r="W29" s="812">
        <v>69</v>
      </c>
      <c r="X29" s="812">
        <v>69</v>
      </c>
      <c r="Y29" s="812">
        <v>70</v>
      </c>
      <c r="Z29" s="812">
        <v>49</v>
      </c>
      <c r="AA29" s="812">
        <v>104</v>
      </c>
      <c r="AB29" s="812">
        <v>96</v>
      </c>
      <c r="AC29" s="813">
        <v>93</v>
      </c>
      <c r="AD29" s="813">
        <v>90</v>
      </c>
      <c r="AE29" s="813">
        <v>85</v>
      </c>
      <c r="AF29" s="813">
        <v>84</v>
      </c>
      <c r="AG29" s="813">
        <v>83</v>
      </c>
      <c r="AH29" s="813">
        <v>83</v>
      </c>
      <c r="AI29" s="813">
        <v>79</v>
      </c>
      <c r="AJ29" s="813">
        <v>80</v>
      </c>
      <c r="AK29" s="813">
        <v>83</v>
      </c>
      <c r="AL29" s="813">
        <v>84</v>
      </c>
      <c r="AM29" s="813">
        <v>86</v>
      </c>
      <c r="AN29" s="814">
        <v>88</v>
      </c>
      <c r="AO29" s="815">
        <f t="shared" si="6"/>
        <v>2.3255813953488413E-2</v>
      </c>
      <c r="AP29" s="815">
        <f t="shared" si="7"/>
        <v>0.10000000000000009</v>
      </c>
    </row>
    <row r="30" spans="1:43" s="823" customFormat="1" ht="15.75" customHeight="1">
      <c r="A30" s="829"/>
      <c r="B30" s="830" t="s">
        <v>744</v>
      </c>
      <c r="C30" s="831">
        <v>37832.766739999999</v>
      </c>
      <c r="D30" s="831">
        <v>40940.608229999998</v>
      </c>
      <c r="E30" s="831">
        <v>41216.112629999996</v>
      </c>
      <c r="F30" s="831">
        <v>40444.332649999997</v>
      </c>
      <c r="G30" s="831">
        <v>43976.417838920002</v>
      </c>
      <c r="H30" s="831">
        <v>53737.374290450003</v>
      </c>
      <c r="I30" s="831">
        <v>63490</v>
      </c>
      <c r="J30" s="831">
        <v>72193</v>
      </c>
      <c r="K30" s="831">
        <v>75307</v>
      </c>
      <c r="L30" s="831">
        <v>76812</v>
      </c>
      <c r="M30" s="831">
        <v>74578</v>
      </c>
      <c r="N30" s="831">
        <v>74402</v>
      </c>
      <c r="O30" s="831">
        <v>65757</v>
      </c>
      <c r="P30" s="831">
        <v>68181</v>
      </c>
      <c r="Q30" s="831">
        <v>61276</v>
      </c>
      <c r="R30" s="831">
        <v>69764</v>
      </c>
      <c r="S30" s="831">
        <v>61323</v>
      </c>
      <c r="T30" s="831">
        <v>61227</v>
      </c>
      <c r="U30" s="831">
        <v>61920</v>
      </c>
      <c r="V30" s="831">
        <v>68075</v>
      </c>
      <c r="W30" s="831">
        <v>61498</v>
      </c>
      <c r="X30" s="831">
        <v>60433</v>
      </c>
      <c r="Y30" s="831">
        <v>54144</v>
      </c>
      <c r="Z30" s="831">
        <v>65040</v>
      </c>
      <c r="AA30" s="831">
        <v>52237</v>
      </c>
      <c r="AB30" s="831">
        <v>64218</v>
      </c>
      <c r="AC30" s="832">
        <v>59597</v>
      </c>
      <c r="AD30" s="832">
        <v>65467</v>
      </c>
      <c r="AE30" s="832">
        <v>54781</v>
      </c>
      <c r="AF30" s="832">
        <v>59491</v>
      </c>
      <c r="AG30" s="832">
        <v>65046</v>
      </c>
      <c r="AH30" s="832">
        <v>72167</v>
      </c>
      <c r="AI30" s="832">
        <v>71702</v>
      </c>
      <c r="AJ30" s="832">
        <v>69527</v>
      </c>
      <c r="AK30" s="832">
        <v>72642</v>
      </c>
      <c r="AL30" s="832">
        <v>80567</v>
      </c>
      <c r="AM30" s="832">
        <v>94962</v>
      </c>
      <c r="AN30" s="833">
        <v>99404</v>
      </c>
      <c r="AO30" s="834">
        <f t="shared" si="6"/>
        <v>4.6776605378993752E-2</v>
      </c>
      <c r="AP30" s="834">
        <f t="shared" si="7"/>
        <v>0.42971795129949508</v>
      </c>
      <c r="AQ30" s="822"/>
    </row>
    <row r="31" spans="1:43" ht="15.75" hidden="1" customHeight="1">
      <c r="A31" s="798"/>
      <c r="B31" s="817" t="s">
        <v>759</v>
      </c>
      <c r="C31" s="818">
        <v>25949</v>
      </c>
      <c r="D31" s="818">
        <v>25160</v>
      </c>
      <c r="E31" s="818">
        <v>24738</v>
      </c>
      <c r="F31" s="818">
        <v>23909</v>
      </c>
      <c r="G31" s="818">
        <v>22577.782804229999</v>
      </c>
      <c r="H31" s="818">
        <v>20103.295807160001</v>
      </c>
      <c r="I31" s="818">
        <v>17439.41909779</v>
      </c>
      <c r="J31" s="818">
        <v>16372.21500328</v>
      </c>
      <c r="K31" s="818">
        <v>15902.9768262</v>
      </c>
      <c r="L31" s="818">
        <v>13002.566929230001</v>
      </c>
      <c r="M31" s="818">
        <v>10240.25474328</v>
      </c>
      <c r="N31" s="818">
        <v>8047.31683299</v>
      </c>
      <c r="O31" s="818">
        <v>4545.1106652300004</v>
      </c>
      <c r="P31" s="818">
        <v>0</v>
      </c>
      <c r="Q31" s="818">
        <v>0</v>
      </c>
      <c r="R31" s="818">
        <v>0</v>
      </c>
      <c r="S31" s="818">
        <v>0</v>
      </c>
      <c r="T31" s="818">
        <v>0</v>
      </c>
      <c r="U31" s="818">
        <v>0</v>
      </c>
      <c r="V31" s="818">
        <v>0</v>
      </c>
      <c r="W31" s="818">
        <v>0</v>
      </c>
      <c r="X31" s="818">
        <v>0</v>
      </c>
      <c r="Y31" s="818">
        <v>0</v>
      </c>
      <c r="Z31" s="818">
        <v>0</v>
      </c>
      <c r="AA31" s="818"/>
      <c r="AB31" s="818"/>
      <c r="AC31" s="819"/>
      <c r="AD31" s="819"/>
      <c r="AE31" s="819"/>
      <c r="AF31" s="819"/>
      <c r="AG31" s="819"/>
      <c r="AH31" s="819"/>
      <c r="AI31" s="819"/>
      <c r="AJ31" s="819"/>
      <c r="AK31" s="819"/>
      <c r="AL31" s="819"/>
      <c r="AM31" s="819"/>
      <c r="AN31" s="820"/>
      <c r="AO31" s="821"/>
      <c r="AP31" s="821"/>
    </row>
    <row r="32" spans="1:43" ht="15.75" customHeight="1">
      <c r="A32" s="787"/>
      <c r="B32" s="787" t="s">
        <v>760</v>
      </c>
      <c r="C32" s="788"/>
      <c r="D32" s="788"/>
      <c r="E32" s="788"/>
      <c r="F32" s="788"/>
      <c r="G32" s="788"/>
      <c r="H32" s="788"/>
      <c r="I32" s="788"/>
      <c r="J32" s="788"/>
      <c r="K32" s="788"/>
      <c r="L32" s="788"/>
      <c r="M32" s="788"/>
      <c r="N32" s="788"/>
      <c r="O32" s="788"/>
      <c r="P32" s="788"/>
      <c r="Q32" s="788"/>
      <c r="R32" s="788"/>
      <c r="S32" s="788"/>
      <c r="T32" s="788"/>
      <c r="U32" s="788"/>
      <c r="V32" s="788"/>
      <c r="W32" s="788"/>
      <c r="X32" s="788"/>
      <c r="Y32" s="788"/>
      <c r="Z32" s="788"/>
      <c r="AA32" s="788"/>
      <c r="AB32" s="788"/>
      <c r="AC32" s="789"/>
      <c r="AD32" s="789"/>
      <c r="AE32" s="789"/>
      <c r="AF32" s="789"/>
      <c r="AG32" s="789"/>
      <c r="AH32" s="789"/>
      <c r="AI32" s="789"/>
      <c r="AJ32" s="789"/>
      <c r="AK32" s="789"/>
      <c r="AL32" s="789"/>
      <c r="AM32" s="789"/>
      <c r="AN32" s="790"/>
      <c r="AO32" s="791"/>
      <c r="AP32" s="791"/>
    </row>
    <row r="33" spans="1:43" ht="15.75" customHeight="1">
      <c r="A33" s="792"/>
      <c r="B33" s="793" t="s">
        <v>761</v>
      </c>
      <c r="C33" s="804">
        <v>56309</v>
      </c>
      <c r="D33" s="804">
        <v>56128</v>
      </c>
      <c r="E33" s="804">
        <v>52627</v>
      </c>
      <c r="F33" s="804">
        <v>48532</v>
      </c>
      <c r="G33" s="804">
        <v>47359</v>
      </c>
      <c r="H33" s="804">
        <v>55913</v>
      </c>
      <c r="I33" s="804">
        <v>61824</v>
      </c>
      <c r="J33" s="804">
        <v>66405</v>
      </c>
      <c r="K33" s="804">
        <v>71472</v>
      </c>
      <c r="L33" s="804">
        <v>76510</v>
      </c>
      <c r="M33" s="804">
        <v>80847.607294981703</v>
      </c>
      <c r="N33" s="804">
        <v>85238</v>
      </c>
      <c r="O33" s="804">
        <v>84264</v>
      </c>
      <c r="P33" s="804">
        <v>62163</v>
      </c>
      <c r="Q33" s="804">
        <v>52148</v>
      </c>
      <c r="R33" s="804">
        <v>40880</v>
      </c>
      <c r="S33" s="804">
        <v>36969.649374940003</v>
      </c>
      <c r="T33" s="804">
        <v>46982.54</v>
      </c>
      <c r="U33" s="804">
        <v>45677.503023846701</v>
      </c>
      <c r="V33" s="804">
        <v>49357.839779837901</v>
      </c>
      <c r="W33" s="804">
        <v>48299.657014449302</v>
      </c>
      <c r="X33" s="804">
        <v>47608.814085497899</v>
      </c>
      <c r="Y33" s="804">
        <v>50243.252317757302</v>
      </c>
      <c r="Z33" s="804">
        <v>45624</v>
      </c>
      <c r="AA33" s="804">
        <v>50382.374545079998</v>
      </c>
      <c r="AB33" s="804">
        <v>48152.515657234399</v>
      </c>
      <c r="AC33" s="805">
        <v>53815.282757966903</v>
      </c>
      <c r="AD33" s="805">
        <v>49456.376484880297</v>
      </c>
      <c r="AE33" s="805">
        <v>58327.834106569499</v>
      </c>
      <c r="AF33" s="805">
        <v>54030.709723139997</v>
      </c>
      <c r="AG33" s="805">
        <v>59075.091463820601</v>
      </c>
      <c r="AH33" s="805">
        <v>59198.442426770198</v>
      </c>
      <c r="AI33" s="805">
        <v>63532.090935626598</v>
      </c>
      <c r="AJ33" s="805">
        <v>76622.522626057995</v>
      </c>
      <c r="AK33" s="805">
        <v>113056.208719489</v>
      </c>
      <c r="AL33" s="805">
        <v>70365.837882829306</v>
      </c>
      <c r="AM33" s="805">
        <v>66109.355016614107</v>
      </c>
      <c r="AN33" s="806">
        <v>72072.855841360099</v>
      </c>
      <c r="AO33" s="797">
        <f t="shared" ref="AO33:AO34" si="8">IFERROR(AN33/AM33-1,"-")</f>
        <v>9.0206610293615652E-2</v>
      </c>
      <c r="AP33" s="797">
        <f t="shared" ref="AP33:AP34" si="9">IFERROR(AN33/AJ33-1,"-")</f>
        <v>-5.9377668977327991E-2</v>
      </c>
    </row>
    <row r="34" spans="1:43" ht="15.75" customHeight="1">
      <c r="A34" s="792"/>
      <c r="B34" s="824" t="s">
        <v>762</v>
      </c>
      <c r="C34" s="825">
        <v>18931</v>
      </c>
      <c r="D34" s="825">
        <v>31680</v>
      </c>
      <c r="E34" s="825">
        <v>32387</v>
      </c>
      <c r="F34" s="825">
        <v>33114</v>
      </c>
      <c r="G34" s="825">
        <v>32525</v>
      </c>
      <c r="H34" s="825">
        <v>33303</v>
      </c>
      <c r="I34" s="825">
        <v>33006</v>
      </c>
      <c r="J34" s="825">
        <v>33915</v>
      </c>
      <c r="K34" s="825">
        <v>33724</v>
      </c>
      <c r="L34" s="825">
        <v>36296</v>
      </c>
      <c r="M34" s="825">
        <v>36439</v>
      </c>
      <c r="N34" s="825">
        <v>39843</v>
      </c>
      <c r="O34" s="825">
        <v>39688</v>
      </c>
      <c r="P34" s="825">
        <v>43142</v>
      </c>
      <c r="Q34" s="825">
        <v>44285</v>
      </c>
      <c r="R34" s="825">
        <v>45471</v>
      </c>
      <c r="S34" s="825">
        <v>44814</v>
      </c>
      <c r="T34" s="825">
        <v>47042</v>
      </c>
      <c r="U34" s="825">
        <v>47595</v>
      </c>
      <c r="V34" s="825">
        <v>50688</v>
      </c>
      <c r="W34" s="825">
        <v>50470</v>
      </c>
      <c r="X34" s="825">
        <v>52556</v>
      </c>
      <c r="Y34" s="825">
        <v>53798</v>
      </c>
      <c r="Z34" s="825">
        <v>53718</v>
      </c>
      <c r="AA34" s="825">
        <v>56361</v>
      </c>
      <c r="AB34" s="825">
        <v>57289</v>
      </c>
      <c r="AC34" s="826">
        <v>55005</v>
      </c>
      <c r="AD34" s="826">
        <v>56194</v>
      </c>
      <c r="AE34" s="826">
        <v>56988</v>
      </c>
      <c r="AF34" s="826">
        <v>58783</v>
      </c>
      <c r="AG34" s="826">
        <v>61090</v>
      </c>
      <c r="AH34" s="826">
        <v>62977</v>
      </c>
      <c r="AI34" s="826">
        <v>68069</v>
      </c>
      <c r="AJ34" s="826">
        <v>70609</v>
      </c>
      <c r="AK34" s="826">
        <v>71917.366984160006</v>
      </c>
      <c r="AL34" s="826">
        <v>75353</v>
      </c>
      <c r="AM34" s="826">
        <v>77926</v>
      </c>
      <c r="AN34" s="827">
        <v>83495</v>
      </c>
      <c r="AO34" s="828">
        <f t="shared" si="8"/>
        <v>7.146523624977541E-2</v>
      </c>
      <c r="AP34" s="828">
        <f t="shared" si="9"/>
        <v>0.18249798184367427</v>
      </c>
    </row>
    <row r="35" spans="1:43" ht="15.75" customHeight="1">
      <c r="A35" s="792"/>
      <c r="B35" s="835" t="s">
        <v>763</v>
      </c>
      <c r="C35" s="836">
        <v>2.9744334689134226</v>
      </c>
      <c r="D35" s="836">
        <v>1.7717171717171718</v>
      </c>
      <c r="E35" s="836">
        <v>1.6249421064007163</v>
      </c>
      <c r="F35" s="836">
        <v>1.4656036721628314</v>
      </c>
      <c r="G35" s="836">
        <v>1.4560799385088394</v>
      </c>
      <c r="H35" s="836">
        <v>1.6789178152118427</v>
      </c>
      <c r="I35" s="836">
        <v>1.8731139792764953</v>
      </c>
      <c r="J35" s="836">
        <v>1.9579831932773109</v>
      </c>
      <c r="K35" s="836">
        <v>2.1193215514173884</v>
      </c>
      <c r="L35" s="836">
        <v>2.1079457791492175</v>
      </c>
      <c r="M35" s="836">
        <v>2.218710922225684</v>
      </c>
      <c r="N35" s="836">
        <v>2.139346936726652</v>
      </c>
      <c r="O35" s="836">
        <v>2.1231606530941343</v>
      </c>
      <c r="P35" s="836">
        <v>1.4408928654211672</v>
      </c>
      <c r="Q35" s="836">
        <v>1.1775544766851078</v>
      </c>
      <c r="R35" s="836">
        <v>0.89903454949308348</v>
      </c>
      <c r="S35" s="836">
        <v>0.82495758858704882</v>
      </c>
      <c r="T35" s="836">
        <v>0.99873602312826837</v>
      </c>
      <c r="U35" s="836">
        <v>0.95971221817095709</v>
      </c>
      <c r="V35" s="836">
        <v>0.97375788707066568</v>
      </c>
      <c r="W35" s="836">
        <v>0.95699736505744604</v>
      </c>
      <c r="X35" s="836">
        <v>0.90586829449535544</v>
      </c>
      <c r="Y35" s="836">
        <v>0.93392416665595934</v>
      </c>
      <c r="Z35" s="836">
        <v>0.84899999999999998</v>
      </c>
      <c r="AA35" s="836">
        <v>0.89392265121413739</v>
      </c>
      <c r="AB35" s="836">
        <v>0.84051939564723421</v>
      </c>
      <c r="AC35" s="837">
        <v>0.97837074371360611</v>
      </c>
      <c r="AD35" s="837">
        <v>0.88010065994377151</v>
      </c>
      <c r="AE35" s="837">
        <v>1.0235108111632185</v>
      </c>
      <c r="AF35" s="837">
        <v>0.91915536333872028</v>
      </c>
      <c r="AG35" s="837">
        <v>0.96701737541038801</v>
      </c>
      <c r="AH35" s="837">
        <v>0.94000099126300396</v>
      </c>
      <c r="AI35" s="837">
        <v>0.93334838084335892</v>
      </c>
      <c r="AJ35" s="837">
        <v>1.0851665173852907</v>
      </c>
      <c r="AK35" s="837">
        <v>1.5720293089204718</v>
      </c>
      <c r="AL35" s="837">
        <v>0.93381601107891266</v>
      </c>
      <c r="AM35" s="837">
        <v>0.84836068855855695</v>
      </c>
      <c r="AN35" s="838">
        <v>0.86319966275058502</v>
      </c>
      <c r="AO35" s="839">
        <f>AN35-AM35</f>
        <v>1.4838974192028065E-2</v>
      </c>
      <c r="AP35" s="839">
        <f>AN35-AJ35</f>
        <v>-0.22196685463470567</v>
      </c>
    </row>
    <row r="36" spans="1:43" ht="15.75" customHeight="1">
      <c r="A36" s="787"/>
      <c r="B36" s="787" t="s">
        <v>764</v>
      </c>
      <c r="C36" s="788"/>
      <c r="D36" s="788"/>
      <c r="E36" s="788"/>
      <c r="F36" s="788"/>
      <c r="G36" s="788"/>
      <c r="H36" s="788"/>
      <c r="I36" s="788"/>
      <c r="J36" s="788"/>
      <c r="K36" s="788"/>
      <c r="L36" s="788"/>
      <c r="M36" s="788"/>
      <c r="N36" s="788"/>
      <c r="O36" s="788"/>
      <c r="P36" s="788"/>
      <c r="Q36" s="788"/>
      <c r="R36" s="788"/>
      <c r="S36" s="788"/>
      <c r="T36" s="788"/>
      <c r="U36" s="788"/>
      <c r="V36" s="788"/>
      <c r="W36" s="788"/>
      <c r="X36" s="788"/>
      <c r="Y36" s="788"/>
      <c r="Z36" s="788"/>
      <c r="AA36" s="788"/>
      <c r="AB36" s="788"/>
      <c r="AC36" s="789"/>
      <c r="AD36" s="789"/>
      <c r="AE36" s="789"/>
      <c r="AF36" s="789"/>
      <c r="AG36" s="789"/>
      <c r="AH36" s="789"/>
      <c r="AI36" s="789"/>
      <c r="AJ36" s="789"/>
      <c r="AK36" s="789"/>
      <c r="AL36" s="789"/>
      <c r="AM36" s="789"/>
      <c r="AN36" s="790"/>
      <c r="AO36" s="791"/>
      <c r="AP36" s="791"/>
    </row>
    <row r="37" spans="1:43" ht="15.75" customHeight="1">
      <c r="A37" s="792"/>
      <c r="B37" s="793" t="s">
        <v>765</v>
      </c>
      <c r="C37" s="804">
        <v>4036</v>
      </c>
      <c r="D37" s="804">
        <v>5034</v>
      </c>
      <c r="E37" s="804">
        <v>3351</v>
      </c>
      <c r="F37" s="804">
        <v>6684</v>
      </c>
      <c r="G37" s="804">
        <v>5249.49083281</v>
      </c>
      <c r="H37" s="804">
        <v>4361</v>
      </c>
      <c r="I37" s="804">
        <v>5278</v>
      </c>
      <c r="J37" s="804">
        <v>4250</v>
      </c>
      <c r="K37" s="804">
        <v>5072</v>
      </c>
      <c r="L37" s="804">
        <v>5796</v>
      </c>
      <c r="M37" s="804">
        <v>7020</v>
      </c>
      <c r="N37" s="804">
        <v>8525</v>
      </c>
      <c r="O37" s="804">
        <v>5832</v>
      </c>
      <c r="P37" s="804">
        <v>6056</v>
      </c>
      <c r="Q37" s="804">
        <v>8806</v>
      </c>
      <c r="R37" s="804">
        <v>10421</v>
      </c>
      <c r="S37" s="804">
        <v>9381</v>
      </c>
      <c r="T37" s="804">
        <v>9402</v>
      </c>
      <c r="U37" s="804">
        <v>9612</v>
      </c>
      <c r="V37" s="804">
        <v>15789</v>
      </c>
      <c r="W37" s="804">
        <v>11576</v>
      </c>
      <c r="X37" s="804">
        <v>9798</v>
      </c>
      <c r="Y37" s="804">
        <v>8777</v>
      </c>
      <c r="Z37" s="804">
        <v>9391</v>
      </c>
      <c r="AA37" s="804">
        <v>8922</v>
      </c>
      <c r="AB37" s="804">
        <v>10196</v>
      </c>
      <c r="AC37" s="805">
        <v>10215</v>
      </c>
      <c r="AD37" s="805">
        <v>16297</v>
      </c>
      <c r="AE37" s="805">
        <v>17243</v>
      </c>
      <c r="AF37" s="805">
        <v>12513</v>
      </c>
      <c r="AG37" s="805">
        <v>16733</v>
      </c>
      <c r="AH37" s="805">
        <v>16576</v>
      </c>
      <c r="AI37" s="805">
        <v>15164</v>
      </c>
      <c r="AJ37" s="805">
        <v>23128</v>
      </c>
      <c r="AK37" s="805">
        <v>24869</v>
      </c>
      <c r="AL37" s="805">
        <v>41511</v>
      </c>
      <c r="AM37" s="805">
        <v>42136</v>
      </c>
      <c r="AN37" s="806">
        <v>61732</v>
      </c>
      <c r="AO37" s="797">
        <f t="shared" ref="AO37:AO45" si="10">IFERROR(AN37/AM37-1,"-")</f>
        <v>0.46506550218340603</v>
      </c>
      <c r="AP37" s="797">
        <f t="shared" ref="AP37:AP45" si="11">IFERROR(AN37/AJ37-1,"-")</f>
        <v>1.6691456243514353</v>
      </c>
    </row>
    <row r="38" spans="1:43" ht="15.75" customHeight="1">
      <c r="A38" s="792"/>
      <c r="B38" s="824" t="s">
        <v>766</v>
      </c>
      <c r="C38" s="825">
        <v>36607</v>
      </c>
      <c r="D38" s="825">
        <v>30487</v>
      </c>
      <c r="E38" s="825">
        <v>20335</v>
      </c>
      <c r="F38" s="825">
        <v>17828</v>
      </c>
      <c r="G38" s="825">
        <v>36241.050338169996</v>
      </c>
      <c r="H38" s="825">
        <v>54307</v>
      </c>
      <c r="I38" s="825">
        <v>40450</v>
      </c>
      <c r="J38" s="825">
        <v>32561</v>
      </c>
      <c r="K38" s="825">
        <v>73559</v>
      </c>
      <c r="L38" s="825">
        <v>77951</v>
      </c>
      <c r="M38" s="825">
        <v>69419</v>
      </c>
      <c r="N38" s="825">
        <v>49127</v>
      </c>
      <c r="O38" s="825">
        <v>56199</v>
      </c>
      <c r="P38" s="825">
        <v>83877</v>
      </c>
      <c r="Q38" s="825">
        <v>92363</v>
      </c>
      <c r="R38" s="825">
        <v>100587</v>
      </c>
      <c r="S38" s="825">
        <v>103015</v>
      </c>
      <c r="T38" s="825">
        <v>128065</v>
      </c>
      <c r="U38" s="825">
        <v>105196</v>
      </c>
      <c r="V38" s="825">
        <v>96803</v>
      </c>
      <c r="W38" s="825">
        <v>119155</v>
      </c>
      <c r="X38" s="825">
        <v>154367</v>
      </c>
      <c r="Y38" s="825">
        <v>125699</v>
      </c>
      <c r="Z38" s="825">
        <v>113682</v>
      </c>
      <c r="AA38" s="825">
        <v>147413</v>
      </c>
      <c r="AB38" s="825">
        <v>152278</v>
      </c>
      <c r="AC38" s="826">
        <v>132096</v>
      </c>
      <c r="AD38" s="826">
        <v>131490</v>
      </c>
      <c r="AE38" s="826">
        <v>125323</v>
      </c>
      <c r="AF38" s="826">
        <v>146483</v>
      </c>
      <c r="AG38" s="826">
        <v>147336</v>
      </c>
      <c r="AH38" s="826">
        <v>144724</v>
      </c>
      <c r="AI38" s="826">
        <v>189834</v>
      </c>
      <c r="AJ38" s="826">
        <v>174586</v>
      </c>
      <c r="AK38" s="826">
        <v>156338</v>
      </c>
      <c r="AL38" s="826">
        <v>129520</v>
      </c>
      <c r="AM38" s="826">
        <v>132306</v>
      </c>
      <c r="AN38" s="827">
        <v>119612</v>
      </c>
      <c r="AO38" s="828">
        <f t="shared" si="10"/>
        <v>-9.5944250449715107E-2</v>
      </c>
      <c r="AP38" s="828">
        <f t="shared" si="11"/>
        <v>-0.31488206385391726</v>
      </c>
    </row>
    <row r="39" spans="1:43" ht="15.75" customHeight="1">
      <c r="A39" s="792"/>
      <c r="B39" s="824" t="s">
        <v>767</v>
      </c>
      <c r="C39" s="825">
        <v>39366</v>
      </c>
      <c r="D39" s="825">
        <v>35328</v>
      </c>
      <c r="E39" s="825">
        <v>32304</v>
      </c>
      <c r="F39" s="825">
        <v>45388</v>
      </c>
      <c r="G39" s="825">
        <v>41252.510552760003</v>
      </c>
      <c r="H39" s="825">
        <v>39553</v>
      </c>
      <c r="I39" s="825">
        <v>35171</v>
      </c>
      <c r="J39" s="825">
        <v>37117</v>
      </c>
      <c r="K39" s="825">
        <v>19431</v>
      </c>
      <c r="L39" s="825">
        <v>24244</v>
      </c>
      <c r="M39" s="825">
        <v>45164</v>
      </c>
      <c r="N39" s="825">
        <v>58009</v>
      </c>
      <c r="O39" s="825">
        <v>62351</v>
      </c>
      <c r="P39" s="825">
        <v>50193</v>
      </c>
      <c r="Q39" s="825">
        <v>43843</v>
      </c>
      <c r="R39" s="825">
        <v>58621</v>
      </c>
      <c r="S39" s="825">
        <v>66262</v>
      </c>
      <c r="T39" s="825">
        <v>55770</v>
      </c>
      <c r="U39" s="825">
        <v>53680</v>
      </c>
      <c r="V39" s="825">
        <v>56610</v>
      </c>
      <c r="W39" s="825">
        <v>51763</v>
      </c>
      <c r="X39" s="825">
        <v>39091</v>
      </c>
      <c r="Y39" s="825">
        <v>36832</v>
      </c>
      <c r="Z39" s="825">
        <v>55302</v>
      </c>
      <c r="AA39" s="825">
        <v>39426</v>
      </c>
      <c r="AB39" s="825">
        <v>30235</v>
      </c>
      <c r="AC39" s="826">
        <v>35096</v>
      </c>
      <c r="AD39" s="826">
        <v>53031</v>
      </c>
      <c r="AE39" s="826">
        <v>42045</v>
      </c>
      <c r="AF39" s="826">
        <v>41368</v>
      </c>
      <c r="AG39" s="826">
        <v>44646</v>
      </c>
      <c r="AH39" s="826">
        <v>67975</v>
      </c>
      <c r="AI39" s="826">
        <v>40898</v>
      </c>
      <c r="AJ39" s="826">
        <v>57365</v>
      </c>
      <c r="AK39" s="826">
        <v>58046</v>
      </c>
      <c r="AL39" s="826">
        <v>90700</v>
      </c>
      <c r="AM39" s="826">
        <v>87558</v>
      </c>
      <c r="AN39" s="827">
        <v>77341</v>
      </c>
      <c r="AO39" s="828">
        <f t="shared" si="10"/>
        <v>-0.11668836656844606</v>
      </c>
      <c r="AP39" s="828">
        <f t="shared" si="11"/>
        <v>0.3482262703739214</v>
      </c>
    </row>
    <row r="40" spans="1:43" ht="15.75" customHeight="1">
      <c r="A40" s="792"/>
      <c r="B40" s="824" t="s">
        <v>768</v>
      </c>
      <c r="C40" s="825">
        <v>11818</v>
      </c>
      <c r="D40" s="825">
        <v>13540</v>
      </c>
      <c r="E40" s="825">
        <v>15432</v>
      </c>
      <c r="F40" s="825">
        <v>24810</v>
      </c>
      <c r="G40" s="825">
        <v>27558.536844329999</v>
      </c>
      <c r="H40" s="825">
        <v>22112</v>
      </c>
      <c r="I40" s="825">
        <v>28759</v>
      </c>
      <c r="J40" s="825">
        <v>27483</v>
      </c>
      <c r="K40" s="825">
        <v>20700</v>
      </c>
      <c r="L40" s="825">
        <v>21998</v>
      </c>
      <c r="M40" s="825">
        <v>20658</v>
      </c>
      <c r="N40" s="825">
        <v>25616</v>
      </c>
      <c r="O40" s="825">
        <v>21965</v>
      </c>
      <c r="P40" s="825">
        <v>19120</v>
      </c>
      <c r="Q40" s="825">
        <v>15281</v>
      </c>
      <c r="R40" s="825">
        <v>19971</v>
      </c>
      <c r="S40" s="825">
        <v>18272</v>
      </c>
      <c r="T40" s="825">
        <v>19960</v>
      </c>
      <c r="U40" s="825">
        <v>22835</v>
      </c>
      <c r="V40" s="825">
        <v>34561</v>
      </c>
      <c r="W40" s="825">
        <v>35563</v>
      </c>
      <c r="X40" s="825">
        <v>32684</v>
      </c>
      <c r="Y40" s="825">
        <v>40233</v>
      </c>
      <c r="Z40" s="825">
        <v>34866</v>
      </c>
      <c r="AA40" s="825">
        <v>28108</v>
      </c>
      <c r="AB40" s="825">
        <v>25902</v>
      </c>
      <c r="AC40" s="826">
        <v>25074</v>
      </c>
      <c r="AD40" s="826">
        <v>42161</v>
      </c>
      <c r="AE40" s="826">
        <v>32161</v>
      </c>
      <c r="AF40" s="826">
        <v>25220</v>
      </c>
      <c r="AG40" s="826">
        <v>34811</v>
      </c>
      <c r="AH40" s="826">
        <v>39024</v>
      </c>
      <c r="AI40" s="826">
        <v>33417</v>
      </c>
      <c r="AJ40" s="826">
        <v>36033</v>
      </c>
      <c r="AK40" s="826">
        <v>40854</v>
      </c>
      <c r="AL40" s="826">
        <v>53567</v>
      </c>
      <c r="AM40" s="826">
        <v>46955</v>
      </c>
      <c r="AN40" s="827">
        <v>47751</v>
      </c>
      <c r="AO40" s="828">
        <f t="shared" si="10"/>
        <v>1.6952401235225123E-2</v>
      </c>
      <c r="AP40" s="828">
        <f t="shared" si="11"/>
        <v>0.32520189825992829</v>
      </c>
    </row>
    <row r="41" spans="1:43" ht="15.75" customHeight="1">
      <c r="A41" s="792"/>
      <c r="B41" s="824" t="s">
        <v>746</v>
      </c>
      <c r="C41" s="825">
        <v>3202</v>
      </c>
      <c r="D41" s="825">
        <v>4640</v>
      </c>
      <c r="E41" s="825">
        <v>4210</v>
      </c>
      <c r="F41" s="825">
        <v>4088</v>
      </c>
      <c r="G41" s="825">
        <v>4293.8949328600002</v>
      </c>
      <c r="H41" s="825">
        <v>3228</v>
      </c>
      <c r="I41" s="825">
        <v>4321</v>
      </c>
      <c r="J41" s="825">
        <v>7378</v>
      </c>
      <c r="K41" s="825">
        <v>10191</v>
      </c>
      <c r="L41" s="825">
        <v>9029</v>
      </c>
      <c r="M41" s="825">
        <v>10332</v>
      </c>
      <c r="N41" s="825">
        <v>15994</v>
      </c>
      <c r="O41" s="825">
        <v>9501</v>
      </c>
      <c r="P41" s="825">
        <v>4740</v>
      </c>
      <c r="Q41" s="825">
        <v>10856</v>
      </c>
      <c r="R41" s="825">
        <v>14257</v>
      </c>
      <c r="S41" s="825">
        <v>9604</v>
      </c>
      <c r="T41" s="825">
        <v>13939</v>
      </c>
      <c r="U41" s="825">
        <v>13359</v>
      </c>
      <c r="V41" s="825">
        <v>14546</v>
      </c>
      <c r="W41" s="825">
        <v>14077</v>
      </c>
      <c r="X41" s="825">
        <v>13879</v>
      </c>
      <c r="Y41" s="825">
        <v>23750</v>
      </c>
      <c r="Z41" s="825">
        <v>18054</v>
      </c>
      <c r="AA41" s="825">
        <v>25224</v>
      </c>
      <c r="AB41" s="825">
        <v>36535</v>
      </c>
      <c r="AC41" s="826">
        <v>47174</v>
      </c>
      <c r="AD41" s="826">
        <v>69859</v>
      </c>
      <c r="AE41" s="826">
        <v>73668</v>
      </c>
      <c r="AF41" s="826">
        <v>57985</v>
      </c>
      <c r="AG41" s="826">
        <v>69978</v>
      </c>
      <c r="AH41" s="826">
        <v>76545</v>
      </c>
      <c r="AI41" s="826">
        <v>64644</v>
      </c>
      <c r="AJ41" s="826">
        <v>77426</v>
      </c>
      <c r="AK41" s="826">
        <v>91072</v>
      </c>
      <c r="AL41" s="826">
        <v>89909</v>
      </c>
      <c r="AM41" s="826">
        <v>77316</v>
      </c>
      <c r="AN41" s="827">
        <v>82220</v>
      </c>
      <c r="AO41" s="828">
        <f t="shared" si="10"/>
        <v>6.3428009726318013E-2</v>
      </c>
      <c r="AP41" s="828">
        <f t="shared" si="11"/>
        <v>6.1917185441582978E-2</v>
      </c>
    </row>
    <row r="42" spans="1:43" ht="15.75" customHeight="1">
      <c r="A42" s="792"/>
      <c r="B42" s="824" t="s">
        <v>769</v>
      </c>
      <c r="C42" s="825">
        <v>5073</v>
      </c>
      <c r="D42" s="825">
        <v>3626</v>
      </c>
      <c r="E42" s="825">
        <v>3065</v>
      </c>
      <c r="F42" s="825">
        <v>4503</v>
      </c>
      <c r="G42" s="825">
        <v>2857.6229355400001</v>
      </c>
      <c r="H42" s="825">
        <v>2627</v>
      </c>
      <c r="I42" s="825">
        <v>2673</v>
      </c>
      <c r="J42" s="825">
        <v>1951</v>
      </c>
      <c r="K42" s="825">
        <v>335</v>
      </c>
      <c r="L42" s="825">
        <v>1187</v>
      </c>
      <c r="M42" s="825">
        <v>834</v>
      </c>
      <c r="N42" s="825">
        <v>2613</v>
      </c>
      <c r="O42" s="825">
        <v>2396</v>
      </c>
      <c r="P42" s="825">
        <v>1892</v>
      </c>
      <c r="Q42" s="825">
        <v>1780</v>
      </c>
      <c r="R42" s="825">
        <v>1825</v>
      </c>
      <c r="S42" s="825">
        <v>1087</v>
      </c>
      <c r="T42" s="825">
        <v>2143</v>
      </c>
      <c r="U42" s="825">
        <v>2587</v>
      </c>
      <c r="V42" s="825">
        <v>5515</v>
      </c>
      <c r="W42" s="825">
        <v>8464</v>
      </c>
      <c r="X42" s="825">
        <v>8678</v>
      </c>
      <c r="Y42" s="825">
        <v>4872</v>
      </c>
      <c r="Z42" s="825">
        <v>2681</v>
      </c>
      <c r="AA42" s="825">
        <v>3555</v>
      </c>
      <c r="AB42" s="825">
        <v>3756</v>
      </c>
      <c r="AC42" s="826">
        <v>6334</v>
      </c>
      <c r="AD42" s="826">
        <v>7492</v>
      </c>
      <c r="AE42" s="826">
        <v>4415</v>
      </c>
      <c r="AF42" s="826">
        <v>4549</v>
      </c>
      <c r="AG42" s="826">
        <v>6353</v>
      </c>
      <c r="AH42" s="826">
        <v>6589</v>
      </c>
      <c r="AI42" s="826">
        <v>3031</v>
      </c>
      <c r="AJ42" s="826">
        <v>891</v>
      </c>
      <c r="AK42" s="826">
        <v>3150</v>
      </c>
      <c r="AL42" s="826">
        <v>5547</v>
      </c>
      <c r="AM42" s="826">
        <v>2872</v>
      </c>
      <c r="AN42" s="827">
        <v>6878</v>
      </c>
      <c r="AO42" s="828">
        <f t="shared" si="10"/>
        <v>1.3948467966573816</v>
      </c>
      <c r="AP42" s="828">
        <f t="shared" si="11"/>
        <v>6.7194163860830525</v>
      </c>
    </row>
    <row r="43" spans="1:43" ht="15.75" customHeight="1">
      <c r="A43" s="792"/>
      <c r="B43" s="824" t="s">
        <v>770</v>
      </c>
      <c r="C43" s="825">
        <v>1049</v>
      </c>
      <c r="D43" s="825">
        <v>813</v>
      </c>
      <c r="E43" s="825">
        <v>1430</v>
      </c>
      <c r="F43" s="825">
        <v>1491</v>
      </c>
      <c r="G43" s="825">
        <v>1012.65002831</v>
      </c>
      <c r="H43" s="825">
        <v>4968</v>
      </c>
      <c r="I43" s="825">
        <v>4604</v>
      </c>
      <c r="J43" s="825">
        <v>5871</v>
      </c>
      <c r="K43" s="825">
        <v>12897</v>
      </c>
      <c r="L43" s="825">
        <v>13980</v>
      </c>
      <c r="M43" s="825">
        <v>12622</v>
      </c>
      <c r="N43" s="825">
        <v>13419</v>
      </c>
      <c r="O43" s="825">
        <v>13568</v>
      </c>
      <c r="P43" s="825">
        <v>9931</v>
      </c>
      <c r="Q43" s="825">
        <v>8864</v>
      </c>
      <c r="R43" s="825">
        <v>10224</v>
      </c>
      <c r="S43" s="825">
        <v>10164</v>
      </c>
      <c r="T43" s="825">
        <v>13190</v>
      </c>
      <c r="U43" s="825">
        <v>14690</v>
      </c>
      <c r="V43" s="825">
        <v>31828</v>
      </c>
      <c r="W43" s="825">
        <v>32312</v>
      </c>
      <c r="X43" s="825">
        <v>33345</v>
      </c>
      <c r="Y43" s="825">
        <v>32354</v>
      </c>
      <c r="Z43" s="825">
        <v>42405</v>
      </c>
      <c r="AA43" s="825">
        <v>39485</v>
      </c>
      <c r="AB43" s="825">
        <v>37894</v>
      </c>
      <c r="AC43" s="826">
        <v>36856</v>
      </c>
      <c r="AD43" s="826">
        <v>39072</v>
      </c>
      <c r="AE43" s="826">
        <v>45787</v>
      </c>
      <c r="AF43" s="826">
        <v>38734</v>
      </c>
      <c r="AG43" s="826">
        <v>38423</v>
      </c>
      <c r="AH43" s="826">
        <v>57378</v>
      </c>
      <c r="AI43" s="826">
        <v>46428</v>
      </c>
      <c r="AJ43" s="826">
        <v>44878</v>
      </c>
      <c r="AK43" s="826">
        <v>57191</v>
      </c>
      <c r="AL43" s="826">
        <v>73684</v>
      </c>
      <c r="AM43" s="826">
        <v>75342</v>
      </c>
      <c r="AN43" s="827">
        <v>81021</v>
      </c>
      <c r="AO43" s="828">
        <f t="shared" si="10"/>
        <v>7.5376284144301975E-2</v>
      </c>
      <c r="AP43" s="828">
        <f t="shared" si="11"/>
        <v>0.8053612014795668</v>
      </c>
    </row>
    <row r="44" spans="1:43" s="823" customFormat="1" ht="15.75" customHeight="1">
      <c r="A44" s="829"/>
      <c r="B44" s="840" t="s">
        <v>744</v>
      </c>
      <c r="C44" s="841">
        <v>101151</v>
      </c>
      <c r="D44" s="841">
        <v>93468</v>
      </c>
      <c r="E44" s="841">
        <v>80127</v>
      </c>
      <c r="F44" s="841">
        <v>104792</v>
      </c>
      <c r="G44" s="841">
        <v>118465.75646478</v>
      </c>
      <c r="H44" s="841">
        <v>131156</v>
      </c>
      <c r="I44" s="841">
        <v>121256</v>
      </c>
      <c r="J44" s="841">
        <v>116611</v>
      </c>
      <c r="K44" s="841">
        <v>142185</v>
      </c>
      <c r="L44" s="841">
        <v>154185</v>
      </c>
      <c r="M44" s="841">
        <v>166049</v>
      </c>
      <c r="N44" s="841">
        <v>173303</v>
      </c>
      <c r="O44" s="841">
        <v>171812</v>
      </c>
      <c r="P44" s="841">
        <v>175809</v>
      </c>
      <c r="Q44" s="841">
        <v>181793</v>
      </c>
      <c r="R44" s="841">
        <v>215906</v>
      </c>
      <c r="S44" s="841">
        <v>217785</v>
      </c>
      <c r="T44" s="841">
        <v>242469</v>
      </c>
      <c r="U44" s="841">
        <v>221959</v>
      </c>
      <c r="V44" s="841">
        <v>255652</v>
      </c>
      <c r="W44" s="841">
        <v>272910</v>
      </c>
      <c r="X44" s="841">
        <v>291842</v>
      </c>
      <c r="Y44" s="841">
        <v>272517</v>
      </c>
      <c r="Z44" s="841">
        <v>276381</v>
      </c>
      <c r="AA44" s="841">
        <v>292133</v>
      </c>
      <c r="AB44" s="841">
        <v>296796</v>
      </c>
      <c r="AC44" s="842">
        <v>292845</v>
      </c>
      <c r="AD44" s="842">
        <v>359402</v>
      </c>
      <c r="AE44" s="842">
        <v>340642</v>
      </c>
      <c r="AF44" s="842">
        <v>326852</v>
      </c>
      <c r="AG44" s="842">
        <v>358280</v>
      </c>
      <c r="AH44" s="842">
        <v>408811</v>
      </c>
      <c r="AI44" s="842">
        <v>393416</v>
      </c>
      <c r="AJ44" s="842">
        <v>414307</v>
      </c>
      <c r="AK44" s="842">
        <v>431520</v>
      </c>
      <c r="AL44" s="842">
        <v>484438</v>
      </c>
      <c r="AM44" s="842">
        <v>464485</v>
      </c>
      <c r="AN44" s="843">
        <v>476555</v>
      </c>
      <c r="AO44" s="844">
        <f t="shared" si="10"/>
        <v>2.5985769185226548E-2</v>
      </c>
      <c r="AP44" s="844">
        <f t="shared" si="11"/>
        <v>0.15024607356380648</v>
      </c>
      <c r="AQ44" s="822"/>
    </row>
    <row r="45" spans="1:43" ht="15.75" customHeight="1">
      <c r="A45" s="845"/>
      <c r="B45" s="845" t="s">
        <v>771</v>
      </c>
      <c r="C45" s="846">
        <v>60529</v>
      </c>
      <c r="D45" s="846">
        <v>55283</v>
      </c>
      <c r="E45" s="846">
        <v>44092</v>
      </c>
      <c r="F45" s="846">
        <v>64278</v>
      </c>
      <c r="G45" s="846">
        <v>76446.859395339998</v>
      </c>
      <c r="H45" s="846">
        <v>86579</v>
      </c>
      <c r="I45" s="846">
        <v>60961</v>
      </c>
      <c r="J45" s="846">
        <v>68370</v>
      </c>
      <c r="K45" s="846">
        <v>89247</v>
      </c>
      <c r="L45" s="846">
        <v>90028</v>
      </c>
      <c r="M45" s="846">
        <v>96831</v>
      </c>
      <c r="N45" s="846">
        <v>96831</v>
      </c>
      <c r="O45" s="846">
        <v>106299</v>
      </c>
      <c r="P45" s="846">
        <v>111388</v>
      </c>
      <c r="Q45" s="846">
        <v>114628</v>
      </c>
      <c r="R45" s="846">
        <v>136532</v>
      </c>
      <c r="S45" s="846">
        <v>134949</v>
      </c>
      <c r="T45" s="846">
        <v>133247</v>
      </c>
      <c r="U45" s="846">
        <v>127606</v>
      </c>
      <c r="V45" s="846">
        <v>160630</v>
      </c>
      <c r="W45" s="846">
        <v>154060</v>
      </c>
      <c r="X45" s="846">
        <v>141329</v>
      </c>
      <c r="Y45" s="846">
        <v>98846</v>
      </c>
      <c r="Z45" s="846">
        <v>142449</v>
      </c>
      <c r="AA45" s="846">
        <v>126253</v>
      </c>
      <c r="AB45" s="846">
        <v>129411</v>
      </c>
      <c r="AC45" s="847">
        <v>119489</v>
      </c>
      <c r="AD45" s="847">
        <v>157474</v>
      </c>
      <c r="AE45" s="847">
        <v>131600</v>
      </c>
      <c r="AF45" s="847">
        <v>148043</v>
      </c>
      <c r="AG45" s="847">
        <v>163897</v>
      </c>
      <c r="AH45" s="847">
        <v>190044</v>
      </c>
      <c r="AI45" s="847">
        <v>178713</v>
      </c>
      <c r="AJ45" s="847">
        <v>189330</v>
      </c>
      <c r="AK45" s="847">
        <v>183732</v>
      </c>
      <c r="AL45" s="847">
        <v>215115</v>
      </c>
      <c r="AM45" s="847">
        <v>190413</v>
      </c>
      <c r="AN45" s="848">
        <v>184471</v>
      </c>
      <c r="AO45" s="849">
        <f t="shared" si="10"/>
        <v>-3.1205852541580703E-2</v>
      </c>
      <c r="AP45" s="849">
        <f t="shared" si="11"/>
        <v>-2.5664184228595621E-2</v>
      </c>
    </row>
    <row r="46" spans="1:43" ht="15.75" customHeight="1">
      <c r="A46" s="787"/>
      <c r="B46" s="787" t="s">
        <v>772</v>
      </c>
      <c r="C46" s="788"/>
      <c r="D46" s="788"/>
      <c r="E46" s="788"/>
      <c r="F46" s="788"/>
      <c r="G46" s="788"/>
      <c r="H46" s="788"/>
      <c r="I46" s="788"/>
      <c r="J46" s="788"/>
      <c r="K46" s="788"/>
      <c r="L46" s="788"/>
      <c r="M46" s="788"/>
      <c r="N46" s="788"/>
      <c r="O46" s="788"/>
      <c r="P46" s="788"/>
      <c r="Q46" s="788"/>
      <c r="R46" s="788"/>
      <c r="S46" s="788"/>
      <c r="T46" s="788"/>
      <c r="U46" s="788"/>
      <c r="V46" s="788"/>
      <c r="W46" s="788"/>
      <c r="X46" s="788"/>
      <c r="Y46" s="788"/>
      <c r="Z46" s="788"/>
      <c r="AA46" s="788"/>
      <c r="AB46" s="788"/>
      <c r="AC46" s="789"/>
      <c r="AD46" s="789"/>
      <c r="AE46" s="789"/>
      <c r="AF46" s="789"/>
      <c r="AG46" s="789"/>
      <c r="AH46" s="789"/>
      <c r="AI46" s="789"/>
      <c r="AJ46" s="789"/>
      <c r="AK46" s="789"/>
      <c r="AL46" s="789"/>
      <c r="AM46" s="789"/>
      <c r="AN46" s="790"/>
      <c r="AO46" s="791"/>
      <c r="AP46" s="791"/>
    </row>
    <row r="47" spans="1:43" ht="15.75" customHeight="1">
      <c r="A47" s="792"/>
      <c r="B47" s="793" t="s">
        <v>773</v>
      </c>
      <c r="C47" s="804">
        <v>603</v>
      </c>
      <c r="D47" s="804">
        <v>673</v>
      </c>
      <c r="E47" s="804">
        <v>463</v>
      </c>
      <c r="F47" s="804">
        <v>662</v>
      </c>
      <c r="G47" s="804">
        <v>4580</v>
      </c>
      <c r="H47" s="804">
        <v>21331</v>
      </c>
      <c r="I47" s="804">
        <v>15697</v>
      </c>
      <c r="J47" s="804">
        <v>9089</v>
      </c>
      <c r="K47" s="804">
        <v>7029</v>
      </c>
      <c r="L47" s="804">
        <v>23036</v>
      </c>
      <c r="M47" s="804">
        <v>14341</v>
      </c>
      <c r="N47" s="804">
        <v>12416</v>
      </c>
      <c r="O47" s="804">
        <v>12011</v>
      </c>
      <c r="P47" s="804">
        <v>10025</v>
      </c>
      <c r="Q47" s="804">
        <v>7673</v>
      </c>
      <c r="R47" s="804">
        <v>13605</v>
      </c>
      <c r="S47" s="804">
        <v>16115</v>
      </c>
      <c r="T47" s="804">
        <v>14824</v>
      </c>
      <c r="U47" s="804">
        <v>12668</v>
      </c>
      <c r="V47" s="804">
        <v>30886.348437000001</v>
      </c>
      <c r="W47" s="804">
        <v>9375.85</v>
      </c>
      <c r="X47" s="804">
        <v>15494.64</v>
      </c>
      <c r="Y47" s="804">
        <v>7789.23</v>
      </c>
      <c r="Z47" s="804">
        <v>34678</v>
      </c>
      <c r="AA47" s="804">
        <v>6387</v>
      </c>
      <c r="AB47" s="804">
        <v>13193.5</v>
      </c>
      <c r="AC47" s="805">
        <v>8715.39</v>
      </c>
      <c r="AD47" s="805">
        <v>46146.266188362999</v>
      </c>
      <c r="AE47" s="805">
        <v>5959.1169418680001</v>
      </c>
      <c r="AF47" s="805">
        <v>4488.3439859999999</v>
      </c>
      <c r="AG47" s="805">
        <v>3361.3933266999998</v>
      </c>
      <c r="AH47" s="805">
        <v>10302.384905999999</v>
      </c>
      <c r="AI47" s="805">
        <v>6369.7997935999992</v>
      </c>
      <c r="AJ47" s="805">
        <v>4095.0796904000003</v>
      </c>
      <c r="AK47" s="805">
        <v>3822.543811</v>
      </c>
      <c r="AL47" s="805">
        <v>21710.417037600004</v>
      </c>
      <c r="AM47" s="805">
        <v>5555.7749860000004</v>
      </c>
      <c r="AN47" s="806">
        <v>6697.0048430000006</v>
      </c>
      <c r="AO47" s="797">
        <f t="shared" ref="AO47:AO50" si="12">IFERROR(AN47/AM47-1,"-")</f>
        <v>0.20541326095383372</v>
      </c>
      <c r="AP47" s="797">
        <f t="shared" ref="AP47:AP50" si="13">IFERROR(AN47/AJ47-1,"-")</f>
        <v>0.63537839292838005</v>
      </c>
    </row>
    <row r="48" spans="1:43" ht="15.75" customHeight="1">
      <c r="A48" s="792"/>
      <c r="B48" s="824" t="s">
        <v>774</v>
      </c>
      <c r="C48" s="825">
        <v>730</v>
      </c>
      <c r="D48" s="825">
        <v>695</v>
      </c>
      <c r="E48" s="825">
        <v>485</v>
      </c>
      <c r="F48" s="825">
        <v>672</v>
      </c>
      <c r="G48" s="825">
        <v>5177</v>
      </c>
      <c r="H48" s="825">
        <v>22364</v>
      </c>
      <c r="I48" s="825">
        <v>37952</v>
      </c>
      <c r="J48" s="825">
        <v>33084</v>
      </c>
      <c r="K48" s="825">
        <v>25986</v>
      </c>
      <c r="L48" s="825">
        <v>33942</v>
      </c>
      <c r="M48" s="825">
        <v>38828</v>
      </c>
      <c r="N48" s="825">
        <v>35495</v>
      </c>
      <c r="O48" s="825">
        <v>31480</v>
      </c>
      <c r="P48" s="825">
        <v>39679</v>
      </c>
      <c r="Q48" s="825">
        <v>32473</v>
      </c>
      <c r="R48" s="825">
        <v>26236</v>
      </c>
      <c r="S48" s="825">
        <v>30647</v>
      </c>
      <c r="T48" s="825">
        <v>30139</v>
      </c>
      <c r="U48" s="825">
        <v>31436</v>
      </c>
      <c r="V48" s="825">
        <v>57682.161848999996</v>
      </c>
      <c r="W48" s="825">
        <v>62159.9</v>
      </c>
      <c r="X48" s="825">
        <v>74663.86</v>
      </c>
      <c r="Y48" s="825">
        <v>78088.009999999995</v>
      </c>
      <c r="Z48" s="825">
        <v>78833</v>
      </c>
      <c r="AA48" s="825">
        <v>76139</v>
      </c>
      <c r="AB48" s="825">
        <v>72862.7</v>
      </c>
      <c r="AC48" s="826">
        <v>71782.53</v>
      </c>
      <c r="AD48" s="826">
        <v>84499.702750155004</v>
      </c>
      <c r="AE48" s="826">
        <v>76756.864346671005</v>
      </c>
      <c r="AF48" s="826">
        <v>63655.798789107997</v>
      </c>
      <c r="AG48" s="826">
        <v>56779.141373819999</v>
      </c>
      <c r="AH48" s="826">
        <v>55589.402801820004</v>
      </c>
      <c r="AI48" s="826">
        <v>58747.965058600006</v>
      </c>
      <c r="AJ48" s="826">
        <v>58998.573842999998</v>
      </c>
      <c r="AK48" s="826">
        <v>56577.808175400001</v>
      </c>
      <c r="AL48" s="826">
        <v>67018.747676600004</v>
      </c>
      <c r="AM48" s="826">
        <v>67711.519783600001</v>
      </c>
      <c r="AN48" s="827">
        <v>66302.308510999996</v>
      </c>
      <c r="AO48" s="828">
        <f t="shared" si="12"/>
        <v>-2.0811987045981528E-2</v>
      </c>
      <c r="AP48" s="828">
        <f t="shared" si="13"/>
        <v>0.12379510541112104</v>
      </c>
    </row>
    <row r="49" spans="1:43" ht="15.75" customHeight="1">
      <c r="A49" s="792"/>
      <c r="B49" s="824" t="s">
        <v>775</v>
      </c>
      <c r="C49" s="825">
        <v>1106</v>
      </c>
      <c r="D49" s="825">
        <v>2759</v>
      </c>
      <c r="E49" s="825">
        <v>1768</v>
      </c>
      <c r="F49" s="825">
        <v>893</v>
      </c>
      <c r="G49" s="825">
        <v>3897</v>
      </c>
      <c r="H49" s="825">
        <v>342</v>
      </c>
      <c r="I49" s="825">
        <v>154</v>
      </c>
      <c r="J49" s="825">
        <v>1219</v>
      </c>
      <c r="K49" s="825">
        <v>78</v>
      </c>
      <c r="L49" s="825">
        <v>1454</v>
      </c>
      <c r="M49" s="825">
        <v>2115</v>
      </c>
      <c r="N49" s="825">
        <v>1556</v>
      </c>
      <c r="O49" s="825">
        <v>1759</v>
      </c>
      <c r="P49" s="825">
        <v>2543</v>
      </c>
      <c r="Q49" s="825">
        <v>200</v>
      </c>
      <c r="R49" s="825">
        <v>100</v>
      </c>
      <c r="S49" s="825">
        <v>500</v>
      </c>
      <c r="T49" s="825">
        <v>297</v>
      </c>
      <c r="U49" s="825">
        <v>0</v>
      </c>
      <c r="V49" s="825">
        <v>2407.7269999999999</v>
      </c>
      <c r="W49" s="825">
        <v>393.77</v>
      </c>
      <c r="X49" s="825">
        <v>1508.13</v>
      </c>
      <c r="Y49" s="825">
        <v>4095.32</v>
      </c>
      <c r="Z49" s="825">
        <v>6842</v>
      </c>
      <c r="AA49" s="825">
        <v>3039</v>
      </c>
      <c r="AB49" s="825">
        <v>2838.6</v>
      </c>
      <c r="AC49" s="826">
        <v>2855.06</v>
      </c>
      <c r="AD49" s="826">
        <v>3562.6678999999999</v>
      </c>
      <c r="AE49" s="826">
        <v>185</v>
      </c>
      <c r="AF49" s="826">
        <v>89.437849999999997</v>
      </c>
      <c r="AG49" s="826">
        <v>256.33780000000002</v>
      </c>
      <c r="AH49" s="826">
        <v>527.54549999999995</v>
      </c>
      <c r="AI49" s="826">
        <v>1561.0511999999999</v>
      </c>
      <c r="AJ49" s="826">
        <v>307.45080000000002</v>
      </c>
      <c r="AK49" s="826">
        <v>1283.0031999999999</v>
      </c>
      <c r="AL49" s="826">
        <v>1003.659</v>
      </c>
      <c r="AM49" s="826">
        <v>261.91579999999999</v>
      </c>
      <c r="AN49" s="827">
        <v>8250.9040000000005</v>
      </c>
      <c r="AO49" s="828" t="s">
        <v>711</v>
      </c>
      <c r="AP49" s="828" t="s">
        <v>711</v>
      </c>
    </row>
    <row r="50" spans="1:43" ht="15.75" customHeight="1">
      <c r="A50" s="850"/>
      <c r="B50" s="799" t="s">
        <v>776</v>
      </c>
      <c r="C50" s="807">
        <v>3977</v>
      </c>
      <c r="D50" s="807">
        <v>5476</v>
      </c>
      <c r="E50" s="807">
        <v>4549</v>
      </c>
      <c r="F50" s="807">
        <v>3648</v>
      </c>
      <c r="G50" s="807">
        <v>6478</v>
      </c>
      <c r="H50" s="807">
        <v>3475</v>
      </c>
      <c r="I50" s="807">
        <v>1875</v>
      </c>
      <c r="J50" s="807">
        <v>2712</v>
      </c>
      <c r="K50" s="807">
        <v>1819</v>
      </c>
      <c r="L50" s="807">
        <v>2346</v>
      </c>
      <c r="M50" s="807">
        <v>4186</v>
      </c>
      <c r="N50" s="807">
        <v>3708</v>
      </c>
      <c r="O50" s="807">
        <v>3991</v>
      </c>
      <c r="P50" s="807">
        <v>5294</v>
      </c>
      <c r="Q50" s="807">
        <v>2802</v>
      </c>
      <c r="R50" s="807">
        <v>2145</v>
      </c>
      <c r="S50" s="807">
        <v>2097</v>
      </c>
      <c r="T50" s="807">
        <v>1898</v>
      </c>
      <c r="U50" s="807">
        <v>1398</v>
      </c>
      <c r="V50" s="807">
        <v>3805.5495000000001</v>
      </c>
      <c r="W50" s="807">
        <v>3921.77</v>
      </c>
      <c r="X50" s="807">
        <v>5103.46</v>
      </c>
      <c r="Y50" s="807">
        <v>9082.86</v>
      </c>
      <c r="Z50" s="807">
        <v>11044</v>
      </c>
      <c r="AA50" s="807">
        <v>12361</v>
      </c>
      <c r="AB50" s="807">
        <v>13601.6</v>
      </c>
      <c r="AC50" s="808">
        <v>14044.06</v>
      </c>
      <c r="AD50" s="808">
        <v>13004.386050000001</v>
      </c>
      <c r="AE50" s="808">
        <v>11703.11845</v>
      </c>
      <c r="AF50" s="808">
        <v>11016.5563</v>
      </c>
      <c r="AG50" s="808">
        <v>10874.043099999999</v>
      </c>
      <c r="AH50" s="808">
        <v>9720.7095999999983</v>
      </c>
      <c r="AI50" s="808">
        <v>10459.7304</v>
      </c>
      <c r="AJ50" s="808">
        <v>10450.351200000001</v>
      </c>
      <c r="AK50" s="808">
        <v>11475.983</v>
      </c>
      <c r="AL50" s="808">
        <v>10934.485700000001</v>
      </c>
      <c r="AM50" s="808">
        <v>9817.9055000000008</v>
      </c>
      <c r="AN50" s="809">
        <v>16789.904000000002</v>
      </c>
      <c r="AO50" s="803">
        <f t="shared" si="12"/>
        <v>0.71013094391670406</v>
      </c>
      <c r="AP50" s="803">
        <f t="shared" si="13"/>
        <v>0.60663538274196949</v>
      </c>
    </row>
    <row r="51" spans="1:43" ht="15.75" customHeight="1">
      <c r="A51" s="787"/>
      <c r="B51" s="787" t="s">
        <v>777</v>
      </c>
      <c r="C51" s="788"/>
      <c r="D51" s="788"/>
      <c r="E51" s="788"/>
      <c r="F51" s="788"/>
      <c r="G51" s="788"/>
      <c r="H51" s="788"/>
      <c r="I51" s="788"/>
      <c r="J51" s="788"/>
      <c r="K51" s="788"/>
      <c r="L51" s="788"/>
      <c r="M51" s="788"/>
      <c r="N51" s="788"/>
      <c r="O51" s="788"/>
      <c r="P51" s="788"/>
      <c r="Q51" s="788"/>
      <c r="R51" s="788"/>
      <c r="S51" s="788"/>
      <c r="T51" s="788"/>
      <c r="U51" s="788"/>
      <c r="V51" s="788"/>
      <c r="W51" s="788"/>
      <c r="X51" s="788"/>
      <c r="Y51" s="788"/>
      <c r="Z51" s="788"/>
      <c r="AA51" s="788"/>
      <c r="AB51" s="788"/>
      <c r="AC51" s="789"/>
      <c r="AD51" s="789"/>
      <c r="AE51" s="789"/>
      <c r="AF51" s="789"/>
      <c r="AG51" s="789"/>
      <c r="AH51" s="789"/>
      <c r="AI51" s="789"/>
      <c r="AJ51" s="789"/>
      <c r="AK51" s="789"/>
      <c r="AL51" s="789"/>
      <c r="AM51" s="789"/>
      <c r="AN51" s="790"/>
      <c r="AO51" s="791"/>
      <c r="AP51" s="791"/>
    </row>
    <row r="52" spans="1:43" s="823" customFormat="1" ht="15.75" customHeight="1">
      <c r="A52" s="829"/>
      <c r="B52" s="851" t="s">
        <v>778</v>
      </c>
      <c r="C52" s="852">
        <v>7.236998514115899</v>
      </c>
      <c r="D52" s="852">
        <v>11.200337295690936</v>
      </c>
      <c r="E52" s="852">
        <v>11.070322436849926</v>
      </c>
      <c r="F52" s="852">
        <v>11.916533432392274</v>
      </c>
      <c r="G52" s="852">
        <v>10.956887497630015</v>
      </c>
      <c r="H52" s="852">
        <v>9.3036062407132256</v>
      </c>
      <c r="I52" s="852">
        <v>7.9224769687964338</v>
      </c>
      <c r="J52" s="852">
        <v>6.7649732540861809</v>
      </c>
      <c r="K52" s="852">
        <v>6.5940965824665669</v>
      </c>
      <c r="L52" s="852">
        <v>9.9195052005943545</v>
      </c>
      <c r="M52" s="852">
        <v>8.174334323922734</v>
      </c>
      <c r="N52" s="852">
        <v>8.2716597325408632</v>
      </c>
      <c r="O52" s="852">
        <v>9.0346612184249633</v>
      </c>
      <c r="P52" s="853">
        <v>13.885329866270432</v>
      </c>
      <c r="Q52" s="853">
        <v>15.615641901931649</v>
      </c>
      <c r="R52" s="853">
        <v>16.596325408618128</v>
      </c>
      <c r="S52" s="853">
        <v>15.458395245170877</v>
      </c>
      <c r="T52" s="853">
        <v>15.006766112652304</v>
      </c>
      <c r="U52" s="853">
        <v>13.490253958350669</v>
      </c>
      <c r="V52" s="853">
        <v>14.26852105604012</v>
      </c>
      <c r="W52" s="853">
        <v>13.754967891961368</v>
      </c>
      <c r="X52" s="853">
        <v>15.018722139673109</v>
      </c>
      <c r="Y52" s="853">
        <v>15.149613270564634</v>
      </c>
      <c r="Z52" s="853">
        <v>16.84</v>
      </c>
      <c r="AA52" s="853">
        <v>19.295035871094271</v>
      </c>
      <c r="AB52" s="853">
        <v>19.940780120946172</v>
      </c>
      <c r="AC52" s="844">
        <v>16.191421049767182</v>
      </c>
      <c r="AD52" s="844">
        <v>15.889110151327996</v>
      </c>
      <c r="AE52" s="844">
        <v>13.918963551149194</v>
      </c>
      <c r="AF52" s="844">
        <v>11.364047719426335</v>
      </c>
      <c r="AG52" s="844">
        <v>12.520323677645747</v>
      </c>
      <c r="AH52" s="844">
        <v>12.19</v>
      </c>
      <c r="AI52" s="844">
        <v>12.341156769647981</v>
      </c>
      <c r="AJ52" s="844">
        <v>11.522443658036879</v>
      </c>
      <c r="AK52" s="844">
        <v>13.53573199017973</v>
      </c>
      <c r="AL52" s="844">
        <v>14.696134807078003</v>
      </c>
      <c r="AM52" s="844">
        <v>16.375682558310174</v>
      </c>
      <c r="AN52" s="854">
        <v>18.859222979210671</v>
      </c>
      <c r="AO52" s="855">
        <f>AN52-AM52</f>
        <v>2.4835404209004963</v>
      </c>
      <c r="AP52" s="855">
        <f>AN52-AJ52</f>
        <v>7.3367793211737915</v>
      </c>
      <c r="AQ52" s="822"/>
    </row>
    <row r="53" spans="1:43" ht="15.75" customHeight="1">
      <c r="A53" s="792"/>
      <c r="B53" s="824" t="s">
        <v>779</v>
      </c>
      <c r="C53" s="825">
        <v>13847</v>
      </c>
      <c r="D53" s="825">
        <v>19937</v>
      </c>
      <c r="E53" s="825">
        <v>20365</v>
      </c>
      <c r="F53" s="825">
        <v>21857</v>
      </c>
      <c r="G53" s="825">
        <v>21454.231893420001</v>
      </c>
      <c r="H53" s="825">
        <v>21952</v>
      </c>
      <c r="I53" s="825">
        <v>21972</v>
      </c>
      <c r="J53" s="825">
        <v>22876</v>
      </c>
      <c r="K53" s="825">
        <v>25155</v>
      </c>
      <c r="L53" s="825">
        <v>30693</v>
      </c>
      <c r="M53" s="825">
        <v>30903</v>
      </c>
      <c r="N53" s="825">
        <v>34527</v>
      </c>
      <c r="O53" s="825">
        <v>35880</v>
      </c>
      <c r="P53" s="825">
        <v>39949</v>
      </c>
      <c r="Q53" s="825">
        <v>41137</v>
      </c>
      <c r="R53" s="825">
        <v>41093</v>
      </c>
      <c r="S53" s="825">
        <v>39887</v>
      </c>
      <c r="T53" s="825">
        <v>41313.35708763</v>
      </c>
      <c r="U53" s="825">
        <v>40251.012109620002</v>
      </c>
      <c r="V53" s="825">
        <v>42941.309166170002</v>
      </c>
      <c r="W53" s="825">
        <v>42390.29870503</v>
      </c>
      <c r="X53" s="825">
        <v>44657.8</v>
      </c>
      <c r="Y53" s="825">
        <v>45759.927859939999</v>
      </c>
      <c r="Z53" s="825">
        <v>47804</v>
      </c>
      <c r="AA53" s="825">
        <v>49752.090750379997</v>
      </c>
      <c r="AB53" s="825">
        <v>50626.348179690001</v>
      </c>
      <c r="AC53" s="826">
        <v>48599.718862909998</v>
      </c>
      <c r="AD53" s="826">
        <v>50674.645502730003</v>
      </c>
      <c r="AE53" s="826">
        <v>49032.393379120003</v>
      </c>
      <c r="AF53" s="826">
        <v>45462.391877219998</v>
      </c>
      <c r="AG53" s="826">
        <v>48788.414686390002</v>
      </c>
      <c r="AH53" s="826">
        <v>51088.822104500003</v>
      </c>
      <c r="AI53" s="826">
        <v>53951.962873750002</v>
      </c>
      <c r="AJ53" s="826">
        <v>55075</v>
      </c>
      <c r="AK53" s="826">
        <v>57531.605440979998</v>
      </c>
      <c r="AL53" s="826">
        <v>62146.853735789999</v>
      </c>
      <c r="AM53" s="826">
        <v>62949.326448740001</v>
      </c>
      <c r="AN53" s="827">
        <v>66023.544999279999</v>
      </c>
      <c r="AO53" s="828">
        <f t="shared" ref="AO53:AO55" si="14">IFERROR(AN53/AM53-1,"-")</f>
        <v>4.8836401022389841E-2</v>
      </c>
      <c r="AP53" s="828">
        <f t="shared" ref="AP53:AP55" si="15">IFERROR(AN53/AJ53-1,"-")</f>
        <v>0.19879337266055375</v>
      </c>
    </row>
    <row r="54" spans="1:43" ht="15.75" customHeight="1">
      <c r="A54" s="792"/>
      <c r="B54" s="824" t="s">
        <v>780</v>
      </c>
      <c r="C54" s="825">
        <v>4106</v>
      </c>
      <c r="D54" s="825">
        <v>4860</v>
      </c>
      <c r="E54" s="825">
        <v>5463</v>
      </c>
      <c r="F54" s="825">
        <v>5816</v>
      </c>
      <c r="G54" s="825">
        <v>6704.9153216100003</v>
      </c>
      <c r="H54" s="825">
        <v>9428</v>
      </c>
      <c r="I54" s="825">
        <v>11307</v>
      </c>
      <c r="J54" s="825">
        <v>13769</v>
      </c>
      <c r="K54" s="825">
        <v>16278</v>
      </c>
      <c r="L54" s="825">
        <v>17340</v>
      </c>
      <c r="M54" s="825">
        <v>19899</v>
      </c>
      <c r="N54" s="825">
        <v>23392</v>
      </c>
      <c r="O54" s="825">
        <v>23718</v>
      </c>
      <c r="P54" s="825">
        <v>21258</v>
      </c>
      <c r="Q54" s="825">
        <v>20117</v>
      </c>
      <c r="R54" s="825">
        <v>18753</v>
      </c>
      <c r="S54" s="825">
        <v>19080</v>
      </c>
      <c r="T54" s="825">
        <v>21114.249899999999</v>
      </c>
      <c r="U54" s="825">
        <v>22093.130281680002</v>
      </c>
      <c r="V54" s="825">
        <v>23735.879824740001</v>
      </c>
      <c r="W54" s="825">
        <v>23876.11192245</v>
      </c>
      <c r="X54" s="825">
        <v>24442.6</v>
      </c>
      <c r="Y54" s="825">
        <v>25368.548397760002</v>
      </c>
      <c r="Z54" s="825">
        <v>24417</v>
      </c>
      <c r="AA54" s="825">
        <v>23779.042964299999</v>
      </c>
      <c r="AB54" s="825">
        <v>23860.836062350001</v>
      </c>
      <c r="AC54" s="826">
        <v>26866.78395886</v>
      </c>
      <c r="AD54" s="826">
        <v>29347.48740211</v>
      </c>
      <c r="AE54" s="826">
        <v>30349.664552589998</v>
      </c>
      <c r="AF54" s="826">
        <v>30208.998825819999</v>
      </c>
      <c r="AG54" s="826">
        <v>31983.010230069998</v>
      </c>
      <c r="AH54" s="826">
        <v>34733.021906499998</v>
      </c>
      <c r="AI54" s="826">
        <v>37387.045199690001</v>
      </c>
      <c r="AJ54" s="826">
        <v>39609</v>
      </c>
      <c r="AK54" s="826">
        <v>39268.519053229997</v>
      </c>
      <c r="AL54" s="826">
        <v>42318.093847340002</v>
      </c>
      <c r="AM54" s="826">
        <v>40854.436756939998</v>
      </c>
      <c r="AN54" s="827">
        <v>40577.738394580003</v>
      </c>
      <c r="AO54" s="828">
        <f t="shared" si="14"/>
        <v>-6.7727861237247833E-3</v>
      </c>
      <c r="AP54" s="828">
        <f t="shared" si="15"/>
        <v>2.4457532242167179E-2</v>
      </c>
    </row>
    <row r="55" spans="1:43" ht="15.75" customHeight="1">
      <c r="A55" s="792"/>
      <c r="B55" s="824" t="s">
        <v>781</v>
      </c>
      <c r="C55" s="825">
        <v>1346</v>
      </c>
      <c r="D55" s="825">
        <v>1346</v>
      </c>
      <c r="E55" s="825">
        <v>1346</v>
      </c>
      <c r="F55" s="825">
        <v>1346</v>
      </c>
      <c r="G55" s="825">
        <v>1346</v>
      </c>
      <c r="H55" s="825">
        <v>1346</v>
      </c>
      <c r="I55" s="825">
        <v>1346</v>
      </c>
      <c r="J55" s="825">
        <v>1346</v>
      </c>
      <c r="K55" s="825">
        <v>1346</v>
      </c>
      <c r="L55" s="825">
        <v>1346</v>
      </c>
      <c r="M55" s="825">
        <v>1346</v>
      </c>
      <c r="N55" s="825">
        <v>1346</v>
      </c>
      <c r="O55" s="825">
        <v>1346</v>
      </c>
      <c r="P55" s="825">
        <v>1346</v>
      </c>
      <c r="Q55" s="825">
        <v>1346</v>
      </c>
      <c r="R55" s="825">
        <v>1346</v>
      </c>
      <c r="S55" s="825">
        <v>1346</v>
      </c>
      <c r="T55" s="825">
        <v>1346</v>
      </c>
      <c r="U55" s="825">
        <v>1346</v>
      </c>
      <c r="V55" s="825">
        <v>1346</v>
      </c>
      <c r="W55" s="825">
        <v>1346</v>
      </c>
      <c r="X55" s="825">
        <v>1346</v>
      </c>
      <c r="Y55" s="825">
        <v>1346</v>
      </c>
      <c r="Z55" s="825">
        <v>1346</v>
      </c>
      <c r="AA55" s="825">
        <v>1346.1</v>
      </c>
      <c r="AB55" s="825">
        <v>1342.25</v>
      </c>
      <c r="AC55" s="826">
        <v>1342.25</v>
      </c>
      <c r="AD55" s="826">
        <v>1342.25</v>
      </c>
      <c r="AE55" s="826">
        <v>1342.25</v>
      </c>
      <c r="AF55" s="826">
        <v>1342.25</v>
      </c>
      <c r="AG55" s="826">
        <v>1342.25</v>
      </c>
      <c r="AH55" s="826">
        <v>1342.25</v>
      </c>
      <c r="AI55" s="826">
        <v>1342.25</v>
      </c>
      <c r="AJ55" s="826">
        <v>1342.25</v>
      </c>
      <c r="AK55" s="826">
        <v>1349.25</v>
      </c>
      <c r="AL55" s="826">
        <v>1349.25</v>
      </c>
      <c r="AM55" s="826">
        <v>1349.25</v>
      </c>
      <c r="AN55" s="827">
        <v>1349.25</v>
      </c>
      <c r="AO55" s="828">
        <f t="shared" si="14"/>
        <v>0</v>
      </c>
      <c r="AP55" s="828">
        <f t="shared" si="15"/>
        <v>5.2151238591917615E-3</v>
      </c>
    </row>
    <row r="56" spans="1:43" s="823" customFormat="1" ht="15.75" customHeight="1">
      <c r="A56" s="829"/>
      <c r="B56" s="856" t="s">
        <v>782</v>
      </c>
      <c r="C56" s="857">
        <v>6.9699935815147622</v>
      </c>
      <c r="D56" s="857">
        <v>4.1660000000000004</v>
      </c>
      <c r="E56" s="857">
        <v>3.8119999999999998</v>
      </c>
      <c r="F56" s="857">
        <v>4.468</v>
      </c>
      <c r="G56" s="857">
        <v>5.379222011385199</v>
      </c>
      <c r="H56" s="857">
        <v>6.2080000000000002</v>
      </c>
      <c r="I56" s="857">
        <v>6.2750503524672707</v>
      </c>
      <c r="J56" s="857">
        <v>6.3263845867922193</v>
      </c>
      <c r="K56" s="857">
        <v>7.3007593367426002</v>
      </c>
      <c r="L56" s="857">
        <v>7.2069422748000047</v>
      </c>
      <c r="M56" s="857">
        <v>7.712669815171127</v>
      </c>
      <c r="N56" s="857">
        <v>7.2647209145931404</v>
      </c>
      <c r="O56" s="857">
        <v>7.5705239532957487</v>
      </c>
      <c r="P56" s="858">
        <v>7.3081367240379036</v>
      </c>
      <c r="Q56" s="858">
        <v>7.1181341107871718</v>
      </c>
      <c r="R56" s="858">
        <v>7.4296573632856822</v>
      </c>
      <c r="S56" s="858">
        <v>7.8991624009667332</v>
      </c>
      <c r="T56" s="858">
        <v>7.9606813058729093</v>
      </c>
      <c r="U56" s="858">
        <v>7.6669146468334644</v>
      </c>
      <c r="V56" s="858">
        <v>8.0307695348533468</v>
      </c>
      <c r="W56" s="858">
        <v>8.5726872587501433</v>
      </c>
      <c r="X56" s="858">
        <v>8.6349684123095436</v>
      </c>
      <c r="Y56" s="858">
        <v>8.0088630322810026</v>
      </c>
      <c r="Z56" s="858">
        <v>7.81</v>
      </c>
      <c r="AA56" s="858">
        <v>7.5668254141130111</v>
      </c>
      <c r="AB56" s="858">
        <v>7.6612667675421537</v>
      </c>
      <c r="AC56" s="859">
        <v>7.7356611407731055</v>
      </c>
      <c r="AD56" s="859">
        <v>8.6979312077602078</v>
      </c>
      <c r="AE56" s="859">
        <v>8.3960826962729502</v>
      </c>
      <c r="AF56" s="859">
        <v>8.1546735686986054</v>
      </c>
      <c r="AG56" s="859">
        <v>8.4512905886724106</v>
      </c>
      <c r="AH56" s="859">
        <v>9.1350823432780341</v>
      </c>
      <c r="AI56" s="859">
        <v>8.7199393341529543</v>
      </c>
      <c r="AJ56" s="859">
        <v>8.7145248722846222</v>
      </c>
      <c r="AK56" s="859">
        <v>8.9309624616946515</v>
      </c>
      <c r="AL56" s="859">
        <v>9.3110010606858609</v>
      </c>
      <c r="AM56" s="859">
        <v>9.5814087896155709</v>
      </c>
      <c r="AN56" s="860">
        <v>9.080394894794809</v>
      </c>
      <c r="AO56" s="861">
        <f>AN56-AM56</f>
        <v>-0.50101389482076186</v>
      </c>
      <c r="AP56" s="861">
        <f>AN56-AJ56</f>
        <v>0.36587002251018674</v>
      </c>
      <c r="AQ56" s="822"/>
    </row>
    <row r="57" spans="1:43" ht="15.75" customHeight="1">
      <c r="A57" s="792"/>
      <c r="B57" s="824" t="s">
        <v>783</v>
      </c>
      <c r="C57" s="825">
        <v>130311</v>
      </c>
      <c r="D57" s="825">
        <v>130924.88200000001</v>
      </c>
      <c r="E57" s="825">
        <v>119853.09199999999</v>
      </c>
      <c r="F57" s="825">
        <v>143775.772</v>
      </c>
      <c r="G57" s="825">
        <v>170091</v>
      </c>
      <c r="H57" s="825">
        <v>199932</v>
      </c>
      <c r="I57" s="825">
        <v>199396</v>
      </c>
      <c r="J57" s="825">
        <v>204241</v>
      </c>
      <c r="K57" s="825">
        <v>235559</v>
      </c>
      <c r="L57" s="825">
        <v>250835.68</v>
      </c>
      <c r="M57" s="825">
        <v>264560</v>
      </c>
      <c r="N57" s="825">
        <v>270066</v>
      </c>
      <c r="O57" s="825">
        <v>283342</v>
      </c>
      <c r="P57" s="825">
        <v>302323</v>
      </c>
      <c r="Q57" s="825">
        <v>305190</v>
      </c>
      <c r="R57" s="825">
        <v>327425</v>
      </c>
      <c r="S57" s="825">
        <v>342919.86</v>
      </c>
      <c r="T57" s="825">
        <v>361984.12</v>
      </c>
      <c r="U57" s="825">
        <v>353077.29</v>
      </c>
      <c r="V57" s="825">
        <v>394113.95</v>
      </c>
      <c r="W57" s="825">
        <v>421083.54</v>
      </c>
      <c r="X57" s="825">
        <v>443083.63</v>
      </c>
      <c r="Y57" s="825">
        <v>423258.24</v>
      </c>
      <c r="Z57" s="825">
        <v>413628</v>
      </c>
      <c r="AA57" s="825">
        <v>420332.99</v>
      </c>
      <c r="AB57" s="825">
        <v>433054.1</v>
      </c>
      <c r="AC57" s="826">
        <v>417574.16</v>
      </c>
      <c r="AD57" s="826">
        <v>488810.6</v>
      </c>
      <c r="AE57" s="826">
        <v>474096.48</v>
      </c>
      <c r="AF57" s="826">
        <v>468846.27</v>
      </c>
      <c r="AG57" s="826">
        <v>506328.82</v>
      </c>
      <c r="AH57" s="826">
        <v>563875.29</v>
      </c>
      <c r="AI57" s="826">
        <v>571384.14</v>
      </c>
      <c r="AJ57" s="826">
        <v>591758.93999999994</v>
      </c>
      <c r="AK57" s="826">
        <v>620708.5</v>
      </c>
      <c r="AL57" s="826">
        <v>684881.67</v>
      </c>
      <c r="AM57" s="826">
        <v>726289.47</v>
      </c>
      <c r="AN57" s="827">
        <v>736981.83</v>
      </c>
      <c r="AO57" s="828">
        <f t="shared" ref="AO57:AO58" si="16">IFERROR(AN57/AM57-1,"-")</f>
        <v>1.4721898694194158E-2</v>
      </c>
      <c r="AP57" s="828">
        <f t="shared" ref="AP57:AP58" si="17">IFERROR(AN57/AJ57-1,"-")</f>
        <v>0.24540886530586259</v>
      </c>
    </row>
    <row r="58" spans="1:43" ht="15.75" customHeight="1">
      <c r="A58" s="792"/>
      <c r="B58" s="799" t="s">
        <v>784</v>
      </c>
      <c r="C58" s="807">
        <v>18696</v>
      </c>
      <c r="D58" s="807">
        <v>31427</v>
      </c>
      <c r="E58" s="807">
        <v>31441</v>
      </c>
      <c r="F58" s="807">
        <v>32179</v>
      </c>
      <c r="G58" s="807">
        <v>31620</v>
      </c>
      <c r="H58" s="807">
        <v>32205.541237113401</v>
      </c>
      <c r="I58" s="807">
        <v>31776</v>
      </c>
      <c r="J58" s="807">
        <v>32284</v>
      </c>
      <c r="K58" s="807">
        <v>32265</v>
      </c>
      <c r="L58" s="807">
        <v>34804.730000000003</v>
      </c>
      <c r="M58" s="807">
        <v>34302</v>
      </c>
      <c r="N58" s="807">
        <v>37175</v>
      </c>
      <c r="O58" s="807">
        <v>37427</v>
      </c>
      <c r="P58" s="807">
        <v>41368</v>
      </c>
      <c r="Q58" s="807">
        <v>42875</v>
      </c>
      <c r="R58" s="807">
        <v>44070</v>
      </c>
      <c r="S58" s="807">
        <v>43412.18</v>
      </c>
      <c r="T58" s="807">
        <v>45471.5</v>
      </c>
      <c r="U58" s="807">
        <v>46052.07</v>
      </c>
      <c r="V58" s="807">
        <v>49075.49</v>
      </c>
      <c r="W58" s="807">
        <v>49119.199999999997</v>
      </c>
      <c r="X58" s="807">
        <v>51312.71</v>
      </c>
      <c r="Y58" s="807">
        <v>52848.73</v>
      </c>
      <c r="Z58" s="807">
        <v>52946</v>
      </c>
      <c r="AA58" s="807">
        <v>55549.45</v>
      </c>
      <c r="AB58" s="807">
        <v>56525.13</v>
      </c>
      <c r="AC58" s="808">
        <v>53980.41</v>
      </c>
      <c r="AD58" s="808">
        <v>56198.49</v>
      </c>
      <c r="AE58" s="808">
        <v>56466.39</v>
      </c>
      <c r="AF58" s="808">
        <v>57494.18</v>
      </c>
      <c r="AG58" s="808">
        <v>59911.42</v>
      </c>
      <c r="AH58" s="808">
        <v>61726.35</v>
      </c>
      <c r="AI58" s="808">
        <v>65526.16</v>
      </c>
      <c r="AJ58" s="808">
        <v>67904.899999999994</v>
      </c>
      <c r="AK58" s="808">
        <v>69500.740000000005</v>
      </c>
      <c r="AL58" s="808">
        <v>73556.179999999993</v>
      </c>
      <c r="AM58" s="808">
        <v>75801.95</v>
      </c>
      <c r="AN58" s="809">
        <v>81161.87</v>
      </c>
      <c r="AO58" s="803">
        <f t="shared" si="16"/>
        <v>7.0709526601888228E-2</v>
      </c>
      <c r="AP58" s="803">
        <f t="shared" si="17"/>
        <v>0.19522847393928866</v>
      </c>
    </row>
    <row r="59" spans="1:43" ht="15.75" customHeight="1">
      <c r="A59" s="787"/>
      <c r="B59" s="862" t="s">
        <v>785</v>
      </c>
      <c r="C59" s="788"/>
      <c r="D59" s="788"/>
      <c r="E59" s="788"/>
      <c r="F59" s="788"/>
      <c r="G59" s="788"/>
      <c r="H59" s="788"/>
      <c r="I59" s="788"/>
      <c r="J59" s="788"/>
      <c r="K59" s="788"/>
      <c r="L59" s="788"/>
      <c r="M59" s="788"/>
      <c r="N59" s="788"/>
      <c r="O59" s="788"/>
      <c r="P59" s="788"/>
      <c r="Q59" s="788"/>
      <c r="R59" s="788"/>
      <c r="S59" s="788"/>
      <c r="T59" s="788"/>
      <c r="U59" s="788"/>
      <c r="V59" s="788"/>
      <c r="W59" s="788"/>
      <c r="X59" s="788"/>
      <c r="Y59" s="788"/>
      <c r="Z59" s="788"/>
      <c r="AA59" s="788"/>
      <c r="AB59" s="788"/>
      <c r="AC59" s="789"/>
      <c r="AD59" s="789"/>
      <c r="AE59" s="789"/>
      <c r="AF59" s="789"/>
      <c r="AG59" s="789"/>
      <c r="AH59" s="789"/>
      <c r="AI59" s="789"/>
      <c r="AJ59" s="789"/>
      <c r="AK59" s="789"/>
      <c r="AL59" s="789"/>
      <c r="AM59" s="789"/>
      <c r="AN59" s="790"/>
      <c r="AO59" s="791"/>
      <c r="AP59" s="791"/>
    </row>
    <row r="60" spans="1:43" s="823" customFormat="1" ht="15.75" customHeight="1">
      <c r="A60" s="829"/>
      <c r="B60" s="863" t="s">
        <v>786</v>
      </c>
      <c r="C60" s="841"/>
      <c r="D60" s="841"/>
      <c r="E60" s="841"/>
      <c r="F60" s="841"/>
      <c r="G60" s="841"/>
      <c r="H60" s="841"/>
      <c r="I60" s="841"/>
      <c r="J60" s="841"/>
      <c r="K60" s="841"/>
      <c r="L60" s="841"/>
      <c r="M60" s="841"/>
      <c r="N60" s="841"/>
      <c r="O60" s="841"/>
      <c r="P60" s="841"/>
      <c r="Q60" s="841"/>
      <c r="R60" s="841"/>
      <c r="S60" s="841"/>
      <c r="T60" s="841"/>
      <c r="U60" s="841"/>
      <c r="V60" s="841"/>
      <c r="W60" s="841"/>
      <c r="X60" s="841"/>
      <c r="Y60" s="841">
        <v>195563.70876615337</v>
      </c>
      <c r="Z60" s="841">
        <v>143810.97422462548</v>
      </c>
      <c r="AA60" s="841">
        <v>164686.19769092</v>
      </c>
      <c r="AB60" s="841">
        <v>162430.12425292961</v>
      </c>
      <c r="AC60" s="842">
        <v>171831.32579231035</v>
      </c>
      <c r="AD60" s="842">
        <v>151906.61224230292</v>
      </c>
      <c r="AE60" s="842">
        <v>170056.73590852719</v>
      </c>
      <c r="AF60" s="842">
        <v>189119.31466291001</v>
      </c>
      <c r="AG60" s="842">
        <v>193868.95712401581</v>
      </c>
      <c r="AH60" s="842">
        <v>176954.77753060422</v>
      </c>
      <c r="AI60" s="842">
        <v>202758.80853439469</v>
      </c>
      <c r="AJ60" s="842">
        <v>233081.685474634</v>
      </c>
      <c r="AK60" s="842">
        <v>300850.960819714</v>
      </c>
      <c r="AL60" s="842">
        <v>212009.517940958</v>
      </c>
      <c r="AM60" s="842">
        <v>286057.33438667201</v>
      </c>
      <c r="AN60" s="843">
        <v>291168.95488632901</v>
      </c>
      <c r="AO60" s="844">
        <f t="shared" ref="AO60:AO63" si="18">IFERROR(AN60/AM60-1,"-")</f>
        <v>1.7869216710058033E-2</v>
      </c>
      <c r="AP60" s="844">
        <f t="shared" ref="AP60:AP63" si="19">IFERROR(AN60/AJ60-1,"-")</f>
        <v>0.24921421558029966</v>
      </c>
      <c r="AQ60" s="822"/>
    </row>
    <row r="61" spans="1:43" ht="15.75" customHeight="1">
      <c r="A61" s="792"/>
      <c r="B61" s="864" t="s">
        <v>787</v>
      </c>
      <c r="C61" s="825"/>
      <c r="D61" s="825"/>
      <c r="E61" s="825"/>
      <c r="F61" s="825"/>
      <c r="G61" s="825"/>
      <c r="H61" s="825"/>
      <c r="I61" s="825"/>
      <c r="J61" s="825"/>
      <c r="K61" s="825"/>
      <c r="L61" s="825"/>
      <c r="M61" s="825"/>
      <c r="N61" s="825"/>
      <c r="O61" s="825"/>
      <c r="P61" s="825"/>
      <c r="Q61" s="825"/>
      <c r="R61" s="825"/>
      <c r="S61" s="825"/>
      <c r="T61" s="825"/>
      <c r="U61" s="825"/>
      <c r="V61" s="825"/>
      <c r="W61" s="825"/>
      <c r="X61" s="825"/>
      <c r="Y61" s="825">
        <v>190353.76867759335</v>
      </c>
      <c r="Z61" s="825">
        <v>138837.87049734546</v>
      </c>
      <c r="AA61" s="825">
        <v>156900.40082201001</v>
      </c>
      <c r="AB61" s="825">
        <v>155189.1959559496</v>
      </c>
      <c r="AC61" s="826">
        <v>159789.86781565036</v>
      </c>
      <c r="AD61" s="826">
        <v>143079.36332338292</v>
      </c>
      <c r="AE61" s="826">
        <v>161655.09443599719</v>
      </c>
      <c r="AF61" s="826">
        <v>177085.18371638999</v>
      </c>
      <c r="AG61" s="826">
        <v>181214.27424081581</v>
      </c>
      <c r="AH61" s="826">
        <v>165391.0492289942</v>
      </c>
      <c r="AI61" s="826">
        <v>185233.9977918847</v>
      </c>
      <c r="AJ61" s="826">
        <v>215006.03661790397</v>
      </c>
      <c r="AK61" s="826">
        <v>281157.81545375398</v>
      </c>
      <c r="AL61" s="826">
        <v>192313.92872304801</v>
      </c>
      <c r="AM61" s="826">
        <v>267481.43559368001</v>
      </c>
      <c r="AN61" s="827">
        <v>273080.58222491801</v>
      </c>
      <c r="AO61" s="828">
        <f t="shared" si="18"/>
        <v>2.0932842007560515E-2</v>
      </c>
      <c r="AP61" s="828">
        <f t="shared" si="19"/>
        <v>0.27010658175249613</v>
      </c>
    </row>
    <row r="62" spans="1:43" ht="15.75" customHeight="1">
      <c r="A62" s="792"/>
      <c r="B62" s="864" t="s">
        <v>788</v>
      </c>
      <c r="C62" s="825"/>
      <c r="D62" s="825"/>
      <c r="E62" s="825"/>
      <c r="F62" s="825"/>
      <c r="G62" s="825"/>
      <c r="H62" s="825"/>
      <c r="I62" s="825"/>
      <c r="J62" s="825"/>
      <c r="K62" s="825"/>
      <c r="L62" s="825"/>
      <c r="M62" s="825"/>
      <c r="N62" s="825"/>
      <c r="O62" s="825"/>
      <c r="P62" s="825"/>
      <c r="Q62" s="825"/>
      <c r="R62" s="825"/>
      <c r="S62" s="825"/>
      <c r="T62" s="825"/>
      <c r="U62" s="825"/>
      <c r="V62" s="825"/>
      <c r="W62" s="825"/>
      <c r="X62" s="825"/>
      <c r="Y62" s="825">
        <v>1442.9974020100001</v>
      </c>
      <c r="Z62" s="825">
        <v>1557.2799514200001</v>
      </c>
      <c r="AA62" s="825">
        <v>3644.1960442099999</v>
      </c>
      <c r="AB62" s="825">
        <v>3827.0384750100002</v>
      </c>
      <c r="AC62" s="826">
        <v>8007.2280226599996</v>
      </c>
      <c r="AD62" s="826">
        <v>4465.7438717100003</v>
      </c>
      <c r="AE62" s="826">
        <v>4422.7692040299999</v>
      </c>
      <c r="AF62" s="826">
        <v>5553.4718961799999</v>
      </c>
      <c r="AG62" s="826">
        <v>6135.1073572900004</v>
      </c>
      <c r="AH62" s="826">
        <v>5515.05032123</v>
      </c>
      <c r="AI62" s="826">
        <v>4308.3279416900004</v>
      </c>
      <c r="AJ62" s="826">
        <v>4319.9428165299996</v>
      </c>
      <c r="AK62" s="826">
        <v>7365.7675886300003</v>
      </c>
      <c r="AL62" s="826">
        <v>7921.2821728999998</v>
      </c>
      <c r="AM62" s="826">
        <v>6549.7923945700004</v>
      </c>
      <c r="AN62" s="827">
        <v>5976.7466059400003</v>
      </c>
      <c r="AO62" s="828">
        <f t="shared" si="18"/>
        <v>-8.7490679720638842E-2</v>
      </c>
      <c r="AP62" s="828">
        <f t="shared" si="19"/>
        <v>0.3835244723773521</v>
      </c>
    </row>
    <row r="63" spans="1:43" ht="15.75" customHeight="1">
      <c r="A63" s="792"/>
      <c r="B63" s="864" t="s">
        <v>789</v>
      </c>
      <c r="C63" s="825"/>
      <c r="D63" s="825"/>
      <c r="E63" s="825"/>
      <c r="F63" s="825"/>
      <c r="G63" s="825"/>
      <c r="H63" s="825"/>
      <c r="I63" s="825"/>
      <c r="J63" s="825"/>
      <c r="K63" s="825"/>
      <c r="L63" s="825"/>
      <c r="M63" s="825"/>
      <c r="N63" s="825"/>
      <c r="O63" s="825"/>
      <c r="P63" s="825"/>
      <c r="Q63" s="825"/>
      <c r="R63" s="825"/>
      <c r="S63" s="825"/>
      <c r="T63" s="825"/>
      <c r="U63" s="825"/>
      <c r="V63" s="825"/>
      <c r="W63" s="825"/>
      <c r="X63" s="825"/>
      <c r="Y63" s="825">
        <v>3766.94268655</v>
      </c>
      <c r="Z63" s="825">
        <v>3415.8237758599994</v>
      </c>
      <c r="AA63" s="825">
        <v>4141.6008246999991</v>
      </c>
      <c r="AB63" s="825">
        <v>3413.88982197</v>
      </c>
      <c r="AC63" s="826">
        <v>4034.2299539999999</v>
      </c>
      <c r="AD63" s="826">
        <v>4361.5050472100002</v>
      </c>
      <c r="AE63" s="826">
        <v>3978.8722684999993</v>
      </c>
      <c r="AF63" s="826">
        <v>6480.6590503400002</v>
      </c>
      <c r="AG63" s="826">
        <v>6519.5755259099997</v>
      </c>
      <c r="AH63" s="826">
        <v>6048.67798038</v>
      </c>
      <c r="AI63" s="826">
        <v>13216.48280082</v>
      </c>
      <c r="AJ63" s="826">
        <v>13755.706040200001</v>
      </c>
      <c r="AK63" s="826">
        <v>12327.377777330201</v>
      </c>
      <c r="AL63" s="826">
        <v>11774.3070450102</v>
      </c>
      <c r="AM63" s="826">
        <v>12026.1063984215</v>
      </c>
      <c r="AN63" s="827">
        <v>12111.626055471006</v>
      </c>
      <c r="AO63" s="828">
        <f t="shared" si="18"/>
        <v>7.1111675064450264E-3</v>
      </c>
      <c r="AP63" s="828">
        <f t="shared" si="19"/>
        <v>-0.11951985451886626</v>
      </c>
    </row>
    <row r="64" spans="1:43" ht="15.75" customHeight="1">
      <c r="A64" s="865"/>
      <c r="B64" s="866" t="s">
        <v>790</v>
      </c>
      <c r="C64" s="867"/>
      <c r="D64" s="867"/>
      <c r="E64" s="867"/>
      <c r="F64" s="867"/>
      <c r="G64" s="867"/>
      <c r="H64" s="867"/>
      <c r="I64" s="867"/>
      <c r="J64" s="867"/>
      <c r="K64" s="867"/>
      <c r="L64" s="867"/>
      <c r="M64" s="867"/>
      <c r="N64" s="867"/>
      <c r="O64" s="867"/>
      <c r="P64" s="867"/>
      <c r="Q64" s="867"/>
      <c r="R64" s="867"/>
      <c r="S64" s="867"/>
      <c r="T64" s="867"/>
      <c r="U64" s="867"/>
      <c r="V64" s="867"/>
      <c r="W64" s="867"/>
      <c r="X64" s="867"/>
      <c r="Y64" s="867">
        <v>1.9261972020863785E-2</v>
      </c>
      <c r="Z64" s="867">
        <v>2.3752177427882906E-2</v>
      </c>
      <c r="AA64" s="867">
        <v>2.514843916958286E-2</v>
      </c>
      <c r="AB64" s="867">
        <v>2.1017590411086733E-2</v>
      </c>
      <c r="AC64" s="867">
        <v>2.3477849195414496E-2</v>
      </c>
      <c r="AD64" s="867">
        <v>2.871175245652282E-2</v>
      </c>
      <c r="AE64" s="867">
        <v>2.3397322353877346E-2</v>
      </c>
      <c r="AF64" s="868">
        <v>3.4267568396656123E-2</v>
      </c>
      <c r="AG64" s="868">
        <v>3.3628774934501247E-2</v>
      </c>
      <c r="AH64" s="868">
        <v>3.4182055239135235E-2</v>
      </c>
      <c r="AI64" s="868">
        <v>6.5183273152732313E-2</v>
      </c>
      <c r="AJ64" s="868">
        <v>5.9016674828778079E-2</v>
      </c>
      <c r="AK64" s="868">
        <v>4.0975032101417903E-2</v>
      </c>
      <c r="AL64" s="868">
        <f>AL63/AL60</f>
        <v>5.5536690802198786E-2</v>
      </c>
      <c r="AM64" s="868">
        <v>4.2040895138054604E-2</v>
      </c>
      <c r="AN64" s="869">
        <v>4.1596557092425351E-2</v>
      </c>
      <c r="AO64" s="870">
        <f>AN64-AM64</f>
        <v>-4.4433804562925283E-4</v>
      </c>
      <c r="AP64" s="870">
        <f>AN64-AJ64</f>
        <v>-1.7420117736352728E-2</v>
      </c>
    </row>
    <row r="65" spans="1:43" ht="15.75" customHeight="1">
      <c r="A65" s="865"/>
      <c r="B65" s="866" t="s">
        <v>791</v>
      </c>
      <c r="C65" s="825"/>
      <c r="D65" s="825"/>
      <c r="E65" s="825"/>
      <c r="F65" s="825"/>
      <c r="G65" s="825"/>
      <c r="H65" s="825"/>
      <c r="I65" s="825"/>
      <c r="J65" s="825"/>
      <c r="K65" s="825"/>
      <c r="L65" s="825"/>
      <c r="M65" s="825"/>
      <c r="N65" s="825"/>
      <c r="O65" s="825"/>
      <c r="P65" s="825"/>
      <c r="Q65" s="825"/>
      <c r="R65" s="825"/>
      <c r="S65" s="825"/>
      <c r="T65" s="825"/>
      <c r="U65" s="825"/>
      <c r="V65" s="825"/>
      <c r="W65" s="825"/>
      <c r="X65" s="825"/>
      <c r="Y65" s="825">
        <v>1193.6484612024872</v>
      </c>
      <c r="Z65" s="825">
        <v>1342.3469309047159</v>
      </c>
      <c r="AA65" s="825">
        <v>1690.7495305223242</v>
      </c>
      <c r="AB65" s="825">
        <v>1735.3764303749999</v>
      </c>
      <c r="AC65" s="826">
        <v>2056.8675548214287</v>
      </c>
      <c r="AD65" s="826">
        <v>3030.3393884100001</v>
      </c>
      <c r="AE65" s="826">
        <v>2404.3355145739997</v>
      </c>
      <c r="AF65" s="826">
        <v>2496.906823399208</v>
      </c>
      <c r="AG65" s="826">
        <v>2884.2600881826306</v>
      </c>
      <c r="AH65" s="826">
        <v>3029.0630877723256</v>
      </c>
      <c r="AI65" s="826">
        <v>2757.0377077849384</v>
      </c>
      <c r="AJ65" s="826">
        <v>2900.9782652283388</v>
      </c>
      <c r="AK65" s="826">
        <v>3327.9778044568702</v>
      </c>
      <c r="AL65" s="826">
        <v>3710.3704912799999</v>
      </c>
      <c r="AM65" s="826">
        <v>3579.78726598192</v>
      </c>
      <c r="AN65" s="827">
        <v>3643.0990270795801</v>
      </c>
      <c r="AO65" s="828">
        <f t="shared" ref="AO65:AO66" si="20">IFERROR(AN65/AM65-1,"-")</f>
        <v>1.7685900416290146E-2</v>
      </c>
      <c r="AP65" s="828">
        <f t="shared" ref="AP65:AP66" si="21">IFERROR(AN65/AJ65-1,"-")</f>
        <v>0.2558174153686148</v>
      </c>
    </row>
    <row r="66" spans="1:43" ht="15.75" customHeight="1">
      <c r="A66" s="850"/>
      <c r="B66" s="871" t="s">
        <v>792</v>
      </c>
      <c r="C66" s="807"/>
      <c r="D66" s="807"/>
      <c r="E66" s="807"/>
      <c r="F66" s="807"/>
      <c r="G66" s="807"/>
      <c r="H66" s="807"/>
      <c r="I66" s="807"/>
      <c r="J66" s="807"/>
      <c r="K66" s="807"/>
      <c r="L66" s="807"/>
      <c r="M66" s="807"/>
      <c r="N66" s="807"/>
      <c r="O66" s="807"/>
      <c r="P66" s="807"/>
      <c r="Q66" s="807"/>
      <c r="R66" s="807"/>
      <c r="S66" s="807"/>
      <c r="T66" s="807"/>
      <c r="U66" s="807"/>
      <c r="V66" s="807"/>
      <c r="W66" s="807"/>
      <c r="X66" s="807"/>
      <c r="Y66" s="807">
        <v>949.68637982393795</v>
      </c>
      <c r="Z66" s="807">
        <v>771.79860770459902</v>
      </c>
      <c r="AA66" s="807">
        <v>811.94750362551099</v>
      </c>
      <c r="AB66" s="807">
        <v>763.86992486316501</v>
      </c>
      <c r="AC66" s="808">
        <v>1024.7500320408901</v>
      </c>
      <c r="AD66" s="808">
        <v>81.540901640639603</v>
      </c>
      <c r="AE66" s="808">
        <v>522.02822238978104</v>
      </c>
      <c r="AF66" s="808">
        <v>1289.1278307305599</v>
      </c>
      <c r="AG66" s="808">
        <v>1178.9406750907601</v>
      </c>
      <c r="AH66" s="808">
        <v>1251.1051684029801</v>
      </c>
      <c r="AI66" s="808">
        <v>2542.9809168856586</v>
      </c>
      <c r="AJ66" s="808">
        <v>2704.4349727447197</v>
      </c>
      <c r="AK66" s="808">
        <v>2416.63131824742</v>
      </c>
      <c r="AL66" s="808">
        <v>1796.5846661518301</v>
      </c>
      <c r="AM66" s="808">
        <v>2123.7154375895202</v>
      </c>
      <c r="AN66" s="809">
        <v>2333.5666418902601</v>
      </c>
      <c r="AO66" s="803">
        <f t="shared" si="20"/>
        <v>9.8813240505953637E-2</v>
      </c>
      <c r="AP66" s="803">
        <f t="shared" si="21"/>
        <v>-0.13713338815392806</v>
      </c>
    </row>
    <row r="67" spans="1:43" s="873" customFormat="1" ht="13.5">
      <c r="A67" s="872"/>
      <c r="B67" s="872"/>
      <c r="C67" s="872"/>
      <c r="D67" s="872"/>
      <c r="E67" s="872"/>
      <c r="F67" s="872"/>
      <c r="G67" s="872"/>
      <c r="H67" s="872"/>
      <c r="I67" s="872"/>
      <c r="J67" s="872"/>
      <c r="K67" s="872"/>
      <c r="L67" s="872"/>
      <c r="M67" s="872"/>
      <c r="N67" s="872"/>
      <c r="O67" s="872"/>
      <c r="P67" s="872"/>
      <c r="Q67" s="872"/>
      <c r="R67" s="872"/>
      <c r="S67" s="872"/>
      <c r="T67" s="872"/>
      <c r="U67" s="872"/>
      <c r="V67" s="872"/>
      <c r="W67" s="872"/>
      <c r="X67" s="872"/>
      <c r="Y67" s="872"/>
      <c r="Z67" s="872"/>
      <c r="AA67" s="872"/>
      <c r="AB67" s="872"/>
      <c r="AC67" s="872"/>
      <c r="AD67" s="872"/>
      <c r="AE67" s="872"/>
      <c r="AF67" s="872"/>
      <c r="AG67" s="872"/>
      <c r="AH67" s="872"/>
      <c r="AI67" s="872"/>
      <c r="AJ67" s="872"/>
      <c r="AK67" s="872"/>
      <c r="AL67" s="872"/>
      <c r="AM67" s="872"/>
      <c r="AO67" s="872"/>
      <c r="AP67" s="872"/>
      <c r="AQ67" s="874"/>
    </row>
  </sheetData>
  <mergeCells count="1">
    <mergeCell ref="A4:B4"/>
  </mergeCells>
  <phoneticPr fontId="2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044F-6B45-49CB-9491-A14DFAE9E5E4}">
  <sheetPr>
    <tabColor theme="5" tint="0.79998168889431442"/>
    <pageSetUpPr fitToPage="1"/>
  </sheetPr>
  <dimension ref="A1:CB49"/>
  <sheetViews>
    <sheetView showGridLines="0" view="pageBreakPreview" zoomScaleNormal="100" zoomScaleSheetLayoutView="100" workbookViewId="0">
      <pane ySplit="4" topLeftCell="A5" activePane="bottomLeft" state="frozen"/>
      <selection activeCell="BJ51" sqref="BJ51"/>
      <selection pane="bottomLeft" activeCell="CB37" sqref="CB37"/>
    </sheetView>
  </sheetViews>
  <sheetFormatPr defaultColWidth="8.88671875" defaultRowHeight="17.25"/>
  <cols>
    <col min="1" max="1" width="2.33203125" style="779" customWidth="1"/>
    <col min="2" max="2" width="18" style="779" customWidth="1"/>
    <col min="3" max="40" width="7.77734375" style="779" hidden="1" customWidth="1"/>
    <col min="41" max="46" width="7.88671875" style="779" hidden="1" customWidth="1"/>
    <col min="47" max="47" width="9.33203125" style="779" hidden="1" customWidth="1"/>
    <col min="48" max="48" width="9.33203125" style="779" customWidth="1"/>
    <col min="49" max="50" width="9.33203125" style="779" hidden="1" customWidth="1"/>
    <col min="51" max="52" width="9.33203125" style="779" customWidth="1"/>
    <col min="53" max="54" width="7.88671875" style="779" customWidth="1"/>
    <col min="55" max="55" width="1.44140625" style="779" customWidth="1"/>
    <col min="56" max="70" width="7.77734375" style="779" hidden="1" customWidth="1"/>
    <col min="71" max="72" width="9.33203125" style="779" customWidth="1"/>
    <col min="73" max="73" width="7.88671875" style="779" customWidth="1"/>
    <col min="74" max="79" width="8.88671875" style="773"/>
    <col min="80" max="80" width="8.6640625" style="773" bestFit="1" customWidth="1"/>
    <col min="81" max="16384" width="8.88671875" style="773"/>
  </cols>
  <sheetData>
    <row r="1" spans="1:80" s="781" customFormat="1" ht="12" customHeight="1">
      <c r="A1" s="779"/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779"/>
      <c r="AD1" s="779"/>
      <c r="AE1" s="779"/>
      <c r="AF1" s="779"/>
      <c r="AG1" s="779"/>
      <c r="AH1" s="779"/>
      <c r="AI1" s="779"/>
      <c r="AJ1" s="779"/>
      <c r="AK1" s="779"/>
      <c r="AL1" s="779"/>
      <c r="AM1" s="779"/>
      <c r="AN1" s="779"/>
      <c r="AO1" s="779"/>
      <c r="AP1" s="779"/>
      <c r="AQ1" s="779"/>
      <c r="AR1" s="779"/>
      <c r="AS1" s="779"/>
      <c r="AT1" s="779"/>
      <c r="AU1" s="779"/>
      <c r="AV1" s="779"/>
      <c r="AW1" s="779"/>
      <c r="AX1" s="779"/>
      <c r="AY1" s="779"/>
      <c r="AZ1" s="779"/>
      <c r="BA1" s="779"/>
      <c r="BB1" s="779"/>
      <c r="BC1" s="779"/>
      <c r="BD1" s="779"/>
      <c r="BE1" s="779"/>
      <c r="BF1" s="779"/>
      <c r="BG1" s="779"/>
      <c r="BH1" s="779"/>
      <c r="BI1" s="875"/>
      <c r="BJ1" s="779"/>
      <c r="BK1" s="779"/>
      <c r="BL1" s="779"/>
      <c r="BM1" s="779"/>
      <c r="BN1" s="779"/>
      <c r="BO1" s="779"/>
      <c r="BP1" s="779"/>
      <c r="BQ1" s="779"/>
      <c r="BR1" s="779"/>
      <c r="BS1" s="779"/>
      <c r="BT1" s="779"/>
      <c r="BU1" s="779"/>
    </row>
    <row r="2" spans="1:80" ht="38.25" customHeight="1">
      <c r="A2" s="775" t="s">
        <v>793</v>
      </c>
      <c r="B2" s="776"/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776"/>
      <c r="AA2" s="776"/>
      <c r="AB2" s="776"/>
      <c r="AC2" s="776"/>
      <c r="AD2" s="776"/>
      <c r="AE2" s="776"/>
      <c r="AF2" s="776"/>
      <c r="AG2" s="776"/>
      <c r="AH2" s="776"/>
      <c r="AI2" s="776"/>
      <c r="AJ2" s="776"/>
      <c r="AK2" s="776"/>
      <c r="AL2" s="776"/>
      <c r="AM2" s="776"/>
      <c r="AN2" s="776"/>
      <c r="AO2" s="776"/>
      <c r="AP2" s="776"/>
      <c r="AQ2" s="776"/>
      <c r="AR2" s="776"/>
      <c r="AS2" s="776"/>
      <c r="AT2" s="776"/>
      <c r="AU2" s="776"/>
      <c r="AV2" s="776"/>
      <c r="AW2" s="776"/>
      <c r="AX2" s="776"/>
      <c r="AY2" s="776"/>
      <c r="AZ2" s="776"/>
      <c r="BA2" s="776"/>
      <c r="BB2" s="776"/>
      <c r="BC2" s="776"/>
      <c r="BD2" s="776"/>
      <c r="BE2" s="776"/>
      <c r="BF2" s="776"/>
      <c r="BG2" s="776"/>
      <c r="BH2" s="776"/>
      <c r="BI2" s="776"/>
      <c r="BJ2" s="776"/>
      <c r="BK2" s="776"/>
      <c r="BL2" s="776"/>
      <c r="BM2" s="776"/>
      <c r="BN2" s="776"/>
      <c r="BO2" s="776"/>
      <c r="BP2" s="776"/>
      <c r="BQ2" s="776"/>
      <c r="BR2" s="776"/>
      <c r="BS2" s="776"/>
      <c r="BT2" s="776"/>
      <c r="BU2" s="776"/>
    </row>
    <row r="3" spans="1:80" ht="18" customHeight="1" thickBot="1">
      <c r="A3" s="876"/>
      <c r="B3" s="876"/>
      <c r="AE3" s="877"/>
      <c r="AF3" s="877"/>
      <c r="AG3" s="877"/>
      <c r="AH3" s="877"/>
      <c r="AR3" s="878"/>
      <c r="AS3" s="878"/>
      <c r="AT3" s="878"/>
      <c r="AU3" s="878"/>
      <c r="AV3" s="878"/>
      <c r="AW3" s="878"/>
      <c r="AX3" s="878"/>
      <c r="AY3" s="878"/>
      <c r="AZ3" s="878"/>
      <c r="BC3" s="879"/>
      <c r="BH3" s="880"/>
      <c r="BI3" s="880"/>
      <c r="BJ3" s="880"/>
      <c r="BK3" s="880"/>
      <c r="BL3" s="880"/>
      <c r="BM3" s="880"/>
      <c r="BN3" s="880"/>
      <c r="BO3" s="880"/>
      <c r="BP3" s="880"/>
      <c r="BQ3" s="880"/>
      <c r="BR3" s="880"/>
      <c r="BS3" s="880"/>
      <c r="BT3" s="880"/>
    </row>
    <row r="4" spans="1:80" ht="28.5" customHeight="1" thickTop="1">
      <c r="A4" s="1149" t="s">
        <v>794</v>
      </c>
      <c r="B4" s="1149"/>
      <c r="C4" s="782" t="s">
        <v>795</v>
      </c>
      <c r="D4" s="782" t="s">
        <v>796</v>
      </c>
      <c r="E4" s="782" t="s">
        <v>797</v>
      </c>
      <c r="F4" s="782" t="s">
        <v>798</v>
      </c>
      <c r="G4" s="782" t="s">
        <v>799</v>
      </c>
      <c r="H4" s="782" t="s">
        <v>800</v>
      </c>
      <c r="I4" s="782" t="s">
        <v>801</v>
      </c>
      <c r="J4" s="782" t="s">
        <v>802</v>
      </c>
      <c r="K4" s="782" t="s">
        <v>803</v>
      </c>
      <c r="L4" s="782" t="s">
        <v>804</v>
      </c>
      <c r="M4" s="782" t="s">
        <v>805</v>
      </c>
      <c r="N4" s="782" t="s">
        <v>806</v>
      </c>
      <c r="O4" s="782" t="s">
        <v>807</v>
      </c>
      <c r="P4" s="782" t="s">
        <v>808</v>
      </c>
      <c r="Q4" s="782" t="s">
        <v>809</v>
      </c>
      <c r="R4" s="782" t="s">
        <v>810</v>
      </c>
      <c r="S4" s="783" t="s">
        <v>435</v>
      </c>
      <c r="T4" s="784" t="s">
        <v>436</v>
      </c>
      <c r="U4" s="784" t="s">
        <v>437</v>
      </c>
      <c r="V4" s="784" t="s">
        <v>438</v>
      </c>
      <c r="W4" s="784" t="s">
        <v>439</v>
      </c>
      <c r="X4" s="784" t="s">
        <v>440</v>
      </c>
      <c r="Y4" s="784" t="s">
        <v>441</v>
      </c>
      <c r="Z4" s="784" t="s">
        <v>442</v>
      </c>
      <c r="AA4" s="784" t="s">
        <v>443</v>
      </c>
      <c r="AB4" s="784" t="s">
        <v>444</v>
      </c>
      <c r="AC4" s="784" t="s">
        <v>445</v>
      </c>
      <c r="AD4" s="784" t="s">
        <v>446</v>
      </c>
      <c r="AE4" s="784" t="s">
        <v>447</v>
      </c>
      <c r="AF4" s="784" t="s">
        <v>448</v>
      </c>
      <c r="AG4" s="784" t="s">
        <v>449</v>
      </c>
      <c r="AH4" s="784" t="s">
        <v>450</v>
      </c>
      <c r="AI4" s="785" t="s">
        <v>391</v>
      </c>
      <c r="AJ4" s="785" t="s">
        <v>452</v>
      </c>
      <c r="AK4" s="785" t="s">
        <v>430</v>
      </c>
      <c r="AL4" s="785" t="s">
        <v>432</v>
      </c>
      <c r="AM4" s="785" t="s">
        <v>389</v>
      </c>
      <c r="AN4" s="785" t="s">
        <v>466</v>
      </c>
      <c r="AO4" s="784" t="s">
        <v>467</v>
      </c>
      <c r="AP4" s="784" t="s">
        <v>513</v>
      </c>
      <c r="AQ4" s="784" t="s">
        <v>637</v>
      </c>
      <c r="AR4" s="784" t="s">
        <v>704</v>
      </c>
      <c r="AS4" s="784" t="s">
        <v>635</v>
      </c>
      <c r="AT4" s="784" t="s">
        <v>705</v>
      </c>
      <c r="AU4" s="784" t="s">
        <v>702</v>
      </c>
      <c r="AV4" s="784" t="s">
        <v>676</v>
      </c>
      <c r="AW4" s="784" t="s">
        <v>675</v>
      </c>
      <c r="AX4" s="784" t="s">
        <v>686</v>
      </c>
      <c r="AY4" s="784" t="s">
        <v>688</v>
      </c>
      <c r="AZ4" s="786" t="s">
        <v>732</v>
      </c>
      <c r="BA4" s="784" t="s">
        <v>733</v>
      </c>
      <c r="BB4" s="784" t="s">
        <v>286</v>
      </c>
      <c r="BC4" s="881" t="s">
        <v>811</v>
      </c>
      <c r="BD4" s="782">
        <v>2011</v>
      </c>
      <c r="BE4" s="782">
        <v>2012</v>
      </c>
      <c r="BF4" s="782">
        <v>2013</v>
      </c>
      <c r="BG4" s="782">
        <v>2014</v>
      </c>
      <c r="BH4" s="782">
        <v>2015</v>
      </c>
      <c r="BI4" s="782">
        <v>2016</v>
      </c>
      <c r="BJ4" s="782">
        <v>2017</v>
      </c>
      <c r="BK4" s="782">
        <v>2018</v>
      </c>
      <c r="BL4" s="782">
        <v>2019</v>
      </c>
      <c r="BM4" s="782">
        <v>2020</v>
      </c>
      <c r="BN4" s="782">
        <v>2021</v>
      </c>
      <c r="BO4" s="782">
        <v>2022</v>
      </c>
      <c r="BP4" s="782">
        <v>2023</v>
      </c>
      <c r="BQ4" s="782">
        <v>2024</v>
      </c>
      <c r="BR4" s="782">
        <v>2025</v>
      </c>
      <c r="BS4" s="782" t="s">
        <v>709</v>
      </c>
      <c r="BT4" s="882" t="s">
        <v>716</v>
      </c>
      <c r="BU4" s="784" t="s">
        <v>286</v>
      </c>
    </row>
    <row r="5" spans="1:80" ht="16.5" customHeight="1">
      <c r="A5" s="787"/>
      <c r="B5" s="883" t="s">
        <v>812</v>
      </c>
      <c r="C5" s="884"/>
      <c r="D5" s="884"/>
      <c r="E5" s="884"/>
      <c r="F5" s="884"/>
      <c r="G5" s="884"/>
      <c r="H5" s="884"/>
      <c r="I5" s="884"/>
      <c r="J5" s="884"/>
      <c r="K5" s="884">
        <v>1334</v>
      </c>
      <c r="L5" s="884">
        <v>2041</v>
      </c>
      <c r="M5" s="884">
        <v>1625</v>
      </c>
      <c r="N5" s="884">
        <v>1470</v>
      </c>
      <c r="O5" s="884">
        <v>1874</v>
      </c>
      <c r="P5" s="884">
        <v>2142</v>
      </c>
      <c r="Q5" s="884">
        <v>1772</v>
      </c>
      <c r="R5" s="884">
        <v>1840</v>
      </c>
      <c r="S5" s="884">
        <v>2080</v>
      </c>
      <c r="T5" s="884">
        <v>2038</v>
      </c>
      <c r="U5" s="884">
        <v>2472</v>
      </c>
      <c r="V5" s="884">
        <v>2491</v>
      </c>
      <c r="W5" s="884">
        <v>2489</v>
      </c>
      <c r="X5" s="884">
        <v>3959</v>
      </c>
      <c r="Y5" s="884">
        <v>1953</v>
      </c>
      <c r="Z5" s="884">
        <v>3058</v>
      </c>
      <c r="AA5" s="884">
        <v>2633</v>
      </c>
      <c r="AB5" s="884">
        <v>3332</v>
      </c>
      <c r="AC5" s="884">
        <v>2908</v>
      </c>
      <c r="AD5" s="884">
        <v>3028</v>
      </c>
      <c r="AE5" s="884">
        <v>3894</v>
      </c>
      <c r="AF5" s="884">
        <v>4207</v>
      </c>
      <c r="AG5" s="884">
        <v>3703</v>
      </c>
      <c r="AH5" s="884">
        <v>3729</v>
      </c>
      <c r="AI5" s="884">
        <v>4863</v>
      </c>
      <c r="AJ5" s="884">
        <v>3086</v>
      </c>
      <c r="AK5" s="884">
        <v>3707</v>
      </c>
      <c r="AL5" s="884">
        <v>5136</v>
      </c>
      <c r="AM5" s="884">
        <v>3135</v>
      </c>
      <c r="AN5" s="884">
        <v>3184</v>
      </c>
      <c r="AO5" s="885">
        <v>2886</v>
      </c>
      <c r="AP5" s="885">
        <v>1959</v>
      </c>
      <c r="AQ5" s="885">
        <v>3879.8006300400002</v>
      </c>
      <c r="AR5" s="885">
        <v>4260.71978494</v>
      </c>
      <c r="AS5" s="885">
        <v>3406.8121170200002</v>
      </c>
      <c r="AT5" s="885">
        <v>3555.4793270999999</v>
      </c>
      <c r="AU5" s="885">
        <v>4533.5815046099997</v>
      </c>
      <c r="AV5" s="885">
        <v>4810.8141952799997</v>
      </c>
      <c r="AW5" s="885">
        <v>3993.4254581499999</v>
      </c>
      <c r="AX5" s="885">
        <v>4166.1130340899999</v>
      </c>
      <c r="AY5" s="885">
        <v>6130.0686156299998</v>
      </c>
      <c r="AZ5" s="886">
        <v>5586.5731382599997</v>
      </c>
      <c r="BA5" s="887">
        <f>IFERROR(AZ5/AY5-1,"-")</f>
        <v>-8.8660586275369768E-2</v>
      </c>
      <c r="BB5" s="887">
        <f>IFERROR(AZ5/AV5-1,"-")</f>
        <v>0.16125314998469809</v>
      </c>
      <c r="BC5" s="888"/>
      <c r="BD5" s="889"/>
      <c r="BE5" s="889"/>
      <c r="BF5" s="889"/>
      <c r="BG5" s="889"/>
      <c r="BH5" s="889"/>
      <c r="BI5" s="889">
        <v>10159</v>
      </c>
      <c r="BJ5" s="889">
        <v>7628</v>
      </c>
      <c r="BK5" s="889">
        <v>9081</v>
      </c>
      <c r="BL5" s="889">
        <v>11459</v>
      </c>
      <c r="BM5" s="889">
        <v>11901</v>
      </c>
      <c r="BN5" s="889">
        <v>15533</v>
      </c>
      <c r="BO5" s="889">
        <v>16792</v>
      </c>
      <c r="BP5" s="889">
        <v>11164</v>
      </c>
      <c r="BQ5" s="889">
        <v>15103</v>
      </c>
      <c r="BR5" s="889">
        <v>17503.93419213</v>
      </c>
      <c r="BS5" s="890">
        <v>9344.3956998899994</v>
      </c>
      <c r="BT5" s="891">
        <v>11716.641753889999</v>
      </c>
      <c r="BU5" s="892">
        <f>IFERROR(BT5/BS5-1,"-")</f>
        <v>0.25386832173940621</v>
      </c>
    </row>
    <row r="6" spans="1:80" ht="16.5" customHeight="1">
      <c r="A6" s="792"/>
      <c r="B6" s="893" t="s">
        <v>813</v>
      </c>
      <c r="C6" s="894"/>
      <c r="D6" s="894"/>
      <c r="E6" s="894"/>
      <c r="F6" s="894"/>
      <c r="G6" s="894"/>
      <c r="H6" s="894"/>
      <c r="I6" s="894"/>
      <c r="J6" s="894"/>
      <c r="K6" s="894">
        <v>521.02314560000002</v>
      </c>
      <c r="L6" s="894">
        <v>949.26649142999997</v>
      </c>
      <c r="M6" s="895">
        <v>696.69798498</v>
      </c>
      <c r="N6" s="895">
        <v>682.73732604999998</v>
      </c>
      <c r="O6" s="895">
        <v>790</v>
      </c>
      <c r="P6" s="895">
        <v>910</v>
      </c>
      <c r="Q6" s="895">
        <v>803</v>
      </c>
      <c r="R6" s="895">
        <v>698</v>
      </c>
      <c r="S6" s="895">
        <v>639</v>
      </c>
      <c r="T6" s="895">
        <v>850</v>
      </c>
      <c r="U6" s="895">
        <v>729</v>
      </c>
      <c r="V6" s="895">
        <v>1118</v>
      </c>
      <c r="W6" s="895">
        <v>889</v>
      </c>
      <c r="X6" s="895">
        <v>980</v>
      </c>
      <c r="Y6" s="895">
        <v>738</v>
      </c>
      <c r="Z6" s="895">
        <v>1390</v>
      </c>
      <c r="AA6" s="895">
        <v>1431</v>
      </c>
      <c r="AB6" s="895">
        <v>917</v>
      </c>
      <c r="AC6" s="895">
        <v>685</v>
      </c>
      <c r="AD6" s="895">
        <v>1047</v>
      </c>
      <c r="AE6" s="895">
        <v>1224</v>
      </c>
      <c r="AF6" s="895">
        <v>1580</v>
      </c>
      <c r="AG6" s="895">
        <v>1367</v>
      </c>
      <c r="AH6" s="895">
        <v>1157</v>
      </c>
      <c r="AI6" s="895">
        <v>1246</v>
      </c>
      <c r="AJ6" s="895">
        <v>1590</v>
      </c>
      <c r="AK6" s="895">
        <v>1124</v>
      </c>
      <c r="AL6" s="895">
        <v>598</v>
      </c>
      <c r="AM6" s="895">
        <v>489</v>
      </c>
      <c r="AN6" s="895">
        <v>1250</v>
      </c>
      <c r="AO6" s="896">
        <v>989</v>
      </c>
      <c r="AP6" s="896">
        <v>-353</v>
      </c>
      <c r="AQ6" s="896">
        <v>643.26401579000003</v>
      </c>
      <c r="AR6" s="896">
        <v>1213.33010244</v>
      </c>
      <c r="AS6" s="896">
        <v>891.80639755000004</v>
      </c>
      <c r="AT6" s="896">
        <v>1045.6651781</v>
      </c>
      <c r="AU6" s="896">
        <v>1057.06863211</v>
      </c>
      <c r="AV6" s="896">
        <v>1045.35126016</v>
      </c>
      <c r="AW6" s="896">
        <v>1291.8919779299999</v>
      </c>
      <c r="AX6" s="896">
        <v>1626.4344939099999</v>
      </c>
      <c r="AY6" s="896">
        <v>1394.3932312899999</v>
      </c>
      <c r="AZ6" s="897">
        <v>816.54254281999999</v>
      </c>
      <c r="BA6" s="898">
        <f t="shared" ref="BA6:BA28" si="0">IFERROR(AZ6/AY6-1,"-")</f>
        <v>-0.41441013589503073</v>
      </c>
      <c r="BB6" s="898">
        <f t="shared" ref="BB6:BB28" si="1">IFERROR(AZ6/AV6-1,"-")</f>
        <v>-0.21888213661786649</v>
      </c>
      <c r="BC6" s="899"/>
      <c r="BD6" s="900"/>
      <c r="BE6" s="900"/>
      <c r="BF6" s="900"/>
      <c r="BG6" s="900"/>
      <c r="BH6" s="900"/>
      <c r="BI6" s="900">
        <v>3997</v>
      </c>
      <c r="BJ6" s="900">
        <v>3201</v>
      </c>
      <c r="BK6" s="900">
        <v>3336</v>
      </c>
      <c r="BL6" s="900">
        <v>3997</v>
      </c>
      <c r="BM6" s="900">
        <v>4080</v>
      </c>
      <c r="BN6" s="900">
        <v>5328</v>
      </c>
      <c r="BO6" s="900">
        <v>4558</v>
      </c>
      <c r="BP6" s="900">
        <v>2375</v>
      </c>
      <c r="BQ6" s="900">
        <v>3794</v>
      </c>
      <c r="BR6" s="900">
        <v>5020.7463641099994</v>
      </c>
      <c r="BS6" s="896">
        <v>2102.4198922699998</v>
      </c>
      <c r="BT6" s="897">
        <v>2210.9357741099998</v>
      </c>
      <c r="BU6" s="901">
        <f t="shared" ref="BU6:BU28" si="2">IFERROR(BT6/BS6-1,"-")</f>
        <v>5.1614752238114736E-2</v>
      </c>
      <c r="CB6" s="902"/>
    </row>
    <row r="7" spans="1:80" ht="16.5" customHeight="1">
      <c r="A7" s="792"/>
      <c r="B7" s="903" t="s">
        <v>814</v>
      </c>
      <c r="C7" s="904"/>
      <c r="D7" s="904"/>
      <c r="E7" s="904"/>
      <c r="F7" s="904"/>
      <c r="G7" s="904"/>
      <c r="H7" s="904"/>
      <c r="I7" s="904"/>
      <c r="J7" s="904"/>
      <c r="K7" s="904">
        <v>300.30678411000002</v>
      </c>
      <c r="L7" s="904">
        <v>334.46944886</v>
      </c>
      <c r="M7" s="905">
        <v>346.95618876999998</v>
      </c>
      <c r="N7" s="905">
        <v>305.1088373</v>
      </c>
      <c r="O7" s="905">
        <v>388</v>
      </c>
      <c r="P7" s="905">
        <v>341</v>
      </c>
      <c r="Q7" s="905">
        <v>371</v>
      </c>
      <c r="R7" s="905">
        <v>362</v>
      </c>
      <c r="S7" s="905">
        <v>351</v>
      </c>
      <c r="T7" s="905">
        <v>402</v>
      </c>
      <c r="U7" s="905">
        <v>605</v>
      </c>
      <c r="V7" s="905">
        <v>660</v>
      </c>
      <c r="W7" s="905">
        <v>818</v>
      </c>
      <c r="X7" s="905">
        <v>894</v>
      </c>
      <c r="Y7" s="905">
        <v>782</v>
      </c>
      <c r="Z7" s="905">
        <v>787</v>
      </c>
      <c r="AA7" s="905">
        <v>818</v>
      </c>
      <c r="AB7" s="905">
        <v>680</v>
      </c>
      <c r="AC7" s="905">
        <v>532</v>
      </c>
      <c r="AD7" s="905">
        <v>485</v>
      </c>
      <c r="AE7" s="905">
        <v>540</v>
      </c>
      <c r="AF7" s="905">
        <v>538</v>
      </c>
      <c r="AG7" s="905">
        <v>602</v>
      </c>
      <c r="AH7" s="905">
        <v>623</v>
      </c>
      <c r="AI7" s="905">
        <v>1053</v>
      </c>
      <c r="AJ7" s="905">
        <v>853</v>
      </c>
      <c r="AK7" s="905">
        <v>1043</v>
      </c>
      <c r="AL7" s="905">
        <v>1605</v>
      </c>
      <c r="AM7" s="905">
        <v>900</v>
      </c>
      <c r="AN7" s="905">
        <v>1093</v>
      </c>
      <c r="AO7" s="906">
        <v>1195</v>
      </c>
      <c r="AP7" s="906">
        <v>1127</v>
      </c>
      <c r="AQ7" s="906">
        <v>1118.11450668</v>
      </c>
      <c r="AR7" s="906">
        <v>929.98806153999999</v>
      </c>
      <c r="AS7" s="906">
        <v>931.36281379000002</v>
      </c>
      <c r="AT7" s="906">
        <v>1104.31256052</v>
      </c>
      <c r="AU7" s="906">
        <v>1137.9869741800001</v>
      </c>
      <c r="AV7" s="906">
        <v>1223.6696239400001</v>
      </c>
      <c r="AW7" s="906">
        <v>824.02870231999998</v>
      </c>
      <c r="AX7" s="906">
        <v>983.61707303000003</v>
      </c>
      <c r="AY7" s="906">
        <v>1154.04273466</v>
      </c>
      <c r="AZ7" s="907">
        <v>1181.1603517399999</v>
      </c>
      <c r="BA7" s="908">
        <f t="shared" si="0"/>
        <v>2.3497931459175225E-2</v>
      </c>
      <c r="BB7" s="908">
        <f t="shared" si="1"/>
        <v>-3.4739174176055654E-2</v>
      </c>
      <c r="BC7" s="909"/>
      <c r="BD7" s="910"/>
      <c r="BE7" s="910"/>
      <c r="BF7" s="910"/>
      <c r="BG7" s="910"/>
      <c r="BH7" s="910"/>
      <c r="BI7" s="910">
        <v>3281</v>
      </c>
      <c r="BJ7" s="910">
        <v>1462</v>
      </c>
      <c r="BK7" s="910">
        <v>2018</v>
      </c>
      <c r="BL7" s="910">
        <v>3281</v>
      </c>
      <c r="BM7" s="910">
        <v>2515</v>
      </c>
      <c r="BN7" s="910">
        <v>2303</v>
      </c>
      <c r="BO7" s="910">
        <v>4554</v>
      </c>
      <c r="BP7" s="910">
        <v>4315</v>
      </c>
      <c r="BQ7" s="910">
        <v>4083</v>
      </c>
      <c r="BR7" s="910">
        <v>4169.30237347</v>
      </c>
      <c r="BS7" s="906">
        <v>2361.6565981200001</v>
      </c>
      <c r="BT7" s="907">
        <v>2335.2030863999998</v>
      </c>
      <c r="BU7" s="911">
        <f t="shared" si="2"/>
        <v>-1.1201252434862252E-2</v>
      </c>
      <c r="CB7" s="902"/>
    </row>
    <row r="8" spans="1:80" ht="16.5" customHeight="1">
      <c r="A8" s="792"/>
      <c r="B8" s="903" t="s">
        <v>815</v>
      </c>
      <c r="C8" s="904"/>
      <c r="D8" s="904"/>
      <c r="E8" s="904"/>
      <c r="F8" s="904"/>
      <c r="G8" s="904"/>
      <c r="H8" s="904"/>
      <c r="I8" s="904"/>
      <c r="J8" s="904"/>
      <c r="K8" s="904">
        <v>365.50228634000001</v>
      </c>
      <c r="L8" s="904">
        <v>537.25181023000005</v>
      </c>
      <c r="M8" s="905">
        <v>406.00301322000001</v>
      </c>
      <c r="N8" s="905">
        <v>369.54368665999999</v>
      </c>
      <c r="O8" s="905">
        <v>567</v>
      </c>
      <c r="P8" s="905">
        <v>723</v>
      </c>
      <c r="Q8" s="905">
        <v>426</v>
      </c>
      <c r="R8" s="905">
        <v>572</v>
      </c>
      <c r="S8" s="905">
        <v>814</v>
      </c>
      <c r="T8" s="905">
        <v>572</v>
      </c>
      <c r="U8" s="905">
        <v>1010</v>
      </c>
      <c r="V8" s="905">
        <v>605</v>
      </c>
      <c r="W8" s="905">
        <v>661</v>
      </c>
      <c r="X8" s="905">
        <v>1992</v>
      </c>
      <c r="Y8" s="905">
        <v>350</v>
      </c>
      <c r="Z8" s="905">
        <v>754</v>
      </c>
      <c r="AA8" s="905">
        <v>227</v>
      </c>
      <c r="AB8" s="905">
        <v>1512</v>
      </c>
      <c r="AC8" s="905">
        <v>1404</v>
      </c>
      <c r="AD8" s="905">
        <v>1175</v>
      </c>
      <c r="AE8" s="905">
        <v>1728</v>
      </c>
      <c r="AF8" s="905">
        <v>1742</v>
      </c>
      <c r="AG8" s="905">
        <v>1414</v>
      </c>
      <c r="AH8" s="905">
        <v>1603</v>
      </c>
      <c r="AI8" s="905">
        <v>2309</v>
      </c>
      <c r="AJ8" s="905">
        <v>433</v>
      </c>
      <c r="AK8" s="905">
        <v>1351</v>
      </c>
      <c r="AL8" s="905">
        <v>2770</v>
      </c>
      <c r="AM8" s="905">
        <v>1512</v>
      </c>
      <c r="AN8" s="905">
        <v>595</v>
      </c>
      <c r="AO8" s="906">
        <v>440</v>
      </c>
      <c r="AP8" s="906">
        <v>981</v>
      </c>
      <c r="AQ8" s="906">
        <v>1855.5420435799999</v>
      </c>
      <c r="AR8" s="906">
        <v>1829.2294082799999</v>
      </c>
      <c r="AS8" s="906">
        <v>1328.8542798599999</v>
      </c>
      <c r="AT8" s="906">
        <v>1165.81161195</v>
      </c>
      <c r="AU8" s="906">
        <v>2114.6938018699998</v>
      </c>
      <c r="AV8" s="906">
        <v>2310.2790441500001</v>
      </c>
      <c r="AW8" s="906">
        <v>1112.38142705</v>
      </c>
      <c r="AX8" s="906">
        <v>1108.5132053899999</v>
      </c>
      <c r="AY8" s="906">
        <v>2944.1283328599998</v>
      </c>
      <c r="AZ8" s="907">
        <v>2660.7637264300001</v>
      </c>
      <c r="BA8" s="908">
        <f t="shared" si="0"/>
        <v>-9.6247369133780958E-2</v>
      </c>
      <c r="BB8" s="908">
        <f t="shared" si="1"/>
        <v>0.15170664477413842</v>
      </c>
      <c r="BC8" s="909"/>
      <c r="BD8" s="910"/>
      <c r="BE8" s="910"/>
      <c r="BF8" s="910"/>
      <c r="BG8" s="910"/>
      <c r="BH8" s="910"/>
      <c r="BI8" s="910">
        <v>2457</v>
      </c>
      <c r="BJ8" s="910">
        <v>2288</v>
      </c>
      <c r="BK8" s="910">
        <v>3001</v>
      </c>
      <c r="BL8" s="910">
        <v>3757</v>
      </c>
      <c r="BM8" s="910">
        <v>4318</v>
      </c>
      <c r="BN8" s="910">
        <v>5487</v>
      </c>
      <c r="BO8" s="910">
        <v>4863</v>
      </c>
      <c r="BP8" s="910">
        <v>3528</v>
      </c>
      <c r="BQ8" s="910">
        <v>6179</v>
      </c>
      <c r="BR8" s="910">
        <v>6645.8674784599998</v>
      </c>
      <c r="BS8" s="906">
        <v>4424.9728460200004</v>
      </c>
      <c r="BT8" s="907">
        <v>5604.8920592899995</v>
      </c>
      <c r="BU8" s="911">
        <f t="shared" si="2"/>
        <v>0.2666500460745802</v>
      </c>
      <c r="CB8" s="902"/>
    </row>
    <row r="9" spans="1:80" ht="16.5" customHeight="1">
      <c r="A9" s="792"/>
      <c r="B9" s="903" t="s">
        <v>816</v>
      </c>
      <c r="C9" s="904"/>
      <c r="D9" s="904"/>
      <c r="E9" s="904"/>
      <c r="F9" s="904"/>
      <c r="G9" s="904"/>
      <c r="H9" s="904"/>
      <c r="I9" s="904"/>
      <c r="J9" s="904"/>
      <c r="K9" s="904">
        <v>124.52926764</v>
      </c>
      <c r="L9" s="904">
        <v>201.54121925000001</v>
      </c>
      <c r="M9" s="905">
        <v>146.88726944999999</v>
      </c>
      <c r="N9" s="905">
        <v>89.966889030000004</v>
      </c>
      <c r="O9" s="905">
        <v>100</v>
      </c>
      <c r="P9" s="905">
        <v>144</v>
      </c>
      <c r="Q9" s="905">
        <v>142</v>
      </c>
      <c r="R9" s="905">
        <v>181</v>
      </c>
      <c r="S9" s="905">
        <v>240</v>
      </c>
      <c r="T9" s="905">
        <v>182</v>
      </c>
      <c r="U9" s="905">
        <v>95</v>
      </c>
      <c r="V9" s="905">
        <v>81</v>
      </c>
      <c r="W9" s="905">
        <v>90</v>
      </c>
      <c r="X9" s="905">
        <v>65</v>
      </c>
      <c r="Y9" s="905">
        <v>53</v>
      </c>
      <c r="Z9" s="905">
        <v>92</v>
      </c>
      <c r="AA9" s="905">
        <v>122</v>
      </c>
      <c r="AB9" s="905">
        <v>192</v>
      </c>
      <c r="AC9" s="905">
        <v>245</v>
      </c>
      <c r="AD9" s="905">
        <v>229</v>
      </c>
      <c r="AE9" s="905">
        <v>315</v>
      </c>
      <c r="AF9" s="905">
        <v>272</v>
      </c>
      <c r="AG9" s="905">
        <v>250</v>
      </c>
      <c r="AH9" s="905">
        <v>257</v>
      </c>
      <c r="AI9" s="905">
        <v>171</v>
      </c>
      <c r="AJ9" s="905">
        <v>141</v>
      </c>
      <c r="AK9" s="905">
        <v>133</v>
      </c>
      <c r="AL9" s="905">
        <v>113</v>
      </c>
      <c r="AM9" s="905">
        <v>171</v>
      </c>
      <c r="AN9" s="905">
        <v>175</v>
      </c>
      <c r="AO9" s="906">
        <v>162</v>
      </c>
      <c r="AP9" s="906">
        <v>127</v>
      </c>
      <c r="AQ9" s="906">
        <v>193.10993212</v>
      </c>
      <c r="AR9" s="906">
        <v>181.54386704000001</v>
      </c>
      <c r="AS9" s="906">
        <v>153.06756931000001</v>
      </c>
      <c r="AT9" s="906">
        <v>123.79664878</v>
      </c>
      <c r="AU9" s="906">
        <v>124.08465030000001</v>
      </c>
      <c r="AV9" s="906">
        <v>123.32351222</v>
      </c>
      <c r="AW9" s="906">
        <v>174.70753071999999</v>
      </c>
      <c r="AX9" s="906">
        <v>196.03048942999999</v>
      </c>
      <c r="AY9" s="906">
        <v>391.20124564000002</v>
      </c>
      <c r="AZ9" s="907">
        <v>509.85801190000001</v>
      </c>
      <c r="BA9" s="908">
        <f t="shared" si="0"/>
        <v>0.30331387638063134</v>
      </c>
      <c r="BB9" s="908">
        <f t="shared" si="1"/>
        <v>3.1343130983040046</v>
      </c>
      <c r="BC9" s="909"/>
      <c r="BD9" s="910"/>
      <c r="BE9" s="910"/>
      <c r="BF9" s="910"/>
      <c r="BG9" s="910"/>
      <c r="BH9" s="910"/>
      <c r="BI9" s="910">
        <v>300</v>
      </c>
      <c r="BJ9" s="910">
        <v>567</v>
      </c>
      <c r="BK9" s="910">
        <v>598</v>
      </c>
      <c r="BL9" s="910">
        <v>300</v>
      </c>
      <c r="BM9" s="910">
        <v>788</v>
      </c>
      <c r="BN9" s="910">
        <v>1094</v>
      </c>
      <c r="BO9" s="910">
        <v>558</v>
      </c>
      <c r="BP9" s="910">
        <v>635</v>
      </c>
      <c r="BQ9" s="910">
        <v>652</v>
      </c>
      <c r="BR9" s="910">
        <v>618.14618267000003</v>
      </c>
      <c r="BS9" s="906">
        <v>247.40816252000002</v>
      </c>
      <c r="BT9" s="907">
        <v>901.05925754000009</v>
      </c>
      <c r="BU9" s="911">
        <f t="shared" si="2"/>
        <v>2.6419948653357794</v>
      </c>
      <c r="CB9" s="902"/>
    </row>
    <row r="10" spans="1:80" ht="16.5" customHeight="1">
      <c r="A10" s="792"/>
      <c r="B10" s="903" t="s">
        <v>817</v>
      </c>
      <c r="C10" s="904"/>
      <c r="D10" s="904"/>
      <c r="E10" s="904"/>
      <c r="F10" s="904"/>
      <c r="G10" s="904"/>
      <c r="H10" s="904"/>
      <c r="I10" s="904"/>
      <c r="J10" s="904"/>
      <c r="K10" s="904">
        <v>22.15156563</v>
      </c>
      <c r="L10" s="904">
        <v>18.814799319999999</v>
      </c>
      <c r="M10" s="905">
        <v>28.234738230000001</v>
      </c>
      <c r="N10" s="905">
        <v>22.547611740000001</v>
      </c>
      <c r="O10" s="905">
        <v>29</v>
      </c>
      <c r="P10" s="905">
        <v>24</v>
      </c>
      <c r="Q10" s="905">
        <v>30</v>
      </c>
      <c r="R10" s="905">
        <v>27</v>
      </c>
      <c r="S10" s="905">
        <v>36</v>
      </c>
      <c r="T10" s="905">
        <v>32</v>
      </c>
      <c r="U10" s="905">
        <v>33</v>
      </c>
      <c r="V10" s="905">
        <v>27</v>
      </c>
      <c r="W10" s="905">
        <v>31</v>
      </c>
      <c r="X10" s="905">
        <v>28</v>
      </c>
      <c r="Y10" s="905">
        <v>30</v>
      </c>
      <c r="Z10" s="905">
        <v>35</v>
      </c>
      <c r="AA10" s="905">
        <v>35</v>
      </c>
      <c r="AB10" s="905">
        <v>31</v>
      </c>
      <c r="AC10" s="905">
        <v>42</v>
      </c>
      <c r="AD10" s="905">
        <v>92</v>
      </c>
      <c r="AE10" s="905">
        <v>87</v>
      </c>
      <c r="AF10" s="905">
        <v>75</v>
      </c>
      <c r="AG10" s="905">
        <v>70</v>
      </c>
      <c r="AH10" s="905">
        <v>89</v>
      </c>
      <c r="AI10" s="905">
        <v>84</v>
      </c>
      <c r="AJ10" s="905">
        <v>69</v>
      </c>
      <c r="AK10" s="905">
        <v>56</v>
      </c>
      <c r="AL10" s="905">
        <v>50</v>
      </c>
      <c r="AM10" s="905">
        <v>63</v>
      </c>
      <c r="AN10" s="905">
        <v>71</v>
      </c>
      <c r="AO10" s="906">
        <v>100</v>
      </c>
      <c r="AP10" s="906">
        <v>76</v>
      </c>
      <c r="AQ10" s="906">
        <v>69.77013187</v>
      </c>
      <c r="AR10" s="906">
        <v>106.62834564000001</v>
      </c>
      <c r="AS10" s="906">
        <v>101.72105651</v>
      </c>
      <c r="AT10" s="906">
        <v>115.89332775</v>
      </c>
      <c r="AU10" s="906">
        <v>99.747446150000002</v>
      </c>
      <c r="AV10" s="906">
        <v>108.19075481</v>
      </c>
      <c r="AW10" s="906">
        <v>590.41582013000004</v>
      </c>
      <c r="AX10" s="906">
        <v>251.51777233000001</v>
      </c>
      <c r="AY10" s="906">
        <v>246.30307117999999</v>
      </c>
      <c r="AZ10" s="907">
        <v>418.24850536999998</v>
      </c>
      <c r="BA10" s="908">
        <f t="shared" si="0"/>
        <v>0.69810511645768747</v>
      </c>
      <c r="BB10" s="908">
        <f t="shared" si="1"/>
        <v>2.8658433070784115</v>
      </c>
      <c r="BC10" s="909"/>
      <c r="BD10" s="910"/>
      <c r="BE10" s="910"/>
      <c r="BF10" s="910"/>
      <c r="BG10" s="910"/>
      <c r="BH10" s="910"/>
      <c r="BI10" s="910">
        <v>124</v>
      </c>
      <c r="BJ10" s="910">
        <v>110</v>
      </c>
      <c r="BK10" s="910">
        <v>128</v>
      </c>
      <c r="BL10" s="910">
        <v>124</v>
      </c>
      <c r="BM10" s="910">
        <v>200</v>
      </c>
      <c r="BN10" s="910">
        <v>321</v>
      </c>
      <c r="BO10" s="910">
        <v>259</v>
      </c>
      <c r="BP10" s="910">
        <v>310</v>
      </c>
      <c r="BQ10" s="910">
        <v>395</v>
      </c>
      <c r="BR10" s="910">
        <v>1049.8717934200001</v>
      </c>
      <c r="BS10" s="906">
        <v>207.93820096000002</v>
      </c>
      <c r="BT10" s="907">
        <v>664.55157654999994</v>
      </c>
      <c r="BU10" s="911">
        <f t="shared" si="2"/>
        <v>2.1959090416379827</v>
      </c>
      <c r="CB10" s="902"/>
    </row>
    <row r="11" spans="1:80" ht="16.5" customHeight="1">
      <c r="A11" s="912"/>
      <c r="B11" s="913" t="s">
        <v>818</v>
      </c>
      <c r="C11" s="914">
        <v>975</v>
      </c>
      <c r="D11" s="914">
        <v>1050</v>
      </c>
      <c r="E11" s="914">
        <v>1051</v>
      </c>
      <c r="F11" s="914">
        <v>1036</v>
      </c>
      <c r="G11" s="914">
        <v>1454</v>
      </c>
      <c r="H11" s="914">
        <v>2368</v>
      </c>
      <c r="I11" s="914">
        <v>1923</v>
      </c>
      <c r="J11" s="914">
        <v>1406</v>
      </c>
      <c r="K11" s="914">
        <v>1334</v>
      </c>
      <c r="L11" s="914">
        <v>2041</v>
      </c>
      <c r="M11" s="914">
        <v>1625</v>
      </c>
      <c r="N11" s="914">
        <v>1470</v>
      </c>
      <c r="O11" s="914">
        <v>1874</v>
      </c>
      <c r="P11" s="914">
        <v>2142</v>
      </c>
      <c r="Q11" s="914">
        <v>1772</v>
      </c>
      <c r="R11" s="914">
        <v>1840</v>
      </c>
      <c r="S11" s="914">
        <v>2080</v>
      </c>
      <c r="T11" s="914">
        <v>2037</v>
      </c>
      <c r="U11" s="914">
        <v>2471.6794526899844</v>
      </c>
      <c r="V11" s="914">
        <v>2492.3205473100156</v>
      </c>
      <c r="W11" s="914">
        <v>2489</v>
      </c>
      <c r="X11" s="914">
        <v>3959</v>
      </c>
      <c r="Y11" s="914">
        <v>1953</v>
      </c>
      <c r="Z11" s="914">
        <v>3058</v>
      </c>
      <c r="AA11" s="914">
        <v>2633</v>
      </c>
      <c r="AB11" s="914">
        <v>3332</v>
      </c>
      <c r="AC11" s="914">
        <v>2907.6484949191135</v>
      </c>
      <c r="AD11" s="914">
        <v>3028</v>
      </c>
      <c r="AE11" s="914">
        <v>3893</v>
      </c>
      <c r="AF11" s="914">
        <v>4206.6267175100047</v>
      </c>
      <c r="AG11" s="914">
        <v>3702.0453560900073</v>
      </c>
      <c r="AH11" s="914">
        <v>3728.1827983400481</v>
      </c>
      <c r="AI11" s="914">
        <v>4863.1388571900316</v>
      </c>
      <c r="AJ11" s="914">
        <v>3085.9614564099866</v>
      </c>
      <c r="AK11" s="914">
        <v>3706.6134231198184</v>
      </c>
      <c r="AL11" s="914">
        <v>5135.6237494102425</v>
      </c>
      <c r="AM11" s="914">
        <v>3134.7596853999735</v>
      </c>
      <c r="AN11" s="914">
        <v>3183.6708550400654</v>
      </c>
      <c r="AO11" s="890">
        <v>2886</v>
      </c>
      <c r="AP11" s="890">
        <v>1959</v>
      </c>
      <c r="AQ11" s="890">
        <v>3879</v>
      </c>
      <c r="AR11" s="890">
        <v>4262</v>
      </c>
      <c r="AS11" s="890">
        <v>3406</v>
      </c>
      <c r="AT11" s="890">
        <v>3555</v>
      </c>
      <c r="AU11" s="890">
        <v>4533</v>
      </c>
      <c r="AV11" s="890">
        <v>4810</v>
      </c>
      <c r="AW11" s="890">
        <v>3993</v>
      </c>
      <c r="AX11" s="890">
        <v>4167</v>
      </c>
      <c r="AY11" s="890">
        <v>6130</v>
      </c>
      <c r="AZ11" s="891">
        <v>5587</v>
      </c>
      <c r="BA11" s="915">
        <f t="shared" si="0"/>
        <v>-8.8580750407830311E-2</v>
      </c>
      <c r="BB11" s="915">
        <f t="shared" si="1"/>
        <v>0.16153846153846163</v>
      </c>
      <c r="BC11" s="888"/>
      <c r="BD11" s="889">
        <v>2538</v>
      </c>
      <c r="BE11" s="889">
        <v>2775</v>
      </c>
      <c r="BF11" s="889">
        <v>2174</v>
      </c>
      <c r="BG11" s="889">
        <v>4112</v>
      </c>
      <c r="BH11" s="889">
        <v>7151</v>
      </c>
      <c r="BI11" s="889">
        <v>6470</v>
      </c>
      <c r="BJ11" s="889">
        <v>7628</v>
      </c>
      <c r="BK11" s="889">
        <v>9082</v>
      </c>
      <c r="BL11" s="889">
        <v>11459</v>
      </c>
      <c r="BM11" s="889">
        <v>11900.648494919114</v>
      </c>
      <c r="BN11" s="889">
        <v>15529.854871940061</v>
      </c>
      <c r="BO11" s="889">
        <v>16791.33748613008</v>
      </c>
      <c r="BP11" s="889">
        <v>11163.430540440038</v>
      </c>
      <c r="BQ11" s="889">
        <v>15103</v>
      </c>
      <c r="BR11" s="889">
        <v>17503</v>
      </c>
      <c r="BS11" s="890">
        <v>9343</v>
      </c>
      <c r="BT11" s="891">
        <v>11717</v>
      </c>
      <c r="BU11" s="892">
        <f t="shared" si="2"/>
        <v>0.25409397409825529</v>
      </c>
      <c r="BV11" s="916"/>
    </row>
    <row r="12" spans="1:80" ht="16.5" customHeight="1">
      <c r="A12" s="792"/>
      <c r="B12" s="893" t="s">
        <v>813</v>
      </c>
      <c r="C12" s="894">
        <v>499</v>
      </c>
      <c r="D12" s="894">
        <v>708</v>
      </c>
      <c r="E12" s="894">
        <v>530</v>
      </c>
      <c r="F12" s="894">
        <v>657</v>
      </c>
      <c r="G12" s="894">
        <v>600</v>
      </c>
      <c r="H12" s="894">
        <v>1047</v>
      </c>
      <c r="I12" s="894">
        <v>1006</v>
      </c>
      <c r="J12" s="894">
        <v>909</v>
      </c>
      <c r="K12" s="894">
        <v>683</v>
      </c>
      <c r="L12" s="894">
        <v>1306</v>
      </c>
      <c r="M12" s="895">
        <v>1003</v>
      </c>
      <c r="N12" s="895">
        <v>830</v>
      </c>
      <c r="O12" s="895">
        <v>1087</v>
      </c>
      <c r="P12" s="895">
        <v>1138</v>
      </c>
      <c r="Q12" s="895">
        <v>1034</v>
      </c>
      <c r="R12" s="895">
        <v>994</v>
      </c>
      <c r="S12" s="895">
        <v>941</v>
      </c>
      <c r="T12" s="895">
        <v>1162</v>
      </c>
      <c r="U12" s="895">
        <v>1141.1310507154903</v>
      </c>
      <c r="V12" s="895">
        <v>1779.8689492845097</v>
      </c>
      <c r="W12" s="895">
        <v>1330</v>
      </c>
      <c r="X12" s="895">
        <v>1402</v>
      </c>
      <c r="Y12" s="895">
        <v>1258</v>
      </c>
      <c r="Z12" s="895">
        <v>1330</v>
      </c>
      <c r="AA12" s="895">
        <v>1794</v>
      </c>
      <c r="AB12" s="895">
        <v>1217</v>
      </c>
      <c r="AC12" s="895">
        <v>992.64849491911355</v>
      </c>
      <c r="AD12" s="895">
        <v>1501</v>
      </c>
      <c r="AE12" s="895">
        <v>1459</v>
      </c>
      <c r="AF12" s="895">
        <v>1930.8338826159377</v>
      </c>
      <c r="AG12" s="895">
        <v>1584.576402736122</v>
      </c>
      <c r="AH12" s="895">
        <v>1050.1817444519102</v>
      </c>
      <c r="AI12" s="895">
        <v>2137.87507638537</v>
      </c>
      <c r="AJ12" s="895">
        <v>1689.9770151898001</v>
      </c>
      <c r="AK12" s="895">
        <v>1346.3530336680392</v>
      </c>
      <c r="AL12" s="895">
        <v>907.6553155145757</v>
      </c>
      <c r="AM12" s="895">
        <v>838.54358329485399</v>
      </c>
      <c r="AN12" s="895">
        <v>1503.7507919487164</v>
      </c>
      <c r="AO12" s="896">
        <v>380.45519684800797</v>
      </c>
      <c r="AP12" s="896">
        <v>105</v>
      </c>
      <c r="AQ12" s="896">
        <v>1029.76697363332</v>
      </c>
      <c r="AR12" s="896">
        <v>1539.0532239269401</v>
      </c>
      <c r="AS12" s="896">
        <v>1493.7449893650701</v>
      </c>
      <c r="AT12" s="896">
        <v>1452.6740213594401</v>
      </c>
      <c r="AU12" s="896">
        <v>1920</v>
      </c>
      <c r="AV12" s="896">
        <v>1368</v>
      </c>
      <c r="AW12" s="896">
        <v>2085</v>
      </c>
      <c r="AX12" s="896">
        <v>1843.07102479064</v>
      </c>
      <c r="AY12" s="896">
        <v>1012.8178578152</v>
      </c>
      <c r="AZ12" s="897">
        <v>-445.83430437498902</v>
      </c>
      <c r="BA12" s="898">
        <f t="shared" si="0"/>
        <v>-1.4401919860859489</v>
      </c>
      <c r="BB12" s="898">
        <f t="shared" si="1"/>
        <v>-1.3259022692799627</v>
      </c>
      <c r="BC12" s="899"/>
      <c r="BD12" s="900">
        <v>829</v>
      </c>
      <c r="BE12" s="900">
        <v>1234</v>
      </c>
      <c r="BF12" s="900">
        <v>1214</v>
      </c>
      <c r="BG12" s="900">
        <v>2394</v>
      </c>
      <c r="BH12" s="900">
        <v>3562</v>
      </c>
      <c r="BI12" s="900">
        <v>3822</v>
      </c>
      <c r="BJ12" s="900">
        <v>4253</v>
      </c>
      <c r="BK12" s="900">
        <v>5024</v>
      </c>
      <c r="BL12" s="900">
        <v>5320</v>
      </c>
      <c r="BM12" s="900">
        <v>5504.6484949191135</v>
      </c>
      <c r="BN12" s="900">
        <v>6024.59202980397</v>
      </c>
      <c r="BO12" s="900">
        <v>6081.860440757785</v>
      </c>
      <c r="BP12" s="900">
        <v>2827.7495720915786</v>
      </c>
      <c r="BQ12" s="900">
        <v>5515.23920828477</v>
      </c>
      <c r="BR12" s="900">
        <v>6423.07102479064</v>
      </c>
      <c r="BS12" s="896">
        <v>3288</v>
      </c>
      <c r="BT12" s="897">
        <v>566.98355344021093</v>
      </c>
      <c r="BU12" s="901">
        <f t="shared" si="2"/>
        <v>-0.82755974652061715</v>
      </c>
      <c r="BV12" s="916"/>
      <c r="CB12" s="902"/>
    </row>
    <row r="13" spans="1:80" ht="16.5" customHeight="1">
      <c r="A13" s="792"/>
      <c r="B13" s="903" t="s">
        <v>819</v>
      </c>
      <c r="C13" s="904">
        <v>160</v>
      </c>
      <c r="D13" s="904">
        <v>169</v>
      </c>
      <c r="E13" s="904">
        <v>180</v>
      </c>
      <c r="F13" s="904">
        <v>176</v>
      </c>
      <c r="G13" s="904">
        <v>274</v>
      </c>
      <c r="H13" s="904">
        <v>369</v>
      </c>
      <c r="I13" s="904">
        <v>345</v>
      </c>
      <c r="J13" s="904">
        <v>286</v>
      </c>
      <c r="K13" s="904">
        <v>236</v>
      </c>
      <c r="L13" s="904">
        <v>248</v>
      </c>
      <c r="M13" s="905">
        <v>255</v>
      </c>
      <c r="N13" s="905">
        <v>190</v>
      </c>
      <c r="O13" s="905">
        <v>229</v>
      </c>
      <c r="P13" s="905">
        <v>267</v>
      </c>
      <c r="Q13" s="905">
        <v>310</v>
      </c>
      <c r="R13" s="905">
        <v>313</v>
      </c>
      <c r="S13" s="905">
        <v>388</v>
      </c>
      <c r="T13" s="905">
        <v>388</v>
      </c>
      <c r="U13" s="905">
        <v>301.61200887692007</v>
      </c>
      <c r="V13" s="905">
        <v>256.38799112307993</v>
      </c>
      <c r="W13" s="905">
        <v>256</v>
      </c>
      <c r="X13" s="905">
        <v>349</v>
      </c>
      <c r="Y13" s="905">
        <v>274</v>
      </c>
      <c r="Z13" s="905">
        <v>324</v>
      </c>
      <c r="AA13" s="905">
        <v>342</v>
      </c>
      <c r="AB13" s="905">
        <v>384</v>
      </c>
      <c r="AC13" s="905">
        <v>469</v>
      </c>
      <c r="AD13" s="905">
        <v>488</v>
      </c>
      <c r="AE13" s="905">
        <v>615</v>
      </c>
      <c r="AF13" s="905">
        <v>578.08580259654775</v>
      </c>
      <c r="AG13" s="905">
        <v>535.68245659242234</v>
      </c>
      <c r="AH13" s="905">
        <v>521.28914087035014</v>
      </c>
      <c r="AI13" s="905">
        <v>479.55876103167998</v>
      </c>
      <c r="AJ13" s="905">
        <v>446.41434763165705</v>
      </c>
      <c r="AK13" s="905">
        <v>358.76931014612524</v>
      </c>
      <c r="AL13" s="905">
        <v>199.86742438253691</v>
      </c>
      <c r="AM13" s="905">
        <v>317.99480373147901</v>
      </c>
      <c r="AN13" s="905">
        <v>403.87011532443285</v>
      </c>
      <c r="AO13" s="906">
        <v>414.89530348111401</v>
      </c>
      <c r="AP13" s="906">
        <v>306</v>
      </c>
      <c r="AQ13" s="906">
        <v>350.58291871709201</v>
      </c>
      <c r="AR13" s="906">
        <v>361.982526719475</v>
      </c>
      <c r="AS13" s="906">
        <v>357.311638521774</v>
      </c>
      <c r="AT13" s="906">
        <v>368.95946340452701</v>
      </c>
      <c r="AU13" s="906">
        <v>351</v>
      </c>
      <c r="AV13" s="906">
        <v>360</v>
      </c>
      <c r="AW13" s="906">
        <v>445</v>
      </c>
      <c r="AX13" s="906">
        <v>592.98769005924999</v>
      </c>
      <c r="AY13" s="906">
        <v>815.52060729289099</v>
      </c>
      <c r="AZ13" s="907">
        <v>1661.95821312526</v>
      </c>
      <c r="BA13" s="908">
        <f t="shared" si="0"/>
        <v>1.0379107508295915</v>
      </c>
      <c r="BB13" s="908">
        <f t="shared" si="1"/>
        <v>3.6165505920146108</v>
      </c>
      <c r="BC13" s="909"/>
      <c r="BD13" s="910">
        <v>731</v>
      </c>
      <c r="BE13" s="910">
        <v>550</v>
      </c>
      <c r="BF13" s="910">
        <v>437</v>
      </c>
      <c r="BG13" s="910">
        <v>685</v>
      </c>
      <c r="BH13" s="910">
        <v>1274</v>
      </c>
      <c r="BI13" s="910">
        <v>929</v>
      </c>
      <c r="BJ13" s="910">
        <v>1119</v>
      </c>
      <c r="BK13" s="910">
        <v>1334</v>
      </c>
      <c r="BL13" s="910">
        <v>1203</v>
      </c>
      <c r="BM13" s="910">
        <v>1683</v>
      </c>
      <c r="BN13" s="910">
        <v>2250.0574000593201</v>
      </c>
      <c r="BO13" s="910">
        <v>1484.6098431919993</v>
      </c>
      <c r="BP13" s="910">
        <v>1442.7602225370258</v>
      </c>
      <c r="BQ13" s="910">
        <v>1438.836547362868</v>
      </c>
      <c r="BR13" s="910">
        <v>2127.9876900592499</v>
      </c>
      <c r="BS13" s="906">
        <v>711</v>
      </c>
      <c r="BT13" s="907">
        <v>2477.4788204181509</v>
      </c>
      <c r="BU13" s="911">
        <f t="shared" si="2"/>
        <v>2.4844990441886794</v>
      </c>
      <c r="BV13" s="916"/>
      <c r="CB13" s="902"/>
    </row>
    <row r="14" spans="1:80" ht="16.5" customHeight="1">
      <c r="A14" s="792"/>
      <c r="B14" s="903" t="s">
        <v>820</v>
      </c>
      <c r="C14" s="904">
        <v>83</v>
      </c>
      <c r="D14" s="904">
        <v>52</v>
      </c>
      <c r="E14" s="904">
        <v>140</v>
      </c>
      <c r="F14" s="904">
        <v>27</v>
      </c>
      <c r="G14" s="904">
        <v>220</v>
      </c>
      <c r="H14" s="904">
        <v>372</v>
      </c>
      <c r="I14" s="904">
        <v>229</v>
      </c>
      <c r="J14" s="904">
        <v>74</v>
      </c>
      <c r="K14" s="904">
        <v>159</v>
      </c>
      <c r="L14" s="904">
        <v>209</v>
      </c>
      <c r="M14" s="905">
        <v>88</v>
      </c>
      <c r="N14" s="905">
        <v>103</v>
      </c>
      <c r="O14" s="905">
        <v>288</v>
      </c>
      <c r="P14" s="905">
        <v>478</v>
      </c>
      <c r="Q14" s="905">
        <v>173</v>
      </c>
      <c r="R14" s="905">
        <v>165</v>
      </c>
      <c r="S14" s="905">
        <v>382</v>
      </c>
      <c r="T14" s="905">
        <v>306</v>
      </c>
      <c r="U14" s="905">
        <v>466.62412118811994</v>
      </c>
      <c r="V14" s="905">
        <v>244.37587881188006</v>
      </c>
      <c r="W14" s="905">
        <v>560</v>
      </c>
      <c r="X14" s="905">
        <v>381</v>
      </c>
      <c r="Y14" s="905">
        <v>298</v>
      </c>
      <c r="Z14" s="905">
        <v>409</v>
      </c>
      <c r="AA14" s="905">
        <v>-55</v>
      </c>
      <c r="AB14" s="905">
        <v>1149</v>
      </c>
      <c r="AC14" s="905">
        <v>1196</v>
      </c>
      <c r="AD14" s="905">
        <v>739</v>
      </c>
      <c r="AE14" s="905">
        <v>1213</v>
      </c>
      <c r="AF14" s="905">
        <v>1080.4209927848349</v>
      </c>
      <c r="AG14" s="905">
        <v>744.64336542045476</v>
      </c>
      <c r="AH14" s="905">
        <v>465.19730789233017</v>
      </c>
      <c r="AI14" s="905">
        <v>856.97184407728298</v>
      </c>
      <c r="AJ14" s="905">
        <v>4.3892209483669831</v>
      </c>
      <c r="AK14" s="905">
        <v>723.34075269303537</v>
      </c>
      <c r="AL14" s="905">
        <v>436.19745639491043</v>
      </c>
      <c r="AM14" s="905">
        <v>994.48114361827697</v>
      </c>
      <c r="AN14" s="905">
        <v>188.3518023217523</v>
      </c>
      <c r="AO14" s="906">
        <v>392.696214321404</v>
      </c>
      <c r="AP14" s="906">
        <v>610</v>
      </c>
      <c r="AQ14" s="906">
        <v>834.17821451222801</v>
      </c>
      <c r="AR14" s="906">
        <v>1183.81095823483</v>
      </c>
      <c r="AS14" s="906">
        <v>259.09261902570302</v>
      </c>
      <c r="AT14" s="906">
        <v>421.351508686898</v>
      </c>
      <c r="AU14" s="906">
        <v>607</v>
      </c>
      <c r="AV14" s="906">
        <v>914</v>
      </c>
      <c r="AW14" s="906">
        <v>808</v>
      </c>
      <c r="AX14" s="906">
        <v>485.737442921411</v>
      </c>
      <c r="AY14" s="906">
        <v>926.82951670492298</v>
      </c>
      <c r="AZ14" s="907">
        <v>1245.7954896905701</v>
      </c>
      <c r="BA14" s="908">
        <f t="shared" si="0"/>
        <v>0.34414740492905249</v>
      </c>
      <c r="BB14" s="908">
        <f t="shared" si="1"/>
        <v>0.36301475896123647</v>
      </c>
      <c r="BC14" s="909"/>
      <c r="BD14" s="910">
        <v>463</v>
      </c>
      <c r="BE14" s="910">
        <v>373</v>
      </c>
      <c r="BF14" s="910">
        <v>244</v>
      </c>
      <c r="BG14" s="910">
        <v>302</v>
      </c>
      <c r="BH14" s="910">
        <v>895</v>
      </c>
      <c r="BI14" s="910">
        <v>559</v>
      </c>
      <c r="BJ14" s="910">
        <v>1104</v>
      </c>
      <c r="BK14" s="910">
        <v>1399</v>
      </c>
      <c r="BL14" s="910">
        <v>1648</v>
      </c>
      <c r="BM14" s="910">
        <v>3029</v>
      </c>
      <c r="BN14" s="910">
        <v>3503.26166609762</v>
      </c>
      <c r="BO14" s="910">
        <v>2020.8992741135958</v>
      </c>
      <c r="BP14" s="910">
        <v>2185.5291602614334</v>
      </c>
      <c r="BQ14" s="910">
        <v>2698.4333004596588</v>
      </c>
      <c r="BR14" s="910">
        <v>3118.737442921411</v>
      </c>
      <c r="BS14" s="906">
        <v>1521</v>
      </c>
      <c r="BT14" s="907">
        <v>2172.6250063954931</v>
      </c>
      <c r="BU14" s="911">
        <f t="shared" si="2"/>
        <v>0.42841880762359841</v>
      </c>
      <c r="BV14" s="916"/>
      <c r="CB14" s="902"/>
    </row>
    <row r="15" spans="1:80" ht="16.5" customHeight="1">
      <c r="A15" s="792"/>
      <c r="B15" s="903" t="s">
        <v>821</v>
      </c>
      <c r="C15" s="904">
        <v>102</v>
      </c>
      <c r="D15" s="904">
        <v>113</v>
      </c>
      <c r="E15" s="904">
        <v>136</v>
      </c>
      <c r="F15" s="904">
        <v>137</v>
      </c>
      <c r="G15" s="904">
        <v>152</v>
      </c>
      <c r="H15" s="904">
        <v>165</v>
      </c>
      <c r="I15" s="904">
        <v>169</v>
      </c>
      <c r="J15" s="904">
        <v>117</v>
      </c>
      <c r="K15" s="904">
        <v>162</v>
      </c>
      <c r="L15" s="904">
        <v>176</v>
      </c>
      <c r="M15" s="905">
        <v>126</v>
      </c>
      <c r="N15" s="905">
        <v>164</v>
      </c>
      <c r="O15" s="905">
        <v>187</v>
      </c>
      <c r="P15" s="905">
        <v>169</v>
      </c>
      <c r="Q15" s="905">
        <v>194</v>
      </c>
      <c r="R15" s="905">
        <v>176</v>
      </c>
      <c r="S15" s="905">
        <v>200</v>
      </c>
      <c r="T15" s="905">
        <v>226</v>
      </c>
      <c r="U15" s="905">
        <v>240.96694197610498</v>
      </c>
      <c r="V15" s="905">
        <v>244.03305802389502</v>
      </c>
      <c r="W15" s="905">
        <v>242</v>
      </c>
      <c r="X15" s="905">
        <v>253</v>
      </c>
      <c r="Y15" s="905">
        <v>264</v>
      </c>
      <c r="Z15" s="905">
        <v>410</v>
      </c>
      <c r="AA15" s="905">
        <v>196</v>
      </c>
      <c r="AB15" s="905">
        <v>469</v>
      </c>
      <c r="AC15" s="905">
        <v>251</v>
      </c>
      <c r="AD15" s="905">
        <v>-332</v>
      </c>
      <c r="AE15" s="905">
        <v>368</v>
      </c>
      <c r="AF15" s="905">
        <v>322.34454191725951</v>
      </c>
      <c r="AG15" s="905">
        <v>399.44076060716066</v>
      </c>
      <c r="AH15" s="905">
        <v>612.21711161404983</v>
      </c>
      <c r="AI15" s="905">
        <v>517.23438541719497</v>
      </c>
      <c r="AJ15" s="905">
        <v>501.57169374366504</v>
      </c>
      <c r="AK15" s="905">
        <v>477.24614419383897</v>
      </c>
      <c r="AL15" s="905">
        <v>123.52057202816741</v>
      </c>
      <c r="AM15" s="905">
        <v>697.72827318644204</v>
      </c>
      <c r="AN15" s="905">
        <v>288.89442486480993</v>
      </c>
      <c r="AO15" s="906">
        <v>594.24910841425401</v>
      </c>
      <c r="AP15" s="906">
        <v>105</v>
      </c>
      <c r="AQ15" s="906">
        <v>563.42576464898605</v>
      </c>
      <c r="AR15" s="906">
        <v>526.67223074304195</v>
      </c>
      <c r="AS15" s="906">
        <v>468.41110979010398</v>
      </c>
      <c r="AT15" s="906">
        <v>830.66862496960596</v>
      </c>
      <c r="AU15" s="906">
        <v>726</v>
      </c>
      <c r="AV15" s="906">
        <v>852</v>
      </c>
      <c r="AW15" s="906">
        <v>440</v>
      </c>
      <c r="AX15" s="906">
        <v>755.92899239497297</v>
      </c>
      <c r="AY15" s="906">
        <v>1385.7164317322799</v>
      </c>
      <c r="AZ15" s="907">
        <v>2597.5103913571402</v>
      </c>
      <c r="BA15" s="908">
        <f t="shared" si="0"/>
        <v>0.87448913202970413</v>
      </c>
      <c r="BB15" s="908">
        <f t="shared" si="1"/>
        <v>2.0487211166163619</v>
      </c>
      <c r="BC15" s="909"/>
      <c r="BD15" s="910">
        <v>331</v>
      </c>
      <c r="BE15" s="910">
        <v>468</v>
      </c>
      <c r="BF15" s="910">
        <v>252</v>
      </c>
      <c r="BG15" s="910">
        <v>488</v>
      </c>
      <c r="BH15" s="910">
        <v>603</v>
      </c>
      <c r="BI15" s="910">
        <v>628</v>
      </c>
      <c r="BJ15" s="910">
        <v>726</v>
      </c>
      <c r="BK15" s="910">
        <v>911</v>
      </c>
      <c r="BL15" s="910">
        <v>1169</v>
      </c>
      <c r="BM15" s="910">
        <v>584</v>
      </c>
      <c r="BN15" s="910">
        <v>1702.0024141384699</v>
      </c>
      <c r="BO15" s="910">
        <v>1619.5727953828664</v>
      </c>
      <c r="BP15" s="910">
        <v>1685.8718064655059</v>
      </c>
      <c r="BQ15" s="910">
        <v>2389.1777301517377</v>
      </c>
      <c r="BR15" s="910">
        <v>2508.9289923949727</v>
      </c>
      <c r="BS15" s="906">
        <v>1578</v>
      </c>
      <c r="BT15" s="907">
        <v>3983.2268230894201</v>
      </c>
      <c r="BU15" s="911">
        <f t="shared" si="2"/>
        <v>1.5242248562036882</v>
      </c>
      <c r="BV15" s="916"/>
      <c r="CB15" s="902"/>
    </row>
    <row r="16" spans="1:80" ht="16.5" customHeight="1">
      <c r="A16" s="850"/>
      <c r="B16" s="917" t="s">
        <v>758</v>
      </c>
      <c r="C16" s="918">
        <v>131</v>
      </c>
      <c r="D16" s="918">
        <v>8</v>
      </c>
      <c r="E16" s="918">
        <v>65</v>
      </c>
      <c r="F16" s="918">
        <v>39</v>
      </c>
      <c r="G16" s="918">
        <v>208</v>
      </c>
      <c r="H16" s="918">
        <v>415</v>
      </c>
      <c r="I16" s="918">
        <v>174</v>
      </c>
      <c r="J16" s="918">
        <v>20</v>
      </c>
      <c r="K16" s="918">
        <v>94</v>
      </c>
      <c r="L16" s="918">
        <v>102</v>
      </c>
      <c r="M16" s="919">
        <v>153</v>
      </c>
      <c r="N16" s="919">
        <v>183</v>
      </c>
      <c r="O16" s="919">
        <v>83</v>
      </c>
      <c r="P16" s="919">
        <v>90</v>
      </c>
      <c r="Q16" s="919">
        <v>61</v>
      </c>
      <c r="R16" s="919">
        <v>192</v>
      </c>
      <c r="S16" s="919">
        <v>169</v>
      </c>
      <c r="T16" s="919">
        <v>-45</v>
      </c>
      <c r="U16" s="919">
        <v>321.34532993334898</v>
      </c>
      <c r="V16" s="919">
        <v>-32.345329933348978</v>
      </c>
      <c r="W16" s="919">
        <v>101</v>
      </c>
      <c r="X16" s="919">
        <v>1574</v>
      </c>
      <c r="Y16" s="919">
        <v>-141</v>
      </c>
      <c r="Z16" s="919">
        <v>585</v>
      </c>
      <c r="AA16" s="919">
        <v>356</v>
      </c>
      <c r="AB16" s="919">
        <v>113</v>
      </c>
      <c r="AC16" s="919">
        <v>-1</v>
      </c>
      <c r="AD16" s="919">
        <v>632</v>
      </c>
      <c r="AE16" s="919">
        <v>238</v>
      </c>
      <c r="AF16" s="919">
        <v>294.94149759542472</v>
      </c>
      <c r="AG16" s="919">
        <v>438.70237073384726</v>
      </c>
      <c r="AH16" s="919">
        <v>1079.2974935114082</v>
      </c>
      <c r="AI16" s="919">
        <v>872.49879027850295</v>
      </c>
      <c r="AJ16" s="919">
        <v>443.60917889649716</v>
      </c>
      <c r="AK16" s="919">
        <v>800.90418241877978</v>
      </c>
      <c r="AL16" s="919">
        <v>3468.3829810900515</v>
      </c>
      <c r="AM16" s="919">
        <v>287.01188156892101</v>
      </c>
      <c r="AN16" s="919">
        <v>798.8037205803538</v>
      </c>
      <c r="AO16" s="920">
        <v>1103.7041769352199</v>
      </c>
      <c r="AP16" s="920">
        <v>833</v>
      </c>
      <c r="AQ16" s="920">
        <v>1101.0461284883741</v>
      </c>
      <c r="AR16" s="920">
        <v>650.48106037571324</v>
      </c>
      <c r="AS16" s="920">
        <v>827.43964329734899</v>
      </c>
      <c r="AT16" s="920">
        <v>482.34638157952895</v>
      </c>
      <c r="AU16" s="920">
        <v>929</v>
      </c>
      <c r="AV16" s="920">
        <v>1315</v>
      </c>
      <c r="AW16" s="920">
        <v>215</v>
      </c>
      <c r="AX16" s="920">
        <v>489.27484983372597</v>
      </c>
      <c r="AY16" s="920">
        <v>1989.1155864547054</v>
      </c>
      <c r="AZ16" s="921">
        <v>527.57021020201864</v>
      </c>
      <c r="BA16" s="922">
        <f t="shared" si="0"/>
        <v>-0.7347714663770083</v>
      </c>
      <c r="BB16" s="922">
        <f t="shared" si="1"/>
        <v>-0.59880592380074626</v>
      </c>
      <c r="BC16" s="923"/>
      <c r="BD16" s="924">
        <v>184</v>
      </c>
      <c r="BE16" s="924">
        <v>150</v>
      </c>
      <c r="BF16" s="924">
        <v>27</v>
      </c>
      <c r="BG16" s="924">
        <v>243</v>
      </c>
      <c r="BH16" s="924">
        <v>817</v>
      </c>
      <c r="BI16" s="924">
        <v>532</v>
      </c>
      <c r="BJ16" s="924">
        <v>426</v>
      </c>
      <c r="BK16" s="924">
        <v>414</v>
      </c>
      <c r="BL16" s="924">
        <v>2119</v>
      </c>
      <c r="BM16" s="924">
        <v>1100</v>
      </c>
      <c r="BN16" s="924">
        <v>2050.9413618406802</v>
      </c>
      <c r="BO16" s="924">
        <v>5585.3951326838314</v>
      </c>
      <c r="BP16" s="924">
        <v>3022.519779084495</v>
      </c>
      <c r="BQ16" s="924">
        <v>3061.3132137409652</v>
      </c>
      <c r="BR16" s="924">
        <v>3323.274849833726</v>
      </c>
      <c r="BS16" s="920">
        <v>2244</v>
      </c>
      <c r="BT16" s="921">
        <v>2516.6857966567241</v>
      </c>
      <c r="BU16" s="925">
        <f t="shared" si="2"/>
        <v>0.12151773469550986</v>
      </c>
      <c r="BV16" s="916"/>
      <c r="CB16" s="902"/>
    </row>
    <row r="17" spans="1:80" ht="16.5" customHeight="1">
      <c r="A17" s="912"/>
      <c r="B17" s="913" t="s">
        <v>822</v>
      </c>
      <c r="C17" s="914">
        <v>619</v>
      </c>
      <c r="D17" s="914">
        <v>593</v>
      </c>
      <c r="E17" s="914">
        <v>643</v>
      </c>
      <c r="F17" s="914">
        <v>606</v>
      </c>
      <c r="G17" s="914">
        <v>1012</v>
      </c>
      <c r="H17" s="914">
        <v>1018</v>
      </c>
      <c r="I17" s="914">
        <v>920</v>
      </c>
      <c r="J17" s="914">
        <v>630</v>
      </c>
      <c r="K17" s="914">
        <v>639</v>
      </c>
      <c r="L17" s="914">
        <v>948</v>
      </c>
      <c r="M17" s="914">
        <v>797</v>
      </c>
      <c r="N17" s="914">
        <v>801</v>
      </c>
      <c r="O17" s="914">
        <v>871</v>
      </c>
      <c r="P17" s="914">
        <v>1115</v>
      </c>
      <c r="Q17" s="914">
        <v>821</v>
      </c>
      <c r="R17" s="914">
        <v>911</v>
      </c>
      <c r="S17" s="914">
        <v>948</v>
      </c>
      <c r="T17" s="914">
        <v>974</v>
      </c>
      <c r="U17" s="914">
        <v>1148</v>
      </c>
      <c r="V17" s="914">
        <v>1303</v>
      </c>
      <c r="W17" s="914">
        <v>963</v>
      </c>
      <c r="X17" s="914">
        <v>1271</v>
      </c>
      <c r="Y17" s="914">
        <v>949</v>
      </c>
      <c r="Z17" s="914">
        <v>1047</v>
      </c>
      <c r="AA17" s="914">
        <v>1453</v>
      </c>
      <c r="AB17" s="914">
        <v>1382</v>
      </c>
      <c r="AC17" s="914">
        <v>1425</v>
      </c>
      <c r="AD17" s="914">
        <v>1118</v>
      </c>
      <c r="AE17" s="914">
        <v>1651</v>
      </c>
      <c r="AF17" s="914">
        <v>2184</v>
      </c>
      <c r="AG17" s="914">
        <v>1770</v>
      </c>
      <c r="AH17" s="914">
        <v>1321</v>
      </c>
      <c r="AI17" s="914">
        <v>2145</v>
      </c>
      <c r="AJ17" s="914">
        <v>1262</v>
      </c>
      <c r="AK17" s="914">
        <v>1797</v>
      </c>
      <c r="AL17" s="914">
        <v>1334</v>
      </c>
      <c r="AM17" s="914">
        <v>1275</v>
      </c>
      <c r="AN17" s="914">
        <v>1759</v>
      </c>
      <c r="AO17" s="890">
        <v>1387</v>
      </c>
      <c r="AP17" s="890">
        <v>567</v>
      </c>
      <c r="AQ17" s="890">
        <v>1459.7298134600001</v>
      </c>
      <c r="AR17" s="890">
        <v>1718.6612315899999</v>
      </c>
      <c r="AS17" s="890">
        <v>1758.4204930599999</v>
      </c>
      <c r="AT17" s="890">
        <v>1000.9875364</v>
      </c>
      <c r="AU17" s="890">
        <v>1715</v>
      </c>
      <c r="AV17" s="890">
        <v>2126</v>
      </c>
      <c r="AW17" s="890">
        <v>1945.7717453099999</v>
      </c>
      <c r="AX17" s="890">
        <v>2491.6149407100002</v>
      </c>
      <c r="AY17" s="890">
        <v>2505.8613048399998</v>
      </c>
      <c r="AZ17" s="891">
        <v>2723.2685566300001</v>
      </c>
      <c r="BA17" s="915">
        <f t="shared" si="0"/>
        <v>8.6759491185758986E-2</v>
      </c>
      <c r="BB17" s="915">
        <f t="shared" si="1"/>
        <v>0.28093535119002833</v>
      </c>
      <c r="BC17" s="888"/>
      <c r="BD17" s="889">
        <v>1836</v>
      </c>
      <c r="BE17" s="889">
        <v>1960</v>
      </c>
      <c r="BF17" s="889">
        <v>1503</v>
      </c>
      <c r="BG17" s="889">
        <v>2461</v>
      </c>
      <c r="BH17" s="889">
        <v>3580</v>
      </c>
      <c r="BI17" s="889">
        <v>3185</v>
      </c>
      <c r="BJ17" s="889">
        <v>3718</v>
      </c>
      <c r="BK17" s="889">
        <v>4373</v>
      </c>
      <c r="BL17" s="889">
        <v>4230</v>
      </c>
      <c r="BM17" s="889">
        <v>5378</v>
      </c>
      <c r="BN17" s="889">
        <v>6926</v>
      </c>
      <c r="BO17" s="889">
        <v>6538</v>
      </c>
      <c r="BP17" s="889">
        <v>4988</v>
      </c>
      <c r="BQ17" s="889">
        <v>5938</v>
      </c>
      <c r="BR17" s="889">
        <v>8278.3866860199996</v>
      </c>
      <c r="BS17" s="890">
        <v>3841</v>
      </c>
      <c r="BT17" s="891">
        <v>5229.1298614699999</v>
      </c>
      <c r="BU17" s="892">
        <f t="shared" si="2"/>
        <v>0.36139803735225207</v>
      </c>
    </row>
    <row r="18" spans="1:80" ht="16.5" customHeight="1">
      <c r="A18" s="792"/>
      <c r="B18" s="893" t="s">
        <v>823</v>
      </c>
      <c r="C18" s="894">
        <v>399</v>
      </c>
      <c r="D18" s="894">
        <v>392</v>
      </c>
      <c r="E18" s="894">
        <v>445</v>
      </c>
      <c r="F18" s="894">
        <v>385</v>
      </c>
      <c r="G18" s="894">
        <v>803</v>
      </c>
      <c r="H18" s="894">
        <v>782</v>
      </c>
      <c r="I18" s="894">
        <v>650</v>
      </c>
      <c r="J18" s="894">
        <v>364</v>
      </c>
      <c r="K18" s="894">
        <v>373</v>
      </c>
      <c r="L18" s="894">
        <v>628</v>
      </c>
      <c r="M18" s="895">
        <v>527</v>
      </c>
      <c r="N18" s="895">
        <v>524</v>
      </c>
      <c r="O18" s="895">
        <v>579</v>
      </c>
      <c r="P18" s="895">
        <v>809</v>
      </c>
      <c r="Q18" s="895">
        <v>512</v>
      </c>
      <c r="R18" s="895">
        <v>595</v>
      </c>
      <c r="S18" s="895">
        <v>644</v>
      </c>
      <c r="T18" s="895">
        <v>631</v>
      </c>
      <c r="U18" s="895">
        <v>831</v>
      </c>
      <c r="V18" s="895">
        <v>898</v>
      </c>
      <c r="W18" s="895">
        <v>619</v>
      </c>
      <c r="X18" s="895">
        <v>874</v>
      </c>
      <c r="Y18" s="895">
        <v>602</v>
      </c>
      <c r="Z18" s="895">
        <v>630</v>
      </c>
      <c r="AA18" s="895">
        <v>1049</v>
      </c>
      <c r="AB18" s="895">
        <v>948</v>
      </c>
      <c r="AC18" s="895">
        <v>1007</v>
      </c>
      <c r="AD18" s="895">
        <v>585</v>
      </c>
      <c r="AE18" s="895">
        <v>1208</v>
      </c>
      <c r="AF18" s="895">
        <v>1668</v>
      </c>
      <c r="AG18" s="895">
        <v>1277</v>
      </c>
      <c r="AH18" s="895">
        <v>778</v>
      </c>
      <c r="AI18" s="895">
        <v>1669</v>
      </c>
      <c r="AJ18" s="895">
        <v>715</v>
      </c>
      <c r="AK18" s="895">
        <v>1272</v>
      </c>
      <c r="AL18" s="895">
        <v>719</v>
      </c>
      <c r="AM18" s="895">
        <v>743</v>
      </c>
      <c r="AN18" s="895">
        <v>1199</v>
      </c>
      <c r="AO18" s="896">
        <v>833</v>
      </c>
      <c r="AP18" s="896">
        <v>-62</v>
      </c>
      <c r="AQ18" s="896">
        <v>932.79054782000003</v>
      </c>
      <c r="AR18" s="896">
        <v>1193.57145322</v>
      </c>
      <c r="AS18" s="896">
        <v>1207.81179337</v>
      </c>
      <c r="AT18" s="896">
        <v>247.77786141999999</v>
      </c>
      <c r="AU18" s="896">
        <v>1111</v>
      </c>
      <c r="AV18" s="896">
        <v>1502</v>
      </c>
      <c r="AW18" s="896">
        <v>1264.37298777</v>
      </c>
      <c r="AX18" s="896">
        <v>1543.59289588</v>
      </c>
      <c r="AY18" s="896">
        <v>1529.62692896</v>
      </c>
      <c r="AZ18" s="897">
        <v>1497.1831605100001</v>
      </c>
      <c r="BA18" s="898">
        <f t="shared" si="0"/>
        <v>-2.1210249267812342E-2</v>
      </c>
      <c r="BB18" s="898">
        <f t="shared" si="1"/>
        <v>-3.2069503928094933E-3</v>
      </c>
      <c r="BC18" s="899"/>
      <c r="BD18" s="900">
        <v>1031</v>
      </c>
      <c r="BE18" s="900">
        <v>1149</v>
      </c>
      <c r="BF18" s="900">
        <v>851</v>
      </c>
      <c r="BG18" s="900">
        <v>1621</v>
      </c>
      <c r="BH18" s="900">
        <v>2599</v>
      </c>
      <c r="BI18" s="900">
        <v>2052</v>
      </c>
      <c r="BJ18" s="900">
        <v>2495</v>
      </c>
      <c r="BK18" s="900">
        <v>3004</v>
      </c>
      <c r="BL18" s="900">
        <v>2725</v>
      </c>
      <c r="BM18" s="900">
        <v>3589</v>
      </c>
      <c r="BN18" s="900">
        <v>4931</v>
      </c>
      <c r="BO18" s="900">
        <v>4375</v>
      </c>
      <c r="BP18" s="900">
        <v>2713</v>
      </c>
      <c r="BQ18" s="900">
        <v>3583</v>
      </c>
      <c r="BR18" s="900">
        <v>5420.9658836500003</v>
      </c>
      <c r="BS18" s="896">
        <v>2613</v>
      </c>
      <c r="BT18" s="897">
        <v>3026.8100894700001</v>
      </c>
      <c r="BU18" s="901">
        <f t="shared" si="2"/>
        <v>0.15836589723306549</v>
      </c>
      <c r="CB18" s="902"/>
    </row>
    <row r="19" spans="1:80" ht="16.5" customHeight="1">
      <c r="A19" s="792"/>
      <c r="B19" s="903" t="s">
        <v>824</v>
      </c>
      <c r="C19" s="904">
        <v>187</v>
      </c>
      <c r="D19" s="904">
        <v>170</v>
      </c>
      <c r="E19" s="904">
        <v>168</v>
      </c>
      <c r="F19" s="904">
        <v>192</v>
      </c>
      <c r="G19" s="904">
        <v>179</v>
      </c>
      <c r="H19" s="904">
        <v>212</v>
      </c>
      <c r="I19" s="904">
        <v>237</v>
      </c>
      <c r="J19" s="904">
        <v>234</v>
      </c>
      <c r="K19" s="904">
        <v>234</v>
      </c>
      <c r="L19" s="904">
        <v>288</v>
      </c>
      <c r="M19" s="905">
        <v>237</v>
      </c>
      <c r="N19" s="905">
        <v>244</v>
      </c>
      <c r="O19" s="905">
        <v>259</v>
      </c>
      <c r="P19" s="905">
        <v>273</v>
      </c>
      <c r="Q19" s="905">
        <v>284</v>
      </c>
      <c r="R19" s="905">
        <v>294</v>
      </c>
      <c r="S19" s="905">
        <v>282</v>
      </c>
      <c r="T19" s="905">
        <v>322</v>
      </c>
      <c r="U19" s="905">
        <v>297</v>
      </c>
      <c r="V19" s="905">
        <v>384</v>
      </c>
      <c r="W19" s="905">
        <v>305</v>
      </c>
      <c r="X19" s="905">
        <v>360</v>
      </c>
      <c r="Y19" s="905">
        <v>307</v>
      </c>
      <c r="Z19" s="905">
        <v>377</v>
      </c>
      <c r="AA19" s="905">
        <v>364</v>
      </c>
      <c r="AB19" s="905">
        <v>394</v>
      </c>
      <c r="AC19" s="905">
        <v>381</v>
      </c>
      <c r="AD19" s="905">
        <v>487</v>
      </c>
      <c r="AE19" s="905">
        <v>400</v>
      </c>
      <c r="AF19" s="905">
        <v>473</v>
      </c>
      <c r="AG19" s="905">
        <v>449</v>
      </c>
      <c r="AH19" s="905">
        <v>499</v>
      </c>
      <c r="AI19" s="905">
        <v>432</v>
      </c>
      <c r="AJ19" s="905">
        <v>500</v>
      </c>
      <c r="AK19" s="905">
        <v>478</v>
      </c>
      <c r="AL19" s="905">
        <v>568</v>
      </c>
      <c r="AM19" s="905">
        <v>484</v>
      </c>
      <c r="AN19" s="905">
        <v>514</v>
      </c>
      <c r="AO19" s="906">
        <v>511</v>
      </c>
      <c r="AP19" s="906">
        <v>588</v>
      </c>
      <c r="AQ19" s="906">
        <v>485.71544075000003</v>
      </c>
      <c r="AR19" s="906">
        <v>485.50383323999995</v>
      </c>
      <c r="AS19" s="906">
        <v>510.84702058999989</v>
      </c>
      <c r="AT19" s="906">
        <v>715.58271767999997</v>
      </c>
      <c r="AU19" s="906">
        <v>557</v>
      </c>
      <c r="AV19" s="906">
        <v>575</v>
      </c>
      <c r="AW19" s="906">
        <v>630.79788799999994</v>
      </c>
      <c r="AX19" s="906">
        <v>893.77395227000011</v>
      </c>
      <c r="AY19" s="906">
        <v>914.5130624699998</v>
      </c>
      <c r="AZ19" s="907">
        <v>1154.3868723099999</v>
      </c>
      <c r="BA19" s="908">
        <f t="shared" si="0"/>
        <v>0.2622967562564138</v>
      </c>
      <c r="BB19" s="908">
        <f t="shared" si="1"/>
        <v>1.0076293431478258</v>
      </c>
      <c r="BC19" s="909"/>
      <c r="BD19" s="910">
        <v>743</v>
      </c>
      <c r="BE19" s="910">
        <v>752</v>
      </c>
      <c r="BF19" s="910">
        <v>612</v>
      </c>
      <c r="BG19" s="910">
        <v>717</v>
      </c>
      <c r="BH19" s="910">
        <v>862</v>
      </c>
      <c r="BI19" s="910">
        <v>1003</v>
      </c>
      <c r="BJ19" s="910">
        <v>1110</v>
      </c>
      <c r="BK19" s="910">
        <v>1285</v>
      </c>
      <c r="BL19" s="910">
        <v>1349</v>
      </c>
      <c r="BM19" s="910">
        <v>1626</v>
      </c>
      <c r="BN19" s="910">
        <v>1821</v>
      </c>
      <c r="BO19" s="910">
        <v>1978</v>
      </c>
      <c r="BP19" s="910">
        <v>2097</v>
      </c>
      <c r="BQ19" s="910">
        <v>2197</v>
      </c>
      <c r="BR19" s="910">
        <v>2656.5718402700004</v>
      </c>
      <c r="BS19" s="906">
        <v>1132</v>
      </c>
      <c r="BT19" s="907">
        <v>2068.89993478</v>
      </c>
      <c r="BU19" s="911">
        <f t="shared" si="2"/>
        <v>0.82765011906360431</v>
      </c>
      <c r="CB19" s="902"/>
    </row>
    <row r="20" spans="1:80" ht="16.5" customHeight="1">
      <c r="A20" s="850"/>
      <c r="B20" s="917" t="s">
        <v>825</v>
      </c>
      <c r="C20" s="918">
        <v>33</v>
      </c>
      <c r="D20" s="918">
        <v>31</v>
      </c>
      <c r="E20" s="918">
        <v>30</v>
      </c>
      <c r="F20" s="918">
        <v>29</v>
      </c>
      <c r="G20" s="918">
        <v>30</v>
      </c>
      <c r="H20" s="918">
        <v>24</v>
      </c>
      <c r="I20" s="918">
        <v>33</v>
      </c>
      <c r="J20" s="918">
        <v>32</v>
      </c>
      <c r="K20" s="918">
        <v>32</v>
      </c>
      <c r="L20" s="918">
        <v>32</v>
      </c>
      <c r="M20" s="919">
        <v>33</v>
      </c>
      <c r="N20" s="919">
        <v>33</v>
      </c>
      <c r="O20" s="919">
        <v>33</v>
      </c>
      <c r="P20" s="919">
        <v>33</v>
      </c>
      <c r="Q20" s="919">
        <v>25</v>
      </c>
      <c r="R20" s="919">
        <v>22</v>
      </c>
      <c r="S20" s="919">
        <v>22</v>
      </c>
      <c r="T20" s="919">
        <v>21</v>
      </c>
      <c r="U20" s="919">
        <v>20</v>
      </c>
      <c r="V20" s="919">
        <v>21</v>
      </c>
      <c r="W20" s="919">
        <v>39</v>
      </c>
      <c r="X20" s="919">
        <v>37</v>
      </c>
      <c r="Y20" s="919">
        <v>40</v>
      </c>
      <c r="Z20" s="919">
        <v>40</v>
      </c>
      <c r="AA20" s="919">
        <v>40</v>
      </c>
      <c r="AB20" s="919">
        <v>40</v>
      </c>
      <c r="AC20" s="919">
        <v>37</v>
      </c>
      <c r="AD20" s="919">
        <v>46</v>
      </c>
      <c r="AE20" s="919">
        <v>43</v>
      </c>
      <c r="AF20" s="919">
        <v>43</v>
      </c>
      <c r="AG20" s="919">
        <v>44</v>
      </c>
      <c r="AH20" s="919">
        <v>44</v>
      </c>
      <c r="AI20" s="919">
        <v>44</v>
      </c>
      <c r="AJ20" s="919">
        <v>47</v>
      </c>
      <c r="AK20" s="919">
        <v>47</v>
      </c>
      <c r="AL20" s="919">
        <v>47</v>
      </c>
      <c r="AM20" s="919">
        <v>48</v>
      </c>
      <c r="AN20" s="919">
        <v>46</v>
      </c>
      <c r="AO20" s="920">
        <v>43</v>
      </c>
      <c r="AP20" s="920">
        <v>41</v>
      </c>
      <c r="AQ20" s="920">
        <v>41.223824890000003</v>
      </c>
      <c r="AR20" s="920">
        <v>39.585945129999999</v>
      </c>
      <c r="AS20" s="920">
        <v>39.761679100000002</v>
      </c>
      <c r="AT20" s="920">
        <v>37.626957300000001</v>
      </c>
      <c r="AU20" s="920">
        <v>47</v>
      </c>
      <c r="AV20" s="920">
        <v>49</v>
      </c>
      <c r="AW20" s="920">
        <v>50.600869540000005</v>
      </c>
      <c r="AX20" s="920">
        <v>54.248092560000003</v>
      </c>
      <c r="AY20" s="920">
        <v>61.72131341</v>
      </c>
      <c r="AZ20" s="921">
        <v>71.698523809999998</v>
      </c>
      <c r="BA20" s="922">
        <f t="shared" si="0"/>
        <v>0.16164935333964392</v>
      </c>
      <c r="BB20" s="922">
        <f t="shared" si="1"/>
        <v>0.46323517979591822</v>
      </c>
      <c r="BC20" s="923"/>
      <c r="BD20" s="924">
        <v>62</v>
      </c>
      <c r="BE20" s="924">
        <v>59</v>
      </c>
      <c r="BF20" s="924">
        <v>40</v>
      </c>
      <c r="BG20" s="924">
        <v>123</v>
      </c>
      <c r="BH20" s="924">
        <v>119</v>
      </c>
      <c r="BI20" s="924">
        <v>130</v>
      </c>
      <c r="BJ20" s="924">
        <v>113</v>
      </c>
      <c r="BK20" s="924">
        <v>84</v>
      </c>
      <c r="BL20" s="924">
        <v>156</v>
      </c>
      <c r="BM20" s="924">
        <v>163</v>
      </c>
      <c r="BN20" s="924">
        <v>174</v>
      </c>
      <c r="BO20" s="924">
        <v>185</v>
      </c>
      <c r="BP20" s="924">
        <v>178</v>
      </c>
      <c r="BQ20" s="924">
        <v>158</v>
      </c>
      <c r="BR20" s="924">
        <v>200.84896210000002</v>
      </c>
      <c r="BS20" s="920">
        <v>96</v>
      </c>
      <c r="BT20" s="921">
        <v>133.41983722000001</v>
      </c>
      <c r="BU20" s="925">
        <f t="shared" si="2"/>
        <v>0.38978997104166679</v>
      </c>
      <c r="CB20" s="902"/>
    </row>
    <row r="21" spans="1:80" s="823" customFormat="1" ht="16.5" customHeight="1">
      <c r="A21" s="912"/>
      <c r="B21" s="913" t="s">
        <v>826</v>
      </c>
      <c r="C21" s="926">
        <v>356</v>
      </c>
      <c r="D21" s="926">
        <v>457</v>
      </c>
      <c r="E21" s="926">
        <v>408</v>
      </c>
      <c r="F21" s="926">
        <v>430</v>
      </c>
      <c r="G21" s="926">
        <v>442</v>
      </c>
      <c r="H21" s="926">
        <v>1350</v>
      </c>
      <c r="I21" s="926">
        <v>1003</v>
      </c>
      <c r="J21" s="926">
        <v>776</v>
      </c>
      <c r="K21" s="926">
        <v>695</v>
      </c>
      <c r="L21" s="926">
        <v>1093</v>
      </c>
      <c r="M21" s="926">
        <v>828</v>
      </c>
      <c r="N21" s="926">
        <v>669</v>
      </c>
      <c r="O21" s="926">
        <v>1003</v>
      </c>
      <c r="P21" s="926">
        <v>1027</v>
      </c>
      <c r="Q21" s="926">
        <v>951</v>
      </c>
      <c r="R21" s="926">
        <v>929</v>
      </c>
      <c r="S21" s="926">
        <v>1132</v>
      </c>
      <c r="T21" s="926">
        <v>1064</v>
      </c>
      <c r="U21" s="926">
        <v>1324</v>
      </c>
      <c r="V21" s="926">
        <v>1188</v>
      </c>
      <c r="W21" s="926">
        <v>1526</v>
      </c>
      <c r="X21" s="926">
        <v>2688</v>
      </c>
      <c r="Y21" s="926">
        <v>1004</v>
      </c>
      <c r="Z21" s="926">
        <v>2011</v>
      </c>
      <c r="AA21" s="926">
        <v>1180</v>
      </c>
      <c r="AB21" s="926">
        <v>1950</v>
      </c>
      <c r="AC21" s="926">
        <v>1483</v>
      </c>
      <c r="AD21" s="926">
        <v>1910</v>
      </c>
      <c r="AE21" s="926">
        <v>2243</v>
      </c>
      <c r="AF21" s="926">
        <v>2022</v>
      </c>
      <c r="AG21" s="926">
        <v>1933</v>
      </c>
      <c r="AH21" s="926">
        <v>2408</v>
      </c>
      <c r="AI21" s="926">
        <v>2718</v>
      </c>
      <c r="AJ21" s="926">
        <v>1824</v>
      </c>
      <c r="AK21" s="926">
        <v>1910</v>
      </c>
      <c r="AL21" s="926">
        <v>3802</v>
      </c>
      <c r="AM21" s="926">
        <v>1861</v>
      </c>
      <c r="AN21" s="926">
        <v>1424</v>
      </c>
      <c r="AO21" s="927">
        <v>1499</v>
      </c>
      <c r="AP21" s="927">
        <v>1392</v>
      </c>
      <c r="AQ21" s="927">
        <v>2420.0708165800002</v>
      </c>
      <c r="AR21" s="927">
        <v>2542.0585533499998</v>
      </c>
      <c r="AS21" s="927">
        <v>1648.3916239600001</v>
      </c>
      <c r="AT21" s="927">
        <v>2554.4917906999999</v>
      </c>
      <c r="AU21" s="927">
        <v>2818.6587340900001</v>
      </c>
      <c r="AV21" s="927">
        <v>2684.9825518799998</v>
      </c>
      <c r="AW21" s="927">
        <v>2047.65371284</v>
      </c>
      <c r="AX21" s="927">
        <v>1674.49809338</v>
      </c>
      <c r="AY21" s="927">
        <v>3624.2073107900001</v>
      </c>
      <c r="AZ21" s="928">
        <v>2863.30458163</v>
      </c>
      <c r="BA21" s="929">
        <f t="shared" si="0"/>
        <v>-0.20995011154429222</v>
      </c>
      <c r="BB21" s="929">
        <f t="shared" si="1"/>
        <v>6.6414595366789619E-2</v>
      </c>
      <c r="BC21" s="930"/>
      <c r="BD21" s="931">
        <v>702</v>
      </c>
      <c r="BE21" s="931">
        <v>815</v>
      </c>
      <c r="BF21" s="931">
        <v>671</v>
      </c>
      <c r="BG21" s="931">
        <v>1651</v>
      </c>
      <c r="BH21" s="931">
        <v>3571</v>
      </c>
      <c r="BI21" s="931">
        <v>3285</v>
      </c>
      <c r="BJ21" s="931">
        <v>3910</v>
      </c>
      <c r="BK21" s="931">
        <v>4709</v>
      </c>
      <c r="BL21" s="931">
        <v>7229</v>
      </c>
      <c r="BM21" s="932">
        <v>6523</v>
      </c>
      <c r="BN21" s="932">
        <v>8606</v>
      </c>
      <c r="BO21" s="932">
        <v>10254</v>
      </c>
      <c r="BP21" s="932">
        <v>6176</v>
      </c>
      <c r="BQ21" s="932">
        <v>9165</v>
      </c>
      <c r="BR21" s="932">
        <v>9225.7930921899988</v>
      </c>
      <c r="BS21" s="927">
        <v>5503.6412859699994</v>
      </c>
      <c r="BT21" s="891">
        <v>6487.5118924199996</v>
      </c>
      <c r="BU21" s="933">
        <f t="shared" si="2"/>
        <v>0.17876721162007847</v>
      </c>
    </row>
    <row r="22" spans="1:80" ht="16.5" customHeight="1">
      <c r="A22" s="792"/>
      <c r="B22" s="934" t="s">
        <v>827</v>
      </c>
      <c r="C22" s="935">
        <v>-6</v>
      </c>
      <c r="D22" s="935">
        <v>-6</v>
      </c>
      <c r="E22" s="935">
        <v>4</v>
      </c>
      <c r="F22" s="935">
        <v>8</v>
      </c>
      <c r="G22" s="935">
        <v>231</v>
      </c>
      <c r="H22" s="935">
        <v>-39</v>
      </c>
      <c r="I22" s="935">
        <v>105</v>
      </c>
      <c r="J22" s="935">
        <v>30</v>
      </c>
      <c r="K22" s="935">
        <v>3</v>
      </c>
      <c r="L22" s="935">
        <v>10</v>
      </c>
      <c r="M22" s="936">
        <v>5</v>
      </c>
      <c r="N22" s="936">
        <v>12</v>
      </c>
      <c r="O22" s="936">
        <v>31</v>
      </c>
      <c r="P22" s="936">
        <v>14</v>
      </c>
      <c r="Q22" s="936">
        <v>8</v>
      </c>
      <c r="R22" s="936">
        <v>-8</v>
      </c>
      <c r="S22" s="936">
        <v>-1</v>
      </c>
      <c r="T22" s="936">
        <v>1</v>
      </c>
      <c r="U22" s="936">
        <v>-3</v>
      </c>
      <c r="V22" s="936">
        <v>66</v>
      </c>
      <c r="W22" s="936">
        <v>138</v>
      </c>
      <c r="X22" s="936">
        <v>266</v>
      </c>
      <c r="Y22" s="936">
        <v>195</v>
      </c>
      <c r="Z22" s="936">
        <v>-57</v>
      </c>
      <c r="AA22" s="936">
        <v>-183</v>
      </c>
      <c r="AB22" s="936">
        <v>-184</v>
      </c>
      <c r="AC22" s="936">
        <v>107</v>
      </c>
      <c r="AD22" s="936">
        <v>-503</v>
      </c>
      <c r="AE22" s="936">
        <v>77</v>
      </c>
      <c r="AF22" s="936">
        <v>30</v>
      </c>
      <c r="AG22" s="936">
        <v>56</v>
      </c>
      <c r="AH22" s="936">
        <v>230</v>
      </c>
      <c r="AI22" s="936">
        <v>-103</v>
      </c>
      <c r="AJ22" s="936">
        <v>8</v>
      </c>
      <c r="AK22" s="936">
        <v>28</v>
      </c>
      <c r="AL22" s="936">
        <v>-300</v>
      </c>
      <c r="AM22" s="936">
        <v>27</v>
      </c>
      <c r="AN22" s="936">
        <v>-100</v>
      </c>
      <c r="AO22" s="937">
        <v>-490</v>
      </c>
      <c r="AP22" s="937">
        <v>-92</v>
      </c>
      <c r="AQ22" s="937">
        <v>-18.667026270000001</v>
      </c>
      <c r="AR22" s="937">
        <v>37.435565889999999</v>
      </c>
      <c r="AS22" s="937">
        <v>-1.84661089</v>
      </c>
      <c r="AT22" s="937">
        <v>-1168.2667882600001</v>
      </c>
      <c r="AU22" s="937">
        <v>-17.146763700000001</v>
      </c>
      <c r="AV22" s="937">
        <v>0.93445175000000003</v>
      </c>
      <c r="AW22" s="937">
        <v>49.731537060000001</v>
      </c>
      <c r="AX22" s="937">
        <v>-648.26056791999997</v>
      </c>
      <c r="AY22" s="937">
        <v>88.955680990000005</v>
      </c>
      <c r="AZ22" s="938">
        <v>1.8153425999999999</v>
      </c>
      <c r="BA22" s="939">
        <f t="shared" si="0"/>
        <v>-0.97959272999996405</v>
      </c>
      <c r="BB22" s="939">
        <f t="shared" si="1"/>
        <v>0.94268200578574546</v>
      </c>
      <c r="BC22" s="940"/>
      <c r="BD22" s="941">
        <v>-6</v>
      </c>
      <c r="BE22" s="941">
        <v>19</v>
      </c>
      <c r="BF22" s="941">
        <v>14</v>
      </c>
      <c r="BG22" s="941">
        <v>0</v>
      </c>
      <c r="BH22" s="941">
        <v>327</v>
      </c>
      <c r="BI22" s="941">
        <v>30</v>
      </c>
      <c r="BJ22" s="941">
        <v>45</v>
      </c>
      <c r="BK22" s="941">
        <v>63</v>
      </c>
      <c r="BL22" s="941">
        <v>542</v>
      </c>
      <c r="BM22" s="942">
        <v>-763</v>
      </c>
      <c r="BN22" s="942">
        <v>393</v>
      </c>
      <c r="BO22" s="942">
        <v>-367</v>
      </c>
      <c r="BP22" s="942">
        <v>-655</v>
      </c>
      <c r="BQ22" s="942">
        <v>-1152</v>
      </c>
      <c r="BR22" s="942">
        <v>-614.74134280999999</v>
      </c>
      <c r="BS22" s="937">
        <v>-16.21231195</v>
      </c>
      <c r="BT22" s="943">
        <v>90.771023589999999</v>
      </c>
      <c r="BU22" s="944" t="s">
        <v>711</v>
      </c>
    </row>
    <row r="23" spans="1:80" ht="16.5" customHeight="1">
      <c r="A23" s="792"/>
      <c r="B23" s="945" t="s">
        <v>828</v>
      </c>
      <c r="C23" s="946">
        <v>350</v>
      </c>
      <c r="D23" s="946">
        <v>451</v>
      </c>
      <c r="E23" s="946">
        <v>412</v>
      </c>
      <c r="F23" s="946">
        <v>438</v>
      </c>
      <c r="G23" s="946">
        <v>673</v>
      </c>
      <c r="H23" s="946">
        <v>1311</v>
      </c>
      <c r="I23" s="946">
        <v>1108</v>
      </c>
      <c r="J23" s="946">
        <v>806</v>
      </c>
      <c r="K23" s="946">
        <v>698</v>
      </c>
      <c r="L23" s="946">
        <v>1103</v>
      </c>
      <c r="M23" s="947">
        <v>833</v>
      </c>
      <c r="N23" s="947">
        <v>681</v>
      </c>
      <c r="O23" s="947">
        <v>1034</v>
      </c>
      <c r="P23" s="947">
        <v>1041</v>
      </c>
      <c r="Q23" s="947">
        <v>959</v>
      </c>
      <c r="R23" s="947">
        <v>921</v>
      </c>
      <c r="S23" s="947">
        <v>1131</v>
      </c>
      <c r="T23" s="947">
        <v>1065</v>
      </c>
      <c r="U23" s="947">
        <v>1321</v>
      </c>
      <c r="V23" s="947">
        <v>1254</v>
      </c>
      <c r="W23" s="947">
        <v>1664</v>
      </c>
      <c r="X23" s="947">
        <v>2954</v>
      </c>
      <c r="Y23" s="947">
        <v>1199</v>
      </c>
      <c r="Z23" s="947">
        <v>1954</v>
      </c>
      <c r="AA23" s="947">
        <v>997</v>
      </c>
      <c r="AB23" s="947">
        <v>1766</v>
      </c>
      <c r="AC23" s="947">
        <v>1590</v>
      </c>
      <c r="AD23" s="947">
        <v>1407</v>
      </c>
      <c r="AE23" s="947">
        <v>2320</v>
      </c>
      <c r="AF23" s="947">
        <v>2052</v>
      </c>
      <c r="AG23" s="947">
        <v>1989</v>
      </c>
      <c r="AH23" s="947">
        <v>2638</v>
      </c>
      <c r="AI23" s="947">
        <v>2615</v>
      </c>
      <c r="AJ23" s="947">
        <v>1832</v>
      </c>
      <c r="AK23" s="947">
        <v>1938</v>
      </c>
      <c r="AL23" s="947">
        <v>3502</v>
      </c>
      <c r="AM23" s="947">
        <v>1887</v>
      </c>
      <c r="AN23" s="947">
        <v>1325</v>
      </c>
      <c r="AO23" s="948">
        <v>1009</v>
      </c>
      <c r="AP23" s="948">
        <v>1300</v>
      </c>
      <c r="AQ23" s="948">
        <v>2401.4037903100002</v>
      </c>
      <c r="AR23" s="948">
        <v>2579.4941192400001</v>
      </c>
      <c r="AS23" s="948">
        <v>1646.5450130700001</v>
      </c>
      <c r="AT23" s="948">
        <v>1386.22500244</v>
      </c>
      <c r="AU23" s="948">
        <v>2801.51197039</v>
      </c>
      <c r="AV23" s="948">
        <v>2685.9170036300002</v>
      </c>
      <c r="AW23" s="948">
        <v>2097.3852499</v>
      </c>
      <c r="AX23" s="948">
        <v>1026.2375254599999</v>
      </c>
      <c r="AY23" s="948">
        <v>3713.1629917800001</v>
      </c>
      <c r="AZ23" s="949">
        <v>2865.1199242299999</v>
      </c>
      <c r="BA23" s="950">
        <f t="shared" si="0"/>
        <v>-0.22838832268536347</v>
      </c>
      <c r="BB23" s="950">
        <f t="shared" si="1"/>
        <v>6.6719455723244003E-2</v>
      </c>
      <c r="BC23" s="951"/>
      <c r="BD23" s="910">
        <v>696</v>
      </c>
      <c r="BE23" s="910">
        <v>834</v>
      </c>
      <c r="BF23" s="910">
        <v>685</v>
      </c>
      <c r="BG23" s="910">
        <v>1651</v>
      </c>
      <c r="BH23" s="910">
        <v>3898</v>
      </c>
      <c r="BI23" s="910">
        <v>3315</v>
      </c>
      <c r="BJ23" s="910">
        <v>3955</v>
      </c>
      <c r="BK23" s="952">
        <v>4772</v>
      </c>
      <c r="BL23" s="952">
        <v>7771</v>
      </c>
      <c r="BM23" s="952">
        <v>5761</v>
      </c>
      <c r="BN23" s="952">
        <v>9000</v>
      </c>
      <c r="BO23" s="952">
        <v>9887</v>
      </c>
      <c r="BP23" s="952">
        <v>5521</v>
      </c>
      <c r="BQ23" s="952">
        <v>8013</v>
      </c>
      <c r="BR23" s="952">
        <v>8611.0517493799998</v>
      </c>
      <c r="BS23" s="948">
        <v>5487.4289740200002</v>
      </c>
      <c r="BT23" s="949">
        <v>6578.28291601</v>
      </c>
      <c r="BU23" s="953">
        <f t="shared" si="2"/>
        <v>0.19879144625918643</v>
      </c>
    </row>
    <row r="24" spans="1:80" s="965" customFormat="1" ht="16.5" customHeight="1">
      <c r="A24" s="954"/>
      <c r="B24" s="955" t="s">
        <v>829</v>
      </c>
      <c r="C24" s="956">
        <v>268</v>
      </c>
      <c r="D24" s="956">
        <v>341</v>
      </c>
      <c r="E24" s="956">
        <v>319</v>
      </c>
      <c r="F24" s="956">
        <v>331</v>
      </c>
      <c r="G24" s="956">
        <v>505</v>
      </c>
      <c r="H24" s="956">
        <v>1062</v>
      </c>
      <c r="I24" s="956">
        <v>839</v>
      </c>
      <c r="J24" s="956">
        <v>563</v>
      </c>
      <c r="K24" s="956">
        <v>507</v>
      </c>
      <c r="L24" s="956">
        <v>834</v>
      </c>
      <c r="M24" s="957">
        <v>626</v>
      </c>
      <c r="N24" s="957">
        <v>563</v>
      </c>
      <c r="O24" s="957">
        <v>789</v>
      </c>
      <c r="P24" s="957">
        <v>786</v>
      </c>
      <c r="Q24" s="957">
        <v>723</v>
      </c>
      <c r="R24" s="957">
        <v>703</v>
      </c>
      <c r="S24" s="957">
        <v>824</v>
      </c>
      <c r="T24" s="957">
        <v>786</v>
      </c>
      <c r="U24" s="957">
        <v>944</v>
      </c>
      <c r="V24" s="957">
        <v>935</v>
      </c>
      <c r="W24" s="957">
        <v>1192</v>
      </c>
      <c r="X24" s="957">
        <v>2460</v>
      </c>
      <c r="Y24" s="957">
        <v>866</v>
      </c>
      <c r="Z24" s="957">
        <v>1439</v>
      </c>
      <c r="AA24" s="957">
        <v>745</v>
      </c>
      <c r="AB24" s="957">
        <v>1286</v>
      </c>
      <c r="AC24" s="957">
        <v>1147</v>
      </c>
      <c r="AD24" s="957">
        <v>1060</v>
      </c>
      <c r="AE24" s="957">
        <v>1694</v>
      </c>
      <c r="AF24" s="957">
        <v>1486</v>
      </c>
      <c r="AG24" s="957">
        <v>1450</v>
      </c>
      <c r="AH24" s="957">
        <v>2186</v>
      </c>
      <c r="AI24" s="957">
        <v>1927</v>
      </c>
      <c r="AJ24" s="957">
        <v>1341</v>
      </c>
      <c r="AK24" s="957">
        <v>1420</v>
      </c>
      <c r="AL24" s="957">
        <v>3003</v>
      </c>
      <c r="AM24" s="957">
        <v>1433</v>
      </c>
      <c r="AN24" s="957">
        <v>1028</v>
      </c>
      <c r="AO24" s="958">
        <v>785</v>
      </c>
      <c r="AP24" s="958">
        <v>996</v>
      </c>
      <c r="AQ24" s="958">
        <v>1997.5198965500001</v>
      </c>
      <c r="AR24" s="958">
        <v>1920.2733121000001</v>
      </c>
      <c r="AS24" s="958">
        <v>1296.1853798899999</v>
      </c>
      <c r="AT24" s="958">
        <v>1087.4925157</v>
      </c>
      <c r="AU24" s="958">
        <v>2307.0080329900002</v>
      </c>
      <c r="AV24" s="958">
        <v>2052.6645675200002</v>
      </c>
      <c r="AW24" s="958">
        <v>1576.54851158</v>
      </c>
      <c r="AX24" s="958">
        <v>1079.3510523</v>
      </c>
      <c r="AY24" s="958">
        <v>3003.7453130700001</v>
      </c>
      <c r="AZ24" s="959">
        <v>2216.1798873299999</v>
      </c>
      <c r="BA24" s="960">
        <f t="shared" si="0"/>
        <v>-0.26219447511515648</v>
      </c>
      <c r="BB24" s="960">
        <f t="shared" si="1"/>
        <v>7.9660029406342092E-2</v>
      </c>
      <c r="BC24" s="961"/>
      <c r="BD24" s="962">
        <v>536</v>
      </c>
      <c r="BE24" s="962">
        <v>625</v>
      </c>
      <c r="BF24" s="962">
        <v>500</v>
      </c>
      <c r="BG24" s="962">
        <v>1259</v>
      </c>
      <c r="BH24" s="962">
        <v>2969</v>
      </c>
      <c r="BI24" s="962">
        <v>2530</v>
      </c>
      <c r="BJ24" s="962">
        <v>3001</v>
      </c>
      <c r="BK24" s="963">
        <v>3489</v>
      </c>
      <c r="BL24" s="963">
        <v>5957</v>
      </c>
      <c r="BM24" s="963">
        <v>4238</v>
      </c>
      <c r="BN24" s="963">
        <v>6817</v>
      </c>
      <c r="BO24" s="963">
        <v>7691</v>
      </c>
      <c r="BP24" s="963">
        <v>4242</v>
      </c>
      <c r="BQ24" s="963">
        <v>6301</v>
      </c>
      <c r="BR24" s="963">
        <v>7015.5721643900015</v>
      </c>
      <c r="BS24" s="958">
        <v>4359.6726005100008</v>
      </c>
      <c r="BT24" s="959">
        <v>5219.9252004</v>
      </c>
      <c r="BU24" s="964">
        <f t="shared" si="2"/>
        <v>0.19732045929076536</v>
      </c>
    </row>
    <row r="25" spans="1:80" s="823" customFormat="1" ht="16.5" customHeight="1">
      <c r="A25" s="912"/>
      <c r="B25" s="913" t="s">
        <v>830</v>
      </c>
      <c r="C25" s="926">
        <v>98355</v>
      </c>
      <c r="D25" s="926">
        <v>103951</v>
      </c>
      <c r="E25" s="926">
        <v>95817</v>
      </c>
      <c r="F25" s="926">
        <v>104664</v>
      </c>
      <c r="G25" s="926">
        <v>113858</v>
      </c>
      <c r="H25" s="926">
        <v>132778</v>
      </c>
      <c r="I25" s="926">
        <v>151945</v>
      </c>
      <c r="J25" s="926">
        <v>128743</v>
      </c>
      <c r="K25" s="926">
        <v>166660</v>
      </c>
      <c r="L25" s="926">
        <v>155399</v>
      </c>
      <c r="M25" s="926">
        <v>172403</v>
      </c>
      <c r="N25" s="926">
        <v>153116</v>
      </c>
      <c r="O25" s="926">
        <v>184808</v>
      </c>
      <c r="P25" s="926">
        <v>178104</v>
      </c>
      <c r="Q25" s="926">
        <v>168536</v>
      </c>
      <c r="R25" s="926">
        <v>179840</v>
      </c>
      <c r="S25" s="926">
        <v>219048</v>
      </c>
      <c r="T25" s="926">
        <v>244952</v>
      </c>
      <c r="U25" s="926">
        <v>248398</v>
      </c>
      <c r="V25" s="926">
        <v>236851</v>
      </c>
      <c r="W25" s="926">
        <v>281800</v>
      </c>
      <c r="X25" s="926">
        <v>290073</v>
      </c>
      <c r="Y25" s="926">
        <v>308991</v>
      </c>
      <c r="Z25" s="926">
        <v>297341</v>
      </c>
      <c r="AA25" s="926">
        <v>314527</v>
      </c>
      <c r="AB25" s="926">
        <v>335488</v>
      </c>
      <c r="AC25" s="926">
        <v>343307</v>
      </c>
      <c r="AD25" s="926">
        <v>353181</v>
      </c>
      <c r="AE25" s="926">
        <v>385930</v>
      </c>
      <c r="AF25" s="926">
        <v>397096</v>
      </c>
      <c r="AG25" s="926">
        <v>407800</v>
      </c>
      <c r="AH25" s="926">
        <v>419526</v>
      </c>
      <c r="AI25" s="926">
        <v>467757</v>
      </c>
      <c r="AJ25" s="926">
        <v>480631</v>
      </c>
      <c r="AK25" s="926">
        <v>483650</v>
      </c>
      <c r="AL25" s="926">
        <v>431886</v>
      </c>
      <c r="AM25" s="926">
        <v>461279</v>
      </c>
      <c r="AN25" s="926">
        <v>465095</v>
      </c>
      <c r="AO25" s="966">
        <v>459418</v>
      </c>
      <c r="AP25" s="966">
        <v>509238</v>
      </c>
      <c r="AQ25" s="966">
        <v>507294.10997240001</v>
      </c>
      <c r="AR25" s="966">
        <v>521716.81981398002</v>
      </c>
      <c r="AS25" s="966">
        <v>561441.22676224995</v>
      </c>
      <c r="AT25" s="966">
        <v>589522.31221242005</v>
      </c>
      <c r="AU25" s="966">
        <v>613358</v>
      </c>
      <c r="AV25" s="966">
        <v>654416</v>
      </c>
      <c r="AW25" s="966">
        <v>707486.39855826006</v>
      </c>
      <c r="AX25" s="966">
        <v>724480.26454394998</v>
      </c>
      <c r="AY25" s="966">
        <v>819433.15630648006</v>
      </c>
      <c r="AZ25" s="891">
        <v>851826.82455576002</v>
      </c>
      <c r="BA25" s="967">
        <f t="shared" si="0"/>
        <v>3.9531800733193956E-2</v>
      </c>
      <c r="BB25" s="967">
        <f t="shared" si="1"/>
        <v>0.3016595324010416</v>
      </c>
      <c r="BC25" s="968"/>
      <c r="BD25" s="932">
        <v>73319</v>
      </c>
      <c r="BE25" s="932">
        <v>81732</v>
      </c>
      <c r="BF25" s="932">
        <v>79362</v>
      </c>
      <c r="BG25" s="932">
        <v>104664</v>
      </c>
      <c r="BH25" s="932">
        <v>128743</v>
      </c>
      <c r="BI25" s="932">
        <v>153116</v>
      </c>
      <c r="BJ25" s="932">
        <v>179840</v>
      </c>
      <c r="BK25" s="932">
        <v>236851</v>
      </c>
      <c r="BL25" s="932">
        <v>297341</v>
      </c>
      <c r="BM25" s="932">
        <v>353181</v>
      </c>
      <c r="BN25" s="932">
        <v>419526</v>
      </c>
      <c r="BO25" s="932">
        <v>431886</v>
      </c>
      <c r="BP25" s="932">
        <v>509238</v>
      </c>
      <c r="BQ25" s="932">
        <v>589522</v>
      </c>
      <c r="BR25" s="932">
        <v>724480.26454394998</v>
      </c>
      <c r="BS25" s="966">
        <v>654416</v>
      </c>
      <c r="BT25" s="891">
        <v>851826.82455576002</v>
      </c>
      <c r="BU25" s="969">
        <f t="shared" si="2"/>
        <v>0.3016595324010416</v>
      </c>
    </row>
    <row r="26" spans="1:80" s="823" customFormat="1" ht="16.5" customHeight="1">
      <c r="A26" s="970"/>
      <c r="B26" s="971" t="s">
        <v>831</v>
      </c>
      <c r="C26" s="972">
        <v>91140</v>
      </c>
      <c r="D26" s="972">
        <v>96386</v>
      </c>
      <c r="E26" s="972">
        <v>87893</v>
      </c>
      <c r="F26" s="972">
        <v>96372</v>
      </c>
      <c r="G26" s="972">
        <v>105523</v>
      </c>
      <c r="H26" s="972">
        <v>120795</v>
      </c>
      <c r="I26" s="972">
        <v>135024</v>
      </c>
      <c r="J26" s="972">
        <v>111437</v>
      </c>
      <c r="K26" s="972">
        <v>149894</v>
      </c>
      <c r="L26" s="972">
        <v>137771</v>
      </c>
      <c r="M26" s="973">
        <v>154152</v>
      </c>
      <c r="N26" s="973">
        <v>134340</v>
      </c>
      <c r="O26" s="973">
        <v>165877</v>
      </c>
      <c r="P26" s="973">
        <v>146424</v>
      </c>
      <c r="Q26" s="973">
        <v>136149</v>
      </c>
      <c r="R26" s="973">
        <v>146726</v>
      </c>
      <c r="S26" s="973">
        <v>186523</v>
      </c>
      <c r="T26" s="973">
        <v>211649</v>
      </c>
      <c r="U26" s="973">
        <v>215392</v>
      </c>
      <c r="V26" s="973">
        <v>202936</v>
      </c>
      <c r="W26" s="973">
        <v>248076</v>
      </c>
      <c r="X26" s="973">
        <v>253777</v>
      </c>
      <c r="Y26" s="973">
        <v>272552</v>
      </c>
      <c r="Z26" s="973">
        <v>257498</v>
      </c>
      <c r="AA26" s="973">
        <v>274839</v>
      </c>
      <c r="AB26" s="973">
        <v>292346</v>
      </c>
      <c r="AC26" s="973">
        <v>299022</v>
      </c>
      <c r="AD26" s="973">
        <v>307710</v>
      </c>
      <c r="AE26" s="973">
        <v>341116</v>
      </c>
      <c r="AF26" s="973">
        <v>350054</v>
      </c>
      <c r="AG26" s="973">
        <v>360205</v>
      </c>
      <c r="AH26" s="973">
        <v>368838</v>
      </c>
      <c r="AI26" s="973">
        <v>417287</v>
      </c>
      <c r="AJ26" s="973">
        <v>428076</v>
      </c>
      <c r="AK26" s="973">
        <v>429851</v>
      </c>
      <c r="AL26" s="973">
        <v>378168</v>
      </c>
      <c r="AM26" s="973">
        <v>404917</v>
      </c>
      <c r="AN26" s="973">
        <v>407806</v>
      </c>
      <c r="AO26" s="974">
        <v>404413</v>
      </c>
      <c r="AP26" s="974">
        <v>453044</v>
      </c>
      <c r="AQ26" s="974">
        <v>450305.69180218998</v>
      </c>
      <c r="AR26" s="974">
        <v>462933.51100042003</v>
      </c>
      <c r="AS26" s="974">
        <v>500350.86464356998</v>
      </c>
      <c r="AT26" s="974">
        <v>526544.86201388994</v>
      </c>
      <c r="AU26" s="974">
        <v>545289</v>
      </c>
      <c r="AV26" s="974">
        <v>583806</v>
      </c>
      <c r="AW26" s="974">
        <v>635569.03157410002</v>
      </c>
      <c r="AX26" s="974">
        <v>649127.49926608999</v>
      </c>
      <c r="AY26" s="974">
        <v>741507.49186386995</v>
      </c>
      <c r="AZ26" s="975">
        <v>768331.39288167004</v>
      </c>
      <c r="BA26" s="976">
        <f t="shared" si="0"/>
        <v>3.6174821309458371E-2</v>
      </c>
      <c r="BB26" s="976">
        <f t="shared" si="1"/>
        <v>0.31607313539372672</v>
      </c>
      <c r="BC26" s="977"/>
      <c r="BD26" s="978">
        <v>66550</v>
      </c>
      <c r="BE26" s="978">
        <v>74618</v>
      </c>
      <c r="BF26" s="978">
        <v>72193</v>
      </c>
      <c r="BG26" s="978">
        <v>96372</v>
      </c>
      <c r="BH26" s="978">
        <v>111437</v>
      </c>
      <c r="BI26" s="978">
        <v>134340</v>
      </c>
      <c r="BJ26" s="978">
        <v>146726</v>
      </c>
      <c r="BK26" s="978">
        <v>202936</v>
      </c>
      <c r="BL26" s="978">
        <v>257498</v>
      </c>
      <c r="BM26" s="978">
        <v>307710</v>
      </c>
      <c r="BN26" s="978">
        <v>368838</v>
      </c>
      <c r="BO26" s="978">
        <v>378168</v>
      </c>
      <c r="BP26" s="978">
        <v>453044</v>
      </c>
      <c r="BQ26" s="978">
        <v>526545</v>
      </c>
      <c r="BR26" s="978">
        <v>649127.49926608999</v>
      </c>
      <c r="BS26" s="974">
        <v>583806</v>
      </c>
      <c r="BT26" s="975">
        <v>768331.39288167004</v>
      </c>
      <c r="BU26" s="979">
        <f t="shared" si="2"/>
        <v>0.31607313539372672</v>
      </c>
    </row>
    <row r="27" spans="1:80" s="823" customFormat="1" ht="16.5" customHeight="1">
      <c r="A27" s="970"/>
      <c r="B27" s="971" t="s">
        <v>832</v>
      </c>
      <c r="C27" s="980">
        <v>7215</v>
      </c>
      <c r="D27" s="980">
        <v>7565</v>
      </c>
      <c r="E27" s="980">
        <v>7924</v>
      </c>
      <c r="F27" s="980">
        <v>8292</v>
      </c>
      <c r="G27" s="980">
        <v>8335</v>
      </c>
      <c r="H27" s="980">
        <v>11983</v>
      </c>
      <c r="I27" s="980">
        <v>16921</v>
      </c>
      <c r="J27" s="980">
        <v>17306</v>
      </c>
      <c r="K27" s="980">
        <v>16766</v>
      </c>
      <c r="L27" s="980">
        <v>17628</v>
      </c>
      <c r="M27" s="981">
        <v>18251</v>
      </c>
      <c r="N27" s="981">
        <v>18776</v>
      </c>
      <c r="O27" s="981">
        <v>18931</v>
      </c>
      <c r="P27" s="981">
        <v>31680</v>
      </c>
      <c r="Q27" s="981">
        <v>32387</v>
      </c>
      <c r="R27" s="981">
        <v>33114</v>
      </c>
      <c r="S27" s="981">
        <v>32525</v>
      </c>
      <c r="T27" s="981">
        <v>33303</v>
      </c>
      <c r="U27" s="981">
        <v>33006</v>
      </c>
      <c r="V27" s="981">
        <v>33915</v>
      </c>
      <c r="W27" s="981">
        <v>33724</v>
      </c>
      <c r="X27" s="981">
        <v>36296</v>
      </c>
      <c r="Y27" s="981">
        <v>36439</v>
      </c>
      <c r="Z27" s="981">
        <v>39843</v>
      </c>
      <c r="AA27" s="981">
        <v>39688</v>
      </c>
      <c r="AB27" s="981">
        <v>43142</v>
      </c>
      <c r="AC27" s="981">
        <v>44285</v>
      </c>
      <c r="AD27" s="981">
        <v>45471</v>
      </c>
      <c r="AE27" s="981">
        <v>44814</v>
      </c>
      <c r="AF27" s="981">
        <v>47042</v>
      </c>
      <c r="AG27" s="981">
        <v>47595</v>
      </c>
      <c r="AH27" s="981">
        <v>50688</v>
      </c>
      <c r="AI27" s="981">
        <v>50470</v>
      </c>
      <c r="AJ27" s="981">
        <v>52556</v>
      </c>
      <c r="AK27" s="981">
        <v>53798</v>
      </c>
      <c r="AL27" s="981">
        <v>53718</v>
      </c>
      <c r="AM27" s="981">
        <v>56361</v>
      </c>
      <c r="AN27" s="981">
        <v>57289</v>
      </c>
      <c r="AO27" s="982">
        <v>55005</v>
      </c>
      <c r="AP27" s="982">
        <v>56194</v>
      </c>
      <c r="AQ27" s="982">
        <v>56988.418170210003</v>
      </c>
      <c r="AR27" s="982">
        <v>58783.308813559997</v>
      </c>
      <c r="AS27" s="982">
        <v>61090.362118680001</v>
      </c>
      <c r="AT27" s="982">
        <v>62977.450198530001</v>
      </c>
      <c r="AU27" s="982">
        <v>68069</v>
      </c>
      <c r="AV27" s="982">
        <v>70609</v>
      </c>
      <c r="AW27" s="982">
        <v>71917.366984160006</v>
      </c>
      <c r="AX27" s="982">
        <v>75352.765277860002</v>
      </c>
      <c r="AY27" s="982">
        <v>77925.664442609996</v>
      </c>
      <c r="AZ27" s="983">
        <v>83495.431674089996</v>
      </c>
      <c r="BA27" s="976">
        <f t="shared" si="0"/>
        <v>7.1475389671935119E-2</v>
      </c>
      <c r="BB27" s="976">
        <f t="shared" si="1"/>
        <v>0.18250409542820312</v>
      </c>
      <c r="BC27" s="984"/>
      <c r="BD27" s="985">
        <v>6769</v>
      </c>
      <c r="BE27" s="985">
        <v>7114</v>
      </c>
      <c r="BF27" s="985">
        <v>7169</v>
      </c>
      <c r="BG27" s="985">
        <v>8292</v>
      </c>
      <c r="BH27" s="985">
        <v>17306</v>
      </c>
      <c r="BI27" s="985">
        <v>18776</v>
      </c>
      <c r="BJ27" s="985">
        <v>33114</v>
      </c>
      <c r="BK27" s="985">
        <v>33915</v>
      </c>
      <c r="BL27" s="985">
        <v>39843</v>
      </c>
      <c r="BM27" s="985">
        <v>45471</v>
      </c>
      <c r="BN27" s="985">
        <v>50688</v>
      </c>
      <c r="BO27" s="985">
        <v>53718</v>
      </c>
      <c r="BP27" s="985">
        <v>56194</v>
      </c>
      <c r="BQ27" s="985">
        <v>62977</v>
      </c>
      <c r="BR27" s="985">
        <v>75352.765277860002</v>
      </c>
      <c r="BS27" s="982">
        <v>70609</v>
      </c>
      <c r="BT27" s="983">
        <v>83495.431674089996</v>
      </c>
      <c r="BU27" s="979">
        <f t="shared" si="2"/>
        <v>0.18250409542820312</v>
      </c>
    </row>
    <row r="28" spans="1:80" s="772" customFormat="1" ht="16.5" customHeight="1">
      <c r="A28" s="850"/>
      <c r="B28" s="986" t="s">
        <v>833</v>
      </c>
      <c r="C28" s="987">
        <v>3096</v>
      </c>
      <c r="D28" s="987">
        <v>3116</v>
      </c>
      <c r="E28" s="987">
        <v>3117</v>
      </c>
      <c r="F28" s="987">
        <v>3118</v>
      </c>
      <c r="G28" s="987">
        <v>3118</v>
      </c>
      <c r="H28" s="987">
        <v>3786</v>
      </c>
      <c r="I28" s="987">
        <v>4966</v>
      </c>
      <c r="J28" s="987">
        <v>4966</v>
      </c>
      <c r="K28" s="987">
        <v>4966</v>
      </c>
      <c r="L28" s="987">
        <v>4966</v>
      </c>
      <c r="M28" s="988">
        <v>4966</v>
      </c>
      <c r="N28" s="988">
        <v>4966</v>
      </c>
      <c r="O28" s="988">
        <v>4966</v>
      </c>
      <c r="P28" s="988">
        <v>7174.8888999999999</v>
      </c>
      <c r="Q28" s="988">
        <v>7174.8888999999999</v>
      </c>
      <c r="R28" s="988">
        <v>7174.8888999999999</v>
      </c>
      <c r="S28" s="988">
        <v>7174.8888999999999</v>
      </c>
      <c r="T28" s="988">
        <v>7174.8888999999999</v>
      </c>
      <c r="U28" s="988">
        <v>7174.8888999999999</v>
      </c>
      <c r="V28" s="988">
        <v>7174.8888999999999</v>
      </c>
      <c r="W28" s="988">
        <v>7174.8888999999999</v>
      </c>
      <c r="X28" s="988">
        <v>7174.8888999999999</v>
      </c>
      <c r="Y28" s="988">
        <v>7174.8888999999999</v>
      </c>
      <c r="Z28" s="988">
        <v>7174.8888999999999</v>
      </c>
      <c r="AA28" s="988">
        <v>7174.8888999999999</v>
      </c>
      <c r="AB28" s="988">
        <v>7761.3991599999999</v>
      </c>
      <c r="AC28" s="988">
        <v>7761.3991599999999</v>
      </c>
      <c r="AD28" s="988">
        <v>7761.3991599999999</v>
      </c>
      <c r="AE28" s="988">
        <v>7761.3991599999999</v>
      </c>
      <c r="AF28" s="988">
        <v>7761.7878700000001</v>
      </c>
      <c r="AG28" s="988">
        <v>7761.7878700000001</v>
      </c>
      <c r="AH28" s="988">
        <v>7761.7878700000001</v>
      </c>
      <c r="AI28" s="988">
        <v>7761.7878700000001</v>
      </c>
      <c r="AJ28" s="988">
        <v>7761.7878700000001</v>
      </c>
      <c r="AK28" s="988">
        <v>7761.7878700000001</v>
      </c>
      <c r="AL28" s="988">
        <v>7761.7878700000001</v>
      </c>
      <c r="AM28" s="988">
        <v>7761.7878700000001</v>
      </c>
      <c r="AN28" s="988">
        <v>7761.7878700000001</v>
      </c>
      <c r="AO28" s="989">
        <v>7761.7878700000001</v>
      </c>
      <c r="AP28" s="989">
        <v>7761.7878700000001</v>
      </c>
      <c r="AQ28" s="989">
        <v>7761</v>
      </c>
      <c r="AR28" s="989">
        <v>7761</v>
      </c>
      <c r="AS28" s="989">
        <v>7761</v>
      </c>
      <c r="AT28" s="989">
        <v>7761</v>
      </c>
      <c r="AU28" s="989">
        <v>7761.7878700000001</v>
      </c>
      <c r="AV28" s="989">
        <v>7801.7878700000001</v>
      </c>
      <c r="AW28" s="989">
        <v>7802</v>
      </c>
      <c r="AX28" s="989">
        <v>8189.2946599999996</v>
      </c>
      <c r="AY28" s="989">
        <v>8189.2946599999996</v>
      </c>
      <c r="AZ28" s="990">
        <v>8189.2946599999996</v>
      </c>
      <c r="BA28" s="991">
        <f t="shared" si="0"/>
        <v>0</v>
      </c>
      <c r="BB28" s="991">
        <f t="shared" si="1"/>
        <v>4.9668972863267546E-2</v>
      </c>
      <c r="BC28" s="992"/>
      <c r="BD28" s="993">
        <v>3088</v>
      </c>
      <c r="BE28" s="993">
        <v>3092</v>
      </c>
      <c r="BF28" s="993">
        <v>3095</v>
      </c>
      <c r="BG28" s="993">
        <v>3118</v>
      </c>
      <c r="BH28" s="993">
        <v>4966</v>
      </c>
      <c r="BI28" s="993">
        <v>4966</v>
      </c>
      <c r="BJ28" s="993">
        <v>7175</v>
      </c>
      <c r="BK28" s="993">
        <v>7175</v>
      </c>
      <c r="BL28" s="993">
        <v>7175</v>
      </c>
      <c r="BM28" s="993">
        <v>7175</v>
      </c>
      <c r="BN28" s="993">
        <v>7175</v>
      </c>
      <c r="BO28" s="993">
        <v>7175</v>
      </c>
      <c r="BP28" s="993">
        <v>7175</v>
      </c>
      <c r="BQ28" s="993">
        <v>7175</v>
      </c>
      <c r="BR28" s="993">
        <v>8189.2946599999996</v>
      </c>
      <c r="BS28" s="989">
        <v>7801.7878700000001</v>
      </c>
      <c r="BT28" s="990">
        <v>8189.2946599999996</v>
      </c>
      <c r="BU28" s="994">
        <f t="shared" si="2"/>
        <v>4.9668972863267546E-2</v>
      </c>
    </row>
    <row r="29" spans="1:80" s="823" customFormat="1" ht="16.5" customHeight="1">
      <c r="A29" s="995"/>
      <c r="B29" s="971" t="s">
        <v>834</v>
      </c>
      <c r="C29" s="996">
        <v>0.19404019404019404</v>
      </c>
      <c r="D29" s="996">
        <v>0.21677943166441135</v>
      </c>
      <c r="E29" s="996">
        <v>0.21370683579985905</v>
      </c>
      <c r="F29" s="996">
        <v>0.21305974964511551</v>
      </c>
      <c r="G29" s="997">
        <v>0.31645804934776062</v>
      </c>
      <c r="H29" s="997">
        <v>0.43307173784700509</v>
      </c>
      <c r="I29" s="997">
        <v>0.36859491244236869</v>
      </c>
      <c r="J29" s="997">
        <v>0.30731805957910663</v>
      </c>
      <c r="K29" s="997">
        <v>0.16188402166162386</v>
      </c>
      <c r="L29" s="997">
        <v>0.20844533078990723</v>
      </c>
      <c r="M29" s="998">
        <v>0.20029634132441779</v>
      </c>
      <c r="N29" s="998">
        <v>0.184</v>
      </c>
      <c r="O29" s="998">
        <v>0.2193757127323839</v>
      </c>
      <c r="P29" s="998">
        <v>0.16449976216901854</v>
      </c>
      <c r="Q29" s="998">
        <v>0.15813511065939578</v>
      </c>
      <c r="R29" s="998">
        <v>0.15243784929658893</v>
      </c>
      <c r="S29" s="998">
        <v>0.13784487880680693</v>
      </c>
      <c r="T29" s="998">
        <v>0.13225529608383396</v>
      </c>
      <c r="U29" s="998">
        <v>0.1418431135309538</v>
      </c>
      <c r="V29" s="998">
        <v>0.14235629354458518</v>
      </c>
      <c r="W29" s="998">
        <v>0.19680953296175283</v>
      </c>
      <c r="X29" s="998">
        <v>0.26309267778553219</v>
      </c>
      <c r="Y29" s="998">
        <v>0.22048497597862241</v>
      </c>
      <c r="Z29" s="998">
        <v>0.21071612570839773</v>
      </c>
      <c r="AA29" s="998">
        <v>0.1002879380367404</v>
      </c>
      <c r="AB29" s="998">
        <v>0.13318069530638066</v>
      </c>
      <c r="AC29" s="998">
        <v>0.13798022061620388</v>
      </c>
      <c r="AD29" s="998">
        <v>0.13503059286869681</v>
      </c>
      <c r="AE29" s="998">
        <v>0.20557124660796366</v>
      </c>
      <c r="AF29" s="998">
        <v>0.18903289267454304</v>
      </c>
      <c r="AG29" s="998">
        <v>0.18226491593779323</v>
      </c>
      <c r="AH29" s="998">
        <v>0.18716916773260953</v>
      </c>
      <c r="AI29" s="998">
        <v>0.2068051958322624</v>
      </c>
      <c r="AJ29" s="998">
        <v>0.17229088373174228</v>
      </c>
      <c r="AK29" s="998">
        <v>0.1629564407352819</v>
      </c>
      <c r="AL29" s="998">
        <v>0.18939524548397602</v>
      </c>
      <c r="AM29" s="998">
        <v>0.13713787370888181</v>
      </c>
      <c r="AN29" s="998">
        <v>0.1157404488005261</v>
      </c>
      <c r="AO29" s="998">
        <v>0.10352915206534036</v>
      </c>
      <c r="AP29" s="998">
        <v>0.10046218793216391</v>
      </c>
      <c r="AQ29" s="998">
        <v>0.16973687815707461</v>
      </c>
      <c r="AR29" s="998">
        <v>0.17328281418124725</v>
      </c>
      <c r="AS29" s="998">
        <v>0.15068659459564765</v>
      </c>
      <c r="AT29" s="998">
        <v>0.13448972739208723</v>
      </c>
      <c r="AU29" s="998">
        <v>0.17105443889931779</v>
      </c>
      <c r="AV29" s="998">
        <v>0.16432859730810115</v>
      </c>
      <c r="AW29" s="998">
        <v>0.14995210290811159</v>
      </c>
      <c r="AX29" s="998">
        <v>0.12450034498480017</v>
      </c>
      <c r="AY29" s="998">
        <v>0.19379963631159855</v>
      </c>
      <c r="AZ29" s="999">
        <v>0.16564954572320051</v>
      </c>
      <c r="BA29" s="1000">
        <f>AZ29-AY29</f>
        <v>-2.8150090588398041E-2</v>
      </c>
      <c r="BB29" s="1000">
        <f>AZ29-AV29</f>
        <v>1.32094841509936E-3</v>
      </c>
      <c r="BC29" s="1001"/>
      <c r="BD29" s="997">
        <v>0.106</v>
      </c>
      <c r="BE29" s="997">
        <v>0.12</v>
      </c>
      <c r="BF29" s="997">
        <v>0.128</v>
      </c>
      <c r="BG29" s="996">
        <v>0.21305974964511551</v>
      </c>
      <c r="BH29" s="997">
        <v>0.30731805957910663</v>
      </c>
      <c r="BI29" s="998">
        <v>0.184</v>
      </c>
      <c r="BJ29" s="998">
        <v>0.15243784929658893</v>
      </c>
      <c r="BK29" s="998">
        <v>0.14235629354458518</v>
      </c>
      <c r="BL29" s="998">
        <v>0.21071612570839773</v>
      </c>
      <c r="BM29" s="998">
        <v>0.13503059286869681</v>
      </c>
      <c r="BN29" s="998">
        <v>0.18716916773260953</v>
      </c>
      <c r="BO29" s="998">
        <v>0.18939524548397602</v>
      </c>
      <c r="BP29" s="998">
        <v>0.10046218793216391</v>
      </c>
      <c r="BQ29" s="998">
        <v>0.15065425235610427</v>
      </c>
      <c r="BR29" s="998">
        <v>0.12450034498480017</v>
      </c>
      <c r="BS29" s="998">
        <v>0.16431149893012742</v>
      </c>
      <c r="BT29" s="999">
        <v>0.16564954572320051</v>
      </c>
      <c r="BU29" s="1000">
        <f>BT29-BS29</f>
        <v>1.3380467930730888E-3</v>
      </c>
    </row>
    <row r="30" spans="1:80" s="823" customFormat="1" ht="16.5" customHeight="1" thickBot="1">
      <c r="A30" s="1002"/>
      <c r="B30" s="1003" t="s">
        <v>835</v>
      </c>
      <c r="C30" s="1004">
        <v>0.14857934857934857</v>
      </c>
      <c r="D30" s="1004">
        <v>0.1648173207036536</v>
      </c>
      <c r="E30" s="1004">
        <v>0.16349541930937281</v>
      </c>
      <c r="F30" s="1004">
        <v>0.16247257710672344</v>
      </c>
      <c r="G30" s="1004">
        <v>0.23746109200686347</v>
      </c>
      <c r="H30" s="1004">
        <v>0.34204809133379888</v>
      </c>
      <c r="I30" s="1004">
        <v>0.28681738659001915</v>
      </c>
      <c r="J30" s="1004">
        <v>0.23407576164452734</v>
      </c>
      <c r="K30" s="1004">
        <v>0.11904202864522188</v>
      </c>
      <c r="L30" s="1004">
        <v>0.15354668804030458</v>
      </c>
      <c r="M30" s="1005">
        <v>0.14751900704033899</v>
      </c>
      <c r="N30" s="1005">
        <v>0.14000000000000001</v>
      </c>
      <c r="O30" s="1006">
        <v>0.16739597422229294</v>
      </c>
      <c r="P30" s="1006">
        <v>0.12486126526082131</v>
      </c>
      <c r="Q30" s="1006">
        <v>0.11977405546977307</v>
      </c>
      <c r="R30" s="1006">
        <v>0.11566775872037001</v>
      </c>
      <c r="S30" s="1006">
        <v>0.10042809914837215</v>
      </c>
      <c r="T30" s="1006">
        <v>9.6963126910279002E-2</v>
      </c>
      <c r="U30" s="1006">
        <v>0.10300463803186126</v>
      </c>
      <c r="V30" s="1006">
        <v>0.10410419370720136</v>
      </c>
      <c r="W30" s="1006">
        <v>0.14098375197740948</v>
      </c>
      <c r="X30" s="1006">
        <v>0.20805856632151656</v>
      </c>
      <c r="Y30" s="1006">
        <v>0.17124825880546948</v>
      </c>
      <c r="Z30" s="1006">
        <v>0.16152824100436564</v>
      </c>
      <c r="AA30" s="1006">
        <v>7.4939331832870201E-2</v>
      </c>
      <c r="AB30" s="1006">
        <v>9.789721033921793E-2</v>
      </c>
      <c r="AC30" s="1006">
        <v>0.100735387346266</v>
      </c>
      <c r="AD30" s="1006">
        <v>9.9350634128044638E-2</v>
      </c>
      <c r="AE30" s="1006">
        <v>0.15010245334219416</v>
      </c>
      <c r="AF30" s="1006">
        <v>0.13749419000572893</v>
      </c>
      <c r="AG30" s="1006">
        <v>0.13266570677440381</v>
      </c>
      <c r="AH30" s="1006">
        <v>0.14176520138520576</v>
      </c>
      <c r="AI30" s="1006">
        <v>0.15239526285612606</v>
      </c>
      <c r="AJ30" s="1006">
        <v>0.12661268451435434</v>
      </c>
      <c r="AK30" s="1006">
        <v>0.11964601318198928</v>
      </c>
      <c r="AL30" s="1006">
        <v>0.14732869758443001</v>
      </c>
      <c r="AM30" s="1006">
        <v>0.10414338793048629</v>
      </c>
      <c r="AN30" s="1006">
        <v>8.8679092309494001E-2</v>
      </c>
      <c r="AO30" s="1006">
        <v>7.9615168823523999E-2</v>
      </c>
      <c r="AP30" s="1006">
        <v>7.7189023946429874E-2</v>
      </c>
      <c r="AQ30" s="1006">
        <v>0.14118941290305487</v>
      </c>
      <c r="AR30" s="1006">
        <v>0.13629796171357075</v>
      </c>
      <c r="AS30" s="1006">
        <v>0.1185489919679483</v>
      </c>
      <c r="AT30" s="1006">
        <v>0.1057547104401643</v>
      </c>
      <c r="AU30" s="1006">
        <v>0.14083604230575522</v>
      </c>
      <c r="AV30" s="1006">
        <v>0.13055260281766054</v>
      </c>
      <c r="AW30" s="1006">
        <v>0.11735698372593226</v>
      </c>
      <c r="AX30" s="1006">
        <v>0.1014325752710991</v>
      </c>
      <c r="AY30" s="1006">
        <v>0.15677328211401198</v>
      </c>
      <c r="AZ30" s="1007">
        <v>0.13144436765571788</v>
      </c>
      <c r="BA30" s="1008">
        <f>AZ30-AY30</f>
        <v>-2.5328914458294105E-2</v>
      </c>
      <c r="BB30" s="1008">
        <f>AZ30-AV30</f>
        <v>8.9176483805733509E-4</v>
      </c>
      <c r="BC30" s="1009"/>
      <c r="BD30" s="1004">
        <v>8.2000000000000003E-2</v>
      </c>
      <c r="BE30" s="1004">
        <v>0.09</v>
      </c>
      <c r="BF30" s="1004">
        <v>9.2999999999999999E-2</v>
      </c>
      <c r="BG30" s="1004">
        <v>0.16200000000000001</v>
      </c>
      <c r="BH30" s="1004">
        <v>0.23407576164452734</v>
      </c>
      <c r="BI30" s="1005">
        <v>0.14000000000000001</v>
      </c>
      <c r="BJ30" s="1005">
        <v>0.11566775872037001</v>
      </c>
      <c r="BK30" s="1005">
        <v>0.10410419370720136</v>
      </c>
      <c r="BL30" s="1005">
        <v>0.16152824100436564</v>
      </c>
      <c r="BM30" s="1005">
        <v>9.9350634128044638E-2</v>
      </c>
      <c r="BN30" s="1005">
        <v>0.14176520138520576</v>
      </c>
      <c r="BO30" s="1005">
        <v>0.14732869758443001</v>
      </c>
      <c r="BP30" s="1005">
        <v>7.7189023946429874E-2</v>
      </c>
      <c r="BQ30" s="1005">
        <v>0.11854984482111797</v>
      </c>
      <c r="BR30" s="1005">
        <v>0.1014325752710991</v>
      </c>
      <c r="BS30" s="1006">
        <v>0.1305427994104173</v>
      </c>
      <c r="BT30" s="1010">
        <v>0.13144436765571788</v>
      </c>
      <c r="BU30" s="1008">
        <f>BT30-BS30</f>
        <v>9.0156824530057689E-4</v>
      </c>
    </row>
    <row r="31" spans="1:80" s="823" customFormat="1" ht="4.5" customHeight="1" thickTop="1">
      <c r="A31" s="1011"/>
      <c r="B31" s="1012"/>
      <c r="C31" s="1013"/>
      <c r="D31" s="1013"/>
      <c r="E31" s="1013"/>
      <c r="F31" s="1013"/>
      <c r="G31" s="1013"/>
      <c r="H31" s="1013"/>
      <c r="I31" s="1013"/>
      <c r="J31" s="1013"/>
      <c r="K31" s="1013"/>
      <c r="L31" s="1013"/>
      <c r="M31" s="1014"/>
      <c r="N31" s="1014"/>
      <c r="O31" s="1014"/>
      <c r="P31" s="1014"/>
      <c r="Q31" s="1014"/>
      <c r="R31" s="1014"/>
      <c r="S31" s="1014"/>
      <c r="T31" s="1014"/>
      <c r="U31" s="1014"/>
      <c r="V31" s="1014"/>
      <c r="W31" s="1014"/>
      <c r="X31" s="1014"/>
      <c r="Y31" s="1014"/>
      <c r="Z31" s="1014"/>
      <c r="AA31" s="1014"/>
      <c r="AB31" s="1014"/>
      <c r="AC31" s="1014"/>
      <c r="AD31" s="1014"/>
      <c r="AE31" s="1014"/>
      <c r="AF31" s="1014"/>
      <c r="AG31" s="1014"/>
      <c r="AH31" s="1014"/>
      <c r="AI31" s="1014"/>
      <c r="AJ31" s="1014"/>
      <c r="AK31" s="1014"/>
      <c r="AL31" s="1014"/>
      <c r="AM31" s="1014"/>
      <c r="AN31" s="1014"/>
      <c r="AO31" s="1015"/>
      <c r="AP31" s="1015"/>
      <c r="AQ31" s="1015"/>
      <c r="AR31" s="1015"/>
      <c r="AS31" s="1015"/>
      <c r="AT31" s="1015"/>
      <c r="AU31" s="1015"/>
      <c r="AV31" s="1015"/>
      <c r="AW31" s="1015"/>
      <c r="AX31" s="1015"/>
      <c r="AY31" s="1015"/>
      <c r="AZ31" s="1016"/>
      <c r="BA31" s="1017"/>
      <c r="BB31" s="1017"/>
      <c r="BC31" s="1018"/>
      <c r="BD31" s="1013"/>
      <c r="BE31" s="1013"/>
      <c r="BF31" s="1013"/>
      <c r="BG31" s="1013"/>
      <c r="BH31" s="1013"/>
      <c r="BI31" s="1014"/>
      <c r="BJ31" s="1014"/>
      <c r="BK31" s="1014"/>
      <c r="BL31" s="1014"/>
      <c r="BM31" s="1014"/>
      <c r="BN31" s="1014"/>
      <c r="BO31" s="1014"/>
      <c r="BP31" s="1014"/>
      <c r="BQ31" s="1014"/>
      <c r="BR31" s="1014"/>
      <c r="BS31" s="1015"/>
      <c r="BT31" s="1016"/>
      <c r="BU31" s="1017"/>
    </row>
    <row r="32" spans="1:80" s="823" customFormat="1" ht="16.5" customHeight="1">
      <c r="A32" s="970"/>
      <c r="B32" s="971" t="s">
        <v>836</v>
      </c>
      <c r="C32" s="1019"/>
      <c r="D32" s="1019"/>
      <c r="E32" s="1019"/>
      <c r="F32" s="1019"/>
      <c r="G32" s="1019"/>
      <c r="H32" s="1019"/>
      <c r="I32" s="1019"/>
      <c r="J32" s="1019"/>
      <c r="K32" s="980">
        <v>680.45943233000003</v>
      </c>
      <c r="L32" s="980">
        <v>1091.50917682</v>
      </c>
      <c r="M32" s="980">
        <v>814.45733436</v>
      </c>
      <c r="N32" s="980">
        <v>682.13381022999999</v>
      </c>
      <c r="O32" s="980">
        <v>978.36757605000003</v>
      </c>
      <c r="P32" s="980">
        <v>1250.5983187200013</v>
      </c>
      <c r="Q32" s="980">
        <v>1142.9167588749999</v>
      </c>
      <c r="R32" s="980">
        <v>1063.9421598450001</v>
      </c>
      <c r="S32" s="980">
        <v>1351.41874267</v>
      </c>
      <c r="T32" s="980">
        <v>1269.1884053900001</v>
      </c>
      <c r="U32" s="980">
        <v>1411.62107851</v>
      </c>
      <c r="V32" s="980">
        <v>1291.26327898</v>
      </c>
      <c r="W32" s="980">
        <v>1659.1525545500001</v>
      </c>
      <c r="X32" s="980">
        <v>1668.6961209200001</v>
      </c>
      <c r="Y32" s="980">
        <v>1208.20014335</v>
      </c>
      <c r="Z32" s="980">
        <v>2263.3709046700001</v>
      </c>
      <c r="AA32" s="980">
        <v>1446.8889155100001</v>
      </c>
      <c r="AB32" s="980">
        <v>2217.9970131300001</v>
      </c>
      <c r="AC32" s="980">
        <v>2080.5359924999998</v>
      </c>
      <c r="AD32" s="980">
        <v>2534.56407528</v>
      </c>
      <c r="AE32" s="980">
        <v>2846.4657232700001</v>
      </c>
      <c r="AF32" s="980">
        <v>2398.2877580899999</v>
      </c>
      <c r="AG32" s="980">
        <v>2402.22750146</v>
      </c>
      <c r="AH32" s="980">
        <v>1842.4101074800001</v>
      </c>
      <c r="AI32" s="980">
        <v>3769.53729802</v>
      </c>
      <c r="AJ32" s="980">
        <v>1988.3412976499999</v>
      </c>
      <c r="AK32" s="980">
        <v>2476.5453597800001</v>
      </c>
      <c r="AL32" s="980">
        <v>2690.8927642499998</v>
      </c>
      <c r="AM32" s="980">
        <v>2396.7610580400001</v>
      </c>
      <c r="AN32" s="980">
        <v>2034.56544745</v>
      </c>
      <c r="AO32" s="1020">
        <v>1617.1149464600001</v>
      </c>
      <c r="AP32" s="1020">
        <v>2764.5742677399999</v>
      </c>
      <c r="AQ32" s="1020">
        <v>1556.5531812500001</v>
      </c>
      <c r="AR32" s="1020">
        <v>3461.3692887799998</v>
      </c>
      <c r="AS32" s="1020">
        <v>2429.4757823800001</v>
      </c>
      <c r="AT32" s="1020">
        <v>3101.2015518899998</v>
      </c>
      <c r="AU32" s="1020">
        <v>1481.9779726700001</v>
      </c>
      <c r="AV32" s="1020">
        <v>3003.4994905499998</v>
      </c>
      <c r="AW32" s="1020">
        <v>2530.2728266300001</v>
      </c>
      <c r="AX32" s="1020">
        <v>867.01914912999996</v>
      </c>
      <c r="AY32" s="1020">
        <v>2555.8738227200001</v>
      </c>
      <c r="AZ32" s="1021">
        <v>2457.38053313</v>
      </c>
      <c r="BA32" s="1022">
        <f t="shared" ref="BA32:BA39" si="3">IFERROR(AZ32/AY32-1,"-")</f>
        <v>-3.8536053194199615E-2</v>
      </c>
      <c r="BB32" s="1022">
        <f t="shared" ref="BB32:BB39" si="4">IFERROR(AZ32/AV32-1,"-")</f>
        <v>-0.18182755120760641</v>
      </c>
      <c r="BC32" s="1023"/>
      <c r="BD32" s="1024"/>
      <c r="BE32" s="1024"/>
      <c r="BF32" s="1024"/>
      <c r="BG32" s="1024"/>
      <c r="BH32" s="1024"/>
      <c r="BI32" s="1024">
        <v>3268.5597537400004</v>
      </c>
      <c r="BJ32" s="1024">
        <v>4435.8248134900014</v>
      </c>
      <c r="BK32" s="1024">
        <v>5323.4915055500005</v>
      </c>
      <c r="BL32" s="1024">
        <v>6799.4197234900003</v>
      </c>
      <c r="BM32" s="1019">
        <v>8279.9859964200004</v>
      </c>
      <c r="BN32" s="1019">
        <v>9489.3910902999996</v>
      </c>
      <c r="BO32" s="1019">
        <v>10925.3167197</v>
      </c>
      <c r="BP32" s="1019">
        <v>8813.01571969</v>
      </c>
      <c r="BQ32" s="1019">
        <v>10548.5998043</v>
      </c>
      <c r="BR32" s="1019">
        <v>7882.7694389799999</v>
      </c>
      <c r="BS32" s="1020">
        <v>4485.4774632199997</v>
      </c>
      <c r="BT32" s="983">
        <v>5013.2543558500001</v>
      </c>
      <c r="BU32" s="1025">
        <f t="shared" ref="BU32:BU39" si="5">IFERROR(BT32/BS32-1,"-")</f>
        <v>0.11766348108036739</v>
      </c>
    </row>
    <row r="33" spans="1:73" ht="16.5" customHeight="1">
      <c r="A33" s="792"/>
      <c r="B33" s="934" t="s">
        <v>837</v>
      </c>
      <c r="C33" s="1026"/>
      <c r="D33" s="1026"/>
      <c r="E33" s="1026"/>
      <c r="F33" s="1026"/>
      <c r="G33" s="1026"/>
      <c r="H33" s="1026"/>
      <c r="I33" s="1026"/>
      <c r="J33" s="1026"/>
      <c r="K33" s="1027">
        <v>12.07115376</v>
      </c>
      <c r="L33" s="1027">
        <v>8.7496819499999994</v>
      </c>
      <c r="M33" s="1028">
        <v>23.266001660000001</v>
      </c>
      <c r="N33" s="1028">
        <v>13.381996750000001</v>
      </c>
      <c r="O33" s="1028">
        <v>82.310598600000006</v>
      </c>
      <c r="P33" s="1028">
        <v>42.593639539999998</v>
      </c>
      <c r="Q33" s="1028">
        <v>43.053123749999997</v>
      </c>
      <c r="R33" s="1028">
        <v>59.919842080000002</v>
      </c>
      <c r="S33" s="1028">
        <v>47.090163099999998</v>
      </c>
      <c r="T33" s="1028">
        <v>196.82968202999999</v>
      </c>
      <c r="U33" s="1028">
        <v>70.71306448</v>
      </c>
      <c r="V33" s="1028">
        <v>254.10006528</v>
      </c>
      <c r="W33" s="1028">
        <v>294.57105168999999</v>
      </c>
      <c r="X33" s="1028">
        <v>378.16065787000002</v>
      </c>
      <c r="Y33" s="1028">
        <v>214.53511012999999</v>
      </c>
      <c r="Z33" s="1028">
        <v>-16.619051599999999</v>
      </c>
      <c r="AA33" s="1028">
        <v>-86.771205480000006</v>
      </c>
      <c r="AB33" s="1028">
        <v>-79.843218919999998</v>
      </c>
      <c r="AC33" s="1028">
        <v>158.03710477000001</v>
      </c>
      <c r="AD33" s="1028">
        <v>-599.73799679000001</v>
      </c>
      <c r="AE33" s="1028">
        <v>40.38462646</v>
      </c>
      <c r="AF33" s="1028">
        <v>218.58016818999999</v>
      </c>
      <c r="AG33" s="1028">
        <v>225.86689912</v>
      </c>
      <c r="AH33" s="1028">
        <v>497.78140827999999</v>
      </c>
      <c r="AI33" s="1028">
        <v>40.076454609999999</v>
      </c>
      <c r="AJ33" s="1028">
        <v>144.63597863999999</v>
      </c>
      <c r="AK33" s="1028">
        <v>451.29590452000002</v>
      </c>
      <c r="AL33" s="1028">
        <v>-229.02442553</v>
      </c>
      <c r="AM33" s="1028">
        <v>219.36392746000001</v>
      </c>
      <c r="AN33" s="1028">
        <v>45.083571919999997</v>
      </c>
      <c r="AO33" s="1029">
        <v>-111.14161668</v>
      </c>
      <c r="AP33" s="1029">
        <v>-1328.8420681299999</v>
      </c>
      <c r="AQ33" s="1029">
        <v>221.12999291</v>
      </c>
      <c r="AR33" s="1029">
        <v>-215.96324293000001</v>
      </c>
      <c r="AS33" s="1029">
        <v>-194.65149976999999</v>
      </c>
      <c r="AT33" s="1029">
        <v>-1171.9896512</v>
      </c>
      <c r="AU33" s="1029">
        <v>995.29572673999996</v>
      </c>
      <c r="AV33" s="1029">
        <v>341.75338533000001</v>
      </c>
      <c r="AW33" s="1029">
        <v>118.52005282</v>
      </c>
      <c r="AX33" s="1029">
        <v>316.28551197000002</v>
      </c>
      <c r="AY33" s="1029">
        <v>754.23947674999999</v>
      </c>
      <c r="AZ33" s="1030">
        <v>898.08220646999996</v>
      </c>
      <c r="BA33" s="939">
        <f t="shared" si="3"/>
        <v>0.19071227926150836</v>
      </c>
      <c r="BB33" s="939">
        <f t="shared" si="4"/>
        <v>1.6278663065848025</v>
      </c>
      <c r="BC33" s="940"/>
      <c r="BD33" s="941"/>
      <c r="BE33" s="941"/>
      <c r="BF33" s="941"/>
      <c r="BG33" s="941"/>
      <c r="BH33" s="941"/>
      <c r="BI33" s="941">
        <v>57.468834119999997</v>
      </c>
      <c r="BJ33" s="941">
        <v>227.87720397000001</v>
      </c>
      <c r="BK33" s="941">
        <v>568.73297489000004</v>
      </c>
      <c r="BL33" s="941">
        <v>870.64776809</v>
      </c>
      <c r="BM33" s="942">
        <v>-608.31531642000004</v>
      </c>
      <c r="BN33" s="942">
        <v>982.61310204999995</v>
      </c>
      <c r="BO33" s="942">
        <v>406.98391224</v>
      </c>
      <c r="BP33" s="942">
        <v>-1175.5361854299999</v>
      </c>
      <c r="BQ33" s="942">
        <v>-1361.47440099</v>
      </c>
      <c r="BR33" s="942">
        <v>1771.8546768599999</v>
      </c>
      <c r="BS33" s="1029">
        <v>1337.0491120699999</v>
      </c>
      <c r="BT33" s="943">
        <v>1652.3216832200001</v>
      </c>
      <c r="BU33" s="944" t="s">
        <v>711</v>
      </c>
    </row>
    <row r="34" spans="1:73" ht="16.5" customHeight="1">
      <c r="A34" s="792"/>
      <c r="B34" s="945" t="s">
        <v>838</v>
      </c>
      <c r="C34" s="1031"/>
      <c r="D34" s="1031"/>
      <c r="E34" s="1031"/>
      <c r="F34" s="1031"/>
      <c r="G34" s="1031"/>
      <c r="H34" s="1031"/>
      <c r="I34" s="1031"/>
      <c r="J34" s="1031"/>
      <c r="K34" s="946">
        <v>692.53058609000004</v>
      </c>
      <c r="L34" s="946">
        <v>1100.25885877</v>
      </c>
      <c r="M34" s="947">
        <v>837.72333602000003</v>
      </c>
      <c r="N34" s="947">
        <v>695.51580697999998</v>
      </c>
      <c r="O34" s="947">
        <v>1060.6781746500001</v>
      </c>
      <c r="P34" s="947">
        <v>1293.1919582600012</v>
      </c>
      <c r="Q34" s="947">
        <v>1185.9698826250001</v>
      </c>
      <c r="R34" s="947">
        <v>1123.862001925</v>
      </c>
      <c r="S34" s="947">
        <v>1398.50890577</v>
      </c>
      <c r="T34" s="947">
        <v>1466.01808742</v>
      </c>
      <c r="U34" s="947">
        <v>1482.3341429899999</v>
      </c>
      <c r="V34" s="947">
        <v>1545.3633442600001</v>
      </c>
      <c r="W34" s="947">
        <v>1953.72360624</v>
      </c>
      <c r="X34" s="947">
        <v>2046.8567787899999</v>
      </c>
      <c r="Y34" s="947">
        <v>1422.73525348</v>
      </c>
      <c r="Z34" s="947">
        <v>2246.7518530699999</v>
      </c>
      <c r="AA34" s="947">
        <v>1360.1177100299999</v>
      </c>
      <c r="AB34" s="947">
        <v>2138.1537942099999</v>
      </c>
      <c r="AC34" s="947">
        <v>2238.5730972699998</v>
      </c>
      <c r="AD34" s="947">
        <v>1934.8260784900001</v>
      </c>
      <c r="AE34" s="947">
        <v>2886.8503497299998</v>
      </c>
      <c r="AF34" s="947">
        <v>2616.8679262800001</v>
      </c>
      <c r="AG34" s="947">
        <v>2628.0944005800002</v>
      </c>
      <c r="AH34" s="947">
        <v>2340.1915157600001</v>
      </c>
      <c r="AI34" s="947">
        <v>3809.6137526299999</v>
      </c>
      <c r="AJ34" s="947">
        <v>2132.9772762900002</v>
      </c>
      <c r="AK34" s="947">
        <v>2927.8412643000001</v>
      </c>
      <c r="AL34" s="947">
        <v>2461.8683387199999</v>
      </c>
      <c r="AM34" s="947">
        <v>2616.1249855000001</v>
      </c>
      <c r="AN34" s="947">
        <v>2079.6490193700001</v>
      </c>
      <c r="AO34" s="948">
        <v>1505.9733297800001</v>
      </c>
      <c r="AP34" s="948">
        <v>1435.73219961</v>
      </c>
      <c r="AQ34" s="948">
        <v>1777.6831741599999</v>
      </c>
      <c r="AR34" s="948">
        <v>3245.4060458499998</v>
      </c>
      <c r="AS34" s="948">
        <v>2234.82428261</v>
      </c>
      <c r="AT34" s="948">
        <v>1929.21190069</v>
      </c>
      <c r="AU34" s="948">
        <v>2477.2736994100001</v>
      </c>
      <c r="AV34" s="948">
        <v>3345.2528758799999</v>
      </c>
      <c r="AW34" s="948">
        <v>2648.7928794499999</v>
      </c>
      <c r="AX34" s="948">
        <v>1183.3046611</v>
      </c>
      <c r="AY34" s="948">
        <v>3310.1132994700001</v>
      </c>
      <c r="AZ34" s="1032">
        <v>3355.4627396000001</v>
      </c>
      <c r="BA34" s="950">
        <f t="shared" si="3"/>
        <v>1.3700268246788161E-2</v>
      </c>
      <c r="BB34" s="950">
        <f t="shared" si="4"/>
        <v>3.0520454204270298E-3</v>
      </c>
      <c r="BC34" s="951"/>
      <c r="BD34" s="910"/>
      <c r="BE34" s="910"/>
      <c r="BF34" s="910"/>
      <c r="BG34" s="910"/>
      <c r="BH34" s="910"/>
      <c r="BI34" s="910">
        <v>3326.0285878599998</v>
      </c>
      <c r="BJ34" s="910">
        <v>4663.7020174600011</v>
      </c>
      <c r="BK34" s="952">
        <v>5892.2244804400007</v>
      </c>
      <c r="BL34" s="952">
        <v>7670.06749158</v>
      </c>
      <c r="BM34" s="952">
        <v>7671.6706800000002</v>
      </c>
      <c r="BN34" s="952">
        <v>10472.004192350001</v>
      </c>
      <c r="BO34" s="952">
        <v>11332.300631940001</v>
      </c>
      <c r="BP34" s="952">
        <v>7637.47953426</v>
      </c>
      <c r="BQ34" s="952">
        <v>9187.1254033099995</v>
      </c>
      <c r="BR34" s="952">
        <v>9654.6241158400007</v>
      </c>
      <c r="BS34" s="948">
        <v>5822.5265752899995</v>
      </c>
      <c r="BT34" s="949">
        <v>6665.5760390699998</v>
      </c>
      <c r="BU34" s="953">
        <f t="shared" si="5"/>
        <v>0.14479100316309168</v>
      </c>
    </row>
    <row r="35" spans="1:73" s="965" customFormat="1" ht="16.5" customHeight="1">
      <c r="A35" s="954"/>
      <c r="B35" s="955" t="s">
        <v>839</v>
      </c>
      <c r="C35" s="1033"/>
      <c r="D35" s="1033"/>
      <c r="E35" s="1033"/>
      <c r="F35" s="1033"/>
      <c r="G35" s="1033"/>
      <c r="H35" s="1033"/>
      <c r="I35" s="1033"/>
      <c r="J35" s="1033"/>
      <c r="K35" s="956">
        <v>502.10633104999999</v>
      </c>
      <c r="L35" s="956">
        <v>831.65548813999999</v>
      </c>
      <c r="M35" s="957">
        <v>630.04765504</v>
      </c>
      <c r="N35" s="957">
        <v>574.65755942999999</v>
      </c>
      <c r="O35" s="957">
        <v>808.55352969</v>
      </c>
      <c r="P35" s="957">
        <v>980.66414451000117</v>
      </c>
      <c r="Q35" s="957">
        <v>898.458568195</v>
      </c>
      <c r="R35" s="957">
        <v>864.69572122500006</v>
      </c>
      <c r="S35" s="957">
        <v>1033.6829894</v>
      </c>
      <c r="T35" s="957">
        <v>1090.06240443</v>
      </c>
      <c r="U35" s="957">
        <v>1072.6986537600001</v>
      </c>
      <c r="V35" s="957">
        <v>1141.7861890199999</v>
      </c>
      <c r="W35" s="957">
        <v>1413.47107837</v>
      </c>
      <c r="X35" s="957">
        <v>1458.5391974500001</v>
      </c>
      <c r="Y35" s="957">
        <v>1043.6562626699999</v>
      </c>
      <c r="Z35" s="957">
        <v>1630.1942820199999</v>
      </c>
      <c r="AA35" s="957">
        <v>1023.47519492</v>
      </c>
      <c r="AB35" s="957">
        <v>1557.22479494</v>
      </c>
      <c r="AC35" s="957">
        <v>1624.8512160499999</v>
      </c>
      <c r="AD35" s="957">
        <v>1445.79321652</v>
      </c>
      <c r="AE35" s="957">
        <v>2116.9828364999998</v>
      </c>
      <c r="AF35" s="957">
        <v>1902.71091019</v>
      </c>
      <c r="AG35" s="957">
        <v>1911.7789277700001</v>
      </c>
      <c r="AH35" s="957">
        <v>1897.77274074</v>
      </c>
      <c r="AI35" s="957">
        <v>2824.26564147</v>
      </c>
      <c r="AJ35" s="957">
        <v>1584.0979631299999</v>
      </c>
      <c r="AK35" s="957">
        <v>2174.53222878</v>
      </c>
      <c r="AL35" s="957">
        <v>1698.0550176700001</v>
      </c>
      <c r="AM35" s="957">
        <v>1998.4059589200001</v>
      </c>
      <c r="AN35" s="957">
        <v>1614.54445732</v>
      </c>
      <c r="AO35" s="958">
        <v>1176.86881455</v>
      </c>
      <c r="AP35" s="958">
        <v>1109.8433627300001</v>
      </c>
      <c r="AQ35" s="958">
        <v>1265.4635367000001</v>
      </c>
      <c r="AR35" s="958">
        <v>2433.5490011900001</v>
      </c>
      <c r="AS35" s="958">
        <v>1752.70270835</v>
      </c>
      <c r="AT35" s="958">
        <v>1508.1334562</v>
      </c>
      <c r="AU35" s="958">
        <v>1873.95674844</v>
      </c>
      <c r="AV35" s="958">
        <v>2560.54559096</v>
      </c>
      <c r="AW35" s="958">
        <v>2000.4828254700001</v>
      </c>
      <c r="AX35" s="958">
        <v>1227.8874775899999</v>
      </c>
      <c r="AY35" s="958">
        <v>2542.95511257</v>
      </c>
      <c r="AZ35" s="1034">
        <v>2597.43361013</v>
      </c>
      <c r="BA35" s="960">
        <f t="shared" si="3"/>
        <v>2.1423302869448602E-2</v>
      </c>
      <c r="BB35" s="960">
        <f t="shared" si="4"/>
        <v>1.4406312193867121E-2</v>
      </c>
      <c r="BC35" s="961"/>
      <c r="BD35" s="962"/>
      <c r="BE35" s="962"/>
      <c r="BF35" s="962"/>
      <c r="BG35" s="962"/>
      <c r="BH35" s="962"/>
      <c r="BI35" s="962">
        <v>2538.4670336600002</v>
      </c>
      <c r="BJ35" s="962">
        <v>3552.3719636200012</v>
      </c>
      <c r="BK35" s="963">
        <v>4338.2302366100002</v>
      </c>
      <c r="BL35" s="963">
        <v>5545.8608205099999</v>
      </c>
      <c r="BM35" s="963">
        <v>5651.3444224300001</v>
      </c>
      <c r="BN35" s="963">
        <v>7829.2454152</v>
      </c>
      <c r="BO35" s="963">
        <v>8280.95085105</v>
      </c>
      <c r="BP35" s="963">
        <v>5899.66259352</v>
      </c>
      <c r="BQ35" s="963">
        <v>6959.8487024400001</v>
      </c>
      <c r="BR35" s="963">
        <v>7662.8726424600009</v>
      </c>
      <c r="BS35" s="958">
        <v>4434.5023394</v>
      </c>
      <c r="BT35" s="959">
        <v>5140.3887226999996</v>
      </c>
      <c r="BU35" s="964">
        <f t="shared" si="5"/>
        <v>0.15918051886640971</v>
      </c>
    </row>
    <row r="36" spans="1:73" s="823" customFormat="1" ht="16.5" customHeight="1">
      <c r="A36" s="912"/>
      <c r="B36" s="913" t="s">
        <v>840</v>
      </c>
      <c r="C36" s="932"/>
      <c r="D36" s="932"/>
      <c r="E36" s="932"/>
      <c r="F36" s="932"/>
      <c r="G36" s="932"/>
      <c r="H36" s="932"/>
      <c r="I36" s="932"/>
      <c r="J36" s="932"/>
      <c r="K36" s="926">
        <v>181439.99532230999</v>
      </c>
      <c r="L36" s="926">
        <v>170956.89552108999</v>
      </c>
      <c r="M36" s="926">
        <v>190049.51935347001</v>
      </c>
      <c r="N36" s="926">
        <v>172593.3033197</v>
      </c>
      <c r="O36" s="926">
        <v>206854.00628033999</v>
      </c>
      <c r="P36" s="926">
        <v>235316.45765972001</v>
      </c>
      <c r="Q36" s="926">
        <v>222206.189052095</v>
      </c>
      <c r="R36" s="926">
        <v>234505.65211833001</v>
      </c>
      <c r="S36" s="926">
        <v>276718.89216410002</v>
      </c>
      <c r="T36" s="926">
        <v>308095.17139143997</v>
      </c>
      <c r="U36" s="926">
        <v>318540.48887638998</v>
      </c>
      <c r="V36" s="926">
        <v>311606.67896137002</v>
      </c>
      <c r="W36" s="926">
        <v>352196.76502996997</v>
      </c>
      <c r="X36" s="926">
        <v>365141.0689448</v>
      </c>
      <c r="Y36" s="926">
        <v>384004.18962696998</v>
      </c>
      <c r="Z36" s="926">
        <v>379872.37389828003</v>
      </c>
      <c r="AA36" s="926">
        <v>415229.76659724</v>
      </c>
      <c r="AB36" s="926">
        <v>427928.88315300999</v>
      </c>
      <c r="AC36" s="926">
        <v>428909.78815401002</v>
      </c>
      <c r="AD36" s="926">
        <v>438469.91201740998</v>
      </c>
      <c r="AE36" s="926">
        <v>469031.67814029002</v>
      </c>
      <c r="AF36" s="926">
        <v>489521.07882460998</v>
      </c>
      <c r="AG36" s="926">
        <v>502138.58767992997</v>
      </c>
      <c r="AH36" s="926">
        <v>541082.39112786995</v>
      </c>
      <c r="AI36" s="926">
        <v>584564.78296592005</v>
      </c>
      <c r="AJ36" s="926">
        <v>604642.6231657</v>
      </c>
      <c r="AK36" s="926">
        <v>616324.86852011003</v>
      </c>
      <c r="AL36" s="926">
        <v>564526.95449049002</v>
      </c>
      <c r="AM36" s="926">
        <v>603901.76421022997</v>
      </c>
      <c r="AN36" s="926">
        <v>607013.24585529999</v>
      </c>
      <c r="AO36" s="966">
        <v>597657.46237325005</v>
      </c>
      <c r="AP36" s="966">
        <v>636290.87833079998</v>
      </c>
      <c r="AQ36" s="966">
        <v>637469.87175142998</v>
      </c>
      <c r="AR36" s="966">
        <v>649495.17152659001</v>
      </c>
      <c r="AS36" s="966">
        <v>693868.67001448001</v>
      </c>
      <c r="AT36" s="966">
        <v>732209.88178756996</v>
      </c>
      <c r="AU36" s="966">
        <v>763368.29612796998</v>
      </c>
      <c r="AV36" s="966">
        <v>810855.52722426003</v>
      </c>
      <c r="AW36" s="966">
        <v>897548.47733475</v>
      </c>
      <c r="AX36" s="966">
        <v>937076.52067221003</v>
      </c>
      <c r="AY36" s="966">
        <v>1033302.61933773</v>
      </c>
      <c r="AZ36" s="891">
        <v>1077403.85241391</v>
      </c>
      <c r="BA36" s="967">
        <f t="shared" si="3"/>
        <v>4.2679881237933648E-2</v>
      </c>
      <c r="BB36" s="967">
        <f t="shared" si="4"/>
        <v>0.32872480514760083</v>
      </c>
      <c r="BC36" s="968"/>
      <c r="BD36" s="932"/>
      <c r="BE36" s="932"/>
      <c r="BF36" s="932"/>
      <c r="BG36" s="932"/>
      <c r="BH36" s="932"/>
      <c r="BI36" s="932">
        <v>172593.3033197</v>
      </c>
      <c r="BJ36" s="932">
        <v>234505.65211833001</v>
      </c>
      <c r="BK36" s="932">
        <v>311606.67896137002</v>
      </c>
      <c r="BL36" s="932">
        <v>379872.37389828003</v>
      </c>
      <c r="BM36" s="932">
        <v>438469.91201740998</v>
      </c>
      <c r="BN36" s="932">
        <v>541082.39112786995</v>
      </c>
      <c r="BO36" s="932">
        <v>564526.95449049002</v>
      </c>
      <c r="BP36" s="932">
        <v>636290.87833079998</v>
      </c>
      <c r="BQ36" s="932">
        <v>732209.88178756996</v>
      </c>
      <c r="BR36" s="932">
        <v>937076.52067221003</v>
      </c>
      <c r="BS36" s="966">
        <v>810855.52722426003</v>
      </c>
      <c r="BT36" s="891">
        <v>1077403.85241391</v>
      </c>
      <c r="BU36" s="969">
        <f t="shared" si="5"/>
        <v>0.32872480514760083</v>
      </c>
    </row>
    <row r="37" spans="1:73" s="823" customFormat="1" ht="16.5" customHeight="1">
      <c r="A37" s="970"/>
      <c r="B37" s="971" t="s">
        <v>841</v>
      </c>
      <c r="C37" s="1035"/>
      <c r="D37" s="1035"/>
      <c r="E37" s="1035"/>
      <c r="F37" s="1035"/>
      <c r="G37" s="1035"/>
      <c r="H37" s="1035"/>
      <c r="I37" s="1035"/>
      <c r="J37" s="1035"/>
      <c r="K37" s="972">
        <v>164763.61432718</v>
      </c>
      <c r="L37" s="972">
        <v>153425.99205967999</v>
      </c>
      <c r="M37" s="973">
        <v>171888.07943280999</v>
      </c>
      <c r="N37" s="973">
        <v>153895.09321692001</v>
      </c>
      <c r="O37" s="973">
        <v>187987.62377137001</v>
      </c>
      <c r="P37" s="973">
        <v>203937.10662973</v>
      </c>
      <c r="Q37" s="973">
        <v>189964.09634861999</v>
      </c>
      <c r="R37" s="973">
        <v>201379.61833195001</v>
      </c>
      <c r="S37" s="973">
        <v>243972.58150919</v>
      </c>
      <c r="T37" s="973">
        <v>274282.37876787002</v>
      </c>
      <c r="U37" s="973">
        <v>284891.38823712</v>
      </c>
      <c r="V37" s="973">
        <v>276875.54628163</v>
      </c>
      <c r="W37" s="973">
        <v>317448.04894513002</v>
      </c>
      <c r="X37" s="973">
        <v>328833.414942</v>
      </c>
      <c r="Y37" s="973">
        <v>347388.36484738998</v>
      </c>
      <c r="Z37" s="973">
        <v>339679.58082044002</v>
      </c>
      <c r="AA37" s="973">
        <v>374911.66312515002</v>
      </c>
      <c r="AB37" s="973">
        <v>383906.61662912002</v>
      </c>
      <c r="AC37" s="973">
        <v>382546.04334069003</v>
      </c>
      <c r="AD37" s="973">
        <v>390582.08228276001</v>
      </c>
      <c r="AE37" s="973">
        <v>421387.33157069999</v>
      </c>
      <c r="AF37" s="973">
        <v>439258.29296395998</v>
      </c>
      <c r="AG37" s="973">
        <v>451352.46145355998</v>
      </c>
      <c r="AH37" s="973">
        <v>487738.24685965001</v>
      </c>
      <c r="AI37" s="973">
        <v>530580.69443753001</v>
      </c>
      <c r="AJ37" s="973">
        <v>548324.27462881</v>
      </c>
      <c r="AK37" s="973">
        <v>557922.60969119996</v>
      </c>
      <c r="AL37" s="973">
        <v>507607.60893746</v>
      </c>
      <c r="AM37" s="973">
        <v>543741.17011575005</v>
      </c>
      <c r="AN37" s="973">
        <v>545347.45219542005</v>
      </c>
      <c r="AO37" s="974">
        <v>537874.44279166998</v>
      </c>
      <c r="AP37" s="974">
        <v>575306.95026742003</v>
      </c>
      <c r="AQ37" s="974">
        <v>576393.66598100006</v>
      </c>
      <c r="AR37" s="974">
        <v>585568.84186894004</v>
      </c>
      <c r="AS37" s="974">
        <v>627304.41610903002</v>
      </c>
      <c r="AT37" s="974">
        <v>663168.12450113997</v>
      </c>
      <c r="AU37" s="974">
        <v>689698.03964770003</v>
      </c>
      <c r="AV37" s="974">
        <v>733791.92096376</v>
      </c>
      <c r="AW37" s="974">
        <v>819494.08466486004</v>
      </c>
      <c r="AX37" s="974">
        <v>855422.90555874002</v>
      </c>
      <c r="AY37" s="974">
        <v>949472.44356330996</v>
      </c>
      <c r="AZ37" s="975">
        <v>986872.77139999997</v>
      </c>
      <c r="BA37" s="976">
        <f t="shared" si="3"/>
        <v>3.9390640655487585E-2</v>
      </c>
      <c r="BB37" s="976">
        <f t="shared" si="4"/>
        <v>0.34489457188877792</v>
      </c>
      <c r="BC37" s="977"/>
      <c r="BD37" s="978"/>
      <c r="BE37" s="978"/>
      <c r="BF37" s="978"/>
      <c r="BG37" s="978"/>
      <c r="BH37" s="978"/>
      <c r="BI37" s="978">
        <v>153895.09321692001</v>
      </c>
      <c r="BJ37" s="978">
        <v>201379.61833195001</v>
      </c>
      <c r="BK37" s="978">
        <v>276875.54628163</v>
      </c>
      <c r="BL37" s="978">
        <v>339679.58082044002</v>
      </c>
      <c r="BM37" s="978">
        <v>390582.08228276001</v>
      </c>
      <c r="BN37" s="978">
        <v>487738.24685965001</v>
      </c>
      <c r="BO37" s="978">
        <v>507607.60893746</v>
      </c>
      <c r="BP37" s="978">
        <v>575306.95026742003</v>
      </c>
      <c r="BQ37" s="978">
        <v>663168.12450113997</v>
      </c>
      <c r="BR37" s="978">
        <v>855422.90555874002</v>
      </c>
      <c r="BS37" s="974">
        <v>733791.92096376</v>
      </c>
      <c r="BT37" s="975">
        <v>986872.77139999997</v>
      </c>
      <c r="BU37" s="979">
        <f t="shared" si="5"/>
        <v>0.34489457188877792</v>
      </c>
    </row>
    <row r="38" spans="1:73" s="823" customFormat="1" ht="16.5" customHeight="1">
      <c r="A38" s="970"/>
      <c r="B38" s="971" t="s">
        <v>842</v>
      </c>
      <c r="C38" s="1019"/>
      <c r="D38" s="1019"/>
      <c r="E38" s="1019"/>
      <c r="F38" s="1019"/>
      <c r="G38" s="1019"/>
      <c r="H38" s="1019"/>
      <c r="I38" s="1019"/>
      <c r="J38" s="1019"/>
      <c r="K38" s="980">
        <v>16676.380995129999</v>
      </c>
      <c r="L38" s="980">
        <v>17530.903461409998</v>
      </c>
      <c r="M38" s="981">
        <v>18161.439920659999</v>
      </c>
      <c r="N38" s="981">
        <v>18698.210102780002</v>
      </c>
      <c r="O38" s="981">
        <v>18866.38250897</v>
      </c>
      <c r="P38" s="981">
        <v>31379.351029990001</v>
      </c>
      <c r="Q38" s="981">
        <v>32242.092703474998</v>
      </c>
      <c r="R38" s="981">
        <v>33126.033786380001</v>
      </c>
      <c r="S38" s="981">
        <v>32746.310654910001</v>
      </c>
      <c r="T38" s="981">
        <v>33812.79262357</v>
      </c>
      <c r="U38" s="981">
        <v>33649.10063927</v>
      </c>
      <c r="V38" s="981">
        <v>34731.132679740003</v>
      </c>
      <c r="W38" s="981">
        <v>34748.716084840002</v>
      </c>
      <c r="X38" s="981">
        <v>36307.654002800002</v>
      </c>
      <c r="Y38" s="981">
        <v>36615.824779579998</v>
      </c>
      <c r="Z38" s="981">
        <v>40192.793077839997</v>
      </c>
      <c r="AA38" s="981">
        <v>40318.103472089999</v>
      </c>
      <c r="AB38" s="981">
        <v>44022.266523890001</v>
      </c>
      <c r="AC38" s="981">
        <v>45864.052613319996</v>
      </c>
      <c r="AD38" s="981">
        <v>47887.829734649997</v>
      </c>
      <c r="AE38" s="981">
        <v>47644.346569590001</v>
      </c>
      <c r="AF38" s="981">
        <v>50262.785860650001</v>
      </c>
      <c r="AG38" s="981">
        <v>50786.126226369997</v>
      </c>
      <c r="AH38" s="981">
        <v>53344.14426822</v>
      </c>
      <c r="AI38" s="981">
        <v>53984.088528389999</v>
      </c>
      <c r="AJ38" s="981">
        <v>56318.34853689</v>
      </c>
      <c r="AK38" s="981">
        <v>58402.258828910002</v>
      </c>
      <c r="AL38" s="981">
        <v>56919.345553029998</v>
      </c>
      <c r="AM38" s="981">
        <v>60160.594094480002</v>
      </c>
      <c r="AN38" s="981">
        <v>61665.793659880001</v>
      </c>
      <c r="AO38" s="982">
        <v>59783.019581580003</v>
      </c>
      <c r="AP38" s="982">
        <v>60983.928063380001</v>
      </c>
      <c r="AQ38" s="982">
        <v>61076.205770430002</v>
      </c>
      <c r="AR38" s="982">
        <v>63926.32965765</v>
      </c>
      <c r="AS38" s="982">
        <v>66564.253905449994</v>
      </c>
      <c r="AT38" s="982">
        <v>69041.757286430002</v>
      </c>
      <c r="AU38" s="982">
        <v>73670.256480270007</v>
      </c>
      <c r="AV38" s="982">
        <v>77063.606260500004</v>
      </c>
      <c r="AW38" s="982">
        <v>78054.392669890003</v>
      </c>
      <c r="AX38" s="982">
        <v>81653.615113470005</v>
      </c>
      <c r="AY38" s="982">
        <v>83830.17577442</v>
      </c>
      <c r="AZ38" s="983">
        <v>90531.081013910007</v>
      </c>
      <c r="BA38" s="976">
        <f t="shared" si="3"/>
        <v>7.9934285924934567E-2</v>
      </c>
      <c r="BB38" s="976">
        <f t="shared" si="4"/>
        <v>0.17475790982173312</v>
      </c>
      <c r="BC38" s="984"/>
      <c r="BD38" s="985"/>
      <c r="BE38" s="985"/>
      <c r="BF38" s="985"/>
      <c r="BG38" s="985"/>
      <c r="BH38" s="985"/>
      <c r="BI38" s="985">
        <v>18698.210102780002</v>
      </c>
      <c r="BJ38" s="985">
        <v>33126.033786380001</v>
      </c>
      <c r="BK38" s="985">
        <v>34731.132679740003</v>
      </c>
      <c r="BL38" s="985">
        <v>40192.793077839997</v>
      </c>
      <c r="BM38" s="985">
        <v>47887.829734649997</v>
      </c>
      <c r="BN38" s="985">
        <v>53344.14426822</v>
      </c>
      <c r="BO38" s="985">
        <v>56919.345553029998</v>
      </c>
      <c r="BP38" s="985">
        <v>60983.928063380001</v>
      </c>
      <c r="BQ38" s="985">
        <v>69041.757286430002</v>
      </c>
      <c r="BR38" s="985">
        <v>81653.615113470005</v>
      </c>
      <c r="BS38" s="982">
        <v>77063.606260500004</v>
      </c>
      <c r="BT38" s="983">
        <v>90531.081013910007</v>
      </c>
      <c r="BU38" s="979">
        <f t="shared" si="5"/>
        <v>0.17475790982173312</v>
      </c>
    </row>
    <row r="39" spans="1:73" s="772" customFormat="1" ht="16.5" customHeight="1">
      <c r="A39" s="850"/>
      <c r="B39" s="986" t="s">
        <v>843</v>
      </c>
      <c r="C39" s="1036"/>
      <c r="D39" s="1036"/>
      <c r="E39" s="1036"/>
      <c r="F39" s="1036"/>
      <c r="G39" s="1036"/>
      <c r="H39" s="1036"/>
      <c r="I39" s="1036"/>
      <c r="J39" s="1036"/>
      <c r="K39" s="987">
        <v>4966.3853399999998</v>
      </c>
      <c r="L39" s="987">
        <v>4966.3853399999998</v>
      </c>
      <c r="M39" s="988">
        <v>4966.3853399999998</v>
      </c>
      <c r="N39" s="988">
        <v>4966.3853399999998</v>
      </c>
      <c r="O39" s="988">
        <v>4966.3853399999998</v>
      </c>
      <c r="P39" s="988">
        <v>7174.8888999999999</v>
      </c>
      <c r="Q39" s="988">
        <v>7174.8888999999999</v>
      </c>
      <c r="R39" s="988">
        <v>7174.8888999999999</v>
      </c>
      <c r="S39" s="988">
        <v>7174.8888999999999</v>
      </c>
      <c r="T39" s="988">
        <v>7174.8888999999999</v>
      </c>
      <c r="U39" s="988">
        <v>7174.8888999999999</v>
      </c>
      <c r="V39" s="988">
        <v>7174.8888999999999</v>
      </c>
      <c r="W39" s="988">
        <v>7174.8888999999999</v>
      </c>
      <c r="X39" s="988">
        <v>7174.8888999999999</v>
      </c>
      <c r="Y39" s="988">
        <v>7174.8888999999999</v>
      </c>
      <c r="Z39" s="988">
        <v>7174.8888999999999</v>
      </c>
      <c r="AA39" s="988">
        <v>7174.8888999999999</v>
      </c>
      <c r="AB39" s="988">
        <v>7761.3991599999999</v>
      </c>
      <c r="AC39" s="988">
        <v>7761.3991599999999</v>
      </c>
      <c r="AD39" s="988">
        <v>7761.3991599999999</v>
      </c>
      <c r="AE39" s="988">
        <v>7761.3991599999999</v>
      </c>
      <c r="AF39" s="988">
        <v>7761.7878700000001</v>
      </c>
      <c r="AG39" s="988">
        <v>7761.7878700000001</v>
      </c>
      <c r="AH39" s="988">
        <v>7761.7878700000001</v>
      </c>
      <c r="AI39" s="988">
        <v>7761.7878700000001</v>
      </c>
      <c r="AJ39" s="988">
        <v>7761.7878700000001</v>
      </c>
      <c r="AK39" s="988">
        <v>7761.7878700000001</v>
      </c>
      <c r="AL39" s="988">
        <v>7761.7878700000001</v>
      </c>
      <c r="AM39" s="988">
        <v>7761.7878700000001</v>
      </c>
      <c r="AN39" s="988">
        <v>7761.7878700000001</v>
      </c>
      <c r="AO39" s="989">
        <v>7761.7878700000001</v>
      </c>
      <c r="AP39" s="989">
        <v>7761.7878700000001</v>
      </c>
      <c r="AQ39" s="989">
        <v>7761.7878700000001</v>
      </c>
      <c r="AR39" s="989">
        <v>7761.7878700000001</v>
      </c>
      <c r="AS39" s="989">
        <v>7761.7878700000001</v>
      </c>
      <c r="AT39" s="989">
        <v>7761.7878700000001</v>
      </c>
      <c r="AU39" s="989">
        <v>7761.7878700000001</v>
      </c>
      <c r="AV39" s="989">
        <v>7801.7878700000001</v>
      </c>
      <c r="AW39" s="989">
        <v>7801.7878700000001</v>
      </c>
      <c r="AX39" s="989">
        <v>8189.2946599999996</v>
      </c>
      <c r="AY39" s="989">
        <v>8189.2946599999996</v>
      </c>
      <c r="AZ39" s="990">
        <v>8189.2946599999996</v>
      </c>
      <c r="BA39" s="991">
        <f t="shared" si="3"/>
        <v>0</v>
      </c>
      <c r="BB39" s="991">
        <f t="shared" si="4"/>
        <v>4.9668972863267546E-2</v>
      </c>
      <c r="BC39" s="992"/>
      <c r="BD39" s="993"/>
      <c r="BE39" s="993"/>
      <c r="BF39" s="993"/>
      <c r="BG39" s="993"/>
      <c r="BH39" s="993"/>
      <c r="BI39" s="993">
        <v>4966.3853399999998</v>
      </c>
      <c r="BJ39" s="993">
        <v>7174.8888999999999</v>
      </c>
      <c r="BK39" s="993">
        <v>7174.8888999999999</v>
      </c>
      <c r="BL39" s="993">
        <v>7174.8888999999999</v>
      </c>
      <c r="BM39" s="993">
        <v>7761.3991599999999</v>
      </c>
      <c r="BN39" s="993">
        <v>7761.7878700000001</v>
      </c>
      <c r="BO39" s="993">
        <v>7761.7878700000001</v>
      </c>
      <c r="BP39" s="993">
        <v>7761.7878700000001</v>
      </c>
      <c r="BQ39" s="993">
        <v>7761.7878700000001</v>
      </c>
      <c r="BR39" s="993">
        <v>8189.2946599999996</v>
      </c>
      <c r="BS39" s="989">
        <v>7801.7878700000001</v>
      </c>
      <c r="BT39" s="990">
        <v>8189.2946599999996</v>
      </c>
      <c r="BU39" s="994">
        <f t="shared" si="5"/>
        <v>4.9668972863267546E-2</v>
      </c>
    </row>
    <row r="40" spans="1:73" s="823" customFormat="1" ht="16.5" customHeight="1">
      <c r="A40" s="995"/>
      <c r="B40" s="971" t="s">
        <v>844</v>
      </c>
      <c r="C40" s="996"/>
      <c r="D40" s="996"/>
      <c r="E40" s="996"/>
      <c r="F40" s="996"/>
      <c r="G40" s="997"/>
      <c r="H40" s="997"/>
      <c r="I40" s="997"/>
      <c r="J40" s="997"/>
      <c r="K40" s="997"/>
      <c r="L40" s="997"/>
      <c r="M40" s="998"/>
      <c r="N40" s="998"/>
      <c r="O40" s="998">
        <v>0.22588892377727543</v>
      </c>
      <c r="P40" s="998">
        <v>0.18801795292460152</v>
      </c>
      <c r="Q40" s="998">
        <v>0.1853065815227331</v>
      </c>
      <c r="R40" s="998">
        <v>0.17998147845377443</v>
      </c>
      <c r="S40" s="998">
        <v>0.16984474047574827</v>
      </c>
      <c r="T40" s="998">
        <v>0.17117282431257011</v>
      </c>
      <c r="U40" s="998">
        <v>0.17359200840526298</v>
      </c>
      <c r="V40" s="998">
        <v>0.17366550321201207</v>
      </c>
      <c r="W40" s="998">
        <v>0.22495427275437421</v>
      </c>
      <c r="X40" s="998">
        <v>0.22526175188818462</v>
      </c>
      <c r="Y40" s="998">
        <v>0.20270205697660743</v>
      </c>
      <c r="Z40" s="998">
        <v>0.20474280849609711</v>
      </c>
      <c r="AA40" s="998">
        <v>0.13514868355107718</v>
      </c>
      <c r="AB40" s="998">
        <v>0.16615895165468178</v>
      </c>
      <c r="AC40" s="998">
        <v>0.177769149540939</v>
      </c>
      <c r="AD40" s="998">
        <v>0.17419655844922438</v>
      </c>
      <c r="AE40" s="998">
        <v>0.24174894460993226</v>
      </c>
      <c r="AF40" s="998">
        <v>0.2242968418538803</v>
      </c>
      <c r="AG40" s="998">
        <v>0.2197624853796917</v>
      </c>
      <c r="AH40" s="998">
        <v>0.20689123758572783</v>
      </c>
      <c r="AI40" s="998">
        <v>0.28395986057829348</v>
      </c>
      <c r="AJ40" s="998">
        <v>0.21675929032476235</v>
      </c>
      <c r="AK40" s="998">
        <v>0.21168006718473836</v>
      </c>
      <c r="AL40" s="998">
        <v>0.20554946429341181</v>
      </c>
      <c r="AM40" s="998">
        <v>0.17875820526565422</v>
      </c>
      <c r="AN40" s="998">
        <v>0.15839333785118281</v>
      </c>
      <c r="AO40" s="998">
        <v>0.14171086312881745</v>
      </c>
      <c r="AP40" s="998">
        <v>0.12955500386033389</v>
      </c>
      <c r="AQ40" s="998">
        <v>0.11651195969228677</v>
      </c>
      <c r="AR40" s="998">
        <v>0.16085433851968772</v>
      </c>
      <c r="AS40" s="998">
        <v>0.1517421550682429</v>
      </c>
      <c r="AT40" s="998">
        <v>0.14131247035681824</v>
      </c>
      <c r="AU40" s="998">
        <v>0.13886840408319093</v>
      </c>
      <c r="AV40" s="998">
        <v>0.15940623763397338</v>
      </c>
      <c r="AW40" s="998">
        <v>0.15357427926800341</v>
      </c>
      <c r="AX40" s="998">
        <v>0.1281343144395907</v>
      </c>
      <c r="AY40" s="998">
        <v>0.16002114922361171</v>
      </c>
      <c r="AZ40" s="999">
        <v>0.15484711914556895</v>
      </c>
      <c r="BA40" s="1000">
        <f t="shared" ref="BA40:BA41" si="6">AZ40-AY40</f>
        <v>-5.1740300780427628E-3</v>
      </c>
      <c r="BB40" s="1000">
        <f t="shared" ref="BB40:BB41" si="7">AZ40-AV40</f>
        <v>-4.5591184884044289E-3</v>
      </c>
      <c r="BC40" s="1001"/>
      <c r="BD40" s="997"/>
      <c r="BE40" s="997"/>
      <c r="BF40" s="997"/>
      <c r="BG40" s="996"/>
      <c r="BH40" s="997"/>
      <c r="BI40" s="998"/>
      <c r="BJ40" s="998">
        <v>0.17998147845377443</v>
      </c>
      <c r="BK40" s="998">
        <v>0.17366550321201207</v>
      </c>
      <c r="BL40" s="998">
        <v>0.20474280849609711</v>
      </c>
      <c r="BM40" s="998">
        <v>0.17419655844922438</v>
      </c>
      <c r="BN40" s="998">
        <v>0.20689123758572783</v>
      </c>
      <c r="BO40" s="998">
        <v>0.20554946429341181</v>
      </c>
      <c r="BP40" s="998">
        <v>0.12955500386033389</v>
      </c>
      <c r="BQ40" s="998">
        <v>0.14131247035681824</v>
      </c>
      <c r="BR40" s="998">
        <v>0.1281343144395907</v>
      </c>
      <c r="BS40" s="998">
        <v>0.15940623763397338</v>
      </c>
      <c r="BT40" s="999">
        <v>0.15484711914556895</v>
      </c>
      <c r="BU40" s="1000">
        <f>BT40-BS40</f>
        <v>-4.5591184884044289E-3</v>
      </c>
    </row>
    <row r="41" spans="1:73" s="823" customFormat="1" ht="16.5" customHeight="1">
      <c r="A41" s="1037"/>
      <c r="B41" s="955" t="s">
        <v>845</v>
      </c>
      <c r="C41" s="1038"/>
      <c r="D41" s="1038"/>
      <c r="E41" s="1038"/>
      <c r="F41" s="1038"/>
      <c r="G41" s="1038"/>
      <c r="H41" s="1038"/>
      <c r="I41" s="1038"/>
      <c r="J41" s="1038"/>
      <c r="K41" s="1038"/>
      <c r="L41" s="1038"/>
      <c r="M41" s="1006"/>
      <c r="N41" s="1006"/>
      <c r="O41" s="1006">
        <v>0.17219481931761213</v>
      </c>
      <c r="P41" s="1006">
        <v>0.14291571983358142</v>
      </c>
      <c r="Q41" s="1006">
        <v>0.14069678136084052</v>
      </c>
      <c r="R41" s="1006">
        <v>0.1370930551815748</v>
      </c>
      <c r="S41" s="1006">
        <v>0.12553771974170921</v>
      </c>
      <c r="T41" s="1006">
        <v>0.12690664044951463</v>
      </c>
      <c r="U41" s="1006">
        <v>0.12765007314308166</v>
      </c>
      <c r="V41" s="1006">
        <v>0.1278635835398759</v>
      </c>
      <c r="W41" s="1006">
        <v>0.16274889522679223</v>
      </c>
      <c r="X41" s="1006">
        <v>0.16171505229415109</v>
      </c>
      <c r="Y41" s="1006">
        <v>0.14635210537081328</v>
      </c>
      <c r="Z41" s="1006">
        <v>0.14803978207052049</v>
      </c>
      <c r="AA41" s="1006">
        <v>0.1016980546761421</v>
      </c>
      <c r="AB41" s="1006">
        <v>0.1225766508776293</v>
      </c>
      <c r="AC41" s="1006">
        <v>0.13031854846281005</v>
      </c>
      <c r="AD41" s="1006">
        <v>0.12832208133815851</v>
      </c>
      <c r="AE41" s="1006">
        <v>0.17727914664128022</v>
      </c>
      <c r="AF41" s="1006">
        <v>0.16381736262416211</v>
      </c>
      <c r="AG41" s="1006">
        <v>0.16029822977275882</v>
      </c>
      <c r="AH41" s="1006">
        <v>0.15467929954577464</v>
      </c>
      <c r="AI41" s="1006">
        <v>0.21051427516352103</v>
      </c>
      <c r="AJ41" s="1006">
        <v>0.16079749755221984</v>
      </c>
      <c r="AK41" s="1006">
        <v>0.15709131034629412</v>
      </c>
      <c r="AL41" s="1006">
        <v>0.15020295230042852</v>
      </c>
      <c r="AM41" s="1006">
        <v>0.13654984551147237</v>
      </c>
      <c r="AN41" s="1006">
        <v>0.12186857274766075</v>
      </c>
      <c r="AO41" s="1006">
        <v>0.10944809273894197</v>
      </c>
      <c r="AP41" s="1006">
        <v>0.10007631531443539</v>
      </c>
      <c r="AQ41" s="1006">
        <v>8.2940334207595209E-2</v>
      </c>
      <c r="AR41" s="1006">
        <v>0.11845344346822946</v>
      </c>
      <c r="AS41" s="1006">
        <v>0.11397972984718367</v>
      </c>
      <c r="AT41" s="1006">
        <v>0.10705344384405001</v>
      </c>
      <c r="AU41" s="1006">
        <v>0.10504829685907009</v>
      </c>
      <c r="AV41" s="1006">
        <v>0.12140560022563739</v>
      </c>
      <c r="AW41" s="1006">
        <v>0.11665812086005622</v>
      </c>
      <c r="AX41" s="1006">
        <v>0.101700171948546</v>
      </c>
      <c r="AY41" s="1006">
        <v>0.12293434173466675</v>
      </c>
      <c r="AZ41" s="1007">
        <v>0.11941569345738384</v>
      </c>
      <c r="BA41" s="1039">
        <f t="shared" si="6"/>
        <v>-3.5186482772829042E-3</v>
      </c>
      <c r="BB41" s="1039">
        <f t="shared" si="7"/>
        <v>-1.9899067682535437E-3</v>
      </c>
      <c r="BC41" s="1040"/>
      <c r="BD41" s="1038"/>
      <c r="BE41" s="1038"/>
      <c r="BF41" s="1038"/>
      <c r="BG41" s="1038"/>
      <c r="BH41" s="1038"/>
      <c r="BI41" s="1006"/>
      <c r="BJ41" s="1006">
        <v>0.1370930551815748</v>
      </c>
      <c r="BK41" s="1006">
        <v>0.1278635835398759</v>
      </c>
      <c r="BL41" s="1006">
        <v>0.14803978207052049</v>
      </c>
      <c r="BM41" s="1006">
        <v>0.12832208133815851</v>
      </c>
      <c r="BN41" s="1006">
        <v>0.15467929954577464</v>
      </c>
      <c r="BO41" s="1006">
        <v>0.15020295230042852</v>
      </c>
      <c r="BP41" s="1006">
        <v>0.10007631531443539</v>
      </c>
      <c r="BQ41" s="1006">
        <v>0.10705344384405001</v>
      </c>
      <c r="BR41" s="1006">
        <v>0.101700171948546</v>
      </c>
      <c r="BS41" s="1006">
        <v>0.12140560022563739</v>
      </c>
      <c r="BT41" s="1007">
        <v>0.11941569345738384</v>
      </c>
      <c r="BU41" s="1039">
        <f>BT41-BS41</f>
        <v>-1.9899067682535437E-3</v>
      </c>
    </row>
    <row r="42" spans="1:73" s="873" customFormat="1" ht="13.5" customHeight="1">
      <c r="A42" s="1041" t="s">
        <v>846</v>
      </c>
      <c r="B42" s="971"/>
      <c r="C42" s="877"/>
      <c r="D42" s="877"/>
      <c r="E42" s="877"/>
      <c r="F42" s="877"/>
      <c r="G42" s="877"/>
      <c r="H42" s="877"/>
      <c r="I42" s="877"/>
      <c r="J42" s="877"/>
      <c r="K42" s="877"/>
      <c r="L42" s="877"/>
      <c r="M42" s="877"/>
      <c r="N42" s="877"/>
      <c r="O42" s="877"/>
      <c r="P42" s="877"/>
      <c r="Q42" s="877"/>
      <c r="R42" s="877"/>
      <c r="S42" s="877"/>
      <c r="T42" s="877"/>
      <c r="U42" s="877"/>
      <c r="V42" s="877"/>
      <c r="W42" s="877"/>
      <c r="X42" s="877"/>
      <c r="Y42" s="877"/>
      <c r="Z42" s="877"/>
      <c r="AA42" s="877"/>
      <c r="AB42" s="877"/>
      <c r="AC42" s="877"/>
      <c r="AD42" s="877"/>
      <c r="AE42" s="877"/>
      <c r="AF42" s="877"/>
      <c r="AG42" s="877"/>
      <c r="AH42" s="877"/>
      <c r="AI42" s="877"/>
      <c r="AJ42" s="877"/>
      <c r="AK42" s="877"/>
      <c r="AL42" s="877"/>
      <c r="AM42" s="877"/>
      <c r="AN42" s="877"/>
      <c r="AO42" s="877"/>
      <c r="AP42" s="877"/>
      <c r="AQ42" s="877"/>
      <c r="AR42" s="877"/>
      <c r="AS42" s="877"/>
      <c r="AT42" s="877"/>
      <c r="AU42" s="877"/>
      <c r="AV42" s="877"/>
      <c r="AW42" s="877"/>
      <c r="AX42" s="877"/>
      <c r="AY42" s="877"/>
      <c r="AZ42" s="877"/>
      <c r="BA42" s="877"/>
      <c r="BB42" s="877"/>
      <c r="BC42" s="877"/>
      <c r="BD42" s="877"/>
      <c r="BE42" s="877"/>
      <c r="BF42" s="877"/>
      <c r="BG42" s="877"/>
      <c r="BH42" s="877"/>
      <c r="BI42" s="877"/>
      <c r="BJ42" s="877"/>
      <c r="BK42" s="877"/>
      <c r="BL42" s="877"/>
      <c r="BM42" s="877"/>
      <c r="BN42" s="877"/>
      <c r="BO42" s="877"/>
      <c r="BP42" s="877"/>
      <c r="BQ42" s="877"/>
      <c r="BR42" s="877"/>
      <c r="BS42" s="877"/>
      <c r="BT42" s="877"/>
      <c r="BU42" s="877"/>
    </row>
    <row r="43" spans="1:73" s="873" customFormat="1" ht="13.5" customHeight="1">
      <c r="A43" s="1041" t="s">
        <v>847</v>
      </c>
      <c r="B43" s="877"/>
      <c r="C43" s="877"/>
      <c r="D43" s="877"/>
      <c r="E43" s="877"/>
      <c r="F43" s="877"/>
      <c r="G43" s="877"/>
      <c r="H43" s="877"/>
      <c r="I43" s="877"/>
      <c r="J43" s="877"/>
      <c r="K43" s="877"/>
      <c r="L43" s="877"/>
      <c r="M43" s="877"/>
      <c r="N43" s="877"/>
      <c r="O43" s="877"/>
      <c r="P43" s="877"/>
      <c r="Q43" s="877"/>
      <c r="R43" s="877"/>
      <c r="S43" s="877"/>
      <c r="T43" s="877"/>
      <c r="U43" s="877"/>
      <c r="V43" s="877"/>
      <c r="W43" s="877"/>
      <c r="X43" s="877"/>
      <c r="Y43" s="877"/>
      <c r="Z43" s="877"/>
      <c r="AA43" s="877"/>
      <c r="AB43" s="877"/>
      <c r="AC43" s="877"/>
      <c r="AD43" s="877"/>
      <c r="AE43" s="877"/>
      <c r="AF43" s="877"/>
      <c r="AG43" s="877"/>
      <c r="AH43" s="877"/>
      <c r="AI43" s="1042"/>
      <c r="AJ43" s="1042"/>
      <c r="AK43" s="1042"/>
      <c r="AL43" s="1042"/>
      <c r="AM43" s="1043"/>
      <c r="AN43" s="1043"/>
      <c r="AO43" s="1043"/>
      <c r="AP43" s="1043"/>
      <c r="AQ43" s="1043"/>
      <c r="AR43" s="1043"/>
      <c r="AS43" s="1043"/>
      <c r="AT43" s="1043"/>
      <c r="AU43" s="1043"/>
      <c r="AV43" s="1043"/>
      <c r="AW43" s="1043"/>
      <c r="AX43" s="1043"/>
      <c r="AY43" s="1043"/>
      <c r="AZ43" s="877"/>
      <c r="BA43" s="1043"/>
      <c r="BB43" s="1043"/>
      <c r="BC43" s="877"/>
      <c r="BD43" s="877"/>
      <c r="BE43" s="877"/>
      <c r="BF43" s="877"/>
      <c r="BG43" s="877"/>
      <c r="BH43" s="877"/>
      <c r="BI43" s="877"/>
      <c r="BJ43" s="877"/>
      <c r="BK43" s="877"/>
      <c r="BL43" s="877"/>
      <c r="BM43" s="877"/>
      <c r="BN43" s="877"/>
      <c r="BO43" s="877"/>
      <c r="BP43" s="877"/>
      <c r="BQ43" s="877"/>
      <c r="BR43" s="877"/>
      <c r="BS43" s="877"/>
      <c r="BT43" s="877"/>
      <c r="BU43" s="1043"/>
    </row>
    <row r="44" spans="1:73" s="873" customFormat="1" ht="13.5">
      <c r="A44" s="877"/>
      <c r="B44" s="877"/>
      <c r="C44" s="877"/>
      <c r="D44" s="877"/>
      <c r="E44" s="877"/>
      <c r="F44" s="877"/>
      <c r="G44" s="877"/>
      <c r="H44" s="877"/>
      <c r="I44" s="877"/>
      <c r="J44" s="877"/>
      <c r="K44" s="877"/>
      <c r="L44" s="877"/>
      <c r="M44" s="877"/>
      <c r="N44" s="877"/>
      <c r="O44" s="877"/>
      <c r="P44" s="877"/>
      <c r="Q44" s="877"/>
      <c r="R44" s="877"/>
      <c r="S44" s="877"/>
      <c r="T44" s="877"/>
      <c r="U44" s="877"/>
      <c r="V44" s="877"/>
      <c r="W44" s="877"/>
      <c r="X44" s="877"/>
      <c r="Y44" s="877"/>
      <c r="Z44" s="877"/>
      <c r="AA44" s="877"/>
      <c r="AB44" s="877"/>
      <c r="AC44" s="877"/>
      <c r="AD44" s="877"/>
      <c r="AE44" s="877"/>
      <c r="AF44" s="877"/>
      <c r="AG44" s="877"/>
      <c r="AH44" s="877"/>
      <c r="AI44" s="1044"/>
      <c r="AJ44" s="1044"/>
      <c r="AK44" s="877"/>
      <c r="AL44" s="1043"/>
      <c r="AM44" s="1043"/>
      <c r="AN44" s="1043"/>
      <c r="AO44" s="1043"/>
      <c r="AP44" s="1043"/>
      <c r="AQ44" s="1043"/>
      <c r="AR44" s="1043"/>
      <c r="AS44" s="1043"/>
      <c r="AT44" s="1043"/>
      <c r="AU44" s="1043"/>
      <c r="AV44" s="1043"/>
      <c r="AW44" s="1043"/>
      <c r="AX44" s="1043"/>
      <c r="AY44" s="1043"/>
      <c r="AZ44" s="1043"/>
      <c r="BA44" s="1043"/>
      <c r="BB44" s="1043"/>
      <c r="BC44" s="877"/>
      <c r="BD44" s="877"/>
      <c r="BE44" s="877"/>
      <c r="BF44" s="877"/>
      <c r="BG44" s="877"/>
      <c r="BH44" s="877"/>
      <c r="BI44" s="877"/>
      <c r="BJ44" s="877"/>
      <c r="BK44" s="877"/>
      <c r="BL44" s="877"/>
      <c r="BM44" s="877"/>
      <c r="BN44" s="877"/>
      <c r="BO44" s="877"/>
      <c r="BP44" s="877"/>
      <c r="BQ44" s="877"/>
      <c r="BR44" s="877"/>
      <c r="BS44" s="877"/>
      <c r="BT44" s="877"/>
      <c r="BU44" s="1043"/>
    </row>
    <row r="45" spans="1:73" s="873" customFormat="1" ht="13.5">
      <c r="A45" s="877"/>
      <c r="B45" s="877"/>
      <c r="C45" s="877"/>
      <c r="D45" s="877"/>
      <c r="E45" s="877"/>
      <c r="F45" s="877"/>
      <c r="G45" s="877"/>
      <c r="H45" s="877"/>
      <c r="I45" s="877"/>
      <c r="J45" s="877"/>
      <c r="K45" s="877"/>
      <c r="L45" s="877"/>
      <c r="M45" s="877"/>
      <c r="N45" s="877"/>
      <c r="O45" s="877"/>
      <c r="P45" s="877"/>
      <c r="Q45" s="877"/>
      <c r="R45" s="877"/>
      <c r="S45" s="877"/>
      <c r="T45" s="877"/>
      <c r="U45" s="877"/>
      <c r="V45" s="877"/>
      <c r="W45" s="877"/>
      <c r="X45" s="877"/>
      <c r="Y45" s="877"/>
      <c r="Z45" s="877"/>
      <c r="AA45" s="877"/>
      <c r="AB45" s="877"/>
      <c r="AC45" s="877"/>
      <c r="AD45" s="877"/>
      <c r="AE45" s="877"/>
      <c r="AF45" s="877"/>
      <c r="AG45" s="877"/>
      <c r="AH45" s="877"/>
      <c r="AI45" s="877"/>
      <c r="AJ45" s="877"/>
      <c r="AK45" s="1043"/>
      <c r="AL45" s="1043"/>
      <c r="AM45" s="1043"/>
      <c r="AN45" s="1043"/>
      <c r="AO45" s="1043"/>
      <c r="AP45" s="1043"/>
      <c r="AQ45" s="1043"/>
      <c r="AR45" s="1043"/>
      <c r="AS45" s="1043"/>
      <c r="AT45" s="1043"/>
      <c r="AU45" s="1043"/>
      <c r="AV45" s="1043"/>
      <c r="AW45" s="1043"/>
      <c r="AX45" s="1043"/>
      <c r="AY45" s="1043"/>
      <c r="AZ45" s="1043"/>
      <c r="BA45" s="1043"/>
      <c r="BB45" s="1043"/>
      <c r="BC45" s="877"/>
      <c r="BD45" s="877"/>
      <c r="BE45" s="877"/>
      <c r="BF45" s="877"/>
      <c r="BG45" s="877"/>
      <c r="BH45" s="877"/>
      <c r="BI45" s="877"/>
      <c r="BJ45" s="877"/>
      <c r="BK45" s="877"/>
      <c r="BL45" s="877"/>
      <c r="BM45" s="877"/>
      <c r="BN45" s="877"/>
      <c r="BO45" s="877"/>
      <c r="BP45" s="877"/>
      <c r="BQ45" s="877"/>
      <c r="BR45" s="877"/>
      <c r="BS45" s="877"/>
      <c r="BT45" s="877"/>
      <c r="BU45" s="1043"/>
    </row>
    <row r="46" spans="1:73" s="873" customFormat="1" ht="13.5">
      <c r="A46" s="877"/>
      <c r="B46" s="877"/>
      <c r="C46" s="877"/>
      <c r="D46" s="877"/>
      <c r="E46" s="877"/>
      <c r="F46" s="877"/>
      <c r="G46" s="877"/>
      <c r="H46" s="877"/>
      <c r="I46" s="877"/>
      <c r="J46" s="877"/>
      <c r="K46" s="877"/>
      <c r="L46" s="877"/>
      <c r="M46" s="877"/>
      <c r="N46" s="877"/>
      <c r="O46" s="877"/>
      <c r="P46" s="877"/>
      <c r="Q46" s="877"/>
      <c r="R46" s="877"/>
      <c r="S46" s="877"/>
      <c r="T46" s="877"/>
      <c r="U46" s="877"/>
      <c r="V46" s="877"/>
      <c r="W46" s="877"/>
      <c r="X46" s="877"/>
      <c r="Y46" s="877"/>
      <c r="Z46" s="877"/>
      <c r="AA46" s="877"/>
      <c r="AB46" s="877"/>
      <c r="AC46" s="877"/>
      <c r="AD46" s="877"/>
      <c r="AE46" s="877"/>
      <c r="AF46" s="877"/>
      <c r="AG46" s="877"/>
      <c r="AH46" s="877"/>
      <c r="AI46" s="877"/>
      <c r="AJ46" s="877"/>
      <c r="AK46" s="877"/>
      <c r="AL46" s="877"/>
      <c r="AM46" s="1045"/>
      <c r="AN46" s="1045"/>
      <c r="AO46" s="877"/>
      <c r="AP46" s="877"/>
      <c r="AQ46" s="877"/>
      <c r="AR46" s="877"/>
      <c r="AS46" s="877"/>
      <c r="AT46" s="877"/>
      <c r="AU46" s="877"/>
      <c r="AV46" s="877"/>
      <c r="AW46" s="877"/>
      <c r="AX46" s="877"/>
      <c r="AY46" s="877"/>
      <c r="AZ46" s="877"/>
      <c r="BA46" s="877"/>
      <c r="BB46" s="877"/>
      <c r="BC46" s="877"/>
      <c r="BD46" s="877"/>
      <c r="BE46" s="877"/>
      <c r="BF46" s="877"/>
      <c r="BG46" s="877"/>
      <c r="BH46" s="877"/>
      <c r="BI46" s="877"/>
      <c r="BJ46" s="877"/>
      <c r="BK46" s="877"/>
      <c r="BL46" s="877"/>
      <c r="BM46" s="877"/>
      <c r="BN46" s="877"/>
      <c r="BO46" s="877"/>
      <c r="BP46" s="877"/>
      <c r="BQ46" s="877"/>
      <c r="BR46" s="877"/>
      <c r="BS46" s="877"/>
      <c r="BT46" s="877"/>
      <c r="BU46" s="877"/>
    </row>
    <row r="47" spans="1:73" s="873" customFormat="1" ht="13.5">
      <c r="A47" s="877"/>
      <c r="B47" s="877"/>
      <c r="C47" s="877"/>
      <c r="D47" s="877"/>
      <c r="E47" s="877"/>
      <c r="F47" s="877"/>
      <c r="G47" s="877"/>
      <c r="H47" s="877"/>
      <c r="I47" s="877"/>
      <c r="J47" s="877"/>
      <c r="K47" s="877"/>
      <c r="L47" s="877"/>
      <c r="M47" s="877"/>
      <c r="N47" s="877"/>
      <c r="O47" s="877"/>
      <c r="P47" s="877"/>
      <c r="Q47" s="877"/>
      <c r="R47" s="877"/>
      <c r="S47" s="877"/>
      <c r="T47" s="877"/>
      <c r="U47" s="877"/>
      <c r="V47" s="877"/>
      <c r="W47" s="877"/>
      <c r="X47" s="877"/>
      <c r="Y47" s="877"/>
      <c r="Z47" s="877"/>
      <c r="AA47" s="877"/>
      <c r="AB47" s="877"/>
      <c r="AC47" s="877"/>
      <c r="AD47" s="877"/>
      <c r="AE47" s="877"/>
      <c r="AF47" s="877"/>
      <c r="AG47" s="877"/>
      <c r="AH47" s="877"/>
      <c r="AI47" s="877"/>
      <c r="AJ47" s="877"/>
      <c r="AK47" s="877"/>
      <c r="AL47" s="877"/>
      <c r="AM47" s="877"/>
      <c r="AN47" s="877"/>
      <c r="AO47" s="877"/>
      <c r="AP47" s="877"/>
      <c r="AQ47" s="877"/>
      <c r="AR47" s="877"/>
      <c r="AS47" s="877"/>
      <c r="AT47" s="877"/>
      <c r="AU47" s="877"/>
      <c r="AV47" s="877"/>
      <c r="AW47" s="877"/>
      <c r="AX47" s="877"/>
      <c r="AY47" s="877"/>
      <c r="AZ47" s="877"/>
      <c r="BA47" s="877"/>
      <c r="BB47" s="877"/>
      <c r="BC47" s="877"/>
      <c r="BD47" s="877"/>
      <c r="BE47" s="877"/>
      <c r="BF47" s="877"/>
      <c r="BG47" s="877"/>
      <c r="BH47" s="877"/>
      <c r="BI47" s="877"/>
      <c r="BJ47" s="877"/>
      <c r="BK47" s="877"/>
      <c r="BL47" s="877"/>
      <c r="BM47" s="877"/>
      <c r="BN47" s="877"/>
      <c r="BO47" s="877"/>
      <c r="BP47" s="877"/>
      <c r="BQ47" s="877"/>
      <c r="BR47" s="877"/>
      <c r="BS47" s="877"/>
      <c r="BT47" s="877"/>
      <c r="BU47" s="877"/>
    </row>
    <row r="48" spans="1:73" s="873" customFormat="1" ht="13.5">
      <c r="A48" s="877"/>
      <c r="B48" s="877"/>
      <c r="C48" s="877"/>
      <c r="D48" s="877"/>
      <c r="E48" s="877"/>
      <c r="F48" s="877"/>
      <c r="G48" s="877"/>
      <c r="H48" s="877"/>
      <c r="I48" s="877"/>
      <c r="J48" s="877"/>
      <c r="K48" s="877"/>
      <c r="L48" s="877"/>
      <c r="M48" s="877"/>
      <c r="N48" s="877"/>
      <c r="O48" s="877"/>
      <c r="P48" s="877"/>
      <c r="Q48" s="877"/>
      <c r="R48" s="877"/>
      <c r="S48" s="877"/>
      <c r="T48" s="877"/>
      <c r="U48" s="877"/>
      <c r="V48" s="877"/>
      <c r="W48" s="877"/>
      <c r="X48" s="877"/>
      <c r="Y48" s="877"/>
      <c r="Z48" s="877"/>
      <c r="AA48" s="877"/>
      <c r="AB48" s="877"/>
      <c r="AC48" s="877"/>
      <c r="AD48" s="877"/>
      <c r="AE48" s="877"/>
      <c r="AF48" s="877"/>
      <c r="AG48" s="877"/>
      <c r="AH48" s="877"/>
      <c r="AI48" s="877"/>
      <c r="AJ48" s="877"/>
      <c r="AK48" s="877"/>
      <c r="AL48" s="877"/>
      <c r="AM48" s="877"/>
      <c r="AN48" s="877"/>
      <c r="AO48" s="877"/>
      <c r="AP48" s="877"/>
      <c r="AQ48" s="877"/>
      <c r="AR48" s="877"/>
      <c r="AS48" s="877"/>
      <c r="AT48" s="877"/>
      <c r="AU48" s="877"/>
      <c r="AV48" s="877"/>
      <c r="AW48" s="877"/>
      <c r="AX48" s="877"/>
      <c r="AY48" s="877"/>
      <c r="AZ48" s="877"/>
      <c r="BA48" s="877"/>
      <c r="BB48" s="877"/>
      <c r="BC48" s="877"/>
      <c r="BD48" s="877"/>
      <c r="BE48" s="877"/>
      <c r="BF48" s="877"/>
      <c r="BG48" s="877"/>
      <c r="BH48" s="877"/>
      <c r="BI48" s="877"/>
      <c r="BJ48" s="877"/>
      <c r="BK48" s="877"/>
      <c r="BL48" s="877"/>
      <c r="BM48" s="877"/>
      <c r="BN48" s="877"/>
      <c r="BO48" s="877"/>
      <c r="BP48" s="877"/>
      <c r="BQ48" s="877"/>
      <c r="BR48" s="877"/>
      <c r="BS48" s="877"/>
      <c r="BT48" s="877"/>
      <c r="BU48" s="877"/>
    </row>
    <row r="49" spans="1:73" s="1047" customFormat="1" ht="12">
      <c r="A49" s="1046"/>
      <c r="B49" s="1046"/>
      <c r="C49" s="1046"/>
      <c r="D49" s="1046"/>
      <c r="E49" s="1046"/>
      <c r="F49" s="1046"/>
      <c r="G49" s="1046"/>
      <c r="H49" s="1046"/>
      <c r="I49" s="1046"/>
      <c r="J49" s="1046"/>
      <c r="K49" s="1046"/>
      <c r="L49" s="1046"/>
      <c r="M49" s="1046"/>
      <c r="N49" s="1046"/>
      <c r="O49" s="1046"/>
      <c r="P49" s="1046"/>
      <c r="Q49" s="1046"/>
      <c r="R49" s="1046"/>
      <c r="S49" s="1046"/>
      <c r="T49" s="1046"/>
      <c r="U49" s="1046"/>
      <c r="V49" s="1046"/>
      <c r="W49" s="1046"/>
      <c r="X49" s="1046"/>
      <c r="Y49" s="1046"/>
      <c r="Z49" s="1046"/>
      <c r="AA49" s="1046"/>
      <c r="AB49" s="1046"/>
      <c r="AC49" s="1046"/>
      <c r="AD49" s="1046"/>
      <c r="AE49" s="1046"/>
      <c r="AF49" s="1046"/>
      <c r="AG49" s="1046"/>
      <c r="AH49" s="1046"/>
      <c r="AI49" s="1046"/>
      <c r="AJ49" s="1046"/>
      <c r="AK49" s="1046"/>
      <c r="AL49" s="1046"/>
      <c r="AM49" s="1046"/>
      <c r="AN49" s="1046"/>
      <c r="AO49" s="1046"/>
      <c r="AP49" s="1046"/>
      <c r="AQ49" s="1046"/>
      <c r="AR49" s="1046"/>
      <c r="AS49" s="1046"/>
      <c r="AT49" s="1046"/>
      <c r="AU49" s="1046"/>
      <c r="AV49" s="1046"/>
      <c r="AW49" s="1046"/>
      <c r="AX49" s="1046"/>
      <c r="AY49" s="1046"/>
      <c r="AZ49" s="1046"/>
      <c r="BA49" s="1046"/>
      <c r="BB49" s="1046"/>
      <c r="BC49" s="1046"/>
      <c r="BD49" s="1046"/>
      <c r="BE49" s="1046"/>
      <c r="BF49" s="1046"/>
      <c r="BG49" s="1046"/>
      <c r="BH49" s="1046"/>
      <c r="BI49" s="1046"/>
      <c r="BJ49" s="1046"/>
      <c r="BK49" s="1046"/>
      <c r="BL49" s="1046"/>
      <c r="BM49" s="1046"/>
      <c r="BN49" s="1046"/>
      <c r="BO49" s="1046"/>
      <c r="BP49" s="1046"/>
      <c r="BQ49" s="1046"/>
      <c r="BR49" s="1046"/>
      <c r="BS49" s="1046"/>
      <c r="BT49" s="1046"/>
      <c r="BU49" s="1046"/>
    </row>
  </sheetData>
  <mergeCells count="1">
    <mergeCell ref="A4:B4"/>
  </mergeCells>
  <phoneticPr fontId="21" type="noConversion"/>
  <pageMargins left="0.7" right="0.7" top="0.75" bottom="0.75" header="0.3" footer="0.3"/>
  <pageSetup paperSize="9" scale="74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B9C2-9F8E-4A4E-AB0B-C1361D152177}">
  <sheetPr>
    <tabColor theme="5" tint="0.79998168889431442"/>
    <pageSetUpPr fitToPage="1"/>
  </sheetPr>
  <dimension ref="A1:AQ168"/>
  <sheetViews>
    <sheetView showGridLines="0" view="pageBreakPreview" zoomScaleNormal="100" zoomScaleSheetLayoutView="100" workbookViewId="0">
      <pane ySplit="4" topLeftCell="A5" activePane="bottomLeft" state="frozen"/>
      <selection activeCell="BJ51" sqref="BJ51"/>
      <selection pane="bottomLeft" activeCell="AY39" sqref="AY39"/>
    </sheetView>
  </sheetViews>
  <sheetFormatPr defaultColWidth="8.88671875" defaultRowHeight="14.25"/>
  <cols>
    <col min="1" max="1" width="38.77734375" style="1048" customWidth="1"/>
    <col min="2" max="40" width="15.33203125" style="1048" hidden="1" customWidth="1"/>
    <col min="41" max="41" width="15.33203125" style="1048" customWidth="1"/>
    <col min="42" max="42" width="15.33203125" style="1048" hidden="1" customWidth="1"/>
    <col min="43" max="43" width="15.33203125" style="1048" customWidth="1"/>
    <col min="44" max="16384" width="8.88671875" style="1048"/>
  </cols>
  <sheetData>
    <row r="1" spans="1:43" s="1049" customFormat="1" ht="12" customHeight="1">
      <c r="A1" s="1048"/>
      <c r="B1" s="1048"/>
      <c r="C1" s="1048"/>
      <c r="D1" s="1048"/>
      <c r="E1" s="1048"/>
      <c r="F1" s="1048"/>
      <c r="G1" s="1048"/>
      <c r="H1" s="1048"/>
      <c r="I1" s="1048"/>
      <c r="J1" s="1048"/>
      <c r="K1" s="1048"/>
      <c r="L1" s="1048"/>
      <c r="M1" s="1048"/>
      <c r="N1" s="1048"/>
      <c r="O1" s="1048"/>
      <c r="P1" s="1048"/>
      <c r="Q1" s="1048"/>
      <c r="R1" s="1048"/>
      <c r="S1" s="1048"/>
      <c r="T1" s="1048"/>
      <c r="U1" s="1048"/>
      <c r="V1" s="1048"/>
      <c r="W1" s="1048"/>
      <c r="X1" s="1048"/>
      <c r="Y1" s="1048"/>
      <c r="Z1" s="1048"/>
      <c r="AA1" s="1048"/>
      <c r="AB1" s="1048"/>
      <c r="AC1" s="1048"/>
      <c r="AD1" s="1048"/>
      <c r="AE1" s="1048"/>
      <c r="AF1" s="1048"/>
      <c r="AG1" s="1048"/>
      <c r="AH1" s="1048"/>
      <c r="AI1" s="1048"/>
      <c r="AJ1" s="1048"/>
      <c r="AK1" s="1048"/>
      <c r="AL1" s="1048"/>
      <c r="AM1" s="1048"/>
      <c r="AN1" s="1048"/>
      <c r="AO1" s="1048"/>
      <c r="AP1" s="1048"/>
      <c r="AQ1" s="1048"/>
    </row>
    <row r="2" spans="1:43" s="1052" customFormat="1" ht="38.25" customHeight="1">
      <c r="A2" s="1050" t="s">
        <v>848</v>
      </c>
      <c r="B2" s="1051"/>
      <c r="C2" s="1051"/>
      <c r="D2" s="1051"/>
      <c r="E2" s="1051"/>
      <c r="F2" s="1051"/>
      <c r="G2" s="1051"/>
      <c r="H2" s="1051"/>
      <c r="I2" s="1051"/>
      <c r="J2" s="1051"/>
      <c r="K2" s="1051"/>
      <c r="L2" s="1051"/>
      <c r="M2" s="1051"/>
      <c r="N2" s="1051"/>
      <c r="O2" s="1051"/>
      <c r="P2" s="1051"/>
      <c r="Q2" s="1051"/>
      <c r="R2" s="1051"/>
      <c r="S2" s="1051"/>
      <c r="T2" s="1051"/>
      <c r="U2" s="1051"/>
      <c r="V2" s="1051"/>
      <c r="W2" s="1051"/>
      <c r="X2" s="1051"/>
      <c r="Y2" s="1051"/>
      <c r="Z2" s="1051"/>
      <c r="AA2" s="1051"/>
      <c r="AB2" s="1051"/>
      <c r="AC2" s="1051"/>
      <c r="AD2" s="1051"/>
      <c r="AE2" s="1051"/>
      <c r="AF2" s="1051"/>
      <c r="AG2" s="1051"/>
      <c r="AH2" s="1051"/>
      <c r="AI2" s="1051"/>
      <c r="AJ2" s="1051"/>
      <c r="AK2" s="1051"/>
      <c r="AL2" s="1051"/>
      <c r="AM2" s="1051"/>
      <c r="AN2" s="1051"/>
      <c r="AO2" s="1051"/>
      <c r="AP2" s="1051"/>
      <c r="AQ2" s="1051"/>
    </row>
    <row r="3" spans="1:43" ht="18" customHeight="1" thickBot="1">
      <c r="A3" s="1049"/>
      <c r="B3" s="1049"/>
      <c r="C3" s="1049"/>
      <c r="D3" s="1049"/>
      <c r="E3" s="1049"/>
      <c r="F3" s="1049"/>
      <c r="G3" s="1049"/>
      <c r="H3" s="1049"/>
      <c r="I3" s="1049"/>
      <c r="J3" s="1049"/>
      <c r="K3" s="1049"/>
      <c r="L3" s="1049"/>
      <c r="M3" s="1049"/>
      <c r="N3" s="1049"/>
      <c r="O3" s="1049"/>
      <c r="P3" s="1049"/>
      <c r="Q3" s="1049"/>
      <c r="R3" s="1049"/>
      <c r="S3" s="1049"/>
      <c r="T3" s="1049"/>
      <c r="U3" s="1049"/>
      <c r="V3" s="1049"/>
      <c r="W3" s="1049"/>
      <c r="X3" s="1049"/>
      <c r="Y3" s="1049"/>
      <c r="Z3" s="1049"/>
      <c r="AA3" s="1049"/>
      <c r="AB3" s="1049"/>
      <c r="AC3" s="1049"/>
      <c r="AD3" s="1049"/>
      <c r="AE3" s="1049"/>
      <c r="AF3" s="1049"/>
      <c r="AG3" s="1049"/>
      <c r="AH3" s="1049"/>
      <c r="AI3" s="1049"/>
      <c r="AJ3" s="1049"/>
      <c r="AK3" s="1049"/>
      <c r="AL3" s="1049"/>
      <c r="AM3" s="1049"/>
      <c r="AN3" s="1049"/>
      <c r="AO3" s="1049"/>
      <c r="AP3" s="1049"/>
      <c r="AQ3" s="1053"/>
    </row>
    <row r="4" spans="1:43" s="1059" customFormat="1" ht="18" customHeight="1" thickTop="1">
      <c r="A4" s="1054" t="s">
        <v>849</v>
      </c>
      <c r="B4" s="1055" t="s">
        <v>803</v>
      </c>
      <c r="C4" s="1055" t="s">
        <v>804</v>
      </c>
      <c r="D4" s="1055" t="s">
        <v>805</v>
      </c>
      <c r="E4" s="1055">
        <v>2016</v>
      </c>
      <c r="F4" s="1055" t="s">
        <v>807</v>
      </c>
      <c r="G4" s="1055" t="s">
        <v>808</v>
      </c>
      <c r="H4" s="1055" t="s">
        <v>809</v>
      </c>
      <c r="I4" s="1055">
        <v>2017</v>
      </c>
      <c r="J4" s="1056" t="s">
        <v>435</v>
      </c>
      <c r="K4" s="1057" t="s">
        <v>436</v>
      </c>
      <c r="L4" s="1057" t="s">
        <v>437</v>
      </c>
      <c r="M4" s="1057">
        <v>2018</v>
      </c>
      <c r="N4" s="1057" t="s">
        <v>439</v>
      </c>
      <c r="O4" s="1057" t="s">
        <v>440</v>
      </c>
      <c r="P4" s="1057" t="s">
        <v>441</v>
      </c>
      <c r="Q4" s="1057">
        <v>2019</v>
      </c>
      <c r="R4" s="1057" t="s">
        <v>443</v>
      </c>
      <c r="S4" s="1057" t="s">
        <v>444</v>
      </c>
      <c r="T4" s="1057" t="s">
        <v>445</v>
      </c>
      <c r="U4" s="1057">
        <v>2020</v>
      </c>
      <c r="V4" s="1057" t="s">
        <v>447</v>
      </c>
      <c r="W4" s="1057" t="s">
        <v>448</v>
      </c>
      <c r="X4" s="1057" t="s">
        <v>449</v>
      </c>
      <c r="Y4" s="1057">
        <v>2021</v>
      </c>
      <c r="Z4" s="1058" t="s">
        <v>391</v>
      </c>
      <c r="AA4" s="1058" t="s">
        <v>452</v>
      </c>
      <c r="AB4" s="1058" t="s">
        <v>430</v>
      </c>
      <c r="AC4" s="1058">
        <v>2022</v>
      </c>
      <c r="AD4" s="1057" t="s">
        <v>428</v>
      </c>
      <c r="AE4" s="1057" t="s">
        <v>466</v>
      </c>
      <c r="AF4" s="1057" t="s">
        <v>468</v>
      </c>
      <c r="AG4" s="1057">
        <v>2023</v>
      </c>
      <c r="AH4" s="1057" t="s">
        <v>563</v>
      </c>
      <c r="AI4" s="1057" t="s">
        <v>607</v>
      </c>
      <c r="AJ4" s="1057" t="s">
        <v>622</v>
      </c>
      <c r="AK4" s="1057">
        <v>2024</v>
      </c>
      <c r="AL4" s="1057" t="s">
        <v>647</v>
      </c>
      <c r="AM4" s="1057" t="s">
        <v>676</v>
      </c>
      <c r="AN4" s="1057" t="s">
        <v>675</v>
      </c>
      <c r="AO4" s="1057">
        <v>2025</v>
      </c>
      <c r="AP4" s="1057" t="s">
        <v>688</v>
      </c>
      <c r="AQ4" s="1057" t="s">
        <v>732</v>
      </c>
    </row>
    <row r="5" spans="1:43">
      <c r="A5" s="1060" t="s">
        <v>830</v>
      </c>
      <c r="B5" s="1061">
        <v>18143999532231</v>
      </c>
      <c r="C5" s="1061">
        <v>17095689552109</v>
      </c>
      <c r="D5" s="1061">
        <v>19004951935347</v>
      </c>
      <c r="E5" s="1061">
        <v>17259330331970</v>
      </c>
      <c r="F5" s="1061">
        <v>20685400628034</v>
      </c>
      <c r="G5" s="1061">
        <v>23531645765972</v>
      </c>
      <c r="H5" s="1061">
        <v>22220618905209.5</v>
      </c>
      <c r="I5" s="1061">
        <v>23450565211833</v>
      </c>
      <c r="J5" s="1061">
        <v>27671889216410</v>
      </c>
      <c r="K5" s="1061">
        <v>30809517139144</v>
      </c>
      <c r="L5" s="1061">
        <v>31854048887639</v>
      </c>
      <c r="M5" s="1061">
        <v>31160667896137</v>
      </c>
      <c r="N5" s="1061">
        <v>35219676502997</v>
      </c>
      <c r="O5" s="1061">
        <v>36514106894480</v>
      </c>
      <c r="P5" s="1061">
        <v>38400418962697</v>
      </c>
      <c r="Q5" s="1061">
        <v>37987237389828</v>
      </c>
      <c r="R5" s="1061">
        <v>41522976659724</v>
      </c>
      <c r="S5" s="1061">
        <v>42792888315301</v>
      </c>
      <c r="T5" s="1061">
        <v>42890978815401</v>
      </c>
      <c r="U5" s="1061">
        <v>43846991201741</v>
      </c>
      <c r="V5" s="1061">
        <v>46903167814029</v>
      </c>
      <c r="W5" s="1061">
        <v>48952107882461</v>
      </c>
      <c r="X5" s="1061">
        <v>50213858767993</v>
      </c>
      <c r="Y5" s="1061">
        <v>54108239112787</v>
      </c>
      <c r="Z5" s="1061">
        <v>58456478296592</v>
      </c>
      <c r="AA5" s="1061">
        <v>60464262316570</v>
      </c>
      <c r="AB5" s="1061">
        <v>61632486852011</v>
      </c>
      <c r="AC5" s="1061">
        <v>56452695449049</v>
      </c>
      <c r="AD5" s="1061">
        <v>60390176421023</v>
      </c>
      <c r="AE5" s="1061">
        <v>60701324585530</v>
      </c>
      <c r="AF5" s="1061">
        <v>59765746237325</v>
      </c>
      <c r="AG5" s="1061">
        <v>63629087833080</v>
      </c>
      <c r="AH5" s="1061">
        <v>63746987175143</v>
      </c>
      <c r="AI5" s="1061">
        <v>64949517152659</v>
      </c>
      <c r="AJ5" s="1061">
        <v>69386867001448</v>
      </c>
      <c r="AK5" s="1061">
        <v>73220988178757</v>
      </c>
      <c r="AL5" s="1061">
        <v>76336829612797</v>
      </c>
      <c r="AM5" s="1061">
        <v>81085552722426</v>
      </c>
      <c r="AN5" s="1061">
        <v>89754847733475</v>
      </c>
      <c r="AO5" s="1061">
        <v>93707652067221</v>
      </c>
      <c r="AP5" s="1061">
        <v>103330261933773</v>
      </c>
      <c r="AQ5" s="1061">
        <v>107740385241391</v>
      </c>
    </row>
    <row r="6" spans="1:43">
      <c r="A6" s="1062" t="s">
        <v>850</v>
      </c>
      <c r="B6" s="1063">
        <v>719627031625</v>
      </c>
      <c r="C6" s="1063">
        <v>776360729142</v>
      </c>
      <c r="D6" s="1063">
        <v>884710550554</v>
      </c>
      <c r="E6" s="1063">
        <v>816956144471</v>
      </c>
      <c r="F6" s="1063">
        <v>829679155859</v>
      </c>
      <c r="G6" s="1063">
        <v>1263859840744</v>
      </c>
      <c r="H6" s="1063">
        <v>1086777168355</v>
      </c>
      <c r="I6" s="1063">
        <v>1403474940913</v>
      </c>
      <c r="J6" s="1063">
        <v>1383322889321</v>
      </c>
      <c r="K6" s="1063">
        <v>1849200923175</v>
      </c>
      <c r="L6" s="1063">
        <v>1878772100633</v>
      </c>
      <c r="M6" s="1063">
        <v>1944296436541</v>
      </c>
      <c r="N6" s="1063">
        <v>1685918442571</v>
      </c>
      <c r="O6" s="1063">
        <v>1710495240094</v>
      </c>
      <c r="P6" s="1063">
        <v>1532163916731</v>
      </c>
      <c r="Q6" s="1063">
        <v>2102864141173</v>
      </c>
      <c r="R6" s="1063">
        <v>3504720096042</v>
      </c>
      <c r="S6" s="1063">
        <v>3756805022579</v>
      </c>
      <c r="T6" s="1063">
        <v>4155147318698</v>
      </c>
      <c r="U6" s="1063">
        <v>2222507307845</v>
      </c>
      <c r="V6" s="1063">
        <v>3478777573398</v>
      </c>
      <c r="W6" s="1063">
        <v>2711327005057</v>
      </c>
      <c r="X6" s="1063">
        <v>2868176927232</v>
      </c>
      <c r="Y6" s="1063">
        <v>3817859155571</v>
      </c>
      <c r="Z6" s="1063">
        <v>4458855716375</v>
      </c>
      <c r="AA6" s="1063">
        <v>4666797045206</v>
      </c>
      <c r="AB6" s="1063">
        <v>3714735719928</v>
      </c>
      <c r="AC6" s="1063">
        <v>3137808847869</v>
      </c>
      <c r="AD6" s="1063">
        <v>2994059112422</v>
      </c>
      <c r="AE6" s="1063">
        <v>3036722405872</v>
      </c>
      <c r="AF6" s="1063">
        <v>2927224351195</v>
      </c>
      <c r="AG6" s="1063">
        <v>3128771529833</v>
      </c>
      <c r="AH6" s="1063">
        <v>3158289104672</v>
      </c>
      <c r="AI6" s="1063">
        <v>3093391426136</v>
      </c>
      <c r="AJ6" s="1063">
        <v>3448038228906</v>
      </c>
      <c r="AK6" s="1063">
        <v>3802629716443</v>
      </c>
      <c r="AL6" s="1063">
        <v>4792597458693</v>
      </c>
      <c r="AM6" s="1063">
        <v>4499744371804</v>
      </c>
      <c r="AN6" s="1063">
        <v>5728431365001</v>
      </c>
      <c r="AO6" s="1063">
        <v>7346906399271</v>
      </c>
      <c r="AP6" s="1063">
        <v>9762643877317</v>
      </c>
      <c r="AQ6" s="1063">
        <v>10080062940903</v>
      </c>
    </row>
    <row r="7" spans="1:43">
      <c r="A7" s="1064" t="s">
        <v>851</v>
      </c>
      <c r="B7" s="1065">
        <v>554410414047</v>
      </c>
      <c r="C7" s="1065">
        <v>592701913576</v>
      </c>
      <c r="D7" s="1065">
        <v>605327977212</v>
      </c>
      <c r="E7" s="1065">
        <v>657187590818</v>
      </c>
      <c r="F7" s="1065">
        <v>525057424620</v>
      </c>
      <c r="G7" s="1065">
        <v>1067098949658</v>
      </c>
      <c r="H7" s="1065">
        <v>880376407496</v>
      </c>
      <c r="I7" s="1065">
        <v>1026348908878</v>
      </c>
      <c r="J7" s="1065">
        <v>647872139346</v>
      </c>
      <c r="K7" s="1065">
        <v>732748287483</v>
      </c>
      <c r="L7" s="1065">
        <v>1057240852646</v>
      </c>
      <c r="M7" s="1065">
        <v>981828847155</v>
      </c>
      <c r="N7" s="1065">
        <v>1026777199588</v>
      </c>
      <c r="O7" s="1065">
        <v>916934106812</v>
      </c>
      <c r="P7" s="1065">
        <v>1003922665744</v>
      </c>
      <c r="Q7" s="1065">
        <v>1177531391172</v>
      </c>
      <c r="R7" s="1065">
        <v>1203240987013</v>
      </c>
      <c r="S7" s="1065">
        <v>1576070729198</v>
      </c>
      <c r="T7" s="1065">
        <v>1909189848378</v>
      </c>
      <c r="U7" s="1065">
        <v>999735337479</v>
      </c>
      <c r="V7" s="1065">
        <v>1001537836039</v>
      </c>
      <c r="W7" s="1065">
        <v>1054681821618</v>
      </c>
      <c r="X7" s="1065">
        <v>969944024464</v>
      </c>
      <c r="Y7" s="1065">
        <v>1166594502733</v>
      </c>
      <c r="Z7" s="1065">
        <v>1408884303965</v>
      </c>
      <c r="AA7" s="1065">
        <v>1626760745329</v>
      </c>
      <c r="AB7" s="1065">
        <v>961112812035</v>
      </c>
      <c r="AC7" s="1065">
        <v>900509955098</v>
      </c>
      <c r="AD7" s="1065">
        <v>1045614196067</v>
      </c>
      <c r="AE7" s="1065">
        <v>1084633160901</v>
      </c>
      <c r="AF7" s="1065">
        <v>1270257425793</v>
      </c>
      <c r="AG7" s="1065">
        <v>813813561879</v>
      </c>
      <c r="AH7" s="1065">
        <v>1021254592242</v>
      </c>
      <c r="AI7" s="1065">
        <v>1051938480846</v>
      </c>
      <c r="AJ7" s="1065">
        <v>1009158556120</v>
      </c>
      <c r="AK7" s="1065">
        <v>1399172494928</v>
      </c>
      <c r="AL7" s="1065">
        <v>1245035854790</v>
      </c>
      <c r="AM7" s="1065">
        <v>1580529756268</v>
      </c>
      <c r="AN7" s="1065">
        <v>1506285948986</v>
      </c>
      <c r="AO7" s="1065">
        <v>1782514057896</v>
      </c>
      <c r="AP7" s="1065">
        <v>1608773393024</v>
      </c>
      <c r="AQ7" s="1065">
        <v>2730974853066</v>
      </c>
    </row>
    <row r="8" spans="1:43">
      <c r="A8" s="1064" t="s">
        <v>852</v>
      </c>
      <c r="B8" s="1065">
        <v>165216617578</v>
      </c>
      <c r="C8" s="1065">
        <v>183658815566</v>
      </c>
      <c r="D8" s="1065">
        <v>279382573342</v>
      </c>
      <c r="E8" s="1065">
        <v>159768553653</v>
      </c>
      <c r="F8" s="1065">
        <v>304621731239</v>
      </c>
      <c r="G8" s="1065">
        <v>196760891086</v>
      </c>
      <c r="H8" s="1065">
        <v>206400760859</v>
      </c>
      <c r="I8" s="1065">
        <v>377126032035</v>
      </c>
      <c r="J8" s="1065">
        <v>735450749975</v>
      </c>
      <c r="K8" s="1065">
        <v>1116452635692</v>
      </c>
      <c r="L8" s="1065">
        <v>821531247987</v>
      </c>
      <c r="M8" s="1065">
        <v>962467589386</v>
      </c>
      <c r="N8" s="1065">
        <v>659141242983</v>
      </c>
      <c r="O8" s="1065">
        <v>793561133282</v>
      </c>
      <c r="P8" s="1065">
        <v>528241250987</v>
      </c>
      <c r="Q8" s="1065">
        <v>925332750001</v>
      </c>
      <c r="R8" s="1065">
        <v>2301479109029</v>
      </c>
      <c r="S8" s="1065">
        <v>2180734293381</v>
      </c>
      <c r="T8" s="1065">
        <v>2245957470320</v>
      </c>
      <c r="U8" s="1065">
        <v>1222771970366</v>
      </c>
      <c r="V8" s="1065">
        <v>2477239737359</v>
      </c>
      <c r="W8" s="1065">
        <v>1656645183439</v>
      </c>
      <c r="X8" s="1065">
        <v>1898232902768</v>
      </c>
      <c r="Y8" s="1065">
        <v>2651264652838</v>
      </c>
      <c r="Z8" s="1065">
        <v>3049971412410</v>
      </c>
      <c r="AA8" s="1065">
        <v>3040036299877</v>
      </c>
      <c r="AB8" s="1065">
        <v>2753622907893</v>
      </c>
      <c r="AC8" s="1065">
        <v>2237298892771</v>
      </c>
      <c r="AD8" s="1065">
        <v>1948444916355</v>
      </c>
      <c r="AE8" s="1065">
        <v>1952089244971</v>
      </c>
      <c r="AF8" s="1065">
        <v>1656966925402</v>
      </c>
      <c r="AG8" s="1065">
        <v>2314957967954</v>
      </c>
      <c r="AH8" s="1065">
        <v>2137034512430</v>
      </c>
      <c r="AI8" s="1065">
        <v>2041452945290</v>
      </c>
      <c r="AJ8" s="1065">
        <v>2438879672786</v>
      </c>
      <c r="AK8" s="1065">
        <v>2403457221515</v>
      </c>
      <c r="AL8" s="1065">
        <v>3547561603903</v>
      </c>
      <c r="AM8" s="1065">
        <v>2919214615536</v>
      </c>
      <c r="AN8" s="1065">
        <v>4222145416015</v>
      </c>
      <c r="AO8" s="1065">
        <v>5564392341375</v>
      </c>
      <c r="AP8" s="1065">
        <v>8153870484293</v>
      </c>
      <c r="AQ8" s="1065">
        <v>7349088087837</v>
      </c>
    </row>
    <row r="9" spans="1:43">
      <c r="A9" s="1062" t="s">
        <v>853</v>
      </c>
      <c r="B9" s="1063">
        <v>8326205063976</v>
      </c>
      <c r="C9" s="1063">
        <v>7041671622510</v>
      </c>
      <c r="D9" s="1063">
        <v>8421650157152</v>
      </c>
      <c r="E9" s="1063">
        <v>7626267828919</v>
      </c>
      <c r="F9" s="1063">
        <v>8823037349431</v>
      </c>
      <c r="G9" s="1063">
        <v>8704179865491</v>
      </c>
      <c r="H9" s="1063">
        <v>6851035701378</v>
      </c>
      <c r="I9" s="1063">
        <v>9379456454126</v>
      </c>
      <c r="J9" s="1063">
        <v>12125640153469</v>
      </c>
      <c r="K9" s="1063">
        <v>13816631996028</v>
      </c>
      <c r="L9" s="1063">
        <v>12684306904443</v>
      </c>
      <c r="M9" s="1063">
        <v>12700429817512</v>
      </c>
      <c r="N9" s="1063">
        <v>14881274152619</v>
      </c>
      <c r="O9" s="1063">
        <v>16086908761594</v>
      </c>
      <c r="P9" s="1063">
        <v>17397135969271</v>
      </c>
      <c r="Q9" s="1063">
        <v>18565092602206</v>
      </c>
      <c r="R9" s="1063">
        <v>19085394423131</v>
      </c>
      <c r="S9" s="1063">
        <v>19579990432107</v>
      </c>
      <c r="T9" s="1063">
        <v>20713957341081</v>
      </c>
      <c r="U9" s="1063">
        <v>24740241540884</v>
      </c>
      <c r="V9" s="1063">
        <v>24763232736801</v>
      </c>
      <c r="W9" s="1063">
        <v>27574653699083</v>
      </c>
      <c r="X9" s="1063">
        <v>25416635245044</v>
      </c>
      <c r="Y9" s="1063">
        <v>26982344185030</v>
      </c>
      <c r="Z9" s="1063">
        <v>27999482281122</v>
      </c>
      <c r="AA9" s="1063">
        <v>27760730602456</v>
      </c>
      <c r="AB9" s="1063">
        <v>27546878454136</v>
      </c>
      <c r="AC9" s="1063">
        <v>29792823737263</v>
      </c>
      <c r="AD9" s="1063">
        <v>32455317619445</v>
      </c>
      <c r="AE9" s="1063">
        <v>32750274111908</v>
      </c>
      <c r="AF9" s="1063">
        <v>31928426014244</v>
      </c>
      <c r="AG9" s="1063">
        <v>37491463991085</v>
      </c>
      <c r="AH9" s="1063">
        <v>35584148937303</v>
      </c>
      <c r="AI9" s="1063">
        <v>34763471838046</v>
      </c>
      <c r="AJ9" s="1063">
        <v>38949777612314</v>
      </c>
      <c r="AK9" s="1063">
        <v>43301994553730</v>
      </c>
      <c r="AL9" s="1063">
        <v>42065268757833</v>
      </c>
      <c r="AM9" s="1063">
        <v>43003767156774</v>
      </c>
      <c r="AN9" s="1063">
        <v>45356299758916</v>
      </c>
      <c r="AO9" s="1063">
        <v>49517147092473</v>
      </c>
      <c r="AP9" s="1063">
        <v>48483891176820</v>
      </c>
      <c r="AQ9" s="1063">
        <v>51778780945214</v>
      </c>
    </row>
    <row r="10" spans="1:43">
      <c r="A10" s="1064" t="s">
        <v>854</v>
      </c>
      <c r="B10" s="1065">
        <v>8162446316789</v>
      </c>
      <c r="C10" s="1065">
        <v>6860481933971</v>
      </c>
      <c r="D10" s="1065">
        <v>8244007129140</v>
      </c>
      <c r="E10" s="1065">
        <v>7468895114579</v>
      </c>
      <c r="F10" s="1065">
        <v>8690782503067</v>
      </c>
      <c r="G10" s="1065">
        <v>8578125552910</v>
      </c>
      <c r="H10" s="1065">
        <v>6774845539066</v>
      </c>
      <c r="I10" s="1065">
        <v>9287574094976</v>
      </c>
      <c r="J10" s="1065">
        <v>12017447554522</v>
      </c>
      <c r="K10" s="1065">
        <v>13585996812568</v>
      </c>
      <c r="L10" s="1065">
        <v>12373990721252</v>
      </c>
      <c r="M10" s="1065">
        <v>12289859108872</v>
      </c>
      <c r="N10" s="1065">
        <v>14591134185251</v>
      </c>
      <c r="O10" s="1065">
        <v>15824660400047</v>
      </c>
      <c r="P10" s="1065">
        <v>16988475375042</v>
      </c>
      <c r="Q10" s="1065">
        <v>18245691094770</v>
      </c>
      <c r="R10" s="1065">
        <v>18662308370610</v>
      </c>
      <c r="S10" s="1065">
        <v>19265467064195</v>
      </c>
      <c r="T10" s="1065">
        <v>20298845951875</v>
      </c>
      <c r="U10" s="1065">
        <v>24185365599724</v>
      </c>
      <c r="V10" s="1065">
        <v>24266268615502</v>
      </c>
      <c r="W10" s="1065">
        <v>27170650444228</v>
      </c>
      <c r="X10" s="1065">
        <v>24819838478607</v>
      </c>
      <c r="Y10" s="1065">
        <v>26526589304450</v>
      </c>
      <c r="Z10" s="1065">
        <v>27333813464421</v>
      </c>
      <c r="AA10" s="1065">
        <v>26740501480441</v>
      </c>
      <c r="AB10" s="1065">
        <v>26202136073154</v>
      </c>
      <c r="AC10" s="1065">
        <v>28832992092790</v>
      </c>
      <c r="AD10" s="1065">
        <v>31582878325861</v>
      </c>
      <c r="AE10" s="1065">
        <v>31957845894245</v>
      </c>
      <c r="AF10" s="1065">
        <v>31132178565178</v>
      </c>
      <c r="AG10" s="1065">
        <v>36615204808742</v>
      </c>
      <c r="AH10" s="1065">
        <v>34624591584284</v>
      </c>
      <c r="AI10" s="1065">
        <v>33671670310997</v>
      </c>
      <c r="AJ10" s="1065">
        <v>37421203570885</v>
      </c>
      <c r="AK10" s="1065">
        <v>41743752087014</v>
      </c>
      <c r="AL10" s="1065">
        <v>40195491198299</v>
      </c>
      <c r="AM10" s="1065">
        <v>41195040870384</v>
      </c>
      <c r="AN10" s="1065">
        <v>44145243963992</v>
      </c>
      <c r="AO10" s="1065">
        <v>48488622786008</v>
      </c>
      <c r="AP10" s="1065">
        <v>46793240050672</v>
      </c>
      <c r="AQ10" s="1065">
        <v>49274763872566</v>
      </c>
    </row>
    <row r="11" spans="1:43">
      <c r="A11" s="1064" t="s">
        <v>855</v>
      </c>
      <c r="B11" s="1065">
        <v>163758747187</v>
      </c>
      <c r="C11" s="1065">
        <v>181189688539</v>
      </c>
      <c r="D11" s="1065">
        <v>177643028012</v>
      </c>
      <c r="E11" s="1065">
        <v>157372714340</v>
      </c>
      <c r="F11" s="1065">
        <v>132254846364</v>
      </c>
      <c r="G11" s="1065">
        <v>126054312581</v>
      </c>
      <c r="H11" s="1065">
        <v>76190162312</v>
      </c>
      <c r="I11" s="1065">
        <v>91882359150</v>
      </c>
      <c r="J11" s="1065">
        <v>108192598947</v>
      </c>
      <c r="K11" s="1065">
        <v>224016103707</v>
      </c>
      <c r="L11" s="1065">
        <v>310316183191</v>
      </c>
      <c r="M11" s="1065">
        <v>402568918071</v>
      </c>
      <c r="N11" s="1065">
        <v>281532045501</v>
      </c>
      <c r="O11" s="1065">
        <v>228178483660</v>
      </c>
      <c r="P11" s="1065">
        <v>328523239217</v>
      </c>
      <c r="Q11" s="1065">
        <v>232415868561</v>
      </c>
      <c r="R11" s="1065">
        <v>375179719914</v>
      </c>
      <c r="S11" s="1065">
        <v>244496004174</v>
      </c>
      <c r="T11" s="1065">
        <v>323694110445</v>
      </c>
      <c r="U11" s="1065">
        <v>443925479565</v>
      </c>
      <c r="V11" s="1065">
        <v>381982818258</v>
      </c>
      <c r="W11" s="1065">
        <v>261081576998</v>
      </c>
      <c r="X11" s="1065">
        <v>441668166593</v>
      </c>
      <c r="Y11" s="1065">
        <v>316677362506</v>
      </c>
      <c r="Z11" s="1065">
        <v>534626092241</v>
      </c>
      <c r="AA11" s="1065">
        <v>871409298266</v>
      </c>
      <c r="AB11" s="1065">
        <v>1209401435618</v>
      </c>
      <c r="AC11" s="1065">
        <v>782242951084</v>
      </c>
      <c r="AD11" s="1065">
        <v>691257187937</v>
      </c>
      <c r="AE11" s="1065">
        <v>656479370731</v>
      </c>
      <c r="AF11" s="1065">
        <v>686818135362</v>
      </c>
      <c r="AG11" s="1065">
        <v>778192752220</v>
      </c>
      <c r="AH11" s="1065">
        <v>889300776194</v>
      </c>
      <c r="AI11" s="1065">
        <v>1056213012504</v>
      </c>
      <c r="AJ11" s="1065">
        <v>1507754086351</v>
      </c>
      <c r="AK11" s="1065">
        <v>1541502873912</v>
      </c>
      <c r="AL11" s="1065">
        <v>1852259760650</v>
      </c>
      <c r="AM11" s="1065">
        <v>1787371047604</v>
      </c>
      <c r="AN11" s="1065">
        <v>1195065279576</v>
      </c>
      <c r="AO11" s="1065">
        <v>1016065090530</v>
      </c>
      <c r="AP11" s="1065">
        <v>1668402521263</v>
      </c>
      <c r="AQ11" s="1065">
        <v>2476284566965</v>
      </c>
    </row>
    <row r="12" spans="1:43">
      <c r="A12" s="1064" t="s">
        <v>856</v>
      </c>
      <c r="B12" s="1065"/>
      <c r="C12" s="1065"/>
      <c r="D12" s="1065"/>
      <c r="E12" s="1065"/>
      <c r="F12" s="1065"/>
      <c r="G12" s="1065"/>
      <c r="H12" s="1065"/>
      <c r="I12" s="1065"/>
      <c r="J12" s="1065">
        <v>0</v>
      </c>
      <c r="K12" s="1065">
        <v>6619079753</v>
      </c>
      <c r="L12" s="1065">
        <v>0</v>
      </c>
      <c r="M12" s="1065">
        <v>8001790569</v>
      </c>
      <c r="N12" s="1065">
        <v>8607921867</v>
      </c>
      <c r="O12" s="1065">
        <v>34069877887</v>
      </c>
      <c r="P12" s="1065">
        <v>80137355012</v>
      </c>
      <c r="Q12" s="1065">
        <v>86985638875</v>
      </c>
      <c r="R12" s="1065">
        <v>47906332607</v>
      </c>
      <c r="S12" s="1065">
        <v>70027363738</v>
      </c>
      <c r="T12" s="1065">
        <v>91417278761</v>
      </c>
      <c r="U12" s="1065">
        <v>110950461595</v>
      </c>
      <c r="V12" s="1065">
        <v>114981303041</v>
      </c>
      <c r="W12" s="1065">
        <v>142921677857</v>
      </c>
      <c r="X12" s="1065">
        <v>155128599844</v>
      </c>
      <c r="Y12" s="1065">
        <v>139077518074</v>
      </c>
      <c r="Z12" s="1065">
        <v>131042724460</v>
      </c>
      <c r="AA12" s="1065">
        <v>148819823749</v>
      </c>
      <c r="AB12" s="1065">
        <v>135340945364</v>
      </c>
      <c r="AC12" s="1065">
        <v>177588693389</v>
      </c>
      <c r="AD12" s="1065">
        <v>181182105647</v>
      </c>
      <c r="AE12" s="1065">
        <v>135948846932</v>
      </c>
      <c r="AF12" s="1065">
        <v>109429313704</v>
      </c>
      <c r="AG12" s="1065">
        <v>98066430123</v>
      </c>
      <c r="AH12" s="1065">
        <v>70256576825</v>
      </c>
      <c r="AI12" s="1065">
        <v>35588514545</v>
      </c>
      <c r="AJ12" s="1065">
        <v>20819955078</v>
      </c>
      <c r="AK12" s="1065">
        <v>16739592804</v>
      </c>
      <c r="AL12" s="1065">
        <v>17517798884</v>
      </c>
      <c r="AM12" s="1065">
        <v>21355238786</v>
      </c>
      <c r="AN12" s="1065">
        <v>15990515348</v>
      </c>
      <c r="AO12" s="1065">
        <v>12459215935</v>
      </c>
      <c r="AP12" s="1065">
        <v>22248604885</v>
      </c>
      <c r="AQ12" s="1065">
        <v>27732505683</v>
      </c>
    </row>
    <row r="13" spans="1:43">
      <c r="A13" s="1062" t="s">
        <v>857</v>
      </c>
      <c r="B13" s="1063"/>
      <c r="C13" s="1063"/>
      <c r="D13" s="1063"/>
      <c r="E13" s="1063"/>
      <c r="F13" s="1063"/>
      <c r="G13" s="1063"/>
      <c r="H13" s="1063"/>
      <c r="I13" s="1063"/>
      <c r="J13" s="1063"/>
      <c r="K13" s="1063"/>
      <c r="L13" s="1063"/>
      <c r="M13" s="1063"/>
      <c r="N13" s="1063"/>
      <c r="O13" s="1063"/>
      <c r="P13" s="1063"/>
      <c r="Q13" s="1063"/>
      <c r="R13" s="1063"/>
      <c r="S13" s="1063"/>
      <c r="T13" s="1063"/>
      <c r="U13" s="1063"/>
      <c r="V13" s="1063"/>
      <c r="W13" s="1063"/>
      <c r="X13" s="1063"/>
      <c r="Y13" s="1063"/>
      <c r="Z13" s="1063"/>
      <c r="AA13" s="1063"/>
      <c r="AB13" s="1063"/>
      <c r="AC13" s="1063"/>
      <c r="AD13" s="1063"/>
      <c r="AE13" s="1063"/>
      <c r="AF13" s="1063"/>
      <c r="AG13" s="1063"/>
      <c r="AH13" s="1063"/>
      <c r="AI13" s="1063"/>
      <c r="AJ13" s="1063"/>
      <c r="AK13" s="1063"/>
      <c r="AL13" s="1063"/>
      <c r="AM13" s="1063"/>
      <c r="AN13" s="1063">
        <v>359674200</v>
      </c>
      <c r="AO13" s="1063">
        <v>0</v>
      </c>
      <c r="AP13" s="1063">
        <v>0</v>
      </c>
      <c r="AQ13" s="1063">
        <v>0</v>
      </c>
    </row>
    <row r="14" spans="1:43">
      <c r="A14" s="1064" t="s">
        <v>858</v>
      </c>
      <c r="B14" s="1065"/>
      <c r="C14" s="1065"/>
      <c r="D14" s="1065"/>
      <c r="E14" s="1065"/>
      <c r="F14" s="1065"/>
      <c r="G14" s="1065"/>
      <c r="H14" s="1065"/>
      <c r="I14" s="1065"/>
      <c r="J14" s="1065"/>
      <c r="K14" s="1065"/>
      <c r="L14" s="1065"/>
      <c r="M14" s="1065"/>
      <c r="N14" s="1065"/>
      <c r="O14" s="1065"/>
      <c r="P14" s="1065"/>
      <c r="Q14" s="1065"/>
      <c r="R14" s="1065"/>
      <c r="S14" s="1065"/>
      <c r="T14" s="1065"/>
      <c r="U14" s="1065"/>
      <c r="V14" s="1065"/>
      <c r="W14" s="1065"/>
      <c r="X14" s="1065"/>
      <c r="Y14" s="1065"/>
      <c r="Z14" s="1065"/>
      <c r="AA14" s="1065"/>
      <c r="AB14" s="1065"/>
      <c r="AC14" s="1065"/>
      <c r="AD14" s="1065"/>
      <c r="AE14" s="1065"/>
      <c r="AF14" s="1065"/>
      <c r="AG14" s="1065"/>
      <c r="AH14" s="1065"/>
      <c r="AI14" s="1065"/>
      <c r="AJ14" s="1065"/>
      <c r="AK14" s="1065"/>
      <c r="AL14" s="1065"/>
      <c r="AM14" s="1065"/>
      <c r="AN14" s="1065">
        <v>359674200</v>
      </c>
      <c r="AO14" s="1065">
        <v>0</v>
      </c>
      <c r="AP14" s="1065">
        <v>0</v>
      </c>
      <c r="AQ14" s="1065">
        <v>0</v>
      </c>
    </row>
    <row r="15" spans="1:43">
      <c r="A15" s="1062" t="s">
        <v>859</v>
      </c>
      <c r="B15" s="1063">
        <v>345034765198</v>
      </c>
      <c r="C15" s="1063">
        <v>551487052890</v>
      </c>
      <c r="D15" s="1063">
        <v>399550270730</v>
      </c>
      <c r="E15" s="1063">
        <v>425026917764</v>
      </c>
      <c r="F15" s="1063">
        <v>393526085091</v>
      </c>
      <c r="G15" s="1063">
        <v>453059781242</v>
      </c>
      <c r="H15" s="1063">
        <v>535303543401.5</v>
      </c>
      <c r="I15" s="1063">
        <v>540424655470</v>
      </c>
      <c r="J15" s="1063">
        <v>0</v>
      </c>
      <c r="K15" s="1063">
        <v>0</v>
      </c>
      <c r="L15" s="1063">
        <v>0</v>
      </c>
      <c r="M15" s="1063">
        <v>0</v>
      </c>
      <c r="N15" s="1063">
        <v>0</v>
      </c>
      <c r="O15" s="1063">
        <v>0</v>
      </c>
      <c r="P15" s="1063">
        <v>0</v>
      </c>
      <c r="Q15" s="1063">
        <v>0</v>
      </c>
      <c r="R15" s="1063">
        <v>0</v>
      </c>
      <c r="S15" s="1063">
        <v>0</v>
      </c>
      <c r="T15" s="1063">
        <v>0</v>
      </c>
      <c r="U15" s="1063">
        <v>0</v>
      </c>
      <c r="V15" s="1063">
        <v>0</v>
      </c>
      <c r="W15" s="1063">
        <v>0</v>
      </c>
      <c r="X15" s="1063">
        <v>0</v>
      </c>
      <c r="Y15" s="1063">
        <v>0</v>
      </c>
      <c r="Z15" s="1063">
        <v>0</v>
      </c>
      <c r="AA15" s="1063">
        <v>0</v>
      </c>
      <c r="AB15" s="1063">
        <v>0</v>
      </c>
      <c r="AC15" s="1063">
        <v>0</v>
      </c>
      <c r="AD15" s="1063">
        <v>0</v>
      </c>
      <c r="AE15" s="1063">
        <v>0</v>
      </c>
      <c r="AF15" s="1063">
        <v>0</v>
      </c>
      <c r="AG15" s="1063">
        <v>0</v>
      </c>
      <c r="AH15" s="1063">
        <v>0</v>
      </c>
      <c r="AI15" s="1063">
        <v>0</v>
      </c>
      <c r="AJ15" s="1063">
        <v>0</v>
      </c>
      <c r="AK15" s="1063">
        <v>0</v>
      </c>
      <c r="AL15" s="1063">
        <v>0</v>
      </c>
      <c r="AM15" s="1063">
        <v>0</v>
      </c>
      <c r="AN15" s="1063">
        <v>0</v>
      </c>
      <c r="AO15" s="1063">
        <v>0</v>
      </c>
      <c r="AP15" s="1063">
        <v>0</v>
      </c>
      <c r="AQ15" s="1063">
        <v>0</v>
      </c>
    </row>
    <row r="16" spans="1:43">
      <c r="A16" s="1064" t="s">
        <v>860</v>
      </c>
      <c r="B16" s="1065">
        <v>4393096462</v>
      </c>
      <c r="C16" s="1065">
        <v>4398137017</v>
      </c>
      <c r="D16" s="1065">
        <v>4290264581</v>
      </c>
      <c r="E16" s="1065">
        <v>4517369273</v>
      </c>
      <c r="F16" s="1065">
        <v>2153815656</v>
      </c>
      <c r="G16" s="1065">
        <v>2222000970</v>
      </c>
      <c r="H16" s="1065">
        <v>1451557574</v>
      </c>
      <c r="I16" s="1065">
        <v>495967515</v>
      </c>
      <c r="J16" s="1065">
        <v>0</v>
      </c>
      <c r="K16" s="1065">
        <v>0</v>
      </c>
      <c r="L16" s="1065">
        <v>0</v>
      </c>
      <c r="M16" s="1065">
        <v>0</v>
      </c>
      <c r="N16" s="1065">
        <v>0</v>
      </c>
      <c r="O16" s="1065">
        <v>0</v>
      </c>
      <c r="P16" s="1065">
        <v>0</v>
      </c>
      <c r="Q16" s="1065">
        <v>0</v>
      </c>
      <c r="R16" s="1065">
        <v>0</v>
      </c>
      <c r="S16" s="1065">
        <v>0</v>
      </c>
      <c r="T16" s="1065">
        <v>0</v>
      </c>
      <c r="U16" s="1065">
        <v>0</v>
      </c>
      <c r="V16" s="1065">
        <v>0</v>
      </c>
      <c r="W16" s="1065">
        <v>0</v>
      </c>
      <c r="X16" s="1065">
        <v>0</v>
      </c>
      <c r="Y16" s="1065">
        <v>0</v>
      </c>
      <c r="Z16" s="1065">
        <v>0</v>
      </c>
      <c r="AA16" s="1065">
        <v>0</v>
      </c>
      <c r="AB16" s="1065">
        <v>0</v>
      </c>
      <c r="AC16" s="1065">
        <v>0</v>
      </c>
      <c r="AD16" s="1065">
        <v>0</v>
      </c>
      <c r="AE16" s="1065">
        <v>0</v>
      </c>
      <c r="AF16" s="1065">
        <v>0</v>
      </c>
      <c r="AG16" s="1065">
        <v>0</v>
      </c>
      <c r="AH16" s="1065">
        <v>0</v>
      </c>
      <c r="AI16" s="1065">
        <v>0</v>
      </c>
      <c r="AJ16" s="1065">
        <v>0</v>
      </c>
      <c r="AK16" s="1065">
        <v>0</v>
      </c>
      <c r="AL16" s="1065">
        <v>0</v>
      </c>
      <c r="AM16" s="1065">
        <v>0</v>
      </c>
      <c r="AN16" s="1065">
        <v>0</v>
      </c>
      <c r="AO16" s="1065">
        <v>0</v>
      </c>
      <c r="AP16" s="1065">
        <v>0</v>
      </c>
      <c r="AQ16" s="1065">
        <v>0</v>
      </c>
    </row>
    <row r="17" spans="1:43">
      <c r="A17" s="1064" t="s">
        <v>861</v>
      </c>
      <c r="B17" s="1065">
        <v>340814022618</v>
      </c>
      <c r="C17" s="1065">
        <v>547221288230</v>
      </c>
      <c r="D17" s="1065">
        <v>395349540834</v>
      </c>
      <c r="E17" s="1065">
        <v>420560862920</v>
      </c>
      <c r="F17" s="1065">
        <v>391388631242</v>
      </c>
      <c r="G17" s="1065">
        <v>450853038193</v>
      </c>
      <c r="H17" s="1065">
        <v>533859850760.5</v>
      </c>
      <c r="I17" s="1065">
        <v>539931654891</v>
      </c>
      <c r="J17" s="1065">
        <v>0</v>
      </c>
      <c r="K17" s="1065">
        <v>0</v>
      </c>
      <c r="L17" s="1065">
        <v>0</v>
      </c>
      <c r="M17" s="1065">
        <v>0</v>
      </c>
      <c r="N17" s="1065">
        <v>0</v>
      </c>
      <c r="O17" s="1065">
        <v>0</v>
      </c>
      <c r="P17" s="1065">
        <v>0</v>
      </c>
      <c r="Q17" s="1065">
        <v>0</v>
      </c>
      <c r="R17" s="1065">
        <v>0</v>
      </c>
      <c r="S17" s="1065">
        <v>0</v>
      </c>
      <c r="T17" s="1065">
        <v>0</v>
      </c>
      <c r="U17" s="1065">
        <v>0</v>
      </c>
      <c r="V17" s="1065">
        <v>0</v>
      </c>
      <c r="W17" s="1065">
        <v>0</v>
      </c>
      <c r="X17" s="1065">
        <v>0</v>
      </c>
      <c r="Y17" s="1065">
        <v>0</v>
      </c>
      <c r="Z17" s="1065">
        <v>0</v>
      </c>
      <c r="AA17" s="1065">
        <v>0</v>
      </c>
      <c r="AB17" s="1065">
        <v>0</v>
      </c>
      <c r="AC17" s="1065">
        <v>0</v>
      </c>
      <c r="AD17" s="1065">
        <v>0</v>
      </c>
      <c r="AE17" s="1065">
        <v>0</v>
      </c>
      <c r="AF17" s="1065">
        <v>0</v>
      </c>
      <c r="AG17" s="1065">
        <v>0</v>
      </c>
      <c r="AH17" s="1065">
        <v>0</v>
      </c>
      <c r="AI17" s="1065">
        <v>0</v>
      </c>
      <c r="AJ17" s="1065">
        <v>0</v>
      </c>
      <c r="AK17" s="1065">
        <v>0</v>
      </c>
      <c r="AL17" s="1065">
        <v>0</v>
      </c>
      <c r="AM17" s="1065">
        <v>0</v>
      </c>
      <c r="AN17" s="1065">
        <v>0</v>
      </c>
      <c r="AO17" s="1065">
        <v>0</v>
      </c>
      <c r="AP17" s="1065">
        <v>0</v>
      </c>
      <c r="AQ17" s="1065">
        <v>0</v>
      </c>
    </row>
    <row r="18" spans="1:43">
      <c r="A18" s="1064" t="s">
        <v>862</v>
      </c>
      <c r="B18" s="1065">
        <v>-172353882</v>
      </c>
      <c r="C18" s="1065">
        <v>-132372357</v>
      </c>
      <c r="D18" s="1065">
        <v>-89534685</v>
      </c>
      <c r="E18" s="1065">
        <v>-51314429</v>
      </c>
      <c r="F18" s="1065">
        <v>-16361807</v>
      </c>
      <c r="G18" s="1065">
        <v>-15257921</v>
      </c>
      <c r="H18" s="1065">
        <v>-7864933</v>
      </c>
      <c r="I18" s="1065">
        <v>-2966936</v>
      </c>
      <c r="J18" s="1065">
        <v>0</v>
      </c>
      <c r="K18" s="1065">
        <v>0</v>
      </c>
      <c r="L18" s="1065">
        <v>0</v>
      </c>
      <c r="M18" s="1065">
        <v>0</v>
      </c>
      <c r="N18" s="1065">
        <v>0</v>
      </c>
      <c r="O18" s="1065">
        <v>0</v>
      </c>
      <c r="P18" s="1065">
        <v>0</v>
      </c>
      <c r="Q18" s="1065">
        <v>0</v>
      </c>
      <c r="R18" s="1065">
        <v>0</v>
      </c>
      <c r="S18" s="1065">
        <v>0</v>
      </c>
      <c r="T18" s="1065">
        <v>0</v>
      </c>
      <c r="U18" s="1065">
        <v>0</v>
      </c>
      <c r="V18" s="1065">
        <v>0</v>
      </c>
      <c r="W18" s="1065">
        <v>0</v>
      </c>
      <c r="X18" s="1065">
        <v>0</v>
      </c>
      <c r="Y18" s="1065">
        <v>0</v>
      </c>
      <c r="Z18" s="1065">
        <v>0</v>
      </c>
      <c r="AA18" s="1065">
        <v>0</v>
      </c>
      <c r="AB18" s="1065">
        <v>0</v>
      </c>
      <c r="AC18" s="1065">
        <v>0</v>
      </c>
      <c r="AD18" s="1065">
        <v>0</v>
      </c>
      <c r="AE18" s="1065">
        <v>0</v>
      </c>
      <c r="AF18" s="1065">
        <v>0</v>
      </c>
      <c r="AG18" s="1065">
        <v>0</v>
      </c>
      <c r="AH18" s="1065">
        <v>0</v>
      </c>
      <c r="AI18" s="1065">
        <v>0</v>
      </c>
      <c r="AJ18" s="1065">
        <v>0</v>
      </c>
      <c r="AK18" s="1065">
        <v>0</v>
      </c>
      <c r="AL18" s="1065">
        <v>0</v>
      </c>
      <c r="AM18" s="1065">
        <v>0</v>
      </c>
      <c r="AN18" s="1065">
        <v>0</v>
      </c>
      <c r="AO18" s="1065">
        <v>0</v>
      </c>
      <c r="AP18" s="1065">
        <v>0</v>
      </c>
      <c r="AQ18" s="1065">
        <v>0</v>
      </c>
    </row>
    <row r="19" spans="1:43">
      <c r="A19" s="1062" t="s">
        <v>863</v>
      </c>
      <c r="B19" s="1063">
        <v>802151986567</v>
      </c>
      <c r="C19" s="1063">
        <v>1124693668646</v>
      </c>
      <c r="D19" s="1063">
        <v>1234505372663</v>
      </c>
      <c r="E19" s="1063">
        <v>1563381776726</v>
      </c>
      <c r="F19" s="1063">
        <v>1467293640363</v>
      </c>
      <c r="G19" s="1063">
        <v>931279171710</v>
      </c>
      <c r="H19" s="1063">
        <v>1400832410304</v>
      </c>
      <c r="I19" s="1063">
        <v>1251665821436</v>
      </c>
      <c r="J19" s="1063">
        <v>865305693217</v>
      </c>
      <c r="K19" s="1063">
        <v>813644479271</v>
      </c>
      <c r="L19" s="1063">
        <v>1165035868027</v>
      </c>
      <c r="M19" s="1063">
        <v>810410340130</v>
      </c>
      <c r="N19" s="1063">
        <v>982148852953</v>
      </c>
      <c r="O19" s="1063">
        <v>915986536574</v>
      </c>
      <c r="P19" s="1063">
        <v>847205197626</v>
      </c>
      <c r="Q19" s="1063">
        <v>421091309685</v>
      </c>
      <c r="R19" s="1063">
        <v>359088410280</v>
      </c>
      <c r="S19" s="1063">
        <v>326966969722</v>
      </c>
      <c r="T19" s="1063">
        <v>319081822822</v>
      </c>
      <c r="U19" s="1063">
        <v>648920061987</v>
      </c>
      <c r="V19" s="1063">
        <v>819132131740</v>
      </c>
      <c r="W19" s="1063">
        <v>863158651200</v>
      </c>
      <c r="X19" s="1063">
        <v>1208221326365</v>
      </c>
      <c r="Y19" s="1063">
        <v>3242998268137</v>
      </c>
      <c r="Z19" s="1063">
        <v>4105300253772</v>
      </c>
      <c r="AA19" s="1063">
        <v>7026593909578</v>
      </c>
      <c r="AB19" s="1063">
        <v>5967711454084</v>
      </c>
      <c r="AC19" s="1063">
        <v>4387868081300</v>
      </c>
      <c r="AD19" s="1063">
        <v>3328104827739</v>
      </c>
      <c r="AE19" s="1063">
        <v>2989837656177</v>
      </c>
      <c r="AF19" s="1063">
        <v>3058515559357</v>
      </c>
      <c r="AG19" s="1063">
        <v>2995412900855</v>
      </c>
      <c r="AH19" s="1063">
        <v>2731957909839</v>
      </c>
      <c r="AI19" s="1063">
        <v>2660625349567</v>
      </c>
      <c r="AJ19" s="1063">
        <v>1975242714034</v>
      </c>
      <c r="AK19" s="1063">
        <v>2690459833977</v>
      </c>
      <c r="AL19" s="1063">
        <v>2775280341111</v>
      </c>
      <c r="AM19" s="1063">
        <v>3734027098370</v>
      </c>
      <c r="AN19" s="1063">
        <v>4240736084503</v>
      </c>
      <c r="AO19" s="1063">
        <v>5219008562167</v>
      </c>
      <c r="AP19" s="1063">
        <v>5575365624014</v>
      </c>
      <c r="AQ19" s="1063">
        <v>5683864184171</v>
      </c>
    </row>
    <row r="20" spans="1:43">
      <c r="A20" s="1064" t="s">
        <v>864</v>
      </c>
      <c r="B20" s="1065">
        <v>259161005791</v>
      </c>
      <c r="C20" s="1065">
        <v>244319343013</v>
      </c>
      <c r="D20" s="1065">
        <v>215506302832</v>
      </c>
      <c r="E20" s="1065">
        <v>222577764753</v>
      </c>
      <c r="F20" s="1065">
        <v>250873606907</v>
      </c>
      <c r="G20" s="1065">
        <v>235788958195</v>
      </c>
      <c r="H20" s="1065">
        <v>247990343145</v>
      </c>
      <c r="I20" s="1065">
        <v>246051373485</v>
      </c>
      <c r="J20" s="1065">
        <v>191457569638</v>
      </c>
      <c r="K20" s="1065">
        <v>192198953088</v>
      </c>
      <c r="L20" s="1065">
        <v>194577405275</v>
      </c>
      <c r="M20" s="1065">
        <v>200117353029</v>
      </c>
      <c r="N20" s="1065">
        <v>197396170447</v>
      </c>
      <c r="O20" s="1065">
        <v>212688147473</v>
      </c>
      <c r="P20" s="1065">
        <v>216863848661</v>
      </c>
      <c r="Q20" s="1065">
        <v>215195226256</v>
      </c>
      <c r="R20" s="1065">
        <v>213450018562</v>
      </c>
      <c r="S20" s="1065">
        <v>241381370053</v>
      </c>
      <c r="T20" s="1065">
        <v>244285717136</v>
      </c>
      <c r="U20" s="1065">
        <v>283258541660</v>
      </c>
      <c r="V20" s="1065">
        <v>292981876593</v>
      </c>
      <c r="W20" s="1065">
        <v>303020790571</v>
      </c>
      <c r="X20" s="1065">
        <v>309719372668</v>
      </c>
      <c r="Y20" s="1065">
        <v>309740474754</v>
      </c>
      <c r="Z20" s="1065">
        <v>306550269854</v>
      </c>
      <c r="AA20" s="1065">
        <v>401649096814</v>
      </c>
      <c r="AB20" s="1065">
        <v>399639152248</v>
      </c>
      <c r="AC20" s="1065">
        <v>350641909671</v>
      </c>
      <c r="AD20" s="1065">
        <v>348108550519</v>
      </c>
      <c r="AE20" s="1065">
        <v>375497928181</v>
      </c>
      <c r="AF20" s="1065">
        <v>360518042076</v>
      </c>
      <c r="AG20" s="1065">
        <v>363858494995</v>
      </c>
      <c r="AH20" s="1065">
        <v>372620694941</v>
      </c>
      <c r="AI20" s="1065">
        <v>363312535143</v>
      </c>
      <c r="AJ20" s="1065">
        <v>348315681876</v>
      </c>
      <c r="AK20" s="1065">
        <v>353238508457</v>
      </c>
      <c r="AL20" s="1065">
        <v>350342896831</v>
      </c>
      <c r="AM20" s="1065">
        <v>379253882822</v>
      </c>
      <c r="AN20" s="1065">
        <v>395795997618</v>
      </c>
      <c r="AO20" s="1065">
        <v>427819655543</v>
      </c>
      <c r="AP20" s="1065">
        <v>417526482539</v>
      </c>
      <c r="AQ20" s="1065">
        <v>425524437432</v>
      </c>
    </row>
    <row r="21" spans="1:43">
      <c r="A21" s="1064" t="s">
        <v>865</v>
      </c>
      <c r="B21" s="1065">
        <v>402953704166</v>
      </c>
      <c r="C21" s="1065">
        <v>521109039038</v>
      </c>
      <c r="D21" s="1065">
        <v>577139155106</v>
      </c>
      <c r="E21" s="1065">
        <v>1038187721235</v>
      </c>
      <c r="F21" s="1065">
        <v>901391190623</v>
      </c>
      <c r="G21" s="1065">
        <v>343799144598</v>
      </c>
      <c r="H21" s="1065">
        <v>807968649968</v>
      </c>
      <c r="I21" s="1065">
        <v>658677724253</v>
      </c>
      <c r="J21" s="1065">
        <v>502545908045</v>
      </c>
      <c r="K21" s="1065">
        <v>465140776853</v>
      </c>
      <c r="L21" s="1065">
        <v>934456135083</v>
      </c>
      <c r="M21" s="1065">
        <v>585291766099</v>
      </c>
      <c r="N21" s="1065">
        <v>784752682506</v>
      </c>
      <c r="O21" s="1065">
        <v>703298389101</v>
      </c>
      <c r="P21" s="1065">
        <v>630341348965</v>
      </c>
      <c r="Q21" s="1065">
        <v>205896083429</v>
      </c>
      <c r="R21" s="1065">
        <v>145638391718</v>
      </c>
      <c r="S21" s="1065">
        <v>85585599669</v>
      </c>
      <c r="T21" s="1065">
        <v>74796105686</v>
      </c>
      <c r="U21" s="1065">
        <v>365661520327</v>
      </c>
      <c r="V21" s="1065">
        <v>526150255147</v>
      </c>
      <c r="W21" s="1065">
        <v>560137860629</v>
      </c>
      <c r="X21" s="1065">
        <v>898501953697</v>
      </c>
      <c r="Y21" s="1065">
        <v>2933257793383</v>
      </c>
      <c r="Z21" s="1065">
        <v>3798749983918</v>
      </c>
      <c r="AA21" s="1065">
        <v>6624944812764</v>
      </c>
      <c r="AB21" s="1065">
        <v>5568072301836</v>
      </c>
      <c r="AC21" s="1065">
        <v>4037226171629</v>
      </c>
      <c r="AD21" s="1065">
        <v>2979996277220</v>
      </c>
      <c r="AE21" s="1065">
        <v>2614339727996</v>
      </c>
      <c r="AF21" s="1065">
        <v>2697997517281</v>
      </c>
      <c r="AG21" s="1065">
        <v>2631554405860</v>
      </c>
      <c r="AH21" s="1065">
        <v>2359337214898</v>
      </c>
      <c r="AI21" s="1065">
        <v>2297312814424</v>
      </c>
      <c r="AJ21" s="1065">
        <v>1626927032158</v>
      </c>
      <c r="AK21" s="1065">
        <v>2337221325520</v>
      </c>
      <c r="AL21" s="1065">
        <v>2424937444280</v>
      </c>
      <c r="AM21" s="1065">
        <v>3354773215548</v>
      </c>
      <c r="AN21" s="1065">
        <v>3844940086885</v>
      </c>
      <c r="AO21" s="1065">
        <v>4791188906624</v>
      </c>
      <c r="AP21" s="1065">
        <v>5157839141475</v>
      </c>
      <c r="AQ21" s="1065">
        <v>5258339746739</v>
      </c>
    </row>
    <row r="22" spans="1:43">
      <c r="A22" s="1064" t="s">
        <v>866</v>
      </c>
      <c r="B22" s="1065">
        <v>112323343605</v>
      </c>
      <c r="C22" s="1065">
        <v>170768025343</v>
      </c>
      <c r="D22" s="1065">
        <v>247869314011</v>
      </c>
      <c r="E22" s="1065">
        <v>97987525354</v>
      </c>
      <c r="F22" s="1065">
        <v>106006502265</v>
      </c>
      <c r="G22" s="1065">
        <v>177098105066</v>
      </c>
      <c r="H22" s="1065">
        <v>125008008618</v>
      </c>
      <c r="I22" s="1065">
        <v>113173589320</v>
      </c>
      <c r="J22" s="1065">
        <v>0</v>
      </c>
      <c r="K22" s="1065">
        <v>0</v>
      </c>
      <c r="L22" s="1065">
        <v>0</v>
      </c>
      <c r="M22" s="1065">
        <v>0</v>
      </c>
      <c r="N22" s="1065">
        <v>0</v>
      </c>
      <c r="O22" s="1065">
        <v>0</v>
      </c>
      <c r="P22" s="1065">
        <v>0</v>
      </c>
      <c r="Q22" s="1065">
        <v>0</v>
      </c>
      <c r="R22" s="1065">
        <v>0</v>
      </c>
      <c r="S22" s="1065">
        <v>0</v>
      </c>
      <c r="T22" s="1065">
        <v>0</v>
      </c>
      <c r="U22" s="1065">
        <v>0</v>
      </c>
      <c r="V22" s="1065">
        <v>0</v>
      </c>
      <c r="W22" s="1065">
        <v>0</v>
      </c>
      <c r="X22" s="1065">
        <v>0</v>
      </c>
      <c r="Y22" s="1065">
        <v>0</v>
      </c>
      <c r="Z22" s="1065">
        <v>0</v>
      </c>
      <c r="AA22" s="1065">
        <v>0</v>
      </c>
      <c r="AB22" s="1065">
        <v>0</v>
      </c>
      <c r="AC22" s="1065">
        <v>0</v>
      </c>
      <c r="AD22" s="1065">
        <v>0</v>
      </c>
      <c r="AE22" s="1065">
        <v>0</v>
      </c>
      <c r="AF22" s="1065">
        <v>0</v>
      </c>
      <c r="AG22" s="1065">
        <v>0</v>
      </c>
      <c r="AH22" s="1065">
        <v>0</v>
      </c>
      <c r="AI22" s="1065">
        <v>0</v>
      </c>
      <c r="AJ22" s="1065">
        <v>0</v>
      </c>
      <c r="AK22" s="1065">
        <v>0</v>
      </c>
      <c r="AL22" s="1065">
        <v>0</v>
      </c>
      <c r="AM22" s="1065">
        <v>0</v>
      </c>
      <c r="AN22" s="1065">
        <v>0</v>
      </c>
      <c r="AO22" s="1065">
        <v>0</v>
      </c>
      <c r="AP22" s="1065">
        <v>0</v>
      </c>
      <c r="AQ22" s="1065">
        <v>0</v>
      </c>
    </row>
    <row r="23" spans="1:43">
      <c r="A23" s="1064" t="s">
        <v>867</v>
      </c>
      <c r="B23" s="1065">
        <v>20721240435</v>
      </c>
      <c r="C23" s="1065">
        <v>180922765862</v>
      </c>
      <c r="D23" s="1065">
        <v>185649447334</v>
      </c>
      <c r="E23" s="1065">
        <v>185583280134</v>
      </c>
      <c r="F23" s="1065">
        <v>195533965538</v>
      </c>
      <c r="G23" s="1065">
        <v>165530951211</v>
      </c>
      <c r="H23" s="1065">
        <v>210316965373</v>
      </c>
      <c r="I23" s="1065">
        <v>221307959948</v>
      </c>
      <c r="J23" s="1065">
        <v>171302215534</v>
      </c>
      <c r="K23" s="1065">
        <v>156304749330</v>
      </c>
      <c r="L23" s="1065">
        <v>36002327669</v>
      </c>
      <c r="M23" s="1065">
        <v>25001221002</v>
      </c>
      <c r="N23" s="1065">
        <v>0</v>
      </c>
      <c r="O23" s="1065">
        <v>0</v>
      </c>
      <c r="P23" s="1065">
        <v>0</v>
      </c>
      <c r="Q23" s="1065">
        <v>0</v>
      </c>
      <c r="R23" s="1065">
        <v>0</v>
      </c>
      <c r="S23" s="1065">
        <v>0</v>
      </c>
      <c r="T23" s="1065">
        <v>0</v>
      </c>
      <c r="U23" s="1065">
        <v>0</v>
      </c>
      <c r="V23" s="1065">
        <v>0</v>
      </c>
      <c r="W23" s="1065">
        <v>0</v>
      </c>
      <c r="X23" s="1065">
        <v>0</v>
      </c>
      <c r="Y23" s="1065">
        <v>0</v>
      </c>
      <c r="Z23" s="1065">
        <v>0</v>
      </c>
      <c r="AA23" s="1065">
        <v>0</v>
      </c>
      <c r="AB23" s="1065">
        <v>0</v>
      </c>
      <c r="AC23" s="1065">
        <v>0</v>
      </c>
      <c r="AD23" s="1065">
        <v>0</v>
      </c>
      <c r="AE23" s="1065">
        <v>0</v>
      </c>
      <c r="AF23" s="1065">
        <v>0</v>
      </c>
      <c r="AG23" s="1065">
        <v>0</v>
      </c>
      <c r="AH23" s="1065">
        <v>0</v>
      </c>
      <c r="AI23" s="1065">
        <v>0</v>
      </c>
      <c r="AJ23" s="1065">
        <v>0</v>
      </c>
      <c r="AK23" s="1065">
        <v>0</v>
      </c>
      <c r="AL23" s="1065">
        <v>0</v>
      </c>
      <c r="AM23" s="1065">
        <v>0</v>
      </c>
      <c r="AN23" s="1065">
        <v>0</v>
      </c>
      <c r="AO23" s="1065">
        <v>0</v>
      </c>
      <c r="AP23" s="1065">
        <v>0</v>
      </c>
      <c r="AQ23" s="1065">
        <v>0</v>
      </c>
    </row>
    <row r="24" spans="1:43">
      <c r="A24" s="1064" t="s">
        <v>868</v>
      </c>
      <c r="B24" s="1065">
        <v>0</v>
      </c>
      <c r="C24" s="1065">
        <v>0</v>
      </c>
      <c r="D24" s="1065">
        <v>0</v>
      </c>
      <c r="E24" s="1065">
        <v>10731480000</v>
      </c>
      <c r="F24" s="1065">
        <v>5161962500</v>
      </c>
      <c r="G24" s="1065">
        <v>0</v>
      </c>
      <c r="H24" s="1065">
        <v>0</v>
      </c>
      <c r="I24" s="1065">
        <v>0</v>
      </c>
      <c r="J24" s="1065">
        <v>0</v>
      </c>
      <c r="K24" s="1065">
        <v>0</v>
      </c>
      <c r="L24" s="1065">
        <v>0</v>
      </c>
      <c r="M24" s="1065">
        <v>0</v>
      </c>
      <c r="N24" s="1065">
        <v>0</v>
      </c>
      <c r="O24" s="1065">
        <v>0</v>
      </c>
      <c r="P24" s="1065">
        <v>0</v>
      </c>
      <c r="Q24" s="1065">
        <v>0</v>
      </c>
      <c r="R24" s="1065">
        <v>0</v>
      </c>
      <c r="S24" s="1065">
        <v>0</v>
      </c>
      <c r="T24" s="1065">
        <v>0</v>
      </c>
      <c r="U24" s="1065">
        <v>0</v>
      </c>
      <c r="V24" s="1065">
        <v>0</v>
      </c>
      <c r="W24" s="1065">
        <v>0</v>
      </c>
      <c r="X24" s="1065">
        <v>0</v>
      </c>
      <c r="Y24" s="1065">
        <v>0</v>
      </c>
      <c r="Z24" s="1065">
        <v>0</v>
      </c>
      <c r="AA24" s="1065">
        <v>0</v>
      </c>
      <c r="AB24" s="1065">
        <v>0</v>
      </c>
      <c r="AC24" s="1065">
        <v>0</v>
      </c>
      <c r="AD24" s="1065">
        <v>0</v>
      </c>
      <c r="AE24" s="1065">
        <v>0</v>
      </c>
      <c r="AF24" s="1065">
        <v>0</v>
      </c>
      <c r="AG24" s="1065">
        <v>0</v>
      </c>
      <c r="AH24" s="1065">
        <v>0</v>
      </c>
      <c r="AI24" s="1065">
        <v>0</v>
      </c>
      <c r="AJ24" s="1065">
        <v>0</v>
      </c>
      <c r="AK24" s="1065">
        <v>0</v>
      </c>
      <c r="AL24" s="1065">
        <v>0</v>
      </c>
      <c r="AM24" s="1065">
        <v>0</v>
      </c>
      <c r="AN24" s="1065">
        <v>0</v>
      </c>
      <c r="AO24" s="1065">
        <v>0</v>
      </c>
      <c r="AP24" s="1065">
        <v>0</v>
      </c>
      <c r="AQ24" s="1065">
        <v>0</v>
      </c>
    </row>
    <row r="25" spans="1:43">
      <c r="A25" s="1064" t="s">
        <v>869</v>
      </c>
      <c r="B25" s="1065">
        <v>6992692570</v>
      </c>
      <c r="C25" s="1065">
        <v>7574495390</v>
      </c>
      <c r="D25" s="1065">
        <v>8341153380</v>
      </c>
      <c r="E25" s="1065">
        <v>8314005250</v>
      </c>
      <c r="F25" s="1065">
        <v>8326412530</v>
      </c>
      <c r="G25" s="1065">
        <v>9062012640</v>
      </c>
      <c r="H25" s="1065">
        <v>9548443200</v>
      </c>
      <c r="I25" s="1065">
        <v>12455174430</v>
      </c>
      <c r="J25" s="1065">
        <v>0</v>
      </c>
      <c r="K25" s="1065">
        <v>0</v>
      </c>
      <c r="L25" s="1065">
        <v>0</v>
      </c>
      <c r="M25" s="1065">
        <v>0</v>
      </c>
      <c r="N25" s="1065">
        <v>0</v>
      </c>
      <c r="O25" s="1065">
        <v>0</v>
      </c>
      <c r="P25" s="1065">
        <v>0</v>
      </c>
      <c r="Q25" s="1065">
        <v>0</v>
      </c>
      <c r="R25" s="1065">
        <v>0</v>
      </c>
      <c r="S25" s="1065">
        <v>0</v>
      </c>
      <c r="T25" s="1065">
        <v>0</v>
      </c>
      <c r="U25" s="1065">
        <v>0</v>
      </c>
      <c r="V25" s="1065">
        <v>0</v>
      </c>
      <c r="W25" s="1065">
        <v>0</v>
      </c>
      <c r="X25" s="1065">
        <v>0</v>
      </c>
      <c r="Y25" s="1065">
        <v>0</v>
      </c>
      <c r="Z25" s="1065">
        <v>0</v>
      </c>
      <c r="AA25" s="1065">
        <v>0</v>
      </c>
      <c r="AB25" s="1065">
        <v>0</v>
      </c>
      <c r="AC25" s="1065">
        <v>0</v>
      </c>
      <c r="AD25" s="1065">
        <v>0</v>
      </c>
      <c r="AE25" s="1065">
        <v>0</v>
      </c>
      <c r="AF25" s="1065">
        <v>0</v>
      </c>
      <c r="AG25" s="1065">
        <v>0</v>
      </c>
      <c r="AH25" s="1065">
        <v>0</v>
      </c>
      <c r="AI25" s="1065">
        <v>0</v>
      </c>
      <c r="AJ25" s="1065">
        <v>0</v>
      </c>
      <c r="AK25" s="1065">
        <v>0</v>
      </c>
      <c r="AL25" s="1065">
        <v>0</v>
      </c>
      <c r="AM25" s="1065">
        <v>0</v>
      </c>
      <c r="AN25" s="1065">
        <v>0</v>
      </c>
      <c r="AO25" s="1065">
        <v>0</v>
      </c>
      <c r="AP25" s="1065">
        <v>0</v>
      </c>
      <c r="AQ25" s="1065">
        <v>0</v>
      </c>
    </row>
    <row r="26" spans="1:43">
      <c r="A26" s="1062" t="s">
        <v>870</v>
      </c>
      <c r="B26" s="1063">
        <v>0</v>
      </c>
      <c r="C26" s="1063">
        <v>0</v>
      </c>
      <c r="D26" s="1063">
        <v>0</v>
      </c>
      <c r="E26" s="1063">
        <v>0</v>
      </c>
      <c r="F26" s="1063">
        <v>0</v>
      </c>
      <c r="G26" s="1063">
        <v>0</v>
      </c>
      <c r="H26" s="1063">
        <v>0</v>
      </c>
      <c r="I26" s="1063">
        <v>0</v>
      </c>
      <c r="J26" s="1063">
        <v>0</v>
      </c>
      <c r="K26" s="1063">
        <v>0</v>
      </c>
      <c r="L26" s="1063">
        <v>0</v>
      </c>
      <c r="M26" s="1063">
        <v>0</v>
      </c>
      <c r="N26" s="1063">
        <v>0</v>
      </c>
      <c r="O26" s="1063">
        <v>0</v>
      </c>
      <c r="P26" s="1063">
        <v>0</v>
      </c>
      <c r="Q26" s="1063">
        <v>0</v>
      </c>
      <c r="R26" s="1063">
        <v>0</v>
      </c>
      <c r="S26" s="1063">
        <v>0</v>
      </c>
      <c r="T26" s="1063">
        <v>0</v>
      </c>
      <c r="U26" s="1063">
        <v>0</v>
      </c>
      <c r="V26" s="1063">
        <v>0</v>
      </c>
      <c r="W26" s="1063">
        <v>0</v>
      </c>
      <c r="X26" s="1063">
        <v>0</v>
      </c>
      <c r="Y26" s="1063">
        <v>0</v>
      </c>
      <c r="Z26" s="1063">
        <v>0</v>
      </c>
      <c r="AA26" s="1063">
        <v>0</v>
      </c>
      <c r="AB26" s="1063">
        <v>0</v>
      </c>
      <c r="AC26" s="1063">
        <v>0</v>
      </c>
      <c r="AD26" s="1063">
        <v>0</v>
      </c>
      <c r="AE26" s="1063">
        <v>0</v>
      </c>
      <c r="AF26" s="1063">
        <v>0</v>
      </c>
      <c r="AG26" s="1063">
        <v>0</v>
      </c>
      <c r="AH26" s="1063">
        <v>0</v>
      </c>
      <c r="AI26" s="1063">
        <v>0</v>
      </c>
      <c r="AJ26" s="1063">
        <v>0</v>
      </c>
      <c r="AK26" s="1063">
        <v>0</v>
      </c>
      <c r="AL26" s="1063">
        <v>0</v>
      </c>
      <c r="AM26" s="1063">
        <v>0</v>
      </c>
      <c r="AN26" s="1063">
        <v>0</v>
      </c>
      <c r="AO26" s="1063">
        <v>0</v>
      </c>
      <c r="AP26" s="1063">
        <v>0</v>
      </c>
      <c r="AQ26" s="1063">
        <v>0</v>
      </c>
    </row>
    <row r="27" spans="1:43">
      <c r="A27" s="1064" t="s">
        <v>871</v>
      </c>
      <c r="B27" s="1065">
        <v>0</v>
      </c>
      <c r="C27" s="1065">
        <v>0</v>
      </c>
      <c r="D27" s="1065">
        <v>0</v>
      </c>
      <c r="E27" s="1065">
        <v>0</v>
      </c>
      <c r="F27" s="1065">
        <v>0</v>
      </c>
      <c r="G27" s="1065">
        <v>0</v>
      </c>
      <c r="H27" s="1065">
        <v>0</v>
      </c>
      <c r="I27" s="1065">
        <v>0</v>
      </c>
      <c r="J27" s="1065">
        <v>0</v>
      </c>
      <c r="K27" s="1065">
        <v>0</v>
      </c>
      <c r="L27" s="1065">
        <v>0</v>
      </c>
      <c r="M27" s="1065">
        <v>0</v>
      </c>
      <c r="N27" s="1065">
        <v>0</v>
      </c>
      <c r="O27" s="1065">
        <v>0</v>
      </c>
      <c r="P27" s="1065">
        <v>0</v>
      </c>
      <c r="Q27" s="1065">
        <v>0</v>
      </c>
      <c r="R27" s="1065">
        <v>0</v>
      </c>
      <c r="S27" s="1065">
        <v>0</v>
      </c>
      <c r="T27" s="1065">
        <v>0</v>
      </c>
      <c r="U27" s="1065">
        <v>0</v>
      </c>
      <c r="V27" s="1065">
        <v>0</v>
      </c>
      <c r="W27" s="1065">
        <v>0</v>
      </c>
      <c r="X27" s="1065">
        <v>0</v>
      </c>
      <c r="Y27" s="1065">
        <v>0</v>
      </c>
      <c r="Z27" s="1065">
        <v>0</v>
      </c>
      <c r="AA27" s="1065">
        <v>0</v>
      </c>
      <c r="AB27" s="1065">
        <v>0</v>
      </c>
      <c r="AC27" s="1065">
        <v>0</v>
      </c>
      <c r="AD27" s="1065">
        <v>0</v>
      </c>
      <c r="AE27" s="1065">
        <v>0</v>
      </c>
      <c r="AF27" s="1065">
        <v>0</v>
      </c>
      <c r="AG27" s="1065">
        <v>0</v>
      </c>
      <c r="AH27" s="1065">
        <v>0</v>
      </c>
      <c r="AI27" s="1065">
        <v>0</v>
      </c>
      <c r="AJ27" s="1065">
        <v>0</v>
      </c>
      <c r="AK27" s="1065">
        <v>0</v>
      </c>
      <c r="AL27" s="1065">
        <v>0</v>
      </c>
      <c r="AM27" s="1065">
        <v>0</v>
      </c>
      <c r="AN27" s="1065">
        <v>0</v>
      </c>
      <c r="AO27" s="1065">
        <v>0</v>
      </c>
      <c r="AP27" s="1065">
        <v>0</v>
      </c>
      <c r="AQ27" s="1065">
        <v>0</v>
      </c>
    </row>
    <row r="28" spans="1:43">
      <c r="A28" s="1064" t="s">
        <v>872</v>
      </c>
      <c r="B28" s="1065">
        <v>0</v>
      </c>
      <c r="C28" s="1065">
        <v>0</v>
      </c>
      <c r="D28" s="1065">
        <v>0</v>
      </c>
      <c r="E28" s="1065">
        <v>0</v>
      </c>
      <c r="F28" s="1065">
        <v>0</v>
      </c>
      <c r="G28" s="1065">
        <v>0</v>
      </c>
      <c r="H28" s="1065">
        <v>0</v>
      </c>
      <c r="I28" s="1065">
        <v>0</v>
      </c>
      <c r="J28" s="1065">
        <v>0</v>
      </c>
      <c r="K28" s="1065">
        <v>0</v>
      </c>
      <c r="L28" s="1065">
        <v>0</v>
      </c>
      <c r="M28" s="1065">
        <v>0</v>
      </c>
      <c r="N28" s="1065">
        <v>0</v>
      </c>
      <c r="O28" s="1065">
        <v>0</v>
      </c>
      <c r="P28" s="1065">
        <v>0</v>
      </c>
      <c r="Q28" s="1065">
        <v>0</v>
      </c>
      <c r="R28" s="1065">
        <v>0</v>
      </c>
      <c r="S28" s="1065">
        <v>0</v>
      </c>
      <c r="T28" s="1065">
        <v>0</v>
      </c>
      <c r="U28" s="1065">
        <v>0</v>
      </c>
      <c r="V28" s="1065">
        <v>0</v>
      </c>
      <c r="W28" s="1065">
        <v>0</v>
      </c>
      <c r="X28" s="1065">
        <v>0</v>
      </c>
      <c r="Y28" s="1065">
        <v>0</v>
      </c>
      <c r="Z28" s="1065">
        <v>0</v>
      </c>
      <c r="AA28" s="1065">
        <v>0</v>
      </c>
      <c r="AB28" s="1065">
        <v>0</v>
      </c>
      <c r="AC28" s="1065">
        <v>0</v>
      </c>
      <c r="AD28" s="1065">
        <v>0</v>
      </c>
      <c r="AE28" s="1065">
        <v>0</v>
      </c>
      <c r="AF28" s="1065">
        <v>0</v>
      </c>
      <c r="AG28" s="1065">
        <v>0</v>
      </c>
      <c r="AH28" s="1065">
        <v>0</v>
      </c>
      <c r="AI28" s="1065">
        <v>0</v>
      </c>
      <c r="AJ28" s="1065">
        <v>0</v>
      </c>
      <c r="AK28" s="1065">
        <v>0</v>
      </c>
      <c r="AL28" s="1065">
        <v>0</v>
      </c>
      <c r="AM28" s="1065">
        <v>0</v>
      </c>
      <c r="AN28" s="1065">
        <v>0</v>
      </c>
      <c r="AO28" s="1065">
        <v>0</v>
      </c>
      <c r="AP28" s="1065">
        <v>0</v>
      </c>
      <c r="AQ28" s="1065">
        <v>0</v>
      </c>
    </row>
    <row r="29" spans="1:43">
      <c r="A29" s="1064" t="s">
        <v>873</v>
      </c>
      <c r="B29" s="1065">
        <v>0</v>
      </c>
      <c r="C29" s="1065">
        <v>0</v>
      </c>
      <c r="D29" s="1065">
        <v>0</v>
      </c>
      <c r="E29" s="1065">
        <v>0</v>
      </c>
      <c r="F29" s="1065">
        <v>0</v>
      </c>
      <c r="G29" s="1065">
        <v>0</v>
      </c>
      <c r="H29" s="1065">
        <v>0</v>
      </c>
      <c r="I29" s="1065">
        <v>0</v>
      </c>
      <c r="J29" s="1065">
        <v>0</v>
      </c>
      <c r="K29" s="1065">
        <v>0</v>
      </c>
      <c r="L29" s="1065">
        <v>0</v>
      </c>
      <c r="M29" s="1065">
        <v>0</v>
      </c>
      <c r="N29" s="1065">
        <v>0</v>
      </c>
      <c r="O29" s="1065">
        <v>0</v>
      </c>
      <c r="P29" s="1065">
        <v>0</v>
      </c>
      <c r="Q29" s="1065">
        <v>0</v>
      </c>
      <c r="R29" s="1065">
        <v>0</v>
      </c>
      <c r="S29" s="1065">
        <v>0</v>
      </c>
      <c r="T29" s="1065">
        <v>0</v>
      </c>
      <c r="U29" s="1065">
        <v>0</v>
      </c>
      <c r="V29" s="1065">
        <v>0</v>
      </c>
      <c r="W29" s="1065">
        <v>0</v>
      </c>
      <c r="X29" s="1065">
        <v>0</v>
      </c>
      <c r="Y29" s="1065">
        <v>0</v>
      </c>
      <c r="Z29" s="1065">
        <v>0</v>
      </c>
      <c r="AA29" s="1065">
        <v>0</v>
      </c>
      <c r="AB29" s="1065">
        <v>0</v>
      </c>
      <c r="AC29" s="1065">
        <v>0</v>
      </c>
      <c r="AD29" s="1065">
        <v>0</v>
      </c>
      <c r="AE29" s="1065">
        <v>0</v>
      </c>
      <c r="AF29" s="1065">
        <v>0</v>
      </c>
      <c r="AG29" s="1065">
        <v>0</v>
      </c>
      <c r="AH29" s="1065">
        <v>0</v>
      </c>
      <c r="AI29" s="1065">
        <v>0</v>
      </c>
      <c r="AJ29" s="1065">
        <v>0</v>
      </c>
      <c r="AK29" s="1065">
        <v>0</v>
      </c>
      <c r="AL29" s="1065">
        <v>0</v>
      </c>
      <c r="AM29" s="1065">
        <v>0</v>
      </c>
      <c r="AN29" s="1065">
        <v>0</v>
      </c>
      <c r="AO29" s="1065">
        <v>0</v>
      </c>
      <c r="AP29" s="1065">
        <v>0</v>
      </c>
      <c r="AQ29" s="1065">
        <v>0</v>
      </c>
    </row>
    <row r="30" spans="1:43">
      <c r="A30" s="1062" t="s">
        <v>874</v>
      </c>
      <c r="B30" s="1063">
        <v>37455613563</v>
      </c>
      <c r="C30" s="1063">
        <v>36733090246</v>
      </c>
      <c r="D30" s="1063">
        <v>112505603449</v>
      </c>
      <c r="E30" s="1063">
        <v>231751610167</v>
      </c>
      <c r="F30" s="1063">
        <v>267160346860</v>
      </c>
      <c r="G30" s="1063">
        <v>245788567753</v>
      </c>
      <c r="H30" s="1063">
        <v>253698163896</v>
      </c>
      <c r="I30" s="1063">
        <v>209734765973</v>
      </c>
      <c r="J30" s="1063">
        <v>393659359341</v>
      </c>
      <c r="K30" s="1063">
        <v>492154011838</v>
      </c>
      <c r="L30" s="1063">
        <v>535496990974</v>
      </c>
      <c r="M30" s="1063">
        <v>595164466870</v>
      </c>
      <c r="N30" s="1063">
        <v>460701139863</v>
      </c>
      <c r="O30" s="1063">
        <v>629587223595</v>
      </c>
      <c r="P30" s="1063">
        <v>754108672015</v>
      </c>
      <c r="Q30" s="1063">
        <v>1529332154570</v>
      </c>
      <c r="R30" s="1063">
        <v>2122738627891</v>
      </c>
      <c r="S30" s="1063">
        <v>2145710421050</v>
      </c>
      <c r="T30" s="1063">
        <v>1770697410603</v>
      </c>
      <c r="U30" s="1063">
        <v>1666295119450</v>
      </c>
      <c r="V30" s="1063">
        <v>1669193964969</v>
      </c>
      <c r="W30" s="1063">
        <v>1648165626942</v>
      </c>
      <c r="X30" s="1063">
        <v>1540663674110</v>
      </c>
      <c r="Y30" s="1063">
        <v>1512864231224</v>
      </c>
      <c r="Z30" s="1063">
        <v>1555906867516</v>
      </c>
      <c r="AA30" s="1063">
        <v>1643617176173</v>
      </c>
      <c r="AB30" s="1063">
        <v>1753333534885</v>
      </c>
      <c r="AC30" s="1063">
        <v>1862266456470</v>
      </c>
      <c r="AD30" s="1063">
        <v>1865581852512</v>
      </c>
      <c r="AE30" s="1063">
        <v>1895351037527</v>
      </c>
      <c r="AF30" s="1063">
        <v>1975340620773</v>
      </c>
      <c r="AG30" s="1063">
        <v>2036676617009</v>
      </c>
      <c r="AH30" s="1063">
        <v>2075275694927</v>
      </c>
      <c r="AI30" s="1063">
        <v>1969868584430</v>
      </c>
      <c r="AJ30" s="1063">
        <v>2025101428010</v>
      </c>
      <c r="AK30" s="1063">
        <v>2204912384285</v>
      </c>
      <c r="AL30" s="1063">
        <v>2677141522348</v>
      </c>
      <c r="AM30" s="1063">
        <v>2676459165534</v>
      </c>
      <c r="AN30" s="1063">
        <v>2772539846612</v>
      </c>
      <c r="AO30" s="1063">
        <v>6032063843307</v>
      </c>
      <c r="AP30" s="1063">
        <v>6086323265589</v>
      </c>
      <c r="AQ30" s="1063">
        <v>5902117886482</v>
      </c>
    </row>
    <row r="31" spans="1:43">
      <c r="A31" s="1064" t="s">
        <v>875</v>
      </c>
      <c r="B31" s="1065">
        <v>0</v>
      </c>
      <c r="C31" s="1065">
        <v>0</v>
      </c>
      <c r="D31" s="1065">
        <v>0</v>
      </c>
      <c r="E31" s="1065">
        <v>0</v>
      </c>
      <c r="F31" s="1065">
        <v>0</v>
      </c>
      <c r="G31" s="1065">
        <v>0</v>
      </c>
      <c r="H31" s="1065">
        <v>0</v>
      </c>
      <c r="I31" s="1065">
        <v>0</v>
      </c>
      <c r="J31" s="1065">
        <v>0</v>
      </c>
      <c r="K31" s="1065">
        <v>0</v>
      </c>
      <c r="L31" s="1065">
        <v>0</v>
      </c>
      <c r="M31" s="1065">
        <v>0</v>
      </c>
      <c r="N31" s="1065">
        <v>0</v>
      </c>
      <c r="O31" s="1065">
        <v>0</v>
      </c>
      <c r="P31" s="1065">
        <v>0</v>
      </c>
      <c r="Q31" s="1065">
        <v>0</v>
      </c>
      <c r="R31" s="1065">
        <v>0</v>
      </c>
      <c r="S31" s="1065">
        <v>0</v>
      </c>
      <c r="T31" s="1065">
        <v>0</v>
      </c>
      <c r="U31" s="1065">
        <v>0</v>
      </c>
      <c r="V31" s="1065">
        <v>0</v>
      </c>
      <c r="W31" s="1065">
        <v>0</v>
      </c>
      <c r="X31" s="1065">
        <v>0</v>
      </c>
      <c r="Y31" s="1065">
        <v>0</v>
      </c>
      <c r="Z31" s="1065">
        <v>0</v>
      </c>
      <c r="AA31" s="1065">
        <v>0</v>
      </c>
      <c r="AB31" s="1065">
        <v>0</v>
      </c>
      <c r="AC31" s="1065">
        <v>0</v>
      </c>
      <c r="AD31" s="1065">
        <v>0</v>
      </c>
      <c r="AE31" s="1065">
        <v>0</v>
      </c>
      <c r="AF31" s="1065">
        <v>0</v>
      </c>
      <c r="AG31" s="1065">
        <v>0</v>
      </c>
      <c r="AH31" s="1065">
        <v>0</v>
      </c>
      <c r="AI31" s="1065">
        <v>0</v>
      </c>
      <c r="AJ31" s="1065">
        <v>0</v>
      </c>
      <c r="AK31" s="1065">
        <v>0</v>
      </c>
      <c r="AL31" s="1065">
        <v>0</v>
      </c>
      <c r="AM31" s="1065">
        <v>0</v>
      </c>
      <c r="AN31" s="1065">
        <v>0</v>
      </c>
      <c r="AO31" s="1065">
        <v>0</v>
      </c>
      <c r="AP31" s="1065">
        <v>0</v>
      </c>
      <c r="AQ31" s="1065">
        <v>0</v>
      </c>
    </row>
    <row r="32" spans="1:43">
      <c r="A32" s="1064" t="s">
        <v>876</v>
      </c>
      <c r="B32" s="1065">
        <v>37455613563</v>
      </c>
      <c r="C32" s="1065">
        <v>36733090246</v>
      </c>
      <c r="D32" s="1065">
        <v>112505603449</v>
      </c>
      <c r="E32" s="1065">
        <v>231751610167</v>
      </c>
      <c r="F32" s="1065">
        <v>267160346860</v>
      </c>
      <c r="G32" s="1065">
        <v>245788567753</v>
      </c>
      <c r="H32" s="1065">
        <v>253698163896</v>
      </c>
      <c r="I32" s="1065">
        <v>209734765973</v>
      </c>
      <c r="J32" s="1065">
        <v>393659359341</v>
      </c>
      <c r="K32" s="1065">
        <v>492154011838</v>
      </c>
      <c r="L32" s="1065">
        <v>535496990974</v>
      </c>
      <c r="M32" s="1065">
        <v>595164466870</v>
      </c>
      <c r="N32" s="1065">
        <v>460701139863</v>
      </c>
      <c r="O32" s="1065">
        <v>629587223595</v>
      </c>
      <c r="P32" s="1065">
        <v>754108672015</v>
      </c>
      <c r="Q32" s="1065">
        <v>1529332154570</v>
      </c>
      <c r="R32" s="1065">
        <v>2122738627891</v>
      </c>
      <c r="S32" s="1065">
        <v>2145710421050</v>
      </c>
      <c r="T32" s="1065">
        <v>1770697410603</v>
      </c>
      <c r="U32" s="1065">
        <v>1666295119450</v>
      </c>
      <c r="V32" s="1065">
        <v>1669193964969</v>
      </c>
      <c r="W32" s="1065">
        <v>1648165626942</v>
      </c>
      <c r="X32" s="1065">
        <v>1540663674110</v>
      </c>
      <c r="Y32" s="1065">
        <v>1512864231224</v>
      </c>
      <c r="Z32" s="1065">
        <v>1555906867516</v>
      </c>
      <c r="AA32" s="1065">
        <v>1643617176173</v>
      </c>
      <c r="AB32" s="1065">
        <v>1753333534885</v>
      </c>
      <c r="AC32" s="1065">
        <v>1862266456470</v>
      </c>
      <c r="AD32" s="1065">
        <v>1865581852512</v>
      </c>
      <c r="AE32" s="1065">
        <v>1895351037527</v>
      </c>
      <c r="AF32" s="1065">
        <v>1975340620773</v>
      </c>
      <c r="AG32" s="1065">
        <v>2036676617009</v>
      </c>
      <c r="AH32" s="1065">
        <v>2075275694927</v>
      </c>
      <c r="AI32" s="1065">
        <v>1969868584430</v>
      </c>
      <c r="AJ32" s="1065">
        <v>2025101428010</v>
      </c>
      <c r="AK32" s="1065">
        <v>2204912384285</v>
      </c>
      <c r="AL32" s="1065">
        <v>2677141522348</v>
      </c>
      <c r="AM32" s="1065">
        <v>2676459165534</v>
      </c>
      <c r="AN32" s="1065">
        <v>2772539846612</v>
      </c>
      <c r="AO32" s="1065">
        <v>6032063843307</v>
      </c>
      <c r="AP32" s="1065">
        <v>6086323265589</v>
      </c>
      <c r="AQ32" s="1065">
        <v>5902117886482</v>
      </c>
    </row>
    <row r="33" spans="1:43">
      <c r="A33" s="1062" t="s">
        <v>877</v>
      </c>
      <c r="B33" s="1063">
        <v>4561396669975</v>
      </c>
      <c r="C33" s="1063">
        <v>4798586328174</v>
      </c>
      <c r="D33" s="1063">
        <v>5118093295906</v>
      </c>
      <c r="E33" s="1063">
        <v>5477539159847</v>
      </c>
      <c r="F33" s="1063">
        <v>5691739295819</v>
      </c>
      <c r="G33" s="1063">
        <v>8548118638537</v>
      </c>
      <c r="H33" s="1063">
        <v>8427675617978</v>
      </c>
      <c r="I33" s="1063">
        <v>8523643031416</v>
      </c>
      <c r="J33" s="1063">
        <v>9008509843500</v>
      </c>
      <c r="K33" s="1063">
        <v>10377923962778</v>
      </c>
      <c r="L33" s="1063">
        <v>11288135571716</v>
      </c>
      <c r="M33" s="1063">
        <v>12653434325387</v>
      </c>
      <c r="N33" s="1063">
        <v>12610111322341</v>
      </c>
      <c r="O33" s="1063">
        <v>13149679063684</v>
      </c>
      <c r="P33" s="1063">
        <v>12772809015994</v>
      </c>
      <c r="Q33" s="1063">
        <v>12648477829513</v>
      </c>
      <c r="R33" s="1063">
        <v>12459191191673</v>
      </c>
      <c r="S33" s="1063">
        <v>11845538812891</v>
      </c>
      <c r="T33" s="1063">
        <v>10643005933769</v>
      </c>
      <c r="U33" s="1063">
        <v>11177655376837</v>
      </c>
      <c r="V33" s="1063">
        <v>10326187346314</v>
      </c>
      <c r="W33" s="1063">
        <v>10805069586951</v>
      </c>
      <c r="X33" s="1063">
        <v>11037648381931</v>
      </c>
      <c r="Y33" s="1063">
        <v>14302471666058</v>
      </c>
      <c r="Z33" s="1063">
        <v>13143134757783</v>
      </c>
      <c r="AA33" s="1063">
        <v>12961490925675</v>
      </c>
      <c r="AB33" s="1063">
        <v>12355004535358</v>
      </c>
      <c r="AC33" s="1063">
        <v>12841948697804</v>
      </c>
      <c r="AD33" s="1063">
        <v>12339356054980</v>
      </c>
      <c r="AE33" s="1063">
        <v>13555420222459</v>
      </c>
      <c r="AF33" s="1063">
        <v>12631352812511</v>
      </c>
      <c r="AG33" s="1063">
        <v>13630182661983</v>
      </c>
      <c r="AH33" s="1063">
        <v>13225087332814</v>
      </c>
      <c r="AI33" s="1063">
        <v>13225924340942</v>
      </c>
      <c r="AJ33" s="1063">
        <v>14170103190312</v>
      </c>
      <c r="AK33" s="1063">
        <v>15483204960116</v>
      </c>
      <c r="AL33" s="1063">
        <v>16010947416806</v>
      </c>
      <c r="AM33" s="1063">
        <v>16860899326468</v>
      </c>
      <c r="AN33" s="1063">
        <v>18768278628861</v>
      </c>
      <c r="AO33" s="1063">
        <v>18377990877722</v>
      </c>
      <c r="AP33" s="1063">
        <v>19933363697456</v>
      </c>
      <c r="AQ33" s="1063">
        <v>21594965601653</v>
      </c>
    </row>
    <row r="34" spans="1:43">
      <c r="A34" s="1064" t="s">
        <v>878</v>
      </c>
      <c r="B34" s="1065">
        <v>0</v>
      </c>
      <c r="C34" s="1065">
        <v>1020000</v>
      </c>
      <c r="D34" s="1065">
        <v>96240230</v>
      </c>
      <c r="E34" s="1065">
        <v>60000</v>
      </c>
      <c r="F34" s="1065">
        <v>0</v>
      </c>
      <c r="G34" s="1065">
        <v>1848947571</v>
      </c>
      <c r="H34" s="1065">
        <v>57702341</v>
      </c>
      <c r="I34" s="1065">
        <v>141126160</v>
      </c>
      <c r="J34" s="1065">
        <v>45419657</v>
      </c>
      <c r="K34" s="1065">
        <v>0</v>
      </c>
      <c r="L34" s="1065">
        <v>0</v>
      </c>
      <c r="M34" s="1065">
        <v>0</v>
      </c>
      <c r="N34" s="1065">
        <v>0</v>
      </c>
      <c r="O34" s="1065">
        <v>0</v>
      </c>
      <c r="P34" s="1065">
        <v>0</v>
      </c>
      <c r="Q34" s="1065">
        <v>0</v>
      </c>
      <c r="R34" s="1065">
        <v>0</v>
      </c>
      <c r="S34" s="1065">
        <v>0</v>
      </c>
      <c r="T34" s="1065">
        <v>0</v>
      </c>
      <c r="U34" s="1065">
        <v>0</v>
      </c>
      <c r="V34" s="1065">
        <v>51327448</v>
      </c>
      <c r="W34" s="1065">
        <v>0</v>
      </c>
      <c r="X34" s="1065">
        <v>0</v>
      </c>
      <c r="Y34" s="1065">
        <v>0</v>
      </c>
      <c r="Z34" s="1065">
        <v>0</v>
      </c>
      <c r="AA34" s="1065">
        <v>0</v>
      </c>
      <c r="AB34" s="1065">
        <v>0</v>
      </c>
      <c r="AC34" s="1065">
        <v>0</v>
      </c>
      <c r="AD34" s="1065">
        <v>0</v>
      </c>
      <c r="AE34" s="1065">
        <v>0</v>
      </c>
      <c r="AF34" s="1065">
        <v>0</v>
      </c>
      <c r="AG34" s="1065">
        <v>0</v>
      </c>
      <c r="AH34" s="1065">
        <v>0</v>
      </c>
      <c r="AI34" s="1065">
        <v>0</v>
      </c>
      <c r="AJ34" s="1065">
        <v>0</v>
      </c>
      <c r="AK34" s="1065">
        <v>0</v>
      </c>
      <c r="AL34" s="1065">
        <v>0</v>
      </c>
      <c r="AM34" s="1065">
        <v>0</v>
      </c>
      <c r="AN34" s="1065">
        <v>0</v>
      </c>
      <c r="AO34" s="1065">
        <v>0</v>
      </c>
      <c r="AP34" s="1065">
        <v>0</v>
      </c>
      <c r="AQ34" s="1065">
        <v>0</v>
      </c>
    </row>
    <row r="35" spans="1:43">
      <c r="A35" s="1064" t="s">
        <v>879</v>
      </c>
      <c r="B35" s="1065">
        <v>479405075718</v>
      </c>
      <c r="C35" s="1065">
        <v>531135881628</v>
      </c>
      <c r="D35" s="1065">
        <v>573569784436</v>
      </c>
      <c r="E35" s="1065">
        <v>605663407362</v>
      </c>
      <c r="F35" s="1065">
        <v>729432799731</v>
      </c>
      <c r="G35" s="1065">
        <v>792359552702</v>
      </c>
      <c r="H35" s="1065">
        <v>824653734715</v>
      </c>
      <c r="I35" s="1065">
        <v>896111628816</v>
      </c>
      <c r="J35" s="1065">
        <v>959714833424</v>
      </c>
      <c r="K35" s="1065">
        <v>1170244859263</v>
      </c>
      <c r="L35" s="1065">
        <v>1285750411398</v>
      </c>
      <c r="M35" s="1065">
        <v>1172859212825</v>
      </c>
      <c r="N35" s="1065">
        <v>1269949453927</v>
      </c>
      <c r="O35" s="1065">
        <v>1248959247884</v>
      </c>
      <c r="P35" s="1065">
        <v>767918325999</v>
      </c>
      <c r="Q35" s="1065">
        <v>654651360391</v>
      </c>
      <c r="R35" s="1065">
        <v>418417681062</v>
      </c>
      <c r="S35" s="1065">
        <v>361217155148</v>
      </c>
      <c r="T35" s="1065">
        <v>468905313204</v>
      </c>
      <c r="U35" s="1065">
        <v>662644354608</v>
      </c>
      <c r="V35" s="1065">
        <v>852450482673</v>
      </c>
      <c r="W35" s="1065">
        <v>1391652019794</v>
      </c>
      <c r="X35" s="1065">
        <v>1323204623621</v>
      </c>
      <c r="Y35" s="1065">
        <v>1277368900781</v>
      </c>
      <c r="Z35" s="1065">
        <v>1394072674455</v>
      </c>
      <c r="AA35" s="1065">
        <v>704586391985</v>
      </c>
      <c r="AB35" s="1065">
        <v>687017820636</v>
      </c>
      <c r="AC35" s="1065">
        <v>674771873724</v>
      </c>
      <c r="AD35" s="1065">
        <v>672003980552</v>
      </c>
      <c r="AE35" s="1065">
        <v>1599591396300</v>
      </c>
      <c r="AF35" s="1065">
        <v>1470646526138</v>
      </c>
      <c r="AG35" s="1065">
        <v>1664634834873</v>
      </c>
      <c r="AH35" s="1065">
        <v>1131337718562</v>
      </c>
      <c r="AI35" s="1065">
        <v>647877823626</v>
      </c>
      <c r="AJ35" s="1065">
        <v>594495976467</v>
      </c>
      <c r="AK35" s="1065">
        <v>581058017044</v>
      </c>
      <c r="AL35" s="1065">
        <v>638893744763</v>
      </c>
      <c r="AM35" s="1065">
        <v>725097618821</v>
      </c>
      <c r="AN35" s="1065">
        <v>844442599588</v>
      </c>
      <c r="AO35" s="1065">
        <v>1002413046050</v>
      </c>
      <c r="AP35" s="1065">
        <v>1344624898241</v>
      </c>
      <c r="AQ35" s="1065">
        <v>2434795674988</v>
      </c>
    </row>
    <row r="36" spans="1:43">
      <c r="A36" s="1064" t="s">
        <v>880</v>
      </c>
      <c r="B36" s="1065">
        <v>525500000000</v>
      </c>
      <c r="C36" s="1065">
        <v>522200000000</v>
      </c>
      <c r="D36" s="1065">
        <v>518200000000</v>
      </c>
      <c r="E36" s="1065">
        <v>745000000000</v>
      </c>
      <c r="F36" s="1065">
        <v>769000000000</v>
      </c>
      <c r="G36" s="1065">
        <v>884399019607</v>
      </c>
      <c r="H36" s="1065">
        <v>959100000000</v>
      </c>
      <c r="I36" s="1065">
        <v>901500000000</v>
      </c>
      <c r="J36" s="1065">
        <v>926600000000</v>
      </c>
      <c r="K36" s="1065">
        <v>873800000000</v>
      </c>
      <c r="L36" s="1065">
        <v>1243200000000</v>
      </c>
      <c r="M36" s="1065">
        <v>1189300000000</v>
      </c>
      <c r="N36" s="1065">
        <v>1237400000000</v>
      </c>
      <c r="O36" s="1065">
        <v>1280820000000</v>
      </c>
      <c r="P36" s="1065">
        <v>1187900000000</v>
      </c>
      <c r="Q36" s="1065">
        <v>1515000000000</v>
      </c>
      <c r="R36" s="1065">
        <v>922400000000</v>
      </c>
      <c r="S36" s="1065">
        <v>1969240000000</v>
      </c>
      <c r="T36" s="1065">
        <v>1534700000000</v>
      </c>
      <c r="U36" s="1065">
        <v>2133333578237</v>
      </c>
      <c r="V36" s="1065">
        <v>1430900000000</v>
      </c>
      <c r="W36" s="1065">
        <v>854060000000</v>
      </c>
      <c r="X36" s="1065">
        <v>1436891456889</v>
      </c>
      <c r="Y36" s="1065">
        <v>2378085062329</v>
      </c>
      <c r="Z36" s="1065">
        <v>1832796501644</v>
      </c>
      <c r="AA36" s="1065">
        <v>2442992977210</v>
      </c>
      <c r="AB36" s="1065">
        <v>1767128888939</v>
      </c>
      <c r="AC36" s="1065">
        <v>3071815821585</v>
      </c>
      <c r="AD36" s="1065">
        <v>1462924992833</v>
      </c>
      <c r="AE36" s="1065">
        <v>1875254117647</v>
      </c>
      <c r="AF36" s="1065">
        <v>752600000000</v>
      </c>
      <c r="AG36" s="1065">
        <v>1604743102995</v>
      </c>
      <c r="AH36" s="1065">
        <v>1627942941040</v>
      </c>
      <c r="AI36" s="1065">
        <v>1181303688824</v>
      </c>
      <c r="AJ36" s="1065">
        <v>1611084978571</v>
      </c>
      <c r="AK36" s="1065">
        <v>1634374782588</v>
      </c>
      <c r="AL36" s="1065">
        <v>1928715777039</v>
      </c>
      <c r="AM36" s="1065">
        <v>2186670648984</v>
      </c>
      <c r="AN36" s="1065">
        <v>2870742176105</v>
      </c>
      <c r="AO36" s="1065">
        <v>1478478737124</v>
      </c>
      <c r="AP36" s="1065">
        <v>2574671983556</v>
      </c>
      <c r="AQ36" s="1065">
        <v>2218635155534</v>
      </c>
    </row>
    <row r="37" spans="1:43">
      <c r="A37" s="1064" t="s">
        <v>881</v>
      </c>
      <c r="B37" s="1065">
        <v>3037920263</v>
      </c>
      <c r="C37" s="1065">
        <v>3015079688</v>
      </c>
      <c r="D37" s="1065">
        <v>2934954750</v>
      </c>
      <c r="E37" s="1065">
        <v>2944647600</v>
      </c>
      <c r="F37" s="1065">
        <v>2814798520</v>
      </c>
      <c r="G37" s="1065">
        <v>3284143498</v>
      </c>
      <c r="H37" s="1065">
        <v>3330290502</v>
      </c>
      <c r="I37" s="1065">
        <v>3067689753</v>
      </c>
      <c r="J37" s="1065">
        <v>3035400428</v>
      </c>
      <c r="K37" s="1065">
        <v>3089652273</v>
      </c>
      <c r="L37" s="1065">
        <v>3313332014</v>
      </c>
      <c r="M37" s="1065">
        <v>3317227219</v>
      </c>
      <c r="N37" s="1065">
        <v>3005764009</v>
      </c>
      <c r="O37" s="1065">
        <v>3256650881</v>
      </c>
      <c r="P37" s="1065">
        <v>3174745249</v>
      </c>
      <c r="Q37" s="1065">
        <v>3179386886</v>
      </c>
      <c r="R37" s="1065">
        <v>3197813192</v>
      </c>
      <c r="S37" s="1065">
        <v>2903401849</v>
      </c>
      <c r="T37" s="1065">
        <v>3462680358</v>
      </c>
      <c r="U37" s="1065">
        <v>3614640710</v>
      </c>
      <c r="V37" s="1065">
        <v>3750808093</v>
      </c>
      <c r="W37" s="1065">
        <v>3596530715</v>
      </c>
      <c r="X37" s="1065">
        <v>3734972713</v>
      </c>
      <c r="Y37" s="1065">
        <v>3668910011</v>
      </c>
      <c r="Z37" s="1065">
        <v>3657150332</v>
      </c>
      <c r="AA37" s="1065">
        <v>3754216281</v>
      </c>
      <c r="AB37" s="1065">
        <v>3881304425</v>
      </c>
      <c r="AC37" s="1065">
        <v>4698516892</v>
      </c>
      <c r="AD37" s="1065">
        <v>4257544090</v>
      </c>
      <c r="AE37" s="1065">
        <v>4514772303</v>
      </c>
      <c r="AF37" s="1065">
        <v>4087392311</v>
      </c>
      <c r="AG37" s="1065">
        <v>3679663518</v>
      </c>
      <c r="AH37" s="1065">
        <v>3218191643</v>
      </c>
      <c r="AI37" s="1065">
        <v>3099700144</v>
      </c>
      <c r="AJ37" s="1065">
        <v>2897324043</v>
      </c>
      <c r="AK37" s="1065">
        <v>2861805694</v>
      </c>
      <c r="AL37" s="1065">
        <v>2496449033</v>
      </c>
      <c r="AM37" s="1065">
        <v>2632066829</v>
      </c>
      <c r="AN37" s="1065">
        <v>2892253932</v>
      </c>
      <c r="AO37" s="1065">
        <v>2955286616</v>
      </c>
      <c r="AP37" s="1065">
        <v>3100249795</v>
      </c>
      <c r="AQ37" s="1065">
        <v>3501247388</v>
      </c>
    </row>
    <row r="38" spans="1:43">
      <c r="A38" s="1064" t="s">
        <v>882</v>
      </c>
      <c r="B38" s="1065">
        <v>71780447</v>
      </c>
      <c r="C38" s="1065">
        <v>71780447</v>
      </c>
      <c r="D38" s="1065">
        <v>71780447</v>
      </c>
      <c r="E38" s="1065">
        <v>0</v>
      </c>
      <c r="F38" s="1065">
        <v>0</v>
      </c>
      <c r="G38" s="1065">
        <v>2560111229461</v>
      </c>
      <c r="H38" s="1065">
        <v>2705426855678</v>
      </c>
      <c r="I38" s="1065">
        <v>6541586257806</v>
      </c>
      <c r="J38" s="1065">
        <v>7082102271786</v>
      </c>
      <c r="K38" s="1065">
        <v>8323286896333</v>
      </c>
      <c r="L38" s="1065">
        <v>8882058723152</v>
      </c>
      <c r="M38" s="1065">
        <v>10455336895820</v>
      </c>
      <c r="N38" s="1065">
        <v>10275059672764</v>
      </c>
      <c r="O38" s="1065">
        <v>10791022673442</v>
      </c>
      <c r="P38" s="1065">
        <v>11006745672253</v>
      </c>
      <c r="Q38" s="1065">
        <v>10678532951455</v>
      </c>
      <c r="R38" s="1065">
        <v>11313210857272</v>
      </c>
      <c r="S38" s="1065">
        <v>9709740403246</v>
      </c>
      <c r="T38" s="1065">
        <v>8844234679318</v>
      </c>
      <c r="U38" s="1065">
        <v>8574535931377</v>
      </c>
      <c r="V38" s="1065">
        <v>8210335653506</v>
      </c>
      <c r="W38" s="1065">
        <v>8712336031788</v>
      </c>
      <c r="X38" s="1065">
        <v>8426036268470</v>
      </c>
      <c r="Y38" s="1065">
        <v>10813822685989</v>
      </c>
      <c r="Z38" s="1065">
        <v>10085248004289</v>
      </c>
      <c r="AA38" s="1065">
        <v>9968572199454</v>
      </c>
      <c r="AB38" s="1065">
        <v>10067420859680</v>
      </c>
      <c r="AC38" s="1065">
        <v>9207588954627</v>
      </c>
      <c r="AD38" s="1065">
        <v>10416919035804</v>
      </c>
      <c r="AE38" s="1065">
        <v>10282707030211</v>
      </c>
      <c r="AF38" s="1065">
        <v>10644984388907</v>
      </c>
      <c r="AG38" s="1065">
        <v>10633708579126</v>
      </c>
      <c r="AH38" s="1065">
        <v>10765973760535</v>
      </c>
      <c r="AI38" s="1065">
        <v>11633645601985</v>
      </c>
      <c r="AJ38" s="1065">
        <v>12213606545507</v>
      </c>
      <c r="AK38" s="1065">
        <v>13533934968272</v>
      </c>
      <c r="AL38" s="1065">
        <v>13763257959191</v>
      </c>
      <c r="AM38" s="1065">
        <v>14272621673076</v>
      </c>
      <c r="AN38" s="1065">
        <v>15401571066192</v>
      </c>
      <c r="AO38" s="1065">
        <v>16309277807751</v>
      </c>
      <c r="AP38" s="1065">
        <v>16356522428028</v>
      </c>
      <c r="AQ38" s="1065">
        <v>17300408416943</v>
      </c>
    </row>
    <row r="39" spans="1:43">
      <c r="A39" s="1064" t="s">
        <v>883</v>
      </c>
      <c r="B39" s="1065">
        <v>3424850946508</v>
      </c>
      <c r="C39" s="1065">
        <v>3515253945425</v>
      </c>
      <c r="D39" s="1065">
        <v>3695686846395</v>
      </c>
      <c r="E39" s="1065">
        <v>3843948015382</v>
      </c>
      <c r="F39" s="1065">
        <v>4019404183052</v>
      </c>
      <c r="G39" s="1065">
        <v>4011712872295</v>
      </c>
      <c r="H39" s="1065">
        <v>3648529499853</v>
      </c>
      <c r="I39" s="1065"/>
      <c r="J39" s="1065"/>
      <c r="K39" s="1065"/>
      <c r="L39" s="1065"/>
      <c r="M39" s="1065">
        <v>0</v>
      </c>
      <c r="N39" s="1065">
        <v>0</v>
      </c>
      <c r="O39" s="1065">
        <v>0</v>
      </c>
      <c r="P39" s="1065">
        <v>0</v>
      </c>
      <c r="Q39" s="1065">
        <v>0</v>
      </c>
      <c r="R39" s="1065">
        <v>0</v>
      </c>
      <c r="S39" s="1065">
        <v>0</v>
      </c>
      <c r="T39" s="1065">
        <v>0</v>
      </c>
      <c r="U39" s="1065">
        <v>0</v>
      </c>
      <c r="V39" s="1065">
        <v>0</v>
      </c>
      <c r="W39" s="1065">
        <v>0</v>
      </c>
      <c r="X39" s="1065">
        <v>0</v>
      </c>
      <c r="Y39" s="1065">
        <v>0</v>
      </c>
      <c r="Z39" s="1065">
        <v>0</v>
      </c>
      <c r="AA39" s="1065">
        <v>0</v>
      </c>
      <c r="AB39" s="1065">
        <v>0</v>
      </c>
      <c r="AC39" s="1065">
        <v>0</v>
      </c>
      <c r="AD39" s="1065">
        <v>0</v>
      </c>
      <c r="AE39" s="1065">
        <v>0</v>
      </c>
      <c r="AF39" s="1065">
        <v>0</v>
      </c>
      <c r="AG39" s="1065">
        <v>0</v>
      </c>
      <c r="AH39" s="1065">
        <v>0</v>
      </c>
      <c r="AI39" s="1065">
        <v>0</v>
      </c>
      <c r="AJ39" s="1065">
        <v>0</v>
      </c>
      <c r="AK39" s="1065">
        <v>0</v>
      </c>
      <c r="AL39" s="1065">
        <v>0</v>
      </c>
      <c r="AM39" s="1065">
        <v>0</v>
      </c>
      <c r="AN39" s="1065">
        <v>0</v>
      </c>
      <c r="AO39" s="1065">
        <v>0</v>
      </c>
      <c r="AP39" s="1065">
        <v>0</v>
      </c>
      <c r="AQ39" s="1065">
        <v>0</v>
      </c>
    </row>
    <row r="40" spans="1:43">
      <c r="A40" s="1064" t="s">
        <v>884</v>
      </c>
      <c r="B40" s="1065">
        <v>86500000000</v>
      </c>
      <c r="C40" s="1065">
        <v>72700000000</v>
      </c>
      <c r="D40" s="1065">
        <v>170100000000</v>
      </c>
      <c r="E40" s="1065">
        <v>72300000000</v>
      </c>
      <c r="F40" s="1065">
        <v>46300000000</v>
      </c>
      <c r="G40" s="1065">
        <v>40000000000</v>
      </c>
      <c r="H40" s="1065">
        <v>10000000000</v>
      </c>
      <c r="I40" s="1065">
        <v>21000000000</v>
      </c>
      <c r="J40" s="1065">
        <v>0</v>
      </c>
      <c r="K40" s="1065">
        <v>0</v>
      </c>
      <c r="L40" s="1065">
        <v>0</v>
      </c>
      <c r="M40" s="1065">
        <v>0</v>
      </c>
      <c r="N40" s="1065">
        <v>0</v>
      </c>
      <c r="O40" s="1065">
        <v>0</v>
      </c>
      <c r="P40" s="1065">
        <v>17232624675</v>
      </c>
      <c r="Q40" s="1065">
        <v>14883829159</v>
      </c>
      <c r="R40" s="1065">
        <v>0</v>
      </c>
      <c r="S40" s="1065">
        <v>0</v>
      </c>
      <c r="T40" s="1065">
        <v>0</v>
      </c>
      <c r="U40" s="1065">
        <v>0</v>
      </c>
      <c r="V40" s="1065">
        <v>0</v>
      </c>
      <c r="W40" s="1065">
        <v>0</v>
      </c>
      <c r="X40" s="1065">
        <v>0</v>
      </c>
      <c r="Y40" s="1065">
        <v>0</v>
      </c>
      <c r="Z40" s="1065">
        <v>0</v>
      </c>
      <c r="AA40" s="1065">
        <v>0</v>
      </c>
      <c r="AB40" s="1065">
        <v>0</v>
      </c>
      <c r="AC40" s="1065">
        <v>0</v>
      </c>
      <c r="AD40" s="1065">
        <v>0</v>
      </c>
      <c r="AE40" s="1065">
        <v>0</v>
      </c>
      <c r="AF40" s="1065">
        <v>0</v>
      </c>
      <c r="AG40" s="1065">
        <v>0</v>
      </c>
      <c r="AH40" s="1065">
        <v>0</v>
      </c>
      <c r="AI40" s="1065">
        <v>0</v>
      </c>
      <c r="AJ40" s="1065">
        <v>0</v>
      </c>
      <c r="AK40" s="1065">
        <v>0</v>
      </c>
      <c r="AL40" s="1065">
        <v>0</v>
      </c>
      <c r="AM40" s="1065">
        <v>0</v>
      </c>
      <c r="AN40" s="1065">
        <v>0</v>
      </c>
      <c r="AO40" s="1065">
        <v>0</v>
      </c>
      <c r="AP40" s="1065">
        <v>0</v>
      </c>
      <c r="AQ40" s="1065">
        <v>0</v>
      </c>
    </row>
    <row r="41" spans="1:43">
      <c r="A41" s="1064" t="s">
        <v>885</v>
      </c>
      <c r="B41" s="1065">
        <v>37253522370</v>
      </c>
      <c r="C41" s="1065">
        <v>116638927512</v>
      </c>
      <c r="D41" s="1065">
        <v>132150696596</v>
      </c>
      <c r="E41" s="1065">
        <v>170535302790</v>
      </c>
      <c r="F41" s="1065">
        <v>39579351316</v>
      </c>
      <c r="G41" s="1065">
        <v>292929351316</v>
      </c>
      <c r="H41" s="1065">
        <v>272930769775</v>
      </c>
      <c r="I41" s="1065">
        <v>198133140826</v>
      </c>
      <c r="J41" s="1065">
        <v>102078469978</v>
      </c>
      <c r="K41" s="1065">
        <v>101633693362</v>
      </c>
      <c r="L41" s="1065">
        <v>20125260069</v>
      </c>
      <c r="M41" s="1065">
        <v>20193351477</v>
      </c>
      <c r="N41" s="1065">
        <v>20326425161</v>
      </c>
      <c r="O41" s="1065">
        <v>18502782247</v>
      </c>
      <c r="P41" s="1065">
        <v>3637206801</v>
      </c>
      <c r="Q41" s="1065">
        <v>3637206801</v>
      </c>
      <c r="R41" s="1065">
        <v>30223308119</v>
      </c>
      <c r="S41" s="1065">
        <v>24760000000</v>
      </c>
      <c r="T41" s="1065">
        <v>8000000000</v>
      </c>
      <c r="U41" s="1065">
        <v>2000000</v>
      </c>
      <c r="V41" s="1065">
        <v>2000000</v>
      </c>
      <c r="W41" s="1065">
        <v>2000000</v>
      </c>
      <c r="X41" s="1065">
        <v>0</v>
      </c>
      <c r="Y41" s="1065">
        <v>0</v>
      </c>
      <c r="Z41" s="1065">
        <v>0</v>
      </c>
      <c r="AA41" s="1065">
        <v>25000000000</v>
      </c>
      <c r="AB41" s="1065">
        <v>0</v>
      </c>
      <c r="AC41" s="1065">
        <v>200000000</v>
      </c>
      <c r="AD41" s="1065">
        <v>5200000000</v>
      </c>
      <c r="AE41" s="1065">
        <v>5200000000</v>
      </c>
      <c r="AF41" s="1065">
        <v>200000000</v>
      </c>
      <c r="AG41" s="1065">
        <v>200000000</v>
      </c>
      <c r="AH41" s="1065">
        <v>200000000</v>
      </c>
      <c r="AI41" s="1065">
        <v>48900000000</v>
      </c>
      <c r="AJ41" s="1065">
        <v>48900000000</v>
      </c>
      <c r="AK41" s="1065">
        <v>48900000000</v>
      </c>
      <c r="AL41" s="1065">
        <v>200000000</v>
      </c>
      <c r="AM41" s="1065">
        <v>200000000</v>
      </c>
      <c r="AN41" s="1065">
        <v>2200000000</v>
      </c>
      <c r="AO41" s="1065">
        <v>2200000000</v>
      </c>
      <c r="AP41" s="1065">
        <v>2200000000</v>
      </c>
      <c r="AQ41" s="1065">
        <v>2200000000</v>
      </c>
    </row>
    <row r="42" spans="1:43">
      <c r="A42" s="1064" t="s">
        <v>886</v>
      </c>
      <c r="B42" s="1065">
        <v>7296225285</v>
      </c>
      <c r="C42" s="1065">
        <v>7296225285</v>
      </c>
      <c r="D42" s="1065">
        <v>7117557176</v>
      </c>
      <c r="E42" s="1065">
        <v>4399788782</v>
      </c>
      <c r="F42" s="1065">
        <v>4399788782</v>
      </c>
      <c r="G42" s="1065">
        <v>4399788782</v>
      </c>
      <c r="H42" s="1065">
        <v>3660893091</v>
      </c>
      <c r="I42" s="1065">
        <v>3660893091</v>
      </c>
      <c r="J42" s="1065">
        <v>3660893091</v>
      </c>
      <c r="K42" s="1065">
        <v>3660893091</v>
      </c>
      <c r="L42" s="1065">
        <v>3660893091</v>
      </c>
      <c r="M42" s="1065">
        <v>3660893091</v>
      </c>
      <c r="N42" s="1065">
        <v>3649060371</v>
      </c>
      <c r="O42" s="1065">
        <v>3649060371</v>
      </c>
      <c r="P42" s="1065">
        <v>0</v>
      </c>
      <c r="Q42" s="1065">
        <v>0</v>
      </c>
      <c r="R42" s="1065">
        <v>3636043683</v>
      </c>
      <c r="S42" s="1065">
        <v>3636043683</v>
      </c>
      <c r="T42" s="1065">
        <v>3636043683</v>
      </c>
      <c r="U42" s="1065">
        <v>3636043683</v>
      </c>
      <c r="V42" s="1065">
        <v>3636043683</v>
      </c>
      <c r="W42" s="1065">
        <v>3636043683</v>
      </c>
      <c r="X42" s="1065">
        <v>3636043683</v>
      </c>
      <c r="Y42" s="1065">
        <v>3636043683</v>
      </c>
      <c r="Z42" s="1065">
        <v>3636043683</v>
      </c>
      <c r="AA42" s="1065">
        <v>3636043683</v>
      </c>
      <c r="AB42" s="1065">
        <v>3636043683</v>
      </c>
      <c r="AC42" s="1065">
        <v>928239285</v>
      </c>
      <c r="AD42" s="1065">
        <v>6951732972</v>
      </c>
      <c r="AE42" s="1065">
        <v>5977239791</v>
      </c>
      <c r="AF42" s="1065">
        <v>6035095384</v>
      </c>
      <c r="AG42" s="1065">
        <v>6035095384</v>
      </c>
      <c r="AH42" s="1065">
        <v>6035095384</v>
      </c>
      <c r="AI42" s="1065">
        <v>6035095384</v>
      </c>
      <c r="AJ42" s="1065">
        <v>6035095384</v>
      </c>
      <c r="AK42" s="1065">
        <v>6035095384</v>
      </c>
      <c r="AL42" s="1065">
        <v>6050801882</v>
      </c>
      <c r="AM42" s="1065">
        <v>6050801882</v>
      </c>
      <c r="AN42" s="1065">
        <v>6050801882</v>
      </c>
      <c r="AO42" s="1065">
        <v>6050801882</v>
      </c>
      <c r="AP42" s="1065">
        <v>6050801882</v>
      </c>
      <c r="AQ42" s="1065">
        <v>6050801882</v>
      </c>
    </row>
    <row r="43" spans="1:43">
      <c r="A43" s="1064" t="s">
        <v>887</v>
      </c>
      <c r="B43" s="1065">
        <v>0</v>
      </c>
      <c r="C43" s="1065">
        <v>0</v>
      </c>
      <c r="D43" s="1065">
        <v>0</v>
      </c>
      <c r="E43" s="1065">
        <v>0</v>
      </c>
      <c r="F43" s="1065">
        <v>0</v>
      </c>
      <c r="G43" s="1065">
        <v>0</v>
      </c>
      <c r="H43" s="1065">
        <v>0</v>
      </c>
      <c r="I43" s="1065">
        <v>0</v>
      </c>
      <c r="J43" s="1065">
        <v>0</v>
      </c>
      <c r="K43" s="1065">
        <v>0</v>
      </c>
      <c r="L43" s="1065">
        <v>0</v>
      </c>
      <c r="M43" s="1065">
        <v>0</v>
      </c>
      <c r="N43" s="1065">
        <v>0</v>
      </c>
      <c r="O43" s="1065">
        <v>0</v>
      </c>
      <c r="P43" s="1065">
        <v>0</v>
      </c>
      <c r="Q43" s="1065">
        <v>0</v>
      </c>
      <c r="R43" s="1065">
        <v>0</v>
      </c>
      <c r="S43" s="1065">
        <v>0</v>
      </c>
      <c r="T43" s="1065">
        <v>0</v>
      </c>
      <c r="U43" s="1065">
        <v>0</v>
      </c>
      <c r="V43" s="1065">
        <v>0</v>
      </c>
      <c r="W43" s="1065">
        <v>0</v>
      </c>
      <c r="X43" s="1065">
        <v>0</v>
      </c>
      <c r="Y43" s="1065">
        <v>0</v>
      </c>
      <c r="Z43" s="1065">
        <v>0</v>
      </c>
      <c r="AA43" s="1065">
        <v>0</v>
      </c>
      <c r="AB43" s="1065">
        <v>0</v>
      </c>
      <c r="AC43" s="1065">
        <v>0</v>
      </c>
      <c r="AD43" s="1065">
        <v>0</v>
      </c>
      <c r="AE43" s="1065">
        <v>0</v>
      </c>
      <c r="AF43" s="1065">
        <v>0</v>
      </c>
      <c r="AG43" s="1065">
        <v>0</v>
      </c>
      <c r="AH43" s="1065">
        <v>0</v>
      </c>
      <c r="AI43" s="1065">
        <v>0</v>
      </c>
      <c r="AJ43" s="1065">
        <v>0</v>
      </c>
      <c r="AK43" s="1065">
        <v>0</v>
      </c>
      <c r="AL43" s="1065">
        <v>0</v>
      </c>
      <c r="AM43" s="1065">
        <v>0</v>
      </c>
      <c r="AN43" s="1065">
        <v>0</v>
      </c>
      <c r="AO43" s="1065">
        <v>0</v>
      </c>
      <c r="AP43" s="1065">
        <v>0</v>
      </c>
      <c r="AQ43" s="1065">
        <v>0</v>
      </c>
    </row>
    <row r="44" spans="1:43">
      <c r="A44" s="1064" t="s">
        <v>888</v>
      </c>
      <c r="B44" s="1065">
        <v>0</v>
      </c>
      <c r="C44" s="1065">
        <v>0</v>
      </c>
      <c r="D44" s="1065">
        <v>0</v>
      </c>
      <c r="E44" s="1065">
        <v>0</v>
      </c>
      <c r="F44" s="1065">
        <v>0</v>
      </c>
      <c r="G44" s="1065">
        <v>0</v>
      </c>
      <c r="H44" s="1065">
        <v>0</v>
      </c>
      <c r="I44" s="1065">
        <v>0</v>
      </c>
      <c r="J44" s="1065">
        <v>0</v>
      </c>
      <c r="K44" s="1065">
        <v>0</v>
      </c>
      <c r="L44" s="1065">
        <v>0</v>
      </c>
      <c r="M44" s="1065">
        <v>0</v>
      </c>
      <c r="N44" s="1065">
        <v>0</v>
      </c>
      <c r="O44" s="1065">
        <v>0</v>
      </c>
      <c r="P44" s="1065">
        <v>0</v>
      </c>
      <c r="Q44" s="1065">
        <v>0</v>
      </c>
      <c r="R44" s="1065">
        <v>0</v>
      </c>
      <c r="S44" s="1065">
        <v>0</v>
      </c>
      <c r="T44" s="1065">
        <v>0</v>
      </c>
      <c r="U44" s="1065">
        <v>0</v>
      </c>
      <c r="V44" s="1065">
        <v>0</v>
      </c>
      <c r="W44" s="1065">
        <v>0</v>
      </c>
      <c r="X44" s="1065">
        <v>0</v>
      </c>
      <c r="Y44" s="1065">
        <v>0</v>
      </c>
      <c r="Z44" s="1065">
        <v>0</v>
      </c>
      <c r="AA44" s="1065">
        <v>0</v>
      </c>
      <c r="AB44" s="1065">
        <v>0</v>
      </c>
      <c r="AC44" s="1065">
        <v>0</v>
      </c>
      <c r="AD44" s="1065">
        <v>0</v>
      </c>
      <c r="AE44" s="1065">
        <v>0</v>
      </c>
      <c r="AF44" s="1065">
        <v>0</v>
      </c>
      <c r="AG44" s="1065">
        <v>0</v>
      </c>
      <c r="AH44" s="1065">
        <v>0</v>
      </c>
      <c r="AI44" s="1065">
        <v>0</v>
      </c>
      <c r="AJ44" s="1065">
        <v>0</v>
      </c>
      <c r="AK44" s="1065">
        <v>0</v>
      </c>
      <c r="AL44" s="1065">
        <v>0</v>
      </c>
      <c r="AM44" s="1065">
        <v>0</v>
      </c>
      <c r="AN44" s="1065">
        <v>0</v>
      </c>
      <c r="AO44" s="1065">
        <v>0</v>
      </c>
      <c r="AP44" s="1065">
        <v>0</v>
      </c>
      <c r="AQ44" s="1065">
        <v>0</v>
      </c>
    </row>
    <row r="45" spans="1:43">
      <c r="A45" s="1064" t="s">
        <v>889</v>
      </c>
      <c r="B45" s="1065">
        <v>88655997498</v>
      </c>
      <c r="C45" s="1065">
        <v>126345429416</v>
      </c>
      <c r="D45" s="1065">
        <v>111130182263</v>
      </c>
      <c r="E45" s="1065">
        <v>115984636263</v>
      </c>
      <c r="F45" s="1065">
        <v>155448664871</v>
      </c>
      <c r="G45" s="1065">
        <v>70803379364</v>
      </c>
      <c r="H45" s="1065">
        <v>117328797639</v>
      </c>
      <c r="I45" s="1065">
        <v>87428754144</v>
      </c>
      <c r="J45" s="1065">
        <v>63300000000</v>
      </c>
      <c r="K45" s="1065">
        <v>53300000000</v>
      </c>
      <c r="L45" s="1065">
        <v>3300000000</v>
      </c>
      <c r="M45" s="1065">
        <v>3300000000</v>
      </c>
      <c r="N45" s="1065">
        <v>3300000000</v>
      </c>
      <c r="O45" s="1065">
        <v>3300000000</v>
      </c>
      <c r="P45" s="1065">
        <v>3300000000</v>
      </c>
      <c r="Q45" s="1065">
        <v>0</v>
      </c>
      <c r="R45" s="1065">
        <v>0</v>
      </c>
      <c r="S45" s="1065">
        <v>0</v>
      </c>
      <c r="T45" s="1065">
        <v>0</v>
      </c>
      <c r="U45" s="1065">
        <v>5200000000</v>
      </c>
      <c r="V45" s="1065">
        <v>5430000000</v>
      </c>
      <c r="W45" s="1065">
        <v>8030000000</v>
      </c>
      <c r="X45" s="1065">
        <v>1300000000</v>
      </c>
      <c r="Y45" s="1065">
        <v>0</v>
      </c>
      <c r="Z45" s="1065">
        <v>0</v>
      </c>
      <c r="AA45" s="1065">
        <v>0</v>
      </c>
      <c r="AB45" s="1065">
        <v>0</v>
      </c>
      <c r="AC45" s="1065">
        <v>71900000000</v>
      </c>
      <c r="AD45" s="1065">
        <v>0</v>
      </c>
      <c r="AE45" s="1065">
        <v>0</v>
      </c>
      <c r="AF45" s="1065">
        <v>0</v>
      </c>
      <c r="AG45" s="1065">
        <v>0</v>
      </c>
      <c r="AH45" s="1065">
        <v>0</v>
      </c>
      <c r="AI45" s="1065">
        <v>0</v>
      </c>
      <c r="AJ45" s="1065">
        <v>0</v>
      </c>
      <c r="AK45" s="1065">
        <v>0</v>
      </c>
      <c r="AL45" s="1065">
        <v>0</v>
      </c>
      <c r="AM45" s="1065">
        <v>0</v>
      </c>
      <c r="AN45" s="1065">
        <v>0</v>
      </c>
      <c r="AO45" s="1065">
        <v>0</v>
      </c>
      <c r="AP45" s="1065">
        <v>0</v>
      </c>
      <c r="AQ45" s="1065">
        <v>0</v>
      </c>
    </row>
    <row r="46" spans="1:43">
      <c r="A46" s="1064" t="s">
        <v>890</v>
      </c>
      <c r="B46" s="1065">
        <v>0</v>
      </c>
      <c r="C46" s="1065">
        <v>0</v>
      </c>
      <c r="D46" s="1065">
        <v>0</v>
      </c>
      <c r="E46" s="1065">
        <v>0</v>
      </c>
      <c r="F46" s="1065">
        <v>0</v>
      </c>
      <c r="G46" s="1065">
        <v>0</v>
      </c>
      <c r="H46" s="1065">
        <v>0</v>
      </c>
      <c r="I46" s="1065">
        <v>0</v>
      </c>
      <c r="J46" s="1065">
        <v>0</v>
      </c>
      <c r="K46" s="1065">
        <v>0</v>
      </c>
      <c r="L46" s="1065">
        <v>0</v>
      </c>
      <c r="M46" s="1065">
        <v>0</v>
      </c>
      <c r="N46" s="1065">
        <v>0</v>
      </c>
      <c r="O46" s="1065">
        <v>0</v>
      </c>
      <c r="P46" s="1065">
        <v>0</v>
      </c>
      <c r="Q46" s="1065">
        <v>0</v>
      </c>
      <c r="R46" s="1065">
        <v>0</v>
      </c>
      <c r="S46" s="1065">
        <v>0</v>
      </c>
      <c r="T46" s="1065">
        <v>0</v>
      </c>
      <c r="U46" s="1065">
        <v>0</v>
      </c>
      <c r="V46" s="1065">
        <v>0</v>
      </c>
      <c r="W46" s="1065">
        <v>0</v>
      </c>
      <c r="X46" s="1065">
        <v>0</v>
      </c>
      <c r="Y46" s="1065">
        <v>0</v>
      </c>
      <c r="Z46" s="1065">
        <v>0</v>
      </c>
      <c r="AA46" s="1065">
        <v>0</v>
      </c>
      <c r="AB46" s="1065">
        <v>0</v>
      </c>
      <c r="AC46" s="1065">
        <v>0</v>
      </c>
      <c r="AD46" s="1065">
        <v>0</v>
      </c>
      <c r="AE46" s="1065">
        <v>0</v>
      </c>
      <c r="AF46" s="1065">
        <v>0</v>
      </c>
      <c r="AG46" s="1065">
        <v>0</v>
      </c>
      <c r="AH46" s="1065">
        <v>0</v>
      </c>
      <c r="AI46" s="1065">
        <v>0</v>
      </c>
      <c r="AJ46" s="1065">
        <v>0</v>
      </c>
      <c r="AK46" s="1065">
        <v>0</v>
      </c>
      <c r="AL46" s="1065">
        <v>0</v>
      </c>
      <c r="AM46" s="1065">
        <v>0</v>
      </c>
      <c r="AN46" s="1065">
        <v>0</v>
      </c>
      <c r="AO46" s="1065">
        <v>0</v>
      </c>
      <c r="AP46" s="1065">
        <v>0</v>
      </c>
      <c r="AQ46" s="1065">
        <v>0</v>
      </c>
    </row>
    <row r="47" spans="1:43">
      <c r="A47" s="1064" t="s">
        <v>891</v>
      </c>
      <c r="B47" s="1065">
        <v>0</v>
      </c>
      <c r="C47" s="1065">
        <v>0</v>
      </c>
      <c r="D47" s="1065">
        <v>0</v>
      </c>
      <c r="E47" s="1065">
        <v>0</v>
      </c>
      <c r="F47" s="1065">
        <v>0</v>
      </c>
      <c r="G47" s="1065">
        <v>0</v>
      </c>
      <c r="H47" s="1065">
        <v>0</v>
      </c>
      <c r="I47" s="1065">
        <v>0</v>
      </c>
      <c r="J47" s="1065">
        <v>0</v>
      </c>
      <c r="K47" s="1065">
        <v>0</v>
      </c>
      <c r="L47" s="1065">
        <v>0</v>
      </c>
      <c r="M47" s="1065">
        <v>0</v>
      </c>
      <c r="N47" s="1065">
        <v>0</v>
      </c>
      <c r="O47" s="1065">
        <v>0</v>
      </c>
      <c r="P47" s="1065">
        <v>0</v>
      </c>
      <c r="Q47" s="1065">
        <v>0</v>
      </c>
      <c r="R47" s="1065">
        <v>0</v>
      </c>
      <c r="S47" s="1065">
        <v>0</v>
      </c>
      <c r="T47" s="1065">
        <v>0</v>
      </c>
      <c r="U47" s="1065">
        <v>0</v>
      </c>
      <c r="V47" s="1065">
        <v>0</v>
      </c>
      <c r="W47" s="1065">
        <v>0</v>
      </c>
      <c r="X47" s="1065">
        <v>0</v>
      </c>
      <c r="Y47" s="1065">
        <v>0</v>
      </c>
      <c r="Z47" s="1065">
        <v>0</v>
      </c>
      <c r="AA47" s="1065">
        <v>0</v>
      </c>
      <c r="AB47" s="1065">
        <v>0</v>
      </c>
      <c r="AC47" s="1065">
        <v>0</v>
      </c>
      <c r="AD47" s="1065">
        <v>0</v>
      </c>
      <c r="AE47" s="1065">
        <v>0</v>
      </c>
      <c r="AF47" s="1065">
        <v>0</v>
      </c>
      <c r="AG47" s="1065">
        <v>0</v>
      </c>
      <c r="AH47" s="1065">
        <v>0</v>
      </c>
      <c r="AI47" s="1065">
        <v>0</v>
      </c>
      <c r="AJ47" s="1065">
        <v>0</v>
      </c>
      <c r="AK47" s="1065">
        <v>0</v>
      </c>
      <c r="AL47" s="1065">
        <v>0</v>
      </c>
      <c r="AM47" s="1065">
        <v>0</v>
      </c>
      <c r="AN47" s="1065">
        <v>0</v>
      </c>
      <c r="AO47" s="1065">
        <v>0</v>
      </c>
      <c r="AP47" s="1065">
        <v>0</v>
      </c>
      <c r="AQ47" s="1065">
        <v>0</v>
      </c>
    </row>
    <row r="48" spans="1:43">
      <c r="A48" s="1064" t="s">
        <v>892</v>
      </c>
      <c r="B48" s="1065">
        <v>0</v>
      </c>
      <c r="C48" s="1065">
        <v>0</v>
      </c>
      <c r="D48" s="1065">
        <v>0</v>
      </c>
      <c r="E48" s="1065">
        <v>0</v>
      </c>
      <c r="F48" s="1065">
        <v>0</v>
      </c>
      <c r="G48" s="1065">
        <v>0</v>
      </c>
      <c r="H48" s="1065">
        <v>0</v>
      </c>
      <c r="I48" s="1065">
        <v>0</v>
      </c>
      <c r="J48" s="1065">
        <v>0</v>
      </c>
      <c r="K48" s="1065">
        <v>0</v>
      </c>
      <c r="L48" s="1065">
        <v>0</v>
      </c>
      <c r="M48" s="1065">
        <v>0</v>
      </c>
      <c r="N48" s="1065">
        <v>0</v>
      </c>
      <c r="O48" s="1065">
        <v>0</v>
      </c>
      <c r="P48" s="1065">
        <v>0</v>
      </c>
      <c r="Q48" s="1065">
        <v>0</v>
      </c>
      <c r="R48" s="1065">
        <v>0</v>
      </c>
      <c r="S48" s="1065">
        <v>0</v>
      </c>
      <c r="T48" s="1065">
        <v>0</v>
      </c>
      <c r="U48" s="1065">
        <v>0</v>
      </c>
      <c r="V48" s="1065">
        <v>0</v>
      </c>
      <c r="W48" s="1065">
        <v>0</v>
      </c>
      <c r="X48" s="1065">
        <v>0</v>
      </c>
      <c r="Y48" s="1065">
        <v>0</v>
      </c>
      <c r="Z48" s="1065">
        <v>0</v>
      </c>
      <c r="AA48" s="1065">
        <v>0</v>
      </c>
      <c r="AB48" s="1065">
        <v>0</v>
      </c>
      <c r="AC48" s="1065">
        <v>0</v>
      </c>
      <c r="AD48" s="1065">
        <v>0</v>
      </c>
      <c r="AE48" s="1065">
        <v>0</v>
      </c>
      <c r="AF48" s="1065">
        <v>0</v>
      </c>
      <c r="AG48" s="1065">
        <v>0</v>
      </c>
      <c r="AH48" s="1065">
        <v>0</v>
      </c>
      <c r="AI48" s="1065">
        <v>0</v>
      </c>
      <c r="AJ48" s="1065">
        <v>0</v>
      </c>
      <c r="AK48" s="1065">
        <v>0</v>
      </c>
      <c r="AL48" s="1065">
        <v>0</v>
      </c>
      <c r="AM48" s="1065">
        <v>0</v>
      </c>
      <c r="AN48" s="1065">
        <v>0</v>
      </c>
      <c r="AO48" s="1065">
        <v>0</v>
      </c>
      <c r="AP48" s="1065">
        <v>0</v>
      </c>
      <c r="AQ48" s="1065">
        <v>0</v>
      </c>
    </row>
    <row r="49" spans="1:43">
      <c r="A49" s="1064" t="s">
        <v>893</v>
      </c>
      <c r="B49" s="1065">
        <v>-80569547058</v>
      </c>
      <c r="C49" s="1065">
        <v>-82081325185</v>
      </c>
      <c r="D49" s="1065">
        <v>-79398008062</v>
      </c>
      <c r="E49" s="1065">
        <v>-69109082778</v>
      </c>
      <c r="F49" s="1065">
        <v>-60464072912</v>
      </c>
      <c r="G49" s="1065">
        <v>-112711600589</v>
      </c>
      <c r="H49" s="1065">
        <v>-112927707160</v>
      </c>
      <c r="I49" s="1065">
        <v>-125010960147</v>
      </c>
      <c r="J49" s="1065">
        <v>-126981396261</v>
      </c>
      <c r="K49" s="1065">
        <v>-138785951960</v>
      </c>
      <c r="L49" s="1065">
        <v>-142112783533</v>
      </c>
      <c r="M49" s="1065">
        <v>-166621428812</v>
      </c>
      <c r="N49" s="1065">
        <v>-177282845157</v>
      </c>
      <c r="O49" s="1065">
        <v>-175888368872</v>
      </c>
      <c r="P49" s="1065">
        <v>-196011942194</v>
      </c>
      <c r="Q49" s="1065">
        <v>-196906102535</v>
      </c>
      <c r="R49" s="1065">
        <v>-206887792955</v>
      </c>
      <c r="S49" s="1065">
        <v>-213876929175</v>
      </c>
      <c r="T49" s="1065">
        <v>-212057662047</v>
      </c>
      <c r="U49" s="1065">
        <v>-192802268749</v>
      </c>
      <c r="V49" s="1065">
        <v>-170205840227</v>
      </c>
      <c r="W49" s="1065">
        <v>-160739840996</v>
      </c>
      <c r="X49" s="1065">
        <v>-152033092425</v>
      </c>
      <c r="Y49" s="1065">
        <v>-161620000659</v>
      </c>
      <c r="Z49" s="1065">
        <v>-163869793778</v>
      </c>
      <c r="AA49" s="1065">
        <v>-172271686794</v>
      </c>
      <c r="AB49" s="1065">
        <v>-167810081533</v>
      </c>
      <c r="AC49" s="1065">
        <v>-179910182909</v>
      </c>
      <c r="AD49" s="1065">
        <v>-199802918556</v>
      </c>
      <c r="AE49" s="1065">
        <v>-195965728112</v>
      </c>
      <c r="AF49" s="1065">
        <v>-235886663947</v>
      </c>
      <c r="AG49" s="1065">
        <v>-279660930288</v>
      </c>
      <c r="AH49" s="1065">
        <v>-314599451034</v>
      </c>
      <c r="AI49" s="1065">
        <v>-279875397916</v>
      </c>
      <c r="AJ49" s="1065">
        <v>-275915633217</v>
      </c>
      <c r="AK49" s="1065">
        <v>-292114733492</v>
      </c>
      <c r="AL49" s="1065">
        <v>-308036220013</v>
      </c>
      <c r="AM49" s="1065">
        <v>-315506824016</v>
      </c>
      <c r="AN49" s="1065">
        <v>-343994436088</v>
      </c>
      <c r="AO49" s="1065">
        <v>-399911787044</v>
      </c>
      <c r="AP49" s="1065">
        <v>-331192229610</v>
      </c>
      <c r="AQ49" s="1065">
        <v>-355161259507</v>
      </c>
    </row>
    <row r="50" spans="1:43">
      <c r="A50" s="1064" t="s">
        <v>894</v>
      </c>
      <c r="B50" s="1065">
        <v>-10605251056</v>
      </c>
      <c r="C50" s="1065">
        <v>-13990636042</v>
      </c>
      <c r="D50" s="1065">
        <v>-13566738325</v>
      </c>
      <c r="E50" s="1065">
        <v>-14127615554</v>
      </c>
      <c r="F50" s="1065">
        <v>-14176217541</v>
      </c>
      <c r="G50" s="1065">
        <v>-1018045470</v>
      </c>
      <c r="H50" s="1065">
        <v>-4415218456</v>
      </c>
      <c r="I50" s="1065">
        <v>-3975499033</v>
      </c>
      <c r="J50" s="1065">
        <v>-5046048603</v>
      </c>
      <c r="K50" s="1065">
        <v>-12306079584</v>
      </c>
      <c r="L50" s="1065">
        <v>-11160264475</v>
      </c>
      <c r="M50" s="1065">
        <v>-27911826233</v>
      </c>
      <c r="N50" s="1065">
        <v>-25296208734</v>
      </c>
      <c r="O50" s="1065">
        <v>-23942982269</v>
      </c>
      <c r="P50" s="1065">
        <v>-21087616789</v>
      </c>
      <c r="Q50" s="1065">
        <v>-24500802644</v>
      </c>
      <c r="R50" s="1065">
        <v>-25006718700</v>
      </c>
      <c r="S50" s="1065">
        <v>-12081261860</v>
      </c>
      <c r="T50" s="1065">
        <v>-7875120747</v>
      </c>
      <c r="U50" s="1065">
        <v>-12508903029</v>
      </c>
      <c r="V50" s="1065">
        <v>-10163128862</v>
      </c>
      <c r="W50" s="1065">
        <v>-7503198033</v>
      </c>
      <c r="X50" s="1065">
        <v>-5121891020</v>
      </c>
      <c r="Y50" s="1065">
        <v>-12489936076</v>
      </c>
      <c r="Z50" s="1065">
        <v>-12405822842</v>
      </c>
      <c r="AA50" s="1065">
        <v>-14779216144</v>
      </c>
      <c r="AB50" s="1065">
        <v>-6270300472</v>
      </c>
      <c r="AC50" s="1065">
        <v>-10044525400</v>
      </c>
      <c r="AD50" s="1065">
        <v>-29098312715</v>
      </c>
      <c r="AE50" s="1065">
        <v>-21858605681</v>
      </c>
      <c r="AF50" s="1065">
        <v>-11313926282</v>
      </c>
      <c r="AG50" s="1065">
        <v>-3157683625</v>
      </c>
      <c r="AH50" s="1065">
        <v>4979076684</v>
      </c>
      <c r="AI50" s="1065">
        <v>-15062171105</v>
      </c>
      <c r="AJ50" s="1065">
        <v>-31001096443</v>
      </c>
      <c r="AK50" s="1065">
        <v>-31844975374</v>
      </c>
      <c r="AL50" s="1065">
        <v>-20631095089</v>
      </c>
      <c r="AM50" s="1065">
        <v>-16866659108</v>
      </c>
      <c r="AN50" s="1065">
        <v>-15625832750</v>
      </c>
      <c r="AO50" s="1065">
        <v>-23473014657</v>
      </c>
      <c r="AP50" s="1065">
        <v>-22614434436</v>
      </c>
      <c r="AQ50" s="1065">
        <v>-15464435575</v>
      </c>
    </row>
    <row r="51" spans="1:43">
      <c r="A51" s="1062" t="s">
        <v>895</v>
      </c>
      <c r="B51" s="1063">
        <v>75390387932</v>
      </c>
      <c r="C51" s="1063">
        <v>62871001039</v>
      </c>
      <c r="D51" s="1063">
        <v>23808322896</v>
      </c>
      <c r="E51" s="1063">
        <v>28009547901</v>
      </c>
      <c r="F51" s="1063">
        <v>8459145407</v>
      </c>
      <c r="G51" s="1063">
        <v>5365812650</v>
      </c>
      <c r="H51" s="1063">
        <v>4993651184</v>
      </c>
      <c r="I51" s="1063">
        <v>4994458082</v>
      </c>
      <c r="J51" s="1063">
        <v>4993742980</v>
      </c>
      <c r="K51" s="1063">
        <v>4993610865</v>
      </c>
      <c r="L51" s="1063">
        <v>4995424010</v>
      </c>
      <c r="M51" s="1063">
        <v>4995323669</v>
      </c>
      <c r="N51" s="1063">
        <v>4995368276</v>
      </c>
      <c r="O51" s="1063">
        <v>3996280531</v>
      </c>
      <c r="P51" s="1063">
        <v>3996117510</v>
      </c>
      <c r="Q51" s="1063">
        <v>1998003654</v>
      </c>
      <c r="R51" s="1063">
        <v>1997899701</v>
      </c>
      <c r="S51" s="1063">
        <v>0</v>
      </c>
      <c r="T51" s="1063">
        <v>0</v>
      </c>
      <c r="U51" s="1063">
        <v>0</v>
      </c>
      <c r="V51" s="1063">
        <v>0</v>
      </c>
      <c r="W51" s="1063">
        <v>0</v>
      </c>
      <c r="X51" s="1063">
        <v>0</v>
      </c>
      <c r="Y51" s="1063">
        <v>0</v>
      </c>
      <c r="Z51" s="1063">
        <v>0</v>
      </c>
      <c r="AA51" s="1063">
        <v>0</v>
      </c>
      <c r="AB51" s="1063">
        <v>0</v>
      </c>
      <c r="AC51" s="1063">
        <v>0</v>
      </c>
      <c r="AD51" s="1063">
        <v>0</v>
      </c>
      <c r="AE51" s="1063">
        <v>0</v>
      </c>
      <c r="AF51" s="1063">
        <v>0</v>
      </c>
      <c r="AG51" s="1063">
        <v>0</v>
      </c>
      <c r="AH51" s="1063">
        <v>0</v>
      </c>
      <c r="AI51" s="1063">
        <v>0</v>
      </c>
      <c r="AJ51" s="1063">
        <v>0</v>
      </c>
      <c r="AK51" s="1063">
        <v>0</v>
      </c>
      <c r="AL51" s="1063">
        <v>0</v>
      </c>
      <c r="AM51" s="1063">
        <v>0</v>
      </c>
      <c r="AN51" s="1063">
        <v>0</v>
      </c>
      <c r="AO51" s="1063">
        <v>0</v>
      </c>
      <c r="AP51" s="1063">
        <v>0</v>
      </c>
      <c r="AQ51" s="1063">
        <v>0</v>
      </c>
    </row>
    <row r="52" spans="1:43">
      <c r="A52" s="1064" t="s">
        <v>896</v>
      </c>
      <c r="B52" s="1065">
        <v>0</v>
      </c>
      <c r="C52" s="1065">
        <v>0</v>
      </c>
      <c r="D52" s="1065">
        <v>0</v>
      </c>
      <c r="E52" s="1065">
        <v>0</v>
      </c>
      <c r="F52" s="1065">
        <v>0</v>
      </c>
      <c r="G52" s="1065">
        <v>2000173849</v>
      </c>
      <c r="H52" s="1065">
        <v>0</v>
      </c>
      <c r="I52" s="1065">
        <v>0</v>
      </c>
      <c r="J52" s="1065">
        <v>0</v>
      </c>
      <c r="K52" s="1065">
        <v>0</v>
      </c>
      <c r="L52" s="1065">
        <v>0</v>
      </c>
      <c r="M52" s="1065">
        <v>0</v>
      </c>
      <c r="N52" s="1065">
        <v>0</v>
      </c>
      <c r="O52" s="1065">
        <v>0</v>
      </c>
      <c r="P52" s="1065">
        <v>0</v>
      </c>
      <c r="Q52" s="1065">
        <v>0</v>
      </c>
      <c r="R52" s="1065">
        <v>0</v>
      </c>
      <c r="S52" s="1065">
        <v>0</v>
      </c>
      <c r="T52" s="1065">
        <v>0</v>
      </c>
      <c r="U52" s="1065">
        <v>0</v>
      </c>
      <c r="V52" s="1065">
        <v>0</v>
      </c>
      <c r="W52" s="1065">
        <v>0</v>
      </c>
      <c r="X52" s="1065">
        <v>0</v>
      </c>
      <c r="Y52" s="1065">
        <v>0</v>
      </c>
      <c r="Z52" s="1065">
        <v>0</v>
      </c>
      <c r="AA52" s="1065">
        <v>0</v>
      </c>
      <c r="AB52" s="1065">
        <v>0</v>
      </c>
      <c r="AC52" s="1065">
        <v>0</v>
      </c>
      <c r="AD52" s="1065">
        <v>0</v>
      </c>
      <c r="AE52" s="1065">
        <v>0</v>
      </c>
      <c r="AF52" s="1065">
        <v>0</v>
      </c>
      <c r="AG52" s="1065">
        <v>0</v>
      </c>
      <c r="AH52" s="1065">
        <v>0</v>
      </c>
      <c r="AI52" s="1065">
        <v>0</v>
      </c>
      <c r="AJ52" s="1065">
        <v>0</v>
      </c>
      <c r="AK52" s="1065">
        <v>0</v>
      </c>
      <c r="AL52" s="1065">
        <v>0</v>
      </c>
      <c r="AM52" s="1065">
        <v>0</v>
      </c>
      <c r="AN52" s="1065">
        <v>0</v>
      </c>
      <c r="AO52" s="1065">
        <v>0</v>
      </c>
      <c r="AP52" s="1065">
        <v>0</v>
      </c>
      <c r="AQ52" s="1065">
        <v>0</v>
      </c>
    </row>
    <row r="53" spans="1:43">
      <c r="A53" s="1064" t="s">
        <v>897</v>
      </c>
      <c r="B53" s="1065">
        <v>0</v>
      </c>
      <c r="C53" s="1065">
        <v>0</v>
      </c>
      <c r="D53" s="1065">
        <v>0</v>
      </c>
      <c r="E53" s="1065">
        <v>0</v>
      </c>
      <c r="F53" s="1065">
        <v>0</v>
      </c>
      <c r="G53" s="1065">
        <v>0</v>
      </c>
      <c r="H53" s="1065">
        <v>0</v>
      </c>
      <c r="I53" s="1065">
        <v>0</v>
      </c>
      <c r="J53" s="1065">
        <v>0</v>
      </c>
      <c r="K53" s="1065">
        <v>0</v>
      </c>
      <c r="L53" s="1065">
        <v>0</v>
      </c>
      <c r="M53" s="1065">
        <v>0</v>
      </c>
      <c r="N53" s="1065">
        <v>0</v>
      </c>
      <c r="O53" s="1065">
        <v>0</v>
      </c>
      <c r="P53" s="1065">
        <v>0</v>
      </c>
      <c r="Q53" s="1065">
        <v>0</v>
      </c>
      <c r="R53" s="1065">
        <v>0</v>
      </c>
      <c r="S53" s="1065">
        <v>0</v>
      </c>
      <c r="T53" s="1065">
        <v>0</v>
      </c>
      <c r="U53" s="1065">
        <v>0</v>
      </c>
      <c r="V53" s="1065">
        <v>0</v>
      </c>
      <c r="W53" s="1065">
        <v>0</v>
      </c>
      <c r="X53" s="1065">
        <v>0</v>
      </c>
      <c r="Y53" s="1065">
        <v>0</v>
      </c>
      <c r="Z53" s="1065">
        <v>0</v>
      </c>
      <c r="AA53" s="1065">
        <v>0</v>
      </c>
      <c r="AB53" s="1065">
        <v>0</v>
      </c>
      <c r="AC53" s="1065">
        <v>0</v>
      </c>
      <c r="AD53" s="1065">
        <v>0</v>
      </c>
      <c r="AE53" s="1065">
        <v>0</v>
      </c>
      <c r="AF53" s="1065">
        <v>0</v>
      </c>
      <c r="AG53" s="1065">
        <v>0</v>
      </c>
      <c r="AH53" s="1065">
        <v>0</v>
      </c>
      <c r="AI53" s="1065">
        <v>0</v>
      </c>
      <c r="AJ53" s="1065">
        <v>0</v>
      </c>
      <c r="AK53" s="1065">
        <v>0</v>
      </c>
      <c r="AL53" s="1065">
        <v>0</v>
      </c>
      <c r="AM53" s="1065">
        <v>0</v>
      </c>
      <c r="AN53" s="1065">
        <v>0</v>
      </c>
      <c r="AO53" s="1065">
        <v>0</v>
      </c>
      <c r="AP53" s="1065">
        <v>0</v>
      </c>
      <c r="AQ53" s="1065">
        <v>0</v>
      </c>
    </row>
    <row r="54" spans="1:43">
      <c r="A54" s="1064" t="s">
        <v>898</v>
      </c>
      <c r="B54" s="1065">
        <v>75700000000</v>
      </c>
      <c r="C54" s="1065">
        <v>63100000000</v>
      </c>
      <c r="D54" s="1065">
        <v>23900000000</v>
      </c>
      <c r="E54" s="1065">
        <v>28100000000</v>
      </c>
      <c r="F54" s="1065">
        <v>8500000000</v>
      </c>
      <c r="G54" s="1065">
        <v>3400000000</v>
      </c>
      <c r="H54" s="1065">
        <v>5000000000</v>
      </c>
      <c r="I54" s="1065">
        <v>5000000000</v>
      </c>
      <c r="J54" s="1065">
        <v>4993742980</v>
      </c>
      <c r="K54" s="1065">
        <v>4993610865</v>
      </c>
      <c r="L54" s="1065">
        <v>4995424010</v>
      </c>
      <c r="M54" s="1065">
        <v>4995323669</v>
      </c>
      <c r="N54" s="1065">
        <v>4995368276</v>
      </c>
      <c r="O54" s="1065">
        <v>3996280531</v>
      </c>
      <c r="P54" s="1065">
        <v>3996117510</v>
      </c>
      <c r="Q54" s="1065">
        <v>1998003654</v>
      </c>
      <c r="R54" s="1065">
        <v>1997899701</v>
      </c>
      <c r="S54" s="1065">
        <v>0</v>
      </c>
      <c r="T54" s="1065">
        <v>0</v>
      </c>
      <c r="U54" s="1065">
        <v>0</v>
      </c>
      <c r="V54" s="1065">
        <v>0</v>
      </c>
      <c r="W54" s="1065">
        <v>0</v>
      </c>
      <c r="X54" s="1065">
        <v>0</v>
      </c>
      <c r="Y54" s="1065">
        <v>0</v>
      </c>
      <c r="Z54" s="1065">
        <v>0</v>
      </c>
      <c r="AA54" s="1065">
        <v>0</v>
      </c>
      <c r="AB54" s="1065">
        <v>0</v>
      </c>
      <c r="AC54" s="1065">
        <v>0</v>
      </c>
      <c r="AD54" s="1065">
        <v>0</v>
      </c>
      <c r="AE54" s="1065">
        <v>0</v>
      </c>
      <c r="AF54" s="1065">
        <v>0</v>
      </c>
      <c r="AG54" s="1065">
        <v>0</v>
      </c>
      <c r="AH54" s="1065">
        <v>0</v>
      </c>
      <c r="AI54" s="1065">
        <v>0</v>
      </c>
      <c r="AJ54" s="1065">
        <v>0</v>
      </c>
      <c r="AK54" s="1065">
        <v>0</v>
      </c>
      <c r="AL54" s="1065">
        <v>0</v>
      </c>
      <c r="AM54" s="1065">
        <v>0</v>
      </c>
      <c r="AN54" s="1065">
        <v>0</v>
      </c>
      <c r="AO54" s="1065">
        <v>0</v>
      </c>
      <c r="AP54" s="1065">
        <v>0</v>
      </c>
      <c r="AQ54" s="1065">
        <v>0</v>
      </c>
    </row>
    <row r="55" spans="1:43">
      <c r="A55" s="1064" t="s">
        <v>899</v>
      </c>
      <c r="B55" s="1065">
        <v>0</v>
      </c>
      <c r="C55" s="1065">
        <v>0</v>
      </c>
      <c r="D55" s="1065">
        <v>0</v>
      </c>
      <c r="E55" s="1065">
        <v>0</v>
      </c>
      <c r="F55" s="1065">
        <v>0</v>
      </c>
      <c r="G55" s="1065">
        <v>0</v>
      </c>
      <c r="H55" s="1065">
        <v>0</v>
      </c>
      <c r="I55" s="1065">
        <v>0</v>
      </c>
      <c r="J55" s="1065">
        <v>0</v>
      </c>
      <c r="K55" s="1065">
        <v>0</v>
      </c>
      <c r="L55" s="1065">
        <v>0</v>
      </c>
      <c r="M55" s="1065">
        <v>0</v>
      </c>
      <c r="N55" s="1065">
        <v>0</v>
      </c>
      <c r="O55" s="1065">
        <v>0</v>
      </c>
      <c r="P55" s="1065">
        <v>0</v>
      </c>
      <c r="Q55" s="1065">
        <v>0</v>
      </c>
      <c r="R55" s="1065">
        <v>0</v>
      </c>
      <c r="S55" s="1065">
        <v>0</v>
      </c>
      <c r="T55" s="1065">
        <v>0</v>
      </c>
      <c r="U55" s="1065">
        <v>0</v>
      </c>
      <c r="V55" s="1065">
        <v>0</v>
      </c>
      <c r="W55" s="1065">
        <v>0</v>
      </c>
      <c r="X55" s="1065">
        <v>0</v>
      </c>
      <c r="Y55" s="1065">
        <v>0</v>
      </c>
      <c r="Z55" s="1065">
        <v>0</v>
      </c>
      <c r="AA55" s="1065">
        <v>0</v>
      </c>
      <c r="AB55" s="1065">
        <v>0</v>
      </c>
      <c r="AC55" s="1065">
        <v>0</v>
      </c>
      <c r="AD55" s="1065">
        <v>0</v>
      </c>
      <c r="AE55" s="1065">
        <v>0</v>
      </c>
      <c r="AF55" s="1065">
        <v>0</v>
      </c>
      <c r="AG55" s="1065">
        <v>0</v>
      </c>
      <c r="AH55" s="1065">
        <v>0</v>
      </c>
      <c r="AI55" s="1065">
        <v>0</v>
      </c>
      <c r="AJ55" s="1065">
        <v>0</v>
      </c>
      <c r="AK55" s="1065">
        <v>0</v>
      </c>
      <c r="AL55" s="1065">
        <v>0</v>
      </c>
      <c r="AM55" s="1065">
        <v>0</v>
      </c>
      <c r="AN55" s="1065">
        <v>0</v>
      </c>
      <c r="AO55" s="1065">
        <v>0</v>
      </c>
      <c r="AP55" s="1065">
        <v>0</v>
      </c>
      <c r="AQ55" s="1065">
        <v>0</v>
      </c>
    </row>
    <row r="56" spans="1:43">
      <c r="A56" s="1064" t="s">
        <v>900</v>
      </c>
      <c r="B56" s="1065">
        <v>-309612068</v>
      </c>
      <c r="C56" s="1065">
        <v>-228998961</v>
      </c>
      <c r="D56" s="1065">
        <v>-91677104</v>
      </c>
      <c r="E56" s="1065">
        <v>-90452099</v>
      </c>
      <c r="F56" s="1065">
        <v>-40854593</v>
      </c>
      <c r="G56" s="1065">
        <v>-34361199</v>
      </c>
      <c r="H56" s="1065">
        <v>-6348816</v>
      </c>
      <c r="I56" s="1065">
        <v>-5541918</v>
      </c>
      <c r="J56" s="1065">
        <v>0</v>
      </c>
      <c r="K56" s="1065">
        <v>0</v>
      </c>
      <c r="L56" s="1065">
        <v>0</v>
      </c>
      <c r="M56" s="1065">
        <v>0</v>
      </c>
      <c r="N56" s="1065">
        <v>0</v>
      </c>
      <c r="O56" s="1065">
        <v>0</v>
      </c>
      <c r="P56" s="1065">
        <v>0</v>
      </c>
      <c r="Q56" s="1065">
        <v>0</v>
      </c>
      <c r="R56" s="1065">
        <v>0</v>
      </c>
      <c r="S56" s="1065">
        <v>0</v>
      </c>
      <c r="T56" s="1065">
        <v>0</v>
      </c>
      <c r="U56" s="1065">
        <v>0</v>
      </c>
      <c r="V56" s="1065">
        <v>0</v>
      </c>
      <c r="W56" s="1065">
        <v>0</v>
      </c>
      <c r="X56" s="1065">
        <v>0</v>
      </c>
      <c r="Y56" s="1065">
        <v>0</v>
      </c>
      <c r="Z56" s="1065">
        <v>0</v>
      </c>
      <c r="AA56" s="1065">
        <v>0</v>
      </c>
      <c r="AB56" s="1065">
        <v>0</v>
      </c>
      <c r="AC56" s="1065">
        <v>0</v>
      </c>
      <c r="AD56" s="1065">
        <v>0</v>
      </c>
      <c r="AE56" s="1065">
        <v>0</v>
      </c>
      <c r="AF56" s="1065">
        <v>0</v>
      </c>
      <c r="AG56" s="1065">
        <v>0</v>
      </c>
      <c r="AH56" s="1065">
        <v>0</v>
      </c>
      <c r="AI56" s="1065">
        <v>0</v>
      </c>
      <c r="AJ56" s="1065">
        <v>0</v>
      </c>
      <c r="AK56" s="1065">
        <v>0</v>
      </c>
      <c r="AL56" s="1065">
        <v>0</v>
      </c>
      <c r="AM56" s="1065">
        <v>0</v>
      </c>
      <c r="AN56" s="1065">
        <v>0</v>
      </c>
      <c r="AO56" s="1065">
        <v>0</v>
      </c>
      <c r="AP56" s="1065">
        <v>0</v>
      </c>
      <c r="AQ56" s="1065">
        <v>0</v>
      </c>
    </row>
    <row r="57" spans="1:43">
      <c r="A57" s="1062" t="s">
        <v>901</v>
      </c>
      <c r="B57" s="1063">
        <v>409419956365</v>
      </c>
      <c r="C57" s="1063">
        <v>355429396918</v>
      </c>
      <c r="D57" s="1063">
        <v>307458445589</v>
      </c>
      <c r="E57" s="1063">
        <v>260006033800</v>
      </c>
      <c r="F57" s="1063">
        <v>217896217942</v>
      </c>
      <c r="G57" s="1063">
        <v>1016968241035</v>
      </c>
      <c r="H57" s="1063">
        <v>1064891720191</v>
      </c>
      <c r="I57" s="1063">
        <v>1107606416060</v>
      </c>
      <c r="J57" s="1063">
        <v>1156157378410</v>
      </c>
      <c r="K57" s="1063">
        <v>1182847227710</v>
      </c>
      <c r="L57" s="1063">
        <v>1202011387889</v>
      </c>
      <c r="M57" s="1063">
        <v>1211786123164</v>
      </c>
      <c r="N57" s="1063">
        <v>1220644104546</v>
      </c>
      <c r="O57" s="1063">
        <v>1258825029699</v>
      </c>
      <c r="P57" s="1063">
        <v>1289070138794</v>
      </c>
      <c r="Q57" s="1063">
        <v>1309898615733</v>
      </c>
      <c r="R57" s="1063">
        <v>1328222615157</v>
      </c>
      <c r="S57" s="1063">
        <v>1289135628056</v>
      </c>
      <c r="T57" s="1063">
        <v>1278355332986</v>
      </c>
      <c r="U57" s="1063">
        <v>1300298950498</v>
      </c>
      <c r="V57" s="1063">
        <v>1356253155510</v>
      </c>
      <c r="W57" s="1063">
        <v>1466823585026</v>
      </c>
      <c r="X57" s="1063">
        <v>1510805568946</v>
      </c>
      <c r="Y57" s="1063">
        <v>1559536485717</v>
      </c>
      <c r="Z57" s="1063">
        <v>1629349910510</v>
      </c>
      <c r="AA57" s="1063">
        <v>1723900140611</v>
      </c>
      <c r="AB57" s="1063">
        <v>1798985530121</v>
      </c>
      <c r="AC57" s="1063">
        <v>1746272204897</v>
      </c>
      <c r="AD57" s="1063">
        <v>1688268517167</v>
      </c>
      <c r="AE57" s="1063">
        <v>1668173489998</v>
      </c>
      <c r="AF57" s="1063">
        <v>1658520340288</v>
      </c>
      <c r="AG57" s="1063">
        <v>1638157034697</v>
      </c>
      <c r="AH57" s="1063">
        <v>1644526910197</v>
      </c>
      <c r="AI57" s="1063">
        <v>1714546032960</v>
      </c>
      <c r="AJ57" s="1063">
        <v>1742203283895</v>
      </c>
      <c r="AK57" s="1063">
        <v>1828872818503</v>
      </c>
      <c r="AL57" s="1063">
        <v>1875715469789</v>
      </c>
      <c r="AM57" s="1063">
        <v>1923151663386</v>
      </c>
      <c r="AN57" s="1063">
        <v>2029518171939</v>
      </c>
      <c r="AO57" s="1063">
        <v>2052327595014</v>
      </c>
      <c r="AP57" s="1063">
        <v>2145608569445</v>
      </c>
      <c r="AQ57" s="1063">
        <v>2362906931044</v>
      </c>
    </row>
    <row r="58" spans="1:43">
      <c r="A58" s="1064" t="s">
        <v>902</v>
      </c>
      <c r="B58" s="1065">
        <v>408472353385</v>
      </c>
      <c r="C58" s="1065">
        <v>355429396918</v>
      </c>
      <c r="D58" s="1065">
        <v>307458445589</v>
      </c>
      <c r="E58" s="1065">
        <v>260006033800</v>
      </c>
      <c r="F58" s="1065">
        <v>217896217942</v>
      </c>
      <c r="G58" s="1065">
        <v>944509816555</v>
      </c>
      <c r="H58" s="1065">
        <v>969395061106</v>
      </c>
      <c r="I58" s="1065">
        <v>983732540470</v>
      </c>
      <c r="J58" s="1065">
        <v>995970307754</v>
      </c>
      <c r="K58" s="1065">
        <v>995990568889</v>
      </c>
      <c r="L58" s="1065">
        <v>989879908443</v>
      </c>
      <c r="M58" s="1065">
        <v>984908241315</v>
      </c>
      <c r="N58" s="1065">
        <v>983981867224</v>
      </c>
      <c r="O58" s="1065">
        <v>994217298246</v>
      </c>
      <c r="P58" s="1065">
        <v>1006882755702</v>
      </c>
      <c r="Q58" s="1065">
        <v>1004111634991</v>
      </c>
      <c r="R58" s="1065">
        <v>1003650052779</v>
      </c>
      <c r="S58" s="1065">
        <v>946033892970</v>
      </c>
      <c r="T58" s="1065">
        <v>924621769703</v>
      </c>
      <c r="U58" s="1065">
        <v>908347382458</v>
      </c>
      <c r="V58" s="1065">
        <v>932543134671</v>
      </c>
      <c r="W58" s="1065">
        <v>998332155482</v>
      </c>
      <c r="X58" s="1065">
        <v>1013698377504</v>
      </c>
      <c r="Y58" s="1065">
        <v>1038023420691</v>
      </c>
      <c r="Z58" s="1065">
        <v>1066818217070</v>
      </c>
      <c r="AA58" s="1065">
        <v>1109815909823</v>
      </c>
      <c r="AB58" s="1065">
        <v>1149597507399</v>
      </c>
      <c r="AC58" s="1065">
        <v>1095828979211</v>
      </c>
      <c r="AD58" s="1065">
        <v>1036713737380</v>
      </c>
      <c r="AE58" s="1065">
        <v>1004043737740</v>
      </c>
      <c r="AF58" s="1065">
        <v>972599372960</v>
      </c>
      <c r="AG58" s="1065">
        <v>929235084632</v>
      </c>
      <c r="AH58" s="1065">
        <v>905923812399</v>
      </c>
      <c r="AI58" s="1065">
        <v>928301620611</v>
      </c>
      <c r="AJ58" s="1065">
        <v>927117269453</v>
      </c>
      <c r="AK58" s="1065">
        <v>950352753632</v>
      </c>
      <c r="AL58" s="1065">
        <v>959226314639</v>
      </c>
      <c r="AM58" s="1065">
        <v>943737589497</v>
      </c>
      <c r="AN58" s="1065">
        <v>943015064934</v>
      </c>
      <c r="AO58" s="1065">
        <v>927945672218</v>
      </c>
      <c r="AP58" s="1065">
        <v>942690813456</v>
      </c>
      <c r="AQ58" s="1065">
        <v>1016315843046</v>
      </c>
    </row>
    <row r="59" spans="1:43">
      <c r="A59" s="1064" t="s">
        <v>903</v>
      </c>
      <c r="B59" s="1065">
        <v>0</v>
      </c>
      <c r="C59" s="1065">
        <v>0</v>
      </c>
      <c r="D59" s="1065">
        <v>0</v>
      </c>
      <c r="E59" s="1065">
        <v>0</v>
      </c>
      <c r="F59" s="1065">
        <v>0</v>
      </c>
      <c r="G59" s="1065">
        <v>2733549773</v>
      </c>
      <c r="H59" s="1065">
        <v>1184634134</v>
      </c>
      <c r="I59" s="1065">
        <v>1935256448</v>
      </c>
      <c r="J59" s="1065">
        <v>1732547608</v>
      </c>
      <c r="K59" s="1065">
        <v>2028402845</v>
      </c>
      <c r="L59" s="1065">
        <v>1724871671</v>
      </c>
      <c r="M59" s="1065">
        <v>1464110031</v>
      </c>
      <c r="N59" s="1065">
        <v>2015654251</v>
      </c>
      <c r="O59" s="1065">
        <v>1907877723</v>
      </c>
      <c r="P59" s="1065">
        <v>1815204728</v>
      </c>
      <c r="Q59" s="1065">
        <v>5289150713</v>
      </c>
      <c r="R59" s="1065">
        <v>4125464359</v>
      </c>
      <c r="S59" s="1065">
        <v>1182445769</v>
      </c>
      <c r="T59" s="1065">
        <v>2443116257</v>
      </c>
      <c r="U59" s="1065">
        <v>5277353209</v>
      </c>
      <c r="V59" s="1065">
        <v>6210505802</v>
      </c>
      <c r="W59" s="1065">
        <v>3989690529</v>
      </c>
      <c r="X59" s="1065">
        <v>4398654136</v>
      </c>
      <c r="Y59" s="1065">
        <v>4631643175</v>
      </c>
      <c r="Z59" s="1065">
        <v>5647133286</v>
      </c>
      <c r="AA59" s="1065">
        <v>5903407757</v>
      </c>
      <c r="AB59" s="1065">
        <v>9029836381</v>
      </c>
      <c r="AC59" s="1065">
        <v>4357727570</v>
      </c>
      <c r="AD59" s="1065">
        <v>8924531595</v>
      </c>
      <c r="AE59" s="1065">
        <v>14621709566</v>
      </c>
      <c r="AF59" s="1065">
        <v>9027237309</v>
      </c>
      <c r="AG59" s="1065">
        <v>8365348100</v>
      </c>
      <c r="AH59" s="1065">
        <v>20702454647</v>
      </c>
      <c r="AI59" s="1065">
        <v>29049960996</v>
      </c>
      <c r="AJ59" s="1065">
        <v>23091527074</v>
      </c>
      <c r="AK59" s="1065">
        <v>39725001725</v>
      </c>
      <c r="AL59" s="1065">
        <v>21514490513</v>
      </c>
      <c r="AM59" s="1065">
        <v>22903162899</v>
      </c>
      <c r="AN59" s="1065">
        <v>40237518636</v>
      </c>
      <c r="AO59" s="1065">
        <v>25477675379</v>
      </c>
      <c r="AP59" s="1065">
        <v>40153365893</v>
      </c>
      <c r="AQ59" s="1065">
        <v>49988175595</v>
      </c>
    </row>
    <row r="60" spans="1:43">
      <c r="A60" s="1064" t="s">
        <v>904</v>
      </c>
      <c r="B60" s="1065">
        <v>947602980</v>
      </c>
      <c r="C60" s="1065">
        <v>0</v>
      </c>
      <c r="D60" s="1065">
        <v>0</v>
      </c>
      <c r="E60" s="1065">
        <v>0</v>
      </c>
      <c r="F60" s="1065">
        <v>0</v>
      </c>
      <c r="G60" s="1065">
        <v>69724874707</v>
      </c>
      <c r="H60" s="1065">
        <v>94312024951</v>
      </c>
      <c r="I60" s="1065">
        <v>121938619142</v>
      </c>
      <c r="J60" s="1065">
        <v>158454523048</v>
      </c>
      <c r="K60" s="1065">
        <v>184828255976</v>
      </c>
      <c r="L60" s="1065">
        <v>210406607775</v>
      </c>
      <c r="M60" s="1065">
        <v>225413771818</v>
      </c>
      <c r="N60" s="1065">
        <v>234646583071</v>
      </c>
      <c r="O60" s="1065">
        <v>262699853730</v>
      </c>
      <c r="P60" s="1065">
        <v>280372178364</v>
      </c>
      <c r="Q60" s="1065">
        <v>300497830029</v>
      </c>
      <c r="R60" s="1065">
        <v>320447098019</v>
      </c>
      <c r="S60" s="1065">
        <v>341919289317</v>
      </c>
      <c r="T60" s="1065">
        <v>351290447026</v>
      </c>
      <c r="U60" s="1065">
        <v>386674214831</v>
      </c>
      <c r="V60" s="1065">
        <v>417499515037</v>
      </c>
      <c r="W60" s="1065">
        <v>464501739015</v>
      </c>
      <c r="X60" s="1065">
        <v>492708537306</v>
      </c>
      <c r="Y60" s="1065">
        <v>516881421851</v>
      </c>
      <c r="Z60" s="1065">
        <v>556884560154</v>
      </c>
      <c r="AA60" s="1065">
        <v>608180823031</v>
      </c>
      <c r="AB60" s="1065">
        <v>640358186341</v>
      </c>
      <c r="AC60" s="1065">
        <v>646085498116</v>
      </c>
      <c r="AD60" s="1065">
        <v>642630248192</v>
      </c>
      <c r="AE60" s="1065">
        <v>649508042692</v>
      </c>
      <c r="AF60" s="1065">
        <v>676893730019</v>
      </c>
      <c r="AG60" s="1065">
        <v>700556601965</v>
      </c>
      <c r="AH60" s="1065">
        <v>717900643151</v>
      </c>
      <c r="AI60" s="1065">
        <v>757194451353</v>
      </c>
      <c r="AJ60" s="1065">
        <v>791994487368</v>
      </c>
      <c r="AK60" s="1065">
        <v>838795063146</v>
      </c>
      <c r="AL60" s="1065">
        <v>894974664637</v>
      </c>
      <c r="AM60" s="1065">
        <v>956510910990</v>
      </c>
      <c r="AN60" s="1065">
        <v>1046265588369</v>
      </c>
      <c r="AO60" s="1065">
        <v>1098904247417</v>
      </c>
      <c r="AP60" s="1065">
        <v>1162764390096</v>
      </c>
      <c r="AQ60" s="1065">
        <v>1296602912403</v>
      </c>
    </row>
    <row r="61" spans="1:43">
      <c r="A61" s="1064" t="s">
        <v>905</v>
      </c>
      <c r="B61" s="1065">
        <v>0</v>
      </c>
      <c r="C61" s="1065">
        <v>0</v>
      </c>
      <c r="D61" s="1065">
        <v>0</v>
      </c>
      <c r="E61" s="1065">
        <v>0</v>
      </c>
      <c r="F61" s="1065">
        <v>0</v>
      </c>
      <c r="G61" s="1065">
        <v>0</v>
      </c>
      <c r="H61" s="1065">
        <v>0</v>
      </c>
      <c r="I61" s="1065">
        <v>0</v>
      </c>
      <c r="J61" s="1065">
        <v>0</v>
      </c>
      <c r="K61" s="1065">
        <v>0</v>
      </c>
      <c r="L61" s="1065">
        <v>0</v>
      </c>
      <c r="M61" s="1065">
        <v>0</v>
      </c>
      <c r="N61" s="1065">
        <v>0</v>
      </c>
      <c r="O61" s="1065">
        <v>0</v>
      </c>
      <c r="P61" s="1065">
        <v>0</v>
      </c>
      <c r="Q61" s="1065">
        <v>0</v>
      </c>
      <c r="R61" s="1065">
        <v>0</v>
      </c>
      <c r="S61" s="1065">
        <v>0</v>
      </c>
      <c r="T61" s="1065">
        <v>0</v>
      </c>
      <c r="U61" s="1065">
        <v>0</v>
      </c>
      <c r="V61" s="1065">
        <v>0</v>
      </c>
      <c r="W61" s="1065">
        <v>0</v>
      </c>
      <c r="X61" s="1065">
        <v>0</v>
      </c>
      <c r="Y61" s="1065">
        <v>0</v>
      </c>
      <c r="Z61" s="1065">
        <v>0</v>
      </c>
      <c r="AA61" s="1065">
        <v>0</v>
      </c>
      <c r="AB61" s="1065">
        <v>0</v>
      </c>
      <c r="AC61" s="1065">
        <v>0</v>
      </c>
      <c r="AD61" s="1065">
        <v>0</v>
      </c>
      <c r="AE61" s="1065">
        <v>0</v>
      </c>
      <c r="AF61" s="1065">
        <v>0</v>
      </c>
      <c r="AG61" s="1065">
        <v>0</v>
      </c>
      <c r="AH61" s="1065">
        <v>0</v>
      </c>
      <c r="AI61" s="1065">
        <v>0</v>
      </c>
      <c r="AJ61" s="1065">
        <v>0</v>
      </c>
      <c r="AK61" s="1065">
        <v>0</v>
      </c>
      <c r="AL61" s="1065">
        <v>0</v>
      </c>
      <c r="AM61" s="1065">
        <v>0</v>
      </c>
      <c r="AN61" s="1065">
        <v>0</v>
      </c>
      <c r="AO61" s="1065">
        <v>0</v>
      </c>
      <c r="AP61" s="1065">
        <v>0</v>
      </c>
      <c r="AQ61" s="1065">
        <v>0</v>
      </c>
    </row>
    <row r="62" spans="1:43">
      <c r="A62" s="1062" t="s">
        <v>906</v>
      </c>
      <c r="B62" s="1063">
        <v>99656270473</v>
      </c>
      <c r="C62" s="1063">
        <v>100268480324</v>
      </c>
      <c r="D62" s="1063">
        <v>99767383059</v>
      </c>
      <c r="E62" s="1063">
        <v>99645668969</v>
      </c>
      <c r="F62" s="1063">
        <v>96361273600</v>
      </c>
      <c r="G62" s="1063">
        <v>100080430335</v>
      </c>
      <c r="H62" s="1063">
        <v>91201100664</v>
      </c>
      <c r="I62" s="1063">
        <v>98193071321</v>
      </c>
      <c r="J62" s="1063">
        <v>97095384919</v>
      </c>
      <c r="K62" s="1063">
        <v>96386698128</v>
      </c>
      <c r="L62" s="1063">
        <v>95089232138</v>
      </c>
      <c r="M62" s="1063">
        <v>93967367681</v>
      </c>
      <c r="N62" s="1063">
        <v>115940259796</v>
      </c>
      <c r="O62" s="1063">
        <v>47933961218</v>
      </c>
      <c r="P62" s="1063">
        <v>46875544608</v>
      </c>
      <c r="Q62" s="1063">
        <v>46831735852</v>
      </c>
      <c r="R62" s="1063">
        <v>47789531109</v>
      </c>
      <c r="S62" s="1063">
        <v>44812777036</v>
      </c>
      <c r="T62" s="1063">
        <v>41751667843</v>
      </c>
      <c r="U62" s="1063">
        <v>43119385624</v>
      </c>
      <c r="V62" s="1063">
        <v>42118347560</v>
      </c>
      <c r="W62" s="1063">
        <v>36880640263</v>
      </c>
      <c r="X62" s="1063">
        <v>38965897134</v>
      </c>
      <c r="Y62" s="1063">
        <v>37914345894</v>
      </c>
      <c r="Z62" s="1063">
        <v>34780245927</v>
      </c>
      <c r="AA62" s="1063">
        <v>38095170341</v>
      </c>
      <c r="AB62" s="1063">
        <v>35104923779</v>
      </c>
      <c r="AC62" s="1063">
        <v>31561529597</v>
      </c>
      <c r="AD62" s="1063">
        <v>30015706815</v>
      </c>
      <c r="AE62" s="1063">
        <v>27248329221</v>
      </c>
      <c r="AF62" s="1063">
        <v>24905203456</v>
      </c>
      <c r="AG62" s="1063">
        <v>22961281335</v>
      </c>
      <c r="AH62" s="1063">
        <v>22870048647</v>
      </c>
      <c r="AI62" s="1063">
        <v>20416214771</v>
      </c>
      <c r="AJ62" s="1063">
        <v>19201276781</v>
      </c>
      <c r="AK62" s="1063">
        <v>24911605097</v>
      </c>
      <c r="AL62" s="1063">
        <v>62131139580</v>
      </c>
      <c r="AM62" s="1063">
        <v>63798447401</v>
      </c>
      <c r="AN62" s="1063">
        <v>60581423068</v>
      </c>
      <c r="AO62" s="1063">
        <v>67519538882</v>
      </c>
      <c r="AP62" s="1063">
        <v>75678123344</v>
      </c>
      <c r="AQ62" s="1063">
        <v>76950153581</v>
      </c>
    </row>
    <row r="63" spans="1:43">
      <c r="A63" s="1064" t="s">
        <v>907</v>
      </c>
      <c r="B63" s="1065">
        <v>164322170245</v>
      </c>
      <c r="C63" s="1065">
        <v>163841129767</v>
      </c>
      <c r="D63" s="1065">
        <v>164762309497</v>
      </c>
      <c r="E63" s="1065">
        <v>159509964303</v>
      </c>
      <c r="F63" s="1065">
        <v>156618932011</v>
      </c>
      <c r="G63" s="1065">
        <v>145777325134</v>
      </c>
      <c r="H63" s="1065">
        <v>145996660933</v>
      </c>
      <c r="I63" s="1065">
        <v>147319279183</v>
      </c>
      <c r="J63" s="1065">
        <v>147849680492</v>
      </c>
      <c r="K63" s="1065">
        <v>148766522868</v>
      </c>
      <c r="L63" s="1065">
        <v>148985802590</v>
      </c>
      <c r="M63" s="1065">
        <v>149316316332</v>
      </c>
      <c r="N63" s="1065">
        <v>174574104500</v>
      </c>
      <c r="O63" s="1065">
        <v>86679482816</v>
      </c>
      <c r="P63" s="1065">
        <v>88887668403</v>
      </c>
      <c r="Q63" s="1065">
        <v>92060316984</v>
      </c>
      <c r="R63" s="1065">
        <v>94325169839</v>
      </c>
      <c r="S63" s="1065">
        <v>91087569691</v>
      </c>
      <c r="T63" s="1065">
        <v>91480792389</v>
      </c>
      <c r="U63" s="1065">
        <v>95555498509</v>
      </c>
      <c r="V63" s="1065">
        <v>98159829459</v>
      </c>
      <c r="W63" s="1065">
        <v>95212497615</v>
      </c>
      <c r="X63" s="1065">
        <v>100119580093</v>
      </c>
      <c r="Y63" s="1065">
        <v>92339885693</v>
      </c>
      <c r="Z63" s="1065">
        <v>92462533729</v>
      </c>
      <c r="AA63" s="1065">
        <v>98195988249</v>
      </c>
      <c r="AB63" s="1065">
        <v>99157213967</v>
      </c>
      <c r="AC63" s="1065">
        <v>98863869540</v>
      </c>
      <c r="AD63" s="1065">
        <v>97824506836</v>
      </c>
      <c r="AE63" s="1065">
        <v>98710735072</v>
      </c>
      <c r="AF63" s="1065">
        <v>100003663210</v>
      </c>
      <c r="AG63" s="1065">
        <v>98886339310</v>
      </c>
      <c r="AH63" s="1065">
        <v>101743212391</v>
      </c>
      <c r="AI63" s="1065">
        <v>100746746344</v>
      </c>
      <c r="AJ63" s="1065">
        <v>101380774553</v>
      </c>
      <c r="AK63" s="1065">
        <v>83662893748</v>
      </c>
      <c r="AL63" s="1065">
        <v>118338099371</v>
      </c>
      <c r="AM63" s="1065">
        <v>124168884176</v>
      </c>
      <c r="AN63" s="1065">
        <v>125502990204</v>
      </c>
      <c r="AO63" s="1065">
        <v>135372689076</v>
      </c>
      <c r="AP63" s="1065">
        <v>147886315620</v>
      </c>
      <c r="AQ63" s="1065">
        <v>154001633194</v>
      </c>
    </row>
    <row r="64" spans="1:43">
      <c r="A64" s="1064" t="s">
        <v>908</v>
      </c>
      <c r="B64" s="1065">
        <v>-64665899772</v>
      </c>
      <c r="C64" s="1065">
        <v>-63572649443</v>
      </c>
      <c r="D64" s="1065">
        <v>-64994926438</v>
      </c>
      <c r="E64" s="1065">
        <v>-59864295334</v>
      </c>
      <c r="F64" s="1065">
        <v>-60257658411</v>
      </c>
      <c r="G64" s="1065">
        <v>-45696894799</v>
      </c>
      <c r="H64" s="1065">
        <v>-54795560269</v>
      </c>
      <c r="I64" s="1065">
        <v>-49126207862</v>
      </c>
      <c r="J64" s="1065">
        <v>-50754295573</v>
      </c>
      <c r="K64" s="1065">
        <v>-52379824740</v>
      </c>
      <c r="L64" s="1065">
        <v>-53896570452</v>
      </c>
      <c r="M64" s="1065">
        <v>-55348948651</v>
      </c>
      <c r="N64" s="1065">
        <v>-58633844704</v>
      </c>
      <c r="O64" s="1065">
        <v>-38745521598</v>
      </c>
      <c r="P64" s="1065">
        <v>-42012123795</v>
      </c>
      <c r="Q64" s="1065">
        <v>-45228581132</v>
      </c>
      <c r="R64" s="1065">
        <v>-46535638730</v>
      </c>
      <c r="S64" s="1065">
        <v>-46274792655</v>
      </c>
      <c r="T64" s="1065">
        <v>-49729124546</v>
      </c>
      <c r="U64" s="1065">
        <v>-52436112885</v>
      </c>
      <c r="V64" s="1065">
        <v>-56041481899</v>
      </c>
      <c r="W64" s="1065">
        <v>-58331857352</v>
      </c>
      <c r="X64" s="1065">
        <v>-61153682959</v>
      </c>
      <c r="Y64" s="1065">
        <v>-54425539799</v>
      </c>
      <c r="Z64" s="1065">
        <v>-57682287802</v>
      </c>
      <c r="AA64" s="1065">
        <v>-60100817908</v>
      </c>
      <c r="AB64" s="1065">
        <v>-64052290188</v>
      </c>
      <c r="AC64" s="1065">
        <v>-67302339943</v>
      </c>
      <c r="AD64" s="1065">
        <v>-67808800021</v>
      </c>
      <c r="AE64" s="1065">
        <v>-71462405851</v>
      </c>
      <c r="AF64" s="1065">
        <v>-75098459754</v>
      </c>
      <c r="AG64" s="1065">
        <v>-75925057975</v>
      </c>
      <c r="AH64" s="1065">
        <v>-78873163744</v>
      </c>
      <c r="AI64" s="1065">
        <v>-80330531573</v>
      </c>
      <c r="AJ64" s="1065">
        <v>-82179497772</v>
      </c>
      <c r="AK64" s="1065">
        <v>-58751288651</v>
      </c>
      <c r="AL64" s="1065">
        <v>-56206959791</v>
      </c>
      <c r="AM64" s="1065">
        <v>-60370436775</v>
      </c>
      <c r="AN64" s="1065">
        <v>-64921567136</v>
      </c>
      <c r="AO64" s="1065">
        <v>-67853150194</v>
      </c>
      <c r="AP64" s="1065">
        <v>-72208192276</v>
      </c>
      <c r="AQ64" s="1065">
        <v>-77051479613</v>
      </c>
    </row>
    <row r="65" spans="1:43">
      <c r="A65" s="1064" t="s">
        <v>909</v>
      </c>
      <c r="B65" s="1065">
        <v>0</v>
      </c>
      <c r="C65" s="1065">
        <v>0</v>
      </c>
      <c r="D65" s="1065">
        <v>0</v>
      </c>
      <c r="E65" s="1065">
        <v>0</v>
      </c>
      <c r="F65" s="1065">
        <v>0</v>
      </c>
      <c r="G65" s="1065">
        <v>0</v>
      </c>
      <c r="H65" s="1065">
        <v>0</v>
      </c>
      <c r="I65" s="1065">
        <v>0</v>
      </c>
      <c r="J65" s="1065">
        <v>0</v>
      </c>
      <c r="K65" s="1065">
        <v>0</v>
      </c>
      <c r="L65" s="1065">
        <v>0</v>
      </c>
      <c r="M65" s="1065">
        <v>0</v>
      </c>
      <c r="N65" s="1065">
        <v>0</v>
      </c>
      <c r="O65" s="1065">
        <v>0</v>
      </c>
      <c r="P65" s="1065">
        <v>0</v>
      </c>
      <c r="Q65" s="1065">
        <v>0</v>
      </c>
      <c r="R65" s="1065">
        <v>0</v>
      </c>
      <c r="S65" s="1065">
        <v>0</v>
      </c>
      <c r="T65" s="1065">
        <v>0</v>
      </c>
      <c r="U65" s="1065">
        <v>0</v>
      </c>
      <c r="V65" s="1065">
        <v>0</v>
      </c>
      <c r="W65" s="1065">
        <v>0</v>
      </c>
      <c r="X65" s="1065">
        <v>0</v>
      </c>
      <c r="Y65" s="1065">
        <v>0</v>
      </c>
      <c r="Z65" s="1065">
        <v>0</v>
      </c>
      <c r="AA65" s="1065">
        <v>0</v>
      </c>
      <c r="AB65" s="1065">
        <v>0</v>
      </c>
      <c r="AC65" s="1065">
        <v>0</v>
      </c>
      <c r="AD65" s="1065">
        <v>0</v>
      </c>
      <c r="AE65" s="1065">
        <v>0</v>
      </c>
      <c r="AF65" s="1065">
        <v>0</v>
      </c>
      <c r="AG65" s="1065">
        <v>0</v>
      </c>
      <c r="AH65" s="1065">
        <v>0</v>
      </c>
      <c r="AI65" s="1065">
        <v>0</v>
      </c>
      <c r="AJ65" s="1065">
        <v>0</v>
      </c>
      <c r="AK65" s="1065">
        <v>0</v>
      </c>
      <c r="AL65" s="1065">
        <v>0</v>
      </c>
      <c r="AM65" s="1065">
        <v>0</v>
      </c>
      <c r="AN65" s="1065">
        <v>0</v>
      </c>
      <c r="AO65" s="1065">
        <v>0</v>
      </c>
      <c r="AP65" s="1065">
        <v>0</v>
      </c>
      <c r="AQ65" s="1065">
        <v>0</v>
      </c>
    </row>
    <row r="66" spans="1:43">
      <c r="A66" s="1062" t="s">
        <v>910</v>
      </c>
      <c r="B66" s="1063">
        <v>22612674119</v>
      </c>
      <c r="C66" s="1063">
        <v>22513398864</v>
      </c>
      <c r="D66" s="1063">
        <v>22414123611</v>
      </c>
      <c r="E66" s="1063">
        <v>21163350787</v>
      </c>
      <c r="F66" s="1063">
        <v>13408135746</v>
      </c>
      <c r="G66" s="1063">
        <v>13350791704</v>
      </c>
      <c r="H66" s="1063">
        <v>20789166324</v>
      </c>
      <c r="I66" s="1063">
        <v>12620165508</v>
      </c>
      <c r="J66" s="1063">
        <v>12208697674</v>
      </c>
      <c r="K66" s="1063">
        <v>12154498516</v>
      </c>
      <c r="L66" s="1063">
        <v>12100299364</v>
      </c>
      <c r="M66" s="1063">
        <v>12046100209</v>
      </c>
      <c r="N66" s="1063">
        <v>11991901053</v>
      </c>
      <c r="O66" s="1063">
        <v>9604502296</v>
      </c>
      <c r="P66" s="1063">
        <v>9554376933</v>
      </c>
      <c r="Q66" s="1063">
        <v>9504251567</v>
      </c>
      <c r="R66" s="1063">
        <v>9454126201</v>
      </c>
      <c r="S66" s="1063">
        <v>9404000833</v>
      </c>
      <c r="T66" s="1063">
        <v>9353875471</v>
      </c>
      <c r="U66" s="1063">
        <v>6838529795</v>
      </c>
      <c r="V66" s="1063">
        <v>6801714571</v>
      </c>
      <c r="W66" s="1063">
        <v>3206117322</v>
      </c>
      <c r="X66" s="1063">
        <v>143256961787</v>
      </c>
      <c r="Y66" s="1063">
        <v>151170975556</v>
      </c>
      <c r="Z66" s="1063">
        <v>150182065952</v>
      </c>
      <c r="AA66" s="1063">
        <v>152437306413</v>
      </c>
      <c r="AB66" s="1063">
        <v>504912782657</v>
      </c>
      <c r="AC66" s="1063">
        <v>489024363393</v>
      </c>
      <c r="AD66" s="1063">
        <v>501374459812</v>
      </c>
      <c r="AE66" s="1063">
        <v>502167748072</v>
      </c>
      <c r="AF66" s="1063">
        <v>512532664532</v>
      </c>
      <c r="AG66" s="1063">
        <v>417853550055</v>
      </c>
      <c r="AH66" s="1063">
        <v>436770813815</v>
      </c>
      <c r="AI66" s="1063">
        <v>452045265991</v>
      </c>
      <c r="AJ66" s="1063">
        <v>422533601075</v>
      </c>
      <c r="AK66" s="1063">
        <v>478477856406</v>
      </c>
      <c r="AL66" s="1063">
        <v>476221491570</v>
      </c>
      <c r="AM66" s="1063">
        <v>432732819961</v>
      </c>
      <c r="AN66" s="1063">
        <v>445547691392</v>
      </c>
      <c r="AO66" s="1063">
        <v>456808286733</v>
      </c>
      <c r="AP66" s="1063">
        <v>482512516810</v>
      </c>
      <c r="AQ66" s="1063">
        <v>661360254627</v>
      </c>
    </row>
    <row r="67" spans="1:43">
      <c r="A67" s="1064" t="s">
        <v>907</v>
      </c>
      <c r="B67" s="1065">
        <v>29058579793</v>
      </c>
      <c r="C67" s="1065">
        <v>29058579793</v>
      </c>
      <c r="D67" s="1065">
        <v>29058579793</v>
      </c>
      <c r="E67" s="1065">
        <v>27466208052</v>
      </c>
      <c r="F67" s="1065">
        <v>17041306997</v>
      </c>
      <c r="G67" s="1065">
        <v>17041306997</v>
      </c>
      <c r="H67" s="1065">
        <v>17041306997</v>
      </c>
      <c r="I67" s="1065">
        <v>16425368874</v>
      </c>
      <c r="J67" s="1065">
        <v>15922187562</v>
      </c>
      <c r="K67" s="1065">
        <v>15922187562</v>
      </c>
      <c r="L67" s="1065">
        <v>15922187562</v>
      </c>
      <c r="M67" s="1065">
        <v>15922187562</v>
      </c>
      <c r="N67" s="1065">
        <v>15922187562</v>
      </c>
      <c r="O67" s="1065">
        <v>13515659743</v>
      </c>
      <c r="P67" s="1065">
        <v>13515659743</v>
      </c>
      <c r="Q67" s="1065">
        <v>13515659743</v>
      </c>
      <c r="R67" s="1065">
        <v>13515659743</v>
      </c>
      <c r="S67" s="1065">
        <v>13515659743</v>
      </c>
      <c r="T67" s="1065">
        <v>13515659743</v>
      </c>
      <c r="U67" s="1065">
        <v>10026037041</v>
      </c>
      <c r="V67" s="1065">
        <v>10026037041</v>
      </c>
      <c r="W67" s="1065">
        <v>4888429059</v>
      </c>
      <c r="X67" s="1065">
        <v>144002816035</v>
      </c>
      <c r="Y67" s="1065">
        <v>152346685130</v>
      </c>
      <c r="Z67" s="1065">
        <v>152346685130</v>
      </c>
      <c r="AA67" s="1065">
        <v>155633777208</v>
      </c>
      <c r="AB67" s="1065">
        <v>509964878351</v>
      </c>
      <c r="AC67" s="1065">
        <v>499906260699</v>
      </c>
      <c r="AD67" s="1065">
        <v>514247649149</v>
      </c>
      <c r="AE67" s="1065">
        <v>515818486491</v>
      </c>
      <c r="AF67" s="1065">
        <v>528391758557</v>
      </c>
      <c r="AG67" s="1065">
        <v>506624281293</v>
      </c>
      <c r="AH67" s="1065">
        <v>529177588061</v>
      </c>
      <c r="AI67" s="1065">
        <v>545837173548</v>
      </c>
      <c r="AJ67" s="1065">
        <v>518490306805</v>
      </c>
      <c r="AK67" s="1065">
        <v>577584685514</v>
      </c>
      <c r="AL67" s="1065">
        <v>576209483881</v>
      </c>
      <c r="AM67" s="1065">
        <v>532949569680</v>
      </c>
      <c r="AN67" s="1065">
        <v>550945065324</v>
      </c>
      <c r="AO67" s="1065">
        <v>563793377717</v>
      </c>
      <c r="AP67" s="1065">
        <v>594637185753</v>
      </c>
      <c r="AQ67" s="1065">
        <v>775738691333</v>
      </c>
    </row>
    <row r="68" spans="1:43">
      <c r="A68" s="1064" t="s">
        <v>908</v>
      </c>
      <c r="B68" s="1065">
        <v>-6445905674</v>
      </c>
      <c r="C68" s="1065">
        <v>-6545180929</v>
      </c>
      <c r="D68" s="1065">
        <v>-6644456182</v>
      </c>
      <c r="E68" s="1065">
        <v>-6302857265</v>
      </c>
      <c r="F68" s="1065">
        <v>-3633171251</v>
      </c>
      <c r="G68" s="1065">
        <v>-3690515293</v>
      </c>
      <c r="H68" s="1065">
        <v>3747859327</v>
      </c>
      <c r="I68" s="1065">
        <v>-3805203366</v>
      </c>
      <c r="J68" s="1065">
        <v>-3713489888</v>
      </c>
      <c r="K68" s="1065">
        <v>-3767689046</v>
      </c>
      <c r="L68" s="1065">
        <v>-3821888198</v>
      </c>
      <c r="M68" s="1065">
        <v>-3876087353</v>
      </c>
      <c r="N68" s="1065">
        <v>-3930286509</v>
      </c>
      <c r="O68" s="1065">
        <v>-3911157447</v>
      </c>
      <c r="P68" s="1065">
        <v>-3961282810</v>
      </c>
      <c r="Q68" s="1065">
        <v>-4011408176</v>
      </c>
      <c r="R68" s="1065">
        <v>-4061533542</v>
      </c>
      <c r="S68" s="1065">
        <v>-4111658910</v>
      </c>
      <c r="T68" s="1065">
        <v>-4161784272</v>
      </c>
      <c r="U68" s="1065">
        <v>-3187507246</v>
      </c>
      <c r="V68" s="1065">
        <v>-3224322470</v>
      </c>
      <c r="W68" s="1065">
        <v>-1682311737</v>
      </c>
      <c r="X68" s="1065">
        <v>-745854248</v>
      </c>
      <c r="Y68" s="1065">
        <v>-753825470</v>
      </c>
      <c r="Z68" s="1065">
        <v>-1742735074</v>
      </c>
      <c r="AA68" s="1065">
        <v>-2774586691</v>
      </c>
      <c r="AB68" s="1065">
        <v>-4630211590</v>
      </c>
      <c r="AC68" s="1065">
        <v>-6507843411</v>
      </c>
      <c r="AD68" s="1065">
        <v>-8499135442</v>
      </c>
      <c r="AE68" s="1065">
        <v>-9690568628</v>
      </c>
      <c r="AF68" s="1065">
        <v>-11898924234</v>
      </c>
      <c r="AG68" s="1065">
        <v>-12230732021</v>
      </c>
      <c r="AH68" s="1065">
        <v>-15866775029</v>
      </c>
      <c r="AI68" s="1065">
        <v>-17251908340</v>
      </c>
      <c r="AJ68" s="1065">
        <v>-19416706513</v>
      </c>
      <c r="AK68" s="1065">
        <v>-22566829891</v>
      </c>
      <c r="AL68" s="1065">
        <v>-23447993094</v>
      </c>
      <c r="AM68" s="1065">
        <v>-23676750502</v>
      </c>
      <c r="AN68" s="1065">
        <v>-28857374715</v>
      </c>
      <c r="AO68" s="1065">
        <v>-30445091767</v>
      </c>
      <c r="AP68" s="1065">
        <v>-35584669726</v>
      </c>
      <c r="AQ68" s="1065">
        <v>-37838437489</v>
      </c>
    </row>
    <row r="69" spans="1:43">
      <c r="A69" s="1064" t="s">
        <v>909</v>
      </c>
      <c r="B69" s="1065">
        <v>0</v>
      </c>
      <c r="C69" s="1065">
        <v>0</v>
      </c>
      <c r="D69" s="1065">
        <v>0</v>
      </c>
      <c r="E69" s="1065">
        <v>0</v>
      </c>
      <c r="F69" s="1065">
        <v>0</v>
      </c>
      <c r="G69" s="1065">
        <v>0</v>
      </c>
      <c r="H69" s="1065">
        <v>0</v>
      </c>
      <c r="I69" s="1065">
        <v>0</v>
      </c>
      <c r="J69" s="1065">
        <v>0</v>
      </c>
      <c r="K69" s="1065">
        <v>0</v>
      </c>
      <c r="L69" s="1065">
        <v>0</v>
      </c>
      <c r="M69" s="1065">
        <v>0</v>
      </c>
      <c r="N69" s="1065">
        <v>0</v>
      </c>
      <c r="O69" s="1065">
        <v>0</v>
      </c>
      <c r="P69" s="1065">
        <v>0</v>
      </c>
      <c r="Q69" s="1065">
        <v>0</v>
      </c>
      <c r="R69" s="1065">
        <v>0</v>
      </c>
      <c r="S69" s="1065">
        <v>0</v>
      </c>
      <c r="T69" s="1065">
        <v>0</v>
      </c>
      <c r="U69" s="1065">
        <v>0</v>
      </c>
      <c r="V69" s="1065">
        <v>0</v>
      </c>
      <c r="W69" s="1065">
        <v>0</v>
      </c>
      <c r="X69" s="1065">
        <v>0</v>
      </c>
      <c r="Y69" s="1065">
        <v>-421884104</v>
      </c>
      <c r="Z69" s="1065">
        <v>-421884104</v>
      </c>
      <c r="AA69" s="1065">
        <v>-421884104</v>
      </c>
      <c r="AB69" s="1065">
        <v>-421884104</v>
      </c>
      <c r="AC69" s="1065">
        <v>-4374053895</v>
      </c>
      <c r="AD69" s="1065">
        <v>-4374053895</v>
      </c>
      <c r="AE69" s="1065">
        <v>-3960169791</v>
      </c>
      <c r="AF69" s="1065">
        <v>-3960169791</v>
      </c>
      <c r="AG69" s="1065">
        <v>-76539999217</v>
      </c>
      <c r="AH69" s="1065">
        <v>-76539999217</v>
      </c>
      <c r="AI69" s="1065">
        <v>-76539999217</v>
      </c>
      <c r="AJ69" s="1065">
        <v>-76539999217</v>
      </c>
      <c r="AK69" s="1065">
        <v>-76539999217</v>
      </c>
      <c r="AL69" s="1065">
        <v>-76539999217</v>
      </c>
      <c r="AM69" s="1065">
        <v>-76539999217</v>
      </c>
      <c r="AN69" s="1065">
        <v>-76539999217</v>
      </c>
      <c r="AO69" s="1065">
        <v>-76539999217</v>
      </c>
      <c r="AP69" s="1065">
        <v>-76539999217</v>
      </c>
      <c r="AQ69" s="1065">
        <v>-76539999217</v>
      </c>
    </row>
    <row r="70" spans="1:43">
      <c r="A70" s="1062" t="s">
        <v>911</v>
      </c>
      <c r="B70" s="1063">
        <v>39270118714</v>
      </c>
      <c r="C70" s="1063">
        <v>38946621548</v>
      </c>
      <c r="D70" s="1063">
        <v>37267573972</v>
      </c>
      <c r="E70" s="1063">
        <v>35713934562</v>
      </c>
      <c r="F70" s="1063">
        <v>32658740063</v>
      </c>
      <c r="G70" s="1063">
        <v>35662641345</v>
      </c>
      <c r="H70" s="1063">
        <v>35198108612</v>
      </c>
      <c r="I70" s="1063">
        <v>35015128493</v>
      </c>
      <c r="J70" s="1063">
        <v>34970107653</v>
      </c>
      <c r="K70" s="1063">
        <v>35312175550</v>
      </c>
      <c r="L70" s="1063">
        <v>35638192443</v>
      </c>
      <c r="M70" s="1063">
        <v>35796484468</v>
      </c>
      <c r="N70" s="1063">
        <v>36984390229</v>
      </c>
      <c r="O70" s="1063">
        <v>36946106827</v>
      </c>
      <c r="P70" s="1063">
        <v>36272466539</v>
      </c>
      <c r="Q70" s="1063">
        <v>36495895181</v>
      </c>
      <c r="R70" s="1063">
        <v>35627532295</v>
      </c>
      <c r="S70" s="1063">
        <v>35366543311</v>
      </c>
      <c r="T70" s="1063">
        <v>37108731163</v>
      </c>
      <c r="U70" s="1063">
        <v>39657542349</v>
      </c>
      <c r="V70" s="1063">
        <v>38826316165</v>
      </c>
      <c r="W70" s="1063">
        <v>38257916552</v>
      </c>
      <c r="X70" s="1063">
        <v>40391616386</v>
      </c>
      <c r="Y70" s="1063">
        <v>40075686007</v>
      </c>
      <c r="Z70" s="1063">
        <v>42376625083</v>
      </c>
      <c r="AA70" s="1063">
        <v>43952248270</v>
      </c>
      <c r="AB70" s="1063">
        <v>54201152242</v>
      </c>
      <c r="AC70" s="1063">
        <v>53499737331</v>
      </c>
      <c r="AD70" s="1063">
        <v>52624541076</v>
      </c>
      <c r="AE70" s="1063">
        <v>51843284303</v>
      </c>
      <c r="AF70" s="1063">
        <v>51268113220</v>
      </c>
      <c r="AG70" s="1063">
        <v>51615221372</v>
      </c>
      <c r="AH70" s="1063">
        <v>50626807552</v>
      </c>
      <c r="AI70" s="1063">
        <v>50382785641</v>
      </c>
      <c r="AJ70" s="1063">
        <v>50706997734</v>
      </c>
      <c r="AK70" s="1063">
        <v>51003257663</v>
      </c>
      <c r="AL70" s="1063">
        <v>50408815950</v>
      </c>
      <c r="AM70" s="1063">
        <v>49996708535</v>
      </c>
      <c r="AN70" s="1063">
        <v>50701702150</v>
      </c>
      <c r="AO70" s="1063">
        <v>55994543880</v>
      </c>
      <c r="AP70" s="1063">
        <v>62531865865</v>
      </c>
      <c r="AQ70" s="1063">
        <v>66577955313</v>
      </c>
    </row>
    <row r="71" spans="1:43">
      <c r="A71" s="1064" t="s">
        <v>912</v>
      </c>
      <c r="B71" s="1065">
        <v>32355950905</v>
      </c>
      <c r="C71" s="1065">
        <v>32189887905</v>
      </c>
      <c r="D71" s="1065">
        <v>32048937905</v>
      </c>
      <c r="E71" s="1065">
        <v>31907687905</v>
      </c>
      <c r="F71" s="1065">
        <v>30533018705</v>
      </c>
      <c r="G71" s="1065">
        <v>32100899155</v>
      </c>
      <c r="H71" s="1065">
        <v>31735115820</v>
      </c>
      <c r="I71" s="1065">
        <v>31692665820</v>
      </c>
      <c r="J71" s="1065">
        <v>31725215820</v>
      </c>
      <c r="K71" s="1065">
        <v>31682765820</v>
      </c>
      <c r="L71" s="1065">
        <v>31640315820</v>
      </c>
      <c r="M71" s="1065">
        <v>31597865820</v>
      </c>
      <c r="N71" s="1065">
        <v>31292615820</v>
      </c>
      <c r="O71" s="1065">
        <v>30769966240</v>
      </c>
      <c r="P71" s="1065">
        <v>30727516240</v>
      </c>
      <c r="Q71" s="1065">
        <v>30435815650</v>
      </c>
      <c r="R71" s="1065">
        <v>30395460226</v>
      </c>
      <c r="S71" s="1065">
        <v>30353010226</v>
      </c>
      <c r="T71" s="1065">
        <v>30609410226</v>
      </c>
      <c r="U71" s="1065">
        <v>30375838951</v>
      </c>
      <c r="V71" s="1065">
        <v>30375838951</v>
      </c>
      <c r="W71" s="1065">
        <v>30375838951</v>
      </c>
      <c r="X71" s="1065">
        <v>30325838951</v>
      </c>
      <c r="Y71" s="1065">
        <v>30325838951</v>
      </c>
      <c r="Z71" s="1065">
        <v>32925838951</v>
      </c>
      <c r="AA71" s="1065">
        <v>32983038951</v>
      </c>
      <c r="AB71" s="1065">
        <v>43611838951</v>
      </c>
      <c r="AC71" s="1065">
        <v>43613106151</v>
      </c>
      <c r="AD71" s="1065">
        <v>43586386241</v>
      </c>
      <c r="AE71" s="1065">
        <v>43586386241</v>
      </c>
      <c r="AF71" s="1065">
        <v>43586386241</v>
      </c>
      <c r="AG71" s="1065">
        <v>43586386241</v>
      </c>
      <c r="AH71" s="1065">
        <v>43511386241</v>
      </c>
      <c r="AI71" s="1065">
        <v>42766340646</v>
      </c>
      <c r="AJ71" s="1065">
        <v>42510840646</v>
      </c>
      <c r="AK71" s="1065">
        <v>42510840646</v>
      </c>
      <c r="AL71" s="1065">
        <v>42510840646</v>
      </c>
      <c r="AM71" s="1065">
        <v>42510840646</v>
      </c>
      <c r="AN71" s="1065">
        <v>42510840646</v>
      </c>
      <c r="AO71" s="1065">
        <v>42510840646</v>
      </c>
      <c r="AP71" s="1065">
        <v>43182337756</v>
      </c>
      <c r="AQ71" s="1065">
        <v>43496469806</v>
      </c>
    </row>
    <row r="72" spans="1:43">
      <c r="A72" s="1064" t="s">
        <v>913</v>
      </c>
      <c r="B72" s="1065">
        <v>11378792344</v>
      </c>
      <c r="C72" s="1065">
        <v>10936358178</v>
      </c>
      <c r="D72" s="1065">
        <v>9398260602</v>
      </c>
      <c r="E72" s="1065">
        <v>7985871192</v>
      </c>
      <c r="F72" s="1065">
        <v>6305345893</v>
      </c>
      <c r="G72" s="1065">
        <v>7741366725</v>
      </c>
      <c r="H72" s="1065">
        <v>7642617327</v>
      </c>
      <c r="I72" s="1065">
        <v>7502087208</v>
      </c>
      <c r="J72" s="1065">
        <v>7424516368</v>
      </c>
      <c r="K72" s="1065">
        <v>7809034265</v>
      </c>
      <c r="L72" s="1065">
        <v>8177501158</v>
      </c>
      <c r="M72" s="1065">
        <v>8378243183</v>
      </c>
      <c r="N72" s="1065">
        <v>9871398944</v>
      </c>
      <c r="O72" s="1065">
        <v>10355765122</v>
      </c>
      <c r="P72" s="1065">
        <v>9724574834</v>
      </c>
      <c r="Q72" s="1065">
        <v>10239704066</v>
      </c>
      <c r="R72" s="1065">
        <v>9411696604</v>
      </c>
      <c r="S72" s="1065">
        <v>9193157620</v>
      </c>
      <c r="T72" s="1065">
        <v>8612945472</v>
      </c>
      <c r="U72" s="1065">
        <v>11277636658</v>
      </c>
      <c r="V72" s="1065">
        <v>10446410474</v>
      </c>
      <c r="W72" s="1065">
        <v>9878010861</v>
      </c>
      <c r="X72" s="1065">
        <v>12061710695</v>
      </c>
      <c r="Y72" s="1065">
        <v>11745780316</v>
      </c>
      <c r="Z72" s="1065">
        <v>10820457622</v>
      </c>
      <c r="AA72" s="1065">
        <v>12338880809</v>
      </c>
      <c r="AB72" s="1065">
        <v>11958984781</v>
      </c>
      <c r="AC72" s="1065">
        <v>11256302670</v>
      </c>
      <c r="AD72" s="1065">
        <v>10407826325</v>
      </c>
      <c r="AE72" s="1065">
        <v>9626569552</v>
      </c>
      <c r="AF72" s="1065">
        <v>9051398469</v>
      </c>
      <c r="AG72" s="1065">
        <v>9398506621</v>
      </c>
      <c r="AH72" s="1065">
        <v>8485092801</v>
      </c>
      <c r="AI72" s="1065">
        <v>8986116485</v>
      </c>
      <c r="AJ72" s="1065">
        <v>9565828578</v>
      </c>
      <c r="AK72" s="1065">
        <v>9862088507</v>
      </c>
      <c r="AL72" s="1065">
        <v>9267646794</v>
      </c>
      <c r="AM72" s="1065">
        <v>8855539379</v>
      </c>
      <c r="AN72" s="1065">
        <v>9560532994</v>
      </c>
      <c r="AO72" s="1065">
        <v>14853374724</v>
      </c>
      <c r="AP72" s="1065">
        <v>20719199599</v>
      </c>
      <c r="AQ72" s="1065">
        <v>24451156997</v>
      </c>
    </row>
    <row r="73" spans="1:43">
      <c r="A73" s="1064" t="s">
        <v>914</v>
      </c>
      <c r="B73" s="1065">
        <v>-4464624535</v>
      </c>
      <c r="C73" s="1065">
        <v>-4179624535</v>
      </c>
      <c r="D73" s="1065">
        <v>-4179624535</v>
      </c>
      <c r="E73" s="1065">
        <v>-4179624535</v>
      </c>
      <c r="F73" s="1065">
        <v>-4179624535</v>
      </c>
      <c r="G73" s="1065">
        <v>-4179624535</v>
      </c>
      <c r="H73" s="1065">
        <v>-4179624535</v>
      </c>
      <c r="I73" s="1065">
        <v>-4179624535</v>
      </c>
      <c r="J73" s="1065">
        <v>-4179624535</v>
      </c>
      <c r="K73" s="1065">
        <v>-4179624535</v>
      </c>
      <c r="L73" s="1065">
        <v>-4179624535</v>
      </c>
      <c r="M73" s="1065">
        <v>-4179624535</v>
      </c>
      <c r="N73" s="1065">
        <v>-4179624535</v>
      </c>
      <c r="O73" s="1065">
        <v>-4179624535</v>
      </c>
      <c r="P73" s="1065">
        <v>-4179624535</v>
      </c>
      <c r="Q73" s="1065">
        <v>-4179624535</v>
      </c>
      <c r="R73" s="1065">
        <v>-4179624535</v>
      </c>
      <c r="S73" s="1065">
        <v>-4179624535</v>
      </c>
      <c r="T73" s="1065">
        <v>-2113624535</v>
      </c>
      <c r="U73" s="1065">
        <v>-1995933260</v>
      </c>
      <c r="V73" s="1065">
        <v>-1995933260</v>
      </c>
      <c r="W73" s="1065">
        <v>-1995933260</v>
      </c>
      <c r="X73" s="1065">
        <v>-1995933260</v>
      </c>
      <c r="Y73" s="1065">
        <v>-1995933260</v>
      </c>
      <c r="Z73" s="1065">
        <v>-1369671490</v>
      </c>
      <c r="AA73" s="1065">
        <v>-1369671490</v>
      </c>
      <c r="AB73" s="1065">
        <v>-1369671490</v>
      </c>
      <c r="AC73" s="1065">
        <v>-1369671490</v>
      </c>
      <c r="AD73" s="1065">
        <v>-1369671490</v>
      </c>
      <c r="AE73" s="1065">
        <v>-1369671490</v>
      </c>
      <c r="AF73" s="1065">
        <v>-1369671490</v>
      </c>
      <c r="AG73" s="1065">
        <v>-1369671490</v>
      </c>
      <c r="AH73" s="1065">
        <v>-1369671490</v>
      </c>
      <c r="AI73" s="1065">
        <v>-1369671490</v>
      </c>
      <c r="AJ73" s="1065">
        <v>-1369671490</v>
      </c>
      <c r="AK73" s="1065">
        <v>-1369671490</v>
      </c>
      <c r="AL73" s="1065">
        <v>-1369671490</v>
      </c>
      <c r="AM73" s="1065">
        <v>-1369671490</v>
      </c>
      <c r="AN73" s="1065">
        <v>-1369671490</v>
      </c>
      <c r="AO73" s="1065">
        <v>-1369671490</v>
      </c>
      <c r="AP73" s="1065">
        <v>-1369671490</v>
      </c>
      <c r="AQ73" s="1065">
        <v>-1369671490</v>
      </c>
    </row>
    <row r="74" spans="1:43">
      <c r="A74" s="1062" t="s">
        <v>915</v>
      </c>
      <c r="B74" s="1063">
        <v>0</v>
      </c>
      <c r="C74" s="1063">
        <v>0</v>
      </c>
      <c r="D74" s="1063">
        <v>0</v>
      </c>
      <c r="E74" s="1063">
        <v>0</v>
      </c>
      <c r="F74" s="1063">
        <v>0</v>
      </c>
      <c r="G74" s="1063">
        <v>0</v>
      </c>
      <c r="H74" s="1063">
        <v>0</v>
      </c>
      <c r="I74" s="1063">
        <v>0</v>
      </c>
      <c r="J74" s="1063">
        <v>0</v>
      </c>
      <c r="K74" s="1063">
        <v>0</v>
      </c>
      <c r="L74" s="1063">
        <v>0</v>
      </c>
      <c r="M74" s="1063">
        <v>0</v>
      </c>
      <c r="N74" s="1063">
        <v>0</v>
      </c>
      <c r="O74" s="1063">
        <v>0</v>
      </c>
      <c r="P74" s="1063">
        <v>0</v>
      </c>
      <c r="Q74" s="1063">
        <v>127097420</v>
      </c>
      <c r="R74" s="1063">
        <v>0</v>
      </c>
      <c r="S74" s="1063">
        <v>0</v>
      </c>
      <c r="T74" s="1063">
        <v>0</v>
      </c>
      <c r="U74" s="1063">
        <v>0</v>
      </c>
      <c r="V74" s="1063">
        <v>0</v>
      </c>
      <c r="W74" s="1063">
        <v>0</v>
      </c>
      <c r="X74" s="1063">
        <v>0</v>
      </c>
      <c r="Y74" s="1063">
        <v>87429393</v>
      </c>
      <c r="Z74" s="1063">
        <v>0</v>
      </c>
      <c r="AA74" s="1063">
        <v>0</v>
      </c>
      <c r="AB74" s="1063">
        <v>0</v>
      </c>
      <c r="AC74" s="1063">
        <v>2866858512</v>
      </c>
      <c r="AD74" s="1063">
        <v>0</v>
      </c>
      <c r="AE74" s="1063">
        <v>0</v>
      </c>
      <c r="AF74" s="1063">
        <v>0</v>
      </c>
      <c r="AG74" s="1063">
        <v>3563057201</v>
      </c>
      <c r="AH74" s="1063">
        <v>2223964396</v>
      </c>
      <c r="AI74" s="1063">
        <v>1605893354</v>
      </c>
      <c r="AJ74" s="1063">
        <v>225918363</v>
      </c>
      <c r="AK74" s="1063">
        <v>2903052898</v>
      </c>
      <c r="AL74" s="1063">
        <v>0</v>
      </c>
      <c r="AM74" s="1063">
        <v>0</v>
      </c>
      <c r="AN74" s="1063">
        <v>0</v>
      </c>
      <c r="AO74" s="1063">
        <v>4962139586</v>
      </c>
      <c r="AP74" s="1063">
        <v>3156619198</v>
      </c>
      <c r="AQ74" s="1063">
        <v>2624956584</v>
      </c>
    </row>
    <row r="75" spans="1:43">
      <c r="A75" s="1064" t="s">
        <v>916</v>
      </c>
      <c r="B75" s="1065">
        <v>0</v>
      </c>
      <c r="C75" s="1065">
        <v>0</v>
      </c>
      <c r="D75" s="1065">
        <v>0</v>
      </c>
      <c r="E75" s="1065">
        <v>0</v>
      </c>
      <c r="F75" s="1065">
        <v>0</v>
      </c>
      <c r="G75" s="1065">
        <v>0</v>
      </c>
      <c r="H75" s="1065">
        <v>0</v>
      </c>
      <c r="I75" s="1065">
        <v>0</v>
      </c>
      <c r="J75" s="1065">
        <v>0</v>
      </c>
      <c r="K75" s="1065">
        <v>0</v>
      </c>
      <c r="L75" s="1065">
        <v>0</v>
      </c>
      <c r="M75" s="1065">
        <v>0</v>
      </c>
      <c r="N75" s="1065">
        <v>0</v>
      </c>
      <c r="O75" s="1065">
        <v>0</v>
      </c>
      <c r="P75" s="1065">
        <v>0</v>
      </c>
      <c r="Q75" s="1065">
        <v>127097420</v>
      </c>
      <c r="R75" s="1065">
        <v>0</v>
      </c>
      <c r="S75" s="1065">
        <v>0</v>
      </c>
      <c r="T75" s="1065">
        <v>0</v>
      </c>
      <c r="U75" s="1065">
        <v>0</v>
      </c>
      <c r="V75" s="1065">
        <v>0</v>
      </c>
      <c r="W75" s="1065">
        <v>0</v>
      </c>
      <c r="X75" s="1065">
        <v>0</v>
      </c>
      <c r="Y75" s="1065">
        <v>87429393</v>
      </c>
      <c r="Z75" s="1065">
        <v>0</v>
      </c>
      <c r="AA75" s="1065">
        <v>0</v>
      </c>
      <c r="AB75" s="1065">
        <v>0</v>
      </c>
      <c r="AC75" s="1065">
        <v>2866858512</v>
      </c>
      <c r="AD75" s="1065">
        <v>0</v>
      </c>
      <c r="AE75" s="1065">
        <v>0</v>
      </c>
      <c r="AF75" s="1065">
        <v>0</v>
      </c>
      <c r="AG75" s="1065">
        <v>3563057201</v>
      </c>
      <c r="AH75" s="1065">
        <v>2223964396</v>
      </c>
      <c r="AI75" s="1065">
        <v>1605893354</v>
      </c>
      <c r="AJ75" s="1065">
        <v>225918363</v>
      </c>
      <c r="AK75" s="1065">
        <v>2903052898</v>
      </c>
      <c r="AL75" s="1065">
        <v>0</v>
      </c>
      <c r="AM75" s="1065">
        <v>0</v>
      </c>
      <c r="AN75" s="1065">
        <v>0</v>
      </c>
      <c r="AO75" s="1065">
        <v>4962139586</v>
      </c>
      <c r="AP75" s="1065">
        <v>3156619198</v>
      </c>
      <c r="AQ75" s="1065">
        <v>2624956584</v>
      </c>
    </row>
    <row r="76" spans="1:43">
      <c r="A76" s="1062" t="s">
        <v>917</v>
      </c>
      <c r="B76" s="1063">
        <v>58538220772</v>
      </c>
      <c r="C76" s="1063">
        <v>56287471123</v>
      </c>
      <c r="D76" s="1063">
        <v>56189912573</v>
      </c>
      <c r="E76" s="1063">
        <v>67726800297</v>
      </c>
      <c r="F76" s="1063">
        <v>71904246276</v>
      </c>
      <c r="G76" s="1063">
        <v>73663255563</v>
      </c>
      <c r="H76" s="1063">
        <v>78818357244</v>
      </c>
      <c r="I76" s="1063">
        <v>82969767171</v>
      </c>
      <c r="J76" s="1063">
        <v>57544281173</v>
      </c>
      <c r="K76" s="1063">
        <v>53885883359</v>
      </c>
      <c r="L76" s="1063">
        <v>56357753532</v>
      </c>
      <c r="M76" s="1063">
        <v>97708830620</v>
      </c>
      <c r="N76" s="1063">
        <v>103055043243</v>
      </c>
      <c r="O76" s="1063">
        <v>115924612554</v>
      </c>
      <c r="P76" s="1063">
        <v>117762093681</v>
      </c>
      <c r="Q76" s="1063">
        <v>143753532493</v>
      </c>
      <c r="R76" s="1063">
        <v>127436708662</v>
      </c>
      <c r="S76" s="1063">
        <v>103636053595</v>
      </c>
      <c r="T76" s="1063">
        <v>119610070561</v>
      </c>
      <c r="U76" s="1063">
        <v>182270631257</v>
      </c>
      <c r="V76" s="1063">
        <v>183396989525</v>
      </c>
      <c r="W76" s="1063">
        <v>227510439229</v>
      </c>
      <c r="X76" s="1063">
        <v>220275919996</v>
      </c>
      <c r="Y76" s="1063">
        <v>208693938537</v>
      </c>
      <c r="Z76" s="1063">
        <v>195894633251</v>
      </c>
      <c r="AA76" s="1063">
        <v>193261592082</v>
      </c>
      <c r="AB76" s="1063">
        <v>223677581881</v>
      </c>
      <c r="AC76" s="1063">
        <v>158407409014</v>
      </c>
      <c r="AD76" s="1063">
        <v>64058268809</v>
      </c>
      <c r="AE76" s="1063">
        <v>88955735583</v>
      </c>
      <c r="AF76" s="1063">
        <v>107168918937</v>
      </c>
      <c r="AG76" s="1063">
        <v>143026013942</v>
      </c>
      <c r="AH76" s="1063">
        <v>310327204849</v>
      </c>
      <c r="AI76" s="1063">
        <v>312888484391</v>
      </c>
      <c r="AJ76" s="1063">
        <v>226541530187</v>
      </c>
      <c r="AK76" s="1063">
        <v>217408917927</v>
      </c>
      <c r="AL76" s="1063">
        <v>252060766646</v>
      </c>
      <c r="AM76" s="1063">
        <v>280421542429</v>
      </c>
      <c r="AN76" s="1063">
        <v>405627680113</v>
      </c>
      <c r="AO76" s="1063">
        <v>319734109618</v>
      </c>
      <c r="AP76" s="1063">
        <v>336776142094</v>
      </c>
      <c r="AQ76" s="1063">
        <v>335774821578</v>
      </c>
    </row>
    <row r="77" spans="1:43">
      <c r="A77" s="1064" t="s">
        <v>918</v>
      </c>
      <c r="B77" s="1065">
        <v>0</v>
      </c>
      <c r="C77" s="1065">
        <v>0</v>
      </c>
      <c r="D77" s="1065">
        <v>0</v>
      </c>
      <c r="E77" s="1065">
        <v>0</v>
      </c>
      <c r="F77" s="1065">
        <v>0</v>
      </c>
      <c r="G77" s="1065">
        <v>0</v>
      </c>
      <c r="H77" s="1065">
        <v>0</v>
      </c>
      <c r="I77" s="1065">
        <v>0</v>
      </c>
      <c r="J77" s="1065">
        <v>0</v>
      </c>
      <c r="K77" s="1065">
        <v>0</v>
      </c>
      <c r="L77" s="1065">
        <v>0</v>
      </c>
      <c r="M77" s="1065">
        <v>0</v>
      </c>
      <c r="N77" s="1065">
        <v>0</v>
      </c>
      <c r="O77" s="1065">
        <v>0</v>
      </c>
      <c r="P77" s="1065">
        <v>0</v>
      </c>
      <c r="Q77" s="1065">
        <v>0</v>
      </c>
      <c r="R77" s="1065">
        <v>1206333972</v>
      </c>
      <c r="S77" s="1065">
        <v>1189969362</v>
      </c>
      <c r="T77" s="1065">
        <v>0</v>
      </c>
      <c r="U77" s="1065">
        <v>0</v>
      </c>
      <c r="V77" s="1065">
        <v>0</v>
      </c>
      <c r="W77" s="1065">
        <v>0</v>
      </c>
      <c r="X77" s="1065">
        <v>14324865</v>
      </c>
      <c r="Y77" s="1065">
        <v>14324865</v>
      </c>
      <c r="Z77" s="1065">
        <v>14324865</v>
      </c>
      <c r="AA77" s="1065">
        <v>14324865</v>
      </c>
      <c r="AB77" s="1065">
        <v>14324865</v>
      </c>
      <c r="AC77" s="1065">
        <v>14324865</v>
      </c>
      <c r="AD77" s="1065">
        <v>33008083197</v>
      </c>
      <c r="AE77" s="1065">
        <v>14324865</v>
      </c>
      <c r="AF77" s="1065">
        <v>14324865</v>
      </c>
      <c r="AG77" s="1065">
        <v>133128796118</v>
      </c>
      <c r="AH77" s="1065">
        <v>81960686826</v>
      </c>
      <c r="AI77" s="1065">
        <v>51182434148</v>
      </c>
      <c r="AJ77" s="1065">
        <v>0</v>
      </c>
      <c r="AK77" s="1065">
        <v>0</v>
      </c>
      <c r="AL77" s="1065">
        <v>0</v>
      </c>
      <c r="AM77" s="1065">
        <v>0</v>
      </c>
      <c r="AN77" s="1065">
        <v>0</v>
      </c>
      <c r="AO77" s="1065">
        <v>5184563943</v>
      </c>
      <c r="AP77" s="1065">
        <v>0</v>
      </c>
      <c r="AQ77" s="1065">
        <v>48455173364</v>
      </c>
    </row>
    <row r="78" spans="1:43">
      <c r="A78" s="1064" t="s">
        <v>919</v>
      </c>
      <c r="B78" s="1065">
        <v>58538220772</v>
      </c>
      <c r="C78" s="1065">
        <v>56287471123</v>
      </c>
      <c r="D78" s="1065">
        <v>56189912573</v>
      </c>
      <c r="E78" s="1065">
        <v>67726800297</v>
      </c>
      <c r="F78" s="1065">
        <v>71904246276</v>
      </c>
      <c r="G78" s="1065">
        <v>73663255563</v>
      </c>
      <c r="H78" s="1065">
        <v>78818357244</v>
      </c>
      <c r="I78" s="1065">
        <v>82969767171</v>
      </c>
      <c r="J78" s="1065">
        <v>57544281173</v>
      </c>
      <c r="K78" s="1065">
        <v>53885883359</v>
      </c>
      <c r="L78" s="1065">
        <v>56357753532</v>
      </c>
      <c r="M78" s="1065">
        <v>97708830620</v>
      </c>
      <c r="N78" s="1065">
        <v>103055043243</v>
      </c>
      <c r="O78" s="1065">
        <v>115924612554</v>
      </c>
      <c r="P78" s="1065">
        <v>117762093681</v>
      </c>
      <c r="Q78" s="1065">
        <v>143753532493</v>
      </c>
      <c r="R78" s="1065">
        <v>126230374690</v>
      </c>
      <c r="S78" s="1065">
        <v>102446084233</v>
      </c>
      <c r="T78" s="1065">
        <v>119610070561</v>
      </c>
      <c r="U78" s="1065">
        <v>182270631257</v>
      </c>
      <c r="V78" s="1065">
        <v>183396989525</v>
      </c>
      <c r="W78" s="1065">
        <v>227510439229</v>
      </c>
      <c r="X78" s="1065">
        <v>220261595131</v>
      </c>
      <c r="Y78" s="1065">
        <v>208679613672</v>
      </c>
      <c r="Z78" s="1065">
        <v>195880308386</v>
      </c>
      <c r="AA78" s="1065">
        <v>193247267217</v>
      </c>
      <c r="AB78" s="1065">
        <v>223663257016</v>
      </c>
      <c r="AC78" s="1065">
        <v>158393084149</v>
      </c>
      <c r="AD78" s="1065">
        <v>31050185612</v>
      </c>
      <c r="AE78" s="1065">
        <v>88941410718</v>
      </c>
      <c r="AF78" s="1065">
        <v>107154594072</v>
      </c>
      <c r="AG78" s="1065">
        <v>9897217824</v>
      </c>
      <c r="AH78" s="1065">
        <v>228366518023</v>
      </c>
      <c r="AI78" s="1065">
        <v>261706050243</v>
      </c>
      <c r="AJ78" s="1065">
        <v>226541530187</v>
      </c>
      <c r="AK78" s="1065">
        <v>217408917927</v>
      </c>
      <c r="AL78" s="1065">
        <v>252060766646</v>
      </c>
      <c r="AM78" s="1065">
        <v>280421542429</v>
      </c>
      <c r="AN78" s="1065">
        <v>405627680113</v>
      </c>
      <c r="AO78" s="1065">
        <v>314549545675</v>
      </c>
      <c r="AP78" s="1065">
        <v>336776142094</v>
      </c>
      <c r="AQ78" s="1065">
        <v>287319648214</v>
      </c>
    </row>
    <row r="79" spans="1:43">
      <c r="A79" s="1062" t="s">
        <v>920</v>
      </c>
      <c r="B79" s="1063">
        <v>2592060586748</v>
      </c>
      <c r="C79" s="1063">
        <v>2083163382090</v>
      </c>
      <c r="D79" s="1063">
        <v>2168913693023</v>
      </c>
      <c r="E79" s="1063">
        <v>486515401550</v>
      </c>
      <c r="F79" s="1063">
        <v>2628581020745</v>
      </c>
      <c r="G79" s="1063">
        <v>1978658359615</v>
      </c>
      <c r="H79" s="1063">
        <v>2165773738056</v>
      </c>
      <c r="I79" s="1063">
        <v>615739562990</v>
      </c>
      <c r="J79" s="1063">
        <v>2291218096428</v>
      </c>
      <c r="K79" s="1063">
        <v>1773888176360</v>
      </c>
      <c r="L79" s="1063">
        <v>2623593776384</v>
      </c>
      <c r="M79" s="1063">
        <v>814379895279</v>
      </c>
      <c r="N79" s="1063">
        <v>2899848499157</v>
      </c>
      <c r="O79" s="1063">
        <v>2354668043177</v>
      </c>
      <c r="P79" s="1063">
        <v>3417007715604</v>
      </c>
      <c r="Q79" s="1063">
        <v>977715159626</v>
      </c>
      <c r="R79" s="1063">
        <v>2194419733922</v>
      </c>
      <c r="S79" s="1063">
        <v>3431220838569</v>
      </c>
      <c r="T79" s="1063">
        <v>3598413560205</v>
      </c>
      <c r="U79" s="1063">
        <v>1684006958951</v>
      </c>
      <c r="V79" s="1063">
        <v>4003414051231</v>
      </c>
      <c r="W79" s="1063">
        <v>3299821367701</v>
      </c>
      <c r="X79" s="1063">
        <v>5922925648704</v>
      </c>
      <c r="Y79" s="1063">
        <v>2005481859615</v>
      </c>
      <c r="Z79" s="1063">
        <v>4795746811111</v>
      </c>
      <c r="AA79" s="1063">
        <v>3788091824551</v>
      </c>
      <c r="AB79" s="1063">
        <v>7139832995268</v>
      </c>
      <c r="AC79" s="1063">
        <v>1487550891755</v>
      </c>
      <c r="AD79" s="1063">
        <v>4541693010054</v>
      </c>
      <c r="AE79" s="1063">
        <v>3615215089613</v>
      </c>
      <c r="AF79" s="1063">
        <v>4343423631527</v>
      </c>
      <c r="AG79" s="1063">
        <v>1555690639615</v>
      </c>
      <c r="AH79" s="1063">
        <v>3920696559938</v>
      </c>
      <c r="AI79" s="1063">
        <v>6081455628642</v>
      </c>
      <c r="AJ79" s="1063">
        <v>5706187094554</v>
      </c>
      <c r="AK79" s="1063">
        <v>2604741817299</v>
      </c>
      <c r="AL79" s="1063">
        <v>4651338291854</v>
      </c>
      <c r="AM79" s="1063">
        <v>6784406664972</v>
      </c>
      <c r="AN79" s="1063">
        <v>9306208573185</v>
      </c>
      <c r="AO79" s="1063">
        <v>3531102248700</v>
      </c>
      <c r="AP79" s="1063">
        <v>9625351487080</v>
      </c>
      <c r="AQ79" s="1063">
        <v>8305688667864</v>
      </c>
    </row>
    <row r="80" spans="1:43">
      <c r="A80" s="1064" t="s">
        <v>921</v>
      </c>
      <c r="B80" s="1065">
        <v>1344120824189</v>
      </c>
      <c r="C80" s="1065">
        <v>1295900720002</v>
      </c>
      <c r="D80" s="1065">
        <v>1100728144521</v>
      </c>
      <c r="E80" s="1065">
        <v>354904456517</v>
      </c>
      <c r="F80" s="1065">
        <v>1247754071495</v>
      </c>
      <c r="G80" s="1065">
        <v>1283518578958</v>
      </c>
      <c r="H80" s="1065">
        <v>960630117261</v>
      </c>
      <c r="I80" s="1065">
        <v>495732834855</v>
      </c>
      <c r="J80" s="1065">
        <v>1209650416072</v>
      </c>
      <c r="K80" s="1065">
        <v>952779866235</v>
      </c>
      <c r="L80" s="1065">
        <v>1317804851330</v>
      </c>
      <c r="M80" s="1065">
        <v>550529034060</v>
      </c>
      <c r="N80" s="1065">
        <v>1666817995774</v>
      </c>
      <c r="O80" s="1065">
        <v>1481531154330</v>
      </c>
      <c r="P80" s="1065">
        <v>1251586575546</v>
      </c>
      <c r="Q80" s="1065">
        <v>438432940563</v>
      </c>
      <c r="R80" s="1065">
        <v>1336183481430</v>
      </c>
      <c r="S80" s="1065">
        <v>1961473246513</v>
      </c>
      <c r="T80" s="1065">
        <v>1192458456894</v>
      </c>
      <c r="U80" s="1065">
        <v>714246330904</v>
      </c>
      <c r="V80" s="1065">
        <v>1620029926389</v>
      </c>
      <c r="W80" s="1065">
        <v>1312850628726</v>
      </c>
      <c r="X80" s="1065">
        <v>1667347932600</v>
      </c>
      <c r="Y80" s="1065">
        <v>945901584876</v>
      </c>
      <c r="Z80" s="1065">
        <v>1703892422873</v>
      </c>
      <c r="AA80" s="1065">
        <v>1394973678233</v>
      </c>
      <c r="AB80" s="1065">
        <v>2105230303080</v>
      </c>
      <c r="AC80" s="1065">
        <v>708197999734</v>
      </c>
      <c r="AD80" s="1065">
        <v>2384023665308</v>
      </c>
      <c r="AE80" s="1065">
        <v>1407550832268</v>
      </c>
      <c r="AF80" s="1065">
        <v>1198317754048</v>
      </c>
      <c r="AG80" s="1065">
        <v>487086370718</v>
      </c>
      <c r="AH80" s="1065">
        <v>1637533080344</v>
      </c>
      <c r="AI80" s="1065">
        <v>1519884771691</v>
      </c>
      <c r="AJ80" s="1065">
        <v>1349910582693</v>
      </c>
      <c r="AK80" s="1065">
        <v>916587852799</v>
      </c>
      <c r="AL80" s="1065">
        <v>1507715819417</v>
      </c>
      <c r="AM80" s="1065">
        <v>1697123466520</v>
      </c>
      <c r="AN80" s="1065">
        <v>2824852658492</v>
      </c>
      <c r="AO80" s="1065">
        <v>1083989558561</v>
      </c>
      <c r="AP80" s="1065">
        <v>3085004020588</v>
      </c>
      <c r="AQ80" s="1065">
        <v>4130839111884</v>
      </c>
    </row>
    <row r="81" spans="1:43">
      <c r="A81" s="1064" t="s">
        <v>922</v>
      </c>
      <c r="B81" s="1065">
        <v>43262323471</v>
      </c>
      <c r="C81" s="1065">
        <v>41410231710</v>
      </c>
      <c r="D81" s="1065">
        <v>42552881768</v>
      </c>
      <c r="E81" s="1065">
        <v>80870283615</v>
      </c>
      <c r="F81" s="1065">
        <v>57232699056</v>
      </c>
      <c r="G81" s="1065">
        <v>60063202154</v>
      </c>
      <c r="H81" s="1065">
        <v>59304060505</v>
      </c>
      <c r="I81" s="1065">
        <v>77954575434</v>
      </c>
      <c r="J81" s="1065">
        <v>92286369027</v>
      </c>
      <c r="K81" s="1065">
        <v>108239023016</v>
      </c>
      <c r="L81" s="1065">
        <v>121243475333</v>
      </c>
      <c r="M81" s="1065">
        <v>162081053545</v>
      </c>
      <c r="N81" s="1065">
        <v>154972984850</v>
      </c>
      <c r="O81" s="1065">
        <v>156976397754</v>
      </c>
      <c r="P81" s="1065">
        <v>172641477002</v>
      </c>
      <c r="Q81" s="1065">
        <v>166519414608</v>
      </c>
      <c r="R81" s="1065">
        <v>221258058637</v>
      </c>
      <c r="S81" s="1065">
        <v>210979731180</v>
      </c>
      <c r="T81" s="1065">
        <v>181639660784</v>
      </c>
      <c r="U81" s="1065">
        <v>167460604160</v>
      </c>
      <c r="V81" s="1065">
        <v>219247185940</v>
      </c>
      <c r="W81" s="1065">
        <v>214765005901</v>
      </c>
      <c r="X81" s="1065">
        <v>246747183821</v>
      </c>
      <c r="Y81" s="1065">
        <v>261280499425</v>
      </c>
      <c r="Z81" s="1065">
        <v>319960694253</v>
      </c>
      <c r="AA81" s="1065">
        <v>329445202101</v>
      </c>
      <c r="AB81" s="1065">
        <v>402582374084</v>
      </c>
      <c r="AC81" s="1065">
        <v>195343292931</v>
      </c>
      <c r="AD81" s="1065">
        <v>252419659501</v>
      </c>
      <c r="AE81" s="1065">
        <v>223411114415</v>
      </c>
      <c r="AF81" s="1065">
        <v>296457150592</v>
      </c>
      <c r="AG81" s="1065">
        <v>261455051722</v>
      </c>
      <c r="AH81" s="1065">
        <v>332528722328</v>
      </c>
      <c r="AI81" s="1065">
        <v>294005660042</v>
      </c>
      <c r="AJ81" s="1065">
        <v>320403923126</v>
      </c>
      <c r="AK81" s="1065">
        <v>348537105367</v>
      </c>
      <c r="AL81" s="1065">
        <v>406315111898</v>
      </c>
      <c r="AM81" s="1065">
        <v>328384461343</v>
      </c>
      <c r="AN81" s="1065">
        <v>372880459087</v>
      </c>
      <c r="AO81" s="1065">
        <v>364163437024</v>
      </c>
      <c r="AP81" s="1065">
        <v>401150481573</v>
      </c>
      <c r="AQ81" s="1065">
        <v>334962059245</v>
      </c>
    </row>
    <row r="82" spans="1:43">
      <c r="A82" s="1064" t="s">
        <v>923</v>
      </c>
      <c r="B82" s="1065">
        <v>6544082008</v>
      </c>
      <c r="C82" s="1065">
        <v>6874832808</v>
      </c>
      <c r="D82" s="1065">
        <v>7074832808</v>
      </c>
      <c r="E82" s="1065">
        <v>7074918564</v>
      </c>
      <c r="F82" s="1065">
        <v>7074918564</v>
      </c>
      <c r="G82" s="1065">
        <v>10915862564</v>
      </c>
      <c r="H82" s="1065">
        <v>11509862564</v>
      </c>
      <c r="I82" s="1065">
        <v>14459862564</v>
      </c>
      <c r="J82" s="1065">
        <v>14489862564</v>
      </c>
      <c r="K82" s="1065">
        <v>17960947977</v>
      </c>
      <c r="L82" s="1065">
        <v>17960947977</v>
      </c>
      <c r="M82" s="1065">
        <v>18271939322</v>
      </c>
      <c r="N82" s="1065">
        <v>19655730147</v>
      </c>
      <c r="O82" s="1065">
        <v>21255420064</v>
      </c>
      <c r="P82" s="1065">
        <v>21330747264</v>
      </c>
      <c r="Q82" s="1065">
        <v>21753680697</v>
      </c>
      <c r="R82" s="1065">
        <v>20794865896</v>
      </c>
      <c r="S82" s="1065">
        <v>20744865896</v>
      </c>
      <c r="T82" s="1065">
        <v>21000865896</v>
      </c>
      <c r="U82" s="1065">
        <v>21611312608</v>
      </c>
      <c r="V82" s="1065">
        <v>21723410808</v>
      </c>
      <c r="W82" s="1065">
        <v>19432610808</v>
      </c>
      <c r="X82" s="1065">
        <v>19447902681</v>
      </c>
      <c r="Y82" s="1065">
        <v>19811909718</v>
      </c>
      <c r="Z82" s="1065">
        <v>20145309718</v>
      </c>
      <c r="AA82" s="1065">
        <v>20287415291</v>
      </c>
      <c r="AB82" s="1065">
        <v>20664754864</v>
      </c>
      <c r="AC82" s="1065">
        <v>21257736864</v>
      </c>
      <c r="AD82" s="1065">
        <v>21364712346</v>
      </c>
      <c r="AE82" s="1065">
        <v>20844712346</v>
      </c>
      <c r="AF82" s="1065">
        <v>20747212346</v>
      </c>
      <c r="AG82" s="1065">
        <v>15327212346</v>
      </c>
      <c r="AH82" s="1065">
        <v>15134325388</v>
      </c>
      <c r="AI82" s="1065">
        <v>14652911588</v>
      </c>
      <c r="AJ82" s="1065">
        <v>14633862688</v>
      </c>
      <c r="AK82" s="1065">
        <v>35683862688</v>
      </c>
      <c r="AL82" s="1065">
        <v>13973014137</v>
      </c>
      <c r="AM82" s="1065">
        <v>13987698396</v>
      </c>
      <c r="AN82" s="1065">
        <v>14039774396</v>
      </c>
      <c r="AO82" s="1065">
        <v>14843667931</v>
      </c>
      <c r="AP82" s="1065">
        <v>13912133931</v>
      </c>
      <c r="AQ82" s="1065">
        <v>17526791091</v>
      </c>
    </row>
    <row r="83" spans="1:43">
      <c r="A83" s="1064" t="s">
        <v>924</v>
      </c>
      <c r="B83" s="1065">
        <v>1200914105000</v>
      </c>
      <c r="C83" s="1065">
        <v>737596000000</v>
      </c>
      <c r="D83" s="1065">
        <v>1023331760300</v>
      </c>
      <c r="E83" s="1065">
        <v>46659606000</v>
      </c>
      <c r="F83" s="1065">
        <v>1311328300000</v>
      </c>
      <c r="G83" s="1065">
        <v>628528961000</v>
      </c>
      <c r="H83" s="1065">
        <v>1127097200000</v>
      </c>
      <c r="I83" s="1065">
        <v>32166600000</v>
      </c>
      <c r="J83" s="1065">
        <v>974439146424</v>
      </c>
      <c r="K83" s="1065">
        <v>700444510636</v>
      </c>
      <c r="L83" s="1065">
        <v>1172092068446</v>
      </c>
      <c r="M83" s="1065">
        <v>89495600000</v>
      </c>
      <c r="N83" s="1065">
        <v>1063910074061</v>
      </c>
      <c r="O83" s="1065">
        <v>698559101634</v>
      </c>
      <c r="P83" s="1065">
        <v>1977987897290</v>
      </c>
      <c r="Q83" s="1065">
        <v>357148150000</v>
      </c>
      <c r="R83" s="1065">
        <v>625756750870</v>
      </c>
      <c r="S83" s="1065">
        <v>1244189668794</v>
      </c>
      <c r="T83" s="1065">
        <v>2200252536931</v>
      </c>
      <c r="U83" s="1065">
        <v>791249004879</v>
      </c>
      <c r="V83" s="1065">
        <v>2152660643000</v>
      </c>
      <c r="W83" s="1065">
        <v>1764574150000</v>
      </c>
      <c r="X83" s="1065">
        <v>3991914782431</v>
      </c>
      <c r="Y83" s="1065">
        <v>793188560328</v>
      </c>
      <c r="Z83" s="1065">
        <v>2757884863773</v>
      </c>
      <c r="AA83" s="1065">
        <v>2051871310168</v>
      </c>
      <c r="AB83" s="1065">
        <v>4625355923852</v>
      </c>
      <c r="AC83" s="1065">
        <v>572971681232</v>
      </c>
      <c r="AD83" s="1065">
        <v>1893566737756</v>
      </c>
      <c r="AE83" s="1065">
        <v>1973657583409</v>
      </c>
      <c r="AF83" s="1065">
        <v>2831976907317</v>
      </c>
      <c r="AG83" s="1065">
        <v>801426726186</v>
      </c>
      <c r="AH83" s="1065">
        <v>1944272427868</v>
      </c>
      <c r="AI83" s="1065">
        <v>4262672629310</v>
      </c>
      <c r="AJ83" s="1065">
        <v>4034715757572</v>
      </c>
      <c r="AK83" s="1065">
        <v>1314393700000</v>
      </c>
      <c r="AL83" s="1065">
        <v>2716420075056</v>
      </c>
      <c r="AM83" s="1065">
        <v>4708644982396</v>
      </c>
      <c r="AN83" s="1065">
        <v>6082159299879</v>
      </c>
      <c r="AO83" s="1065">
        <v>2057537500000</v>
      </c>
      <c r="AP83" s="1065">
        <v>5996544572197</v>
      </c>
      <c r="AQ83" s="1065">
        <v>3843065171598</v>
      </c>
    </row>
    <row r="84" spans="1:43">
      <c r="A84" s="1064" t="s">
        <v>925</v>
      </c>
      <c r="B84" s="1065">
        <v>2127447537</v>
      </c>
      <c r="C84" s="1065">
        <v>6178505677</v>
      </c>
      <c r="D84" s="1065">
        <v>1207</v>
      </c>
      <c r="E84" s="1065">
        <v>861411435</v>
      </c>
      <c r="F84" s="1065">
        <v>8834533426</v>
      </c>
      <c r="G84" s="1065">
        <v>0</v>
      </c>
      <c r="H84" s="1065">
        <v>11601489443</v>
      </c>
      <c r="I84" s="1065">
        <v>742918068</v>
      </c>
      <c r="J84" s="1065">
        <v>5743782052</v>
      </c>
      <c r="K84" s="1065">
        <v>5912</v>
      </c>
      <c r="L84" s="1065">
        <v>5912</v>
      </c>
      <c r="M84" s="1065">
        <v>6242</v>
      </c>
      <c r="N84" s="1065">
        <v>39414</v>
      </c>
      <c r="O84" s="1065">
        <v>2742788209</v>
      </c>
      <c r="P84" s="1065">
        <v>677906185</v>
      </c>
      <c r="Q84" s="1065">
        <v>828993924</v>
      </c>
      <c r="R84" s="1065">
        <v>39720</v>
      </c>
      <c r="S84" s="1065">
        <v>3193269634</v>
      </c>
      <c r="T84" s="1065">
        <v>13548456400</v>
      </c>
      <c r="U84" s="1065">
        <v>39884</v>
      </c>
      <c r="V84" s="1065">
        <v>939325442</v>
      </c>
      <c r="W84" s="1065">
        <v>39884</v>
      </c>
      <c r="X84" s="1065">
        <v>8888316060</v>
      </c>
      <c r="Y84" s="1065">
        <v>39884</v>
      </c>
      <c r="Z84" s="1065">
        <v>8331039873</v>
      </c>
      <c r="AA84" s="1065">
        <v>7401074967</v>
      </c>
      <c r="AB84" s="1065">
        <v>39884</v>
      </c>
      <c r="AC84" s="1065">
        <v>39884</v>
      </c>
      <c r="AD84" s="1065">
        <v>1104503043</v>
      </c>
      <c r="AE84" s="1065">
        <v>2197047441</v>
      </c>
      <c r="AF84" s="1065">
        <v>9468676918</v>
      </c>
      <c r="AG84" s="1065">
        <v>3036842514</v>
      </c>
      <c r="AH84" s="1065">
        <v>4673965098</v>
      </c>
      <c r="AI84" s="1065">
        <v>4453153241</v>
      </c>
      <c r="AJ84" s="1065">
        <v>39884</v>
      </c>
      <c r="AK84" s="1065">
        <v>3476838851</v>
      </c>
      <c r="AL84" s="1065">
        <v>22828123589</v>
      </c>
      <c r="AM84" s="1065">
        <v>53027136772</v>
      </c>
      <c r="AN84" s="1065">
        <v>30351750658</v>
      </c>
      <c r="AO84" s="1065">
        <v>26526853341</v>
      </c>
      <c r="AP84" s="1065">
        <v>144944813498</v>
      </c>
      <c r="AQ84" s="1065">
        <v>39884</v>
      </c>
    </row>
    <row r="85" spans="1:43">
      <c r="A85" s="1064" t="s">
        <v>926</v>
      </c>
      <c r="B85" s="1065">
        <v>-4554900331</v>
      </c>
      <c r="C85" s="1065">
        <v>-4460423264</v>
      </c>
      <c r="D85" s="1065">
        <v>-4468175358</v>
      </c>
      <c r="E85" s="1065">
        <v>-3553524836</v>
      </c>
      <c r="F85" s="1065">
        <v>-3371061874</v>
      </c>
      <c r="G85" s="1065">
        <v>-4044220031</v>
      </c>
      <c r="H85" s="1065">
        <v>-4042472925</v>
      </c>
      <c r="I85" s="1065">
        <v>-4820700906</v>
      </c>
      <c r="J85" s="1065">
        <v>-4906938521</v>
      </c>
      <c r="K85" s="1065">
        <v>-5027221228</v>
      </c>
      <c r="L85" s="1065">
        <v>-5089694125</v>
      </c>
      <c r="M85" s="1065">
        <v>-5598192106</v>
      </c>
      <c r="N85" s="1065">
        <v>-5082559304</v>
      </c>
      <c r="O85" s="1065">
        <v>-5498091140</v>
      </c>
      <c r="P85" s="1065">
        <v>-6351988832</v>
      </c>
      <c r="Q85" s="1065">
        <v>-6262267737</v>
      </c>
      <c r="R85" s="1065">
        <v>-8638845184</v>
      </c>
      <c r="S85" s="1065">
        <v>-8519875937</v>
      </c>
      <c r="T85" s="1065">
        <v>-9706291069</v>
      </c>
      <c r="U85" s="1065">
        <v>-9760311338</v>
      </c>
      <c r="V85" s="1065">
        <v>-10425914094</v>
      </c>
      <c r="W85" s="1065">
        <v>-11027029116</v>
      </c>
      <c r="X85" s="1065">
        <v>-10698905183</v>
      </c>
      <c r="Y85" s="1065">
        <v>-13948157753</v>
      </c>
      <c r="Z85" s="1065">
        <v>-13625539270</v>
      </c>
      <c r="AA85" s="1065">
        <v>-14935656350</v>
      </c>
      <c r="AB85" s="1065">
        <v>-13101624601</v>
      </c>
      <c r="AC85" s="1065">
        <v>-9125340541</v>
      </c>
      <c r="AD85" s="1065">
        <v>-9863349299</v>
      </c>
      <c r="AE85" s="1065">
        <v>-11581315441</v>
      </c>
      <c r="AF85" s="1065">
        <v>-12804295308</v>
      </c>
      <c r="AG85" s="1065">
        <v>-12116376904</v>
      </c>
      <c r="AH85" s="1065">
        <v>-12857553085</v>
      </c>
      <c r="AI85" s="1065">
        <v>-13662899037</v>
      </c>
      <c r="AJ85" s="1065">
        <v>-13006260402</v>
      </c>
      <c r="AK85" s="1065">
        <v>-13421829868</v>
      </c>
      <c r="AL85" s="1065">
        <v>-14944177035</v>
      </c>
      <c r="AM85" s="1065">
        <v>-15757864338</v>
      </c>
      <c r="AN85" s="1065">
        <v>-17142049916</v>
      </c>
      <c r="AO85" s="1065">
        <v>-14974574606</v>
      </c>
      <c r="AP85" s="1065">
        <v>-15103336408</v>
      </c>
      <c r="AQ85" s="1065">
        <v>-19104083365</v>
      </c>
    </row>
    <row r="86" spans="1:43">
      <c r="A86" s="1064" t="s">
        <v>927</v>
      </c>
      <c r="B86" s="1065">
        <v>-353295126</v>
      </c>
      <c r="C86" s="1065">
        <v>-336484843</v>
      </c>
      <c r="D86" s="1065">
        <v>-305752223</v>
      </c>
      <c r="E86" s="1065">
        <v>-301749745</v>
      </c>
      <c r="F86" s="1065">
        <v>-272439922</v>
      </c>
      <c r="G86" s="1065">
        <v>-324025030</v>
      </c>
      <c r="H86" s="1065">
        <v>-326518792</v>
      </c>
      <c r="I86" s="1065">
        <v>-496527025</v>
      </c>
      <c r="J86" s="1065">
        <v>-484541190</v>
      </c>
      <c r="K86" s="1065">
        <v>-508956188</v>
      </c>
      <c r="L86" s="1065">
        <v>-417878489</v>
      </c>
      <c r="M86" s="1065">
        <v>-399545784</v>
      </c>
      <c r="N86" s="1065">
        <v>-425765785</v>
      </c>
      <c r="O86" s="1065">
        <v>-898727674</v>
      </c>
      <c r="P86" s="1065">
        <v>-864898851</v>
      </c>
      <c r="Q86" s="1065">
        <v>-705752429</v>
      </c>
      <c r="R86" s="1065">
        <v>-934617447</v>
      </c>
      <c r="S86" s="1065">
        <v>-840067511</v>
      </c>
      <c r="T86" s="1065">
        <v>-780125631</v>
      </c>
      <c r="U86" s="1065">
        <v>-800022146</v>
      </c>
      <c r="V86" s="1065">
        <v>-760526254</v>
      </c>
      <c r="W86" s="1065">
        <v>-774038502</v>
      </c>
      <c r="X86" s="1065">
        <v>-721563706</v>
      </c>
      <c r="Y86" s="1065">
        <v>-752576863</v>
      </c>
      <c r="Z86" s="1065">
        <v>-841980109</v>
      </c>
      <c r="AA86" s="1065">
        <v>-951199859</v>
      </c>
      <c r="AB86" s="1065">
        <v>-898775895</v>
      </c>
      <c r="AC86" s="1065">
        <v>-1094518349</v>
      </c>
      <c r="AD86" s="1065">
        <v>-922918601</v>
      </c>
      <c r="AE86" s="1065">
        <v>-864884825</v>
      </c>
      <c r="AF86" s="1065">
        <v>-739774386</v>
      </c>
      <c r="AG86" s="1065">
        <v>-525186967</v>
      </c>
      <c r="AH86" s="1065">
        <v>-588408003</v>
      </c>
      <c r="AI86" s="1065">
        <v>-550598193</v>
      </c>
      <c r="AJ86" s="1065">
        <v>-470811007</v>
      </c>
      <c r="AK86" s="1065">
        <v>-515712538</v>
      </c>
      <c r="AL86" s="1065">
        <v>-969675208</v>
      </c>
      <c r="AM86" s="1065">
        <v>-1003216117</v>
      </c>
      <c r="AN86" s="1065">
        <v>-933319411</v>
      </c>
      <c r="AO86" s="1065">
        <v>-984193551</v>
      </c>
      <c r="AP86" s="1065">
        <v>-1101198299</v>
      </c>
      <c r="AQ86" s="1065">
        <v>-1600422473</v>
      </c>
    </row>
    <row r="87" spans="1:43">
      <c r="A87" s="1062" t="s">
        <v>928</v>
      </c>
      <c r="B87" s="1063">
        <v>55180186204</v>
      </c>
      <c r="C87" s="1063">
        <v>46677308595</v>
      </c>
      <c r="D87" s="1063">
        <v>118117230170</v>
      </c>
      <c r="E87" s="1063">
        <v>119626156210</v>
      </c>
      <c r="F87" s="1063">
        <v>143695974832</v>
      </c>
      <c r="G87" s="1063">
        <v>161610368248</v>
      </c>
      <c r="H87" s="1063">
        <v>203630457622</v>
      </c>
      <c r="I87" s="1063">
        <v>185026972874</v>
      </c>
      <c r="J87" s="1063">
        <v>241263588325</v>
      </c>
      <c r="K87" s="1063">
        <v>300493495566</v>
      </c>
      <c r="L87" s="1063">
        <v>272515386086</v>
      </c>
      <c r="M87" s="1063">
        <v>186252384607</v>
      </c>
      <c r="N87" s="1063">
        <v>206063026350</v>
      </c>
      <c r="O87" s="1063">
        <v>193551532637</v>
      </c>
      <c r="P87" s="1063">
        <v>176457737391</v>
      </c>
      <c r="Q87" s="1063">
        <v>194055061155</v>
      </c>
      <c r="R87" s="1063">
        <v>246895763660</v>
      </c>
      <c r="S87" s="1063">
        <v>224300815552</v>
      </c>
      <c r="T87" s="1063">
        <v>204495750199</v>
      </c>
      <c r="U87" s="1063">
        <v>135179796264</v>
      </c>
      <c r="V87" s="1063">
        <v>215833486245</v>
      </c>
      <c r="W87" s="1063">
        <v>277233247135</v>
      </c>
      <c r="X87" s="1063">
        <v>265891600358</v>
      </c>
      <c r="Y87" s="1063">
        <v>246740886048</v>
      </c>
      <c r="Z87" s="1063">
        <v>345468128190</v>
      </c>
      <c r="AA87" s="1063">
        <v>465294375214</v>
      </c>
      <c r="AB87" s="1063">
        <v>538108187672</v>
      </c>
      <c r="AC87" s="1063">
        <v>460796633844</v>
      </c>
      <c r="AD87" s="1063">
        <v>529722450192</v>
      </c>
      <c r="AE87" s="1063">
        <v>520115474797</v>
      </c>
      <c r="AF87" s="1063">
        <v>547068007285</v>
      </c>
      <c r="AG87" s="1063">
        <v>513713334098</v>
      </c>
      <c r="AH87" s="1063">
        <v>584185886194</v>
      </c>
      <c r="AI87" s="1063">
        <v>602895307788</v>
      </c>
      <c r="AJ87" s="1063">
        <v>651004125283</v>
      </c>
      <c r="AK87" s="1063">
        <v>529467404413</v>
      </c>
      <c r="AL87" s="1063">
        <v>647718140617</v>
      </c>
      <c r="AM87" s="1063">
        <v>776147756792</v>
      </c>
      <c r="AN87" s="1063">
        <v>590017133535</v>
      </c>
      <c r="AO87" s="1063">
        <v>726086829868</v>
      </c>
      <c r="AP87" s="1063">
        <v>757058968741</v>
      </c>
      <c r="AQ87" s="1063">
        <v>888709942377</v>
      </c>
    </row>
    <row r="88" spans="1:43">
      <c r="A88" s="1064" t="s">
        <v>929</v>
      </c>
      <c r="B88" s="1065">
        <v>34797135114</v>
      </c>
      <c r="C88" s="1065">
        <v>29079207358</v>
      </c>
      <c r="D88" s="1065">
        <v>94223647402</v>
      </c>
      <c r="E88" s="1065">
        <v>95106091770</v>
      </c>
      <c r="F88" s="1065">
        <v>118808377804</v>
      </c>
      <c r="G88" s="1065">
        <v>130815492426</v>
      </c>
      <c r="H88" s="1065">
        <v>175070523484</v>
      </c>
      <c r="I88" s="1065">
        <v>160829724265</v>
      </c>
      <c r="J88" s="1065">
        <v>210740113285</v>
      </c>
      <c r="K88" s="1065">
        <v>266496570906</v>
      </c>
      <c r="L88" s="1065">
        <v>230615748813</v>
      </c>
      <c r="M88" s="1065">
        <v>143049116129</v>
      </c>
      <c r="N88" s="1065">
        <v>152197051911</v>
      </c>
      <c r="O88" s="1065">
        <v>139163306360</v>
      </c>
      <c r="P88" s="1065">
        <v>123051409378</v>
      </c>
      <c r="Q88" s="1065">
        <v>139883654686</v>
      </c>
      <c r="R88" s="1065">
        <v>194493738788</v>
      </c>
      <c r="S88" s="1065">
        <v>173770333640</v>
      </c>
      <c r="T88" s="1065">
        <v>166326287088</v>
      </c>
      <c r="U88" s="1065">
        <v>102156516624</v>
      </c>
      <c r="V88" s="1065">
        <v>184803999861</v>
      </c>
      <c r="W88" s="1065">
        <v>228096683215</v>
      </c>
      <c r="X88" s="1065">
        <v>181875734052</v>
      </c>
      <c r="Y88" s="1065">
        <v>143853612283</v>
      </c>
      <c r="Z88" s="1065">
        <v>230807535266</v>
      </c>
      <c r="AA88" s="1065">
        <v>340586685159</v>
      </c>
      <c r="AB88" s="1065">
        <v>388035354329</v>
      </c>
      <c r="AC88" s="1065">
        <v>313827071235</v>
      </c>
      <c r="AD88" s="1065">
        <v>394432652384</v>
      </c>
      <c r="AE88" s="1065">
        <v>394184377047</v>
      </c>
      <c r="AF88" s="1065">
        <v>429181174290</v>
      </c>
      <c r="AG88" s="1065">
        <v>403818774524</v>
      </c>
      <c r="AH88" s="1065">
        <v>476319595123</v>
      </c>
      <c r="AI88" s="1065">
        <v>494925928317</v>
      </c>
      <c r="AJ88" s="1065">
        <v>543375692062</v>
      </c>
      <c r="AK88" s="1065">
        <v>388383286674</v>
      </c>
      <c r="AL88" s="1065">
        <v>516186604131</v>
      </c>
      <c r="AM88" s="1065">
        <v>658227215730</v>
      </c>
      <c r="AN88" s="1065">
        <v>455811459250</v>
      </c>
      <c r="AO88" s="1065">
        <v>564647423911</v>
      </c>
      <c r="AP88" s="1065">
        <v>586489114616</v>
      </c>
      <c r="AQ88" s="1065">
        <v>666422744777</v>
      </c>
    </row>
    <row r="89" spans="1:43">
      <c r="A89" s="1064" t="s">
        <v>930</v>
      </c>
      <c r="B89" s="1065">
        <v>18284008212</v>
      </c>
      <c r="C89" s="1065">
        <v>15499993459</v>
      </c>
      <c r="D89" s="1065">
        <v>21795429390</v>
      </c>
      <c r="E89" s="1065">
        <v>22421431062</v>
      </c>
      <c r="F89" s="1065">
        <v>21473443650</v>
      </c>
      <c r="G89" s="1065">
        <v>27141958015</v>
      </c>
      <c r="H89" s="1065">
        <v>25265759760</v>
      </c>
      <c r="I89" s="1065">
        <v>20853210531</v>
      </c>
      <c r="J89" s="1065">
        <v>26983435002</v>
      </c>
      <c r="K89" s="1065">
        <v>30653227482</v>
      </c>
      <c r="L89" s="1065">
        <v>39109366734</v>
      </c>
      <c r="M89" s="1065">
        <v>40035226732</v>
      </c>
      <c r="N89" s="1065">
        <v>50634779405</v>
      </c>
      <c r="O89" s="1065">
        <v>52207401201</v>
      </c>
      <c r="P89" s="1065">
        <v>45677451187</v>
      </c>
      <c r="Q89" s="1065">
        <v>40951574283</v>
      </c>
      <c r="R89" s="1065">
        <v>51429602261</v>
      </c>
      <c r="S89" s="1065">
        <v>49326579198</v>
      </c>
      <c r="T89" s="1065">
        <v>37268279427</v>
      </c>
      <c r="U89" s="1065">
        <v>32525563258</v>
      </c>
      <c r="V89" s="1065">
        <v>30520069402</v>
      </c>
      <c r="W89" s="1065">
        <v>48328298038</v>
      </c>
      <c r="X89" s="1065">
        <v>59549287403</v>
      </c>
      <c r="Y89" s="1065">
        <v>84764721620</v>
      </c>
      <c r="Z89" s="1065">
        <v>95177408190</v>
      </c>
      <c r="AA89" s="1065">
        <v>103645051829</v>
      </c>
      <c r="AB89" s="1065">
        <v>112094728813</v>
      </c>
      <c r="AC89" s="1065">
        <v>109865216813</v>
      </c>
      <c r="AD89" s="1065">
        <v>98762075148</v>
      </c>
      <c r="AE89" s="1065">
        <v>89494416144</v>
      </c>
      <c r="AF89" s="1065">
        <v>77450808008</v>
      </c>
      <c r="AG89" s="1065">
        <v>68489343592</v>
      </c>
      <c r="AH89" s="1065">
        <v>63498680660</v>
      </c>
      <c r="AI89" s="1065">
        <v>65475461929</v>
      </c>
      <c r="AJ89" s="1065">
        <v>68774523858</v>
      </c>
      <c r="AK89" s="1065">
        <v>80341054318</v>
      </c>
      <c r="AL89" s="1065">
        <v>79539773787</v>
      </c>
      <c r="AM89" s="1065">
        <v>70613383139</v>
      </c>
      <c r="AN89" s="1065">
        <v>86493964223</v>
      </c>
      <c r="AO89" s="1065">
        <v>117042401979</v>
      </c>
      <c r="AP89" s="1065">
        <v>125178474591.00003</v>
      </c>
      <c r="AQ89" s="1065">
        <v>145830481999</v>
      </c>
    </row>
    <row r="90" spans="1:43">
      <c r="A90" s="1064" t="s">
        <v>931</v>
      </c>
      <c r="B90" s="1065">
        <v>0</v>
      </c>
      <c r="C90" s="1065">
        <v>0</v>
      </c>
      <c r="D90" s="1065">
        <v>0</v>
      </c>
      <c r="E90" s="1065">
        <v>0</v>
      </c>
      <c r="F90" s="1065">
        <v>0</v>
      </c>
      <c r="G90" s="1065">
        <v>343929070</v>
      </c>
      <c r="H90" s="1065">
        <v>0</v>
      </c>
      <c r="I90" s="1065">
        <v>0</v>
      </c>
      <c r="J90" s="1065">
        <v>197537860</v>
      </c>
      <c r="K90" s="1065">
        <v>0</v>
      </c>
      <c r="L90" s="1065">
        <v>668938500</v>
      </c>
      <c r="M90" s="1065">
        <v>937955170</v>
      </c>
      <c r="N90" s="1065">
        <v>2069425330</v>
      </c>
      <c r="O90" s="1065">
        <v>1224102570</v>
      </c>
      <c r="P90" s="1065">
        <v>6762582820</v>
      </c>
      <c r="Q90" s="1065">
        <v>12250485180</v>
      </c>
      <c r="R90" s="1065">
        <v>0</v>
      </c>
      <c r="S90" s="1065">
        <v>236719030</v>
      </c>
      <c r="T90" s="1065">
        <v>0</v>
      </c>
      <c r="U90" s="1065">
        <v>0</v>
      </c>
      <c r="V90" s="1065">
        <v>0</v>
      </c>
      <c r="W90" s="1065">
        <v>0</v>
      </c>
      <c r="X90" s="1065">
        <v>0</v>
      </c>
      <c r="Y90" s="1065">
        <v>0</v>
      </c>
      <c r="Z90" s="1065">
        <v>0</v>
      </c>
      <c r="AA90" s="1065">
        <v>0</v>
      </c>
      <c r="AB90" s="1065">
        <v>0</v>
      </c>
      <c r="AC90" s="1065">
        <v>0</v>
      </c>
      <c r="AD90" s="1065">
        <v>0</v>
      </c>
      <c r="AE90" s="1065">
        <v>0</v>
      </c>
      <c r="AF90" s="1065">
        <v>0</v>
      </c>
      <c r="AG90" s="1065">
        <v>0</v>
      </c>
      <c r="AH90" s="1065">
        <v>0</v>
      </c>
      <c r="AI90" s="1065">
        <v>0</v>
      </c>
      <c r="AJ90" s="1065">
        <v>0</v>
      </c>
      <c r="AK90" s="1065">
        <v>0</v>
      </c>
      <c r="AL90" s="1065">
        <v>0</v>
      </c>
      <c r="AM90" s="1065">
        <v>0</v>
      </c>
      <c r="AN90" s="1065">
        <v>0</v>
      </c>
      <c r="AO90" s="1065">
        <v>0</v>
      </c>
      <c r="AP90" s="1065">
        <v>6407455</v>
      </c>
      <c r="AQ90" s="1065">
        <v>0</v>
      </c>
    </row>
    <row r="91" spans="1:43">
      <c r="A91" s="1064" t="s">
        <v>932</v>
      </c>
      <c r="B91" s="1065">
        <v>0</v>
      </c>
      <c r="C91" s="1065">
        <v>0</v>
      </c>
      <c r="D91" s="1065">
        <v>0</v>
      </c>
      <c r="E91" s="1065">
        <v>0</v>
      </c>
      <c r="F91" s="1065">
        <v>0</v>
      </c>
      <c r="G91" s="1065">
        <v>0</v>
      </c>
      <c r="H91" s="1065">
        <v>0</v>
      </c>
      <c r="I91" s="1065">
        <v>0</v>
      </c>
      <c r="J91" s="1065">
        <v>0</v>
      </c>
      <c r="K91" s="1065">
        <v>0</v>
      </c>
      <c r="L91" s="1065">
        <v>0</v>
      </c>
      <c r="M91" s="1065">
        <v>0</v>
      </c>
      <c r="N91" s="1065">
        <v>0</v>
      </c>
      <c r="O91" s="1065">
        <v>0</v>
      </c>
      <c r="P91" s="1065">
        <v>0</v>
      </c>
      <c r="Q91" s="1065">
        <v>0</v>
      </c>
      <c r="R91" s="1065">
        <v>0</v>
      </c>
      <c r="S91" s="1065">
        <v>0</v>
      </c>
      <c r="T91" s="1065">
        <v>0</v>
      </c>
      <c r="U91" s="1065">
        <v>0</v>
      </c>
      <c r="V91" s="1065">
        <v>0</v>
      </c>
      <c r="W91" s="1065">
        <v>0</v>
      </c>
      <c r="X91" s="1065">
        <v>0</v>
      </c>
      <c r="Y91" s="1065">
        <v>0</v>
      </c>
      <c r="Z91" s="1065">
        <v>0</v>
      </c>
      <c r="AA91" s="1065">
        <v>0</v>
      </c>
      <c r="AB91" s="1065">
        <v>0</v>
      </c>
      <c r="AC91" s="1065">
        <v>0</v>
      </c>
      <c r="AD91" s="1065">
        <v>0</v>
      </c>
      <c r="AE91" s="1065">
        <v>0</v>
      </c>
      <c r="AF91" s="1065">
        <v>0</v>
      </c>
      <c r="AG91" s="1065">
        <v>0</v>
      </c>
      <c r="AH91" s="1065">
        <v>0</v>
      </c>
      <c r="AI91" s="1065">
        <v>0</v>
      </c>
      <c r="AJ91" s="1065">
        <v>0</v>
      </c>
      <c r="AK91" s="1065">
        <v>0</v>
      </c>
      <c r="AL91" s="1065">
        <v>0</v>
      </c>
      <c r="AM91" s="1065">
        <v>0</v>
      </c>
      <c r="AN91" s="1065">
        <v>0</v>
      </c>
      <c r="AO91" s="1065">
        <v>0</v>
      </c>
      <c r="AP91" s="1065">
        <v>0</v>
      </c>
      <c r="AQ91" s="1065">
        <v>0</v>
      </c>
    </row>
    <row r="92" spans="1:43">
      <c r="A92" s="1064" t="s">
        <v>933</v>
      </c>
      <c r="B92" s="1065">
        <v>2099042878</v>
      </c>
      <c r="C92" s="1065">
        <v>2098107778</v>
      </c>
      <c r="D92" s="1065">
        <v>2098153378</v>
      </c>
      <c r="E92" s="1065">
        <v>2098633378</v>
      </c>
      <c r="F92" s="1065">
        <v>3414153378</v>
      </c>
      <c r="G92" s="1065">
        <v>3308988737</v>
      </c>
      <c r="H92" s="1065">
        <v>3294174378</v>
      </c>
      <c r="I92" s="1065">
        <v>3344038078</v>
      </c>
      <c r="J92" s="1065">
        <v>3342502178</v>
      </c>
      <c r="K92" s="1065">
        <v>3343697178</v>
      </c>
      <c r="L92" s="1065">
        <v>2121332039</v>
      </c>
      <c r="M92" s="1065">
        <v>2230086576</v>
      </c>
      <c r="N92" s="1065">
        <v>1161769704</v>
      </c>
      <c r="O92" s="1065">
        <v>956722506</v>
      </c>
      <c r="P92" s="1065">
        <v>966294006</v>
      </c>
      <c r="Q92" s="1065">
        <v>969347006</v>
      </c>
      <c r="R92" s="1065">
        <v>972422611</v>
      </c>
      <c r="S92" s="1065">
        <v>967183684</v>
      </c>
      <c r="T92" s="1065">
        <v>901183684</v>
      </c>
      <c r="U92" s="1065">
        <v>497716382</v>
      </c>
      <c r="V92" s="1065">
        <v>509416982</v>
      </c>
      <c r="W92" s="1065">
        <v>808265882</v>
      </c>
      <c r="X92" s="1065">
        <v>24466578903</v>
      </c>
      <c r="Y92" s="1065">
        <v>18122552145</v>
      </c>
      <c r="Z92" s="1065">
        <v>19483184734</v>
      </c>
      <c r="AA92" s="1065">
        <v>21062638226</v>
      </c>
      <c r="AB92" s="1065">
        <v>37978104530</v>
      </c>
      <c r="AC92" s="1065">
        <v>37104345796</v>
      </c>
      <c r="AD92" s="1065">
        <v>36527722660</v>
      </c>
      <c r="AE92" s="1065">
        <v>36436681606</v>
      </c>
      <c r="AF92" s="1065">
        <v>40436024987</v>
      </c>
      <c r="AG92" s="1065">
        <v>41405215982</v>
      </c>
      <c r="AH92" s="1065">
        <v>44367610411</v>
      </c>
      <c r="AI92" s="1065">
        <v>42493917542</v>
      </c>
      <c r="AJ92" s="1065">
        <v>38853909363</v>
      </c>
      <c r="AK92" s="1065">
        <v>60743063421</v>
      </c>
      <c r="AL92" s="1065">
        <v>51991762699</v>
      </c>
      <c r="AM92" s="1065">
        <v>47307157923</v>
      </c>
      <c r="AN92" s="1065">
        <v>47711710062</v>
      </c>
      <c r="AO92" s="1065">
        <v>44397003978</v>
      </c>
      <c r="AP92" s="1065">
        <v>45384972079</v>
      </c>
      <c r="AQ92" s="1065">
        <v>76456715601</v>
      </c>
    </row>
    <row r="93" spans="1:43">
      <c r="A93" s="1060" t="s">
        <v>831</v>
      </c>
      <c r="B93" s="1061">
        <v>16476361432718</v>
      </c>
      <c r="C93" s="1061">
        <v>15342599205968</v>
      </c>
      <c r="D93" s="1061">
        <v>17188807943281</v>
      </c>
      <c r="E93" s="1061">
        <v>15389509321692</v>
      </c>
      <c r="F93" s="1061">
        <v>18798762377137</v>
      </c>
      <c r="G93" s="1061">
        <v>20393710662973</v>
      </c>
      <c r="H93" s="1061">
        <v>18996409634862</v>
      </c>
      <c r="I93" s="1061">
        <v>20137961833195</v>
      </c>
      <c r="J93" s="1061">
        <v>24397258150919</v>
      </c>
      <c r="K93" s="1061">
        <v>27428237876787</v>
      </c>
      <c r="L93" s="1061">
        <v>28489138823712</v>
      </c>
      <c r="M93" s="1061">
        <v>27687554628163</v>
      </c>
      <c r="N93" s="1061">
        <v>31744804894513</v>
      </c>
      <c r="O93" s="1061">
        <v>32883341494200</v>
      </c>
      <c r="P93" s="1061">
        <v>34738836484739</v>
      </c>
      <c r="Q93" s="1061">
        <v>33967958082044</v>
      </c>
      <c r="R93" s="1061">
        <v>37491166312515</v>
      </c>
      <c r="S93" s="1061">
        <v>38390661662912</v>
      </c>
      <c r="T93" s="1061">
        <v>38254604334069</v>
      </c>
      <c r="U93" s="1061">
        <v>39058208228276</v>
      </c>
      <c r="V93" s="1061">
        <v>42138733157070</v>
      </c>
      <c r="W93" s="1061">
        <v>43925829296396</v>
      </c>
      <c r="X93" s="1061">
        <v>45135246145356</v>
      </c>
      <c r="Y93" s="1061">
        <v>48773824685965</v>
      </c>
      <c r="Z93" s="1061">
        <v>53058069443753</v>
      </c>
      <c r="AA93" s="1061">
        <v>54832427462881</v>
      </c>
      <c r="AB93" s="1061">
        <v>55792260969120</v>
      </c>
      <c r="AC93" s="1061">
        <v>50760760893746</v>
      </c>
      <c r="AD93" s="1061">
        <v>54374117011575</v>
      </c>
      <c r="AE93" s="1061">
        <v>54534745219542</v>
      </c>
      <c r="AF93" s="1061">
        <v>53787444279167</v>
      </c>
      <c r="AG93" s="1061">
        <v>57530695026742</v>
      </c>
      <c r="AH93" s="1061">
        <v>57639366598100</v>
      </c>
      <c r="AI93" s="1061">
        <v>58556884186894</v>
      </c>
      <c r="AJ93" s="1061">
        <v>62730441610903</v>
      </c>
      <c r="AK93" s="1061">
        <v>66316812450114</v>
      </c>
      <c r="AL93" s="1061">
        <v>68969803964770</v>
      </c>
      <c r="AM93" s="1061">
        <v>73379192096376</v>
      </c>
      <c r="AN93" s="1061">
        <v>81949408466486</v>
      </c>
      <c r="AO93" s="1061">
        <v>85542290555874</v>
      </c>
      <c r="AP93" s="1061">
        <v>94947244356331</v>
      </c>
      <c r="AQ93" s="1061">
        <v>98687277140000</v>
      </c>
    </row>
    <row r="94" spans="1:43">
      <c r="A94" s="1062" t="s">
        <v>934</v>
      </c>
      <c r="B94" s="1063">
        <v>3452902318407</v>
      </c>
      <c r="C94" s="1063">
        <v>3460072897332</v>
      </c>
      <c r="D94" s="1063">
        <v>3228381309829</v>
      </c>
      <c r="E94" s="1063">
        <v>3102818819466</v>
      </c>
      <c r="F94" s="1063">
        <v>3004162577712</v>
      </c>
      <c r="G94" s="1063">
        <v>3053826428883</v>
      </c>
      <c r="H94" s="1063">
        <v>3045657648624</v>
      </c>
      <c r="I94" s="1063">
        <v>3231933356072</v>
      </c>
      <c r="J94" s="1063">
        <v>2988463479541</v>
      </c>
      <c r="K94" s="1063">
        <v>2788835638165</v>
      </c>
      <c r="L94" s="1063">
        <v>2592900410414</v>
      </c>
      <c r="M94" s="1063">
        <v>2424276423979</v>
      </c>
      <c r="N94" s="1063">
        <v>2291277510760</v>
      </c>
      <c r="O94" s="1063">
        <v>2096917289306</v>
      </c>
      <c r="P94" s="1063">
        <v>1928417895010</v>
      </c>
      <c r="Q94" s="1063">
        <v>2326563911301</v>
      </c>
      <c r="R94" s="1063">
        <v>1893125613855</v>
      </c>
      <c r="S94" s="1063">
        <v>1646809841463</v>
      </c>
      <c r="T94" s="1063">
        <v>1542095732883</v>
      </c>
      <c r="U94" s="1063">
        <v>1954874966447</v>
      </c>
      <c r="V94" s="1063">
        <v>1785148212601</v>
      </c>
      <c r="W94" s="1063">
        <v>1724136687376</v>
      </c>
      <c r="X94" s="1063">
        <v>1652472444511</v>
      </c>
      <c r="Y94" s="1063">
        <v>2564607605947</v>
      </c>
      <c r="Z94" s="1063">
        <v>2183436860036</v>
      </c>
      <c r="AA94" s="1063">
        <v>2361782991498</v>
      </c>
      <c r="AB94" s="1063">
        <v>2712779891707</v>
      </c>
      <c r="AC94" s="1063">
        <v>1926777330425</v>
      </c>
      <c r="AD94" s="1063">
        <v>2449912047275</v>
      </c>
      <c r="AE94" s="1063">
        <v>1989343547431</v>
      </c>
      <c r="AF94" s="1063">
        <v>1871267362517</v>
      </c>
      <c r="AG94" s="1063">
        <v>2093908055929</v>
      </c>
      <c r="AH94" s="1063">
        <v>2576863246363</v>
      </c>
      <c r="AI94" s="1063">
        <v>2332376480389</v>
      </c>
      <c r="AJ94" s="1063">
        <v>2549267145706</v>
      </c>
      <c r="AK94" s="1063">
        <v>3450292975588</v>
      </c>
      <c r="AL94" s="1063">
        <v>3593192180742</v>
      </c>
      <c r="AM94" s="1063">
        <v>4478981119387</v>
      </c>
      <c r="AN94" s="1063">
        <v>5175442496472</v>
      </c>
      <c r="AO94" s="1063">
        <v>5428548023788</v>
      </c>
      <c r="AP94" s="1063">
        <v>6513006817816</v>
      </c>
      <c r="AQ94" s="1063">
        <v>9878677403193</v>
      </c>
    </row>
    <row r="95" spans="1:43">
      <c r="A95" s="1064" t="s">
        <v>935</v>
      </c>
      <c r="B95" s="1065">
        <v>331189142811</v>
      </c>
      <c r="C95" s="1065">
        <v>428708001022</v>
      </c>
      <c r="D95" s="1065">
        <v>356747489889</v>
      </c>
      <c r="E95" s="1065">
        <v>319674248715</v>
      </c>
      <c r="F95" s="1065">
        <v>320896314406</v>
      </c>
      <c r="G95" s="1065">
        <v>325859275356</v>
      </c>
      <c r="H95" s="1065">
        <v>351868301611</v>
      </c>
      <c r="I95" s="1065">
        <v>620331111566</v>
      </c>
      <c r="J95" s="1065">
        <v>503354147622</v>
      </c>
      <c r="K95" s="1065">
        <v>554314623720</v>
      </c>
      <c r="L95" s="1065">
        <v>625356948375</v>
      </c>
      <c r="M95" s="1065">
        <v>562144634062</v>
      </c>
      <c r="N95" s="1065">
        <v>474884805593</v>
      </c>
      <c r="O95" s="1065">
        <v>495349397413</v>
      </c>
      <c r="P95" s="1065">
        <v>358809834517</v>
      </c>
      <c r="Q95" s="1065">
        <v>651908266101</v>
      </c>
      <c r="R95" s="1065">
        <v>667668189512</v>
      </c>
      <c r="S95" s="1065">
        <v>972817828004</v>
      </c>
      <c r="T95" s="1065">
        <v>981244307633</v>
      </c>
      <c r="U95" s="1065">
        <v>1376356198109</v>
      </c>
      <c r="V95" s="1065">
        <v>1275020839751</v>
      </c>
      <c r="W95" s="1065">
        <v>1227848385456</v>
      </c>
      <c r="X95" s="1065">
        <v>1056114790688</v>
      </c>
      <c r="Y95" s="1065">
        <v>1577435867211</v>
      </c>
      <c r="Z95" s="1065">
        <v>1327728384403</v>
      </c>
      <c r="AA95" s="1065">
        <v>1336958107757</v>
      </c>
      <c r="AB95" s="1065">
        <v>1450381109555</v>
      </c>
      <c r="AC95" s="1065">
        <v>1272566387031</v>
      </c>
      <c r="AD95" s="1065">
        <v>1585831970925</v>
      </c>
      <c r="AE95" s="1065">
        <v>1113418696987</v>
      </c>
      <c r="AF95" s="1065">
        <v>1275877809918</v>
      </c>
      <c r="AG95" s="1065">
        <v>1426752047787</v>
      </c>
      <c r="AH95" s="1065">
        <v>1292336471569</v>
      </c>
      <c r="AI95" s="1065">
        <v>1311362897351</v>
      </c>
      <c r="AJ95" s="1065">
        <v>1586890247182</v>
      </c>
      <c r="AK95" s="1065">
        <v>2203736504144</v>
      </c>
      <c r="AL95" s="1065">
        <v>2228123131590</v>
      </c>
      <c r="AM95" s="1065">
        <v>2772820589134</v>
      </c>
      <c r="AN95" s="1065">
        <v>3253077482286</v>
      </c>
      <c r="AO95" s="1065">
        <v>3589309794358</v>
      </c>
      <c r="AP95" s="1065">
        <v>4103343622325</v>
      </c>
      <c r="AQ95" s="1065">
        <v>7240839838301</v>
      </c>
    </row>
    <row r="96" spans="1:43">
      <c r="A96" s="1064" t="s">
        <v>936</v>
      </c>
      <c r="B96" s="1065">
        <v>283000000</v>
      </c>
      <c r="C96" s="1065">
        <v>283000000</v>
      </c>
      <c r="D96" s="1065">
        <v>0</v>
      </c>
      <c r="E96" s="1065">
        <v>0</v>
      </c>
      <c r="F96" s="1065">
        <v>0</v>
      </c>
      <c r="G96" s="1065">
        <v>0</v>
      </c>
      <c r="H96" s="1065">
        <v>0</v>
      </c>
      <c r="I96" s="1065">
        <v>0</v>
      </c>
      <c r="J96" s="1065">
        <v>0</v>
      </c>
      <c r="K96" s="1065">
        <v>0</v>
      </c>
      <c r="L96" s="1065">
        <v>0</v>
      </c>
      <c r="M96" s="1065">
        <v>0</v>
      </c>
      <c r="N96" s="1065">
        <v>0</v>
      </c>
      <c r="O96" s="1065">
        <v>73046081241</v>
      </c>
      <c r="P96" s="1065">
        <v>307962646311</v>
      </c>
      <c r="Q96" s="1065">
        <v>632140480954</v>
      </c>
      <c r="R96" s="1065">
        <v>528804592444</v>
      </c>
      <c r="S96" s="1065">
        <v>420309993735</v>
      </c>
      <c r="T96" s="1065">
        <v>521020298721</v>
      </c>
      <c r="U96" s="1065">
        <v>499792190171</v>
      </c>
      <c r="V96" s="1065">
        <v>468746813323</v>
      </c>
      <c r="W96" s="1065">
        <v>359769881491</v>
      </c>
      <c r="X96" s="1065">
        <v>359865446902</v>
      </c>
      <c r="Y96" s="1065">
        <v>720975540816</v>
      </c>
      <c r="Z96" s="1065">
        <v>586368161099</v>
      </c>
      <c r="AA96" s="1065">
        <v>182978557930</v>
      </c>
      <c r="AB96" s="1065">
        <v>338090646298</v>
      </c>
      <c r="AC96" s="1065">
        <v>449584184873</v>
      </c>
      <c r="AD96" s="1065">
        <v>559129816589</v>
      </c>
      <c r="AE96" s="1065">
        <v>614531823731</v>
      </c>
      <c r="AF96" s="1065">
        <v>437533724295</v>
      </c>
      <c r="AG96" s="1065">
        <v>444541873896</v>
      </c>
      <c r="AH96" s="1065">
        <v>951713107213</v>
      </c>
      <c r="AI96" s="1065">
        <v>842016804030</v>
      </c>
      <c r="AJ96" s="1065">
        <v>795046785339</v>
      </c>
      <c r="AK96" s="1065">
        <v>1005080650426</v>
      </c>
      <c r="AL96" s="1065">
        <v>1097273135335</v>
      </c>
      <c r="AM96" s="1065">
        <v>1436145481661</v>
      </c>
      <c r="AN96" s="1065">
        <v>1495502326155</v>
      </c>
      <c r="AO96" s="1065">
        <v>1556399155985</v>
      </c>
      <c r="AP96" s="1065">
        <v>1956838933954</v>
      </c>
      <c r="AQ96" s="1065">
        <v>2080192180056</v>
      </c>
    </row>
    <row r="97" spans="1:43">
      <c r="A97" s="1064" t="s">
        <v>937</v>
      </c>
      <c r="B97" s="1065">
        <v>143442467140</v>
      </c>
      <c r="C97" s="1065">
        <v>129172088357</v>
      </c>
      <c r="D97" s="1065">
        <v>117103747321</v>
      </c>
      <c r="E97" s="1065">
        <v>104057434283</v>
      </c>
      <c r="F97" s="1065">
        <v>91609626958</v>
      </c>
      <c r="G97" s="1065">
        <v>222092945617</v>
      </c>
      <c r="H97" s="1065">
        <v>226107377477</v>
      </c>
      <c r="I97" s="1065">
        <v>229627801350</v>
      </c>
      <c r="J97" s="1065">
        <v>234188666194</v>
      </c>
      <c r="K97" s="1065">
        <v>234217664198</v>
      </c>
      <c r="L97" s="1065">
        <v>234779050734</v>
      </c>
      <c r="M97" s="1065">
        <v>234849542330</v>
      </c>
      <c r="N97" s="1065">
        <v>234463611746</v>
      </c>
      <c r="O97" s="1065">
        <v>236546199726</v>
      </c>
      <c r="P97" s="1065">
        <v>242353514340</v>
      </c>
      <c r="Q97" s="1065">
        <v>241330133354</v>
      </c>
      <c r="R97" s="1065">
        <v>243388840633</v>
      </c>
      <c r="S97" s="1065">
        <v>242006435113</v>
      </c>
      <c r="T97" s="1065">
        <v>0</v>
      </c>
      <c r="U97" s="1065">
        <v>0</v>
      </c>
      <c r="V97" s="1065">
        <v>0</v>
      </c>
      <c r="W97" s="1065">
        <v>0</v>
      </c>
      <c r="X97" s="1065">
        <v>0</v>
      </c>
      <c r="Y97" s="1065">
        <v>0</v>
      </c>
      <c r="Z97" s="1065">
        <v>0</v>
      </c>
      <c r="AA97" s="1065">
        <v>0</v>
      </c>
      <c r="AB97" s="1065">
        <v>0</v>
      </c>
      <c r="AC97" s="1065">
        <v>0</v>
      </c>
      <c r="AD97" s="1065">
        <v>0</v>
      </c>
      <c r="AE97" s="1065">
        <v>0</v>
      </c>
      <c r="AF97" s="1065">
        <v>0</v>
      </c>
      <c r="AG97" s="1065">
        <v>0</v>
      </c>
      <c r="AH97" s="1065">
        <v>0</v>
      </c>
      <c r="AI97" s="1065">
        <v>0</v>
      </c>
      <c r="AJ97" s="1065">
        <v>0</v>
      </c>
      <c r="AK97" s="1065">
        <v>0</v>
      </c>
      <c r="AL97" s="1065">
        <v>0</v>
      </c>
      <c r="AM97" s="1065">
        <v>0</v>
      </c>
      <c r="AN97" s="1065">
        <v>0</v>
      </c>
      <c r="AO97" s="1065">
        <v>0</v>
      </c>
      <c r="AP97" s="1065">
        <v>0</v>
      </c>
      <c r="AQ97" s="1065">
        <v>0</v>
      </c>
    </row>
    <row r="98" spans="1:43">
      <c r="A98" s="1064" t="s">
        <v>938</v>
      </c>
      <c r="B98" s="1065">
        <v>76195538289</v>
      </c>
      <c r="C98" s="1065">
        <v>70065777549</v>
      </c>
      <c r="D98" s="1065">
        <v>28482416130</v>
      </c>
      <c r="E98" s="1065">
        <v>14878545605</v>
      </c>
      <c r="F98" s="1065">
        <v>6753402246</v>
      </c>
      <c r="G98" s="1065">
        <v>8182345087</v>
      </c>
      <c r="H98" s="1065">
        <v>3379594948</v>
      </c>
      <c r="I98" s="1065">
        <v>5309166905</v>
      </c>
      <c r="J98" s="1065">
        <v>4129849617</v>
      </c>
      <c r="K98" s="1065">
        <v>2738860338</v>
      </c>
      <c r="L98" s="1065">
        <v>2870466699</v>
      </c>
      <c r="M98" s="1065">
        <v>2811472310</v>
      </c>
      <c r="N98" s="1065">
        <v>2007994105</v>
      </c>
      <c r="O98" s="1065">
        <v>3445139558</v>
      </c>
      <c r="P98" s="1065">
        <v>2168491387</v>
      </c>
      <c r="Q98" s="1065">
        <v>2075578937</v>
      </c>
      <c r="R98" s="1065">
        <v>615086414</v>
      </c>
      <c r="S98" s="1065">
        <v>0</v>
      </c>
      <c r="T98" s="1065">
        <v>0</v>
      </c>
      <c r="U98" s="1065">
        <v>0</v>
      </c>
      <c r="V98" s="1065">
        <v>0</v>
      </c>
      <c r="W98" s="1065">
        <v>0</v>
      </c>
      <c r="X98" s="1065">
        <v>0</v>
      </c>
      <c r="Y98" s="1065">
        <v>0</v>
      </c>
      <c r="Z98" s="1065">
        <v>0</v>
      </c>
      <c r="AA98" s="1065">
        <v>0</v>
      </c>
      <c r="AB98" s="1065">
        <v>0</v>
      </c>
      <c r="AC98" s="1065">
        <v>0</v>
      </c>
      <c r="AD98" s="1065">
        <v>0</v>
      </c>
      <c r="AE98" s="1065">
        <v>0</v>
      </c>
      <c r="AF98" s="1065">
        <v>0</v>
      </c>
      <c r="AG98" s="1065">
        <v>0</v>
      </c>
      <c r="AH98" s="1065">
        <v>0</v>
      </c>
      <c r="AI98" s="1065">
        <v>0</v>
      </c>
      <c r="AJ98" s="1065">
        <v>0</v>
      </c>
      <c r="AK98" s="1065">
        <v>0</v>
      </c>
      <c r="AL98" s="1065">
        <v>0</v>
      </c>
      <c r="AM98" s="1065">
        <v>0</v>
      </c>
      <c r="AN98" s="1065">
        <v>0</v>
      </c>
      <c r="AO98" s="1065">
        <v>0</v>
      </c>
      <c r="AP98" s="1065">
        <v>0</v>
      </c>
      <c r="AQ98" s="1065">
        <v>0</v>
      </c>
    </row>
    <row r="99" spans="1:43">
      <c r="A99" s="1064" t="s">
        <v>939</v>
      </c>
      <c r="B99" s="1065">
        <v>2912388891670</v>
      </c>
      <c r="C99" s="1065">
        <v>2839256639465</v>
      </c>
      <c r="D99" s="1065">
        <v>2732165792472</v>
      </c>
      <c r="E99" s="1065">
        <v>2669376107903</v>
      </c>
      <c r="F99" s="1065">
        <v>2588131756469</v>
      </c>
      <c r="G99" s="1065">
        <v>2507801535995</v>
      </c>
      <c r="H99" s="1065">
        <v>2470396565240</v>
      </c>
      <c r="I99" s="1065">
        <v>2385585808866</v>
      </c>
      <c r="J99" s="1065">
        <v>2253648430806</v>
      </c>
      <c r="K99" s="1065">
        <v>2007590720378</v>
      </c>
      <c r="L99" s="1065">
        <v>1741071443080</v>
      </c>
      <c r="M99" s="1065">
        <v>1634410028018</v>
      </c>
      <c r="N99" s="1065">
        <v>1588289688515</v>
      </c>
      <c r="O99" s="1065">
        <v>1296811553365</v>
      </c>
      <c r="P99" s="1065">
        <v>1021856982941</v>
      </c>
      <c r="Q99" s="1065">
        <v>802656104362</v>
      </c>
      <c r="R99" s="1065">
        <v>453895980109</v>
      </c>
      <c r="S99" s="1065">
        <v>0</v>
      </c>
      <c r="T99" s="1065">
        <v>0</v>
      </c>
      <c r="U99" s="1065">
        <v>0</v>
      </c>
      <c r="V99" s="1065">
        <v>0</v>
      </c>
      <c r="W99" s="1065">
        <v>0</v>
      </c>
      <c r="X99" s="1065">
        <v>0</v>
      </c>
      <c r="Y99" s="1065">
        <v>0</v>
      </c>
      <c r="Z99" s="1065">
        <v>0</v>
      </c>
      <c r="AA99" s="1065">
        <v>0</v>
      </c>
      <c r="AB99" s="1065">
        <v>0</v>
      </c>
      <c r="AC99" s="1065">
        <v>0</v>
      </c>
      <c r="AD99" s="1065">
        <v>0</v>
      </c>
      <c r="AE99" s="1065">
        <v>0</v>
      </c>
      <c r="AF99" s="1065">
        <v>0</v>
      </c>
      <c r="AG99" s="1065">
        <v>0</v>
      </c>
      <c r="AH99" s="1065">
        <v>0</v>
      </c>
      <c r="AI99" s="1065">
        <v>0</v>
      </c>
      <c r="AJ99" s="1065">
        <v>0</v>
      </c>
      <c r="AK99" s="1065">
        <v>0</v>
      </c>
      <c r="AL99" s="1065">
        <v>0</v>
      </c>
      <c r="AM99" s="1065">
        <v>0</v>
      </c>
      <c r="AN99" s="1065">
        <v>0</v>
      </c>
      <c r="AO99" s="1065">
        <v>0</v>
      </c>
      <c r="AP99" s="1065">
        <v>0</v>
      </c>
      <c r="AQ99" s="1065">
        <v>0</v>
      </c>
    </row>
    <row r="100" spans="1:43">
      <c r="A100" s="1064" t="s">
        <v>940</v>
      </c>
      <c r="B100" s="1065"/>
      <c r="C100" s="1065"/>
      <c r="D100" s="1065"/>
      <c r="E100" s="1065"/>
      <c r="F100" s="1065"/>
      <c r="G100" s="1065"/>
      <c r="H100" s="1065"/>
      <c r="I100" s="1065"/>
      <c r="J100" s="1065"/>
      <c r="K100" s="1065"/>
      <c r="L100" s="1065">
        <v>0</v>
      </c>
      <c r="M100" s="1065">
        <v>0</v>
      </c>
      <c r="N100" s="1065">
        <v>0</v>
      </c>
      <c r="O100" s="1065">
        <v>0</v>
      </c>
      <c r="P100" s="1065">
        <v>0</v>
      </c>
      <c r="Q100" s="1065">
        <v>0</v>
      </c>
      <c r="R100" s="1065">
        <v>0</v>
      </c>
      <c r="S100" s="1065">
        <v>0</v>
      </c>
      <c r="T100" s="1065">
        <v>0</v>
      </c>
      <c r="U100" s="1065">
        <v>0</v>
      </c>
      <c r="V100" s="1065">
        <v>0</v>
      </c>
      <c r="W100" s="1065">
        <v>0</v>
      </c>
      <c r="X100" s="1065">
        <v>0</v>
      </c>
      <c r="Y100" s="1065">
        <v>0</v>
      </c>
      <c r="Z100" s="1065">
        <v>0</v>
      </c>
      <c r="AA100" s="1065">
        <v>0</v>
      </c>
      <c r="AB100" s="1065">
        <v>0</v>
      </c>
      <c r="AC100" s="1065">
        <v>0</v>
      </c>
      <c r="AD100" s="1065">
        <v>0</v>
      </c>
      <c r="AE100" s="1065">
        <v>0</v>
      </c>
      <c r="AF100" s="1065">
        <v>0</v>
      </c>
      <c r="AG100" s="1065">
        <v>0</v>
      </c>
      <c r="AH100" s="1065">
        <v>0</v>
      </c>
      <c r="AI100" s="1065">
        <v>0</v>
      </c>
      <c r="AJ100" s="1065">
        <v>0</v>
      </c>
      <c r="AK100" s="1065">
        <v>0</v>
      </c>
      <c r="AL100" s="1065">
        <v>0</v>
      </c>
      <c r="AM100" s="1065">
        <v>0</v>
      </c>
      <c r="AN100" s="1065">
        <v>0</v>
      </c>
      <c r="AO100" s="1065">
        <v>0</v>
      </c>
      <c r="AP100" s="1065">
        <v>0</v>
      </c>
      <c r="AQ100" s="1065">
        <v>0</v>
      </c>
    </row>
    <row r="101" spans="1:43">
      <c r="A101" s="1064" t="s">
        <v>941</v>
      </c>
      <c r="B101" s="1065">
        <v>1937542904</v>
      </c>
      <c r="C101" s="1065">
        <v>3149987036</v>
      </c>
      <c r="D101" s="1065">
        <v>2683554202</v>
      </c>
      <c r="E101" s="1065">
        <v>2042774929</v>
      </c>
      <c r="F101" s="1065">
        <v>2589430307</v>
      </c>
      <c r="G101" s="1065">
        <v>4153616884</v>
      </c>
      <c r="H101" s="1065">
        <v>7896811154</v>
      </c>
      <c r="I101" s="1065">
        <v>4922848654</v>
      </c>
      <c r="J101" s="1065">
        <v>7022560011</v>
      </c>
      <c r="K101" s="1065">
        <v>4999826631</v>
      </c>
      <c r="L101" s="1065">
        <v>3686812858</v>
      </c>
      <c r="M101" s="1065">
        <v>4744252665</v>
      </c>
      <c r="N101" s="1065">
        <v>6250543278</v>
      </c>
      <c r="O101" s="1065">
        <v>6242765663</v>
      </c>
      <c r="P101" s="1065">
        <v>9463917028</v>
      </c>
      <c r="Q101" s="1065">
        <v>9848440568</v>
      </c>
      <c r="R101" s="1065">
        <v>11046484641</v>
      </c>
      <c r="S101" s="1065">
        <v>23450968121</v>
      </c>
      <c r="T101" s="1065">
        <v>39831126529</v>
      </c>
      <c r="U101" s="1065">
        <v>78726578167</v>
      </c>
      <c r="V101" s="1065">
        <v>41380559527</v>
      </c>
      <c r="W101" s="1065">
        <v>136518420429</v>
      </c>
      <c r="X101" s="1065">
        <v>236492206921</v>
      </c>
      <c r="Y101" s="1065">
        <v>266196197920</v>
      </c>
      <c r="Z101" s="1065">
        <v>269340314534</v>
      </c>
      <c r="AA101" s="1065">
        <v>841846325811</v>
      </c>
      <c r="AB101" s="1065">
        <v>924308135854</v>
      </c>
      <c r="AC101" s="1065">
        <v>204626758521</v>
      </c>
      <c r="AD101" s="1065">
        <v>304950259761</v>
      </c>
      <c r="AE101" s="1065">
        <v>261393026713</v>
      </c>
      <c r="AF101" s="1065">
        <v>157855828304</v>
      </c>
      <c r="AG101" s="1065">
        <v>222614134246</v>
      </c>
      <c r="AH101" s="1065">
        <v>332813667581</v>
      </c>
      <c r="AI101" s="1065">
        <v>178996779008</v>
      </c>
      <c r="AJ101" s="1065">
        <v>167330113185</v>
      </c>
      <c r="AK101" s="1065">
        <v>241475821018</v>
      </c>
      <c r="AL101" s="1065">
        <v>267795913817</v>
      </c>
      <c r="AM101" s="1065">
        <v>270015048592</v>
      </c>
      <c r="AN101" s="1065">
        <v>426862688031</v>
      </c>
      <c r="AO101" s="1065">
        <v>282839073445</v>
      </c>
      <c r="AP101" s="1065">
        <v>452824261537</v>
      </c>
      <c r="AQ101" s="1065">
        <v>557645384836</v>
      </c>
    </row>
    <row r="102" spans="1:43">
      <c r="A102" s="1064" t="s">
        <v>942</v>
      </c>
      <c r="B102" s="1065">
        <v>-12534264407</v>
      </c>
      <c r="C102" s="1065">
        <v>-10562596097</v>
      </c>
      <c r="D102" s="1065">
        <v>-8801690185</v>
      </c>
      <c r="E102" s="1065">
        <v>-7210291969</v>
      </c>
      <c r="F102" s="1065">
        <v>-5817952674</v>
      </c>
      <c r="G102" s="1065">
        <v>-14263290056</v>
      </c>
      <c r="H102" s="1065">
        <v>-13991001806</v>
      </c>
      <c r="I102" s="1065">
        <v>-13843381269</v>
      </c>
      <c r="J102" s="1065">
        <v>-13880174709</v>
      </c>
      <c r="K102" s="1065">
        <v>-15026057100</v>
      </c>
      <c r="L102" s="1065">
        <v>-14864311332</v>
      </c>
      <c r="M102" s="1065">
        <v>-14683505406</v>
      </c>
      <c r="N102" s="1065">
        <v>-14619132477</v>
      </c>
      <c r="O102" s="1065">
        <v>-14523847660</v>
      </c>
      <c r="P102" s="1065">
        <v>-14197491514</v>
      </c>
      <c r="Q102" s="1065">
        <v>-13395092975</v>
      </c>
      <c r="R102" s="1065">
        <v>-12293559898</v>
      </c>
      <c r="S102" s="1065">
        <v>-11775383510</v>
      </c>
      <c r="T102" s="1065">
        <v>0</v>
      </c>
      <c r="U102" s="1065">
        <v>0</v>
      </c>
      <c r="V102" s="1065">
        <v>0</v>
      </c>
      <c r="W102" s="1065">
        <v>0</v>
      </c>
      <c r="X102" s="1065">
        <v>0</v>
      </c>
      <c r="Y102" s="1065">
        <v>0</v>
      </c>
      <c r="Z102" s="1065">
        <v>0</v>
      </c>
      <c r="AA102" s="1065">
        <v>0</v>
      </c>
      <c r="AB102" s="1065">
        <v>0</v>
      </c>
      <c r="AC102" s="1065">
        <v>0</v>
      </c>
      <c r="AD102" s="1065">
        <v>0</v>
      </c>
      <c r="AE102" s="1065">
        <v>0</v>
      </c>
      <c r="AF102" s="1065">
        <v>0</v>
      </c>
      <c r="AG102" s="1065">
        <v>0</v>
      </c>
      <c r="AH102" s="1065">
        <v>0</v>
      </c>
      <c r="AI102" s="1065">
        <v>0</v>
      </c>
      <c r="AJ102" s="1065">
        <v>0</v>
      </c>
      <c r="AK102" s="1065">
        <v>0</v>
      </c>
      <c r="AL102" s="1065">
        <v>0</v>
      </c>
      <c r="AM102" s="1065">
        <v>0</v>
      </c>
      <c r="AN102" s="1065">
        <v>0</v>
      </c>
      <c r="AO102" s="1065">
        <v>0</v>
      </c>
      <c r="AP102" s="1065">
        <v>0</v>
      </c>
      <c r="AQ102" s="1065">
        <v>0</v>
      </c>
    </row>
    <row r="103" spans="1:43">
      <c r="A103" s="1062" t="s">
        <v>943</v>
      </c>
      <c r="B103" s="1063">
        <v>864516256502</v>
      </c>
      <c r="C103" s="1063">
        <v>1194866002244</v>
      </c>
      <c r="D103" s="1063">
        <v>1285004844407</v>
      </c>
      <c r="E103" s="1063">
        <v>1971774260078</v>
      </c>
      <c r="F103" s="1063">
        <v>2828461270327</v>
      </c>
      <c r="G103" s="1063">
        <v>1820568010808</v>
      </c>
      <c r="H103" s="1063">
        <v>1994214438211</v>
      </c>
      <c r="I103" s="1063">
        <v>1853155452998</v>
      </c>
      <c r="J103" s="1063">
        <v>2676458945169</v>
      </c>
      <c r="K103" s="1063">
        <v>2321606186614</v>
      </c>
      <c r="L103" s="1063">
        <v>2908466038923</v>
      </c>
      <c r="M103" s="1063">
        <v>2401842403710</v>
      </c>
      <c r="N103" s="1063">
        <v>2277588090274</v>
      </c>
      <c r="O103" s="1063">
        <v>2529229414813</v>
      </c>
      <c r="P103" s="1063">
        <v>2814462580537</v>
      </c>
      <c r="Q103" s="1063">
        <v>3014345976458</v>
      </c>
      <c r="R103" s="1063">
        <v>4360235669094</v>
      </c>
      <c r="S103" s="1063">
        <v>3075100316364</v>
      </c>
      <c r="T103" s="1063">
        <v>4281659192966</v>
      </c>
      <c r="U103" s="1063">
        <v>4605573569095</v>
      </c>
      <c r="V103" s="1063">
        <v>5122998611241</v>
      </c>
      <c r="W103" s="1063">
        <v>6482850268952</v>
      </c>
      <c r="X103" s="1063">
        <v>6448063715570</v>
      </c>
      <c r="Y103" s="1063">
        <v>4706412522584</v>
      </c>
      <c r="Z103" s="1063">
        <v>7455414850649</v>
      </c>
      <c r="AA103" s="1063">
        <v>9225949905487</v>
      </c>
      <c r="AB103" s="1063">
        <v>10211674641458</v>
      </c>
      <c r="AC103" s="1063">
        <v>5045294298525</v>
      </c>
      <c r="AD103" s="1063">
        <v>6968969202179</v>
      </c>
      <c r="AE103" s="1063">
        <v>7334280150954</v>
      </c>
      <c r="AF103" s="1063">
        <v>8138721597969</v>
      </c>
      <c r="AG103" s="1063">
        <v>6829152659215</v>
      </c>
      <c r="AH103" s="1063">
        <v>7884477364413</v>
      </c>
      <c r="AI103" s="1063">
        <v>6943353709309</v>
      </c>
      <c r="AJ103" s="1063">
        <v>8629048324514</v>
      </c>
      <c r="AK103" s="1063">
        <v>9094572117483</v>
      </c>
      <c r="AL103" s="1063">
        <v>9445259023096</v>
      </c>
      <c r="AM103" s="1063">
        <v>9799932270869</v>
      </c>
      <c r="AN103" s="1063">
        <v>11758195349175</v>
      </c>
      <c r="AO103" s="1063">
        <v>13019432804631</v>
      </c>
      <c r="AP103" s="1063">
        <v>15565187935941</v>
      </c>
      <c r="AQ103" s="1063">
        <v>13135228567536</v>
      </c>
    </row>
    <row r="104" spans="1:43">
      <c r="A104" s="1064" t="s">
        <v>854</v>
      </c>
      <c r="B104" s="1065">
        <v>733890238580</v>
      </c>
      <c r="C104" s="1065">
        <v>1052697112915</v>
      </c>
      <c r="D104" s="1065">
        <v>1149352651247</v>
      </c>
      <c r="E104" s="1065">
        <v>1868617761355</v>
      </c>
      <c r="F104" s="1065">
        <v>2746249321140</v>
      </c>
      <c r="G104" s="1065">
        <v>1747868359193</v>
      </c>
      <c r="H104" s="1065">
        <v>1933648393915</v>
      </c>
      <c r="I104" s="1065">
        <v>1790814839791</v>
      </c>
      <c r="J104" s="1065">
        <v>2570833923168</v>
      </c>
      <c r="K104" s="1065">
        <v>2090881953274</v>
      </c>
      <c r="L104" s="1065">
        <v>2744794653876</v>
      </c>
      <c r="M104" s="1065">
        <v>1787217221945</v>
      </c>
      <c r="N104" s="1065">
        <v>2130522881614</v>
      </c>
      <c r="O104" s="1065">
        <v>2341590471024</v>
      </c>
      <c r="P104" s="1065">
        <v>2547162712036</v>
      </c>
      <c r="Q104" s="1065">
        <v>2962333832075</v>
      </c>
      <c r="R104" s="1065">
        <v>3213936880259</v>
      </c>
      <c r="S104" s="1065">
        <v>2665425777105</v>
      </c>
      <c r="T104" s="1065">
        <v>3906622444642</v>
      </c>
      <c r="U104" s="1065">
        <v>4322265280348</v>
      </c>
      <c r="V104" s="1065">
        <v>4958185572536</v>
      </c>
      <c r="W104" s="1065">
        <v>6385223378156</v>
      </c>
      <c r="X104" s="1065">
        <v>5834047249906</v>
      </c>
      <c r="Y104" s="1065">
        <v>4259810971769</v>
      </c>
      <c r="Z104" s="1065">
        <v>6708016581177</v>
      </c>
      <c r="AA104" s="1065">
        <v>8035915532759</v>
      </c>
      <c r="AB104" s="1065">
        <v>8082831736344</v>
      </c>
      <c r="AC104" s="1065">
        <v>4016832081185</v>
      </c>
      <c r="AD104" s="1065">
        <v>6128446792372</v>
      </c>
      <c r="AE104" s="1065">
        <v>6404795957034</v>
      </c>
      <c r="AF104" s="1065">
        <v>7170320812008</v>
      </c>
      <c r="AG104" s="1065">
        <v>5718335344938</v>
      </c>
      <c r="AH104" s="1065">
        <v>7028950483650</v>
      </c>
      <c r="AI104" s="1065">
        <v>6385712123849</v>
      </c>
      <c r="AJ104" s="1065">
        <v>7954085784658</v>
      </c>
      <c r="AK104" s="1065">
        <v>8263283712308</v>
      </c>
      <c r="AL104" s="1065">
        <v>8458420034547</v>
      </c>
      <c r="AM104" s="1065">
        <v>8575767162513</v>
      </c>
      <c r="AN104" s="1065">
        <v>10219262917509</v>
      </c>
      <c r="AO104" s="1065">
        <v>11895345274708</v>
      </c>
      <c r="AP104" s="1065">
        <v>13911254523698</v>
      </c>
      <c r="AQ104" s="1065">
        <v>10663352824463</v>
      </c>
    </row>
    <row r="105" spans="1:43">
      <c r="A105" s="1064" t="s">
        <v>944</v>
      </c>
      <c r="B105" s="1065">
        <v>130626017922</v>
      </c>
      <c r="C105" s="1065">
        <v>142168889329</v>
      </c>
      <c r="D105" s="1065">
        <v>135652193160</v>
      </c>
      <c r="E105" s="1065">
        <v>103156498723</v>
      </c>
      <c r="F105" s="1065">
        <v>82211949187</v>
      </c>
      <c r="G105" s="1065">
        <v>72699651615</v>
      </c>
      <c r="H105" s="1065">
        <v>60566044296</v>
      </c>
      <c r="I105" s="1065">
        <v>62340613207</v>
      </c>
      <c r="J105" s="1065">
        <v>105625022001</v>
      </c>
      <c r="K105" s="1065">
        <v>230724233340</v>
      </c>
      <c r="L105" s="1065">
        <v>163671385047</v>
      </c>
      <c r="M105" s="1065">
        <v>614625181765</v>
      </c>
      <c r="N105" s="1065">
        <v>147065208660</v>
      </c>
      <c r="O105" s="1065">
        <v>187638943789</v>
      </c>
      <c r="P105" s="1065">
        <v>267299868501</v>
      </c>
      <c r="Q105" s="1065">
        <v>52012144383</v>
      </c>
      <c r="R105" s="1065">
        <v>1146298788835</v>
      </c>
      <c r="S105" s="1065">
        <v>409674539259</v>
      </c>
      <c r="T105" s="1065">
        <v>375036748324</v>
      </c>
      <c r="U105" s="1065">
        <v>283308288747</v>
      </c>
      <c r="V105" s="1065">
        <v>164813038705</v>
      </c>
      <c r="W105" s="1065">
        <v>97626890796</v>
      </c>
      <c r="X105" s="1065">
        <v>614016465664</v>
      </c>
      <c r="Y105" s="1065">
        <v>446601550815</v>
      </c>
      <c r="Z105" s="1065">
        <v>747398269472</v>
      </c>
      <c r="AA105" s="1065">
        <v>1190034372728</v>
      </c>
      <c r="AB105" s="1065">
        <v>2128842905114</v>
      </c>
      <c r="AC105" s="1065">
        <v>1028462217340</v>
      </c>
      <c r="AD105" s="1065">
        <v>840522409807</v>
      </c>
      <c r="AE105" s="1065">
        <v>929484193920</v>
      </c>
      <c r="AF105" s="1065">
        <v>968400785961</v>
      </c>
      <c r="AG105" s="1065">
        <v>1110817314277</v>
      </c>
      <c r="AH105" s="1065">
        <v>855526880763</v>
      </c>
      <c r="AI105" s="1065">
        <v>557641585460</v>
      </c>
      <c r="AJ105" s="1065">
        <v>674962539856</v>
      </c>
      <c r="AK105" s="1065">
        <v>831288405175</v>
      </c>
      <c r="AL105" s="1065">
        <v>986838988549</v>
      </c>
      <c r="AM105" s="1065">
        <v>1224165108356</v>
      </c>
      <c r="AN105" s="1065">
        <v>1538932431666</v>
      </c>
      <c r="AO105" s="1065">
        <v>1124087529923</v>
      </c>
      <c r="AP105" s="1065">
        <v>1653933412243</v>
      </c>
      <c r="AQ105" s="1065">
        <v>2471875743073</v>
      </c>
    </row>
    <row r="106" spans="1:43">
      <c r="A106" s="1062" t="s">
        <v>945</v>
      </c>
      <c r="B106" s="1063"/>
      <c r="C106" s="1063"/>
      <c r="D106" s="1063"/>
      <c r="E106" s="1063"/>
      <c r="F106" s="1063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3"/>
      <c r="AE106" s="1063"/>
      <c r="AF106" s="1063"/>
      <c r="AG106" s="1063"/>
      <c r="AH106" s="1063"/>
      <c r="AI106" s="1063"/>
      <c r="AJ106" s="1063"/>
      <c r="AK106" s="1063"/>
      <c r="AL106" s="1063"/>
      <c r="AM106" s="1063"/>
      <c r="AN106" s="1063">
        <v>0</v>
      </c>
      <c r="AO106" s="1063">
        <v>134183100</v>
      </c>
      <c r="AP106" s="1063">
        <v>1741156600</v>
      </c>
      <c r="AQ106" s="1063">
        <v>2001456500</v>
      </c>
    </row>
    <row r="107" spans="1:43">
      <c r="A107" s="1064" t="s">
        <v>946</v>
      </c>
      <c r="B107" s="1065"/>
      <c r="C107" s="1065"/>
      <c r="D107" s="1065"/>
      <c r="E107" s="1065"/>
      <c r="F107" s="1065"/>
      <c r="G107" s="1065"/>
      <c r="H107" s="1065"/>
      <c r="I107" s="1065"/>
      <c r="J107" s="1065"/>
      <c r="K107" s="1065"/>
      <c r="L107" s="1065"/>
      <c r="M107" s="1065"/>
      <c r="N107" s="1065"/>
      <c r="O107" s="1065"/>
      <c r="P107" s="1065"/>
      <c r="Q107" s="1065"/>
      <c r="R107" s="1065"/>
      <c r="S107" s="1065"/>
      <c r="T107" s="1065"/>
      <c r="U107" s="1065"/>
      <c r="V107" s="1065"/>
      <c r="W107" s="1065"/>
      <c r="X107" s="1065"/>
      <c r="Y107" s="1065"/>
      <c r="Z107" s="1065"/>
      <c r="AA107" s="1065"/>
      <c r="AB107" s="1065"/>
      <c r="AC107" s="1065"/>
      <c r="AD107" s="1065"/>
      <c r="AE107" s="1065"/>
      <c r="AF107" s="1065"/>
      <c r="AG107" s="1065"/>
      <c r="AH107" s="1065"/>
      <c r="AI107" s="1065"/>
      <c r="AJ107" s="1065"/>
      <c r="AK107" s="1065"/>
      <c r="AL107" s="1065"/>
      <c r="AM107" s="1065"/>
      <c r="AN107" s="1065">
        <v>0</v>
      </c>
      <c r="AO107" s="1065">
        <v>134183100</v>
      </c>
      <c r="AP107" s="1065">
        <v>1741156600</v>
      </c>
      <c r="AQ107" s="1065">
        <v>2001456500</v>
      </c>
    </row>
    <row r="108" spans="1:43">
      <c r="A108" s="1062" t="s">
        <v>947</v>
      </c>
      <c r="B108" s="1063">
        <v>475529778901</v>
      </c>
      <c r="C108" s="1063">
        <v>497893404583</v>
      </c>
      <c r="D108" s="1063">
        <v>571859142223</v>
      </c>
      <c r="E108" s="1063">
        <v>654429685106</v>
      </c>
      <c r="F108" s="1063">
        <v>486489624515</v>
      </c>
      <c r="G108" s="1063">
        <v>647291273953</v>
      </c>
      <c r="H108" s="1063">
        <v>529532421726</v>
      </c>
      <c r="I108" s="1063">
        <v>447145120977</v>
      </c>
      <c r="J108" s="1063">
        <v>1125460213785</v>
      </c>
      <c r="K108" s="1063">
        <v>3199159306557</v>
      </c>
      <c r="L108" s="1063">
        <v>3589507990051</v>
      </c>
      <c r="M108" s="1063">
        <v>3440116590158</v>
      </c>
      <c r="N108" s="1063">
        <v>3006051812094</v>
      </c>
      <c r="O108" s="1063">
        <v>3758783819241</v>
      </c>
      <c r="P108" s="1063">
        <v>4239736258100</v>
      </c>
      <c r="Q108" s="1063">
        <v>4324621257984</v>
      </c>
      <c r="R108" s="1063">
        <v>3062754530397</v>
      </c>
      <c r="S108" s="1063">
        <v>4573605836008</v>
      </c>
      <c r="T108" s="1063">
        <v>3652168145691</v>
      </c>
      <c r="U108" s="1063">
        <v>3244187074669</v>
      </c>
      <c r="V108" s="1063">
        <v>3645548566830</v>
      </c>
      <c r="W108" s="1063">
        <v>3588953657669</v>
      </c>
      <c r="X108" s="1063">
        <v>3471210923437</v>
      </c>
      <c r="Y108" s="1063">
        <v>6312501109840</v>
      </c>
      <c r="Z108" s="1063">
        <v>6598732347872</v>
      </c>
      <c r="AA108" s="1063">
        <v>8810590763611</v>
      </c>
      <c r="AB108" s="1063">
        <v>9742040681412</v>
      </c>
      <c r="AC108" s="1063">
        <v>10553407596025</v>
      </c>
      <c r="AD108" s="1063">
        <v>10666299563935</v>
      </c>
      <c r="AE108" s="1063">
        <v>10967294814647</v>
      </c>
      <c r="AF108" s="1063">
        <v>10652042821477</v>
      </c>
      <c r="AG108" s="1063">
        <v>14143893610349</v>
      </c>
      <c r="AH108" s="1063">
        <v>13235964714227</v>
      </c>
      <c r="AI108" s="1063">
        <v>11304535964457</v>
      </c>
      <c r="AJ108" s="1063">
        <v>10949700309837</v>
      </c>
      <c r="AK108" s="1063">
        <v>11914722464982</v>
      </c>
      <c r="AL108" s="1063">
        <v>11256527868816</v>
      </c>
      <c r="AM108" s="1063">
        <v>11029543082944</v>
      </c>
      <c r="AN108" s="1063">
        <v>11413378899815</v>
      </c>
      <c r="AO108" s="1063">
        <v>11789798614468</v>
      </c>
      <c r="AP108" s="1063">
        <v>12479764988324</v>
      </c>
      <c r="AQ108" s="1063">
        <v>13232348481198</v>
      </c>
    </row>
    <row r="109" spans="1:43">
      <c r="A109" s="1064" t="s">
        <v>948</v>
      </c>
      <c r="B109" s="1065">
        <v>476151187366</v>
      </c>
      <c r="C109" s="1065">
        <v>498773886747</v>
      </c>
      <c r="D109" s="1065">
        <v>572581845930</v>
      </c>
      <c r="E109" s="1065">
        <v>641684310954</v>
      </c>
      <c r="F109" s="1065">
        <v>472250647065</v>
      </c>
      <c r="G109" s="1065">
        <v>621248489380</v>
      </c>
      <c r="H109" s="1065">
        <v>504476563151</v>
      </c>
      <c r="I109" s="1065">
        <v>447383796278</v>
      </c>
      <c r="J109" s="1065">
        <v>1072584717165</v>
      </c>
      <c r="K109" s="1065">
        <v>3077309153254</v>
      </c>
      <c r="L109" s="1065">
        <v>3463853215846</v>
      </c>
      <c r="M109" s="1065">
        <v>3264115732574</v>
      </c>
      <c r="N109" s="1065">
        <v>2832941955508</v>
      </c>
      <c r="O109" s="1065">
        <v>3482977792738</v>
      </c>
      <c r="P109" s="1065">
        <v>3897346169013</v>
      </c>
      <c r="Q109" s="1065">
        <v>3931570258780</v>
      </c>
      <c r="R109" s="1065">
        <v>2686232223751</v>
      </c>
      <c r="S109" s="1065">
        <v>4159926911984</v>
      </c>
      <c r="T109" s="1065">
        <v>3215254027041</v>
      </c>
      <c r="U109" s="1065">
        <v>2748616138323</v>
      </c>
      <c r="V109" s="1065">
        <v>3114056541460</v>
      </c>
      <c r="W109" s="1065">
        <v>3055611772245</v>
      </c>
      <c r="X109" s="1065">
        <v>2892069293444</v>
      </c>
      <c r="Y109" s="1065">
        <v>5785840611142</v>
      </c>
      <c r="Z109" s="1065">
        <v>6069233372443</v>
      </c>
      <c r="AA109" s="1065">
        <v>7203664527731</v>
      </c>
      <c r="AB109" s="1065">
        <v>7489502089010</v>
      </c>
      <c r="AC109" s="1065">
        <v>8305714597159</v>
      </c>
      <c r="AD109" s="1065">
        <v>8343679818081</v>
      </c>
      <c r="AE109" s="1065">
        <v>8424569000104</v>
      </c>
      <c r="AF109" s="1065">
        <v>8495808694411</v>
      </c>
      <c r="AG109" s="1065">
        <v>9689440591242</v>
      </c>
      <c r="AH109" s="1065">
        <v>9394634366305</v>
      </c>
      <c r="AI109" s="1065">
        <v>8521672720869</v>
      </c>
      <c r="AJ109" s="1065">
        <v>7921749639976</v>
      </c>
      <c r="AK109" s="1065">
        <v>7738234912762</v>
      </c>
      <c r="AL109" s="1065">
        <v>8209295688316</v>
      </c>
      <c r="AM109" s="1065">
        <v>8406528486281</v>
      </c>
      <c r="AN109" s="1065">
        <v>8398928279926</v>
      </c>
      <c r="AO109" s="1065">
        <v>9301797887872</v>
      </c>
      <c r="AP109" s="1065">
        <v>9328516981155</v>
      </c>
      <c r="AQ109" s="1065">
        <v>10064463029600</v>
      </c>
    </row>
    <row r="110" spans="1:43">
      <c r="A110" s="1064" t="s">
        <v>949</v>
      </c>
      <c r="B110" s="1065"/>
      <c r="C110" s="1065"/>
      <c r="D110" s="1065"/>
      <c r="E110" s="1065">
        <v>13253118343</v>
      </c>
      <c r="F110" s="1065">
        <v>14730258108</v>
      </c>
      <c r="G110" s="1065">
        <v>26017754476</v>
      </c>
      <c r="H110" s="1065">
        <v>25091080290</v>
      </c>
      <c r="I110" s="1065">
        <v>392068912</v>
      </c>
      <c r="J110" s="1065">
        <v>0</v>
      </c>
      <c r="K110" s="1065">
        <v>15921706691</v>
      </c>
      <c r="L110" s="1065">
        <v>19132772848</v>
      </c>
      <c r="M110" s="1065">
        <v>68609781568</v>
      </c>
      <c r="N110" s="1065">
        <v>81415766381</v>
      </c>
      <c r="O110" s="1065">
        <v>134065251489</v>
      </c>
      <c r="P110" s="1065">
        <v>155692160052</v>
      </c>
      <c r="Q110" s="1065">
        <v>235326289319</v>
      </c>
      <c r="R110" s="1065">
        <v>247180180322</v>
      </c>
      <c r="S110" s="1065">
        <v>286656474290</v>
      </c>
      <c r="T110" s="1065">
        <v>329939147870</v>
      </c>
      <c r="U110" s="1065">
        <v>339361285910</v>
      </c>
      <c r="V110" s="1065">
        <v>252736792556</v>
      </c>
      <c r="W110" s="1065">
        <v>254369159699</v>
      </c>
      <c r="X110" s="1065">
        <v>318412191781</v>
      </c>
      <c r="Y110" s="1065">
        <v>263561805562</v>
      </c>
      <c r="Z110" s="1065">
        <v>279089975585</v>
      </c>
      <c r="AA110" s="1065">
        <v>1337530935273</v>
      </c>
      <c r="AB110" s="1065">
        <v>2014716618438</v>
      </c>
      <c r="AC110" s="1065">
        <v>2047574050679</v>
      </c>
      <c r="AD110" s="1065">
        <v>2173968094486</v>
      </c>
      <c r="AE110" s="1065">
        <v>2431256265474</v>
      </c>
      <c r="AF110" s="1065">
        <v>2072238770237</v>
      </c>
      <c r="AG110" s="1065">
        <v>4407676807654</v>
      </c>
      <c r="AH110" s="1065">
        <v>3807799754131</v>
      </c>
      <c r="AI110" s="1065">
        <v>2766617832016</v>
      </c>
      <c r="AJ110" s="1065">
        <v>3011951909346</v>
      </c>
      <c r="AK110" s="1065">
        <v>4171090586543</v>
      </c>
      <c r="AL110" s="1065">
        <v>3021693427943</v>
      </c>
      <c r="AM110" s="1065">
        <v>2598967261073</v>
      </c>
      <c r="AN110" s="1065">
        <v>2953996437956</v>
      </c>
      <c r="AO110" s="1065">
        <v>2411939474481</v>
      </c>
      <c r="AP110" s="1065">
        <v>3069750636645</v>
      </c>
      <c r="AQ110" s="1065">
        <v>3110556963745</v>
      </c>
    </row>
    <row r="111" spans="1:43">
      <c r="A111" s="1064" t="s">
        <v>862</v>
      </c>
      <c r="B111" s="1065">
        <v>-621408465</v>
      </c>
      <c r="C111" s="1065">
        <v>-880482164</v>
      </c>
      <c r="D111" s="1065">
        <v>-722703707</v>
      </c>
      <c r="E111" s="1065">
        <v>-507744191</v>
      </c>
      <c r="F111" s="1065">
        <v>-491280658</v>
      </c>
      <c r="G111" s="1065">
        <v>25030097</v>
      </c>
      <c r="H111" s="1065">
        <v>-35221715</v>
      </c>
      <c r="I111" s="1065">
        <v>-630744213</v>
      </c>
      <c r="J111" s="1065">
        <v>52875496620</v>
      </c>
      <c r="K111" s="1065">
        <v>105928446612</v>
      </c>
      <c r="L111" s="1065">
        <v>106522001357</v>
      </c>
      <c r="M111" s="1065">
        <v>107391076016</v>
      </c>
      <c r="N111" s="1065">
        <v>91694090205</v>
      </c>
      <c r="O111" s="1065">
        <v>141740775014</v>
      </c>
      <c r="P111" s="1065">
        <v>186697929035</v>
      </c>
      <c r="Q111" s="1065">
        <v>157724709885</v>
      </c>
      <c r="R111" s="1065">
        <v>129342126324</v>
      </c>
      <c r="S111" s="1065">
        <v>127022449734</v>
      </c>
      <c r="T111" s="1065">
        <v>106974970780</v>
      </c>
      <c r="U111" s="1065">
        <v>156209650436</v>
      </c>
      <c r="V111" s="1065">
        <v>278755232814</v>
      </c>
      <c r="W111" s="1065">
        <v>278972725725</v>
      </c>
      <c r="X111" s="1065">
        <v>260729438212</v>
      </c>
      <c r="Y111" s="1065">
        <v>263098693136</v>
      </c>
      <c r="Z111" s="1065">
        <v>250408999844</v>
      </c>
      <c r="AA111" s="1065">
        <v>269395300607</v>
      </c>
      <c r="AB111" s="1065">
        <v>237821973964</v>
      </c>
      <c r="AC111" s="1065">
        <v>200118948187</v>
      </c>
      <c r="AD111" s="1065">
        <v>148651651368</v>
      </c>
      <c r="AE111" s="1065">
        <v>111469549069</v>
      </c>
      <c r="AF111" s="1065">
        <v>83995356829</v>
      </c>
      <c r="AG111" s="1065">
        <v>46776211453</v>
      </c>
      <c r="AH111" s="1065">
        <v>33530593791</v>
      </c>
      <c r="AI111" s="1065">
        <v>16245411572</v>
      </c>
      <c r="AJ111" s="1065">
        <v>15998760515</v>
      </c>
      <c r="AK111" s="1065">
        <v>5396965677</v>
      </c>
      <c r="AL111" s="1065">
        <v>25538752557</v>
      </c>
      <c r="AM111" s="1065">
        <v>24047335590</v>
      </c>
      <c r="AN111" s="1065">
        <v>60454181933</v>
      </c>
      <c r="AO111" s="1065">
        <v>76061252115</v>
      </c>
      <c r="AP111" s="1065">
        <v>81497370524</v>
      </c>
      <c r="AQ111" s="1065">
        <v>57328487853</v>
      </c>
    </row>
    <row r="112" spans="1:43">
      <c r="A112" s="1062" t="s">
        <v>950</v>
      </c>
      <c r="B112" s="1063">
        <v>8409618281680</v>
      </c>
      <c r="C112" s="1063">
        <v>7730242572411</v>
      </c>
      <c r="D112" s="1063">
        <v>9158913669782</v>
      </c>
      <c r="E112" s="1063">
        <v>8694608873153</v>
      </c>
      <c r="F112" s="1063">
        <v>9422914540773</v>
      </c>
      <c r="G112" s="1063">
        <v>8872266814356</v>
      </c>
      <c r="H112" s="1063">
        <v>7596957730486</v>
      </c>
      <c r="I112" s="1063">
        <v>8944500131613</v>
      </c>
      <c r="J112" s="1063">
        <v>10240900899849</v>
      </c>
      <c r="K112" s="1063">
        <v>11905354432722</v>
      </c>
      <c r="L112" s="1063">
        <v>10368957639399</v>
      </c>
      <c r="M112" s="1063">
        <v>11276923709545</v>
      </c>
      <c r="N112" s="1063">
        <v>13740785204219</v>
      </c>
      <c r="O112" s="1063">
        <v>14243478308166</v>
      </c>
      <c r="P112" s="1063">
        <v>14692611160810</v>
      </c>
      <c r="Q112" s="1063">
        <v>15149285496451</v>
      </c>
      <c r="R112" s="1063">
        <v>16860507247856</v>
      </c>
      <c r="S112" s="1063">
        <v>17340706799367</v>
      </c>
      <c r="T112" s="1063">
        <v>16266353935898</v>
      </c>
      <c r="U112" s="1063">
        <v>18170871465914</v>
      </c>
      <c r="V112" s="1063">
        <v>18178165204643</v>
      </c>
      <c r="W112" s="1063">
        <v>18489588361457</v>
      </c>
      <c r="X112" s="1063">
        <v>18040813092483</v>
      </c>
      <c r="Y112" s="1063">
        <v>22794315555064</v>
      </c>
      <c r="Z112" s="1063">
        <v>21495146184529</v>
      </c>
      <c r="AA112" s="1063">
        <v>19869016980539</v>
      </c>
      <c r="AB112" s="1063">
        <v>16067762961960</v>
      </c>
      <c r="AC112" s="1063">
        <v>20725326934722</v>
      </c>
      <c r="AD112" s="1063">
        <v>18298782246679</v>
      </c>
      <c r="AE112" s="1063">
        <v>18804163114463</v>
      </c>
      <c r="AF112" s="1063">
        <v>17687022534498</v>
      </c>
      <c r="AG112" s="1063">
        <v>20407862518350</v>
      </c>
      <c r="AH112" s="1063">
        <v>17342640150685</v>
      </c>
      <c r="AI112" s="1063">
        <v>19075789611428</v>
      </c>
      <c r="AJ112" s="1063">
        <v>21475408244771</v>
      </c>
      <c r="AK112" s="1063">
        <v>25013868591636</v>
      </c>
      <c r="AL112" s="1063">
        <v>23528282196151</v>
      </c>
      <c r="AM112" s="1063">
        <v>25067241471653</v>
      </c>
      <c r="AN112" s="1063">
        <v>27701397188591</v>
      </c>
      <c r="AO112" s="1063">
        <v>34346917570129</v>
      </c>
      <c r="AP112" s="1063">
        <v>30743199604794</v>
      </c>
      <c r="AQ112" s="1063">
        <v>31398351748992</v>
      </c>
    </row>
    <row r="113" spans="1:43">
      <c r="A113" s="1064" t="s">
        <v>951</v>
      </c>
      <c r="B113" s="1065">
        <v>0</v>
      </c>
      <c r="C113" s="1065">
        <v>0</v>
      </c>
      <c r="D113" s="1065">
        <v>0</v>
      </c>
      <c r="E113" s="1065">
        <v>0</v>
      </c>
      <c r="F113" s="1065">
        <v>0</v>
      </c>
      <c r="G113" s="1065">
        <v>100000000000</v>
      </c>
      <c r="H113" s="1065">
        <v>110000000000</v>
      </c>
      <c r="I113" s="1065">
        <v>90000000000</v>
      </c>
      <c r="J113" s="1065">
        <v>130000000000</v>
      </c>
      <c r="K113" s="1065">
        <v>130000000000</v>
      </c>
      <c r="L113" s="1065">
        <v>170000000000</v>
      </c>
      <c r="M113" s="1065">
        <v>110000000000</v>
      </c>
      <c r="N113" s="1065">
        <v>210000000000</v>
      </c>
      <c r="O113" s="1065">
        <v>280000000000</v>
      </c>
      <c r="P113" s="1065">
        <v>280000000000</v>
      </c>
      <c r="Q113" s="1065">
        <v>254200000000</v>
      </c>
      <c r="R113" s="1065">
        <v>220000000000</v>
      </c>
      <c r="S113" s="1065">
        <v>190000000000</v>
      </c>
      <c r="T113" s="1065">
        <v>210000000000</v>
      </c>
      <c r="U113" s="1065">
        <v>210000000000</v>
      </c>
      <c r="V113" s="1065">
        <v>220000000000</v>
      </c>
      <c r="W113" s="1065">
        <v>120000000000</v>
      </c>
      <c r="X113" s="1065">
        <v>0</v>
      </c>
      <c r="Y113" s="1065">
        <v>0</v>
      </c>
      <c r="Z113" s="1065">
        <v>0</v>
      </c>
      <c r="AA113" s="1065">
        <v>0</v>
      </c>
      <c r="AB113" s="1065">
        <v>0</v>
      </c>
      <c r="AC113" s="1065">
        <v>0</v>
      </c>
      <c r="AD113" s="1065">
        <v>0</v>
      </c>
      <c r="AE113" s="1065">
        <v>0</v>
      </c>
      <c r="AF113" s="1065">
        <v>0</v>
      </c>
      <c r="AG113" s="1065">
        <v>0</v>
      </c>
      <c r="AH113" s="1065">
        <v>0</v>
      </c>
      <c r="AI113" s="1065">
        <v>0</v>
      </c>
      <c r="AJ113" s="1065">
        <v>0</v>
      </c>
      <c r="AK113" s="1065">
        <v>0</v>
      </c>
      <c r="AL113" s="1065">
        <v>0</v>
      </c>
      <c r="AM113" s="1065">
        <v>0</v>
      </c>
      <c r="AN113" s="1065">
        <v>0</v>
      </c>
      <c r="AO113" s="1065">
        <v>690000000000</v>
      </c>
      <c r="AP113" s="1065">
        <v>430000000000</v>
      </c>
      <c r="AQ113" s="1065">
        <v>730000000000</v>
      </c>
    </row>
    <row r="114" spans="1:43">
      <c r="A114" s="1064" t="s">
        <v>952</v>
      </c>
      <c r="B114" s="1065">
        <v>2021218076242</v>
      </c>
      <c r="C114" s="1065">
        <v>2336900000000</v>
      </c>
      <c r="D114" s="1065">
        <v>2850542253521</v>
      </c>
      <c r="E114" s="1065">
        <v>3342990140845</v>
      </c>
      <c r="F114" s="1065">
        <v>3323278832998</v>
      </c>
      <c r="G114" s="1065">
        <v>3243979859155</v>
      </c>
      <c r="H114" s="1065">
        <v>3008364859155</v>
      </c>
      <c r="I114" s="1065">
        <v>2426709859155</v>
      </c>
      <c r="J114" s="1065">
        <v>2466214960315</v>
      </c>
      <c r="K114" s="1065">
        <v>3117408299463</v>
      </c>
      <c r="L114" s="1065">
        <v>4102852458215</v>
      </c>
      <c r="M114" s="1065">
        <v>4329883876117</v>
      </c>
      <c r="N114" s="1065">
        <v>4606086912046</v>
      </c>
      <c r="O114" s="1065">
        <v>4960713471314</v>
      </c>
      <c r="P114" s="1065">
        <v>4729524329418</v>
      </c>
      <c r="Q114" s="1065">
        <v>5191486959949</v>
      </c>
      <c r="R114" s="1065">
        <v>6010640319495</v>
      </c>
      <c r="S114" s="1065">
        <v>6011956697687</v>
      </c>
      <c r="T114" s="1065">
        <v>4593557735339</v>
      </c>
      <c r="U114" s="1065">
        <v>4307650608096</v>
      </c>
      <c r="V114" s="1065">
        <v>4463248332426</v>
      </c>
      <c r="W114" s="1065">
        <v>5044922364835</v>
      </c>
      <c r="X114" s="1065">
        <v>5280226625785</v>
      </c>
      <c r="Y114" s="1065">
        <v>7522345188490</v>
      </c>
      <c r="Z114" s="1065">
        <v>6089105541008</v>
      </c>
      <c r="AA114" s="1065">
        <v>5736093041572</v>
      </c>
      <c r="AB114" s="1065">
        <v>5970877340916</v>
      </c>
      <c r="AC114" s="1065">
        <v>5924971168478</v>
      </c>
      <c r="AD114" s="1065">
        <v>4787638880826</v>
      </c>
      <c r="AE114" s="1065">
        <v>5112935082445</v>
      </c>
      <c r="AF114" s="1065">
        <v>5223807834800</v>
      </c>
      <c r="AG114" s="1065">
        <v>4660431195724</v>
      </c>
      <c r="AH114" s="1065">
        <v>4182624667837</v>
      </c>
      <c r="AI114" s="1065">
        <v>4271473226489</v>
      </c>
      <c r="AJ114" s="1065">
        <v>5085702613712</v>
      </c>
      <c r="AK114" s="1065">
        <v>6009470338954</v>
      </c>
      <c r="AL114" s="1065">
        <v>5656989638840</v>
      </c>
      <c r="AM114" s="1065">
        <v>6134269757750</v>
      </c>
      <c r="AN114" s="1065">
        <v>9269901417945</v>
      </c>
      <c r="AO114" s="1065">
        <v>11942039044632</v>
      </c>
      <c r="AP114" s="1065">
        <v>11057867069095</v>
      </c>
      <c r="AQ114" s="1065">
        <v>12006629306356</v>
      </c>
    </row>
    <row r="115" spans="1:43">
      <c r="A115" s="1064" t="s">
        <v>953</v>
      </c>
      <c r="B115" s="1065">
        <v>6388400205438</v>
      </c>
      <c r="C115" s="1065">
        <v>5393342572411</v>
      </c>
      <c r="D115" s="1065">
        <v>6308371416261</v>
      </c>
      <c r="E115" s="1065">
        <v>5351618732308</v>
      </c>
      <c r="F115" s="1065">
        <v>6099635707775</v>
      </c>
      <c r="G115" s="1065">
        <v>5528286955201</v>
      </c>
      <c r="H115" s="1065">
        <v>4478592871331</v>
      </c>
      <c r="I115" s="1065">
        <v>6427790272458</v>
      </c>
      <c r="J115" s="1065">
        <v>7644685939534</v>
      </c>
      <c r="K115" s="1065">
        <v>8657946133259</v>
      </c>
      <c r="L115" s="1065">
        <v>6096105181184</v>
      </c>
      <c r="M115" s="1065">
        <v>6837039833428</v>
      </c>
      <c r="N115" s="1065">
        <v>8924698292173</v>
      </c>
      <c r="O115" s="1065">
        <v>9002764836852</v>
      </c>
      <c r="P115" s="1065">
        <v>9683086831392</v>
      </c>
      <c r="Q115" s="1065">
        <v>9703598536502</v>
      </c>
      <c r="R115" s="1065">
        <v>10629866928361</v>
      </c>
      <c r="S115" s="1065">
        <v>11138750101680</v>
      </c>
      <c r="T115" s="1065">
        <v>11462796200559</v>
      </c>
      <c r="U115" s="1065">
        <v>13653220857818</v>
      </c>
      <c r="V115" s="1065">
        <v>13494916872217</v>
      </c>
      <c r="W115" s="1065">
        <v>13324665996622</v>
      </c>
      <c r="X115" s="1065">
        <v>12760586466698</v>
      </c>
      <c r="Y115" s="1065">
        <v>15271970366574</v>
      </c>
      <c r="Z115" s="1065">
        <v>15406040643521</v>
      </c>
      <c r="AA115" s="1065">
        <v>14132923938967</v>
      </c>
      <c r="AB115" s="1065">
        <v>10096885621044</v>
      </c>
      <c r="AC115" s="1065">
        <v>14800355766244</v>
      </c>
      <c r="AD115" s="1065">
        <v>13511143365853</v>
      </c>
      <c r="AE115" s="1065">
        <v>13691228032018</v>
      </c>
      <c r="AF115" s="1065">
        <v>12463214699698</v>
      </c>
      <c r="AG115" s="1065">
        <v>15747431322626</v>
      </c>
      <c r="AH115" s="1065">
        <v>13160015482848</v>
      </c>
      <c r="AI115" s="1065">
        <v>14804316384939</v>
      </c>
      <c r="AJ115" s="1065">
        <v>16389705631059</v>
      </c>
      <c r="AK115" s="1065">
        <v>19004398252682</v>
      </c>
      <c r="AL115" s="1065">
        <v>17871292557311</v>
      </c>
      <c r="AM115" s="1065">
        <v>18932971713903</v>
      </c>
      <c r="AN115" s="1065">
        <v>18431495770646</v>
      </c>
      <c r="AO115" s="1065">
        <v>21714878525497</v>
      </c>
      <c r="AP115" s="1065">
        <v>19255332535699</v>
      </c>
      <c r="AQ115" s="1065">
        <v>18661722442636</v>
      </c>
    </row>
    <row r="116" spans="1:43">
      <c r="A116" s="1064" t="s">
        <v>954</v>
      </c>
      <c r="B116" s="1065">
        <v>0</v>
      </c>
      <c r="C116" s="1065">
        <v>0</v>
      </c>
      <c r="D116" s="1065">
        <v>0</v>
      </c>
      <c r="E116" s="1065">
        <v>0</v>
      </c>
      <c r="F116" s="1065">
        <v>0</v>
      </c>
      <c r="G116" s="1065">
        <v>0</v>
      </c>
      <c r="H116" s="1065">
        <v>0</v>
      </c>
      <c r="I116" s="1065">
        <v>0</v>
      </c>
      <c r="J116" s="1065">
        <v>0</v>
      </c>
      <c r="K116" s="1065">
        <v>0</v>
      </c>
      <c r="L116" s="1065">
        <v>0</v>
      </c>
      <c r="M116" s="1065">
        <v>0</v>
      </c>
      <c r="N116" s="1065">
        <v>0</v>
      </c>
      <c r="O116" s="1065">
        <v>0</v>
      </c>
      <c r="P116" s="1065">
        <v>0</v>
      </c>
      <c r="Q116" s="1065">
        <v>0</v>
      </c>
      <c r="R116" s="1065">
        <v>0</v>
      </c>
      <c r="S116" s="1065">
        <v>0</v>
      </c>
      <c r="T116" s="1065">
        <v>0</v>
      </c>
      <c r="U116" s="1065">
        <v>0</v>
      </c>
      <c r="V116" s="1065">
        <v>0</v>
      </c>
      <c r="W116" s="1065">
        <v>0</v>
      </c>
      <c r="X116" s="1065">
        <v>0</v>
      </c>
      <c r="Y116" s="1065">
        <v>0</v>
      </c>
      <c r="Z116" s="1065">
        <v>0</v>
      </c>
      <c r="AA116" s="1065">
        <v>0</v>
      </c>
      <c r="AB116" s="1065">
        <v>0</v>
      </c>
      <c r="AC116" s="1065">
        <v>0</v>
      </c>
      <c r="AD116" s="1065">
        <v>0</v>
      </c>
      <c r="AE116" s="1065">
        <v>0</v>
      </c>
      <c r="AF116" s="1065">
        <v>0</v>
      </c>
      <c r="AG116" s="1065">
        <v>0</v>
      </c>
      <c r="AH116" s="1065">
        <v>0</v>
      </c>
      <c r="AI116" s="1065">
        <v>0</v>
      </c>
      <c r="AJ116" s="1065">
        <v>0</v>
      </c>
      <c r="AK116" s="1065">
        <v>0</v>
      </c>
      <c r="AL116" s="1065">
        <v>0</v>
      </c>
      <c r="AM116" s="1065">
        <v>0</v>
      </c>
      <c r="AN116" s="1065">
        <v>0</v>
      </c>
      <c r="AO116" s="1065">
        <v>0</v>
      </c>
      <c r="AP116" s="1065">
        <v>0</v>
      </c>
      <c r="AQ116" s="1065">
        <v>0</v>
      </c>
    </row>
    <row r="117" spans="1:43">
      <c r="A117" s="1062" t="s">
        <v>955</v>
      </c>
      <c r="B117" s="1063">
        <v>279915994017</v>
      </c>
      <c r="C117" s="1063">
        <v>279927044589</v>
      </c>
      <c r="D117" s="1063">
        <v>279941584804</v>
      </c>
      <c r="E117" s="1063">
        <v>279956420408</v>
      </c>
      <c r="F117" s="1063">
        <v>269870747409</v>
      </c>
      <c r="G117" s="1063">
        <v>3266331066376</v>
      </c>
      <c r="H117" s="1063">
        <v>3307097256880</v>
      </c>
      <c r="I117" s="1063">
        <v>4732007065652</v>
      </c>
      <c r="J117" s="1063">
        <v>4681041077678</v>
      </c>
      <c r="K117" s="1063">
        <v>4943443390301</v>
      </c>
      <c r="L117" s="1063">
        <v>5453279218087</v>
      </c>
      <c r="M117" s="1063">
        <v>6975895633558</v>
      </c>
      <c r="N117" s="1063">
        <v>7065499372843</v>
      </c>
      <c r="O117" s="1063">
        <v>7073903911420</v>
      </c>
      <c r="P117" s="1063">
        <v>6887346088792</v>
      </c>
      <c r="Q117" s="1063">
        <v>7460755723290</v>
      </c>
      <c r="R117" s="1063">
        <v>8138401985456</v>
      </c>
      <c r="S117" s="1063">
        <v>7549636124345</v>
      </c>
      <c r="T117" s="1063">
        <v>7939701880959</v>
      </c>
      <c r="U117" s="1063">
        <v>8303873308399</v>
      </c>
      <c r="V117" s="1063">
        <v>8136382955704</v>
      </c>
      <c r="W117" s="1063">
        <v>8869190014572</v>
      </c>
      <c r="X117" s="1063">
        <v>8553010582909</v>
      </c>
      <c r="Y117" s="1063">
        <v>9372521557105</v>
      </c>
      <c r="Z117" s="1063">
        <v>9476920852578</v>
      </c>
      <c r="AA117" s="1063">
        <v>9495791365018</v>
      </c>
      <c r="AB117" s="1063">
        <v>9463828443532</v>
      </c>
      <c r="AC117" s="1063">
        <v>9556030541599</v>
      </c>
      <c r="AD117" s="1063">
        <v>10388526300643</v>
      </c>
      <c r="AE117" s="1063">
        <v>10514948966512</v>
      </c>
      <c r="AF117" s="1063">
        <v>9897490795047</v>
      </c>
      <c r="AG117" s="1063">
        <v>10762610045429</v>
      </c>
      <c r="AH117" s="1063">
        <v>11117058830420</v>
      </c>
      <c r="AI117" s="1063">
        <v>11070512323047</v>
      </c>
      <c r="AJ117" s="1063">
        <v>11695671562781</v>
      </c>
      <c r="AK117" s="1063">
        <v>12637796338426</v>
      </c>
      <c r="AL117" s="1063">
        <v>14219941645210</v>
      </c>
      <c r="AM117" s="1063">
        <v>14394688906531</v>
      </c>
      <c r="AN117" s="1063">
        <v>15408642793820</v>
      </c>
      <c r="AO117" s="1063">
        <v>15525997330516</v>
      </c>
      <c r="AP117" s="1063">
        <v>17881459336123</v>
      </c>
      <c r="AQ117" s="1063">
        <v>19337098667334</v>
      </c>
    </row>
    <row r="118" spans="1:43">
      <c r="A118" s="1064" t="s">
        <v>956</v>
      </c>
      <c r="B118" s="1065">
        <v>0</v>
      </c>
      <c r="C118" s="1065">
        <v>0</v>
      </c>
      <c r="D118" s="1065">
        <v>0</v>
      </c>
      <c r="E118" s="1065">
        <v>0</v>
      </c>
      <c r="F118" s="1065">
        <v>0</v>
      </c>
      <c r="G118" s="1065">
        <v>2996446441791</v>
      </c>
      <c r="H118" s="1065">
        <v>3037198499614</v>
      </c>
      <c r="I118" s="1065">
        <v>4492093991492</v>
      </c>
      <c r="J118" s="1065">
        <v>4441116014861</v>
      </c>
      <c r="K118" s="1065">
        <v>4703506220200</v>
      </c>
      <c r="L118" s="1065">
        <v>5213914234436</v>
      </c>
      <c r="M118" s="1065">
        <v>6777382132262</v>
      </c>
      <c r="N118" s="1065">
        <v>6657105923417</v>
      </c>
      <c r="O118" s="1065">
        <v>6435676153646</v>
      </c>
      <c r="P118" s="1065">
        <v>6248965368775</v>
      </c>
      <c r="Q118" s="1065">
        <v>6821295506998</v>
      </c>
      <c r="R118" s="1065">
        <v>7435123423793</v>
      </c>
      <c r="S118" s="1065">
        <v>6926332818267</v>
      </c>
      <c r="T118" s="1065">
        <v>7316375770558</v>
      </c>
      <c r="U118" s="1065">
        <v>7680524025033</v>
      </c>
      <c r="V118" s="1065">
        <v>7513010551820</v>
      </c>
      <c r="W118" s="1065">
        <v>8245794252913</v>
      </c>
      <c r="X118" s="1065">
        <v>7929591084436</v>
      </c>
      <c r="Y118" s="1065">
        <v>8749077938061</v>
      </c>
      <c r="Z118" s="1065">
        <v>8853453167559</v>
      </c>
      <c r="AA118" s="1065">
        <v>8782365922764</v>
      </c>
      <c r="AB118" s="1065">
        <v>8750376319429</v>
      </c>
      <c r="AC118" s="1065">
        <v>8842551286895</v>
      </c>
      <c r="AD118" s="1065">
        <v>9675019970031</v>
      </c>
      <c r="AE118" s="1065">
        <v>9801415296226</v>
      </c>
      <c r="AF118" s="1065">
        <v>9183929323502</v>
      </c>
      <c r="AG118" s="1065">
        <v>10049020361177</v>
      </c>
      <c r="AH118" s="1065">
        <v>10403440852576</v>
      </c>
      <c r="AI118" s="1065">
        <v>10356865883346</v>
      </c>
      <c r="AJ118" s="1065">
        <v>10981996155045</v>
      </c>
      <c r="AK118" s="1065">
        <v>11924091474875</v>
      </c>
      <c r="AL118" s="1065">
        <v>13506207385050</v>
      </c>
      <c r="AM118" s="1065">
        <v>13680924963839</v>
      </c>
      <c r="AN118" s="1065">
        <v>14572923094056</v>
      </c>
      <c r="AO118" s="1065">
        <v>14690249414369</v>
      </c>
      <c r="AP118" s="1065">
        <v>17112803814135</v>
      </c>
      <c r="AQ118" s="1065">
        <v>18643419442826</v>
      </c>
    </row>
    <row r="119" spans="1:43">
      <c r="A119" s="1064" t="s">
        <v>957</v>
      </c>
      <c r="B119" s="1065">
        <v>279915994017</v>
      </c>
      <c r="C119" s="1065">
        <v>279927044589</v>
      </c>
      <c r="D119" s="1065">
        <v>279941584804</v>
      </c>
      <c r="E119" s="1065">
        <v>279956420408</v>
      </c>
      <c r="F119" s="1065">
        <v>269870747409</v>
      </c>
      <c r="G119" s="1065">
        <v>269884624585</v>
      </c>
      <c r="H119" s="1065">
        <v>269898757266</v>
      </c>
      <c r="I119" s="1065">
        <v>239913074160</v>
      </c>
      <c r="J119" s="1065">
        <v>239925062817</v>
      </c>
      <c r="K119" s="1065">
        <v>239937170101</v>
      </c>
      <c r="L119" s="1065">
        <v>239364983651</v>
      </c>
      <c r="M119" s="1065">
        <v>198513501296</v>
      </c>
      <c r="N119" s="1065">
        <v>408393449426</v>
      </c>
      <c r="O119" s="1065">
        <v>638227757774</v>
      </c>
      <c r="P119" s="1065">
        <v>638380720017</v>
      </c>
      <c r="Q119" s="1065">
        <v>639460216292</v>
      </c>
      <c r="R119" s="1065">
        <v>703278561663</v>
      </c>
      <c r="S119" s="1065">
        <v>623303306078</v>
      </c>
      <c r="T119" s="1065">
        <v>623326110401</v>
      </c>
      <c r="U119" s="1065">
        <v>623349283366</v>
      </c>
      <c r="V119" s="1065">
        <v>623372403884</v>
      </c>
      <c r="W119" s="1065">
        <v>623395761659</v>
      </c>
      <c r="X119" s="1065">
        <v>623419498473</v>
      </c>
      <c r="Y119" s="1065">
        <v>623443619044</v>
      </c>
      <c r="Z119" s="1065">
        <v>623467685019</v>
      </c>
      <c r="AA119" s="1065">
        <v>713425442254</v>
      </c>
      <c r="AB119" s="1065">
        <v>713452124103</v>
      </c>
      <c r="AC119" s="1065">
        <v>713479254704</v>
      </c>
      <c r="AD119" s="1065">
        <v>713506330612</v>
      </c>
      <c r="AE119" s="1065">
        <v>713533670286</v>
      </c>
      <c r="AF119" s="1065">
        <v>713561471545</v>
      </c>
      <c r="AG119" s="1065">
        <v>713589684252</v>
      </c>
      <c r="AH119" s="1065">
        <v>713617977844</v>
      </c>
      <c r="AI119" s="1065">
        <v>713646439701</v>
      </c>
      <c r="AJ119" s="1065">
        <v>713675407736</v>
      </c>
      <c r="AK119" s="1065">
        <v>713704863551</v>
      </c>
      <c r="AL119" s="1065">
        <v>713734260160</v>
      </c>
      <c r="AM119" s="1065">
        <v>713763942692</v>
      </c>
      <c r="AN119" s="1065">
        <v>835719699764</v>
      </c>
      <c r="AO119" s="1065">
        <v>835747916147</v>
      </c>
      <c r="AP119" s="1065">
        <v>768655521988</v>
      </c>
      <c r="AQ119" s="1065">
        <v>693679224508</v>
      </c>
    </row>
    <row r="120" spans="1:43">
      <c r="A120" s="1062" t="s">
        <v>958</v>
      </c>
      <c r="B120" s="1063">
        <v>6612853361</v>
      </c>
      <c r="C120" s="1063">
        <v>5662339327</v>
      </c>
      <c r="D120" s="1063">
        <v>5669695129</v>
      </c>
      <c r="E120" s="1063">
        <v>10186258290</v>
      </c>
      <c r="F120" s="1063">
        <v>2126361773</v>
      </c>
      <c r="G120" s="1063">
        <v>2581574180</v>
      </c>
      <c r="H120" s="1063">
        <v>2579374853</v>
      </c>
      <c r="I120" s="1063">
        <v>2070024293</v>
      </c>
      <c r="J120" s="1063">
        <v>7932399355</v>
      </c>
      <c r="K120" s="1063">
        <v>13310280548</v>
      </c>
      <c r="L120" s="1063">
        <v>15505748373</v>
      </c>
      <c r="M120" s="1063">
        <v>15938750910</v>
      </c>
      <c r="N120" s="1063">
        <v>25914019817</v>
      </c>
      <c r="O120" s="1063">
        <v>23676529967</v>
      </c>
      <c r="P120" s="1063">
        <v>28185663653</v>
      </c>
      <c r="Q120" s="1063">
        <v>27390219236</v>
      </c>
      <c r="R120" s="1063">
        <v>23439467324</v>
      </c>
      <c r="S120" s="1063">
        <v>20225639400</v>
      </c>
      <c r="T120" s="1063">
        <v>18451571738</v>
      </c>
      <c r="U120" s="1063">
        <v>16036648414</v>
      </c>
      <c r="V120" s="1063">
        <v>14036726837</v>
      </c>
      <c r="W120" s="1063">
        <v>15233490215</v>
      </c>
      <c r="X120" s="1063">
        <v>17758609129</v>
      </c>
      <c r="Y120" s="1063">
        <v>20974112041</v>
      </c>
      <c r="Z120" s="1063">
        <v>24339007364</v>
      </c>
      <c r="AA120" s="1063">
        <v>23619188038</v>
      </c>
      <c r="AB120" s="1063">
        <v>24711671761</v>
      </c>
      <c r="AC120" s="1063">
        <v>29642480617</v>
      </c>
      <c r="AD120" s="1063">
        <v>22741905316</v>
      </c>
      <c r="AE120" s="1063">
        <v>20922087001</v>
      </c>
      <c r="AF120" s="1063">
        <v>20516351142</v>
      </c>
      <c r="AG120" s="1063">
        <v>18342612394</v>
      </c>
      <c r="AH120" s="1063">
        <v>20255216949</v>
      </c>
      <c r="AI120" s="1063">
        <v>25769504053</v>
      </c>
      <c r="AJ120" s="1063">
        <v>29303303577</v>
      </c>
      <c r="AK120" s="1063">
        <v>30003756677</v>
      </c>
      <c r="AL120" s="1063">
        <v>30774961829</v>
      </c>
      <c r="AM120" s="1063">
        <v>38960660565</v>
      </c>
      <c r="AN120" s="1063">
        <v>34358280761</v>
      </c>
      <c r="AO120" s="1063">
        <v>27291692256</v>
      </c>
      <c r="AP120" s="1063">
        <v>23711183924</v>
      </c>
      <c r="AQ120" s="1063">
        <v>30682476804</v>
      </c>
    </row>
    <row r="121" spans="1:43">
      <c r="A121" s="1064" t="s">
        <v>959</v>
      </c>
      <c r="B121" s="1065">
        <v>0</v>
      </c>
      <c r="C121" s="1065">
        <v>0</v>
      </c>
      <c r="D121" s="1065">
        <v>0</v>
      </c>
      <c r="E121" s="1065">
        <v>0</v>
      </c>
      <c r="F121" s="1065">
        <v>0</v>
      </c>
      <c r="G121" s="1065">
        <v>0</v>
      </c>
      <c r="H121" s="1065">
        <v>0</v>
      </c>
      <c r="I121" s="1065">
        <v>0</v>
      </c>
      <c r="J121" s="1065">
        <v>5830272490</v>
      </c>
      <c r="K121" s="1065">
        <v>11192060618</v>
      </c>
      <c r="L121" s="1065">
        <v>13413949866</v>
      </c>
      <c r="M121" s="1065">
        <v>13841620199</v>
      </c>
      <c r="N121" s="1065">
        <v>21730370849</v>
      </c>
      <c r="O121" s="1065">
        <v>19126189441</v>
      </c>
      <c r="P121" s="1065">
        <v>23959368733</v>
      </c>
      <c r="Q121" s="1065">
        <v>22889900199</v>
      </c>
      <c r="R121" s="1065">
        <v>18899569587</v>
      </c>
      <c r="S121" s="1065">
        <v>15652206659</v>
      </c>
      <c r="T121" s="1065">
        <v>13859566946</v>
      </c>
      <c r="U121" s="1065">
        <v>11388747947</v>
      </c>
      <c r="V121" s="1065">
        <v>9247326057</v>
      </c>
      <c r="W121" s="1065">
        <v>10464758872</v>
      </c>
      <c r="X121" s="1065">
        <v>10265420210</v>
      </c>
      <c r="Y121" s="1065">
        <v>12270940999</v>
      </c>
      <c r="Z121" s="1065">
        <v>15757619185</v>
      </c>
      <c r="AA121" s="1065">
        <v>14604719809</v>
      </c>
      <c r="AB121" s="1065">
        <v>15681332021</v>
      </c>
      <c r="AC121" s="1065">
        <v>15060341047</v>
      </c>
      <c r="AD121" s="1065">
        <v>14463399891</v>
      </c>
      <c r="AE121" s="1065">
        <v>12626718730</v>
      </c>
      <c r="AF121" s="1065">
        <v>12352026988</v>
      </c>
      <c r="AG121" s="1065">
        <v>10268674591</v>
      </c>
      <c r="AH121" s="1065">
        <v>12143168412</v>
      </c>
      <c r="AI121" s="1065">
        <v>17909364295</v>
      </c>
      <c r="AJ121" s="1065">
        <v>21375869914</v>
      </c>
      <c r="AK121" s="1065">
        <v>21884864038</v>
      </c>
      <c r="AL121" s="1065">
        <v>21629400588</v>
      </c>
      <c r="AM121" s="1065">
        <v>29948440349</v>
      </c>
      <c r="AN121" s="1065">
        <v>25332076788</v>
      </c>
      <c r="AO121" s="1065">
        <v>17927728902</v>
      </c>
      <c r="AP121" s="1065">
        <v>14331708505</v>
      </c>
      <c r="AQ121" s="1065">
        <v>8954953620</v>
      </c>
    </row>
    <row r="122" spans="1:43">
      <c r="A122" s="1064" t="s">
        <v>960</v>
      </c>
      <c r="B122" s="1065">
        <v>6612853361</v>
      </c>
      <c r="C122" s="1065">
        <v>5662339327</v>
      </c>
      <c r="D122" s="1065">
        <v>5669695129</v>
      </c>
      <c r="E122" s="1065">
        <v>10186258290</v>
      </c>
      <c r="F122" s="1065">
        <v>2126361773</v>
      </c>
      <c r="G122" s="1065">
        <v>2581574180</v>
      </c>
      <c r="H122" s="1065">
        <v>2579374853</v>
      </c>
      <c r="I122" s="1065">
        <v>2070024293</v>
      </c>
      <c r="J122" s="1065">
        <v>2102126865</v>
      </c>
      <c r="K122" s="1065">
        <v>2118219930</v>
      </c>
      <c r="L122" s="1065">
        <v>2091798507</v>
      </c>
      <c r="M122" s="1065">
        <v>2097130711</v>
      </c>
      <c r="N122" s="1065">
        <v>4183648968</v>
      </c>
      <c r="O122" s="1065">
        <v>4550340526</v>
      </c>
      <c r="P122" s="1065">
        <v>4226294920</v>
      </c>
      <c r="Q122" s="1065">
        <v>4500319037</v>
      </c>
      <c r="R122" s="1065">
        <v>4539897737</v>
      </c>
      <c r="S122" s="1065">
        <v>4573432741</v>
      </c>
      <c r="T122" s="1065">
        <v>4592004792</v>
      </c>
      <c r="U122" s="1065">
        <v>4647900467</v>
      </c>
      <c r="V122" s="1065">
        <v>4789400780</v>
      </c>
      <c r="W122" s="1065">
        <v>4768731343</v>
      </c>
      <c r="X122" s="1065">
        <v>7493188919</v>
      </c>
      <c r="Y122" s="1065">
        <v>8703171042</v>
      </c>
      <c r="Z122" s="1065">
        <v>8581388179</v>
      </c>
      <c r="AA122" s="1065">
        <v>9014468229</v>
      </c>
      <c r="AB122" s="1065">
        <v>9030339740</v>
      </c>
      <c r="AC122" s="1065">
        <v>14582139570</v>
      </c>
      <c r="AD122" s="1065">
        <v>8278505425</v>
      </c>
      <c r="AE122" s="1065">
        <v>8295368271</v>
      </c>
      <c r="AF122" s="1065">
        <v>8164324154</v>
      </c>
      <c r="AG122" s="1065">
        <v>8073937803</v>
      </c>
      <c r="AH122" s="1065">
        <v>8112048537</v>
      </c>
      <c r="AI122" s="1065">
        <v>7860139758</v>
      </c>
      <c r="AJ122" s="1065">
        <v>7927433663</v>
      </c>
      <c r="AK122" s="1065">
        <v>8118892639</v>
      </c>
      <c r="AL122" s="1065">
        <v>9145561241</v>
      </c>
      <c r="AM122" s="1065">
        <v>9012220216</v>
      </c>
      <c r="AN122" s="1065">
        <v>9026203973</v>
      </c>
      <c r="AO122" s="1065">
        <v>9363963354</v>
      </c>
      <c r="AP122" s="1065">
        <v>9379475419</v>
      </c>
      <c r="AQ122" s="1065">
        <v>21727523184</v>
      </c>
    </row>
    <row r="123" spans="1:43">
      <c r="A123" s="1062" t="s">
        <v>961</v>
      </c>
      <c r="B123" s="1063">
        <v>2922260065</v>
      </c>
      <c r="C123" s="1063">
        <v>4028642860</v>
      </c>
      <c r="D123" s="1063">
        <v>5264847603</v>
      </c>
      <c r="E123" s="1063">
        <v>2628148432</v>
      </c>
      <c r="F123" s="1063">
        <v>3579401403</v>
      </c>
      <c r="G123" s="1063">
        <v>4417501132</v>
      </c>
      <c r="H123" s="1063">
        <v>5535225007</v>
      </c>
      <c r="I123" s="1063">
        <v>0</v>
      </c>
      <c r="J123" s="1063">
        <v>1114112109</v>
      </c>
      <c r="K123" s="1063">
        <v>2571156301</v>
      </c>
      <c r="L123" s="1063">
        <v>3524333346</v>
      </c>
      <c r="M123" s="1063">
        <v>-1143160806</v>
      </c>
      <c r="N123" s="1063">
        <v>927918488</v>
      </c>
      <c r="O123" s="1063">
        <v>2228240972</v>
      </c>
      <c r="P123" s="1063">
        <v>4064685262</v>
      </c>
      <c r="Q123" s="1063">
        <v>0</v>
      </c>
      <c r="R123" s="1063">
        <v>2361688938</v>
      </c>
      <c r="S123" s="1063">
        <v>3606014889</v>
      </c>
      <c r="T123" s="1063">
        <v>4663811540</v>
      </c>
      <c r="U123" s="1063">
        <v>332246287</v>
      </c>
      <c r="V123" s="1063">
        <v>2256353575</v>
      </c>
      <c r="W123" s="1063">
        <v>3358772343</v>
      </c>
      <c r="X123" s="1063">
        <v>4266635904</v>
      </c>
      <c r="Y123" s="1063">
        <v>0</v>
      </c>
      <c r="Z123" s="1063">
        <v>1122889614</v>
      </c>
      <c r="AA123" s="1063">
        <v>801060190</v>
      </c>
      <c r="AB123" s="1063">
        <v>1401020533</v>
      </c>
      <c r="AC123" s="1063">
        <v>0</v>
      </c>
      <c r="AD123" s="1063">
        <v>914009170</v>
      </c>
      <c r="AE123" s="1063">
        <v>398713081</v>
      </c>
      <c r="AF123" s="1063">
        <v>2330718401</v>
      </c>
      <c r="AG123" s="1063">
        <v>0</v>
      </c>
      <c r="AH123" s="1063">
        <v>0</v>
      </c>
      <c r="AI123" s="1063">
        <v>0</v>
      </c>
      <c r="AJ123" s="1063">
        <v>0</v>
      </c>
      <c r="AK123" s="1063">
        <v>0</v>
      </c>
      <c r="AL123" s="1063">
        <v>335977183</v>
      </c>
      <c r="AM123" s="1063">
        <v>978407765</v>
      </c>
      <c r="AN123" s="1063">
        <v>2024113070</v>
      </c>
      <c r="AO123" s="1063">
        <v>0</v>
      </c>
      <c r="AP123" s="1063">
        <v>0</v>
      </c>
      <c r="AQ123" s="1063">
        <v>0</v>
      </c>
    </row>
    <row r="124" spans="1:43">
      <c r="A124" s="1064" t="s">
        <v>962</v>
      </c>
      <c r="B124" s="1065">
        <v>2922260065</v>
      </c>
      <c r="C124" s="1065">
        <v>4028642860</v>
      </c>
      <c r="D124" s="1065">
        <v>5264847603</v>
      </c>
      <c r="E124" s="1065">
        <v>2628148432</v>
      </c>
      <c r="F124" s="1065">
        <v>3579401403</v>
      </c>
      <c r="G124" s="1065">
        <v>4417501132</v>
      </c>
      <c r="H124" s="1065">
        <v>5535225007</v>
      </c>
      <c r="I124" s="1065">
        <v>0</v>
      </c>
      <c r="J124" s="1065">
        <v>1114112109</v>
      </c>
      <c r="K124" s="1065">
        <v>2571156301</v>
      </c>
      <c r="L124" s="1065">
        <v>3524333346</v>
      </c>
      <c r="M124" s="1065">
        <v>-1143160806</v>
      </c>
      <c r="N124" s="1065">
        <v>927918488</v>
      </c>
      <c r="O124" s="1065">
        <v>2228240972</v>
      </c>
      <c r="P124" s="1065">
        <v>4064685262</v>
      </c>
      <c r="Q124" s="1065">
        <v>0</v>
      </c>
      <c r="R124" s="1065">
        <v>2361688938</v>
      </c>
      <c r="S124" s="1065">
        <v>3606014889</v>
      </c>
      <c r="T124" s="1065">
        <v>4663811540</v>
      </c>
      <c r="U124" s="1065">
        <v>332246287</v>
      </c>
      <c r="V124" s="1065">
        <v>2256353575</v>
      </c>
      <c r="W124" s="1065">
        <v>3358772343</v>
      </c>
      <c r="X124" s="1065">
        <v>4266635904</v>
      </c>
      <c r="Y124" s="1065">
        <v>0</v>
      </c>
      <c r="Z124" s="1065">
        <v>1122889614</v>
      </c>
      <c r="AA124" s="1065">
        <v>801060190</v>
      </c>
      <c r="AB124" s="1065">
        <v>1401020533</v>
      </c>
      <c r="AC124" s="1065">
        <v>0</v>
      </c>
      <c r="AD124" s="1065">
        <v>914009170</v>
      </c>
      <c r="AE124" s="1065">
        <v>398713081</v>
      </c>
      <c r="AF124" s="1065">
        <v>2330718401</v>
      </c>
      <c r="AG124" s="1065">
        <v>0</v>
      </c>
      <c r="AH124" s="1065">
        <v>0</v>
      </c>
      <c r="AI124" s="1065">
        <v>0</v>
      </c>
      <c r="AJ124" s="1065">
        <v>0</v>
      </c>
      <c r="AK124" s="1065">
        <v>0</v>
      </c>
      <c r="AL124" s="1065">
        <v>335977183</v>
      </c>
      <c r="AM124" s="1065">
        <v>978407765</v>
      </c>
      <c r="AN124" s="1065">
        <v>2024113070</v>
      </c>
      <c r="AO124" s="1065">
        <v>0</v>
      </c>
      <c r="AP124" s="1065">
        <v>0</v>
      </c>
      <c r="AQ124" s="1065">
        <v>0</v>
      </c>
    </row>
    <row r="125" spans="1:43">
      <c r="A125" s="1062" t="s">
        <v>963</v>
      </c>
      <c r="B125" s="1063">
        <v>61147578681</v>
      </c>
      <c r="C125" s="1063">
        <v>30280551103</v>
      </c>
      <c r="D125" s="1063">
        <v>21803658713</v>
      </c>
      <c r="E125" s="1063">
        <v>14973094585</v>
      </c>
      <c r="F125" s="1063">
        <v>16087416905</v>
      </c>
      <c r="G125" s="1063">
        <v>39676126521</v>
      </c>
      <c r="H125" s="1063">
        <v>41802444617</v>
      </c>
      <c r="I125" s="1063">
        <v>55107460134</v>
      </c>
      <c r="J125" s="1063">
        <v>49119561994</v>
      </c>
      <c r="K125" s="1063">
        <v>26496945594</v>
      </c>
      <c r="L125" s="1063">
        <v>37132738746</v>
      </c>
      <c r="M125" s="1063">
        <v>75835137379</v>
      </c>
      <c r="N125" s="1063">
        <v>123732509564</v>
      </c>
      <c r="O125" s="1063">
        <v>103054699807</v>
      </c>
      <c r="P125" s="1063">
        <v>88473548686</v>
      </c>
      <c r="Q125" s="1063">
        <v>159644294140</v>
      </c>
      <c r="R125" s="1063">
        <v>115522120564</v>
      </c>
      <c r="S125" s="1063">
        <v>80268352329</v>
      </c>
      <c r="T125" s="1063">
        <v>110904614679</v>
      </c>
      <c r="U125" s="1063">
        <v>178775911912</v>
      </c>
      <c r="V125" s="1063">
        <v>165976397666</v>
      </c>
      <c r="W125" s="1063">
        <v>202641182668</v>
      </c>
      <c r="X125" s="1063">
        <v>162934979078</v>
      </c>
      <c r="Y125" s="1063">
        <v>177291885266</v>
      </c>
      <c r="Z125" s="1063">
        <v>173399248361</v>
      </c>
      <c r="AA125" s="1063">
        <v>125398866644</v>
      </c>
      <c r="AB125" s="1063">
        <v>104549872477</v>
      </c>
      <c r="AC125" s="1063">
        <v>93607088389</v>
      </c>
      <c r="AD125" s="1063">
        <v>76842277164</v>
      </c>
      <c r="AE125" s="1063">
        <v>62163034127</v>
      </c>
      <c r="AF125" s="1063">
        <v>37194651618</v>
      </c>
      <c r="AG125" s="1063">
        <v>29315899543</v>
      </c>
      <c r="AH125" s="1063">
        <v>208735110565</v>
      </c>
      <c r="AI125" s="1063">
        <v>316862546732</v>
      </c>
      <c r="AJ125" s="1063">
        <v>223135480072</v>
      </c>
      <c r="AK125" s="1063">
        <v>210644843758</v>
      </c>
      <c r="AL125" s="1063">
        <v>167739530900</v>
      </c>
      <c r="AM125" s="1063">
        <v>117213185811</v>
      </c>
      <c r="AN125" s="1063">
        <v>218109098191</v>
      </c>
      <c r="AO125" s="1063">
        <v>28443590871</v>
      </c>
      <c r="AP125" s="1063">
        <v>39211671656</v>
      </c>
      <c r="AQ125" s="1063">
        <v>13315637499</v>
      </c>
    </row>
    <row r="126" spans="1:43">
      <c r="A126" s="1064" t="s">
        <v>964</v>
      </c>
      <c r="B126" s="1065">
        <v>61147578681</v>
      </c>
      <c r="C126" s="1065">
        <v>30280551103</v>
      </c>
      <c r="D126" s="1065">
        <v>21803658713</v>
      </c>
      <c r="E126" s="1065">
        <v>14966778614</v>
      </c>
      <c r="F126" s="1065">
        <v>16087416905</v>
      </c>
      <c r="G126" s="1065">
        <v>39676126521</v>
      </c>
      <c r="H126" s="1065">
        <v>41802444617</v>
      </c>
      <c r="I126" s="1065">
        <v>55107460134</v>
      </c>
      <c r="J126" s="1065">
        <v>49110958666</v>
      </c>
      <c r="K126" s="1065">
        <v>26496945594</v>
      </c>
      <c r="L126" s="1065">
        <v>37132735600</v>
      </c>
      <c r="M126" s="1065">
        <v>75835137379</v>
      </c>
      <c r="N126" s="1065">
        <v>123732509564</v>
      </c>
      <c r="O126" s="1065">
        <v>103054699807</v>
      </c>
      <c r="P126" s="1065">
        <v>88473548686</v>
      </c>
      <c r="Q126" s="1065">
        <v>159644294140</v>
      </c>
      <c r="R126" s="1065">
        <v>115522120564</v>
      </c>
      <c r="S126" s="1065">
        <v>80268352329</v>
      </c>
      <c r="T126" s="1065">
        <v>111709574547</v>
      </c>
      <c r="U126" s="1065">
        <v>178775911912</v>
      </c>
      <c r="V126" s="1065">
        <v>165976766177</v>
      </c>
      <c r="W126" s="1065">
        <v>202641182668</v>
      </c>
      <c r="X126" s="1065">
        <v>162934979078</v>
      </c>
      <c r="Y126" s="1065">
        <v>177291885266</v>
      </c>
      <c r="Z126" s="1065">
        <v>173399248361</v>
      </c>
      <c r="AA126" s="1065">
        <v>123974538859</v>
      </c>
      <c r="AB126" s="1065">
        <v>104549872477</v>
      </c>
      <c r="AC126" s="1065">
        <v>93607088389</v>
      </c>
      <c r="AD126" s="1065">
        <v>76842277164</v>
      </c>
      <c r="AE126" s="1065">
        <v>62163034127</v>
      </c>
      <c r="AF126" s="1065">
        <v>37194651618</v>
      </c>
      <c r="AG126" s="1065">
        <v>29315899543</v>
      </c>
      <c r="AH126" s="1065">
        <v>208735110565</v>
      </c>
      <c r="AI126" s="1065">
        <v>316862546732</v>
      </c>
      <c r="AJ126" s="1065">
        <v>223135480072</v>
      </c>
      <c r="AK126" s="1065">
        <v>210644843758</v>
      </c>
      <c r="AL126" s="1065">
        <v>167739530900</v>
      </c>
      <c r="AM126" s="1065">
        <v>117213185811</v>
      </c>
      <c r="AN126" s="1065">
        <v>218109098191</v>
      </c>
      <c r="AO126" s="1065">
        <v>28443590871</v>
      </c>
      <c r="AP126" s="1065">
        <v>39211671656</v>
      </c>
      <c r="AQ126" s="1065">
        <v>13356815613</v>
      </c>
    </row>
    <row r="127" spans="1:43">
      <c r="A127" s="1064" t="s">
        <v>965</v>
      </c>
      <c r="B127" s="1065">
        <v>0</v>
      </c>
      <c r="C127" s="1065">
        <v>0</v>
      </c>
      <c r="D127" s="1065">
        <v>0</v>
      </c>
      <c r="E127" s="1065">
        <v>6315971</v>
      </c>
      <c r="F127" s="1065">
        <v>0</v>
      </c>
      <c r="G127" s="1065">
        <v>0</v>
      </c>
      <c r="H127" s="1065">
        <v>0</v>
      </c>
      <c r="I127" s="1065">
        <v>0</v>
      </c>
      <c r="J127" s="1065">
        <v>8603328</v>
      </c>
      <c r="K127" s="1065">
        <v>0</v>
      </c>
      <c r="L127" s="1065">
        <v>3146</v>
      </c>
      <c r="M127" s="1065">
        <v>0</v>
      </c>
      <c r="N127" s="1065">
        <v>0</v>
      </c>
      <c r="O127" s="1065">
        <v>0</v>
      </c>
      <c r="P127" s="1065">
        <v>0</v>
      </c>
      <c r="Q127" s="1065">
        <v>0</v>
      </c>
      <c r="R127" s="1065">
        <v>0</v>
      </c>
      <c r="S127" s="1065">
        <v>0</v>
      </c>
      <c r="T127" s="1065">
        <v>-804959868</v>
      </c>
      <c r="U127" s="1065">
        <v>0</v>
      </c>
      <c r="V127" s="1065">
        <v>-368511</v>
      </c>
      <c r="W127" s="1065">
        <v>0</v>
      </c>
      <c r="X127" s="1065">
        <v>0</v>
      </c>
      <c r="Y127" s="1065">
        <v>0</v>
      </c>
      <c r="Z127" s="1065">
        <v>0</v>
      </c>
      <c r="AA127" s="1065">
        <v>1424327785</v>
      </c>
      <c r="AB127" s="1065">
        <v>0</v>
      </c>
      <c r="AC127" s="1065">
        <v>0</v>
      </c>
      <c r="AD127" s="1065">
        <v>0</v>
      </c>
      <c r="AE127" s="1065">
        <v>0</v>
      </c>
      <c r="AF127" s="1065">
        <v>0</v>
      </c>
      <c r="AG127" s="1065">
        <v>0</v>
      </c>
      <c r="AH127" s="1065">
        <v>0</v>
      </c>
      <c r="AI127" s="1065">
        <v>0</v>
      </c>
      <c r="AJ127" s="1065">
        <v>0</v>
      </c>
      <c r="AK127" s="1065">
        <v>0</v>
      </c>
      <c r="AL127" s="1065">
        <v>0</v>
      </c>
      <c r="AM127" s="1065">
        <v>0</v>
      </c>
      <c r="AN127" s="1065">
        <v>0</v>
      </c>
      <c r="AO127" s="1065">
        <v>0</v>
      </c>
      <c r="AP127" s="1065">
        <v>0</v>
      </c>
      <c r="AQ127" s="1065">
        <v>-41178114</v>
      </c>
    </row>
    <row r="128" spans="1:43">
      <c r="A128" s="1062" t="s">
        <v>966</v>
      </c>
      <c r="B128" s="1063">
        <v>2806046824974</v>
      </c>
      <c r="C128" s="1063">
        <v>2011910471562</v>
      </c>
      <c r="D128" s="1063">
        <v>2510210815028</v>
      </c>
      <c r="E128" s="1063">
        <v>462861637624</v>
      </c>
      <c r="F128" s="1063">
        <v>2628695189157</v>
      </c>
      <c r="G128" s="1063">
        <v>2493373521363</v>
      </c>
      <c r="H128" s="1063">
        <v>2281539248749</v>
      </c>
      <c r="I128" s="1063">
        <v>702253842645</v>
      </c>
      <c r="J128" s="1063">
        <v>2434162093472</v>
      </c>
      <c r="K128" s="1063">
        <v>2065706140072</v>
      </c>
      <c r="L128" s="1063">
        <v>3364194659355</v>
      </c>
      <c r="M128" s="1063">
        <v>855902942811</v>
      </c>
      <c r="N128" s="1063">
        <v>2961300740887</v>
      </c>
      <c r="O128" s="1063">
        <v>2848021130648</v>
      </c>
      <c r="P128" s="1063">
        <v>3846609874513</v>
      </c>
      <c r="Q128" s="1063">
        <v>1267568942161</v>
      </c>
      <c r="R128" s="1063">
        <v>2755712841572</v>
      </c>
      <c r="S128" s="1063">
        <v>3882931392179</v>
      </c>
      <c r="T128" s="1063">
        <v>4213143277788</v>
      </c>
      <c r="U128" s="1063">
        <v>2358002978929</v>
      </c>
      <c r="V128" s="1063">
        <v>4836863471358</v>
      </c>
      <c r="W128" s="1063">
        <v>4297753643727</v>
      </c>
      <c r="X128" s="1063">
        <v>6509349349274</v>
      </c>
      <c r="Y128" s="1063">
        <v>2520664879574</v>
      </c>
      <c r="Z128" s="1063">
        <v>5291527134929</v>
      </c>
      <c r="AA128" s="1063">
        <v>4558583159707</v>
      </c>
      <c r="AB128" s="1063">
        <v>7115999267365</v>
      </c>
      <c r="AC128" s="1063">
        <v>2472396095459</v>
      </c>
      <c r="AD128" s="1063">
        <v>5114236982834</v>
      </c>
      <c r="AE128" s="1063">
        <v>4465000094856</v>
      </c>
      <c r="AF128" s="1063">
        <v>5107579568289</v>
      </c>
      <c r="AG128" s="1063">
        <v>2879466420110</v>
      </c>
      <c r="AH128" s="1063">
        <v>4879435012063</v>
      </c>
      <c r="AI128" s="1063">
        <v>7130373718416</v>
      </c>
      <c r="AJ128" s="1063">
        <v>6791762650132</v>
      </c>
      <c r="AK128" s="1063">
        <v>3540355401457</v>
      </c>
      <c r="AL128" s="1063">
        <v>6325224711886</v>
      </c>
      <c r="AM128" s="1063">
        <v>8048550992741</v>
      </c>
      <c r="AN128" s="1063">
        <v>9791970035071</v>
      </c>
      <c r="AO128" s="1063">
        <v>4882347757250</v>
      </c>
      <c r="AP128" s="1063">
        <v>11238783720904</v>
      </c>
      <c r="AQ128" s="1063">
        <v>11198885641655</v>
      </c>
    </row>
    <row r="129" spans="1:43">
      <c r="A129" s="1064" t="s">
        <v>967</v>
      </c>
      <c r="B129" s="1065">
        <v>5507135280</v>
      </c>
      <c r="C129" s="1065">
        <v>126126710</v>
      </c>
      <c r="D129" s="1065">
        <v>126126710</v>
      </c>
      <c r="E129" s="1065">
        <v>120235015</v>
      </c>
      <c r="F129" s="1065">
        <v>118528285</v>
      </c>
      <c r="G129" s="1065">
        <v>768673219</v>
      </c>
      <c r="H129" s="1065">
        <v>771021547</v>
      </c>
      <c r="I129" s="1065">
        <v>782698554</v>
      </c>
      <c r="J129" s="1065">
        <v>770693216</v>
      </c>
      <c r="K129" s="1065">
        <v>768491092</v>
      </c>
      <c r="L129" s="1065">
        <v>776424206</v>
      </c>
      <c r="M129" s="1065">
        <v>771582612</v>
      </c>
      <c r="N129" s="1065">
        <v>776485816</v>
      </c>
      <c r="O129" s="1065">
        <v>774214468</v>
      </c>
      <c r="P129" s="1065">
        <v>766471648</v>
      </c>
      <c r="Q129" s="1065">
        <v>771172322</v>
      </c>
      <c r="R129" s="1065">
        <v>1476786632</v>
      </c>
      <c r="S129" s="1065">
        <v>1457435580</v>
      </c>
      <c r="T129" s="1065">
        <v>1834882858</v>
      </c>
      <c r="U129" s="1065">
        <v>1861015882</v>
      </c>
      <c r="V129" s="1065">
        <v>1803707969</v>
      </c>
      <c r="W129" s="1065">
        <v>3058714152</v>
      </c>
      <c r="X129" s="1065">
        <v>2962582140</v>
      </c>
      <c r="Y129" s="1065">
        <v>4587410910</v>
      </c>
      <c r="Z129" s="1065">
        <v>4346381281</v>
      </c>
      <c r="AA129" s="1065">
        <v>4357136662</v>
      </c>
      <c r="AB129" s="1065">
        <v>4428318260</v>
      </c>
      <c r="AC129" s="1065">
        <v>4521400457</v>
      </c>
      <c r="AD129" s="1065">
        <v>4346381281</v>
      </c>
      <c r="AE129" s="1065">
        <v>4479080440</v>
      </c>
      <c r="AF129" s="1065">
        <v>6743138749</v>
      </c>
      <c r="AG129" s="1065">
        <v>6830058972</v>
      </c>
      <c r="AH129" s="1065">
        <v>7411120644</v>
      </c>
      <c r="AI129" s="1065">
        <v>7373800742</v>
      </c>
      <c r="AJ129" s="1065">
        <v>5284333841</v>
      </c>
      <c r="AK129" s="1065">
        <v>7466675647</v>
      </c>
      <c r="AL129" s="1065">
        <v>8441862328</v>
      </c>
      <c r="AM129" s="1065">
        <v>8375933151</v>
      </c>
      <c r="AN129" s="1065">
        <v>8236213106</v>
      </c>
      <c r="AO129" s="1065">
        <v>8450872819</v>
      </c>
      <c r="AP129" s="1065">
        <v>9318389412</v>
      </c>
      <c r="AQ129" s="1065">
        <v>9598920100</v>
      </c>
    </row>
    <row r="130" spans="1:43">
      <c r="A130" s="1064" t="s">
        <v>968</v>
      </c>
      <c r="B130" s="1065">
        <v>1354051496379</v>
      </c>
      <c r="C130" s="1065">
        <v>1007333182019</v>
      </c>
      <c r="D130" s="1065">
        <v>1197841755042</v>
      </c>
      <c r="E130" s="1065">
        <v>121457914578</v>
      </c>
      <c r="F130" s="1065">
        <v>1056626205147</v>
      </c>
      <c r="G130" s="1065">
        <v>1575993710085</v>
      </c>
      <c r="H130" s="1065">
        <v>848101584226</v>
      </c>
      <c r="I130" s="1065">
        <v>332043539873</v>
      </c>
      <c r="J130" s="1065">
        <v>1163415348436</v>
      </c>
      <c r="K130" s="1065">
        <v>1017554210570</v>
      </c>
      <c r="L130" s="1065">
        <v>1793135315218</v>
      </c>
      <c r="M130" s="1065">
        <v>318843903799</v>
      </c>
      <c r="N130" s="1065">
        <v>1471339157106</v>
      </c>
      <c r="O130" s="1065">
        <v>1683314398099</v>
      </c>
      <c r="P130" s="1065">
        <v>1356605605007</v>
      </c>
      <c r="Q130" s="1065">
        <v>369424867336</v>
      </c>
      <c r="R130" s="1065">
        <v>1568953175336</v>
      </c>
      <c r="S130" s="1065">
        <v>2036130272744</v>
      </c>
      <c r="T130" s="1065">
        <v>1139670261396</v>
      </c>
      <c r="U130" s="1065">
        <v>652790044482</v>
      </c>
      <c r="V130" s="1065">
        <v>1782676133752</v>
      </c>
      <c r="W130" s="1065">
        <v>1551770234272</v>
      </c>
      <c r="X130" s="1065">
        <v>1407330364281</v>
      </c>
      <c r="Y130" s="1065">
        <v>601874071339</v>
      </c>
      <c r="Z130" s="1065">
        <v>1395188297816</v>
      </c>
      <c r="AA130" s="1065">
        <v>1371594184920</v>
      </c>
      <c r="AB130" s="1065">
        <v>1220239681133</v>
      </c>
      <c r="AC130" s="1065">
        <v>464282266131</v>
      </c>
      <c r="AD130" s="1065">
        <v>1885364548364</v>
      </c>
      <c r="AE130" s="1065">
        <v>1003303304368</v>
      </c>
      <c r="AF130" s="1065">
        <v>742974231312</v>
      </c>
      <c r="AG130" s="1065">
        <v>696128544415</v>
      </c>
      <c r="AH130" s="1065">
        <v>1578360256767</v>
      </c>
      <c r="AI130" s="1065">
        <v>1453568382819</v>
      </c>
      <c r="AJ130" s="1065">
        <v>1305396207833</v>
      </c>
      <c r="AK130" s="1065">
        <v>798381092547</v>
      </c>
      <c r="AL130" s="1065">
        <v>2188118382247</v>
      </c>
      <c r="AM130" s="1065">
        <v>1937153236452</v>
      </c>
      <c r="AN130" s="1065">
        <v>2216669040339</v>
      </c>
      <c r="AO130" s="1065">
        <v>1268771698512</v>
      </c>
      <c r="AP130" s="1065">
        <v>3810874588938</v>
      </c>
      <c r="AQ130" s="1065">
        <v>5731584565646</v>
      </c>
    </row>
    <row r="131" spans="1:43">
      <c r="A131" s="1064" t="s">
        <v>969</v>
      </c>
      <c r="B131" s="1065">
        <v>209421244577</v>
      </c>
      <c r="C131" s="1065">
        <v>201556098273</v>
      </c>
      <c r="D131" s="1065">
        <v>221806985243</v>
      </c>
      <c r="E131" s="1065">
        <v>246759355542</v>
      </c>
      <c r="F131" s="1065">
        <v>218308101827</v>
      </c>
      <c r="G131" s="1065">
        <v>277513833114</v>
      </c>
      <c r="H131" s="1065">
        <v>296959849809</v>
      </c>
      <c r="I131" s="1065">
        <v>327138474606</v>
      </c>
      <c r="J131" s="1065">
        <v>289576012841</v>
      </c>
      <c r="K131" s="1065">
        <v>320563951777</v>
      </c>
      <c r="L131" s="1065">
        <v>374370503702</v>
      </c>
      <c r="M131" s="1065">
        <v>434192310934</v>
      </c>
      <c r="N131" s="1065">
        <v>370015458585</v>
      </c>
      <c r="O131" s="1065">
        <v>424751554687</v>
      </c>
      <c r="P131" s="1065">
        <v>469945959709</v>
      </c>
      <c r="Q131" s="1065">
        <v>494815113137</v>
      </c>
      <c r="R131" s="1065">
        <v>487874789254</v>
      </c>
      <c r="S131" s="1065">
        <v>510323531108</v>
      </c>
      <c r="T131" s="1065">
        <v>561242826028</v>
      </c>
      <c r="U131" s="1065">
        <v>599400421104</v>
      </c>
      <c r="V131" s="1065">
        <v>603606787673</v>
      </c>
      <c r="W131" s="1065">
        <v>668021511533</v>
      </c>
      <c r="X131" s="1065">
        <v>777537856560</v>
      </c>
      <c r="Y131" s="1065">
        <v>788575300741</v>
      </c>
      <c r="Z131" s="1065">
        <v>787629946699</v>
      </c>
      <c r="AA131" s="1065">
        <v>773425647370</v>
      </c>
      <c r="AB131" s="1065">
        <v>898299615146</v>
      </c>
      <c r="AC131" s="1065">
        <v>926052614912</v>
      </c>
      <c r="AD131" s="1065">
        <v>834102540088</v>
      </c>
      <c r="AE131" s="1065">
        <v>926136264053</v>
      </c>
      <c r="AF131" s="1065">
        <v>972814376118</v>
      </c>
      <c r="AG131" s="1065">
        <v>946206997214</v>
      </c>
      <c r="AH131" s="1065">
        <v>879437017844</v>
      </c>
      <c r="AI131" s="1065">
        <v>979241315076</v>
      </c>
      <c r="AJ131" s="1065">
        <v>1020223237631</v>
      </c>
      <c r="AK131" s="1065">
        <v>995775738623</v>
      </c>
      <c r="AL131" s="1065">
        <v>935364975109</v>
      </c>
      <c r="AM131" s="1065">
        <v>926528106089</v>
      </c>
      <c r="AN131" s="1065">
        <v>1014185551337</v>
      </c>
      <c r="AO131" s="1065">
        <v>1065629849965</v>
      </c>
      <c r="AP131" s="1065">
        <v>967609188242</v>
      </c>
      <c r="AQ131" s="1065">
        <v>1029558496125</v>
      </c>
    </row>
    <row r="132" spans="1:43">
      <c r="A132" s="1064" t="s">
        <v>970</v>
      </c>
      <c r="B132" s="1065">
        <v>4101940000</v>
      </c>
      <c r="C132" s="1065">
        <v>4101940000</v>
      </c>
      <c r="D132" s="1065">
        <v>4101940000</v>
      </c>
      <c r="E132" s="1065">
        <v>4071940000</v>
      </c>
      <c r="F132" s="1065">
        <v>3721940000</v>
      </c>
      <c r="G132" s="1065">
        <v>3721940000</v>
      </c>
      <c r="H132" s="1065">
        <v>3721940000</v>
      </c>
      <c r="I132" s="1065">
        <v>3685400000</v>
      </c>
      <c r="J132" s="1065">
        <v>3685400000</v>
      </c>
      <c r="K132" s="1065">
        <v>3685400000</v>
      </c>
      <c r="L132" s="1065">
        <v>3685400000</v>
      </c>
      <c r="M132" s="1065">
        <v>3685400000</v>
      </c>
      <c r="N132" s="1065">
        <v>3685400000</v>
      </c>
      <c r="O132" s="1065">
        <v>3415000000</v>
      </c>
      <c r="P132" s="1065">
        <v>3415000000</v>
      </c>
      <c r="Q132" s="1065">
        <v>3415000000</v>
      </c>
      <c r="R132" s="1065">
        <v>3415000000</v>
      </c>
      <c r="S132" s="1065">
        <v>3415000000</v>
      </c>
      <c r="T132" s="1065">
        <v>3415000000</v>
      </c>
      <c r="U132" s="1065">
        <v>2415000000</v>
      </c>
      <c r="V132" s="1065">
        <v>2415000000</v>
      </c>
      <c r="W132" s="1065">
        <v>150000000</v>
      </c>
      <c r="X132" s="1065">
        <v>50000000</v>
      </c>
      <c r="Y132" s="1065">
        <v>50000000</v>
      </c>
      <c r="Z132" s="1065">
        <v>50000000</v>
      </c>
      <c r="AA132" s="1065">
        <v>50000000</v>
      </c>
      <c r="AB132" s="1065">
        <v>50000000</v>
      </c>
      <c r="AC132" s="1065">
        <v>50000000</v>
      </c>
      <c r="AD132" s="1065">
        <v>50000000</v>
      </c>
      <c r="AE132" s="1065">
        <v>0</v>
      </c>
      <c r="AF132" s="1065">
        <v>0</v>
      </c>
      <c r="AG132" s="1065">
        <v>0</v>
      </c>
      <c r="AH132" s="1065">
        <v>0</v>
      </c>
      <c r="AI132" s="1065">
        <v>0</v>
      </c>
      <c r="AJ132" s="1065">
        <v>0</v>
      </c>
      <c r="AK132" s="1065">
        <v>0</v>
      </c>
      <c r="AL132" s="1065">
        <v>0</v>
      </c>
      <c r="AM132" s="1065">
        <v>0</v>
      </c>
      <c r="AN132" s="1065">
        <v>0</v>
      </c>
      <c r="AO132" s="1065">
        <v>0</v>
      </c>
      <c r="AP132" s="1065">
        <v>0</v>
      </c>
      <c r="AQ132" s="1065">
        <v>0</v>
      </c>
    </row>
    <row r="133" spans="1:43">
      <c r="A133" s="1064" t="s">
        <v>971</v>
      </c>
      <c r="B133" s="1065">
        <v>1199792100000</v>
      </c>
      <c r="C133" s="1065">
        <v>736539850000</v>
      </c>
      <c r="D133" s="1065">
        <v>1022930880682</v>
      </c>
      <c r="E133" s="1065">
        <v>46667720000</v>
      </c>
      <c r="F133" s="1065">
        <v>1311059230000</v>
      </c>
      <c r="G133" s="1065">
        <v>628586599023</v>
      </c>
      <c r="H133" s="1065">
        <v>1126662700000</v>
      </c>
      <c r="I133" s="1065">
        <v>32175200000</v>
      </c>
      <c r="J133" s="1065">
        <v>974307045349</v>
      </c>
      <c r="K133" s="1065">
        <v>700265429296</v>
      </c>
      <c r="L133" s="1065">
        <v>1171729358503</v>
      </c>
      <c r="M133" s="1065">
        <v>89503500000</v>
      </c>
      <c r="N133" s="1065">
        <v>1064035764330</v>
      </c>
      <c r="O133" s="1065">
        <v>698573592204</v>
      </c>
      <c r="P133" s="1065">
        <v>1977539742606</v>
      </c>
      <c r="Q133" s="1065">
        <v>357136634998</v>
      </c>
      <c r="R133" s="1065">
        <v>625826080152</v>
      </c>
      <c r="S133" s="1065">
        <v>1243934234485</v>
      </c>
      <c r="T133" s="1065">
        <v>2200336221240</v>
      </c>
      <c r="U133" s="1065">
        <v>791213105577</v>
      </c>
      <c r="V133" s="1065">
        <v>2152606287398</v>
      </c>
      <c r="W133" s="1065">
        <v>1763735859998</v>
      </c>
      <c r="X133" s="1065">
        <v>3991683640501</v>
      </c>
      <c r="Y133" s="1065">
        <v>792990942832</v>
      </c>
      <c r="Z133" s="1065">
        <v>2757873219714</v>
      </c>
      <c r="AA133" s="1065">
        <v>2052145017580</v>
      </c>
      <c r="AB133" s="1065">
        <v>4625160425265</v>
      </c>
      <c r="AC133" s="1065">
        <v>572924940293</v>
      </c>
      <c r="AD133" s="1065">
        <v>1891793480896</v>
      </c>
      <c r="AE133" s="1065">
        <v>1975485594495</v>
      </c>
      <c r="AF133" s="1065">
        <v>2832618404831</v>
      </c>
      <c r="AG133" s="1065">
        <v>801259288510</v>
      </c>
      <c r="AH133" s="1065">
        <v>1944470621323</v>
      </c>
      <c r="AI133" s="1065">
        <v>4261595413704</v>
      </c>
      <c r="AJ133" s="1065">
        <v>4033344935434</v>
      </c>
      <c r="AK133" s="1065">
        <v>1314206279998</v>
      </c>
      <c r="AL133" s="1065">
        <v>2717901834633</v>
      </c>
      <c r="AM133" s="1065">
        <v>4708883867755</v>
      </c>
      <c r="AN133" s="1065">
        <v>6084140763972</v>
      </c>
      <c r="AO133" s="1065">
        <v>2057876529998</v>
      </c>
      <c r="AP133" s="1065">
        <v>5999370767579</v>
      </c>
      <c r="AQ133" s="1065">
        <v>3844791965404</v>
      </c>
    </row>
    <row r="134" spans="1:43">
      <c r="A134" s="1064" t="s">
        <v>972</v>
      </c>
      <c r="B134" s="1065">
        <v>7377436397</v>
      </c>
      <c r="C134" s="1065">
        <v>4744928308</v>
      </c>
      <c r="D134" s="1065">
        <v>5661078020</v>
      </c>
      <c r="E134" s="1065">
        <v>3872014628</v>
      </c>
      <c r="F134" s="1065">
        <v>3888218560</v>
      </c>
      <c r="G134" s="1065">
        <v>3491008599</v>
      </c>
      <c r="H134" s="1065">
        <v>1927566286</v>
      </c>
      <c r="I134" s="1065">
        <v>2838865788</v>
      </c>
      <c r="J134" s="1065">
        <v>782448773</v>
      </c>
      <c r="K134" s="1065">
        <v>19266530861</v>
      </c>
      <c r="L134" s="1065">
        <v>16838719054</v>
      </c>
      <c r="M134" s="1065">
        <v>4510089261</v>
      </c>
      <c r="N134" s="1065">
        <v>20405277066</v>
      </c>
      <c r="O134" s="1065">
        <v>794461556</v>
      </c>
      <c r="P134" s="1065">
        <v>1731261090</v>
      </c>
      <c r="Q134" s="1065">
        <v>4172962356</v>
      </c>
      <c r="R134" s="1065">
        <v>26413417079</v>
      </c>
      <c r="S134" s="1065">
        <v>463265775</v>
      </c>
      <c r="T134" s="1065">
        <v>545694595</v>
      </c>
      <c r="U134" s="1065">
        <v>3569441871</v>
      </c>
      <c r="V134" s="1065">
        <v>8673635401</v>
      </c>
      <c r="W134" s="1065">
        <v>3513460009</v>
      </c>
      <c r="X134" s="1065">
        <v>3952044642</v>
      </c>
      <c r="Y134" s="1065">
        <v>3031441727</v>
      </c>
      <c r="Z134" s="1065">
        <v>142299098</v>
      </c>
      <c r="AA134" s="1065">
        <v>1099401445</v>
      </c>
      <c r="AB134" s="1065">
        <v>7122086768</v>
      </c>
      <c r="AC134" s="1065">
        <v>1487820922</v>
      </c>
      <c r="AD134" s="1065">
        <v>6186255963</v>
      </c>
      <c r="AE134" s="1065">
        <v>154097212</v>
      </c>
      <c r="AF134" s="1065">
        <v>388900771</v>
      </c>
      <c r="AG134" s="1065">
        <v>2485700487</v>
      </c>
      <c r="AH134" s="1065">
        <v>15798313515</v>
      </c>
      <c r="AI134" s="1065">
        <v>1378713823</v>
      </c>
      <c r="AJ134" s="1065">
        <v>2887856320</v>
      </c>
      <c r="AK134" s="1065">
        <v>143706787</v>
      </c>
      <c r="AL134" s="1065">
        <v>10139908818</v>
      </c>
      <c r="AM134" s="1065">
        <v>152603062</v>
      </c>
      <c r="AN134" s="1065">
        <v>3124663021</v>
      </c>
      <c r="AO134" s="1065">
        <v>152388482</v>
      </c>
      <c r="AP134" s="1065">
        <v>3027960811</v>
      </c>
      <c r="AQ134" s="1065">
        <v>6578900902</v>
      </c>
    </row>
    <row r="135" spans="1:43">
      <c r="A135" s="1064" t="s">
        <v>973</v>
      </c>
      <c r="B135" s="1065">
        <v>25795472341</v>
      </c>
      <c r="C135" s="1065">
        <v>57508346252</v>
      </c>
      <c r="D135" s="1065">
        <v>57742049331</v>
      </c>
      <c r="E135" s="1065">
        <v>39912457861</v>
      </c>
      <c r="F135" s="1065">
        <v>34972965338</v>
      </c>
      <c r="G135" s="1065">
        <v>3297757323</v>
      </c>
      <c r="H135" s="1065">
        <v>3394586881</v>
      </c>
      <c r="I135" s="1065">
        <v>3589663824</v>
      </c>
      <c r="J135" s="1065">
        <v>1625144857</v>
      </c>
      <c r="K135" s="1065">
        <v>3602126476</v>
      </c>
      <c r="L135" s="1065">
        <v>3658938672</v>
      </c>
      <c r="M135" s="1065">
        <v>4396156205</v>
      </c>
      <c r="N135" s="1065">
        <v>4268065733</v>
      </c>
      <c r="O135" s="1065">
        <v>4615477502</v>
      </c>
      <c r="P135" s="1065">
        <v>4412130928</v>
      </c>
      <c r="Q135" s="1065">
        <v>4572981098</v>
      </c>
      <c r="R135" s="1065">
        <v>5106106472</v>
      </c>
      <c r="S135" s="1065">
        <v>51399001605</v>
      </c>
      <c r="T135" s="1065">
        <v>41373574245</v>
      </c>
      <c r="U135" s="1065">
        <v>41814133108</v>
      </c>
      <c r="V135" s="1065">
        <v>13696502467</v>
      </c>
      <c r="W135" s="1065">
        <v>20457303694</v>
      </c>
      <c r="X135" s="1065">
        <v>28414128187</v>
      </c>
      <c r="Y135" s="1065">
        <v>27502543751</v>
      </c>
      <c r="Z135" s="1065">
        <v>36872799591</v>
      </c>
      <c r="AA135" s="1065">
        <v>32087438672</v>
      </c>
      <c r="AB135" s="1065">
        <v>28187367584</v>
      </c>
      <c r="AC135" s="1065">
        <v>175453402131</v>
      </c>
      <c r="AD135" s="1065">
        <v>172426299196</v>
      </c>
      <c r="AE135" s="1065">
        <v>240347019204</v>
      </c>
      <c r="AF135" s="1065">
        <v>239401730561</v>
      </c>
      <c r="AG135" s="1065">
        <v>117674983734</v>
      </c>
      <c r="AH135" s="1065">
        <v>146612949739</v>
      </c>
      <c r="AI135" s="1065">
        <v>124219198467</v>
      </c>
      <c r="AJ135" s="1065">
        <v>121649310198</v>
      </c>
      <c r="AK135" s="1065">
        <v>111248714468</v>
      </c>
      <c r="AL135" s="1065">
        <v>114979669440</v>
      </c>
      <c r="AM135" s="1065">
        <v>118997163702</v>
      </c>
      <c r="AN135" s="1065">
        <v>117685198269</v>
      </c>
      <c r="AO135" s="1065">
        <v>131898142601</v>
      </c>
      <c r="AP135" s="1065">
        <v>95983022249</v>
      </c>
      <c r="AQ135" s="1065">
        <v>219703674037</v>
      </c>
    </row>
    <row r="136" spans="1:43">
      <c r="A136" s="1064" t="s">
        <v>974</v>
      </c>
      <c r="B136" s="1065"/>
      <c r="C136" s="1065"/>
      <c r="D136" s="1065"/>
      <c r="E136" s="1065"/>
      <c r="F136" s="1065"/>
      <c r="G136" s="1065"/>
      <c r="H136" s="1065"/>
      <c r="I136" s="1065"/>
      <c r="J136" s="1065"/>
      <c r="K136" s="1065"/>
      <c r="L136" s="1065"/>
      <c r="M136" s="1065"/>
      <c r="N136" s="1065">
        <v>26775132251</v>
      </c>
      <c r="O136" s="1065">
        <v>31782432132</v>
      </c>
      <c r="P136" s="1065">
        <v>32193703525</v>
      </c>
      <c r="Q136" s="1065">
        <v>33260210914</v>
      </c>
      <c r="R136" s="1065">
        <v>36647486647</v>
      </c>
      <c r="S136" s="1065">
        <v>35808650882</v>
      </c>
      <c r="T136" s="1065">
        <v>33318370774</v>
      </c>
      <c r="U136" s="1065">
        <v>30602179833</v>
      </c>
      <c r="V136" s="1065">
        <v>31760584848</v>
      </c>
      <c r="W136" s="1065">
        <v>30869790715</v>
      </c>
      <c r="X136" s="1065">
        <v>33398915261</v>
      </c>
      <c r="Y136" s="1065">
        <v>31802541336</v>
      </c>
      <c r="Z136" s="1065">
        <v>30359424721</v>
      </c>
      <c r="AA136" s="1065">
        <v>32776760340</v>
      </c>
      <c r="AB136" s="1065">
        <v>30142047308</v>
      </c>
      <c r="AC136" s="1065">
        <v>27277087520</v>
      </c>
      <c r="AD136" s="1065">
        <v>26303862461</v>
      </c>
      <c r="AE136" s="1065">
        <v>23428342039</v>
      </c>
      <c r="AF136" s="1065">
        <v>20587166055</v>
      </c>
      <c r="AG136" s="1065">
        <v>17861650527</v>
      </c>
      <c r="AH136" s="1065">
        <v>17211955932</v>
      </c>
      <c r="AI136" s="1065">
        <v>13617541221</v>
      </c>
      <c r="AJ136" s="1065">
        <v>11785376984</v>
      </c>
      <c r="AK136" s="1065">
        <v>17166068108</v>
      </c>
      <c r="AL136" s="1065">
        <v>52408178592</v>
      </c>
      <c r="AM136" s="1065">
        <v>52813698066</v>
      </c>
      <c r="AN136" s="1065">
        <v>49425356739</v>
      </c>
      <c r="AO136" s="1065">
        <v>53326025363</v>
      </c>
      <c r="AP136" s="1065">
        <v>57860693712</v>
      </c>
      <c r="AQ136" s="1065">
        <v>58004537486</v>
      </c>
    </row>
    <row r="137" spans="1:43">
      <c r="A137" s="1064" t="s">
        <v>975</v>
      </c>
      <c r="B137" s="1065"/>
      <c r="C137" s="1065"/>
      <c r="D137" s="1065"/>
      <c r="E137" s="1065"/>
      <c r="F137" s="1065"/>
      <c r="G137" s="1065"/>
      <c r="H137" s="1065"/>
      <c r="I137" s="1065"/>
      <c r="J137" s="1065"/>
      <c r="K137" s="1065"/>
      <c r="L137" s="1065"/>
      <c r="M137" s="1065"/>
      <c r="N137" s="1065"/>
      <c r="O137" s="1065"/>
      <c r="P137" s="1065"/>
      <c r="Q137" s="1065"/>
      <c r="R137" s="1065"/>
      <c r="S137" s="1065"/>
      <c r="T137" s="1065">
        <v>242750277510</v>
      </c>
      <c r="U137" s="1065">
        <v>245547070533</v>
      </c>
      <c r="V137" s="1065">
        <v>250859891376</v>
      </c>
      <c r="W137" s="1065">
        <v>268424210643</v>
      </c>
      <c r="X137" s="1065">
        <v>276560602353</v>
      </c>
      <c r="Y137" s="1065">
        <v>284576952916</v>
      </c>
      <c r="Z137" s="1065">
        <v>295159032696</v>
      </c>
      <c r="AA137" s="1065">
        <v>311286158097</v>
      </c>
      <c r="AB137" s="1065">
        <v>324790851557</v>
      </c>
      <c r="AC137" s="1065">
        <v>325850461339</v>
      </c>
      <c r="AD137" s="1065">
        <v>320852722019</v>
      </c>
      <c r="AE137" s="1065">
        <v>320334091748</v>
      </c>
      <c r="AF137" s="1065">
        <v>321931878586</v>
      </c>
      <c r="AG137" s="1065">
        <v>323038714483</v>
      </c>
      <c r="AH137" s="1065">
        <v>325707389760</v>
      </c>
      <c r="AI137" s="1065">
        <v>328132071807</v>
      </c>
      <c r="AJ137" s="1065">
        <v>331416780166</v>
      </c>
      <c r="AK137" s="1065">
        <v>335974345538</v>
      </c>
      <c r="AL137" s="1065">
        <v>336699000128</v>
      </c>
      <c r="AM137" s="1065">
        <v>331425249033</v>
      </c>
      <c r="AN137" s="1065">
        <v>333030736303</v>
      </c>
      <c r="AO137" s="1065">
        <v>329235071614</v>
      </c>
      <c r="AP137" s="1065">
        <v>328509271874</v>
      </c>
      <c r="AQ137" s="1065">
        <v>336260970158</v>
      </c>
    </row>
    <row r="138" spans="1:43">
      <c r="A138" s="1064" t="s">
        <v>976</v>
      </c>
      <c r="B138" s="1065">
        <v>0</v>
      </c>
      <c r="C138" s="1065">
        <v>0</v>
      </c>
      <c r="D138" s="1065">
        <v>0</v>
      </c>
      <c r="E138" s="1065">
        <v>0</v>
      </c>
      <c r="F138" s="1065">
        <v>0</v>
      </c>
      <c r="G138" s="1065">
        <v>0</v>
      </c>
      <c r="H138" s="1065">
        <v>0</v>
      </c>
      <c r="I138" s="1065">
        <v>0</v>
      </c>
      <c r="J138" s="1065">
        <v>0</v>
      </c>
      <c r="K138" s="1065">
        <v>0</v>
      </c>
      <c r="L138" s="1065">
        <v>0</v>
      </c>
      <c r="M138" s="1065">
        <v>0</v>
      </c>
      <c r="N138" s="1065">
        <v>0</v>
      </c>
      <c r="O138" s="1065">
        <v>0</v>
      </c>
      <c r="P138" s="1065">
        <v>0</v>
      </c>
      <c r="Q138" s="1065">
        <v>0</v>
      </c>
      <c r="R138" s="1065">
        <v>0</v>
      </c>
      <c r="S138" s="1065">
        <v>0</v>
      </c>
      <c r="T138" s="1065">
        <v>-11343830858</v>
      </c>
      <c r="U138" s="1065">
        <v>-11209433461</v>
      </c>
      <c r="V138" s="1065">
        <v>-11235059526</v>
      </c>
      <c r="W138" s="1065">
        <v>-12247441289</v>
      </c>
      <c r="X138" s="1065">
        <v>-12540784651</v>
      </c>
      <c r="Y138" s="1065">
        <v>-14326325978</v>
      </c>
      <c r="Z138" s="1065">
        <v>-16094266687</v>
      </c>
      <c r="AA138" s="1065">
        <v>-20238585379</v>
      </c>
      <c r="AB138" s="1065">
        <v>-22421125656</v>
      </c>
      <c r="AC138" s="1065">
        <v>-25503898246</v>
      </c>
      <c r="AD138" s="1065">
        <v>-27189107434</v>
      </c>
      <c r="AE138" s="1065">
        <v>-28667698703</v>
      </c>
      <c r="AF138" s="1065">
        <v>-29880258694</v>
      </c>
      <c r="AG138" s="1065">
        <v>-32019518232</v>
      </c>
      <c r="AH138" s="1065">
        <v>-35574613461</v>
      </c>
      <c r="AI138" s="1065">
        <v>-38752719243</v>
      </c>
      <c r="AJ138" s="1065">
        <v>-40225388275</v>
      </c>
      <c r="AK138" s="1065">
        <v>-40007220259</v>
      </c>
      <c r="AL138" s="1065">
        <v>-38829099409</v>
      </c>
      <c r="AM138" s="1065">
        <v>-35778864569</v>
      </c>
      <c r="AN138" s="1065">
        <v>-34527488015</v>
      </c>
      <c r="AO138" s="1065">
        <v>-32992822104</v>
      </c>
      <c r="AP138" s="1065">
        <v>-33770161913</v>
      </c>
      <c r="AQ138" s="1065">
        <v>-37196388203</v>
      </c>
    </row>
    <row r="139" spans="1:43">
      <c r="A139" s="1066" t="s">
        <v>977</v>
      </c>
      <c r="B139" s="1067">
        <v>117149286130</v>
      </c>
      <c r="C139" s="1067">
        <v>127715279957</v>
      </c>
      <c r="D139" s="1067">
        <v>121758375763</v>
      </c>
      <c r="E139" s="1067">
        <v>195272124550</v>
      </c>
      <c r="F139" s="1067">
        <v>136375247163</v>
      </c>
      <c r="G139" s="1067">
        <v>193378345401</v>
      </c>
      <c r="H139" s="1067">
        <v>191493845709</v>
      </c>
      <c r="I139" s="1067">
        <v>169789378811</v>
      </c>
      <c r="J139" s="1067">
        <v>192605367967</v>
      </c>
      <c r="K139" s="1067">
        <v>161754399913</v>
      </c>
      <c r="L139" s="1067">
        <v>155670047018</v>
      </c>
      <c r="M139" s="1067">
        <v>221966196919</v>
      </c>
      <c r="N139" s="1067">
        <v>251727715567</v>
      </c>
      <c r="O139" s="1067">
        <v>204048149860</v>
      </c>
      <c r="P139" s="1067">
        <v>208928729376</v>
      </c>
      <c r="Q139" s="1067">
        <v>237782261023</v>
      </c>
      <c r="R139" s="1067">
        <v>279105147459</v>
      </c>
      <c r="S139" s="1067">
        <v>217771346568</v>
      </c>
      <c r="T139" s="1067">
        <v>225462169927</v>
      </c>
      <c r="U139" s="1067">
        <v>225680058210</v>
      </c>
      <c r="V139" s="1067">
        <v>251356656615</v>
      </c>
      <c r="W139" s="1067">
        <v>252123217417</v>
      </c>
      <c r="X139" s="1067">
        <v>275365813061</v>
      </c>
      <c r="Y139" s="1067">
        <v>304535458544</v>
      </c>
      <c r="Z139" s="1067">
        <v>358030067821</v>
      </c>
      <c r="AA139" s="1067">
        <v>360893182149</v>
      </c>
      <c r="AB139" s="1067">
        <v>347512516915</v>
      </c>
      <c r="AC139" s="1067">
        <v>358278527985</v>
      </c>
      <c r="AD139" s="1067">
        <v>386892476380</v>
      </c>
      <c r="AE139" s="1067">
        <v>376230696470</v>
      </c>
      <c r="AF139" s="1067">
        <v>373277878209</v>
      </c>
      <c r="AG139" s="1067">
        <v>366143205423</v>
      </c>
      <c r="AH139" s="1067">
        <v>373936952415</v>
      </c>
      <c r="AI139" s="1067">
        <v>357310329063</v>
      </c>
      <c r="AJ139" s="1067">
        <v>387144589513</v>
      </c>
      <c r="AK139" s="1067">
        <v>424555960107</v>
      </c>
      <c r="AL139" s="1067">
        <v>402525868957</v>
      </c>
      <c r="AM139" s="1067">
        <v>403101998110</v>
      </c>
      <c r="AN139" s="1067">
        <v>445890211520</v>
      </c>
      <c r="AO139" s="1067">
        <v>493378988865</v>
      </c>
      <c r="AP139" s="1067">
        <v>461177940249</v>
      </c>
      <c r="AQ139" s="1063">
        <v>460687059289</v>
      </c>
    </row>
    <row r="140" spans="1:43">
      <c r="A140" s="1064" t="s">
        <v>978</v>
      </c>
      <c r="B140" s="1065">
        <v>4578294501</v>
      </c>
      <c r="C140" s="1065">
        <v>13283306346</v>
      </c>
      <c r="D140" s="1065">
        <v>3882542025</v>
      </c>
      <c r="E140" s="1065">
        <v>65222295249</v>
      </c>
      <c r="F140" s="1065">
        <v>3609325929</v>
      </c>
      <c r="G140" s="1065">
        <v>19295927950</v>
      </c>
      <c r="H140" s="1065">
        <v>19821424949</v>
      </c>
      <c r="I140" s="1065">
        <v>18764535992</v>
      </c>
      <c r="J140" s="1065">
        <v>20331442975</v>
      </c>
      <c r="K140" s="1065">
        <v>17197386494</v>
      </c>
      <c r="L140" s="1065">
        <v>17258684352</v>
      </c>
      <c r="M140" s="1065">
        <v>48646868370</v>
      </c>
      <c r="N140" s="1065">
        <v>50396896020</v>
      </c>
      <c r="O140" s="1065">
        <v>20969264826</v>
      </c>
      <c r="P140" s="1065">
        <v>19233842008</v>
      </c>
      <c r="Q140" s="1065">
        <v>19658448461</v>
      </c>
      <c r="R140" s="1065">
        <v>22276572871</v>
      </c>
      <c r="S140" s="1065">
        <v>26203862133</v>
      </c>
      <c r="T140" s="1065">
        <v>32674833758</v>
      </c>
      <c r="U140" s="1065">
        <v>34825948615</v>
      </c>
      <c r="V140" s="1065">
        <v>32445383285</v>
      </c>
      <c r="W140" s="1065">
        <v>38606472392</v>
      </c>
      <c r="X140" s="1065">
        <v>39668659035</v>
      </c>
      <c r="Y140" s="1065">
        <v>41544329010</v>
      </c>
      <c r="Z140" s="1065">
        <v>45367513242</v>
      </c>
      <c r="AA140" s="1065">
        <v>47470992818</v>
      </c>
      <c r="AB140" s="1065">
        <v>46857606026</v>
      </c>
      <c r="AC140" s="1065">
        <v>44003229266</v>
      </c>
      <c r="AD140" s="1065">
        <v>39272141041</v>
      </c>
      <c r="AE140" s="1065">
        <v>37796211976</v>
      </c>
      <c r="AF140" s="1065">
        <v>37747111767</v>
      </c>
      <c r="AG140" s="1065">
        <v>33359302315</v>
      </c>
      <c r="AH140" s="1065">
        <v>34680366922</v>
      </c>
      <c r="AI140" s="1065">
        <v>34458071818</v>
      </c>
      <c r="AJ140" s="1065">
        <v>35789386997</v>
      </c>
      <c r="AK140" s="1065">
        <v>40361026898</v>
      </c>
      <c r="AL140" s="1065">
        <v>41281488075</v>
      </c>
      <c r="AM140" s="1065">
        <v>54972816325</v>
      </c>
      <c r="AN140" s="1065">
        <v>50647893345</v>
      </c>
      <c r="AO140" s="1065">
        <v>52709450810</v>
      </c>
      <c r="AP140" s="1065">
        <v>63133487551</v>
      </c>
      <c r="AQ140" s="1065">
        <v>68761323955</v>
      </c>
    </row>
    <row r="141" spans="1:43">
      <c r="A141" s="1064" t="s">
        <v>979</v>
      </c>
      <c r="B141" s="1065">
        <v>83309628174</v>
      </c>
      <c r="C141" s="1065">
        <v>87689197409</v>
      </c>
      <c r="D141" s="1065">
        <v>87756531772</v>
      </c>
      <c r="E141" s="1065">
        <v>105561878414</v>
      </c>
      <c r="F141" s="1065">
        <v>97667573987</v>
      </c>
      <c r="G141" s="1065">
        <v>135201248658</v>
      </c>
      <c r="H141" s="1065">
        <v>131883555617</v>
      </c>
      <c r="I141" s="1065">
        <v>117953870866</v>
      </c>
      <c r="J141" s="1065">
        <v>110808323438</v>
      </c>
      <c r="K141" s="1065">
        <v>111226191094</v>
      </c>
      <c r="L141" s="1065">
        <v>113557034388</v>
      </c>
      <c r="M141" s="1065">
        <v>139980071308</v>
      </c>
      <c r="N141" s="1065">
        <v>156311087105</v>
      </c>
      <c r="O141" s="1065">
        <v>168815192209</v>
      </c>
      <c r="P141" s="1065">
        <v>178269229275</v>
      </c>
      <c r="Q141" s="1065">
        <v>198117682249</v>
      </c>
      <c r="R141" s="1065">
        <v>224929407383</v>
      </c>
      <c r="S141" s="1065">
        <v>176417448385</v>
      </c>
      <c r="T141" s="1065">
        <v>174461867654</v>
      </c>
      <c r="U141" s="1065">
        <v>173151907020</v>
      </c>
      <c r="V141" s="1065">
        <v>179807649525</v>
      </c>
      <c r="W141" s="1065">
        <v>186524627742</v>
      </c>
      <c r="X141" s="1065">
        <v>194577667832</v>
      </c>
      <c r="Y141" s="1065">
        <v>228029867483</v>
      </c>
      <c r="Z141" s="1065">
        <v>230156009451</v>
      </c>
      <c r="AA141" s="1065">
        <v>234795304804</v>
      </c>
      <c r="AB141" s="1065">
        <v>228724893057</v>
      </c>
      <c r="AC141" s="1065">
        <v>240315784722</v>
      </c>
      <c r="AD141" s="1065">
        <v>264816785446</v>
      </c>
      <c r="AE141" s="1065">
        <v>263780884823</v>
      </c>
      <c r="AF141" s="1065">
        <v>260106332247</v>
      </c>
      <c r="AG141" s="1065">
        <v>257755583618</v>
      </c>
      <c r="AH141" s="1065">
        <v>257085294896</v>
      </c>
      <c r="AI141" s="1065">
        <v>245852247594</v>
      </c>
      <c r="AJ141" s="1065">
        <v>265676495715</v>
      </c>
      <c r="AK141" s="1065">
        <v>291696391235</v>
      </c>
      <c r="AL141" s="1065">
        <v>273171070270</v>
      </c>
      <c r="AM141" s="1065">
        <v>262847214137</v>
      </c>
      <c r="AN141" s="1065">
        <v>291799757493</v>
      </c>
      <c r="AO141" s="1065">
        <v>321679882198</v>
      </c>
      <c r="AP141" s="1065">
        <v>300953008168</v>
      </c>
      <c r="AQ141" s="1065">
        <v>289147690141</v>
      </c>
    </row>
    <row r="142" spans="1:43">
      <c r="A142" s="1064" t="s">
        <v>980</v>
      </c>
      <c r="B142" s="1065">
        <v>13258105924</v>
      </c>
      <c r="C142" s="1065">
        <v>10738725345</v>
      </c>
      <c r="D142" s="1065">
        <v>12762883153</v>
      </c>
      <c r="E142" s="1065">
        <v>8481018247</v>
      </c>
      <c r="F142" s="1065">
        <v>16150532766</v>
      </c>
      <c r="G142" s="1065">
        <v>11732890369</v>
      </c>
      <c r="H142" s="1065">
        <v>13093559950</v>
      </c>
      <c r="I142" s="1065">
        <v>10296086805</v>
      </c>
      <c r="J142" s="1065">
        <v>24762023270</v>
      </c>
      <c r="K142" s="1065">
        <v>11611474771</v>
      </c>
      <c r="L142" s="1065">
        <v>12019739904</v>
      </c>
      <c r="M142" s="1065">
        <v>17293229647</v>
      </c>
      <c r="N142" s="1065">
        <v>31066276536</v>
      </c>
      <c r="O142" s="1065">
        <v>13258843434</v>
      </c>
      <c r="P142" s="1065">
        <v>11013886241</v>
      </c>
      <c r="Q142" s="1065">
        <v>14751022842</v>
      </c>
      <c r="R142" s="1065">
        <v>30348798687</v>
      </c>
      <c r="S142" s="1065">
        <v>12524429709</v>
      </c>
      <c r="T142" s="1065">
        <v>16758244727</v>
      </c>
      <c r="U142" s="1065">
        <v>13764762272</v>
      </c>
      <c r="V142" s="1065">
        <v>30467017001</v>
      </c>
      <c r="W142" s="1065">
        <v>18718119785</v>
      </c>
      <c r="X142" s="1065">
        <v>19436081293</v>
      </c>
      <c r="Y142" s="1065">
        <v>18546035966</v>
      </c>
      <c r="Z142" s="1065">
        <v>23312171017</v>
      </c>
      <c r="AA142" s="1065">
        <v>21399485177</v>
      </c>
      <c r="AB142" s="1065">
        <v>13945230907</v>
      </c>
      <c r="AC142" s="1065">
        <v>14615677260</v>
      </c>
      <c r="AD142" s="1065">
        <v>22977585976</v>
      </c>
      <c r="AE142" s="1065">
        <v>19042695276</v>
      </c>
      <c r="AF142" s="1065">
        <v>13851546779</v>
      </c>
      <c r="AG142" s="1065">
        <v>15639459886</v>
      </c>
      <c r="AH142" s="1065">
        <v>18900990234</v>
      </c>
      <c r="AI142" s="1065">
        <v>14819662215</v>
      </c>
      <c r="AJ142" s="1065">
        <v>23043498363</v>
      </c>
      <c r="AK142" s="1065">
        <v>24143750013</v>
      </c>
      <c r="AL142" s="1065">
        <v>24153069044</v>
      </c>
      <c r="AM142" s="1065">
        <v>20525451297</v>
      </c>
      <c r="AN142" s="1065">
        <v>25886050746</v>
      </c>
      <c r="AO142" s="1065">
        <v>54185994095</v>
      </c>
      <c r="AP142" s="1065">
        <v>29597843129</v>
      </c>
      <c r="AQ142" s="1065">
        <v>34842089727</v>
      </c>
    </row>
    <row r="143" spans="1:43">
      <c r="A143" s="1064" t="s">
        <v>981</v>
      </c>
      <c r="B143" s="1065">
        <v>0</v>
      </c>
      <c r="C143" s="1065">
        <v>0</v>
      </c>
      <c r="D143" s="1065">
        <v>0</v>
      </c>
      <c r="E143" s="1065">
        <v>0</v>
      </c>
      <c r="F143" s="1065">
        <v>0</v>
      </c>
      <c r="G143" s="1065">
        <v>0</v>
      </c>
      <c r="H143" s="1065">
        <v>7500</v>
      </c>
      <c r="I143" s="1065">
        <v>0</v>
      </c>
      <c r="J143" s="1065">
        <v>0</v>
      </c>
      <c r="K143" s="1065">
        <v>0</v>
      </c>
      <c r="L143" s="1065">
        <v>0</v>
      </c>
      <c r="M143" s="1065">
        <v>0</v>
      </c>
      <c r="N143" s="1065">
        <v>0</v>
      </c>
      <c r="O143" s="1065">
        <v>0</v>
      </c>
      <c r="P143" s="1065">
        <v>0</v>
      </c>
      <c r="Q143" s="1065">
        <v>0</v>
      </c>
      <c r="R143" s="1065">
        <v>0</v>
      </c>
      <c r="S143" s="1065">
        <v>0</v>
      </c>
      <c r="T143" s="1065">
        <v>0</v>
      </c>
      <c r="U143" s="1065">
        <v>0</v>
      </c>
      <c r="V143" s="1065">
        <v>0</v>
      </c>
      <c r="W143" s="1065">
        <v>0</v>
      </c>
      <c r="X143" s="1065">
        <v>0</v>
      </c>
      <c r="Y143" s="1065">
        <v>0</v>
      </c>
      <c r="Z143" s="1065">
        <v>0</v>
      </c>
      <c r="AA143" s="1065">
        <v>0</v>
      </c>
      <c r="AB143" s="1065">
        <v>0</v>
      </c>
      <c r="AC143" s="1065">
        <v>0</v>
      </c>
      <c r="AD143" s="1065">
        <v>0</v>
      </c>
      <c r="AE143" s="1065">
        <v>0</v>
      </c>
      <c r="AF143" s="1065">
        <v>0</v>
      </c>
      <c r="AG143" s="1065">
        <v>0</v>
      </c>
      <c r="AH143" s="1065">
        <v>0</v>
      </c>
      <c r="AI143" s="1065">
        <v>0</v>
      </c>
      <c r="AJ143" s="1065">
        <v>0</v>
      </c>
      <c r="AK143" s="1065">
        <v>0</v>
      </c>
      <c r="AL143" s="1065">
        <v>0</v>
      </c>
      <c r="AM143" s="1065">
        <v>0</v>
      </c>
      <c r="AN143" s="1065">
        <v>0</v>
      </c>
      <c r="AO143" s="1065">
        <v>0</v>
      </c>
      <c r="AP143" s="1065">
        <v>0</v>
      </c>
      <c r="AQ143" s="1065">
        <v>0</v>
      </c>
    </row>
    <row r="144" spans="1:43">
      <c r="A144" s="1064" t="s">
        <v>982</v>
      </c>
      <c r="B144" s="1065">
        <v>16003257531</v>
      </c>
      <c r="C144" s="1065">
        <v>16004050857</v>
      </c>
      <c r="D144" s="1065">
        <v>17356418813</v>
      </c>
      <c r="E144" s="1065">
        <v>16006932640</v>
      </c>
      <c r="F144" s="1065">
        <v>18947814481</v>
      </c>
      <c r="G144" s="1065">
        <v>27148278424</v>
      </c>
      <c r="H144" s="1065">
        <v>26695297693</v>
      </c>
      <c r="I144" s="1065">
        <v>22774885148</v>
      </c>
      <c r="J144" s="1065">
        <v>36703578284</v>
      </c>
      <c r="K144" s="1065">
        <v>21719347554</v>
      </c>
      <c r="L144" s="1065">
        <v>12834588374</v>
      </c>
      <c r="M144" s="1065">
        <v>16046027594</v>
      </c>
      <c r="N144" s="1065">
        <v>13953455906</v>
      </c>
      <c r="O144" s="1065">
        <v>1004849391</v>
      </c>
      <c r="P144" s="1065">
        <v>411771852</v>
      </c>
      <c r="Q144" s="1065">
        <v>5255107471</v>
      </c>
      <c r="R144" s="1065">
        <v>1550368518</v>
      </c>
      <c r="S144" s="1065">
        <v>2625606341</v>
      </c>
      <c r="T144" s="1065">
        <v>1567223788</v>
      </c>
      <c r="U144" s="1065">
        <v>3937440303</v>
      </c>
      <c r="V144" s="1065">
        <v>8636606804</v>
      </c>
      <c r="W144" s="1065">
        <v>8273997498</v>
      </c>
      <c r="X144" s="1065">
        <v>21683404901</v>
      </c>
      <c r="Y144" s="1065">
        <v>16415226085</v>
      </c>
      <c r="Z144" s="1065">
        <v>59194374111</v>
      </c>
      <c r="AA144" s="1065">
        <v>57227399350</v>
      </c>
      <c r="AB144" s="1065">
        <v>57984786925</v>
      </c>
      <c r="AC144" s="1065">
        <v>59343836737</v>
      </c>
      <c r="AD144" s="1065">
        <v>59825963917</v>
      </c>
      <c r="AE144" s="1065">
        <v>55610904395</v>
      </c>
      <c r="AF144" s="1065">
        <v>61572887416</v>
      </c>
      <c r="AG144" s="1065">
        <v>59388859604</v>
      </c>
      <c r="AH144" s="1065">
        <v>63270300363</v>
      </c>
      <c r="AI144" s="1065">
        <v>62180347436</v>
      </c>
      <c r="AJ144" s="1065">
        <v>62635208438</v>
      </c>
      <c r="AK144" s="1065">
        <v>68354791961</v>
      </c>
      <c r="AL144" s="1065">
        <v>63920241568</v>
      </c>
      <c r="AM144" s="1065">
        <v>64756516351</v>
      </c>
      <c r="AN144" s="1065">
        <v>77556509936</v>
      </c>
      <c r="AO144" s="1065">
        <v>64803661762</v>
      </c>
      <c r="AP144" s="1065">
        <v>67493601401</v>
      </c>
      <c r="AQ144" s="1065">
        <v>67935955466</v>
      </c>
    </row>
    <row r="145" spans="1:43">
      <c r="A145" s="1060" t="s">
        <v>832</v>
      </c>
      <c r="B145" s="1061">
        <v>1667638099513</v>
      </c>
      <c r="C145" s="1061">
        <v>1753090346141</v>
      </c>
      <c r="D145" s="1061">
        <v>1816143992066</v>
      </c>
      <c r="E145" s="1061">
        <v>1869821010278</v>
      </c>
      <c r="F145" s="1061">
        <v>1886638250897</v>
      </c>
      <c r="G145" s="1061">
        <v>3137935102999</v>
      </c>
      <c r="H145" s="1061">
        <v>3224209270347.5</v>
      </c>
      <c r="I145" s="1061">
        <v>3312603378638</v>
      </c>
      <c r="J145" s="1061">
        <v>3274631065491</v>
      </c>
      <c r="K145" s="1061">
        <v>3381279262357</v>
      </c>
      <c r="L145" s="1061">
        <v>3364910063927</v>
      </c>
      <c r="M145" s="1061">
        <v>3473113267974</v>
      </c>
      <c r="N145" s="1061">
        <v>3474871608484</v>
      </c>
      <c r="O145" s="1061">
        <v>3630765400280</v>
      </c>
      <c r="P145" s="1061">
        <v>3661582477958</v>
      </c>
      <c r="Q145" s="1061">
        <v>4019279307784</v>
      </c>
      <c r="R145" s="1061">
        <v>4031810347209</v>
      </c>
      <c r="S145" s="1061">
        <v>4402226652389</v>
      </c>
      <c r="T145" s="1061">
        <v>4586405261332</v>
      </c>
      <c r="U145" s="1061">
        <v>4788782973465</v>
      </c>
      <c r="V145" s="1061">
        <v>4764434656959</v>
      </c>
      <c r="W145" s="1061">
        <v>5026278586065</v>
      </c>
      <c r="X145" s="1061">
        <v>5078612622637</v>
      </c>
      <c r="Y145" s="1061">
        <v>5334414426822</v>
      </c>
      <c r="Z145" s="1061">
        <v>5398408852839</v>
      </c>
      <c r="AA145" s="1061">
        <v>5631834853689</v>
      </c>
      <c r="AB145" s="1061">
        <v>5840225882891</v>
      </c>
      <c r="AC145" s="1061">
        <v>5691934555303</v>
      </c>
      <c r="AD145" s="1061">
        <v>6016059409448</v>
      </c>
      <c r="AE145" s="1061">
        <v>6166579365988</v>
      </c>
      <c r="AF145" s="1061">
        <v>5978301958158</v>
      </c>
      <c r="AG145" s="1061">
        <v>6098392806338</v>
      </c>
      <c r="AH145" s="1061">
        <v>6107620577043</v>
      </c>
      <c r="AI145" s="1061">
        <v>6392632965765</v>
      </c>
      <c r="AJ145" s="1061">
        <v>6656425390545</v>
      </c>
      <c r="AK145" s="1061">
        <v>6904175728643</v>
      </c>
      <c r="AL145" s="1061">
        <v>7367025648027</v>
      </c>
      <c r="AM145" s="1061">
        <v>7706360626050</v>
      </c>
      <c r="AN145" s="1061">
        <v>7805439266989</v>
      </c>
      <c r="AO145" s="1061">
        <v>8165361511347</v>
      </c>
      <c r="AP145" s="1061">
        <v>8383017577442</v>
      </c>
      <c r="AQ145" s="1061">
        <v>9053108101391</v>
      </c>
    </row>
    <row r="146" spans="1:43">
      <c r="A146" s="1062" t="s">
        <v>983</v>
      </c>
      <c r="B146" s="1063">
        <v>496638534000</v>
      </c>
      <c r="C146" s="1063">
        <v>496638534000</v>
      </c>
      <c r="D146" s="1063">
        <v>496638534000</v>
      </c>
      <c r="E146" s="1063">
        <v>496638534000</v>
      </c>
      <c r="F146" s="1063">
        <v>496638534000</v>
      </c>
      <c r="G146" s="1063">
        <v>717488890000</v>
      </c>
      <c r="H146" s="1063">
        <v>717488890000</v>
      </c>
      <c r="I146" s="1063">
        <v>717488890000</v>
      </c>
      <c r="J146" s="1063">
        <v>717488890000</v>
      </c>
      <c r="K146" s="1063">
        <v>717488890000</v>
      </c>
      <c r="L146" s="1063">
        <v>717488890000</v>
      </c>
      <c r="M146" s="1063">
        <v>717488890000</v>
      </c>
      <c r="N146" s="1063">
        <v>717488890000</v>
      </c>
      <c r="O146" s="1063">
        <v>717488890000</v>
      </c>
      <c r="P146" s="1063">
        <v>717488890000</v>
      </c>
      <c r="Q146" s="1063">
        <v>717488890000</v>
      </c>
      <c r="R146" s="1063">
        <v>717488890000</v>
      </c>
      <c r="S146" s="1063">
        <v>776139916000</v>
      </c>
      <c r="T146" s="1063">
        <v>776139916000</v>
      </c>
      <c r="U146" s="1063">
        <v>776139916000</v>
      </c>
      <c r="V146" s="1063">
        <v>776139916000</v>
      </c>
      <c r="W146" s="1063">
        <v>776178787000</v>
      </c>
      <c r="X146" s="1063">
        <v>776178787000</v>
      </c>
      <c r="Y146" s="1063">
        <v>776178787000</v>
      </c>
      <c r="Z146" s="1063">
        <v>776178787000</v>
      </c>
      <c r="AA146" s="1063">
        <v>776178787000</v>
      </c>
      <c r="AB146" s="1063">
        <v>776178787000</v>
      </c>
      <c r="AC146" s="1063">
        <v>776178787000</v>
      </c>
      <c r="AD146" s="1063">
        <v>776178787000</v>
      </c>
      <c r="AE146" s="1063">
        <v>776178787000</v>
      </c>
      <c r="AF146" s="1063">
        <v>776178787000</v>
      </c>
      <c r="AG146" s="1063">
        <v>776178787000</v>
      </c>
      <c r="AH146" s="1063">
        <v>776178787000</v>
      </c>
      <c r="AI146" s="1063">
        <v>776178787000</v>
      </c>
      <c r="AJ146" s="1063">
        <v>776178787000</v>
      </c>
      <c r="AK146" s="1063">
        <v>776178787000</v>
      </c>
      <c r="AL146" s="1063">
        <v>776178787000</v>
      </c>
      <c r="AM146" s="1063">
        <v>780178787000</v>
      </c>
      <c r="AN146" s="1063">
        <v>780178787000</v>
      </c>
      <c r="AO146" s="1063">
        <v>818929466000</v>
      </c>
      <c r="AP146" s="1063">
        <v>818929466000</v>
      </c>
      <c r="AQ146" s="1063">
        <v>818929466000</v>
      </c>
    </row>
    <row r="147" spans="1:43">
      <c r="A147" s="1064" t="s">
        <v>984</v>
      </c>
      <c r="B147" s="1065">
        <v>496638534000</v>
      </c>
      <c r="C147" s="1065">
        <v>496638534000</v>
      </c>
      <c r="D147" s="1065">
        <v>496638534000</v>
      </c>
      <c r="E147" s="1065">
        <v>496638534000</v>
      </c>
      <c r="F147" s="1065">
        <v>496638534000</v>
      </c>
      <c r="G147" s="1065">
        <v>605641072000</v>
      </c>
      <c r="H147" s="1065">
        <v>605641072000</v>
      </c>
      <c r="I147" s="1065">
        <v>605641072000</v>
      </c>
      <c r="J147" s="1065">
        <v>605641072000</v>
      </c>
      <c r="K147" s="1065">
        <v>605641072000</v>
      </c>
      <c r="L147" s="1065">
        <v>605641072000</v>
      </c>
      <c r="M147" s="1065">
        <v>605641072000</v>
      </c>
      <c r="N147" s="1065">
        <v>605641072000</v>
      </c>
      <c r="O147" s="1065">
        <v>613409322000</v>
      </c>
      <c r="P147" s="1065">
        <v>617310701000</v>
      </c>
      <c r="Q147" s="1065">
        <v>617310701000</v>
      </c>
      <c r="R147" s="1065">
        <v>617310701000</v>
      </c>
      <c r="S147" s="1065">
        <v>675961727000</v>
      </c>
      <c r="T147" s="1065">
        <v>675961727000</v>
      </c>
      <c r="U147" s="1065">
        <v>675961727000</v>
      </c>
      <c r="V147" s="1065">
        <v>675961727000</v>
      </c>
      <c r="W147" s="1065">
        <v>681730579000</v>
      </c>
      <c r="X147" s="1065">
        <v>681730579000</v>
      </c>
      <c r="Y147" s="1065">
        <v>681730579000</v>
      </c>
      <c r="Z147" s="1065">
        <v>681730579000</v>
      </c>
      <c r="AA147" s="1065">
        <v>681730579000</v>
      </c>
      <c r="AB147" s="1065">
        <v>681730579000</v>
      </c>
      <c r="AC147" s="1065">
        <v>681730579000</v>
      </c>
      <c r="AD147" s="1065">
        <v>681730579000</v>
      </c>
      <c r="AE147" s="1065">
        <v>681730579000</v>
      </c>
      <c r="AF147" s="1065">
        <v>681730579000</v>
      </c>
      <c r="AG147" s="1065">
        <v>681730579000</v>
      </c>
      <c r="AH147" s="1065">
        <v>681730579000</v>
      </c>
      <c r="AI147" s="1065">
        <v>681730579000</v>
      </c>
      <c r="AJ147" s="1065">
        <v>681730579000</v>
      </c>
      <c r="AK147" s="1065">
        <v>681730579000</v>
      </c>
      <c r="AL147" s="1065">
        <v>681730579000</v>
      </c>
      <c r="AM147" s="1065">
        <v>685730579000</v>
      </c>
      <c r="AN147" s="1065">
        <v>685730579000</v>
      </c>
      <c r="AO147" s="1065">
        <v>685730579000</v>
      </c>
      <c r="AP147" s="1065">
        <v>685730579000</v>
      </c>
      <c r="AQ147" s="1065">
        <v>685730579000</v>
      </c>
    </row>
    <row r="148" spans="1:43">
      <c r="A148" s="1064" t="s">
        <v>985</v>
      </c>
      <c r="B148" s="1065">
        <v>0</v>
      </c>
      <c r="C148" s="1065">
        <v>0</v>
      </c>
      <c r="D148" s="1065">
        <v>0</v>
      </c>
      <c r="E148" s="1065">
        <v>0</v>
      </c>
      <c r="F148" s="1065">
        <v>0</v>
      </c>
      <c r="G148" s="1065">
        <v>111847818000</v>
      </c>
      <c r="H148" s="1065">
        <v>111847818000</v>
      </c>
      <c r="I148" s="1065">
        <v>111847818000</v>
      </c>
      <c r="J148" s="1065">
        <v>111847818000</v>
      </c>
      <c r="K148" s="1065">
        <v>111847818000</v>
      </c>
      <c r="L148" s="1065">
        <v>111847818000</v>
      </c>
      <c r="M148" s="1065">
        <v>111847818000</v>
      </c>
      <c r="N148" s="1065">
        <v>111847818000</v>
      </c>
      <c r="O148" s="1065">
        <v>104079568000</v>
      </c>
      <c r="P148" s="1065">
        <v>100178189000</v>
      </c>
      <c r="Q148" s="1065">
        <v>100178189000</v>
      </c>
      <c r="R148" s="1065">
        <v>100178189000</v>
      </c>
      <c r="S148" s="1065">
        <v>100178189000</v>
      </c>
      <c r="T148" s="1065">
        <v>100178189000</v>
      </c>
      <c r="U148" s="1065">
        <v>100178189000</v>
      </c>
      <c r="V148" s="1065">
        <v>100178189000</v>
      </c>
      <c r="W148" s="1065">
        <v>94448208000</v>
      </c>
      <c r="X148" s="1065">
        <v>94448208000</v>
      </c>
      <c r="Y148" s="1065">
        <v>94448208000</v>
      </c>
      <c r="Z148" s="1065">
        <v>94448208000</v>
      </c>
      <c r="AA148" s="1065">
        <v>94448208000</v>
      </c>
      <c r="AB148" s="1065">
        <v>94448208000</v>
      </c>
      <c r="AC148" s="1065">
        <v>94448208000</v>
      </c>
      <c r="AD148" s="1065">
        <v>94448208000</v>
      </c>
      <c r="AE148" s="1065">
        <v>94448208000</v>
      </c>
      <c r="AF148" s="1065">
        <v>94448208000</v>
      </c>
      <c r="AG148" s="1065">
        <v>94448208000</v>
      </c>
      <c r="AH148" s="1065">
        <v>94448208000</v>
      </c>
      <c r="AI148" s="1065">
        <v>94448208000</v>
      </c>
      <c r="AJ148" s="1065">
        <v>94448208000</v>
      </c>
      <c r="AK148" s="1065">
        <v>94448208000</v>
      </c>
      <c r="AL148" s="1065">
        <v>94448208000</v>
      </c>
      <c r="AM148" s="1065">
        <v>94448208000</v>
      </c>
      <c r="AN148" s="1065">
        <v>94448208000</v>
      </c>
      <c r="AO148" s="1065">
        <v>133198887000</v>
      </c>
      <c r="AP148" s="1065">
        <v>133198887000</v>
      </c>
      <c r="AQ148" s="1065">
        <v>133198887000</v>
      </c>
    </row>
    <row r="149" spans="1:43">
      <c r="A149" s="1062" t="s">
        <v>986</v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3">
        <v>0</v>
      </c>
      <c r="I149" s="1063">
        <v>0</v>
      </c>
      <c r="J149" s="1063">
        <v>0</v>
      </c>
      <c r="K149" s="1063">
        <v>0</v>
      </c>
      <c r="L149" s="1063">
        <v>0</v>
      </c>
      <c r="M149" s="1063">
        <v>0</v>
      </c>
      <c r="N149" s="1063">
        <v>0</v>
      </c>
      <c r="O149" s="1063">
        <v>0</v>
      </c>
      <c r="P149" s="1063">
        <v>0</v>
      </c>
      <c r="Q149" s="1063">
        <v>199909080000</v>
      </c>
      <c r="R149" s="1063">
        <v>249916116648</v>
      </c>
      <c r="S149" s="1063">
        <v>249886460000</v>
      </c>
      <c r="T149" s="1063">
        <v>249886460000</v>
      </c>
      <c r="U149" s="1063">
        <v>249886460000</v>
      </c>
      <c r="V149" s="1063">
        <v>249886460000</v>
      </c>
      <c r="W149" s="1063">
        <v>544741370000</v>
      </c>
      <c r="X149" s="1063">
        <v>544741370000</v>
      </c>
      <c r="Y149" s="1063">
        <v>694740750000</v>
      </c>
      <c r="Z149" s="1063">
        <v>694740750000</v>
      </c>
      <c r="AA149" s="1063">
        <v>844660930000</v>
      </c>
      <c r="AB149" s="1063">
        <v>844660930000</v>
      </c>
      <c r="AC149" s="1063">
        <v>844660930000</v>
      </c>
      <c r="AD149" s="1063">
        <v>844660930000</v>
      </c>
      <c r="AE149" s="1063">
        <v>844660930000</v>
      </c>
      <c r="AF149" s="1063">
        <v>844660930000</v>
      </c>
      <c r="AG149" s="1063">
        <v>844660930000</v>
      </c>
      <c r="AH149" s="1063">
        <v>1034552510000</v>
      </c>
      <c r="AI149" s="1063">
        <v>1034552510000</v>
      </c>
      <c r="AJ149" s="1063">
        <v>1174378990000</v>
      </c>
      <c r="AK149" s="1063">
        <v>1464383170000</v>
      </c>
      <c r="AL149" s="1063">
        <v>1987150910000</v>
      </c>
      <c r="AM149" s="1063">
        <v>1987150910000</v>
      </c>
      <c r="AN149" s="1063">
        <v>1987150910000</v>
      </c>
      <c r="AO149" s="1063">
        <v>1987150910000</v>
      </c>
      <c r="AP149" s="1063">
        <v>2283818910000</v>
      </c>
      <c r="AQ149" s="1063">
        <v>2651785290000</v>
      </c>
    </row>
    <row r="150" spans="1:43">
      <c r="A150" s="1064" t="s">
        <v>987</v>
      </c>
      <c r="B150" s="1065">
        <v>0</v>
      </c>
      <c r="C150" s="1065">
        <v>0</v>
      </c>
      <c r="D150" s="1065">
        <v>0</v>
      </c>
      <c r="E150" s="1065">
        <v>0</v>
      </c>
      <c r="F150" s="1065">
        <v>0</v>
      </c>
      <c r="G150" s="1065">
        <v>0</v>
      </c>
      <c r="H150" s="1065">
        <v>0</v>
      </c>
      <c r="I150" s="1065">
        <v>0</v>
      </c>
      <c r="J150" s="1065">
        <v>0</v>
      </c>
      <c r="K150" s="1065">
        <v>0</v>
      </c>
      <c r="L150" s="1065">
        <v>0</v>
      </c>
      <c r="M150" s="1065">
        <v>0</v>
      </c>
      <c r="N150" s="1065">
        <v>0</v>
      </c>
      <c r="O150" s="1065">
        <v>0</v>
      </c>
      <c r="P150" s="1065">
        <v>0</v>
      </c>
      <c r="Q150" s="1065">
        <v>199909080000</v>
      </c>
      <c r="R150" s="1065">
        <v>249916116648</v>
      </c>
      <c r="S150" s="1065">
        <v>249886460000</v>
      </c>
      <c r="T150" s="1065">
        <v>249886460000</v>
      </c>
      <c r="U150" s="1065">
        <v>249886460000</v>
      </c>
      <c r="V150" s="1065">
        <v>249886460000</v>
      </c>
      <c r="W150" s="1065">
        <v>544741370000</v>
      </c>
      <c r="X150" s="1065">
        <v>544741370000</v>
      </c>
      <c r="Y150" s="1065">
        <v>694740750000</v>
      </c>
      <c r="Z150" s="1065">
        <v>694740750000</v>
      </c>
      <c r="AA150" s="1065">
        <v>844660930000</v>
      </c>
      <c r="AB150" s="1065">
        <v>844660930000</v>
      </c>
      <c r="AC150" s="1065">
        <v>844660930000</v>
      </c>
      <c r="AD150" s="1065">
        <v>844660930000</v>
      </c>
      <c r="AE150" s="1065">
        <v>844660930000</v>
      </c>
      <c r="AF150" s="1065">
        <v>844660930000</v>
      </c>
      <c r="AG150" s="1065">
        <v>844660930000</v>
      </c>
      <c r="AH150" s="1065">
        <v>1034552510000</v>
      </c>
      <c r="AI150" s="1065">
        <v>1034552510000</v>
      </c>
      <c r="AJ150" s="1065">
        <v>1174378990000</v>
      </c>
      <c r="AK150" s="1065">
        <v>1464383170000</v>
      </c>
      <c r="AL150" s="1065">
        <v>1987150910000</v>
      </c>
      <c r="AM150" s="1065">
        <v>1987150910000</v>
      </c>
      <c r="AN150" s="1065">
        <v>1987150910000</v>
      </c>
      <c r="AO150" s="1065">
        <v>1987150910000</v>
      </c>
      <c r="AP150" s="1065">
        <v>2283818910000</v>
      </c>
      <c r="AQ150" s="1065">
        <v>2651785290000</v>
      </c>
    </row>
    <row r="151" spans="1:43">
      <c r="A151" s="1062" t="s">
        <v>988</v>
      </c>
      <c r="B151" s="1063">
        <v>552600001258</v>
      </c>
      <c r="C151" s="1063">
        <v>552783825634</v>
      </c>
      <c r="D151" s="1063">
        <v>552967650010</v>
      </c>
      <c r="E151" s="1063">
        <v>553151474386</v>
      </c>
      <c r="F151" s="1063">
        <v>571045479427</v>
      </c>
      <c r="G151" s="1063">
        <v>1405743718342</v>
      </c>
      <c r="H151" s="1063">
        <v>1405133163046</v>
      </c>
      <c r="I151" s="1063">
        <v>1405316987422</v>
      </c>
      <c r="J151" s="1063">
        <v>1405510719729</v>
      </c>
      <c r="K151" s="1063">
        <v>1405724267898</v>
      </c>
      <c r="L151" s="1063">
        <v>1405937816067</v>
      </c>
      <c r="M151" s="1063">
        <v>1406151364236</v>
      </c>
      <c r="N151" s="1063">
        <v>1406364912405</v>
      </c>
      <c r="O151" s="1063">
        <v>1406538202934</v>
      </c>
      <c r="P151" s="1063">
        <v>1406729687351</v>
      </c>
      <c r="Q151" s="1063">
        <v>1406942024216</v>
      </c>
      <c r="R151" s="1063">
        <v>1406970536705</v>
      </c>
      <c r="S151" s="1063">
        <v>1548029986034</v>
      </c>
      <c r="T151" s="1063">
        <v>1548058498523</v>
      </c>
      <c r="U151" s="1063">
        <v>1548087012391</v>
      </c>
      <c r="V151" s="1063">
        <v>1532172725145</v>
      </c>
      <c r="W151" s="1063">
        <v>1440854603352</v>
      </c>
      <c r="X151" s="1063">
        <v>1352556546581</v>
      </c>
      <c r="Y151" s="1063">
        <v>1270246360057</v>
      </c>
      <c r="Z151" s="1063">
        <v>664162342746</v>
      </c>
      <c r="AA151" s="1063">
        <v>683787458050</v>
      </c>
      <c r="AB151" s="1063">
        <v>684368567127</v>
      </c>
      <c r="AC151" s="1063">
        <v>821887566506</v>
      </c>
      <c r="AD151" s="1063">
        <v>1129971893080</v>
      </c>
      <c r="AE151" s="1063">
        <v>1125588540089</v>
      </c>
      <c r="AF151" s="1063">
        <v>1124067541426</v>
      </c>
      <c r="AG151" s="1063">
        <v>1123759745174</v>
      </c>
      <c r="AH151" s="1063">
        <v>1121775819246</v>
      </c>
      <c r="AI151" s="1063">
        <v>1122133498807</v>
      </c>
      <c r="AJ151" s="1063">
        <v>1120431613461</v>
      </c>
      <c r="AK151" s="1063">
        <v>1120431613461</v>
      </c>
      <c r="AL151" s="1063">
        <v>1120431613461</v>
      </c>
      <c r="AM151" s="1063">
        <v>1166387913461</v>
      </c>
      <c r="AN151" s="1063">
        <v>1166057693461</v>
      </c>
      <c r="AO151" s="1063">
        <v>1627120482348</v>
      </c>
      <c r="AP151" s="1063">
        <v>1627120482348</v>
      </c>
      <c r="AQ151" s="1063">
        <v>1626859762348</v>
      </c>
    </row>
    <row r="152" spans="1:43">
      <c r="A152" s="1064" t="s">
        <v>989</v>
      </c>
      <c r="B152" s="1065">
        <v>561544675184</v>
      </c>
      <c r="C152" s="1065">
        <v>561544675184</v>
      </c>
      <c r="D152" s="1065">
        <v>561544675184</v>
      </c>
      <c r="E152" s="1065">
        <v>561544675184</v>
      </c>
      <c r="F152" s="1065">
        <v>579254855849</v>
      </c>
      <c r="G152" s="1065">
        <v>1413775153175</v>
      </c>
      <c r="H152" s="1065">
        <v>1412980773503</v>
      </c>
      <c r="I152" s="1065">
        <v>1412980773503</v>
      </c>
      <c r="J152" s="1065">
        <v>1412980773503</v>
      </c>
      <c r="K152" s="1065">
        <v>1412980773503</v>
      </c>
      <c r="L152" s="1065">
        <v>1412980773503</v>
      </c>
      <c r="M152" s="1065">
        <v>1412980773503</v>
      </c>
      <c r="N152" s="1065">
        <v>1412980773503</v>
      </c>
      <c r="O152" s="1065">
        <v>1412940515863</v>
      </c>
      <c r="P152" s="1065">
        <v>1412926123703</v>
      </c>
      <c r="Q152" s="1065">
        <v>1412926123703</v>
      </c>
      <c r="R152" s="1065">
        <v>1412926123703</v>
      </c>
      <c r="S152" s="1065">
        <v>1553957009427</v>
      </c>
      <c r="T152" s="1065">
        <v>1553957009427</v>
      </c>
      <c r="U152" s="1065">
        <v>1553957010806</v>
      </c>
      <c r="V152" s="1065">
        <v>1553957010806</v>
      </c>
      <c r="W152" s="1065">
        <v>1553908371994</v>
      </c>
      <c r="X152" s="1065">
        <v>1553556871994</v>
      </c>
      <c r="Y152" s="1065">
        <v>1553556871994</v>
      </c>
      <c r="Z152" s="1065">
        <v>953557888367</v>
      </c>
      <c r="AA152" s="1065">
        <v>953557888367</v>
      </c>
      <c r="AB152" s="1065">
        <v>953555888367</v>
      </c>
      <c r="AC152" s="1065">
        <v>953553888367</v>
      </c>
      <c r="AD152" s="1065">
        <v>1151653189404</v>
      </c>
      <c r="AE152" s="1065">
        <v>1151658796502</v>
      </c>
      <c r="AF152" s="1065">
        <v>1151658796502</v>
      </c>
      <c r="AG152" s="1065">
        <v>1151751255455</v>
      </c>
      <c r="AH152" s="1065">
        <v>1151658796502</v>
      </c>
      <c r="AI152" s="1065">
        <v>1151562796502</v>
      </c>
      <c r="AJ152" s="1065">
        <v>1151562796502</v>
      </c>
      <c r="AK152" s="1065">
        <v>1151562796502</v>
      </c>
      <c r="AL152" s="1065">
        <v>1151562796502</v>
      </c>
      <c r="AM152" s="1065">
        <v>1197519096502</v>
      </c>
      <c r="AN152" s="1065">
        <v>1197519096502</v>
      </c>
      <c r="AO152" s="1065">
        <v>1658581885389</v>
      </c>
      <c r="AP152" s="1065">
        <v>1658581885389</v>
      </c>
      <c r="AQ152" s="1065">
        <v>1658545885389</v>
      </c>
    </row>
    <row r="153" spans="1:43">
      <c r="A153" s="1064" t="s">
        <v>990</v>
      </c>
      <c r="B153" s="1065">
        <v>-8944673926</v>
      </c>
      <c r="C153" s="1065">
        <v>-8760849550</v>
      </c>
      <c r="D153" s="1065">
        <v>-8577025174</v>
      </c>
      <c r="E153" s="1065">
        <v>-8393200798</v>
      </c>
      <c r="F153" s="1065">
        <v>-8209376422</v>
      </c>
      <c r="G153" s="1065">
        <v>-8031434833</v>
      </c>
      <c r="H153" s="1065">
        <v>-7847610457</v>
      </c>
      <c r="I153" s="1065">
        <v>-7663786081</v>
      </c>
      <c r="J153" s="1065">
        <v>-7470053774</v>
      </c>
      <c r="K153" s="1065">
        <v>-7256505605</v>
      </c>
      <c r="L153" s="1065">
        <v>-7042957436</v>
      </c>
      <c r="M153" s="1065">
        <v>-6829409267</v>
      </c>
      <c r="N153" s="1065">
        <v>-6615861098</v>
      </c>
      <c r="O153" s="1065">
        <v>-6402312929</v>
      </c>
      <c r="P153" s="1065">
        <v>-6196436352</v>
      </c>
      <c r="Q153" s="1065">
        <v>-5984099487</v>
      </c>
      <c r="R153" s="1065">
        <v>-5955586998</v>
      </c>
      <c r="S153" s="1065">
        <v>-5927023393</v>
      </c>
      <c r="T153" s="1065">
        <v>-5898510904</v>
      </c>
      <c r="U153" s="1065">
        <v>-5869998415</v>
      </c>
      <c r="V153" s="1065">
        <v>-21784285661</v>
      </c>
      <c r="W153" s="1065">
        <v>-113053768642</v>
      </c>
      <c r="X153" s="1065">
        <v>-201000325413</v>
      </c>
      <c r="Y153" s="1065">
        <v>-283310511937</v>
      </c>
      <c r="Z153" s="1065">
        <v>-289395545621</v>
      </c>
      <c r="AA153" s="1065">
        <v>-269770430317</v>
      </c>
      <c r="AB153" s="1065">
        <v>-269187321240</v>
      </c>
      <c r="AC153" s="1065">
        <v>-131666321861</v>
      </c>
      <c r="AD153" s="1065">
        <v>-21681296324</v>
      </c>
      <c r="AE153" s="1065">
        <v>-26070256413</v>
      </c>
      <c r="AF153" s="1065">
        <v>-27591255076</v>
      </c>
      <c r="AG153" s="1065">
        <v>-27991510281</v>
      </c>
      <c r="AH153" s="1065">
        <v>-29882977256</v>
      </c>
      <c r="AI153" s="1065">
        <v>-29429297695</v>
      </c>
      <c r="AJ153" s="1065">
        <v>-31131183041</v>
      </c>
      <c r="AK153" s="1065">
        <v>-31131183041</v>
      </c>
      <c r="AL153" s="1065">
        <v>-31131183041</v>
      </c>
      <c r="AM153" s="1065">
        <v>-31131183041</v>
      </c>
      <c r="AN153" s="1065">
        <v>-31461403041</v>
      </c>
      <c r="AO153" s="1065">
        <v>-31461403041</v>
      </c>
      <c r="AP153" s="1065">
        <v>-31461403041</v>
      </c>
      <c r="AQ153" s="1065">
        <v>-31686123041</v>
      </c>
    </row>
    <row r="154" spans="1:43">
      <c r="A154" s="1062" t="s">
        <v>991</v>
      </c>
      <c r="B154" s="1063">
        <v>72523069256</v>
      </c>
      <c r="C154" s="1063">
        <v>74625942694</v>
      </c>
      <c r="D154" s="1063">
        <v>74490998739</v>
      </c>
      <c r="E154" s="1063">
        <v>70518436632</v>
      </c>
      <c r="F154" s="1063">
        <v>79286724841</v>
      </c>
      <c r="G154" s="1063">
        <v>78622536389</v>
      </c>
      <c r="H154" s="1063">
        <v>77064450542</v>
      </c>
      <c r="I154" s="1063">
        <v>80223319071</v>
      </c>
      <c r="J154" s="1063">
        <v>77523837119</v>
      </c>
      <c r="K154" s="1063">
        <v>76346259277</v>
      </c>
      <c r="L154" s="1063">
        <v>84152030050</v>
      </c>
      <c r="M154" s="1063">
        <v>79358925432</v>
      </c>
      <c r="N154" s="1063">
        <v>80312136543</v>
      </c>
      <c r="O154" s="1063">
        <v>91098633753</v>
      </c>
      <c r="P154" s="1063">
        <v>91503831123</v>
      </c>
      <c r="Q154" s="1063">
        <v>87400406570</v>
      </c>
      <c r="R154" s="1063">
        <v>87050483338</v>
      </c>
      <c r="S154" s="1063">
        <v>107299017918</v>
      </c>
      <c r="T154" s="1063">
        <v>108936411363</v>
      </c>
      <c r="U154" s="1063">
        <v>122063901000</v>
      </c>
      <c r="V154" s="1063">
        <v>129845982125</v>
      </c>
      <c r="W154" s="1063">
        <v>136844429518</v>
      </c>
      <c r="X154" s="1063">
        <v>144727198072</v>
      </c>
      <c r="Y154" s="1063">
        <v>152774863477</v>
      </c>
      <c r="Z154" s="1063">
        <v>122006646071</v>
      </c>
      <c r="AA154" s="1063">
        <v>137277545808</v>
      </c>
      <c r="AB154" s="1063">
        <v>139805424653</v>
      </c>
      <c r="AC154" s="1063">
        <v>190899795027</v>
      </c>
      <c r="AD154" s="1063">
        <v>203679463586</v>
      </c>
      <c r="AE154" s="1063">
        <v>209227164964</v>
      </c>
      <c r="AF154" s="1063">
        <v>196969563119</v>
      </c>
      <c r="AG154" s="1063">
        <v>218570994566</v>
      </c>
      <c r="AH154" s="1063">
        <v>221005819201</v>
      </c>
      <c r="AI154" s="1063">
        <v>227663578341</v>
      </c>
      <c r="AJ154" s="1063">
        <v>194165420731</v>
      </c>
      <c r="AK154" s="1063">
        <v>216076289770</v>
      </c>
      <c r="AL154" s="1063">
        <v>214882475311</v>
      </c>
      <c r="AM154" s="1063">
        <v>227743585061</v>
      </c>
      <c r="AN154" s="1063">
        <v>231731957833</v>
      </c>
      <c r="AO154" s="1063">
        <v>226486753053</v>
      </c>
      <c r="AP154" s="1063">
        <v>181013129239</v>
      </c>
      <c r="AQ154" s="1063">
        <v>182341805928</v>
      </c>
    </row>
    <row r="155" spans="1:43">
      <c r="A155" s="1064" t="s">
        <v>992</v>
      </c>
      <c r="B155" s="1065">
        <v>73368714155</v>
      </c>
      <c r="C155" s="1065">
        <v>75448469058</v>
      </c>
      <c r="D155" s="1065">
        <v>75332013490</v>
      </c>
      <c r="E155" s="1065">
        <v>70635875980</v>
      </c>
      <c r="F155" s="1065">
        <v>80148768779</v>
      </c>
      <c r="G155" s="1065">
        <v>79326355383</v>
      </c>
      <c r="H155" s="1065">
        <v>77560545865</v>
      </c>
      <c r="I155" s="1065">
        <v>80568668723</v>
      </c>
      <c r="J155" s="1065">
        <v>78331260167</v>
      </c>
      <c r="K155" s="1065">
        <v>77344499387</v>
      </c>
      <c r="L155" s="1065">
        <v>84803349025</v>
      </c>
      <c r="M155" s="1065">
        <v>80056707100</v>
      </c>
      <c r="N155" s="1065">
        <v>82236771019</v>
      </c>
      <c r="O155" s="1065">
        <v>92381259388</v>
      </c>
      <c r="P155" s="1065">
        <v>92964808584</v>
      </c>
      <c r="Q155" s="1065">
        <v>89029811339</v>
      </c>
      <c r="R155" s="1065">
        <v>87530025174</v>
      </c>
      <c r="S155" s="1065">
        <v>107781031076</v>
      </c>
      <c r="T155" s="1065">
        <v>110045957317</v>
      </c>
      <c r="U155" s="1065">
        <v>126402590470</v>
      </c>
      <c r="V155" s="1065">
        <v>133734776794</v>
      </c>
      <c r="W155" s="1065">
        <v>140901120674</v>
      </c>
      <c r="X155" s="1065">
        <v>145428364205</v>
      </c>
      <c r="Y155" s="1065">
        <v>151870482483</v>
      </c>
      <c r="Z155" s="1065">
        <v>122024862423</v>
      </c>
      <c r="AA155" s="1065">
        <v>135597816483</v>
      </c>
      <c r="AB155" s="1065">
        <v>126738816038</v>
      </c>
      <c r="AC155" s="1065">
        <v>182396093646</v>
      </c>
      <c r="AD155" s="1065">
        <v>192752307306</v>
      </c>
      <c r="AE155" s="1065">
        <v>198406934337</v>
      </c>
      <c r="AF155" s="1065">
        <v>182386510872</v>
      </c>
      <c r="AG155" s="1065">
        <v>212824417269</v>
      </c>
      <c r="AH155" s="1065">
        <v>215130370220</v>
      </c>
      <c r="AI155" s="1065">
        <v>214495547650</v>
      </c>
      <c r="AJ155" s="1065">
        <v>190356553861</v>
      </c>
      <c r="AK155" s="1065">
        <v>193081847088</v>
      </c>
      <c r="AL155" s="1065">
        <v>193949167254</v>
      </c>
      <c r="AM155" s="1065">
        <v>218623255189</v>
      </c>
      <c r="AN155" s="1065">
        <v>219731092943</v>
      </c>
      <c r="AO155" s="1065">
        <v>210667085811</v>
      </c>
      <c r="AP155" s="1065">
        <v>161373705401</v>
      </c>
      <c r="AQ155" s="1065">
        <v>159265661166</v>
      </c>
    </row>
    <row r="156" spans="1:43">
      <c r="A156" s="1064" t="s">
        <v>993</v>
      </c>
      <c r="B156" s="1065">
        <v>0</v>
      </c>
      <c r="C156" s="1065">
        <v>0</v>
      </c>
      <c r="D156" s="1065">
        <v>-7709450</v>
      </c>
      <c r="E156" s="1065">
        <v>545824413</v>
      </c>
      <c r="F156" s="1065">
        <v>0</v>
      </c>
      <c r="G156" s="1065">
        <v>0</v>
      </c>
      <c r="H156" s="1065">
        <v>0</v>
      </c>
      <c r="I156" s="1065">
        <v>0</v>
      </c>
      <c r="J156" s="1065">
        <v>0</v>
      </c>
      <c r="K156" s="1065">
        <v>0</v>
      </c>
      <c r="L156" s="1065">
        <v>0</v>
      </c>
      <c r="M156" s="1065">
        <v>0</v>
      </c>
      <c r="N156" s="1065">
        <v>0</v>
      </c>
      <c r="O156" s="1065">
        <v>0</v>
      </c>
      <c r="P156" s="1065">
        <v>0</v>
      </c>
      <c r="Q156" s="1065">
        <v>0</v>
      </c>
      <c r="R156" s="1065">
        <v>782705607</v>
      </c>
      <c r="S156" s="1065">
        <v>440767106</v>
      </c>
      <c r="T156" s="1065">
        <v>18857205</v>
      </c>
      <c r="U156" s="1065">
        <v>-1263197373</v>
      </c>
      <c r="V156" s="1065">
        <v>-789798841</v>
      </c>
      <c r="W156" s="1065">
        <v>-843535334</v>
      </c>
      <c r="X156" s="1065">
        <v>10</v>
      </c>
      <c r="Y156" s="1065">
        <v>11</v>
      </c>
      <c r="Z156" s="1065">
        <v>11</v>
      </c>
      <c r="AA156" s="1065">
        <v>29</v>
      </c>
      <c r="AB156" s="1065">
        <v>89</v>
      </c>
      <c r="AC156" s="1065">
        <v>1347788448</v>
      </c>
      <c r="AD156" s="1065">
        <v>1449174420</v>
      </c>
      <c r="AE156" s="1065">
        <v>1997843696</v>
      </c>
      <c r="AF156" s="1065">
        <v>2515695160</v>
      </c>
      <c r="AG156" s="1065">
        <v>-33059194</v>
      </c>
      <c r="AH156" s="1065">
        <v>-33059150</v>
      </c>
      <c r="AI156" s="1065">
        <v>848733644</v>
      </c>
      <c r="AJ156" s="1065">
        <v>425226583</v>
      </c>
      <c r="AK156" s="1065">
        <v>3061660112</v>
      </c>
      <c r="AL156" s="1065">
        <v>3061660110</v>
      </c>
      <c r="AM156" s="1065">
        <v>2805643798</v>
      </c>
      <c r="AN156" s="1065">
        <v>1810822528</v>
      </c>
      <c r="AO156" s="1065">
        <v>2531509832</v>
      </c>
      <c r="AP156" s="1065">
        <v>3491482304</v>
      </c>
      <c r="AQ156" s="1065">
        <v>3491482325</v>
      </c>
    </row>
    <row r="157" spans="1:43">
      <c r="A157" s="1064" t="s">
        <v>994</v>
      </c>
      <c r="B157" s="1065">
        <v>0</v>
      </c>
      <c r="C157" s="1065">
        <v>0</v>
      </c>
      <c r="D157" s="1065">
        <v>0</v>
      </c>
      <c r="E157" s="1065">
        <v>0</v>
      </c>
      <c r="F157" s="1065">
        <v>0</v>
      </c>
      <c r="G157" s="1065">
        <v>0</v>
      </c>
      <c r="H157" s="1065">
        <v>0</v>
      </c>
      <c r="I157" s="1065">
        <v>0</v>
      </c>
      <c r="J157" s="1065">
        <v>0</v>
      </c>
      <c r="K157" s="1065">
        <v>0</v>
      </c>
      <c r="L157" s="1065">
        <v>0</v>
      </c>
      <c r="M157" s="1065">
        <v>0</v>
      </c>
      <c r="N157" s="1065">
        <v>0</v>
      </c>
      <c r="O157" s="1065">
        <v>0</v>
      </c>
      <c r="P157" s="1065">
        <v>0</v>
      </c>
      <c r="Q157" s="1065">
        <v>0</v>
      </c>
      <c r="R157" s="1065">
        <v>0</v>
      </c>
      <c r="S157" s="1065">
        <v>0</v>
      </c>
      <c r="T157" s="1065">
        <v>0</v>
      </c>
      <c r="U157" s="1065">
        <v>0</v>
      </c>
      <c r="V157" s="1065">
        <v>0</v>
      </c>
      <c r="W157" s="1065">
        <v>0</v>
      </c>
      <c r="X157" s="1065">
        <v>0</v>
      </c>
      <c r="Y157" s="1065">
        <v>0</v>
      </c>
      <c r="Z157" s="1065">
        <v>0</v>
      </c>
      <c r="AA157" s="1065">
        <v>0</v>
      </c>
      <c r="AB157" s="1065">
        <v>0</v>
      </c>
      <c r="AC157" s="1065">
        <v>0</v>
      </c>
      <c r="AD157" s="1065">
        <v>0</v>
      </c>
      <c r="AE157" s="1065">
        <v>0</v>
      </c>
      <c r="AF157" s="1065">
        <v>0</v>
      </c>
      <c r="AG157" s="1065">
        <v>0</v>
      </c>
      <c r="AH157" s="1065">
        <v>0</v>
      </c>
      <c r="AI157" s="1065">
        <v>0</v>
      </c>
      <c r="AJ157" s="1065">
        <v>0</v>
      </c>
      <c r="AK157" s="1065">
        <v>0</v>
      </c>
      <c r="AL157" s="1065">
        <v>0</v>
      </c>
      <c r="AM157" s="1065">
        <v>1025392232</v>
      </c>
      <c r="AN157" s="1065">
        <v>269360008</v>
      </c>
      <c r="AO157" s="1065">
        <v>-100489724</v>
      </c>
      <c r="AP157" s="1065">
        <v>-1283543615</v>
      </c>
      <c r="AQ157" s="1065">
        <v>-1454862746</v>
      </c>
    </row>
    <row r="158" spans="1:43">
      <c r="A158" s="1064" t="s">
        <v>995</v>
      </c>
      <c r="B158" s="1065">
        <v>6400647</v>
      </c>
      <c r="C158" s="1065">
        <v>8723659</v>
      </c>
      <c r="D158" s="1065">
        <v>0</v>
      </c>
      <c r="E158" s="1065">
        <v>0</v>
      </c>
      <c r="F158" s="1065">
        <v>0</v>
      </c>
      <c r="G158" s="1065">
        <v>0</v>
      </c>
      <c r="H158" s="1065">
        <v>0</v>
      </c>
      <c r="I158" s="1065">
        <v>-73451165</v>
      </c>
      <c r="J158" s="1065">
        <v>-58744745</v>
      </c>
      <c r="K158" s="1065">
        <v>-65523678</v>
      </c>
      <c r="L158" s="1065">
        <v>0</v>
      </c>
      <c r="M158" s="1065">
        <v>0</v>
      </c>
      <c r="N158" s="1065">
        <v>0</v>
      </c>
      <c r="O158" s="1065">
        <v>105981400</v>
      </c>
      <c r="P158" s="1065">
        <v>307938284</v>
      </c>
      <c r="Q158" s="1065">
        <v>-323130509</v>
      </c>
      <c r="R158" s="1065">
        <v>565633156</v>
      </c>
      <c r="S158" s="1065">
        <v>206145789</v>
      </c>
      <c r="T158" s="1065">
        <v>-151042664</v>
      </c>
      <c r="U158" s="1065">
        <v>-1434482437</v>
      </c>
      <c r="V158" s="1065">
        <v>-552603983</v>
      </c>
      <c r="W158" s="1065">
        <v>-603543039</v>
      </c>
      <c r="X158" s="1065">
        <v>1585042333</v>
      </c>
      <c r="Y158" s="1065">
        <v>3041798719</v>
      </c>
      <c r="Z158" s="1065">
        <v>1929669050</v>
      </c>
      <c r="AA158" s="1065">
        <v>2229475451</v>
      </c>
      <c r="AB158" s="1065">
        <v>11866429908</v>
      </c>
      <c r="AC158" s="1065">
        <v>4697868573</v>
      </c>
      <c r="AD158" s="1065">
        <v>8828598401</v>
      </c>
      <c r="AE158" s="1065">
        <v>9227512674</v>
      </c>
      <c r="AF158" s="1065">
        <v>12644390022</v>
      </c>
      <c r="AG158" s="1065">
        <v>6861843989</v>
      </c>
      <c r="AH158" s="1065">
        <v>13313527512</v>
      </c>
      <c r="AI158" s="1065">
        <v>18006643134</v>
      </c>
      <c r="AJ158" s="1065">
        <v>9900879853</v>
      </c>
      <c r="AK158" s="1065">
        <v>26582672985</v>
      </c>
      <c r="AL158" s="1065">
        <v>25887022369</v>
      </c>
      <c r="AM158" s="1065">
        <v>13216159383</v>
      </c>
      <c r="AN158" s="1065">
        <v>17738041801</v>
      </c>
      <c r="AO158" s="1065">
        <v>20668235930</v>
      </c>
      <c r="AP158" s="1065">
        <v>28253391462</v>
      </c>
      <c r="AQ158" s="1065">
        <v>30875530153</v>
      </c>
    </row>
    <row r="159" spans="1:43">
      <c r="A159" s="1064" t="s">
        <v>996</v>
      </c>
      <c r="B159" s="1065">
        <v>-852045546</v>
      </c>
      <c r="C159" s="1065">
        <v>-831250023</v>
      </c>
      <c r="D159" s="1065">
        <v>-833305301</v>
      </c>
      <c r="E159" s="1065">
        <v>-663263761</v>
      </c>
      <c r="F159" s="1065">
        <v>-862043938</v>
      </c>
      <c r="G159" s="1065">
        <v>-703818994</v>
      </c>
      <c r="H159" s="1065">
        <v>-496095323</v>
      </c>
      <c r="I159" s="1065">
        <v>-271898487</v>
      </c>
      <c r="J159" s="1065">
        <v>-823078602</v>
      </c>
      <c r="K159" s="1065">
        <v>-1173917454</v>
      </c>
      <c r="L159" s="1065">
        <v>-1011492374</v>
      </c>
      <c r="M159" s="1065">
        <v>-843111457</v>
      </c>
      <c r="N159" s="1065">
        <v>-1818032843</v>
      </c>
      <c r="O159" s="1065">
        <v>-1152367018</v>
      </c>
      <c r="P159" s="1065">
        <v>-1699706750</v>
      </c>
      <c r="Q159" s="1065">
        <v>-1188579407</v>
      </c>
      <c r="R159" s="1065">
        <v>-1903917644</v>
      </c>
      <c r="S159" s="1065">
        <v>-1886054781</v>
      </c>
      <c r="T159" s="1065">
        <v>-1830172423</v>
      </c>
      <c r="U159" s="1065">
        <v>-2059786811</v>
      </c>
      <c r="V159" s="1065">
        <v>-2685662114</v>
      </c>
      <c r="W159" s="1065">
        <v>-2611522240</v>
      </c>
      <c r="X159" s="1065">
        <v>-2280783188</v>
      </c>
      <c r="Y159" s="1065">
        <v>-2133819511</v>
      </c>
      <c r="Z159" s="1065">
        <v>-2167431126</v>
      </c>
      <c r="AA159" s="1065">
        <v>-1213488295</v>
      </c>
      <c r="AB159" s="1065">
        <v>-484398405</v>
      </c>
      <c r="AC159" s="1065">
        <v>-376157887</v>
      </c>
      <c r="AD159" s="1065">
        <v>-2093859653</v>
      </c>
      <c r="AE159" s="1065">
        <v>-1802181586</v>
      </c>
      <c r="AF159" s="1065">
        <v>-1642303840</v>
      </c>
      <c r="AG159" s="1065">
        <v>-2172659811</v>
      </c>
      <c r="AH159" s="1065">
        <v>-2515928612</v>
      </c>
      <c r="AI159" s="1065">
        <v>-2596716248</v>
      </c>
      <c r="AJ159" s="1065">
        <v>-2563536306</v>
      </c>
      <c r="AK159" s="1065">
        <v>-3398710971</v>
      </c>
      <c r="AL159" s="1065">
        <v>-4472275762</v>
      </c>
      <c r="AM159" s="1065">
        <v>-4493301939</v>
      </c>
      <c r="AN159" s="1065">
        <v>-4446449239</v>
      </c>
      <c r="AO159" s="1065">
        <v>-4161743448</v>
      </c>
      <c r="AP159" s="1065">
        <v>-4821971917</v>
      </c>
      <c r="AQ159" s="1065">
        <v>-4660437525</v>
      </c>
    </row>
    <row r="160" spans="1:43">
      <c r="A160" s="1064" t="s">
        <v>997</v>
      </c>
      <c r="B160" s="1065">
        <v>0</v>
      </c>
      <c r="C160" s="1065">
        <v>0</v>
      </c>
      <c r="D160" s="1065">
        <v>0</v>
      </c>
      <c r="E160" s="1065">
        <v>0</v>
      </c>
      <c r="F160" s="1065">
        <v>0</v>
      </c>
      <c r="G160" s="1065">
        <v>0</v>
      </c>
      <c r="H160" s="1065">
        <v>0</v>
      </c>
      <c r="I160" s="1065">
        <v>0</v>
      </c>
      <c r="J160" s="1065">
        <v>74400299</v>
      </c>
      <c r="K160" s="1065">
        <v>241201022</v>
      </c>
      <c r="L160" s="1065">
        <v>360173399</v>
      </c>
      <c r="M160" s="1065">
        <v>145329789</v>
      </c>
      <c r="N160" s="1065">
        <v>-106601633</v>
      </c>
      <c r="O160" s="1065">
        <v>-236240017</v>
      </c>
      <c r="P160" s="1065">
        <v>-69208995</v>
      </c>
      <c r="Q160" s="1065">
        <v>-117694853</v>
      </c>
      <c r="R160" s="1065">
        <v>76037045</v>
      </c>
      <c r="S160" s="1065">
        <v>757128728</v>
      </c>
      <c r="T160" s="1065">
        <v>852811928</v>
      </c>
      <c r="U160" s="1065">
        <v>418777151</v>
      </c>
      <c r="V160" s="1065">
        <v>139270269</v>
      </c>
      <c r="W160" s="1065">
        <v>1909457</v>
      </c>
      <c r="X160" s="1065">
        <v>-5425288</v>
      </c>
      <c r="Y160" s="1065">
        <v>-3598225</v>
      </c>
      <c r="Z160" s="1065">
        <v>219545713</v>
      </c>
      <c r="AA160" s="1065">
        <v>663742140</v>
      </c>
      <c r="AB160" s="1065">
        <v>1684577023</v>
      </c>
      <c r="AC160" s="1065">
        <v>2834202247</v>
      </c>
      <c r="AD160" s="1065">
        <v>2743243112</v>
      </c>
      <c r="AE160" s="1065">
        <v>1397055843</v>
      </c>
      <c r="AF160" s="1065">
        <v>1065270905</v>
      </c>
      <c r="AG160" s="1065">
        <v>1090452313</v>
      </c>
      <c r="AH160" s="1065">
        <v>-4889090769</v>
      </c>
      <c r="AI160" s="1065">
        <v>-3090629839</v>
      </c>
      <c r="AJ160" s="1065">
        <v>-3953703260</v>
      </c>
      <c r="AK160" s="1065">
        <v>-3251179444</v>
      </c>
      <c r="AL160" s="1065">
        <v>-3543098660</v>
      </c>
      <c r="AM160" s="1065">
        <v>-3433563602</v>
      </c>
      <c r="AN160" s="1065">
        <v>-3370910208</v>
      </c>
      <c r="AO160" s="1065">
        <v>-3117845348</v>
      </c>
      <c r="AP160" s="1065">
        <v>-5999934396</v>
      </c>
      <c r="AQ160" s="1065">
        <v>-5175567445</v>
      </c>
    </row>
    <row r="161" spans="1:43">
      <c r="A161" s="1062" t="s">
        <v>998</v>
      </c>
      <c r="B161" s="1063">
        <v>545876494999</v>
      </c>
      <c r="C161" s="1063">
        <v>629042043813</v>
      </c>
      <c r="D161" s="1063">
        <v>692046809317</v>
      </c>
      <c r="E161" s="1063">
        <v>749512565260</v>
      </c>
      <c r="F161" s="1063">
        <v>739667512629</v>
      </c>
      <c r="G161" s="1063">
        <v>836335458268</v>
      </c>
      <c r="H161" s="1063">
        <v>924778266759.5</v>
      </c>
      <c r="I161" s="1063">
        <v>1009829682145</v>
      </c>
      <c r="J161" s="1063">
        <v>974363118643</v>
      </c>
      <c r="K161" s="1063">
        <v>1081975345182</v>
      </c>
      <c r="L161" s="1063">
        <v>1057586827810</v>
      </c>
      <c r="M161" s="1063">
        <v>1170369588306</v>
      </c>
      <c r="N161" s="1063">
        <v>1170961169536</v>
      </c>
      <c r="O161" s="1063">
        <v>1315895173593</v>
      </c>
      <c r="P161" s="1063">
        <v>1346115569484</v>
      </c>
      <c r="Q161" s="1063">
        <v>1507794406998</v>
      </c>
      <c r="R161" s="1063">
        <v>1470639820518</v>
      </c>
      <c r="S161" s="1063">
        <v>1621126772437</v>
      </c>
      <c r="T161" s="1063">
        <v>1778938915446</v>
      </c>
      <c r="U161" s="1063">
        <v>1918191404074</v>
      </c>
      <c r="V161" s="1063">
        <v>1901975293689</v>
      </c>
      <c r="W161" s="1063">
        <v>1953370136195</v>
      </c>
      <c r="X161" s="1063">
        <v>2135963660984</v>
      </c>
      <c r="Y161" s="1063">
        <v>2316028606288</v>
      </c>
      <c r="Z161" s="1063">
        <v>3016875267022</v>
      </c>
      <c r="AA161" s="1063">
        <v>3065485072831</v>
      </c>
      <c r="AB161" s="1063">
        <v>3270767114111</v>
      </c>
      <c r="AC161" s="1063">
        <v>2933862416770</v>
      </c>
      <c r="AD161" s="1063">
        <v>2937123275782</v>
      </c>
      <c r="AE161" s="1063">
        <v>3086478883935</v>
      </c>
      <c r="AF161" s="1063">
        <v>2911980076613</v>
      </c>
      <c r="AG161" s="1063">
        <v>3010777289598</v>
      </c>
      <c r="AH161" s="1063">
        <v>2829662581596</v>
      </c>
      <c r="AI161" s="1063">
        <v>3057867301617</v>
      </c>
      <c r="AJ161" s="1063">
        <v>3217033289353</v>
      </c>
      <c r="AK161" s="1063">
        <v>3152868578412</v>
      </c>
      <c r="AL161" s="1063">
        <v>3094144572255</v>
      </c>
      <c r="AM161" s="1063">
        <v>3320843810528</v>
      </c>
      <c r="AN161" s="1063">
        <v>3490934078695</v>
      </c>
      <c r="AO161" s="1063">
        <v>3356288059946</v>
      </c>
      <c r="AP161" s="1063">
        <v>3322749749855</v>
      </c>
      <c r="AQ161" s="1063">
        <v>3548933807115</v>
      </c>
    </row>
    <row r="162" spans="1:43">
      <c r="A162" s="1064" t="s">
        <v>999</v>
      </c>
      <c r="B162" s="1065">
        <v>36979394044</v>
      </c>
      <c r="C162" s="1065">
        <v>36979394044</v>
      </c>
      <c r="D162" s="1065">
        <v>36979394044</v>
      </c>
      <c r="E162" s="1065">
        <v>36979394044</v>
      </c>
      <c r="F162" s="1065">
        <v>46049434604</v>
      </c>
      <c r="G162" s="1065">
        <v>46049434604</v>
      </c>
      <c r="H162" s="1065">
        <v>46049434604</v>
      </c>
      <c r="I162" s="1065">
        <v>46049434604</v>
      </c>
      <c r="J162" s="1065">
        <v>58929278315</v>
      </c>
      <c r="K162" s="1065">
        <v>58929278315</v>
      </c>
      <c r="L162" s="1065">
        <v>58929278315</v>
      </c>
      <c r="M162" s="1065">
        <v>58929278315</v>
      </c>
      <c r="N162" s="1065">
        <v>73192271755</v>
      </c>
      <c r="O162" s="1065">
        <v>73192271755</v>
      </c>
      <c r="P162" s="1065">
        <v>73192271755</v>
      </c>
      <c r="Q162" s="1065">
        <v>73192271755</v>
      </c>
      <c r="R162" s="1065">
        <v>86945230058</v>
      </c>
      <c r="S162" s="1065">
        <v>86945230058</v>
      </c>
      <c r="T162" s="1065">
        <v>86945230058</v>
      </c>
      <c r="U162" s="1065">
        <v>86945230058</v>
      </c>
      <c r="V162" s="1065">
        <v>109212330253</v>
      </c>
      <c r="W162" s="1065">
        <v>109212330253</v>
      </c>
      <c r="X162" s="1065">
        <v>109212330253</v>
      </c>
      <c r="Y162" s="1065">
        <v>109212330253</v>
      </c>
      <c r="Z162" s="1065">
        <v>116679310151</v>
      </c>
      <c r="AA162" s="1065">
        <v>116679310151</v>
      </c>
      <c r="AB162" s="1065">
        <v>116679310151</v>
      </c>
      <c r="AC162" s="1065">
        <v>116679310151</v>
      </c>
      <c r="AD162" s="1065">
        <v>125635591554</v>
      </c>
      <c r="AE162" s="1065">
        <v>125635591554</v>
      </c>
      <c r="AF162" s="1065">
        <v>125635591554</v>
      </c>
      <c r="AG162" s="1065">
        <v>125635591554</v>
      </c>
      <c r="AH162" s="1065">
        <v>183133591554</v>
      </c>
      <c r="AI162" s="1065">
        <v>183133591554</v>
      </c>
      <c r="AJ162" s="1065">
        <v>183133591554</v>
      </c>
      <c r="AK162" s="1065">
        <v>183133591554</v>
      </c>
      <c r="AL162" s="1065">
        <v>224892591554</v>
      </c>
      <c r="AM162" s="1065">
        <v>224892591554</v>
      </c>
      <c r="AN162" s="1065">
        <v>224892591554</v>
      </c>
      <c r="AO162" s="1065">
        <v>224892591554</v>
      </c>
      <c r="AP162" s="1065">
        <v>273469591554</v>
      </c>
      <c r="AQ162" s="1065">
        <v>273469591554</v>
      </c>
    </row>
    <row r="163" spans="1:43">
      <c r="A163" s="1064" t="s">
        <v>1000</v>
      </c>
      <c r="B163" s="1065">
        <v>0</v>
      </c>
      <c r="C163" s="1065">
        <v>0</v>
      </c>
      <c r="D163" s="1065">
        <v>0</v>
      </c>
      <c r="E163" s="1065">
        <v>0</v>
      </c>
      <c r="F163" s="1065">
        <v>0</v>
      </c>
      <c r="G163" s="1065">
        <v>0</v>
      </c>
      <c r="H163" s="1065">
        <v>0</v>
      </c>
      <c r="I163" s="1065">
        <v>0</v>
      </c>
      <c r="J163" s="1065">
        <v>0</v>
      </c>
      <c r="K163" s="1065">
        <v>0</v>
      </c>
      <c r="L163" s="1065">
        <v>0</v>
      </c>
      <c r="M163" s="1065">
        <v>0</v>
      </c>
      <c r="N163" s="1065">
        <v>0</v>
      </c>
      <c r="O163" s="1065">
        <v>0</v>
      </c>
      <c r="P163" s="1065">
        <v>0</v>
      </c>
      <c r="Q163" s="1065">
        <v>0</v>
      </c>
      <c r="R163" s="1065">
        <v>0</v>
      </c>
      <c r="S163" s="1065">
        <v>0</v>
      </c>
      <c r="T163" s="1065">
        <v>0</v>
      </c>
      <c r="U163" s="1065">
        <v>0</v>
      </c>
      <c r="V163" s="1065">
        <v>0</v>
      </c>
      <c r="W163" s="1065">
        <v>0</v>
      </c>
      <c r="X163" s="1065">
        <v>0</v>
      </c>
      <c r="Y163" s="1065">
        <v>0</v>
      </c>
      <c r="Z163" s="1065">
        <v>0</v>
      </c>
      <c r="AA163" s="1065">
        <v>0</v>
      </c>
      <c r="AB163" s="1065">
        <v>0</v>
      </c>
      <c r="AC163" s="1065">
        <v>0</v>
      </c>
      <c r="AD163" s="1065">
        <v>0</v>
      </c>
      <c r="AE163" s="1065">
        <v>0</v>
      </c>
      <c r="AF163" s="1065">
        <v>0</v>
      </c>
      <c r="AG163" s="1065">
        <v>0</v>
      </c>
      <c r="AH163" s="1065">
        <v>0</v>
      </c>
      <c r="AI163" s="1065">
        <v>0</v>
      </c>
      <c r="AJ163" s="1065">
        <v>0</v>
      </c>
      <c r="AK163" s="1065">
        <v>0</v>
      </c>
      <c r="AL163" s="1065">
        <v>0</v>
      </c>
      <c r="AM163" s="1065">
        <v>0</v>
      </c>
      <c r="AN163" s="1065">
        <v>0</v>
      </c>
      <c r="AO163" s="1065">
        <v>0</v>
      </c>
      <c r="AP163" s="1065">
        <v>0</v>
      </c>
      <c r="AQ163" s="1065">
        <v>0</v>
      </c>
    </row>
    <row r="164" spans="1:43">
      <c r="A164" s="1064" t="s">
        <v>1001</v>
      </c>
      <c r="B164" s="1065">
        <v>12276238959</v>
      </c>
      <c r="C164" s="1065">
        <v>12276238959</v>
      </c>
      <c r="D164" s="1065">
        <v>12276238959</v>
      </c>
      <c r="E164" s="1065">
        <v>12276238959</v>
      </c>
      <c r="F164" s="1065">
        <v>23675828911</v>
      </c>
      <c r="G164" s="1065">
        <v>23675828911</v>
      </c>
      <c r="H164" s="1065">
        <v>23675828911</v>
      </c>
      <c r="I164" s="1065">
        <v>23675828911</v>
      </c>
      <c r="J164" s="1065">
        <v>93482355957</v>
      </c>
      <c r="K164" s="1065">
        <v>93482355957</v>
      </c>
      <c r="L164" s="1065">
        <v>93482355957</v>
      </c>
      <c r="M164" s="1065">
        <v>93482355957</v>
      </c>
      <c r="N164" s="1065">
        <v>163127588154</v>
      </c>
      <c r="O164" s="1065">
        <v>163127588154</v>
      </c>
      <c r="P164" s="1065">
        <v>163127588154</v>
      </c>
      <c r="Q164" s="1065">
        <v>163127588154</v>
      </c>
      <c r="R164" s="1065">
        <v>222807386645</v>
      </c>
      <c r="S164" s="1065">
        <v>222807386645</v>
      </c>
      <c r="T164" s="1065">
        <v>222807386645</v>
      </c>
      <c r="U164" s="1065">
        <v>222807386645</v>
      </c>
      <c r="V164" s="1065">
        <v>140086057460</v>
      </c>
      <c r="W164" s="1065">
        <v>140086057460</v>
      </c>
      <c r="X164" s="1065">
        <v>140086057460</v>
      </c>
      <c r="Y164" s="1065">
        <v>140086057460</v>
      </c>
      <c r="Z164" s="1065">
        <v>161266927402</v>
      </c>
      <c r="AA164" s="1065">
        <v>161266927402</v>
      </c>
      <c r="AB164" s="1065">
        <v>161266927402</v>
      </c>
      <c r="AC164" s="1065">
        <v>161266927402</v>
      </c>
      <c r="AD164" s="1065">
        <v>77179860770</v>
      </c>
      <c r="AE164" s="1065">
        <v>77179860770</v>
      </c>
      <c r="AF164" s="1065">
        <v>77179860770</v>
      </c>
      <c r="AG164" s="1065">
        <v>77179860770</v>
      </c>
      <c r="AH164" s="1065">
        <v>8154090164</v>
      </c>
      <c r="AI164" s="1065">
        <v>8154090164</v>
      </c>
      <c r="AJ164" s="1065">
        <v>8154090164</v>
      </c>
      <c r="AK164" s="1065">
        <v>8154090164</v>
      </c>
      <c r="AL164" s="1065">
        <v>125110516840</v>
      </c>
      <c r="AM164" s="1065">
        <v>125110516840</v>
      </c>
      <c r="AN164" s="1065">
        <v>125110516840</v>
      </c>
      <c r="AO164" s="1065">
        <v>125110516840</v>
      </c>
      <c r="AP164" s="1065">
        <v>179658466615</v>
      </c>
      <c r="AQ164" s="1065">
        <v>179658466615</v>
      </c>
    </row>
    <row r="165" spans="1:43">
      <c r="A165" s="1064" t="s">
        <v>1002</v>
      </c>
      <c r="B165" s="1065">
        <v>42466456819</v>
      </c>
      <c r="C165" s="1065">
        <v>42466456819</v>
      </c>
      <c r="D165" s="1065">
        <v>42466456819</v>
      </c>
      <c r="E165" s="1065">
        <v>42466456819</v>
      </c>
      <c r="F165" s="1065">
        <v>42466456819</v>
      </c>
      <c r="G165" s="1065">
        <v>42466456819</v>
      </c>
      <c r="H165" s="1065">
        <v>42466456819</v>
      </c>
      <c r="I165" s="1065">
        <v>42466456819</v>
      </c>
      <c r="J165" s="1065">
        <v>42466456819</v>
      </c>
      <c r="K165" s="1065">
        <v>42466456819</v>
      </c>
      <c r="L165" s="1065">
        <v>42466456819</v>
      </c>
      <c r="M165" s="1065">
        <v>42466456819</v>
      </c>
      <c r="N165" s="1065">
        <v>196881991982</v>
      </c>
      <c r="O165" s="1065">
        <v>196881991982</v>
      </c>
      <c r="P165" s="1065">
        <v>124098187789</v>
      </c>
      <c r="Q165" s="1065">
        <v>124098187789</v>
      </c>
      <c r="R165" s="1065">
        <v>253511974050</v>
      </c>
      <c r="S165" s="1065">
        <v>253511974050</v>
      </c>
      <c r="T165" s="1065">
        <v>253511974050</v>
      </c>
      <c r="U165" s="1065">
        <v>253511974050</v>
      </c>
      <c r="V165" s="1065">
        <v>253511974050</v>
      </c>
      <c r="W165" s="1065">
        <v>120899631720</v>
      </c>
      <c r="X165" s="1065">
        <v>120899631720</v>
      </c>
      <c r="Y165" s="1065">
        <v>120899631720</v>
      </c>
      <c r="Z165" s="1065">
        <v>365484973087</v>
      </c>
      <c r="AA165" s="1065">
        <v>365484973087</v>
      </c>
      <c r="AB165" s="1065">
        <v>365484973087</v>
      </c>
      <c r="AC165" s="1065">
        <v>11015126667</v>
      </c>
      <c r="AD165" s="1065">
        <v>10665395169</v>
      </c>
      <c r="AE165" s="1065">
        <v>10665395169</v>
      </c>
      <c r="AF165" s="1065">
        <v>10665395169</v>
      </c>
      <c r="AG165" s="1065">
        <v>10665395169</v>
      </c>
      <c r="AH165" s="1065">
        <v>10665395169</v>
      </c>
      <c r="AI165" s="1065">
        <v>10665395169</v>
      </c>
      <c r="AJ165" s="1065">
        <v>10665395169</v>
      </c>
      <c r="AK165" s="1065">
        <v>10665395169</v>
      </c>
      <c r="AL165" s="1065">
        <v>10665395169</v>
      </c>
      <c r="AM165" s="1065">
        <v>10665395169</v>
      </c>
      <c r="AN165" s="1065">
        <v>10665395169</v>
      </c>
      <c r="AO165" s="1065">
        <v>10665395169</v>
      </c>
      <c r="AP165" s="1065">
        <v>10665395169</v>
      </c>
      <c r="AQ165" s="1065">
        <v>10665395169</v>
      </c>
    </row>
    <row r="166" spans="1:43">
      <c r="A166" s="1064" t="s">
        <v>1003</v>
      </c>
      <c r="B166" s="1065">
        <v>454154405177</v>
      </c>
      <c r="C166" s="1065">
        <v>537319953991</v>
      </c>
      <c r="D166" s="1065">
        <v>600324719495</v>
      </c>
      <c r="E166" s="1065">
        <v>657790475438</v>
      </c>
      <c r="F166" s="1065">
        <v>627475792295</v>
      </c>
      <c r="G166" s="1065">
        <v>724143737934</v>
      </c>
      <c r="H166" s="1065">
        <v>812586546425.5</v>
      </c>
      <c r="I166" s="1065">
        <v>897637961811</v>
      </c>
      <c r="J166" s="1065">
        <v>779485027552</v>
      </c>
      <c r="K166" s="1065">
        <v>887097254091</v>
      </c>
      <c r="L166" s="1065">
        <v>862708736719</v>
      </c>
      <c r="M166" s="1065">
        <v>975491497215</v>
      </c>
      <c r="N166" s="1065">
        <v>737759317645</v>
      </c>
      <c r="O166" s="1065">
        <v>882693321702</v>
      </c>
      <c r="P166" s="1065">
        <v>985697521786</v>
      </c>
      <c r="Q166" s="1065">
        <v>1147376359300</v>
      </c>
      <c r="R166" s="1065">
        <v>907375229765</v>
      </c>
      <c r="S166" s="1065">
        <v>1057862181684</v>
      </c>
      <c r="T166" s="1065">
        <v>1215674324693</v>
      </c>
      <c r="U166" s="1065">
        <v>1354926813321</v>
      </c>
      <c r="V166" s="1065">
        <v>1399164931926</v>
      </c>
      <c r="W166" s="1065">
        <v>1583172116762</v>
      </c>
      <c r="X166" s="1065">
        <v>1765765641551</v>
      </c>
      <c r="Y166" s="1065">
        <v>1945830586855</v>
      </c>
      <c r="Z166" s="1065">
        <v>2373444056382</v>
      </c>
      <c r="AA166" s="1065">
        <v>2422053862191</v>
      </c>
      <c r="AB166" s="1065">
        <v>2627335903471</v>
      </c>
      <c r="AC166" s="1065">
        <v>2644901052550</v>
      </c>
      <c r="AD166" s="1065">
        <v>2723642428289</v>
      </c>
      <c r="AE166" s="1065">
        <v>2872998036442</v>
      </c>
      <c r="AF166" s="1065">
        <v>2698499229120</v>
      </c>
      <c r="AG166" s="1065">
        <v>2797296442105</v>
      </c>
      <c r="AH166" s="1065">
        <v>2627709504709</v>
      </c>
      <c r="AI166" s="1065">
        <v>2855914224730</v>
      </c>
      <c r="AJ166" s="1065">
        <v>3015080212466</v>
      </c>
      <c r="AK166" s="1065">
        <v>2950915501525</v>
      </c>
      <c r="AL166" s="1065">
        <v>2733476068692</v>
      </c>
      <c r="AM166" s="1065">
        <v>2960175306965</v>
      </c>
      <c r="AN166" s="1065">
        <v>3130265575132</v>
      </c>
      <c r="AO166" s="1065">
        <v>2995619556383</v>
      </c>
      <c r="AP166" s="1065">
        <v>2858956296517</v>
      </c>
      <c r="AQ166" s="1065">
        <v>3085140353777</v>
      </c>
    </row>
    <row r="167" spans="1:43">
      <c r="A167" s="1062" t="s">
        <v>1004</v>
      </c>
      <c r="B167" s="1063">
        <v>0</v>
      </c>
      <c r="C167" s="1063">
        <v>0</v>
      </c>
      <c r="D167" s="1063">
        <v>0</v>
      </c>
      <c r="E167" s="1063">
        <v>0</v>
      </c>
      <c r="F167" s="1063">
        <v>0</v>
      </c>
      <c r="G167" s="1063">
        <v>99744500000</v>
      </c>
      <c r="H167" s="1063">
        <v>99744500000</v>
      </c>
      <c r="I167" s="1063">
        <v>99744500000</v>
      </c>
      <c r="J167" s="1063">
        <v>99744500000</v>
      </c>
      <c r="K167" s="1063">
        <v>99744500000</v>
      </c>
      <c r="L167" s="1063">
        <v>99744500000</v>
      </c>
      <c r="M167" s="1063">
        <v>99744500000</v>
      </c>
      <c r="N167" s="1063">
        <v>99744500000</v>
      </c>
      <c r="O167" s="1063">
        <v>99744500000</v>
      </c>
      <c r="P167" s="1063">
        <v>99744500000</v>
      </c>
      <c r="Q167" s="1063">
        <v>99744500000</v>
      </c>
      <c r="R167" s="1063">
        <v>99744500000</v>
      </c>
      <c r="S167" s="1063">
        <v>99744500000</v>
      </c>
      <c r="T167" s="1063">
        <v>124445060000</v>
      </c>
      <c r="U167" s="1063">
        <v>174414280000</v>
      </c>
      <c r="V167" s="1063">
        <v>174414280000</v>
      </c>
      <c r="W167" s="1063">
        <v>174289260000</v>
      </c>
      <c r="X167" s="1063">
        <v>124445060000</v>
      </c>
      <c r="Y167" s="1063">
        <v>124445060000</v>
      </c>
      <c r="Z167" s="1063">
        <v>124445060000</v>
      </c>
      <c r="AA167" s="1063">
        <v>124445060000</v>
      </c>
      <c r="AB167" s="1063">
        <v>124445060000</v>
      </c>
      <c r="AC167" s="1063">
        <v>124445060000</v>
      </c>
      <c r="AD167" s="1063">
        <v>124445060000</v>
      </c>
      <c r="AE167" s="1063">
        <v>124445060000</v>
      </c>
      <c r="AF167" s="1063">
        <v>124445060000</v>
      </c>
      <c r="AG167" s="1063">
        <v>124445060000</v>
      </c>
      <c r="AH167" s="1063">
        <v>124445060000</v>
      </c>
      <c r="AI167" s="1063">
        <v>174237290000</v>
      </c>
      <c r="AJ167" s="1063">
        <v>174237290000</v>
      </c>
      <c r="AK167" s="1063">
        <v>174237290000</v>
      </c>
      <c r="AL167" s="1063">
        <v>174237290000</v>
      </c>
      <c r="AM167" s="1063">
        <v>224055620000</v>
      </c>
      <c r="AN167" s="1063">
        <v>149385840000</v>
      </c>
      <c r="AO167" s="1063">
        <v>149385840000</v>
      </c>
      <c r="AP167" s="1063">
        <v>149385840000</v>
      </c>
      <c r="AQ167" s="1063">
        <v>224257970000</v>
      </c>
    </row>
    <row r="168" spans="1:43">
      <c r="A168" s="1060" t="s">
        <v>1005</v>
      </c>
      <c r="B168" s="1061">
        <v>18143999532231</v>
      </c>
      <c r="C168" s="1061">
        <v>17095689552109</v>
      </c>
      <c r="D168" s="1061">
        <v>19004951935347</v>
      </c>
      <c r="E168" s="1061">
        <v>17259330331970</v>
      </c>
      <c r="F168" s="1061">
        <v>20685400628034</v>
      </c>
      <c r="G168" s="1061">
        <v>23531645765972</v>
      </c>
      <c r="H168" s="1061">
        <v>22220618905209.5</v>
      </c>
      <c r="I168" s="1061">
        <v>23450565211833</v>
      </c>
      <c r="J168" s="1061">
        <v>27671889216410</v>
      </c>
      <c r="K168" s="1061">
        <v>30809517139144</v>
      </c>
      <c r="L168" s="1061">
        <v>31854048887639</v>
      </c>
      <c r="M168" s="1061">
        <v>31160667896137</v>
      </c>
      <c r="N168" s="1061">
        <v>35219676502997</v>
      </c>
      <c r="O168" s="1061">
        <v>36514106894480</v>
      </c>
      <c r="P168" s="1061">
        <v>38400418962697</v>
      </c>
      <c r="Q168" s="1061">
        <v>37987237389828</v>
      </c>
      <c r="R168" s="1061">
        <v>41522976659724</v>
      </c>
      <c r="S168" s="1061">
        <v>42792888315301</v>
      </c>
      <c r="T168" s="1061">
        <v>42841009595401</v>
      </c>
      <c r="U168" s="1061">
        <v>43846991201741</v>
      </c>
      <c r="V168" s="1061">
        <v>46903167814029</v>
      </c>
      <c r="W168" s="1061">
        <v>48952107882461</v>
      </c>
      <c r="X168" s="1061">
        <v>50213858767993</v>
      </c>
      <c r="Y168" s="1061">
        <v>54108239112787</v>
      </c>
      <c r="Z168" s="1061">
        <v>58456478296592</v>
      </c>
      <c r="AA168" s="1061">
        <v>60464262316570</v>
      </c>
      <c r="AB168" s="1061">
        <v>61632486852011</v>
      </c>
      <c r="AC168" s="1061">
        <v>56452695449049</v>
      </c>
      <c r="AD168" s="1061">
        <v>60390176421023</v>
      </c>
      <c r="AE168" s="1061">
        <v>60701324585530</v>
      </c>
      <c r="AF168" s="1061">
        <v>59765746237325</v>
      </c>
      <c r="AG168" s="1061">
        <v>63629087833080</v>
      </c>
      <c r="AH168" s="1061">
        <v>63746987175143</v>
      </c>
      <c r="AI168" s="1061">
        <v>64949517152659</v>
      </c>
      <c r="AJ168" s="1061">
        <v>69386867001448</v>
      </c>
      <c r="AK168" s="1061">
        <v>73220988178757</v>
      </c>
      <c r="AL168" s="1061">
        <v>76336829612797</v>
      </c>
      <c r="AM168" s="1061">
        <v>81085552722426</v>
      </c>
      <c r="AN168" s="1061">
        <v>89754847733475</v>
      </c>
      <c r="AO168" s="1061">
        <v>93707652067221</v>
      </c>
      <c r="AP168" s="1061">
        <v>103330261933773</v>
      </c>
      <c r="AQ168" s="1061">
        <v>107740385241391</v>
      </c>
    </row>
  </sheetData>
  <phoneticPr fontId="21" type="noConversion"/>
  <pageMargins left="0.7" right="0.7" top="0.75" bottom="0.75" header="0.3" footer="0.3"/>
  <pageSetup paperSize="9" scale="98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1A57-A625-44F4-AF3E-EF77D7EEBAE1}">
  <sheetPr>
    <tabColor theme="5" tint="0.79998168889431442"/>
    <pageSetUpPr fitToPage="1"/>
  </sheetPr>
  <dimension ref="A1:AQ168"/>
  <sheetViews>
    <sheetView showGridLines="0" view="pageBreakPreview" zoomScaleNormal="100" zoomScaleSheetLayoutView="100" workbookViewId="0">
      <pane ySplit="4" topLeftCell="A5" activePane="bottomLeft" state="frozen"/>
      <selection activeCell="BJ51" sqref="BJ51"/>
      <selection pane="bottomLeft" activeCell="BJ51" sqref="BJ51"/>
    </sheetView>
  </sheetViews>
  <sheetFormatPr defaultColWidth="8.88671875" defaultRowHeight="14.25"/>
  <cols>
    <col min="1" max="1" width="38.77734375" style="1048" customWidth="1"/>
    <col min="2" max="40" width="15.33203125" style="1048" hidden="1" customWidth="1"/>
    <col min="41" max="41" width="15.33203125" style="1048" customWidth="1"/>
    <col min="42" max="42" width="15.33203125" style="1048" hidden="1" customWidth="1"/>
    <col min="43" max="43" width="15.33203125" style="1048" customWidth="1"/>
    <col min="44" max="16384" width="8.88671875" style="1048"/>
  </cols>
  <sheetData>
    <row r="1" spans="1:43" s="1049" customFormat="1" ht="12" customHeight="1">
      <c r="A1" s="1048"/>
      <c r="B1" s="1048"/>
      <c r="C1" s="1048"/>
      <c r="D1" s="1048"/>
      <c r="E1" s="1048"/>
      <c r="F1" s="1048"/>
      <c r="G1" s="1048"/>
      <c r="H1" s="1048"/>
      <c r="I1" s="1048"/>
      <c r="J1" s="1048"/>
      <c r="K1" s="1048"/>
      <c r="L1" s="1048"/>
      <c r="M1" s="1048"/>
      <c r="N1" s="1048"/>
      <c r="O1" s="1048"/>
      <c r="P1" s="1048"/>
      <c r="Q1" s="1048"/>
      <c r="R1" s="1048"/>
      <c r="S1" s="1048"/>
      <c r="T1" s="1048"/>
      <c r="U1" s="1048"/>
      <c r="V1" s="1048"/>
      <c r="W1" s="1048"/>
      <c r="X1" s="1048"/>
      <c r="Y1" s="1048"/>
      <c r="Z1" s="1048"/>
      <c r="AA1" s="1048"/>
      <c r="AB1" s="1048"/>
      <c r="AC1" s="1048"/>
      <c r="AD1" s="1048"/>
      <c r="AE1" s="1048"/>
      <c r="AF1" s="1048"/>
      <c r="AG1" s="1048"/>
      <c r="AH1" s="1048"/>
      <c r="AI1" s="1048"/>
      <c r="AJ1" s="1048"/>
      <c r="AK1" s="1048"/>
      <c r="AL1" s="1048"/>
      <c r="AM1" s="1048"/>
      <c r="AN1" s="1048"/>
      <c r="AO1" s="1048"/>
      <c r="AP1" s="1048"/>
      <c r="AQ1" s="1048"/>
    </row>
    <row r="2" spans="1:43" ht="38.25" customHeight="1">
      <c r="A2" s="1050" t="s">
        <v>1006</v>
      </c>
      <c r="B2" s="1051"/>
      <c r="C2" s="1051"/>
      <c r="D2" s="1051"/>
      <c r="E2" s="1051"/>
      <c r="F2" s="1051"/>
      <c r="G2" s="1051"/>
      <c r="H2" s="1051"/>
      <c r="I2" s="1051"/>
      <c r="J2" s="1051"/>
      <c r="K2" s="1051"/>
      <c r="L2" s="1051"/>
      <c r="M2" s="1051"/>
      <c r="N2" s="1051"/>
      <c r="O2" s="1051"/>
      <c r="P2" s="1051"/>
      <c r="Q2" s="1051"/>
      <c r="R2" s="1051"/>
      <c r="S2" s="1051"/>
      <c r="T2" s="1051"/>
      <c r="U2" s="1051"/>
      <c r="V2" s="1051"/>
      <c r="W2" s="1051"/>
      <c r="X2" s="1051"/>
      <c r="Y2" s="1051"/>
      <c r="Z2" s="1051"/>
      <c r="AA2" s="1051"/>
      <c r="AB2" s="1051"/>
      <c r="AC2" s="1051"/>
      <c r="AD2" s="1051"/>
      <c r="AE2" s="1051"/>
      <c r="AF2" s="1051"/>
      <c r="AG2" s="1051"/>
      <c r="AH2" s="1051"/>
      <c r="AI2" s="1051"/>
      <c r="AJ2" s="1051"/>
      <c r="AK2" s="1051"/>
      <c r="AL2" s="1051"/>
      <c r="AM2" s="1051"/>
      <c r="AN2" s="1051"/>
      <c r="AO2" s="1051"/>
      <c r="AP2" s="1051"/>
      <c r="AQ2" s="1051"/>
    </row>
    <row r="3" spans="1:43" ht="18" customHeight="1" thickBot="1">
      <c r="A3" s="1049"/>
      <c r="B3" s="1049"/>
      <c r="C3" s="1049"/>
      <c r="D3" s="1049"/>
      <c r="E3" s="1049"/>
      <c r="F3" s="1049"/>
      <c r="G3" s="1049"/>
      <c r="H3" s="1049"/>
      <c r="I3" s="1049"/>
      <c r="J3" s="1049"/>
      <c r="K3" s="1049"/>
      <c r="L3" s="1049"/>
      <c r="M3" s="1049"/>
      <c r="N3" s="1049"/>
      <c r="O3" s="1049"/>
      <c r="P3" s="1049"/>
      <c r="Q3" s="1049"/>
      <c r="R3" s="1049"/>
      <c r="S3" s="1049"/>
      <c r="T3" s="1049"/>
      <c r="U3" s="1049"/>
      <c r="V3" s="1049"/>
      <c r="W3" s="1049"/>
      <c r="X3" s="1049"/>
      <c r="Y3" s="1049"/>
      <c r="Z3" s="1049"/>
      <c r="AA3" s="1049"/>
      <c r="AB3" s="1049"/>
      <c r="AC3" s="1049"/>
      <c r="AD3" s="1049"/>
      <c r="AE3" s="1049"/>
      <c r="AF3" s="1049"/>
      <c r="AG3" s="1049"/>
      <c r="AH3" s="1049"/>
      <c r="AI3" s="1049"/>
      <c r="AJ3" s="1049"/>
      <c r="AK3" s="1049"/>
      <c r="AL3" s="1049"/>
      <c r="AM3" s="1049"/>
      <c r="AN3" s="1049"/>
      <c r="AO3" s="1049"/>
      <c r="AP3" s="1049"/>
      <c r="AQ3" s="1049"/>
    </row>
    <row r="4" spans="1:43" s="1059" customFormat="1" ht="18" customHeight="1" thickTop="1">
      <c r="A4" s="1054" t="s">
        <v>849</v>
      </c>
      <c r="B4" s="1055" t="s">
        <v>803</v>
      </c>
      <c r="C4" s="1055" t="s">
        <v>804</v>
      </c>
      <c r="D4" s="1055" t="s">
        <v>805</v>
      </c>
      <c r="E4" s="1055">
        <v>2016</v>
      </c>
      <c r="F4" s="1055" t="s">
        <v>807</v>
      </c>
      <c r="G4" s="1055" t="s">
        <v>808</v>
      </c>
      <c r="H4" s="1055" t="s">
        <v>809</v>
      </c>
      <c r="I4" s="1055">
        <v>2017</v>
      </c>
      <c r="J4" s="1056" t="s">
        <v>435</v>
      </c>
      <c r="K4" s="1057" t="s">
        <v>436</v>
      </c>
      <c r="L4" s="1057" t="s">
        <v>437</v>
      </c>
      <c r="M4" s="1057">
        <v>2018</v>
      </c>
      <c r="N4" s="1057" t="s">
        <v>439</v>
      </c>
      <c r="O4" s="1057" t="s">
        <v>440</v>
      </c>
      <c r="P4" s="1057" t="s">
        <v>441</v>
      </c>
      <c r="Q4" s="1057">
        <v>2019</v>
      </c>
      <c r="R4" s="1057" t="s">
        <v>443</v>
      </c>
      <c r="S4" s="1057" t="s">
        <v>444</v>
      </c>
      <c r="T4" s="1057" t="s">
        <v>445</v>
      </c>
      <c r="U4" s="1057">
        <v>2020</v>
      </c>
      <c r="V4" s="1057" t="s">
        <v>447</v>
      </c>
      <c r="W4" s="1057" t="s">
        <v>448</v>
      </c>
      <c r="X4" s="1057" t="s">
        <v>449</v>
      </c>
      <c r="Y4" s="1057">
        <v>2021</v>
      </c>
      <c r="Z4" s="1058" t="s">
        <v>391</v>
      </c>
      <c r="AA4" s="1058" t="s">
        <v>452</v>
      </c>
      <c r="AB4" s="1058" t="s">
        <v>430</v>
      </c>
      <c r="AC4" s="1058">
        <v>2022</v>
      </c>
      <c r="AD4" s="1057" t="s">
        <v>428</v>
      </c>
      <c r="AE4" s="1057" t="s">
        <v>466</v>
      </c>
      <c r="AF4" s="1057" t="s">
        <v>468</v>
      </c>
      <c r="AG4" s="1057">
        <v>2023</v>
      </c>
      <c r="AH4" s="1057" t="s">
        <v>563</v>
      </c>
      <c r="AI4" s="1057" t="s">
        <v>607</v>
      </c>
      <c r="AJ4" s="1057" t="s">
        <v>622</v>
      </c>
      <c r="AK4" s="1057">
        <v>2024</v>
      </c>
      <c r="AL4" s="1057" t="s">
        <v>647</v>
      </c>
      <c r="AM4" s="1057" t="s">
        <v>676</v>
      </c>
      <c r="AN4" s="1057" t="s">
        <v>698</v>
      </c>
      <c r="AO4" s="1057">
        <v>2025</v>
      </c>
      <c r="AP4" s="1057" t="s">
        <v>688</v>
      </c>
      <c r="AQ4" s="1068" t="s">
        <v>732</v>
      </c>
    </row>
    <row r="5" spans="1:43">
      <c r="A5" s="1060" t="s">
        <v>830</v>
      </c>
      <c r="B5" s="1061">
        <v>16666035644896</v>
      </c>
      <c r="C5" s="1061">
        <v>15539885938021</v>
      </c>
      <c r="D5" s="1061">
        <v>17240322771136</v>
      </c>
      <c r="E5" s="1061">
        <v>15311573692178</v>
      </c>
      <c r="F5" s="1061">
        <v>18480791841650</v>
      </c>
      <c r="G5" s="1061">
        <v>17810441896477</v>
      </c>
      <c r="H5" s="1061">
        <v>16853550278551</v>
      </c>
      <c r="I5" s="1061">
        <v>17984010113274</v>
      </c>
      <c r="J5" s="1061">
        <v>21904826602029</v>
      </c>
      <c r="K5" s="1061">
        <v>24495164932401</v>
      </c>
      <c r="L5" s="1061">
        <v>24839755230605</v>
      </c>
      <c r="M5" s="1061">
        <v>23685113067010</v>
      </c>
      <c r="N5" s="1061">
        <v>28180012988933</v>
      </c>
      <c r="O5" s="1061">
        <v>29007357273224</v>
      </c>
      <c r="P5" s="1061">
        <v>30899102507246</v>
      </c>
      <c r="Q5" s="1061">
        <v>29734067366385</v>
      </c>
      <c r="R5" s="1061">
        <v>31452666769271</v>
      </c>
      <c r="S5" s="1061">
        <v>33548817377747</v>
      </c>
      <c r="T5" s="1061">
        <v>34330722643440</v>
      </c>
      <c r="U5" s="1061">
        <v>35318142324881</v>
      </c>
      <c r="V5" s="1061">
        <v>38593056440073</v>
      </c>
      <c r="W5" s="1061">
        <v>39709596243032</v>
      </c>
      <c r="X5" s="1061">
        <v>40780040875041</v>
      </c>
      <c r="Y5" s="1061">
        <v>41952648067078</v>
      </c>
      <c r="Z5" s="1061">
        <v>46775714262356</v>
      </c>
      <c r="AA5" s="1061">
        <v>48063129100354</v>
      </c>
      <c r="AB5" s="1061">
        <v>48364958953530</v>
      </c>
      <c r="AC5" s="1061">
        <v>43188568068568</v>
      </c>
      <c r="AD5" s="1061">
        <v>46127885694638</v>
      </c>
      <c r="AE5" s="1061">
        <v>46509524942823</v>
      </c>
      <c r="AF5" s="1061">
        <v>45941787858790</v>
      </c>
      <c r="AG5" s="1061">
        <v>50923817369368</v>
      </c>
      <c r="AH5" s="1061">
        <v>50729410997240</v>
      </c>
      <c r="AI5" s="1061">
        <v>52171681981398</v>
      </c>
      <c r="AJ5" s="1061">
        <v>56144122676225</v>
      </c>
      <c r="AK5" s="1061">
        <v>58952231221242</v>
      </c>
      <c r="AL5" s="1061">
        <v>61335799575675</v>
      </c>
      <c r="AM5" s="1061">
        <v>65441552726890</v>
      </c>
      <c r="AN5" s="1061">
        <v>70748639855826</v>
      </c>
      <c r="AO5" s="1061">
        <v>72448026454395</v>
      </c>
      <c r="AP5" s="1061">
        <v>81943315630648</v>
      </c>
      <c r="AQ5" s="1061">
        <v>85182682455576</v>
      </c>
    </row>
    <row r="6" spans="1:43">
      <c r="A6" s="1062" t="s">
        <v>850</v>
      </c>
      <c r="B6" s="1063">
        <v>695582372078</v>
      </c>
      <c r="C6" s="1063">
        <v>749379689597</v>
      </c>
      <c r="D6" s="1063">
        <v>867235308487</v>
      </c>
      <c r="E6" s="1063">
        <v>739326955945</v>
      </c>
      <c r="F6" s="1063">
        <v>747000969115</v>
      </c>
      <c r="G6" s="1063">
        <v>592668935185</v>
      </c>
      <c r="H6" s="1063">
        <v>576189308180</v>
      </c>
      <c r="I6" s="1063">
        <v>839688369763</v>
      </c>
      <c r="J6" s="1063">
        <v>1026229552404</v>
      </c>
      <c r="K6" s="1063">
        <v>1396641322173</v>
      </c>
      <c r="L6" s="1063">
        <v>1217754934812</v>
      </c>
      <c r="M6" s="1063">
        <v>1340316910513</v>
      </c>
      <c r="N6" s="1063">
        <v>1341048666788</v>
      </c>
      <c r="O6" s="1063">
        <v>1428899401465</v>
      </c>
      <c r="P6" s="1063">
        <v>1278356730595</v>
      </c>
      <c r="Q6" s="1063">
        <v>1597457910349</v>
      </c>
      <c r="R6" s="1063">
        <v>2930632203422</v>
      </c>
      <c r="S6" s="1063">
        <v>2889712562966</v>
      </c>
      <c r="T6" s="1063">
        <v>3153582907366</v>
      </c>
      <c r="U6" s="1063">
        <v>1773455517826</v>
      </c>
      <c r="V6" s="1063">
        <v>3113161862631</v>
      </c>
      <c r="W6" s="1063">
        <v>2255950457053</v>
      </c>
      <c r="X6" s="1063">
        <v>2391416162506</v>
      </c>
      <c r="Y6" s="1063">
        <v>3333386405303</v>
      </c>
      <c r="Z6" s="1063">
        <v>3868685953014</v>
      </c>
      <c r="AA6" s="1063">
        <v>3913363299905</v>
      </c>
      <c r="AB6" s="1063">
        <v>3303831350320</v>
      </c>
      <c r="AC6" s="1063">
        <v>2754531210092</v>
      </c>
      <c r="AD6" s="1063">
        <v>2484222971988</v>
      </c>
      <c r="AE6" s="1063">
        <v>2607824243681</v>
      </c>
      <c r="AF6" s="1063">
        <v>2288583154620</v>
      </c>
      <c r="AG6" s="1063">
        <v>2836428000492</v>
      </c>
      <c r="AH6" s="1063">
        <v>2767631978392</v>
      </c>
      <c r="AI6" s="1063">
        <v>2741383467523</v>
      </c>
      <c r="AJ6" s="1063">
        <v>3203254976232</v>
      </c>
      <c r="AK6" s="1063">
        <v>3556037179422</v>
      </c>
      <c r="AL6" s="1063">
        <v>4491030889766</v>
      </c>
      <c r="AM6" s="1063">
        <v>4199824163331</v>
      </c>
      <c r="AN6" s="1063">
        <v>5292896140345</v>
      </c>
      <c r="AO6" s="1063">
        <v>6747829502390</v>
      </c>
      <c r="AP6" s="1063">
        <v>9417464280738</v>
      </c>
      <c r="AQ6" s="1063">
        <v>9746096842346</v>
      </c>
    </row>
    <row r="7" spans="1:43">
      <c r="A7" s="1064" t="s">
        <v>851</v>
      </c>
      <c r="B7" s="1065">
        <v>530792125003</v>
      </c>
      <c r="C7" s="1065">
        <v>566378199044</v>
      </c>
      <c r="D7" s="1065">
        <v>588054038000</v>
      </c>
      <c r="E7" s="1065">
        <v>579777139619</v>
      </c>
      <c r="F7" s="1065">
        <v>443135573952</v>
      </c>
      <c r="G7" s="1065">
        <v>416213157260</v>
      </c>
      <c r="H7" s="1065">
        <v>391894191537</v>
      </c>
      <c r="I7" s="1065">
        <v>507680812571</v>
      </c>
      <c r="J7" s="1065">
        <v>349541127912</v>
      </c>
      <c r="K7" s="1065">
        <v>350226540688</v>
      </c>
      <c r="L7" s="1065">
        <v>439802896773</v>
      </c>
      <c r="M7" s="1065">
        <v>430054212277</v>
      </c>
      <c r="N7" s="1065">
        <v>732576005684</v>
      </c>
      <c r="O7" s="1065">
        <v>687065480007</v>
      </c>
      <c r="P7" s="1065">
        <v>791575255447</v>
      </c>
      <c r="Q7" s="1065">
        <v>713122700431</v>
      </c>
      <c r="R7" s="1065">
        <v>681353977120</v>
      </c>
      <c r="S7" s="1065">
        <v>781834381164</v>
      </c>
      <c r="T7" s="1065">
        <v>958093622279</v>
      </c>
      <c r="U7" s="1065">
        <v>551740491310</v>
      </c>
      <c r="V7" s="1065">
        <v>637957210253</v>
      </c>
      <c r="W7" s="1065">
        <v>601260260606</v>
      </c>
      <c r="X7" s="1065">
        <v>540461651069</v>
      </c>
      <c r="Y7" s="1065">
        <v>726178931038</v>
      </c>
      <c r="Z7" s="1065">
        <v>819781921441</v>
      </c>
      <c r="AA7" s="1065">
        <v>877206597997</v>
      </c>
      <c r="AB7" s="1065">
        <v>554801064719</v>
      </c>
      <c r="AC7" s="1065">
        <v>518454836709</v>
      </c>
      <c r="AD7" s="1065">
        <v>535967239017</v>
      </c>
      <c r="AE7" s="1065">
        <v>658111698236</v>
      </c>
      <c r="AF7" s="1065">
        <v>636571571537</v>
      </c>
      <c r="AG7" s="1065">
        <v>524388642846</v>
      </c>
      <c r="AH7" s="1065">
        <v>633723288789</v>
      </c>
      <c r="AI7" s="1065">
        <v>708305967474</v>
      </c>
      <c r="AJ7" s="1065">
        <v>773951302314</v>
      </c>
      <c r="AK7" s="1065">
        <v>1160782987601</v>
      </c>
      <c r="AL7" s="1065">
        <v>981263249211</v>
      </c>
      <c r="AM7" s="1065">
        <v>1287203328154</v>
      </c>
      <c r="AN7" s="1065">
        <v>1076313896818</v>
      </c>
      <c r="AO7" s="1065">
        <v>1300318421737</v>
      </c>
      <c r="AP7" s="1065">
        <v>1345084670568</v>
      </c>
      <c r="AQ7" s="1065">
        <v>2401888254886</v>
      </c>
    </row>
    <row r="8" spans="1:43">
      <c r="A8" s="1064" t="s">
        <v>852</v>
      </c>
      <c r="B8" s="1065">
        <v>164790247075</v>
      </c>
      <c r="C8" s="1065">
        <v>183001490553</v>
      </c>
      <c r="D8" s="1065">
        <v>279181270487</v>
      </c>
      <c r="E8" s="1065">
        <v>159549816326</v>
      </c>
      <c r="F8" s="1065">
        <v>303865395163</v>
      </c>
      <c r="G8" s="1065">
        <v>176455777925</v>
      </c>
      <c r="H8" s="1065">
        <v>184295116643</v>
      </c>
      <c r="I8" s="1065">
        <v>332007557192</v>
      </c>
      <c r="J8" s="1065">
        <v>676688424492</v>
      </c>
      <c r="K8" s="1065">
        <v>1046414781485</v>
      </c>
      <c r="L8" s="1065">
        <v>777952038039</v>
      </c>
      <c r="M8" s="1065">
        <v>910262698236</v>
      </c>
      <c r="N8" s="1065">
        <v>608472661104</v>
      </c>
      <c r="O8" s="1065">
        <v>741833921458</v>
      </c>
      <c r="P8" s="1065">
        <v>486781475148</v>
      </c>
      <c r="Q8" s="1065">
        <v>884335209918</v>
      </c>
      <c r="R8" s="1065">
        <v>2249278226302</v>
      </c>
      <c r="S8" s="1065">
        <v>2107878181802</v>
      </c>
      <c r="T8" s="1065">
        <v>2195489285087</v>
      </c>
      <c r="U8" s="1065">
        <v>1221715026516</v>
      </c>
      <c r="V8" s="1065">
        <v>2475204652378</v>
      </c>
      <c r="W8" s="1065">
        <v>1654690196447</v>
      </c>
      <c r="X8" s="1065">
        <v>1850954511437</v>
      </c>
      <c r="Y8" s="1065">
        <v>2607207474265</v>
      </c>
      <c r="Z8" s="1065">
        <v>3048904031573</v>
      </c>
      <c r="AA8" s="1065">
        <v>3036156701908</v>
      </c>
      <c r="AB8" s="1065">
        <v>2749030285601</v>
      </c>
      <c r="AC8" s="1065">
        <v>2236076373383</v>
      </c>
      <c r="AD8" s="1065">
        <v>1948255732971</v>
      </c>
      <c r="AE8" s="1065">
        <v>1949712545445</v>
      </c>
      <c r="AF8" s="1065">
        <v>1652011583083</v>
      </c>
      <c r="AG8" s="1065">
        <v>2312039357646</v>
      </c>
      <c r="AH8" s="1065">
        <v>2133908689603</v>
      </c>
      <c r="AI8" s="1065">
        <v>2033077500049</v>
      </c>
      <c r="AJ8" s="1065">
        <v>2429303673918</v>
      </c>
      <c r="AK8" s="1065">
        <v>2395254191821</v>
      </c>
      <c r="AL8" s="1065">
        <v>3509767640555</v>
      </c>
      <c r="AM8" s="1065">
        <v>2912620835177</v>
      </c>
      <c r="AN8" s="1065">
        <v>4216582243527</v>
      </c>
      <c r="AO8" s="1065">
        <v>5447511080653</v>
      </c>
      <c r="AP8" s="1065">
        <v>8072379610170</v>
      </c>
      <c r="AQ8" s="1065">
        <v>7344208587460</v>
      </c>
    </row>
    <row r="9" spans="1:43">
      <c r="A9" s="1062" t="s">
        <v>853</v>
      </c>
      <c r="B9" s="1063">
        <v>8185540758909</v>
      </c>
      <c r="C9" s="1063">
        <v>6863419209651</v>
      </c>
      <c r="D9" s="1063">
        <v>8216989553248</v>
      </c>
      <c r="E9" s="1063">
        <v>7617181083180</v>
      </c>
      <c r="F9" s="1063">
        <v>8761318017131</v>
      </c>
      <c r="G9" s="1063">
        <v>8520968639451</v>
      </c>
      <c r="H9" s="1063">
        <v>6668015267386</v>
      </c>
      <c r="I9" s="1063">
        <v>9291791744359</v>
      </c>
      <c r="J9" s="1063">
        <v>11834487083898</v>
      </c>
      <c r="K9" s="1063">
        <v>13502151598565</v>
      </c>
      <c r="L9" s="1063">
        <v>12471747714660</v>
      </c>
      <c r="M9" s="1063">
        <v>12391356963803</v>
      </c>
      <c r="N9" s="1063">
        <v>14606850633450</v>
      </c>
      <c r="O9" s="1063">
        <v>15814016141070</v>
      </c>
      <c r="P9" s="1063">
        <v>17170817035804</v>
      </c>
      <c r="Q9" s="1063">
        <v>18616678023783</v>
      </c>
      <c r="R9" s="1063">
        <v>18674925638476</v>
      </c>
      <c r="S9" s="1063">
        <v>19275282181390</v>
      </c>
      <c r="T9" s="1063">
        <v>20086121480687</v>
      </c>
      <c r="U9" s="1063">
        <v>23477365423959</v>
      </c>
      <c r="V9" s="1063">
        <v>23434171013525</v>
      </c>
      <c r="W9" s="1063">
        <v>25743848349056</v>
      </c>
      <c r="X9" s="1063">
        <v>23455142268500</v>
      </c>
      <c r="Y9" s="1063">
        <v>24915708508115</v>
      </c>
      <c r="Z9" s="1063">
        <v>25839908476960</v>
      </c>
      <c r="AA9" s="1063">
        <v>25322014243178</v>
      </c>
      <c r="AB9" s="1063">
        <v>24926919310765</v>
      </c>
      <c r="AC9" s="1063">
        <v>26098257075763</v>
      </c>
      <c r="AD9" s="1063">
        <v>28812149700835</v>
      </c>
      <c r="AE9" s="1063">
        <v>29139341954000</v>
      </c>
      <c r="AF9" s="1063">
        <v>28989422675756</v>
      </c>
      <c r="AG9" s="1063">
        <v>35348090709662</v>
      </c>
      <c r="AH9" s="1063">
        <v>33784708286254</v>
      </c>
      <c r="AI9" s="1063">
        <v>32419314624023</v>
      </c>
      <c r="AJ9" s="1063">
        <v>36618122919837</v>
      </c>
      <c r="AK9" s="1063">
        <v>41014130857774</v>
      </c>
      <c r="AL9" s="1063">
        <v>39652926466220</v>
      </c>
      <c r="AM9" s="1063">
        <v>40823501341257</v>
      </c>
      <c r="AN9" s="1063">
        <v>41707842823716</v>
      </c>
      <c r="AO9" s="1063">
        <v>45934838615637</v>
      </c>
      <c r="AP9" s="1063">
        <v>44876673760409</v>
      </c>
      <c r="AQ9" s="1063">
        <v>48283443731315</v>
      </c>
    </row>
    <row r="10" spans="1:43">
      <c r="A10" s="1064" t="s">
        <v>854</v>
      </c>
      <c r="B10" s="1065">
        <v>7969283167236</v>
      </c>
      <c r="C10" s="1065">
        <v>6656111372692</v>
      </c>
      <c r="D10" s="1065">
        <v>8037917241323</v>
      </c>
      <c r="E10" s="1065">
        <v>7458437103840</v>
      </c>
      <c r="F10" s="1065">
        <v>8627645498988</v>
      </c>
      <c r="G10" s="1065">
        <v>8393514951870</v>
      </c>
      <c r="H10" s="1065">
        <v>6589147656809</v>
      </c>
      <c r="I10" s="1065">
        <v>9198665785209</v>
      </c>
      <c r="J10" s="1065">
        <v>11724074939642</v>
      </c>
      <c r="K10" s="1065">
        <v>13262582841316</v>
      </c>
      <c r="L10" s="1065">
        <v>12151643646017</v>
      </c>
      <c r="M10" s="1065">
        <v>11975769459816</v>
      </c>
      <c r="N10" s="1065">
        <v>14296764498985</v>
      </c>
      <c r="O10" s="1065">
        <v>15523450090577</v>
      </c>
      <c r="P10" s="1065">
        <v>16718179288798</v>
      </c>
      <c r="Q10" s="1065">
        <v>18290081262093</v>
      </c>
      <c r="R10" s="1065">
        <v>18212246117951</v>
      </c>
      <c r="S10" s="1065">
        <v>18930175092359</v>
      </c>
      <c r="T10" s="1065">
        <v>19660440289716</v>
      </c>
      <c r="U10" s="1065">
        <v>22946048752324</v>
      </c>
      <c r="V10" s="1065">
        <v>22916601324058</v>
      </c>
      <c r="W10" s="1065">
        <v>25330738927685</v>
      </c>
      <c r="X10" s="1065">
        <v>22820169245749</v>
      </c>
      <c r="Y10" s="1065">
        <v>24445224134632</v>
      </c>
      <c r="Z10" s="1065">
        <v>25154866179424</v>
      </c>
      <c r="AA10" s="1065">
        <v>24283399526732</v>
      </c>
      <c r="AB10" s="1065">
        <v>23561988942243</v>
      </c>
      <c r="AC10" s="1065">
        <v>25194765557426</v>
      </c>
      <c r="AD10" s="1065">
        <v>27998307853841</v>
      </c>
      <c r="AE10" s="1065">
        <v>28416431679961</v>
      </c>
      <c r="AF10" s="1065">
        <v>28296850240181</v>
      </c>
      <c r="AG10" s="1065">
        <v>34654320370246</v>
      </c>
      <c r="AH10" s="1065">
        <v>33055790041676</v>
      </c>
      <c r="AI10" s="1065">
        <v>31702386112594</v>
      </c>
      <c r="AJ10" s="1065">
        <v>35541260265294</v>
      </c>
      <c r="AK10" s="1065">
        <v>39961572592677</v>
      </c>
      <c r="AL10" s="1065">
        <v>38356609973627</v>
      </c>
      <c r="AM10" s="1065">
        <v>39647764179135</v>
      </c>
      <c r="AN10" s="1065">
        <v>40899047365317</v>
      </c>
      <c r="AO10" s="1065">
        <v>45286744565438</v>
      </c>
      <c r="AP10" s="1065">
        <v>43481402409530</v>
      </c>
      <c r="AQ10" s="1065">
        <v>46193075884426</v>
      </c>
    </row>
    <row r="11" spans="1:43">
      <c r="A11" s="1064" t="s">
        <v>855</v>
      </c>
      <c r="B11" s="1065">
        <v>216257591673</v>
      </c>
      <c r="C11" s="1065">
        <v>207307836959</v>
      </c>
      <c r="D11" s="1065">
        <v>179072311925</v>
      </c>
      <c r="E11" s="1065">
        <v>158743979340</v>
      </c>
      <c r="F11" s="1065">
        <v>133672518143</v>
      </c>
      <c r="G11" s="1065">
        <v>127453687581</v>
      </c>
      <c r="H11" s="1065">
        <v>78867610577</v>
      </c>
      <c r="I11" s="1065">
        <v>93125959150</v>
      </c>
      <c r="J11" s="1065">
        <v>110412144256</v>
      </c>
      <c r="K11" s="1065">
        <v>232949677496</v>
      </c>
      <c r="L11" s="1065">
        <v>320104068643</v>
      </c>
      <c r="M11" s="1065">
        <v>409039958453</v>
      </c>
      <c r="N11" s="1065">
        <v>301478212598</v>
      </c>
      <c r="O11" s="1065">
        <v>256496172606</v>
      </c>
      <c r="P11" s="1065">
        <v>372500391994</v>
      </c>
      <c r="Q11" s="1065">
        <v>239611122815</v>
      </c>
      <c r="R11" s="1065">
        <v>414773187918</v>
      </c>
      <c r="S11" s="1065">
        <v>275079725293</v>
      </c>
      <c r="T11" s="1065">
        <v>334324084710</v>
      </c>
      <c r="U11" s="1065">
        <v>420401849290</v>
      </c>
      <c r="V11" s="1065">
        <v>402616040926</v>
      </c>
      <c r="W11" s="1065">
        <v>270237404764</v>
      </c>
      <c r="X11" s="1065">
        <v>479895642157</v>
      </c>
      <c r="Y11" s="1065">
        <v>331448142409</v>
      </c>
      <c r="Z11" s="1065">
        <v>554049778425</v>
      </c>
      <c r="AA11" s="1065">
        <v>889834816447</v>
      </c>
      <c r="AB11" s="1065">
        <v>1229603834658</v>
      </c>
      <c r="AC11" s="1065">
        <v>725909777523</v>
      </c>
      <c r="AD11" s="1065">
        <v>632662522377</v>
      </c>
      <c r="AE11" s="1065">
        <v>586961427107</v>
      </c>
      <c r="AF11" s="1065">
        <v>583143121871</v>
      </c>
      <c r="AG11" s="1065">
        <v>595703909293</v>
      </c>
      <c r="AH11" s="1065">
        <v>658661667753</v>
      </c>
      <c r="AI11" s="1065">
        <v>681339996884</v>
      </c>
      <c r="AJ11" s="1065">
        <v>1056042699465</v>
      </c>
      <c r="AK11" s="1065">
        <v>1035818672293</v>
      </c>
      <c r="AL11" s="1065">
        <v>1278798693709</v>
      </c>
      <c r="AM11" s="1065">
        <v>1154381923336</v>
      </c>
      <c r="AN11" s="1065">
        <v>792804943051</v>
      </c>
      <c r="AO11" s="1065">
        <v>635634834264</v>
      </c>
      <c r="AP11" s="1065">
        <v>1373022745994</v>
      </c>
      <c r="AQ11" s="1065">
        <v>2062635341206</v>
      </c>
    </row>
    <row r="12" spans="1:43">
      <c r="A12" s="1064" t="s">
        <v>856</v>
      </c>
      <c r="B12" s="1065"/>
      <c r="C12" s="1065"/>
      <c r="D12" s="1065"/>
      <c r="E12" s="1065"/>
      <c r="F12" s="1065"/>
      <c r="G12" s="1065"/>
      <c r="H12" s="1065"/>
      <c r="I12" s="1065"/>
      <c r="J12" s="1065"/>
      <c r="K12" s="1065">
        <v>6619079753</v>
      </c>
      <c r="L12" s="1065">
        <v>0</v>
      </c>
      <c r="M12" s="1065">
        <v>6547545534</v>
      </c>
      <c r="N12" s="1065">
        <v>8607921867</v>
      </c>
      <c r="O12" s="1065">
        <v>34069877887</v>
      </c>
      <c r="P12" s="1065">
        <v>80137355012</v>
      </c>
      <c r="Q12" s="1065">
        <v>86985638875</v>
      </c>
      <c r="R12" s="1065">
        <v>47906332607</v>
      </c>
      <c r="S12" s="1065">
        <v>70027363738</v>
      </c>
      <c r="T12" s="1065">
        <v>91357106261</v>
      </c>
      <c r="U12" s="1065">
        <v>110914822345</v>
      </c>
      <c r="V12" s="1065">
        <v>114953648541</v>
      </c>
      <c r="W12" s="1065">
        <v>142872016607</v>
      </c>
      <c r="X12" s="1065">
        <v>155077380594</v>
      </c>
      <c r="Y12" s="1065">
        <v>139036231074</v>
      </c>
      <c r="Z12" s="1065">
        <v>130992519111</v>
      </c>
      <c r="AA12" s="1065">
        <v>148779899999</v>
      </c>
      <c r="AB12" s="1065">
        <v>135326533864</v>
      </c>
      <c r="AC12" s="1065">
        <v>177581740814</v>
      </c>
      <c r="AD12" s="1065">
        <v>181179324617</v>
      </c>
      <c r="AE12" s="1065">
        <v>135948846932</v>
      </c>
      <c r="AF12" s="1065">
        <v>109429313704</v>
      </c>
      <c r="AG12" s="1065">
        <v>98066430123</v>
      </c>
      <c r="AH12" s="1065">
        <v>70256576825</v>
      </c>
      <c r="AI12" s="1065">
        <v>35588514545</v>
      </c>
      <c r="AJ12" s="1065">
        <v>20819955078</v>
      </c>
      <c r="AK12" s="1065">
        <v>16739592804</v>
      </c>
      <c r="AL12" s="1065">
        <v>17517798884</v>
      </c>
      <c r="AM12" s="1065">
        <v>21355238786</v>
      </c>
      <c r="AN12" s="1065">
        <v>15990515348</v>
      </c>
      <c r="AO12" s="1065">
        <v>12459215935</v>
      </c>
      <c r="AP12" s="1065">
        <v>22248604885</v>
      </c>
      <c r="AQ12" s="1065">
        <v>27732505683</v>
      </c>
    </row>
    <row r="13" spans="1:43">
      <c r="A13" s="1062" t="s">
        <v>857</v>
      </c>
      <c r="B13" s="1063"/>
      <c r="C13" s="1063"/>
      <c r="D13" s="1063"/>
      <c r="E13" s="1063"/>
      <c r="F13" s="1063"/>
      <c r="G13" s="1063"/>
      <c r="H13" s="1063"/>
      <c r="I13" s="1063"/>
      <c r="J13" s="1063"/>
      <c r="K13" s="1063"/>
      <c r="L13" s="1063"/>
      <c r="M13" s="1063"/>
      <c r="N13" s="1063"/>
      <c r="O13" s="1063"/>
      <c r="P13" s="1063"/>
      <c r="Q13" s="1063"/>
      <c r="R13" s="1063"/>
      <c r="S13" s="1063"/>
      <c r="T13" s="1063"/>
      <c r="U13" s="1063"/>
      <c r="V13" s="1063"/>
      <c r="W13" s="1063"/>
      <c r="X13" s="1063"/>
      <c r="Y13" s="1063"/>
      <c r="Z13" s="1063"/>
      <c r="AA13" s="1063"/>
      <c r="AB13" s="1063"/>
      <c r="AC13" s="1063"/>
      <c r="AD13" s="1063"/>
      <c r="AE13" s="1063"/>
      <c r="AF13" s="1063"/>
      <c r="AG13" s="1063"/>
      <c r="AH13" s="1063"/>
      <c r="AI13" s="1063"/>
      <c r="AJ13" s="1063"/>
      <c r="AK13" s="1063"/>
      <c r="AL13" s="1063"/>
      <c r="AM13" s="1063"/>
      <c r="AN13" s="1063">
        <v>359674200</v>
      </c>
      <c r="AO13" s="1063">
        <v>0</v>
      </c>
      <c r="AP13" s="1063">
        <v>0</v>
      </c>
      <c r="AQ13" s="1063">
        <v>0</v>
      </c>
    </row>
    <row r="14" spans="1:43">
      <c r="A14" s="1064" t="s">
        <v>858</v>
      </c>
      <c r="B14" s="1065"/>
      <c r="C14" s="1065"/>
      <c r="D14" s="1065"/>
      <c r="E14" s="1065"/>
      <c r="F14" s="1065"/>
      <c r="G14" s="1065"/>
      <c r="H14" s="1065"/>
      <c r="I14" s="1065"/>
      <c r="J14" s="1065"/>
      <c r="K14" s="1065"/>
      <c r="L14" s="1065"/>
      <c r="M14" s="1065"/>
      <c r="N14" s="1065"/>
      <c r="O14" s="1065"/>
      <c r="P14" s="1065"/>
      <c r="Q14" s="1065"/>
      <c r="R14" s="1065"/>
      <c r="S14" s="1065"/>
      <c r="T14" s="1065"/>
      <c r="U14" s="1065"/>
      <c r="V14" s="1065"/>
      <c r="W14" s="1065"/>
      <c r="X14" s="1065"/>
      <c r="Y14" s="1065"/>
      <c r="Z14" s="1065"/>
      <c r="AA14" s="1065"/>
      <c r="AB14" s="1065"/>
      <c r="AC14" s="1065"/>
      <c r="AD14" s="1065"/>
      <c r="AE14" s="1065"/>
      <c r="AF14" s="1065"/>
      <c r="AG14" s="1065"/>
      <c r="AH14" s="1065"/>
      <c r="AI14" s="1065"/>
      <c r="AJ14" s="1065"/>
      <c r="AK14" s="1065"/>
      <c r="AL14" s="1065"/>
      <c r="AM14" s="1065"/>
      <c r="AN14" s="1065">
        <v>359674200</v>
      </c>
      <c r="AO14" s="1065">
        <v>0</v>
      </c>
      <c r="AP14" s="1065">
        <v>0</v>
      </c>
      <c r="AQ14" s="1065">
        <v>0</v>
      </c>
    </row>
    <row r="15" spans="1:43">
      <c r="A15" s="1062" t="s">
        <v>859</v>
      </c>
      <c r="B15" s="1063">
        <v>334968345198</v>
      </c>
      <c r="C15" s="1063">
        <v>541375038977</v>
      </c>
      <c r="D15" s="1063">
        <v>389420986817</v>
      </c>
      <c r="E15" s="1063">
        <v>414955652764</v>
      </c>
      <c r="F15" s="1063">
        <v>383515362956</v>
      </c>
      <c r="G15" s="1063">
        <v>442960406242</v>
      </c>
      <c r="H15" s="1063">
        <v>525330654488</v>
      </c>
      <c r="I15" s="1063">
        <v>530493180687</v>
      </c>
      <c r="J15" s="1063">
        <v>0</v>
      </c>
      <c r="K15" s="1063">
        <v>0</v>
      </c>
      <c r="L15" s="1063">
        <v>0</v>
      </c>
      <c r="M15" s="1063">
        <v>0</v>
      </c>
      <c r="N15" s="1063">
        <v>0</v>
      </c>
      <c r="O15" s="1063">
        <v>0</v>
      </c>
      <c r="P15" s="1063">
        <v>0</v>
      </c>
      <c r="Q15" s="1063">
        <v>0</v>
      </c>
      <c r="R15" s="1063">
        <v>0</v>
      </c>
      <c r="S15" s="1063">
        <v>0</v>
      </c>
      <c r="T15" s="1063">
        <v>0</v>
      </c>
      <c r="U15" s="1063">
        <v>0</v>
      </c>
      <c r="V15" s="1063">
        <v>0</v>
      </c>
      <c r="W15" s="1063">
        <v>0</v>
      </c>
      <c r="X15" s="1063">
        <v>0</v>
      </c>
      <c r="Y15" s="1063">
        <v>0</v>
      </c>
      <c r="Z15" s="1063">
        <v>0</v>
      </c>
      <c r="AA15" s="1063">
        <v>0</v>
      </c>
      <c r="AB15" s="1063">
        <v>0</v>
      </c>
      <c r="AC15" s="1063">
        <v>0</v>
      </c>
      <c r="AD15" s="1063">
        <v>0</v>
      </c>
      <c r="AE15" s="1063">
        <v>0</v>
      </c>
      <c r="AF15" s="1063">
        <v>0</v>
      </c>
      <c r="AG15" s="1063">
        <v>0</v>
      </c>
      <c r="AH15" s="1063">
        <v>0</v>
      </c>
      <c r="AI15" s="1063">
        <v>0</v>
      </c>
      <c r="AJ15" s="1063">
        <v>0</v>
      </c>
      <c r="AK15" s="1063">
        <v>0</v>
      </c>
      <c r="AL15" s="1063">
        <v>0</v>
      </c>
      <c r="AM15" s="1063">
        <v>0</v>
      </c>
      <c r="AN15" s="1063">
        <v>0</v>
      </c>
      <c r="AO15" s="1063">
        <v>0</v>
      </c>
      <c r="AP15" s="1063">
        <v>0</v>
      </c>
      <c r="AQ15" s="1063">
        <v>0</v>
      </c>
    </row>
    <row r="16" spans="1:43">
      <c r="A16" s="1064" t="s">
        <v>860</v>
      </c>
      <c r="B16" s="1065">
        <v>4393096462</v>
      </c>
      <c r="C16" s="1065">
        <v>4398137017</v>
      </c>
      <c r="D16" s="1065">
        <v>4290264581</v>
      </c>
      <c r="E16" s="1065">
        <v>4517369273</v>
      </c>
      <c r="F16" s="1065">
        <v>2153815656</v>
      </c>
      <c r="G16" s="1065">
        <v>2222000970</v>
      </c>
      <c r="H16" s="1065">
        <v>1451557574</v>
      </c>
      <c r="I16" s="1065">
        <v>495967515</v>
      </c>
      <c r="J16" s="1065">
        <v>0</v>
      </c>
      <c r="K16" s="1065">
        <v>0</v>
      </c>
      <c r="L16" s="1065">
        <v>0</v>
      </c>
      <c r="M16" s="1065">
        <v>0</v>
      </c>
      <c r="N16" s="1065">
        <v>0</v>
      </c>
      <c r="O16" s="1065">
        <v>0</v>
      </c>
      <c r="P16" s="1065">
        <v>0</v>
      </c>
      <c r="Q16" s="1065">
        <v>0</v>
      </c>
      <c r="R16" s="1065">
        <v>0</v>
      </c>
      <c r="S16" s="1065">
        <v>0</v>
      </c>
      <c r="T16" s="1065">
        <v>0</v>
      </c>
      <c r="U16" s="1065">
        <v>0</v>
      </c>
      <c r="V16" s="1065">
        <v>0</v>
      </c>
      <c r="W16" s="1065">
        <v>0</v>
      </c>
      <c r="X16" s="1065">
        <v>0</v>
      </c>
      <c r="Y16" s="1065">
        <v>0</v>
      </c>
      <c r="Z16" s="1065">
        <v>0</v>
      </c>
      <c r="AA16" s="1065">
        <v>0</v>
      </c>
      <c r="AB16" s="1065">
        <v>0</v>
      </c>
      <c r="AC16" s="1065">
        <v>0</v>
      </c>
      <c r="AD16" s="1065">
        <v>0</v>
      </c>
      <c r="AE16" s="1065">
        <v>0</v>
      </c>
      <c r="AF16" s="1065">
        <v>0</v>
      </c>
      <c r="AG16" s="1065">
        <v>0</v>
      </c>
      <c r="AH16" s="1065">
        <v>0</v>
      </c>
      <c r="AI16" s="1065">
        <v>0</v>
      </c>
      <c r="AJ16" s="1065">
        <v>0</v>
      </c>
      <c r="AK16" s="1065">
        <v>0</v>
      </c>
      <c r="AL16" s="1065">
        <v>0</v>
      </c>
      <c r="AM16" s="1065">
        <v>0</v>
      </c>
      <c r="AN16" s="1065">
        <v>0</v>
      </c>
      <c r="AO16" s="1065">
        <v>0</v>
      </c>
      <c r="AP16" s="1065">
        <v>0</v>
      </c>
      <c r="AQ16" s="1065">
        <v>0</v>
      </c>
    </row>
    <row r="17" spans="1:43">
      <c r="A17" s="1064" t="s">
        <v>861</v>
      </c>
      <c r="B17" s="1065">
        <v>330747602618</v>
      </c>
      <c r="C17" s="1065">
        <v>537109274317</v>
      </c>
      <c r="D17" s="1065">
        <v>385220256921</v>
      </c>
      <c r="E17" s="1065">
        <v>410489597920</v>
      </c>
      <c r="F17" s="1065">
        <v>381377909107</v>
      </c>
      <c r="G17" s="1065">
        <v>440753663193</v>
      </c>
      <c r="H17" s="1065">
        <v>523886961847</v>
      </c>
      <c r="I17" s="1065">
        <v>530000180108</v>
      </c>
      <c r="J17" s="1065">
        <v>0</v>
      </c>
      <c r="K17" s="1065">
        <v>0</v>
      </c>
      <c r="L17" s="1065">
        <v>0</v>
      </c>
      <c r="M17" s="1065">
        <v>0</v>
      </c>
      <c r="N17" s="1065">
        <v>0</v>
      </c>
      <c r="O17" s="1065">
        <v>0</v>
      </c>
      <c r="P17" s="1065">
        <v>0</v>
      </c>
      <c r="Q17" s="1065">
        <v>0</v>
      </c>
      <c r="R17" s="1065">
        <v>0</v>
      </c>
      <c r="S17" s="1065">
        <v>0</v>
      </c>
      <c r="T17" s="1065">
        <v>0</v>
      </c>
      <c r="U17" s="1065">
        <v>0</v>
      </c>
      <c r="V17" s="1065">
        <v>0</v>
      </c>
      <c r="W17" s="1065">
        <v>0</v>
      </c>
      <c r="X17" s="1065">
        <v>0</v>
      </c>
      <c r="Y17" s="1065">
        <v>0</v>
      </c>
      <c r="Z17" s="1065">
        <v>0</v>
      </c>
      <c r="AA17" s="1065">
        <v>0</v>
      </c>
      <c r="AB17" s="1065">
        <v>0</v>
      </c>
      <c r="AC17" s="1065">
        <v>0</v>
      </c>
      <c r="AD17" s="1065">
        <v>0</v>
      </c>
      <c r="AE17" s="1065">
        <v>0</v>
      </c>
      <c r="AF17" s="1065">
        <v>0</v>
      </c>
      <c r="AG17" s="1065">
        <v>0</v>
      </c>
      <c r="AH17" s="1065">
        <v>0</v>
      </c>
      <c r="AI17" s="1065">
        <v>0</v>
      </c>
      <c r="AJ17" s="1065">
        <v>0</v>
      </c>
      <c r="AK17" s="1065">
        <v>0</v>
      </c>
      <c r="AL17" s="1065">
        <v>0</v>
      </c>
      <c r="AM17" s="1065">
        <v>0</v>
      </c>
      <c r="AN17" s="1065">
        <v>0</v>
      </c>
      <c r="AO17" s="1065">
        <v>0</v>
      </c>
      <c r="AP17" s="1065">
        <v>0</v>
      </c>
      <c r="AQ17" s="1065">
        <v>0</v>
      </c>
    </row>
    <row r="18" spans="1:43">
      <c r="A18" s="1064" t="s">
        <v>862</v>
      </c>
      <c r="B18" s="1065">
        <v>-172353882</v>
      </c>
      <c r="C18" s="1065">
        <v>-132372357</v>
      </c>
      <c r="D18" s="1065">
        <v>-89534685</v>
      </c>
      <c r="E18" s="1065">
        <v>-51314429</v>
      </c>
      <c r="F18" s="1065">
        <v>-16361807</v>
      </c>
      <c r="G18" s="1065">
        <v>-15257921</v>
      </c>
      <c r="H18" s="1065">
        <v>-7864933</v>
      </c>
      <c r="I18" s="1065">
        <v>-2966936</v>
      </c>
      <c r="J18" s="1065">
        <v>0</v>
      </c>
      <c r="K18" s="1065">
        <v>0</v>
      </c>
      <c r="L18" s="1065">
        <v>0</v>
      </c>
      <c r="M18" s="1065">
        <v>0</v>
      </c>
      <c r="N18" s="1065">
        <v>0</v>
      </c>
      <c r="O18" s="1065">
        <v>0</v>
      </c>
      <c r="P18" s="1065">
        <v>0</v>
      </c>
      <c r="Q18" s="1065">
        <v>0</v>
      </c>
      <c r="R18" s="1065">
        <v>0</v>
      </c>
      <c r="S18" s="1065">
        <v>0</v>
      </c>
      <c r="T18" s="1065">
        <v>0</v>
      </c>
      <c r="U18" s="1065">
        <v>0</v>
      </c>
      <c r="V18" s="1065">
        <v>0</v>
      </c>
      <c r="W18" s="1065">
        <v>0</v>
      </c>
      <c r="X18" s="1065">
        <v>0</v>
      </c>
      <c r="Y18" s="1065">
        <v>0</v>
      </c>
      <c r="Z18" s="1065">
        <v>0</v>
      </c>
      <c r="AA18" s="1065">
        <v>0</v>
      </c>
      <c r="AB18" s="1065">
        <v>0</v>
      </c>
      <c r="AC18" s="1065">
        <v>0</v>
      </c>
      <c r="AD18" s="1065">
        <v>0</v>
      </c>
      <c r="AE18" s="1065">
        <v>0</v>
      </c>
      <c r="AF18" s="1065">
        <v>0</v>
      </c>
      <c r="AG18" s="1065">
        <v>0</v>
      </c>
      <c r="AH18" s="1065">
        <v>0</v>
      </c>
      <c r="AI18" s="1065">
        <v>0</v>
      </c>
      <c r="AJ18" s="1065">
        <v>0</v>
      </c>
      <c r="AK18" s="1065">
        <v>0</v>
      </c>
      <c r="AL18" s="1065">
        <v>0</v>
      </c>
      <c r="AM18" s="1065">
        <v>0</v>
      </c>
      <c r="AN18" s="1065">
        <v>0</v>
      </c>
      <c r="AO18" s="1065">
        <v>0</v>
      </c>
      <c r="AP18" s="1065">
        <v>0</v>
      </c>
      <c r="AQ18" s="1065">
        <v>0</v>
      </c>
    </row>
    <row r="19" spans="1:43">
      <c r="A19" s="1062" t="s">
        <v>863</v>
      </c>
      <c r="B19" s="1063">
        <v>742388170529</v>
      </c>
      <c r="C19" s="1063">
        <v>1090982169946</v>
      </c>
      <c r="D19" s="1063">
        <v>1273720117638</v>
      </c>
      <c r="E19" s="1063">
        <v>1603274396136</v>
      </c>
      <c r="F19" s="1063">
        <v>1487362862218</v>
      </c>
      <c r="G19" s="1063">
        <v>953146826123</v>
      </c>
      <c r="H19" s="1063">
        <v>1423572765458</v>
      </c>
      <c r="I19" s="1063">
        <v>1280501476525</v>
      </c>
      <c r="J19" s="1063">
        <v>915197723825</v>
      </c>
      <c r="K19" s="1063">
        <v>863698321945</v>
      </c>
      <c r="L19" s="1063">
        <v>1133997918301</v>
      </c>
      <c r="M19" s="1063">
        <v>860902424377</v>
      </c>
      <c r="N19" s="1063">
        <v>1032548419392</v>
      </c>
      <c r="O19" s="1063">
        <v>966210531780</v>
      </c>
      <c r="P19" s="1063">
        <v>897432222969</v>
      </c>
      <c r="Q19" s="1063">
        <v>421091309685</v>
      </c>
      <c r="R19" s="1063">
        <v>359088410280</v>
      </c>
      <c r="S19" s="1063">
        <v>326966969722</v>
      </c>
      <c r="T19" s="1063">
        <v>319081822822</v>
      </c>
      <c r="U19" s="1063">
        <v>648920061987</v>
      </c>
      <c r="V19" s="1063">
        <v>819132131740</v>
      </c>
      <c r="W19" s="1063">
        <v>863158651200</v>
      </c>
      <c r="X19" s="1063">
        <v>1208221326365</v>
      </c>
      <c r="Y19" s="1063">
        <v>3242998268137</v>
      </c>
      <c r="Z19" s="1063">
        <v>4105300253772</v>
      </c>
      <c r="AA19" s="1063">
        <v>7026593909578</v>
      </c>
      <c r="AB19" s="1063">
        <v>5967711454084</v>
      </c>
      <c r="AC19" s="1063">
        <v>4387868081300</v>
      </c>
      <c r="AD19" s="1063">
        <v>3328104827739</v>
      </c>
      <c r="AE19" s="1063">
        <v>2989837656177</v>
      </c>
      <c r="AF19" s="1063">
        <v>3058515559357</v>
      </c>
      <c r="AG19" s="1063">
        <v>2995412900855</v>
      </c>
      <c r="AH19" s="1063">
        <v>2731957909839</v>
      </c>
      <c r="AI19" s="1063">
        <v>2660625349567</v>
      </c>
      <c r="AJ19" s="1063">
        <v>1975242714034</v>
      </c>
      <c r="AK19" s="1063">
        <v>2690459833977</v>
      </c>
      <c r="AL19" s="1063">
        <v>2775280341111</v>
      </c>
      <c r="AM19" s="1063">
        <v>3734027098370</v>
      </c>
      <c r="AN19" s="1063">
        <v>4240736084503</v>
      </c>
      <c r="AO19" s="1063">
        <v>5219008562167</v>
      </c>
      <c r="AP19" s="1063">
        <v>5575365624014</v>
      </c>
      <c r="AQ19" s="1063">
        <v>5683864184171</v>
      </c>
    </row>
    <row r="20" spans="1:43">
      <c r="A20" s="1064" t="s">
        <v>864</v>
      </c>
      <c r="B20" s="1065">
        <v>208570503401</v>
      </c>
      <c r="C20" s="1065">
        <v>219793287713</v>
      </c>
      <c r="D20" s="1065">
        <v>213387083363</v>
      </c>
      <c r="E20" s="1065">
        <v>221175978642</v>
      </c>
      <c r="F20" s="1065">
        <v>229358235082</v>
      </c>
      <c r="G20" s="1065">
        <v>234238548600</v>
      </c>
      <c r="H20" s="1065">
        <v>246609987032</v>
      </c>
      <c r="I20" s="1065">
        <v>244474588837</v>
      </c>
      <c r="J20" s="1065">
        <v>191457569638</v>
      </c>
      <c r="K20" s="1065">
        <v>192198953088</v>
      </c>
      <c r="L20" s="1065">
        <v>194577405275</v>
      </c>
      <c r="M20" s="1065">
        <v>200117353029</v>
      </c>
      <c r="N20" s="1065">
        <v>197396170447</v>
      </c>
      <c r="O20" s="1065">
        <v>212688147473</v>
      </c>
      <c r="P20" s="1065">
        <v>216863848661</v>
      </c>
      <c r="Q20" s="1065">
        <v>215195226256</v>
      </c>
      <c r="R20" s="1065">
        <v>213450018562</v>
      </c>
      <c r="S20" s="1065">
        <v>241381370053</v>
      </c>
      <c r="T20" s="1065">
        <v>244285717136</v>
      </c>
      <c r="U20" s="1065">
        <v>283258541660</v>
      </c>
      <c r="V20" s="1065">
        <v>292981876593</v>
      </c>
      <c r="W20" s="1065">
        <v>303020790571</v>
      </c>
      <c r="X20" s="1065">
        <v>309719372668</v>
      </c>
      <c r="Y20" s="1065">
        <v>309740474754</v>
      </c>
      <c r="Z20" s="1065">
        <v>306550269854</v>
      </c>
      <c r="AA20" s="1065">
        <v>401649096814</v>
      </c>
      <c r="AB20" s="1065">
        <v>399639152248</v>
      </c>
      <c r="AC20" s="1065">
        <v>350641909671</v>
      </c>
      <c r="AD20" s="1065">
        <v>348108550519</v>
      </c>
      <c r="AE20" s="1065">
        <v>375497928181</v>
      </c>
      <c r="AF20" s="1065">
        <v>360518042076</v>
      </c>
      <c r="AG20" s="1065">
        <v>363858494995</v>
      </c>
      <c r="AH20" s="1065">
        <v>372620694941</v>
      </c>
      <c r="AI20" s="1065">
        <v>363312535143</v>
      </c>
      <c r="AJ20" s="1065">
        <v>348315681876</v>
      </c>
      <c r="AK20" s="1065">
        <v>353238508457</v>
      </c>
      <c r="AL20" s="1065">
        <v>350342896831</v>
      </c>
      <c r="AM20" s="1065">
        <v>379253882822</v>
      </c>
      <c r="AN20" s="1065">
        <v>395795997618</v>
      </c>
      <c r="AO20" s="1065">
        <v>427819655543</v>
      </c>
      <c r="AP20" s="1065">
        <v>417526482539</v>
      </c>
      <c r="AQ20" s="1065">
        <v>425524437432</v>
      </c>
    </row>
    <row r="21" spans="1:43">
      <c r="A21" s="1064" t="s">
        <v>865</v>
      </c>
      <c r="B21" s="1065">
        <v>394467015213</v>
      </c>
      <c r="C21" s="1065">
        <v>512610132895</v>
      </c>
      <c r="D21" s="1065">
        <v>618930488357</v>
      </c>
      <c r="E21" s="1065">
        <v>1079939110161</v>
      </c>
      <c r="F21" s="1065">
        <v>943433719061</v>
      </c>
      <c r="G21" s="1065">
        <v>385885884096</v>
      </c>
      <c r="H21" s="1065">
        <v>850039704611</v>
      </c>
      <c r="I21" s="1065">
        <v>700874463320</v>
      </c>
      <c r="J21" s="1065">
        <v>552676658045</v>
      </c>
      <c r="K21" s="1065">
        <v>515433426853</v>
      </c>
      <c r="L21" s="1065">
        <v>903418185357</v>
      </c>
      <c r="M21" s="1065">
        <v>635783850346</v>
      </c>
      <c r="N21" s="1065">
        <v>835152248945</v>
      </c>
      <c r="O21" s="1065">
        <v>753522384307</v>
      </c>
      <c r="P21" s="1065">
        <v>680568374308</v>
      </c>
      <c r="Q21" s="1065">
        <v>205896083429</v>
      </c>
      <c r="R21" s="1065">
        <v>145638391718</v>
      </c>
      <c r="S21" s="1065">
        <v>85585599669</v>
      </c>
      <c r="T21" s="1065">
        <v>74796105686</v>
      </c>
      <c r="U21" s="1065">
        <v>365661520327</v>
      </c>
      <c r="V21" s="1065">
        <v>526150255147</v>
      </c>
      <c r="W21" s="1065">
        <v>560137860629</v>
      </c>
      <c r="X21" s="1065">
        <v>898501953697</v>
      </c>
      <c r="Y21" s="1065">
        <v>2933257793383</v>
      </c>
      <c r="Z21" s="1065">
        <v>3798749983918</v>
      </c>
      <c r="AA21" s="1065">
        <v>6624944812764</v>
      </c>
      <c r="AB21" s="1065">
        <v>5568072301836</v>
      </c>
      <c r="AC21" s="1065">
        <v>4037226171629</v>
      </c>
      <c r="AD21" s="1065">
        <v>2979996277220</v>
      </c>
      <c r="AE21" s="1065">
        <v>2614339727996</v>
      </c>
      <c r="AF21" s="1065">
        <v>2697997517281</v>
      </c>
      <c r="AG21" s="1065">
        <v>2631554405860</v>
      </c>
      <c r="AH21" s="1065">
        <v>2359337214898</v>
      </c>
      <c r="AI21" s="1065">
        <v>2297312814424</v>
      </c>
      <c r="AJ21" s="1065">
        <v>1626927032158</v>
      </c>
      <c r="AK21" s="1065">
        <v>2337221325520</v>
      </c>
      <c r="AL21" s="1065">
        <v>2424937444280</v>
      </c>
      <c r="AM21" s="1065">
        <v>3354773215548</v>
      </c>
      <c r="AN21" s="1065">
        <v>3844940086885</v>
      </c>
      <c r="AO21" s="1065">
        <v>4791188906624</v>
      </c>
      <c r="AP21" s="1065">
        <v>5157839141475</v>
      </c>
      <c r="AQ21" s="1065">
        <v>5258339746739</v>
      </c>
    </row>
    <row r="22" spans="1:43">
      <c r="A22" s="1064" t="s">
        <v>866</v>
      </c>
      <c r="B22" s="1065">
        <v>112323343605</v>
      </c>
      <c r="C22" s="1065">
        <v>170768025343</v>
      </c>
      <c r="D22" s="1065">
        <v>247869314011</v>
      </c>
      <c r="E22" s="1065">
        <v>97987525354</v>
      </c>
      <c r="F22" s="1065">
        <v>106006502265</v>
      </c>
      <c r="G22" s="1065">
        <v>159182451103</v>
      </c>
      <c r="H22" s="1065">
        <v>107581472997</v>
      </c>
      <c r="I22" s="1065">
        <v>101908226703</v>
      </c>
      <c r="J22" s="1065">
        <v>0</v>
      </c>
      <c r="K22" s="1065">
        <v>0</v>
      </c>
      <c r="L22" s="1065">
        <v>0</v>
      </c>
      <c r="M22" s="1065">
        <v>0</v>
      </c>
      <c r="N22" s="1065">
        <v>0</v>
      </c>
      <c r="O22" s="1065">
        <v>0</v>
      </c>
      <c r="P22" s="1065">
        <v>0</v>
      </c>
      <c r="Q22" s="1065">
        <v>0</v>
      </c>
      <c r="R22" s="1065">
        <v>0</v>
      </c>
      <c r="S22" s="1065">
        <v>0</v>
      </c>
      <c r="T22" s="1065">
        <v>0</v>
      </c>
      <c r="U22" s="1065">
        <v>0</v>
      </c>
      <c r="V22" s="1065">
        <v>0</v>
      </c>
      <c r="W22" s="1065">
        <v>0</v>
      </c>
      <c r="X22" s="1065">
        <v>0</v>
      </c>
      <c r="Y22" s="1065">
        <v>0</v>
      </c>
      <c r="Z22" s="1065">
        <v>0</v>
      </c>
      <c r="AA22" s="1065">
        <v>0</v>
      </c>
      <c r="AB22" s="1065">
        <v>0</v>
      </c>
      <c r="AC22" s="1065">
        <v>0</v>
      </c>
      <c r="AD22" s="1065">
        <v>0</v>
      </c>
      <c r="AE22" s="1065">
        <v>0</v>
      </c>
      <c r="AF22" s="1065">
        <v>0</v>
      </c>
      <c r="AG22" s="1065">
        <v>0</v>
      </c>
      <c r="AH22" s="1065">
        <v>0</v>
      </c>
      <c r="AI22" s="1065">
        <v>0</v>
      </c>
      <c r="AJ22" s="1065">
        <v>0</v>
      </c>
      <c r="AK22" s="1065">
        <v>0</v>
      </c>
      <c r="AL22" s="1065">
        <v>0</v>
      </c>
      <c r="AM22" s="1065">
        <v>0</v>
      </c>
      <c r="AN22" s="1065">
        <v>0</v>
      </c>
      <c r="AO22" s="1065">
        <v>0</v>
      </c>
      <c r="AP22" s="1065">
        <v>0</v>
      </c>
      <c r="AQ22" s="1065">
        <v>0</v>
      </c>
    </row>
    <row r="23" spans="1:43">
      <c r="A23" s="1064" t="s">
        <v>867</v>
      </c>
      <c r="B23" s="1065">
        <v>20034615740</v>
      </c>
      <c r="C23" s="1065">
        <v>180236228605</v>
      </c>
      <c r="D23" s="1065">
        <v>185192078527</v>
      </c>
      <c r="E23" s="1065">
        <v>185126296729</v>
      </c>
      <c r="F23" s="1065">
        <v>195076030780</v>
      </c>
      <c r="G23" s="1065">
        <v>165073017184</v>
      </c>
      <c r="H23" s="1065">
        <v>210088245118</v>
      </c>
      <c r="I23" s="1065">
        <v>221079049235</v>
      </c>
      <c r="J23" s="1065">
        <v>171063496142</v>
      </c>
      <c r="K23" s="1065">
        <v>156065942004</v>
      </c>
      <c r="L23" s="1065">
        <v>36002327669</v>
      </c>
      <c r="M23" s="1065">
        <v>25001221002</v>
      </c>
      <c r="N23" s="1065">
        <v>0</v>
      </c>
      <c r="O23" s="1065">
        <v>0</v>
      </c>
      <c r="P23" s="1065">
        <v>0</v>
      </c>
      <c r="Q23" s="1065">
        <v>0</v>
      </c>
      <c r="R23" s="1065">
        <v>0</v>
      </c>
      <c r="S23" s="1065">
        <v>0</v>
      </c>
      <c r="T23" s="1065">
        <v>0</v>
      </c>
      <c r="U23" s="1065">
        <v>0</v>
      </c>
      <c r="V23" s="1065">
        <v>0</v>
      </c>
      <c r="W23" s="1065">
        <v>0</v>
      </c>
      <c r="X23" s="1065">
        <v>0</v>
      </c>
      <c r="Y23" s="1065">
        <v>0</v>
      </c>
      <c r="Z23" s="1065">
        <v>0</v>
      </c>
      <c r="AA23" s="1065">
        <v>0</v>
      </c>
      <c r="AB23" s="1065">
        <v>0</v>
      </c>
      <c r="AC23" s="1065">
        <v>0</v>
      </c>
      <c r="AD23" s="1065">
        <v>0</v>
      </c>
      <c r="AE23" s="1065">
        <v>0</v>
      </c>
      <c r="AF23" s="1065">
        <v>0</v>
      </c>
      <c r="AG23" s="1065">
        <v>0</v>
      </c>
      <c r="AH23" s="1065">
        <v>0</v>
      </c>
      <c r="AI23" s="1065">
        <v>0</v>
      </c>
      <c r="AJ23" s="1065">
        <v>0</v>
      </c>
      <c r="AK23" s="1065">
        <v>0</v>
      </c>
      <c r="AL23" s="1065">
        <v>0</v>
      </c>
      <c r="AM23" s="1065">
        <v>0</v>
      </c>
      <c r="AN23" s="1065">
        <v>0</v>
      </c>
      <c r="AO23" s="1065">
        <v>0</v>
      </c>
      <c r="AP23" s="1065">
        <v>0</v>
      </c>
      <c r="AQ23" s="1065">
        <v>0</v>
      </c>
    </row>
    <row r="24" spans="1:43">
      <c r="A24" s="1064" t="s">
        <v>868</v>
      </c>
      <c r="B24" s="1065">
        <v>0</v>
      </c>
      <c r="C24" s="1065">
        <v>0</v>
      </c>
      <c r="D24" s="1065">
        <v>0</v>
      </c>
      <c r="E24" s="1065">
        <v>10731480000</v>
      </c>
      <c r="F24" s="1065">
        <v>5161962500</v>
      </c>
      <c r="G24" s="1065">
        <v>0</v>
      </c>
      <c r="H24" s="1065">
        <v>0</v>
      </c>
      <c r="I24" s="1065">
        <v>0</v>
      </c>
      <c r="J24" s="1065">
        <v>0</v>
      </c>
      <c r="K24" s="1065">
        <v>0</v>
      </c>
      <c r="L24" s="1065">
        <v>0</v>
      </c>
      <c r="M24" s="1065">
        <v>0</v>
      </c>
      <c r="N24" s="1065">
        <v>0</v>
      </c>
      <c r="O24" s="1065">
        <v>0</v>
      </c>
      <c r="P24" s="1065">
        <v>0</v>
      </c>
      <c r="Q24" s="1065">
        <v>0</v>
      </c>
      <c r="R24" s="1065">
        <v>0</v>
      </c>
      <c r="S24" s="1065">
        <v>0</v>
      </c>
      <c r="T24" s="1065">
        <v>0</v>
      </c>
      <c r="U24" s="1065">
        <v>0</v>
      </c>
      <c r="V24" s="1065">
        <v>0</v>
      </c>
      <c r="W24" s="1065">
        <v>0</v>
      </c>
      <c r="X24" s="1065">
        <v>0</v>
      </c>
      <c r="Y24" s="1065">
        <v>0</v>
      </c>
      <c r="Z24" s="1065">
        <v>0</v>
      </c>
      <c r="AA24" s="1065">
        <v>0</v>
      </c>
      <c r="AB24" s="1065">
        <v>0</v>
      </c>
      <c r="AC24" s="1065">
        <v>0</v>
      </c>
      <c r="AD24" s="1065">
        <v>0</v>
      </c>
      <c r="AE24" s="1065">
        <v>0</v>
      </c>
      <c r="AF24" s="1065">
        <v>0</v>
      </c>
      <c r="AG24" s="1065">
        <v>0</v>
      </c>
      <c r="AH24" s="1065">
        <v>0</v>
      </c>
      <c r="AI24" s="1065">
        <v>0</v>
      </c>
      <c r="AJ24" s="1065">
        <v>0</v>
      </c>
      <c r="AK24" s="1065">
        <v>0</v>
      </c>
      <c r="AL24" s="1065">
        <v>0</v>
      </c>
      <c r="AM24" s="1065">
        <v>0</v>
      </c>
      <c r="AN24" s="1065">
        <v>0</v>
      </c>
      <c r="AO24" s="1065">
        <v>0</v>
      </c>
      <c r="AP24" s="1065">
        <v>0</v>
      </c>
      <c r="AQ24" s="1065">
        <v>0</v>
      </c>
    </row>
    <row r="25" spans="1:43">
      <c r="A25" s="1064" t="s">
        <v>869</v>
      </c>
      <c r="B25" s="1065">
        <v>6992692570</v>
      </c>
      <c r="C25" s="1065">
        <v>7574495390</v>
      </c>
      <c r="D25" s="1065">
        <v>8341153380</v>
      </c>
      <c r="E25" s="1065">
        <v>8314005250</v>
      </c>
      <c r="F25" s="1065">
        <v>8326412530</v>
      </c>
      <c r="G25" s="1065">
        <v>8766925140</v>
      </c>
      <c r="H25" s="1065">
        <v>9253355700</v>
      </c>
      <c r="I25" s="1065">
        <v>12165148430</v>
      </c>
      <c r="J25" s="1065">
        <v>0</v>
      </c>
      <c r="K25" s="1065">
        <v>0</v>
      </c>
      <c r="L25" s="1065">
        <v>0</v>
      </c>
      <c r="M25" s="1065">
        <v>0</v>
      </c>
      <c r="N25" s="1065">
        <v>0</v>
      </c>
      <c r="O25" s="1065">
        <v>0</v>
      </c>
      <c r="P25" s="1065">
        <v>0</v>
      </c>
      <c r="Q25" s="1065">
        <v>0</v>
      </c>
      <c r="R25" s="1065">
        <v>0</v>
      </c>
      <c r="S25" s="1065">
        <v>0</v>
      </c>
      <c r="T25" s="1065">
        <v>0</v>
      </c>
      <c r="U25" s="1065">
        <v>0</v>
      </c>
      <c r="V25" s="1065">
        <v>0</v>
      </c>
      <c r="W25" s="1065">
        <v>0</v>
      </c>
      <c r="X25" s="1065">
        <v>0</v>
      </c>
      <c r="Y25" s="1065">
        <v>0</v>
      </c>
      <c r="Z25" s="1065">
        <v>0</v>
      </c>
      <c r="AA25" s="1065">
        <v>0</v>
      </c>
      <c r="AB25" s="1065">
        <v>0</v>
      </c>
      <c r="AC25" s="1065">
        <v>0</v>
      </c>
      <c r="AD25" s="1065">
        <v>0</v>
      </c>
      <c r="AE25" s="1065">
        <v>0</v>
      </c>
      <c r="AF25" s="1065">
        <v>0</v>
      </c>
      <c r="AG25" s="1065">
        <v>0</v>
      </c>
      <c r="AH25" s="1065">
        <v>0</v>
      </c>
      <c r="AI25" s="1065">
        <v>0</v>
      </c>
      <c r="AJ25" s="1065">
        <v>0</v>
      </c>
      <c r="AK25" s="1065">
        <v>0</v>
      </c>
      <c r="AL25" s="1065">
        <v>0</v>
      </c>
      <c r="AM25" s="1065">
        <v>0</v>
      </c>
      <c r="AN25" s="1065">
        <v>0</v>
      </c>
      <c r="AO25" s="1065">
        <v>0</v>
      </c>
      <c r="AP25" s="1065">
        <v>0</v>
      </c>
      <c r="AQ25" s="1065">
        <v>0</v>
      </c>
    </row>
    <row r="26" spans="1:43">
      <c r="A26" s="1062" t="s">
        <v>870</v>
      </c>
      <c r="B26" s="1063">
        <v>0</v>
      </c>
      <c r="C26" s="1063">
        <v>0</v>
      </c>
      <c r="D26" s="1063">
        <v>0</v>
      </c>
      <c r="E26" s="1063">
        <v>0</v>
      </c>
      <c r="F26" s="1063">
        <v>0</v>
      </c>
      <c r="G26" s="1063">
        <v>0</v>
      </c>
      <c r="H26" s="1063">
        <v>0</v>
      </c>
      <c r="I26" s="1063">
        <v>0</v>
      </c>
      <c r="J26" s="1063">
        <v>0</v>
      </c>
      <c r="K26" s="1063">
        <v>0</v>
      </c>
      <c r="L26" s="1063">
        <v>0</v>
      </c>
      <c r="M26" s="1063">
        <v>0</v>
      </c>
      <c r="N26" s="1063">
        <v>0</v>
      </c>
      <c r="O26" s="1063">
        <v>0</v>
      </c>
      <c r="P26" s="1063">
        <v>0</v>
      </c>
      <c r="Q26" s="1063">
        <v>0</v>
      </c>
      <c r="R26" s="1063">
        <v>0</v>
      </c>
      <c r="S26" s="1063">
        <v>0</v>
      </c>
      <c r="T26" s="1063">
        <v>0</v>
      </c>
      <c r="U26" s="1063">
        <v>0</v>
      </c>
      <c r="V26" s="1063">
        <v>0</v>
      </c>
      <c r="W26" s="1063">
        <v>0</v>
      </c>
      <c r="X26" s="1063">
        <v>0</v>
      </c>
      <c r="Y26" s="1063">
        <v>0</v>
      </c>
      <c r="Z26" s="1063">
        <v>0</v>
      </c>
      <c r="AA26" s="1063">
        <v>0</v>
      </c>
      <c r="AB26" s="1063">
        <v>0</v>
      </c>
      <c r="AC26" s="1063">
        <v>0</v>
      </c>
      <c r="AD26" s="1063">
        <v>0</v>
      </c>
      <c r="AE26" s="1063">
        <v>0</v>
      </c>
      <c r="AF26" s="1063">
        <v>0</v>
      </c>
      <c r="AG26" s="1063">
        <v>0</v>
      </c>
      <c r="AH26" s="1063">
        <v>0</v>
      </c>
      <c r="AI26" s="1063">
        <v>0</v>
      </c>
      <c r="AJ26" s="1063">
        <v>0</v>
      </c>
      <c r="AK26" s="1063">
        <v>0</v>
      </c>
      <c r="AL26" s="1063">
        <v>0</v>
      </c>
      <c r="AM26" s="1063">
        <v>0</v>
      </c>
      <c r="AN26" s="1063">
        <v>0</v>
      </c>
      <c r="AO26" s="1063">
        <v>0</v>
      </c>
      <c r="AP26" s="1063">
        <v>0</v>
      </c>
      <c r="AQ26" s="1063">
        <v>0</v>
      </c>
    </row>
    <row r="27" spans="1:43">
      <c r="A27" s="1064" t="s">
        <v>871</v>
      </c>
      <c r="B27" s="1065">
        <v>0</v>
      </c>
      <c r="C27" s="1065">
        <v>0</v>
      </c>
      <c r="D27" s="1065">
        <v>0</v>
      </c>
      <c r="E27" s="1065">
        <v>0</v>
      </c>
      <c r="F27" s="1065">
        <v>0</v>
      </c>
      <c r="G27" s="1065">
        <v>0</v>
      </c>
      <c r="H27" s="1065">
        <v>0</v>
      </c>
      <c r="I27" s="1065">
        <v>0</v>
      </c>
      <c r="J27" s="1065">
        <v>0</v>
      </c>
      <c r="K27" s="1065">
        <v>0</v>
      </c>
      <c r="L27" s="1065">
        <v>0</v>
      </c>
      <c r="M27" s="1065">
        <v>0</v>
      </c>
      <c r="N27" s="1065">
        <v>0</v>
      </c>
      <c r="O27" s="1065">
        <v>0</v>
      </c>
      <c r="P27" s="1065">
        <v>0</v>
      </c>
      <c r="Q27" s="1065">
        <v>0</v>
      </c>
      <c r="R27" s="1065">
        <v>0</v>
      </c>
      <c r="S27" s="1065">
        <v>0</v>
      </c>
      <c r="T27" s="1065">
        <v>0</v>
      </c>
      <c r="U27" s="1065">
        <v>0</v>
      </c>
      <c r="V27" s="1065">
        <v>0</v>
      </c>
      <c r="W27" s="1065">
        <v>0</v>
      </c>
      <c r="X27" s="1065">
        <v>0</v>
      </c>
      <c r="Y27" s="1065">
        <v>0</v>
      </c>
      <c r="Z27" s="1065">
        <v>0</v>
      </c>
      <c r="AA27" s="1065">
        <v>0</v>
      </c>
      <c r="AB27" s="1065">
        <v>0</v>
      </c>
      <c r="AC27" s="1065">
        <v>0</v>
      </c>
      <c r="AD27" s="1065">
        <v>0</v>
      </c>
      <c r="AE27" s="1065">
        <v>0</v>
      </c>
      <c r="AF27" s="1065">
        <v>0</v>
      </c>
      <c r="AG27" s="1065">
        <v>0</v>
      </c>
      <c r="AH27" s="1065">
        <v>0</v>
      </c>
      <c r="AI27" s="1065">
        <v>0</v>
      </c>
      <c r="AJ27" s="1065">
        <v>0</v>
      </c>
      <c r="AK27" s="1065">
        <v>0</v>
      </c>
      <c r="AL27" s="1065">
        <v>0</v>
      </c>
      <c r="AM27" s="1065">
        <v>0</v>
      </c>
      <c r="AN27" s="1065">
        <v>0</v>
      </c>
      <c r="AO27" s="1065">
        <v>0</v>
      </c>
      <c r="AP27" s="1065">
        <v>0</v>
      </c>
      <c r="AQ27" s="1065">
        <v>0</v>
      </c>
    </row>
    <row r="28" spans="1:43">
      <c r="A28" s="1064" t="s">
        <v>872</v>
      </c>
      <c r="B28" s="1065">
        <v>0</v>
      </c>
      <c r="C28" s="1065">
        <v>0</v>
      </c>
      <c r="D28" s="1065">
        <v>0</v>
      </c>
      <c r="E28" s="1065">
        <v>0</v>
      </c>
      <c r="F28" s="1065">
        <v>0</v>
      </c>
      <c r="G28" s="1065">
        <v>0</v>
      </c>
      <c r="H28" s="1065">
        <v>0</v>
      </c>
      <c r="I28" s="1065">
        <v>0</v>
      </c>
      <c r="J28" s="1065">
        <v>0</v>
      </c>
      <c r="K28" s="1065">
        <v>0</v>
      </c>
      <c r="L28" s="1065">
        <v>0</v>
      </c>
      <c r="M28" s="1065">
        <v>0</v>
      </c>
      <c r="N28" s="1065">
        <v>0</v>
      </c>
      <c r="O28" s="1065">
        <v>0</v>
      </c>
      <c r="P28" s="1065">
        <v>0</v>
      </c>
      <c r="Q28" s="1065">
        <v>0</v>
      </c>
      <c r="R28" s="1065">
        <v>0</v>
      </c>
      <c r="S28" s="1065">
        <v>0</v>
      </c>
      <c r="T28" s="1065">
        <v>0</v>
      </c>
      <c r="U28" s="1065">
        <v>0</v>
      </c>
      <c r="V28" s="1065">
        <v>0</v>
      </c>
      <c r="W28" s="1065">
        <v>0</v>
      </c>
      <c r="X28" s="1065">
        <v>0</v>
      </c>
      <c r="Y28" s="1065">
        <v>0</v>
      </c>
      <c r="Z28" s="1065">
        <v>0</v>
      </c>
      <c r="AA28" s="1065">
        <v>0</v>
      </c>
      <c r="AB28" s="1065">
        <v>0</v>
      </c>
      <c r="AC28" s="1065">
        <v>0</v>
      </c>
      <c r="AD28" s="1065">
        <v>0</v>
      </c>
      <c r="AE28" s="1065">
        <v>0</v>
      </c>
      <c r="AF28" s="1065">
        <v>0</v>
      </c>
      <c r="AG28" s="1065">
        <v>0</v>
      </c>
      <c r="AH28" s="1065">
        <v>0</v>
      </c>
      <c r="AI28" s="1065">
        <v>0</v>
      </c>
      <c r="AJ28" s="1065">
        <v>0</v>
      </c>
      <c r="AK28" s="1065">
        <v>0</v>
      </c>
      <c r="AL28" s="1065">
        <v>0</v>
      </c>
      <c r="AM28" s="1065">
        <v>0</v>
      </c>
      <c r="AN28" s="1065">
        <v>0</v>
      </c>
      <c r="AO28" s="1065">
        <v>0</v>
      </c>
      <c r="AP28" s="1065">
        <v>0</v>
      </c>
      <c r="AQ28" s="1065">
        <v>0</v>
      </c>
    </row>
    <row r="29" spans="1:43">
      <c r="A29" s="1064" t="s">
        <v>873</v>
      </c>
      <c r="B29" s="1065">
        <v>0</v>
      </c>
      <c r="C29" s="1065">
        <v>0</v>
      </c>
      <c r="D29" s="1065">
        <v>0</v>
      </c>
      <c r="E29" s="1065">
        <v>0</v>
      </c>
      <c r="F29" s="1065">
        <v>0</v>
      </c>
      <c r="G29" s="1065">
        <v>0</v>
      </c>
      <c r="H29" s="1065">
        <v>0</v>
      </c>
      <c r="I29" s="1065">
        <v>0</v>
      </c>
      <c r="J29" s="1065">
        <v>0</v>
      </c>
      <c r="K29" s="1065">
        <v>0</v>
      </c>
      <c r="L29" s="1065">
        <v>0</v>
      </c>
      <c r="M29" s="1065">
        <v>0</v>
      </c>
      <c r="N29" s="1065">
        <v>0</v>
      </c>
      <c r="O29" s="1065">
        <v>0</v>
      </c>
      <c r="P29" s="1065">
        <v>0</v>
      </c>
      <c r="Q29" s="1065">
        <v>0</v>
      </c>
      <c r="R29" s="1065">
        <v>0</v>
      </c>
      <c r="S29" s="1065">
        <v>0</v>
      </c>
      <c r="T29" s="1065">
        <v>0</v>
      </c>
      <c r="U29" s="1065">
        <v>0</v>
      </c>
      <c r="V29" s="1065">
        <v>0</v>
      </c>
      <c r="W29" s="1065">
        <v>0</v>
      </c>
      <c r="X29" s="1065">
        <v>0</v>
      </c>
      <c r="Y29" s="1065">
        <v>0</v>
      </c>
      <c r="Z29" s="1065">
        <v>0</v>
      </c>
      <c r="AA29" s="1065">
        <v>0</v>
      </c>
      <c r="AB29" s="1065">
        <v>0</v>
      </c>
      <c r="AC29" s="1065">
        <v>0</v>
      </c>
      <c r="AD29" s="1065">
        <v>0</v>
      </c>
      <c r="AE29" s="1065">
        <v>0</v>
      </c>
      <c r="AF29" s="1065">
        <v>0</v>
      </c>
      <c r="AG29" s="1065">
        <v>0</v>
      </c>
      <c r="AH29" s="1065">
        <v>0</v>
      </c>
      <c r="AI29" s="1065">
        <v>0</v>
      </c>
      <c r="AJ29" s="1065">
        <v>0</v>
      </c>
      <c r="AK29" s="1065">
        <v>0</v>
      </c>
      <c r="AL29" s="1065">
        <v>0</v>
      </c>
      <c r="AM29" s="1065">
        <v>0</v>
      </c>
      <c r="AN29" s="1065">
        <v>0</v>
      </c>
      <c r="AO29" s="1065">
        <v>0</v>
      </c>
      <c r="AP29" s="1065">
        <v>0</v>
      </c>
      <c r="AQ29" s="1065">
        <v>0</v>
      </c>
    </row>
    <row r="30" spans="1:43">
      <c r="A30" s="1062" t="s">
        <v>874</v>
      </c>
      <c r="B30" s="1063">
        <v>214207242453</v>
      </c>
      <c r="C30" s="1063">
        <v>213086749676</v>
      </c>
      <c r="D30" s="1063">
        <v>288299803854</v>
      </c>
      <c r="E30" s="1063">
        <v>376794348819</v>
      </c>
      <c r="F30" s="1063">
        <v>423155198928</v>
      </c>
      <c r="G30" s="1063">
        <v>979306617025</v>
      </c>
      <c r="H30" s="1063">
        <v>1077545972943</v>
      </c>
      <c r="I30" s="1063">
        <v>1117756592031</v>
      </c>
      <c r="J30" s="1063">
        <v>1236954070117</v>
      </c>
      <c r="K30" s="1063">
        <v>1266117341713</v>
      </c>
      <c r="L30" s="1063">
        <v>1087149154941</v>
      </c>
      <c r="M30" s="1063">
        <v>1165206715681</v>
      </c>
      <c r="N30" s="1063">
        <v>1155236208885</v>
      </c>
      <c r="O30" s="1063">
        <v>1209382425060</v>
      </c>
      <c r="P30" s="1063">
        <v>1134014360522</v>
      </c>
      <c r="Q30" s="1063">
        <v>1328170647305</v>
      </c>
      <c r="R30" s="1063">
        <v>1293089495244</v>
      </c>
      <c r="S30" s="1063">
        <v>1482515567310</v>
      </c>
      <c r="T30" s="1063">
        <v>1762167108808</v>
      </c>
      <c r="U30" s="1063">
        <v>1517349933632</v>
      </c>
      <c r="V30" s="1063">
        <v>1669983611316</v>
      </c>
      <c r="W30" s="1063">
        <v>1854895787422</v>
      </c>
      <c r="X30" s="1063">
        <v>2150452250983</v>
      </c>
      <c r="Y30" s="1063">
        <v>2269549742975</v>
      </c>
      <c r="Z30" s="1063">
        <v>2544994922155</v>
      </c>
      <c r="AA30" s="1063">
        <v>2574998310535</v>
      </c>
      <c r="AB30" s="1063">
        <v>2305024921970</v>
      </c>
      <c r="AC30" s="1063">
        <v>2630334902806</v>
      </c>
      <c r="AD30" s="1063">
        <v>2289734280414</v>
      </c>
      <c r="AE30" s="1063">
        <v>2265464406602</v>
      </c>
      <c r="AF30" s="1063">
        <v>2108906805695</v>
      </c>
      <c r="AG30" s="1063">
        <v>2194858021912</v>
      </c>
      <c r="AH30" s="1063">
        <v>2390829558387</v>
      </c>
      <c r="AI30" s="1063">
        <v>2608416834140</v>
      </c>
      <c r="AJ30" s="1063">
        <v>2589054672550</v>
      </c>
      <c r="AK30" s="1063">
        <v>2518625045396</v>
      </c>
      <c r="AL30" s="1063">
        <v>2940663250117</v>
      </c>
      <c r="AM30" s="1063">
        <v>3024620677292</v>
      </c>
      <c r="AN30" s="1063">
        <v>3020271704954</v>
      </c>
      <c r="AO30" s="1063">
        <v>3061877322239</v>
      </c>
      <c r="AP30" s="1063">
        <v>2953873629889</v>
      </c>
      <c r="AQ30" s="1063">
        <v>3077313404407</v>
      </c>
    </row>
    <row r="31" spans="1:43">
      <c r="A31" s="1064" t="s">
        <v>875</v>
      </c>
      <c r="B31" s="1065">
        <v>202206082453</v>
      </c>
      <c r="C31" s="1065">
        <v>201586749676</v>
      </c>
      <c r="D31" s="1065">
        <v>201391269533</v>
      </c>
      <c r="E31" s="1065">
        <v>171655669217</v>
      </c>
      <c r="F31" s="1065">
        <v>183189707626</v>
      </c>
      <c r="G31" s="1065">
        <v>762351898109</v>
      </c>
      <c r="H31" s="1065">
        <v>853591254027</v>
      </c>
      <c r="I31" s="1065">
        <v>909380554852</v>
      </c>
      <c r="J31" s="1065">
        <v>909357603931</v>
      </c>
      <c r="K31" s="1065">
        <v>935448419946</v>
      </c>
      <c r="L31" s="1065">
        <v>917227302184</v>
      </c>
      <c r="M31" s="1065">
        <v>946144642394</v>
      </c>
      <c r="N31" s="1065">
        <v>968459941520</v>
      </c>
      <c r="O31" s="1065">
        <v>1009769965758</v>
      </c>
      <c r="P31" s="1065">
        <v>998187738373</v>
      </c>
      <c r="Q31" s="1065">
        <v>926506106926</v>
      </c>
      <c r="R31" s="1065">
        <v>921849613490</v>
      </c>
      <c r="S31" s="1065">
        <v>1129468005004</v>
      </c>
      <c r="T31" s="1065">
        <v>1403064196829</v>
      </c>
      <c r="U31" s="1065">
        <v>1226269350357</v>
      </c>
      <c r="V31" s="1065">
        <v>1357846120384</v>
      </c>
      <c r="W31" s="1065">
        <v>1549012617074</v>
      </c>
      <c r="X31" s="1065">
        <v>1830017493576</v>
      </c>
      <c r="Y31" s="1065">
        <v>1948889234022</v>
      </c>
      <c r="Z31" s="1065">
        <v>2260631993679</v>
      </c>
      <c r="AA31" s="1065">
        <v>2247324315592</v>
      </c>
      <c r="AB31" s="1065">
        <v>1974721186291</v>
      </c>
      <c r="AC31" s="1065">
        <v>2284401596206</v>
      </c>
      <c r="AD31" s="1065">
        <v>1904067210150</v>
      </c>
      <c r="AE31" s="1065">
        <v>1893347093109</v>
      </c>
      <c r="AF31" s="1065">
        <v>1787793407768</v>
      </c>
      <c r="AG31" s="1065">
        <v>1466458895189</v>
      </c>
      <c r="AH31" s="1065">
        <v>1604127187704</v>
      </c>
      <c r="AI31" s="1065">
        <v>1846932645843</v>
      </c>
      <c r="AJ31" s="1065">
        <v>1806546851524</v>
      </c>
      <c r="AK31" s="1065">
        <v>1819494099308</v>
      </c>
      <c r="AL31" s="1065">
        <v>1834183071815</v>
      </c>
      <c r="AM31" s="1065">
        <v>1859456921819</v>
      </c>
      <c r="AN31" s="1065">
        <v>1783171243439</v>
      </c>
      <c r="AO31" s="1065">
        <v>1841493294067</v>
      </c>
      <c r="AP31" s="1065">
        <v>1602474415348</v>
      </c>
      <c r="AQ31" s="1065">
        <v>1693095128639</v>
      </c>
    </row>
    <row r="32" spans="1:43">
      <c r="A32" s="1064" t="s">
        <v>876</v>
      </c>
      <c r="B32" s="1065">
        <v>12001160000</v>
      </c>
      <c r="C32" s="1065">
        <v>11500000000</v>
      </c>
      <c r="D32" s="1065">
        <v>86908534321</v>
      </c>
      <c r="E32" s="1065">
        <v>205138679602</v>
      </c>
      <c r="F32" s="1065">
        <v>239965491302</v>
      </c>
      <c r="G32" s="1065">
        <v>216954718916</v>
      </c>
      <c r="H32" s="1065">
        <v>223954718916</v>
      </c>
      <c r="I32" s="1065">
        <v>208376037179</v>
      </c>
      <c r="J32" s="1065">
        <v>327596466186</v>
      </c>
      <c r="K32" s="1065">
        <v>330668921767</v>
      </c>
      <c r="L32" s="1065">
        <v>169921852757</v>
      </c>
      <c r="M32" s="1065">
        <v>219062073287</v>
      </c>
      <c r="N32" s="1065">
        <v>186776267365</v>
      </c>
      <c r="O32" s="1065">
        <v>199612459302</v>
      </c>
      <c r="P32" s="1065">
        <v>135826622149</v>
      </c>
      <c r="Q32" s="1065">
        <v>401664540379</v>
      </c>
      <c r="R32" s="1065">
        <v>371239881754</v>
      </c>
      <c r="S32" s="1065">
        <v>353047562306</v>
      </c>
      <c r="T32" s="1065">
        <v>359102911979</v>
      </c>
      <c r="U32" s="1065">
        <v>291080583275</v>
      </c>
      <c r="V32" s="1065">
        <v>312137490932</v>
      </c>
      <c r="W32" s="1065">
        <v>305883170348</v>
      </c>
      <c r="X32" s="1065">
        <v>320434757407</v>
      </c>
      <c r="Y32" s="1065">
        <v>320660508953</v>
      </c>
      <c r="Z32" s="1065">
        <v>284362928476</v>
      </c>
      <c r="AA32" s="1065">
        <v>327673994943</v>
      </c>
      <c r="AB32" s="1065">
        <v>330303735679</v>
      </c>
      <c r="AC32" s="1065">
        <v>345933306600</v>
      </c>
      <c r="AD32" s="1065">
        <v>385667070264</v>
      </c>
      <c r="AE32" s="1065">
        <v>372117313493</v>
      </c>
      <c r="AF32" s="1065">
        <v>321113397927</v>
      </c>
      <c r="AG32" s="1065">
        <v>728399126723</v>
      </c>
      <c r="AH32" s="1065">
        <v>786702370683</v>
      </c>
      <c r="AI32" s="1065">
        <v>761484188297</v>
      </c>
      <c r="AJ32" s="1065">
        <v>782507821026</v>
      </c>
      <c r="AK32" s="1065">
        <v>699130946088</v>
      </c>
      <c r="AL32" s="1065">
        <v>1106480178302</v>
      </c>
      <c r="AM32" s="1065">
        <v>1165163755473</v>
      </c>
      <c r="AN32" s="1065">
        <v>1237100461515</v>
      </c>
      <c r="AO32" s="1065">
        <v>1220384028172</v>
      </c>
      <c r="AP32" s="1065">
        <v>1351399214541</v>
      </c>
      <c r="AQ32" s="1065">
        <v>1384218275768</v>
      </c>
    </row>
    <row r="33" spans="1:43">
      <c r="A33" s="1062" t="s">
        <v>877</v>
      </c>
      <c r="B33" s="1063">
        <v>3167430832043</v>
      </c>
      <c r="C33" s="1063">
        <v>3338814413091</v>
      </c>
      <c r="D33" s="1063">
        <v>3399831677536</v>
      </c>
      <c r="E33" s="1063">
        <v>3472443423409</v>
      </c>
      <c r="F33" s="1063">
        <v>3487463774617</v>
      </c>
      <c r="G33" s="1063">
        <v>3835152016968</v>
      </c>
      <c r="H33" s="1063">
        <v>3894466699597</v>
      </c>
      <c r="I33" s="1063">
        <v>3844470111016</v>
      </c>
      <c r="J33" s="1063">
        <v>4138489513967</v>
      </c>
      <c r="K33" s="1063">
        <v>5200457122679</v>
      </c>
      <c r="L33" s="1063">
        <v>5859290440547</v>
      </c>
      <c r="M33" s="1063">
        <v>6746257167071</v>
      </c>
      <c r="N33" s="1063">
        <v>6749360884226</v>
      </c>
      <c r="O33" s="1063">
        <v>6913618189732</v>
      </c>
      <c r="P33" s="1063">
        <v>6711991424046</v>
      </c>
      <c r="Q33" s="1063">
        <v>6479716958948</v>
      </c>
      <c r="R33" s="1063">
        <v>5672418507229</v>
      </c>
      <c r="S33" s="1063">
        <v>5866745932505</v>
      </c>
      <c r="T33" s="1063">
        <v>5131899200555</v>
      </c>
      <c r="U33" s="1063">
        <v>5906345879908</v>
      </c>
      <c r="V33" s="1063">
        <v>5162573927584</v>
      </c>
      <c r="W33" s="1063">
        <v>5224868472394</v>
      </c>
      <c r="X33" s="1063">
        <v>5252190706326</v>
      </c>
      <c r="Y33" s="1063">
        <v>5845008684841</v>
      </c>
      <c r="Z33" s="1063">
        <v>5206251702763</v>
      </c>
      <c r="AA33" s="1063">
        <v>4961808043861</v>
      </c>
      <c r="AB33" s="1063">
        <v>4143165868220</v>
      </c>
      <c r="AC33" s="1063">
        <v>5400031095330</v>
      </c>
      <c r="AD33" s="1063">
        <v>4261357075836</v>
      </c>
      <c r="AE33" s="1063">
        <v>5455756328133</v>
      </c>
      <c r="AF33" s="1063">
        <v>4662280010611</v>
      </c>
      <c r="AG33" s="1063">
        <v>5469339024885</v>
      </c>
      <c r="AH33" s="1063">
        <v>4427355498642</v>
      </c>
      <c r="AI33" s="1063">
        <v>4934320411490</v>
      </c>
      <c r="AJ33" s="1063">
        <v>5420226891699</v>
      </c>
      <c r="AK33" s="1063">
        <v>6092659990035</v>
      </c>
      <c r="AL33" s="1063">
        <v>6097710088697</v>
      </c>
      <c r="AM33" s="1063">
        <v>5908329377417</v>
      </c>
      <c r="AN33" s="1063">
        <v>6353230132757</v>
      </c>
      <c r="AO33" s="1063">
        <v>7071613246265</v>
      </c>
      <c r="AP33" s="1063">
        <v>8520400541893</v>
      </c>
      <c r="AQ33" s="1063">
        <v>8993776211210</v>
      </c>
    </row>
    <row r="34" spans="1:43">
      <c r="A34" s="1064" t="s">
        <v>878</v>
      </c>
      <c r="B34" s="1065">
        <v>0</v>
      </c>
      <c r="C34" s="1065">
        <v>0</v>
      </c>
      <c r="D34" s="1065">
        <v>0</v>
      </c>
      <c r="E34" s="1065">
        <v>0</v>
      </c>
      <c r="F34" s="1065">
        <v>0</v>
      </c>
      <c r="G34" s="1065">
        <v>0</v>
      </c>
      <c r="H34" s="1065">
        <v>0</v>
      </c>
      <c r="I34" s="1065">
        <v>0</v>
      </c>
      <c r="J34" s="1065">
        <v>0</v>
      </c>
      <c r="K34" s="1065">
        <v>0</v>
      </c>
      <c r="L34" s="1065">
        <v>0</v>
      </c>
      <c r="M34" s="1065">
        <v>0</v>
      </c>
      <c r="N34" s="1065">
        <v>0</v>
      </c>
      <c r="O34" s="1065">
        <v>0</v>
      </c>
      <c r="P34" s="1065">
        <v>0</v>
      </c>
      <c r="Q34" s="1065">
        <v>0</v>
      </c>
      <c r="R34" s="1065">
        <v>0</v>
      </c>
      <c r="S34" s="1065">
        <v>0</v>
      </c>
      <c r="T34" s="1065">
        <v>0</v>
      </c>
      <c r="U34" s="1065">
        <v>0</v>
      </c>
      <c r="V34" s="1065">
        <v>51327448</v>
      </c>
      <c r="W34" s="1065">
        <v>0</v>
      </c>
      <c r="X34" s="1065">
        <v>0</v>
      </c>
      <c r="Y34" s="1065">
        <v>0</v>
      </c>
      <c r="Z34" s="1065">
        <v>0</v>
      </c>
      <c r="AA34" s="1065">
        <v>0</v>
      </c>
      <c r="AB34" s="1065">
        <v>0</v>
      </c>
      <c r="AC34" s="1065">
        <v>0</v>
      </c>
      <c r="AD34" s="1065">
        <v>0</v>
      </c>
      <c r="AE34" s="1065">
        <v>0</v>
      </c>
      <c r="AF34" s="1065">
        <v>0</v>
      </c>
      <c r="AG34" s="1065">
        <v>0</v>
      </c>
      <c r="AH34" s="1065">
        <v>0</v>
      </c>
      <c r="AI34" s="1065">
        <v>0</v>
      </c>
      <c r="AJ34" s="1065">
        <v>0</v>
      </c>
      <c r="AK34" s="1065">
        <v>0</v>
      </c>
      <c r="AL34" s="1065">
        <v>0</v>
      </c>
      <c r="AM34" s="1065">
        <v>0</v>
      </c>
      <c r="AN34" s="1065">
        <v>0</v>
      </c>
      <c r="AO34" s="1065">
        <v>0</v>
      </c>
      <c r="AP34" s="1065">
        <v>0</v>
      </c>
      <c r="AQ34" s="1065">
        <v>0</v>
      </c>
    </row>
    <row r="35" spans="1:43">
      <c r="A35" s="1064" t="s">
        <v>879</v>
      </c>
      <c r="B35" s="1065">
        <v>479405075718</v>
      </c>
      <c r="C35" s="1065">
        <v>531135881628</v>
      </c>
      <c r="D35" s="1065">
        <v>573569784436</v>
      </c>
      <c r="E35" s="1065">
        <v>605663407362</v>
      </c>
      <c r="F35" s="1065">
        <v>729432799731</v>
      </c>
      <c r="G35" s="1065">
        <v>792359552702</v>
      </c>
      <c r="H35" s="1065">
        <v>824653734715</v>
      </c>
      <c r="I35" s="1065">
        <v>896111628816</v>
      </c>
      <c r="J35" s="1065">
        <v>959714833424</v>
      </c>
      <c r="K35" s="1065">
        <v>1170244859263</v>
      </c>
      <c r="L35" s="1065">
        <v>1285750411398</v>
      </c>
      <c r="M35" s="1065">
        <v>1172859212825</v>
      </c>
      <c r="N35" s="1065">
        <v>1269949453927</v>
      </c>
      <c r="O35" s="1065">
        <v>1248959247884</v>
      </c>
      <c r="P35" s="1065">
        <v>767918325999</v>
      </c>
      <c r="Q35" s="1065">
        <v>654651360391</v>
      </c>
      <c r="R35" s="1065">
        <v>418417681062</v>
      </c>
      <c r="S35" s="1065">
        <v>361217155148</v>
      </c>
      <c r="T35" s="1065">
        <v>468905313204</v>
      </c>
      <c r="U35" s="1065">
        <v>662644354608</v>
      </c>
      <c r="V35" s="1065">
        <v>852450482673</v>
      </c>
      <c r="W35" s="1065">
        <v>1391652019794</v>
      </c>
      <c r="X35" s="1065">
        <v>1323204623621</v>
      </c>
      <c r="Y35" s="1065">
        <v>1277368900781</v>
      </c>
      <c r="Z35" s="1065">
        <v>1394072674455</v>
      </c>
      <c r="AA35" s="1065">
        <v>704586391985</v>
      </c>
      <c r="AB35" s="1065">
        <v>687017820636</v>
      </c>
      <c r="AC35" s="1065">
        <v>674771873724</v>
      </c>
      <c r="AD35" s="1065">
        <v>672003980552</v>
      </c>
      <c r="AE35" s="1065">
        <v>1599591396300</v>
      </c>
      <c r="AF35" s="1065">
        <v>1470646526138</v>
      </c>
      <c r="AG35" s="1065">
        <v>1664634834873</v>
      </c>
      <c r="AH35" s="1065">
        <v>1131337718562</v>
      </c>
      <c r="AI35" s="1065">
        <v>647877823626</v>
      </c>
      <c r="AJ35" s="1065">
        <v>594495976467</v>
      </c>
      <c r="AK35" s="1065">
        <v>581058017044</v>
      </c>
      <c r="AL35" s="1065">
        <v>638893744763</v>
      </c>
      <c r="AM35" s="1065">
        <v>725097618821</v>
      </c>
      <c r="AN35" s="1065">
        <v>844442599588</v>
      </c>
      <c r="AO35" s="1065">
        <v>1002413046050</v>
      </c>
      <c r="AP35" s="1065">
        <v>1344624898241</v>
      </c>
      <c r="AQ35" s="1065">
        <v>2434795674988</v>
      </c>
    </row>
    <row r="36" spans="1:43">
      <c r="A36" s="1064" t="s">
        <v>880</v>
      </c>
      <c r="B36" s="1065">
        <v>509600000000</v>
      </c>
      <c r="C36" s="1065">
        <v>481700000000</v>
      </c>
      <c r="D36" s="1065">
        <v>490000000000</v>
      </c>
      <c r="E36" s="1065">
        <v>731900000000</v>
      </c>
      <c r="F36" s="1065">
        <v>755600000000</v>
      </c>
      <c r="G36" s="1065">
        <v>871799019607</v>
      </c>
      <c r="H36" s="1065">
        <v>938800000000</v>
      </c>
      <c r="I36" s="1065">
        <v>863300000000</v>
      </c>
      <c r="J36" s="1065">
        <v>892300000000</v>
      </c>
      <c r="K36" s="1065">
        <v>850200000000</v>
      </c>
      <c r="L36" s="1065">
        <v>1224400000000</v>
      </c>
      <c r="M36" s="1065">
        <v>1177900000000</v>
      </c>
      <c r="N36" s="1065">
        <v>1220300000000</v>
      </c>
      <c r="O36" s="1065">
        <v>1267900000000</v>
      </c>
      <c r="P36" s="1065">
        <v>1160000000000</v>
      </c>
      <c r="Q36" s="1065">
        <v>1505600000000</v>
      </c>
      <c r="R36" s="1065">
        <v>917900000000</v>
      </c>
      <c r="S36" s="1065">
        <v>1797500000000</v>
      </c>
      <c r="T36" s="1065">
        <v>1304200000000</v>
      </c>
      <c r="U36" s="1065">
        <v>1945133578237</v>
      </c>
      <c r="V36" s="1065">
        <v>1366500000000</v>
      </c>
      <c r="W36" s="1065">
        <v>758560000000</v>
      </c>
      <c r="X36" s="1065">
        <v>1335091456889</v>
      </c>
      <c r="Y36" s="1065">
        <v>2250185062329</v>
      </c>
      <c r="Z36" s="1065">
        <v>1691596501644</v>
      </c>
      <c r="AA36" s="1065">
        <v>2278492977210</v>
      </c>
      <c r="AB36" s="1065">
        <v>1599928888939</v>
      </c>
      <c r="AC36" s="1065">
        <v>2885315821585</v>
      </c>
      <c r="AD36" s="1065">
        <v>1332724992833</v>
      </c>
      <c r="AE36" s="1065">
        <v>1538154117647</v>
      </c>
      <c r="AF36" s="1065">
        <v>652500000000</v>
      </c>
      <c r="AG36" s="1065">
        <v>1269826105248</v>
      </c>
      <c r="AH36" s="1065">
        <v>990329107804</v>
      </c>
      <c r="AI36" s="1065">
        <v>1013351677674</v>
      </c>
      <c r="AJ36" s="1065">
        <v>1422446045896</v>
      </c>
      <c r="AK36" s="1065">
        <v>1416815026722</v>
      </c>
      <c r="AL36" s="1065">
        <v>1737005619709</v>
      </c>
      <c r="AM36" s="1065">
        <v>1902370329438</v>
      </c>
      <c r="AN36" s="1065">
        <v>2363765649807</v>
      </c>
      <c r="AO36" s="1065">
        <v>1144314493159</v>
      </c>
      <c r="AP36" s="1065">
        <v>2144671714168</v>
      </c>
      <c r="AQ36" s="1065">
        <v>1935582958478</v>
      </c>
    </row>
    <row r="37" spans="1:43">
      <c r="A37" s="1064" t="s">
        <v>881</v>
      </c>
      <c r="B37" s="1065">
        <v>3037920263</v>
      </c>
      <c r="C37" s="1065">
        <v>3015079688</v>
      </c>
      <c r="D37" s="1065">
        <v>2934954750</v>
      </c>
      <c r="E37" s="1065">
        <v>2944647600</v>
      </c>
      <c r="F37" s="1065">
        <v>2814798520</v>
      </c>
      <c r="G37" s="1065">
        <v>2761569018</v>
      </c>
      <c r="H37" s="1065">
        <v>2774216122</v>
      </c>
      <c r="I37" s="1065">
        <v>2518782153</v>
      </c>
      <c r="J37" s="1065">
        <v>2471992908</v>
      </c>
      <c r="K37" s="1065">
        <v>2533244863</v>
      </c>
      <c r="L37" s="1065">
        <v>2715924734</v>
      </c>
      <c r="M37" s="1065">
        <v>2798311519</v>
      </c>
      <c r="N37" s="1065">
        <v>2524923439</v>
      </c>
      <c r="O37" s="1065">
        <v>2773885441</v>
      </c>
      <c r="P37" s="1065">
        <v>2701304949</v>
      </c>
      <c r="Q37" s="1065">
        <v>2729021366</v>
      </c>
      <c r="R37" s="1065">
        <v>2786980972</v>
      </c>
      <c r="S37" s="1065">
        <v>2533686299</v>
      </c>
      <c r="T37" s="1065">
        <v>3029914938</v>
      </c>
      <c r="U37" s="1065">
        <v>3236325400</v>
      </c>
      <c r="V37" s="1065">
        <v>3305526063</v>
      </c>
      <c r="W37" s="1065">
        <v>3336698785</v>
      </c>
      <c r="X37" s="1065">
        <v>3348423973</v>
      </c>
      <c r="Y37" s="1065">
        <v>3257894691</v>
      </c>
      <c r="Z37" s="1065">
        <v>3215067562</v>
      </c>
      <c r="AA37" s="1065">
        <v>3266300231</v>
      </c>
      <c r="AB37" s="1065">
        <v>3327888435</v>
      </c>
      <c r="AC37" s="1065">
        <v>3940850972</v>
      </c>
      <c r="AD37" s="1065">
        <v>3455628240</v>
      </c>
      <c r="AE37" s="1065">
        <v>3621189803</v>
      </c>
      <c r="AF37" s="1065">
        <v>3298976391</v>
      </c>
      <c r="AG37" s="1065">
        <v>2918497698</v>
      </c>
      <c r="AH37" s="1065">
        <v>2467442623</v>
      </c>
      <c r="AI37" s="1065">
        <v>2360951274</v>
      </c>
      <c r="AJ37" s="1065">
        <v>2310325303</v>
      </c>
      <c r="AK37" s="1065">
        <v>2219223794</v>
      </c>
      <c r="AL37" s="1065">
        <v>1869783993</v>
      </c>
      <c r="AM37" s="1065">
        <v>1950901979</v>
      </c>
      <c r="AN37" s="1065">
        <v>2226589272</v>
      </c>
      <c r="AO37" s="1065">
        <v>2362288666</v>
      </c>
      <c r="AP37" s="1065">
        <v>2501418685</v>
      </c>
      <c r="AQ37" s="1065">
        <v>2798166448</v>
      </c>
    </row>
    <row r="38" spans="1:43">
      <c r="A38" s="1064" t="s">
        <v>882</v>
      </c>
      <c r="B38" s="1065">
        <v>71780447</v>
      </c>
      <c r="C38" s="1065">
        <v>71780447</v>
      </c>
      <c r="D38" s="1065">
        <v>71780447</v>
      </c>
      <c r="E38" s="1065">
        <v>0</v>
      </c>
      <c r="F38" s="1065">
        <v>0</v>
      </c>
      <c r="G38" s="1065">
        <v>0</v>
      </c>
      <c r="H38" s="1065">
        <v>0</v>
      </c>
      <c r="I38" s="1065">
        <v>0</v>
      </c>
      <c r="J38" s="1065">
        <v>0</v>
      </c>
      <c r="K38" s="1065">
        <v>3096817663180</v>
      </c>
      <c r="L38" s="1065">
        <v>3399367284180</v>
      </c>
      <c r="M38" s="1065">
        <v>4475259860915</v>
      </c>
      <c r="N38" s="1065">
        <v>4338101743752</v>
      </c>
      <c r="O38" s="1065">
        <v>4467988780679</v>
      </c>
      <c r="P38" s="1065">
        <v>4866352814571</v>
      </c>
      <c r="Q38" s="1065">
        <v>4405493930196</v>
      </c>
      <c r="R38" s="1065">
        <v>4411983853692</v>
      </c>
      <c r="S38" s="1065">
        <v>3779262078682</v>
      </c>
      <c r="T38" s="1065">
        <v>3451174938374</v>
      </c>
      <c r="U38" s="1065">
        <v>3313545265243</v>
      </c>
      <c r="V38" s="1065">
        <v>3007416196435</v>
      </c>
      <c r="W38" s="1065">
        <v>3129260377200</v>
      </c>
      <c r="X38" s="1065">
        <v>2650883424813</v>
      </c>
      <c r="Y38" s="1065">
        <v>2377490203011</v>
      </c>
      <c r="Z38" s="1065">
        <v>2184678826411</v>
      </c>
      <c r="AA38" s="1065">
        <v>2017806613656</v>
      </c>
      <c r="AB38" s="1065">
        <v>1910029776638</v>
      </c>
      <c r="AC38" s="1065">
        <v>1835357642983</v>
      </c>
      <c r="AD38" s="1065">
        <v>2262717626127</v>
      </c>
      <c r="AE38" s="1065">
        <v>2374701744239</v>
      </c>
      <c r="AF38" s="1065">
        <v>2647552600241</v>
      </c>
      <c r="AG38" s="1065">
        <v>2683424305723</v>
      </c>
      <c r="AH38" s="1065">
        <v>2403802143530</v>
      </c>
      <c r="AI38" s="1065">
        <v>3238052404581</v>
      </c>
      <c r="AJ38" s="1065">
        <v>3478989724406</v>
      </c>
      <c r="AK38" s="1065">
        <v>4232809728425</v>
      </c>
      <c r="AL38" s="1065">
        <v>3863203654471</v>
      </c>
      <c r="AM38" s="1065">
        <v>3422619073674</v>
      </c>
      <c r="AN38" s="1065">
        <v>3258959057197</v>
      </c>
      <c r="AO38" s="1065">
        <v>5087869621782</v>
      </c>
      <c r="AP38" s="1065">
        <v>5184719967873</v>
      </c>
      <c r="AQ38" s="1065">
        <v>4791772439612</v>
      </c>
    </row>
    <row r="39" spans="1:43">
      <c r="A39" s="1064" t="s">
        <v>883</v>
      </c>
      <c r="B39" s="1065">
        <v>2034756211975</v>
      </c>
      <c r="C39" s="1065">
        <v>2084274182982</v>
      </c>
      <c r="D39" s="1065">
        <v>1992267458251</v>
      </c>
      <c r="E39" s="1065">
        <v>1839657874537</v>
      </c>
      <c r="F39" s="1065">
        <v>1816382492911</v>
      </c>
      <c r="G39" s="1065">
        <v>1798302432087</v>
      </c>
      <c r="H39" s="1065">
        <v>1763249559645</v>
      </c>
      <c r="I39" s="1065">
        <v>1815309434079</v>
      </c>
      <c r="J39" s="1065">
        <v>2162853588494</v>
      </c>
      <c r="K39" s="1065"/>
      <c r="L39" s="1065"/>
      <c r="M39" s="1065"/>
      <c r="N39" s="1065"/>
      <c r="O39" s="1065">
        <v>0</v>
      </c>
      <c r="P39" s="1065">
        <v>0</v>
      </c>
      <c r="Q39" s="1065">
        <v>0</v>
      </c>
      <c r="R39" s="1065">
        <v>0</v>
      </c>
      <c r="S39" s="1065">
        <v>0</v>
      </c>
      <c r="T39" s="1065">
        <v>0</v>
      </c>
      <c r="U39" s="1065">
        <v>0</v>
      </c>
      <c r="V39" s="1065">
        <v>0</v>
      </c>
      <c r="W39" s="1065">
        <v>0</v>
      </c>
      <c r="X39" s="1065">
        <v>0</v>
      </c>
      <c r="Y39" s="1065">
        <v>0</v>
      </c>
      <c r="Z39" s="1065">
        <v>0</v>
      </c>
      <c r="AA39" s="1065">
        <v>0</v>
      </c>
      <c r="AB39" s="1065">
        <v>0</v>
      </c>
      <c r="AC39" s="1065">
        <v>0</v>
      </c>
      <c r="AD39" s="1065">
        <v>0</v>
      </c>
      <c r="AE39" s="1065">
        <v>0</v>
      </c>
      <c r="AF39" s="1065">
        <v>0</v>
      </c>
      <c r="AG39" s="1065">
        <v>0</v>
      </c>
      <c r="AH39" s="1065">
        <v>0</v>
      </c>
      <c r="AI39" s="1065">
        <v>0</v>
      </c>
      <c r="AJ39" s="1065">
        <v>0</v>
      </c>
      <c r="AK39" s="1065">
        <v>0</v>
      </c>
      <c r="AL39" s="1065">
        <v>0</v>
      </c>
      <c r="AM39" s="1065">
        <v>0</v>
      </c>
      <c r="AN39" s="1065">
        <v>0</v>
      </c>
      <c r="AO39" s="1065">
        <v>0</v>
      </c>
      <c r="AP39" s="1065">
        <v>0</v>
      </c>
      <c r="AQ39" s="1065">
        <v>0</v>
      </c>
    </row>
    <row r="40" spans="1:43">
      <c r="A40" s="1064" t="s">
        <v>884</v>
      </c>
      <c r="B40" s="1065">
        <v>86500000000</v>
      </c>
      <c r="C40" s="1065">
        <v>72700000000</v>
      </c>
      <c r="D40" s="1065">
        <v>170100000000</v>
      </c>
      <c r="E40" s="1065">
        <v>72300000000</v>
      </c>
      <c r="F40" s="1065">
        <v>46300000000</v>
      </c>
      <c r="G40" s="1065">
        <v>40000000000</v>
      </c>
      <c r="H40" s="1065">
        <v>10000000000</v>
      </c>
      <c r="I40" s="1065">
        <v>21000000000</v>
      </c>
      <c r="J40" s="1065">
        <v>0</v>
      </c>
      <c r="K40" s="1065">
        <v>0</v>
      </c>
      <c r="L40" s="1065">
        <v>0</v>
      </c>
      <c r="M40" s="1065">
        <v>0</v>
      </c>
      <c r="N40" s="1065">
        <v>0</v>
      </c>
      <c r="O40" s="1065">
        <v>0</v>
      </c>
      <c r="P40" s="1065">
        <v>0</v>
      </c>
      <c r="Q40" s="1065">
        <v>0</v>
      </c>
      <c r="R40" s="1065">
        <v>0</v>
      </c>
      <c r="S40" s="1065">
        <v>0</v>
      </c>
      <c r="T40" s="1065">
        <v>0</v>
      </c>
      <c r="U40" s="1065">
        <v>0</v>
      </c>
      <c r="V40" s="1065">
        <v>0</v>
      </c>
      <c r="W40" s="1065">
        <v>0</v>
      </c>
      <c r="X40" s="1065">
        <v>0</v>
      </c>
      <c r="Y40" s="1065">
        <v>0</v>
      </c>
      <c r="Z40" s="1065">
        <v>0</v>
      </c>
      <c r="AA40" s="1065">
        <v>0</v>
      </c>
      <c r="AB40" s="1065">
        <v>0</v>
      </c>
      <c r="AC40" s="1065">
        <v>0</v>
      </c>
      <c r="AD40" s="1065">
        <v>0</v>
      </c>
      <c r="AE40" s="1065">
        <v>0</v>
      </c>
      <c r="AF40" s="1065">
        <v>0</v>
      </c>
      <c r="AG40" s="1065">
        <v>0</v>
      </c>
      <c r="AH40" s="1065">
        <v>0</v>
      </c>
      <c r="AI40" s="1065">
        <v>0</v>
      </c>
      <c r="AJ40" s="1065">
        <v>0</v>
      </c>
      <c r="AK40" s="1065">
        <v>0</v>
      </c>
      <c r="AL40" s="1065">
        <v>0</v>
      </c>
      <c r="AM40" s="1065">
        <v>0</v>
      </c>
      <c r="AN40" s="1065">
        <v>0</v>
      </c>
      <c r="AO40" s="1065">
        <v>0</v>
      </c>
      <c r="AP40" s="1065">
        <v>0</v>
      </c>
      <c r="AQ40" s="1065">
        <v>0</v>
      </c>
    </row>
    <row r="41" spans="1:43">
      <c r="A41" s="1064" t="s">
        <v>885</v>
      </c>
      <c r="B41" s="1065">
        <v>35933519052</v>
      </c>
      <c r="C41" s="1065">
        <v>115344917894</v>
      </c>
      <c r="D41" s="1065">
        <v>130882248818</v>
      </c>
      <c r="E41" s="1065">
        <v>169264953766</v>
      </c>
      <c r="F41" s="1065">
        <v>38550000000</v>
      </c>
      <c r="G41" s="1065">
        <v>291900000000</v>
      </c>
      <c r="H41" s="1065">
        <v>271900000000</v>
      </c>
      <c r="I41" s="1065">
        <v>197100000000</v>
      </c>
      <c r="J41" s="1065">
        <v>101045329152</v>
      </c>
      <c r="K41" s="1065">
        <v>100623023401</v>
      </c>
      <c r="L41" s="1065">
        <v>19409487130</v>
      </c>
      <c r="M41" s="1065">
        <v>19477610072</v>
      </c>
      <c r="N41" s="1065">
        <v>19610683756</v>
      </c>
      <c r="O41" s="1065">
        <v>17898800902</v>
      </c>
      <c r="P41" s="1065">
        <v>16628643330</v>
      </c>
      <c r="Q41" s="1065">
        <v>14883829159</v>
      </c>
      <c r="R41" s="1065">
        <v>30223308119</v>
      </c>
      <c r="S41" s="1065">
        <v>24760000000</v>
      </c>
      <c r="T41" s="1065">
        <v>8000000000</v>
      </c>
      <c r="U41" s="1065">
        <v>2000000</v>
      </c>
      <c r="V41" s="1065">
        <v>2000000</v>
      </c>
      <c r="W41" s="1065">
        <v>2000000</v>
      </c>
      <c r="X41" s="1065">
        <v>0</v>
      </c>
      <c r="Y41" s="1065">
        <v>0</v>
      </c>
      <c r="Z41" s="1065">
        <v>0</v>
      </c>
      <c r="AA41" s="1065">
        <v>25000000000</v>
      </c>
      <c r="AB41" s="1065">
        <v>0</v>
      </c>
      <c r="AC41" s="1065">
        <v>200000000</v>
      </c>
      <c r="AD41" s="1065">
        <v>5200000000</v>
      </c>
      <c r="AE41" s="1065">
        <v>5200000000</v>
      </c>
      <c r="AF41" s="1065">
        <v>6125624282</v>
      </c>
      <c r="AG41" s="1065">
        <v>200000000</v>
      </c>
      <c r="AH41" s="1065">
        <v>200000000</v>
      </c>
      <c r="AI41" s="1065">
        <v>48900000000</v>
      </c>
      <c r="AJ41" s="1065">
        <v>48900000000</v>
      </c>
      <c r="AK41" s="1065">
        <v>48900000000</v>
      </c>
      <c r="AL41" s="1065">
        <v>200000000</v>
      </c>
      <c r="AM41" s="1065">
        <v>200000000</v>
      </c>
      <c r="AN41" s="1065">
        <v>2200000000</v>
      </c>
      <c r="AO41" s="1065">
        <v>2200000000</v>
      </c>
      <c r="AP41" s="1065">
        <v>2200000000</v>
      </c>
      <c r="AQ41" s="1065">
        <v>2200000000</v>
      </c>
    </row>
    <row r="42" spans="1:43">
      <c r="A42" s="1064" t="s">
        <v>886</v>
      </c>
      <c r="B42" s="1065">
        <v>7296225285</v>
      </c>
      <c r="C42" s="1065">
        <v>7296225285</v>
      </c>
      <c r="D42" s="1065">
        <v>7117557176</v>
      </c>
      <c r="E42" s="1065">
        <v>4399788782</v>
      </c>
      <c r="F42" s="1065">
        <v>4399788782</v>
      </c>
      <c r="G42" s="1065">
        <v>4399788782</v>
      </c>
      <c r="H42" s="1065">
        <v>3660893091</v>
      </c>
      <c r="I42" s="1065">
        <v>3660893091</v>
      </c>
      <c r="J42" s="1065">
        <v>3660893091</v>
      </c>
      <c r="K42" s="1065">
        <v>3660893091</v>
      </c>
      <c r="L42" s="1065">
        <v>3660893091</v>
      </c>
      <c r="M42" s="1065">
        <v>3660893091</v>
      </c>
      <c r="N42" s="1065">
        <v>3649060371</v>
      </c>
      <c r="O42" s="1065">
        <v>3649060371</v>
      </c>
      <c r="P42" s="1065">
        <v>3637206801</v>
      </c>
      <c r="Q42" s="1065">
        <v>3637206801</v>
      </c>
      <c r="R42" s="1065">
        <v>3636043683</v>
      </c>
      <c r="S42" s="1065">
        <v>3636043683</v>
      </c>
      <c r="T42" s="1065">
        <v>3636043683</v>
      </c>
      <c r="U42" s="1065">
        <v>3636043683</v>
      </c>
      <c r="V42" s="1065">
        <v>3636043683</v>
      </c>
      <c r="W42" s="1065">
        <v>3636043683</v>
      </c>
      <c r="X42" s="1065">
        <v>3636043683</v>
      </c>
      <c r="Y42" s="1065">
        <v>3636043683</v>
      </c>
      <c r="Z42" s="1065">
        <v>3636043683</v>
      </c>
      <c r="AA42" s="1065">
        <v>3636043683</v>
      </c>
      <c r="AB42" s="1065">
        <v>3636043683</v>
      </c>
      <c r="AC42" s="1065">
        <v>928239285</v>
      </c>
      <c r="AD42" s="1065">
        <v>6951732972</v>
      </c>
      <c r="AE42" s="1065">
        <v>5977239791</v>
      </c>
      <c r="AF42" s="1065">
        <v>6035095384</v>
      </c>
      <c r="AG42" s="1065">
        <v>6035095384</v>
      </c>
      <c r="AH42" s="1065">
        <v>6035095384</v>
      </c>
      <c r="AI42" s="1065">
        <v>6035095384</v>
      </c>
      <c r="AJ42" s="1065">
        <v>6035095384</v>
      </c>
      <c r="AK42" s="1065">
        <v>6035095384</v>
      </c>
      <c r="AL42" s="1065">
        <v>6050801882</v>
      </c>
      <c r="AM42" s="1065">
        <v>6050801882</v>
      </c>
      <c r="AN42" s="1065">
        <v>6050801882</v>
      </c>
      <c r="AO42" s="1065">
        <v>6050801882</v>
      </c>
      <c r="AP42" s="1065">
        <v>6050801882</v>
      </c>
      <c r="AQ42" s="1065">
        <v>6050801882</v>
      </c>
    </row>
    <row r="43" spans="1:43">
      <c r="A43" s="1064" t="s">
        <v>887</v>
      </c>
      <c r="B43" s="1065">
        <v>0</v>
      </c>
      <c r="C43" s="1065">
        <v>0</v>
      </c>
      <c r="D43" s="1065">
        <v>0</v>
      </c>
      <c r="E43" s="1065">
        <v>0</v>
      </c>
      <c r="F43" s="1065">
        <v>0</v>
      </c>
      <c r="G43" s="1065">
        <v>0</v>
      </c>
      <c r="H43" s="1065">
        <v>0</v>
      </c>
      <c r="I43" s="1065">
        <v>0</v>
      </c>
      <c r="J43" s="1065">
        <v>0</v>
      </c>
      <c r="K43" s="1065">
        <v>0</v>
      </c>
      <c r="L43" s="1065">
        <v>0</v>
      </c>
      <c r="M43" s="1065">
        <v>0</v>
      </c>
      <c r="N43" s="1065">
        <v>0</v>
      </c>
      <c r="O43" s="1065">
        <v>0</v>
      </c>
      <c r="P43" s="1065">
        <v>0</v>
      </c>
      <c r="Q43" s="1065">
        <v>0</v>
      </c>
      <c r="R43" s="1065">
        <v>0</v>
      </c>
      <c r="S43" s="1065">
        <v>0</v>
      </c>
      <c r="T43" s="1065">
        <v>0</v>
      </c>
      <c r="U43" s="1065">
        <v>0</v>
      </c>
      <c r="V43" s="1065">
        <v>0</v>
      </c>
      <c r="W43" s="1065">
        <v>0</v>
      </c>
      <c r="X43" s="1065">
        <v>0</v>
      </c>
      <c r="Y43" s="1065">
        <v>0</v>
      </c>
      <c r="Z43" s="1065">
        <v>0</v>
      </c>
      <c r="AA43" s="1065">
        <v>0</v>
      </c>
      <c r="AB43" s="1065">
        <v>0</v>
      </c>
      <c r="AC43" s="1065">
        <v>0</v>
      </c>
      <c r="AD43" s="1065">
        <v>0</v>
      </c>
      <c r="AE43" s="1065">
        <v>0</v>
      </c>
      <c r="AF43" s="1065">
        <v>0</v>
      </c>
      <c r="AG43" s="1065">
        <v>0</v>
      </c>
      <c r="AH43" s="1065">
        <v>0</v>
      </c>
      <c r="AI43" s="1065">
        <v>0</v>
      </c>
      <c r="AJ43" s="1065">
        <v>0</v>
      </c>
      <c r="AK43" s="1065">
        <v>0</v>
      </c>
      <c r="AL43" s="1065">
        <v>0</v>
      </c>
      <c r="AM43" s="1065">
        <v>0</v>
      </c>
      <c r="AN43" s="1065">
        <v>0</v>
      </c>
      <c r="AO43" s="1065">
        <v>0</v>
      </c>
      <c r="AP43" s="1065">
        <v>0</v>
      </c>
      <c r="AQ43" s="1065">
        <v>0</v>
      </c>
    </row>
    <row r="44" spans="1:43">
      <c r="A44" s="1064" t="s">
        <v>888</v>
      </c>
      <c r="B44" s="1065">
        <v>0</v>
      </c>
      <c r="C44" s="1065">
        <v>0</v>
      </c>
      <c r="D44" s="1065">
        <v>0</v>
      </c>
      <c r="E44" s="1065">
        <v>0</v>
      </c>
      <c r="F44" s="1065">
        <v>0</v>
      </c>
      <c r="G44" s="1065">
        <v>0</v>
      </c>
      <c r="H44" s="1065">
        <v>0</v>
      </c>
      <c r="I44" s="1065">
        <v>0</v>
      </c>
      <c r="J44" s="1065">
        <v>0</v>
      </c>
      <c r="K44" s="1065">
        <v>0</v>
      </c>
      <c r="L44" s="1065">
        <v>0</v>
      </c>
      <c r="M44" s="1065">
        <v>0</v>
      </c>
      <c r="N44" s="1065">
        <v>0</v>
      </c>
      <c r="O44" s="1065">
        <v>0</v>
      </c>
      <c r="P44" s="1065">
        <v>0</v>
      </c>
      <c r="Q44" s="1065">
        <v>0</v>
      </c>
      <c r="R44" s="1065">
        <v>0</v>
      </c>
      <c r="S44" s="1065">
        <v>0</v>
      </c>
      <c r="T44" s="1065">
        <v>0</v>
      </c>
      <c r="U44" s="1065">
        <v>0</v>
      </c>
      <c r="V44" s="1065">
        <v>0</v>
      </c>
      <c r="W44" s="1065">
        <v>0</v>
      </c>
      <c r="X44" s="1065">
        <v>0</v>
      </c>
      <c r="Y44" s="1065">
        <v>0</v>
      </c>
      <c r="Z44" s="1065">
        <v>0</v>
      </c>
      <c r="AA44" s="1065">
        <v>0</v>
      </c>
      <c r="AB44" s="1065">
        <v>0</v>
      </c>
      <c r="AC44" s="1065">
        <v>0</v>
      </c>
      <c r="AD44" s="1065">
        <v>0</v>
      </c>
      <c r="AE44" s="1065">
        <v>0</v>
      </c>
      <c r="AF44" s="1065">
        <v>0</v>
      </c>
      <c r="AG44" s="1065">
        <v>0</v>
      </c>
      <c r="AH44" s="1065">
        <v>0</v>
      </c>
      <c r="AI44" s="1065">
        <v>0</v>
      </c>
      <c r="AJ44" s="1065">
        <v>0</v>
      </c>
      <c r="AK44" s="1065">
        <v>0</v>
      </c>
      <c r="AL44" s="1065">
        <v>0</v>
      </c>
      <c r="AM44" s="1065">
        <v>0</v>
      </c>
      <c r="AN44" s="1065">
        <v>0</v>
      </c>
      <c r="AO44" s="1065">
        <v>0</v>
      </c>
      <c r="AP44" s="1065">
        <v>0</v>
      </c>
      <c r="AQ44" s="1065">
        <v>0</v>
      </c>
    </row>
    <row r="45" spans="1:43">
      <c r="A45" s="1064" t="s">
        <v>889</v>
      </c>
      <c r="B45" s="1065">
        <v>92647997498</v>
      </c>
      <c r="C45" s="1065">
        <v>130287429416</v>
      </c>
      <c r="D45" s="1065">
        <v>114928182263</v>
      </c>
      <c r="E45" s="1065">
        <v>119562636263</v>
      </c>
      <c r="F45" s="1065">
        <v>158856664871</v>
      </c>
      <c r="G45" s="1065">
        <v>104259799483</v>
      </c>
      <c r="H45" s="1065">
        <v>150785217758</v>
      </c>
      <c r="I45" s="1065">
        <v>119227174263</v>
      </c>
      <c r="J45" s="1065">
        <v>95018420119</v>
      </c>
      <c r="K45" s="1065">
        <v>63863420119</v>
      </c>
      <c r="L45" s="1065">
        <v>12563420119</v>
      </c>
      <c r="M45" s="1065">
        <v>12563420119</v>
      </c>
      <c r="N45" s="1065">
        <v>11388420119</v>
      </c>
      <c r="O45" s="1065">
        <v>11388420119</v>
      </c>
      <c r="P45" s="1065">
        <v>11388420119</v>
      </c>
      <c r="Q45" s="1065">
        <v>6528420119</v>
      </c>
      <c r="R45" s="1065">
        <v>0</v>
      </c>
      <c r="S45" s="1065">
        <v>0</v>
      </c>
      <c r="T45" s="1065">
        <v>5245000000</v>
      </c>
      <c r="U45" s="1065">
        <v>60000000000</v>
      </c>
      <c r="V45" s="1065">
        <v>5430000000</v>
      </c>
      <c r="W45" s="1065">
        <v>8030000000</v>
      </c>
      <c r="X45" s="1065">
        <v>1300000000</v>
      </c>
      <c r="Y45" s="1065">
        <v>0</v>
      </c>
      <c r="Z45" s="1065">
        <v>0</v>
      </c>
      <c r="AA45" s="1065">
        <v>0</v>
      </c>
      <c r="AB45" s="1065">
        <v>0</v>
      </c>
      <c r="AC45" s="1065">
        <v>71900000000</v>
      </c>
      <c r="AD45" s="1065">
        <v>72050000000</v>
      </c>
      <c r="AE45" s="1065">
        <v>19650000000</v>
      </c>
      <c r="AF45" s="1065">
        <v>0</v>
      </c>
      <c r="AG45" s="1065">
        <v>19600000000</v>
      </c>
      <c r="AH45" s="1065">
        <v>53600000000</v>
      </c>
      <c r="AI45" s="1065">
        <v>154173236957</v>
      </c>
      <c r="AJ45" s="1065">
        <v>53600000000</v>
      </c>
      <c r="AK45" s="1065">
        <v>19600000000</v>
      </c>
      <c r="AL45" s="1065">
        <v>19600000000</v>
      </c>
      <c r="AM45" s="1065">
        <v>19600000000</v>
      </c>
      <c r="AN45" s="1065">
        <v>28900000000</v>
      </c>
      <c r="AO45" s="1065">
        <v>28900000000</v>
      </c>
      <c r="AP45" s="1065">
        <v>28900000000</v>
      </c>
      <c r="AQ45" s="1065">
        <v>28256326050</v>
      </c>
    </row>
    <row r="46" spans="1:43">
      <c r="A46" s="1064" t="s">
        <v>890</v>
      </c>
      <c r="B46" s="1065">
        <v>0</v>
      </c>
      <c r="C46" s="1065">
        <v>0</v>
      </c>
      <c r="D46" s="1065">
        <v>0</v>
      </c>
      <c r="E46" s="1065">
        <v>0</v>
      </c>
      <c r="F46" s="1065">
        <v>0</v>
      </c>
      <c r="G46" s="1065">
        <v>0</v>
      </c>
      <c r="H46" s="1065">
        <v>0</v>
      </c>
      <c r="I46" s="1065">
        <v>0</v>
      </c>
      <c r="J46" s="1065">
        <v>0</v>
      </c>
      <c r="K46" s="1065">
        <v>0</v>
      </c>
      <c r="L46" s="1065">
        <v>0</v>
      </c>
      <c r="M46" s="1065">
        <v>0</v>
      </c>
      <c r="N46" s="1065">
        <v>0</v>
      </c>
      <c r="O46" s="1065">
        <v>0</v>
      </c>
      <c r="P46" s="1065">
        <v>0</v>
      </c>
      <c r="Q46" s="1065">
        <v>0</v>
      </c>
      <c r="R46" s="1065">
        <v>0</v>
      </c>
      <c r="S46" s="1065">
        <v>0</v>
      </c>
      <c r="T46" s="1065">
        <v>0</v>
      </c>
      <c r="U46" s="1065">
        <v>0</v>
      </c>
      <c r="V46" s="1065">
        <v>0</v>
      </c>
      <c r="W46" s="1065">
        <v>0</v>
      </c>
      <c r="X46" s="1065">
        <v>0</v>
      </c>
      <c r="Y46" s="1065">
        <v>0</v>
      </c>
      <c r="Z46" s="1065">
        <v>0</v>
      </c>
      <c r="AA46" s="1065">
        <v>0</v>
      </c>
      <c r="AB46" s="1065">
        <v>0</v>
      </c>
      <c r="AC46" s="1065">
        <v>0</v>
      </c>
      <c r="AD46" s="1065">
        <v>0</v>
      </c>
      <c r="AE46" s="1065">
        <v>0</v>
      </c>
      <c r="AF46" s="1065">
        <v>0</v>
      </c>
      <c r="AG46" s="1065">
        <v>0</v>
      </c>
      <c r="AH46" s="1065">
        <v>0</v>
      </c>
      <c r="AI46" s="1065">
        <v>0</v>
      </c>
      <c r="AJ46" s="1065">
        <v>0</v>
      </c>
      <c r="AK46" s="1065">
        <v>0</v>
      </c>
      <c r="AL46" s="1065">
        <v>0</v>
      </c>
      <c r="AM46" s="1065">
        <v>0</v>
      </c>
      <c r="AN46" s="1065">
        <v>0</v>
      </c>
      <c r="AO46" s="1065">
        <v>0</v>
      </c>
      <c r="AP46" s="1065">
        <v>0</v>
      </c>
      <c r="AQ46" s="1065">
        <v>0</v>
      </c>
    </row>
    <row r="47" spans="1:43">
      <c r="A47" s="1064" t="s">
        <v>891</v>
      </c>
      <c r="B47" s="1065">
        <v>0</v>
      </c>
      <c r="C47" s="1065">
        <v>0</v>
      </c>
      <c r="D47" s="1065">
        <v>0</v>
      </c>
      <c r="E47" s="1065">
        <v>0</v>
      </c>
      <c r="F47" s="1065">
        <v>0</v>
      </c>
      <c r="G47" s="1065">
        <v>0</v>
      </c>
      <c r="H47" s="1065">
        <v>0</v>
      </c>
      <c r="I47" s="1065">
        <v>0</v>
      </c>
      <c r="J47" s="1065">
        <v>0</v>
      </c>
      <c r="K47" s="1065">
        <v>0</v>
      </c>
      <c r="L47" s="1065">
        <v>0</v>
      </c>
      <c r="M47" s="1065">
        <v>0</v>
      </c>
      <c r="N47" s="1065">
        <v>0</v>
      </c>
      <c r="O47" s="1065">
        <v>0</v>
      </c>
      <c r="P47" s="1065">
        <v>0</v>
      </c>
      <c r="Q47" s="1065">
        <v>0</v>
      </c>
      <c r="R47" s="1065">
        <v>0</v>
      </c>
      <c r="S47" s="1065">
        <v>0</v>
      </c>
      <c r="T47" s="1065">
        <v>0</v>
      </c>
      <c r="U47" s="1065">
        <v>0</v>
      </c>
      <c r="V47" s="1065">
        <v>0</v>
      </c>
      <c r="W47" s="1065">
        <v>0</v>
      </c>
      <c r="X47" s="1065">
        <v>0</v>
      </c>
      <c r="Y47" s="1065">
        <v>0</v>
      </c>
      <c r="Z47" s="1065">
        <v>0</v>
      </c>
      <c r="AA47" s="1065">
        <v>0</v>
      </c>
      <c r="AB47" s="1065">
        <v>0</v>
      </c>
      <c r="AC47" s="1065">
        <v>0</v>
      </c>
      <c r="AD47" s="1065">
        <v>0</v>
      </c>
      <c r="AE47" s="1065">
        <v>0</v>
      </c>
      <c r="AF47" s="1065">
        <v>0</v>
      </c>
      <c r="AG47" s="1065">
        <v>0</v>
      </c>
      <c r="AH47" s="1065">
        <v>0</v>
      </c>
      <c r="AI47" s="1065">
        <v>0</v>
      </c>
      <c r="AJ47" s="1065">
        <v>0</v>
      </c>
      <c r="AK47" s="1065">
        <v>0</v>
      </c>
      <c r="AL47" s="1065">
        <v>0</v>
      </c>
      <c r="AM47" s="1065">
        <v>0</v>
      </c>
      <c r="AN47" s="1065">
        <v>0</v>
      </c>
      <c r="AO47" s="1065">
        <v>0</v>
      </c>
      <c r="AP47" s="1065">
        <v>0</v>
      </c>
      <c r="AQ47" s="1065">
        <v>0</v>
      </c>
    </row>
    <row r="48" spans="1:43">
      <c r="A48" s="1064" t="s">
        <v>892</v>
      </c>
      <c r="B48" s="1065">
        <v>0</v>
      </c>
      <c r="C48" s="1065">
        <v>0</v>
      </c>
      <c r="D48" s="1065">
        <v>0</v>
      </c>
      <c r="E48" s="1065">
        <v>0</v>
      </c>
      <c r="F48" s="1065">
        <v>0</v>
      </c>
      <c r="G48" s="1065">
        <v>0</v>
      </c>
      <c r="H48" s="1065">
        <v>0</v>
      </c>
      <c r="I48" s="1065">
        <v>0</v>
      </c>
      <c r="J48" s="1065">
        <v>0</v>
      </c>
      <c r="K48" s="1065">
        <v>0</v>
      </c>
      <c r="L48" s="1065">
        <v>0</v>
      </c>
      <c r="M48" s="1065">
        <v>0</v>
      </c>
      <c r="N48" s="1065">
        <v>0</v>
      </c>
      <c r="O48" s="1065">
        <v>0</v>
      </c>
      <c r="P48" s="1065">
        <v>0</v>
      </c>
      <c r="Q48" s="1065">
        <v>0</v>
      </c>
      <c r="R48" s="1065">
        <v>0</v>
      </c>
      <c r="S48" s="1065">
        <v>0</v>
      </c>
      <c r="T48" s="1065">
        <v>0</v>
      </c>
      <c r="U48" s="1065">
        <v>0</v>
      </c>
      <c r="V48" s="1065">
        <v>0</v>
      </c>
      <c r="W48" s="1065">
        <v>0</v>
      </c>
      <c r="X48" s="1065">
        <v>0</v>
      </c>
      <c r="Y48" s="1065">
        <v>0</v>
      </c>
      <c r="Z48" s="1065">
        <v>0</v>
      </c>
      <c r="AA48" s="1065">
        <v>0</v>
      </c>
      <c r="AB48" s="1065">
        <v>0</v>
      </c>
      <c r="AC48" s="1065">
        <v>0</v>
      </c>
      <c r="AD48" s="1065">
        <v>0</v>
      </c>
      <c r="AE48" s="1065">
        <v>0</v>
      </c>
      <c r="AF48" s="1065">
        <v>0</v>
      </c>
      <c r="AG48" s="1065">
        <v>0</v>
      </c>
      <c r="AH48" s="1065">
        <v>0</v>
      </c>
      <c r="AI48" s="1065">
        <v>0</v>
      </c>
      <c r="AJ48" s="1065">
        <v>0</v>
      </c>
      <c r="AK48" s="1065">
        <v>0</v>
      </c>
      <c r="AL48" s="1065">
        <v>0</v>
      </c>
      <c r="AM48" s="1065">
        <v>0</v>
      </c>
      <c r="AN48" s="1065">
        <v>0</v>
      </c>
      <c r="AO48" s="1065">
        <v>0</v>
      </c>
      <c r="AP48" s="1065">
        <v>0</v>
      </c>
      <c r="AQ48" s="1065">
        <v>0</v>
      </c>
    </row>
    <row r="49" spans="1:43">
      <c r="A49" s="1064" t="s">
        <v>893</v>
      </c>
      <c r="B49" s="1065">
        <v>-71212647139</v>
      </c>
      <c r="C49" s="1065">
        <v>-73020448207</v>
      </c>
      <c r="D49" s="1065">
        <v>-68473550280</v>
      </c>
      <c r="E49" s="1065">
        <v>-59122269347</v>
      </c>
      <c r="F49" s="1065">
        <v>-50696552657</v>
      </c>
      <c r="G49" s="1065">
        <v>-52176375397</v>
      </c>
      <c r="H49" s="1065">
        <v>-52544145291</v>
      </c>
      <c r="I49" s="1065">
        <v>-50812062616</v>
      </c>
      <c r="J49" s="1065">
        <v>-50753214555</v>
      </c>
      <c r="K49" s="1065">
        <v>-47374717640</v>
      </c>
      <c r="L49" s="1065">
        <v>-48109337794</v>
      </c>
      <c r="M49" s="1065">
        <v>-61223972743</v>
      </c>
      <c r="N49" s="1065">
        <v>-61831392385</v>
      </c>
      <c r="O49" s="1065">
        <v>-53787855486</v>
      </c>
      <c r="P49" s="1065">
        <v>-65953156308</v>
      </c>
      <c r="Q49" s="1065">
        <v>-62431466083</v>
      </c>
      <c r="R49" s="1065">
        <v>-64537015551</v>
      </c>
      <c r="S49" s="1065">
        <v>-67690769554</v>
      </c>
      <c r="T49" s="1065">
        <v>-84236150452</v>
      </c>
      <c r="U49" s="1065">
        <v>-55650745145</v>
      </c>
      <c r="V49" s="1065">
        <v>-53693985217</v>
      </c>
      <c r="W49" s="1065">
        <v>-52393348038</v>
      </c>
      <c r="X49" s="1065">
        <v>-51514273026</v>
      </c>
      <c r="Y49" s="1065">
        <v>-52149511924</v>
      </c>
      <c r="Z49" s="1065">
        <v>-58326898865</v>
      </c>
      <c r="AA49" s="1065">
        <v>-58444125078</v>
      </c>
      <c r="AB49" s="1065">
        <v>-49834660223</v>
      </c>
      <c r="AC49" s="1065">
        <v>-59002274334</v>
      </c>
      <c r="AD49" s="1065">
        <v>-70040196880</v>
      </c>
      <c r="AE49" s="1065">
        <v>-73270916933</v>
      </c>
      <c r="AF49" s="1065">
        <v>-107354885412</v>
      </c>
      <c r="AG49" s="1065">
        <v>-162272720321</v>
      </c>
      <c r="AH49" s="1065">
        <v>-148101727675</v>
      </c>
      <c r="AI49" s="1065">
        <v>-147211054350</v>
      </c>
      <c r="AJ49" s="1065">
        <v>-150700951193</v>
      </c>
      <c r="AK49" s="1065">
        <v>-180110602383</v>
      </c>
      <c r="AL49" s="1065">
        <v>-147326241789</v>
      </c>
      <c r="AM49" s="1065">
        <v>-153077481403</v>
      </c>
      <c r="AN49" s="1065">
        <v>-139294484750</v>
      </c>
      <c r="AO49" s="1065">
        <v>-185638675910</v>
      </c>
      <c r="AP49" s="1065">
        <v>-176356631488</v>
      </c>
      <c r="AQ49" s="1065">
        <v>-191678383336</v>
      </c>
    </row>
    <row r="50" spans="1:43">
      <c r="A50" s="1064" t="s">
        <v>894</v>
      </c>
      <c r="B50" s="1065">
        <v>-10605251056</v>
      </c>
      <c r="C50" s="1065">
        <v>-13990636042</v>
      </c>
      <c r="D50" s="1065">
        <v>-13566738325</v>
      </c>
      <c r="E50" s="1065">
        <v>-14127615554</v>
      </c>
      <c r="F50" s="1065">
        <v>-14176217541</v>
      </c>
      <c r="G50" s="1065">
        <v>-18453769314</v>
      </c>
      <c r="H50" s="1065">
        <v>-18812776443</v>
      </c>
      <c r="I50" s="1065">
        <v>-22945738770</v>
      </c>
      <c r="J50" s="1065">
        <v>-27822328666</v>
      </c>
      <c r="K50" s="1065">
        <v>-40111263598</v>
      </c>
      <c r="L50" s="1065">
        <v>-40467642311</v>
      </c>
      <c r="M50" s="1065">
        <v>-57038168727</v>
      </c>
      <c r="N50" s="1065">
        <v>-54332008753</v>
      </c>
      <c r="O50" s="1065">
        <v>-53152150178</v>
      </c>
      <c r="P50" s="1065">
        <v>-50682135415</v>
      </c>
      <c r="Q50" s="1065">
        <v>-51375343001</v>
      </c>
      <c r="R50" s="1065">
        <v>-47992344748</v>
      </c>
      <c r="S50" s="1065">
        <v>-34472261753</v>
      </c>
      <c r="T50" s="1065">
        <v>-28055859192</v>
      </c>
      <c r="U50" s="1065">
        <v>-26200942118</v>
      </c>
      <c r="V50" s="1065">
        <v>-22523663501</v>
      </c>
      <c r="W50" s="1065">
        <v>-17215319030</v>
      </c>
      <c r="X50" s="1065">
        <v>-13758993627</v>
      </c>
      <c r="Y50" s="1065">
        <v>-14779907730</v>
      </c>
      <c r="Z50" s="1065">
        <v>-12620512127</v>
      </c>
      <c r="AA50" s="1065">
        <v>-12536157826</v>
      </c>
      <c r="AB50" s="1065">
        <v>-10939889888</v>
      </c>
      <c r="AC50" s="1065">
        <v>-13381058885</v>
      </c>
      <c r="AD50" s="1065">
        <v>-23706688008</v>
      </c>
      <c r="AE50" s="1065">
        <v>-17868442714</v>
      </c>
      <c r="AF50" s="1065">
        <v>-16523926413</v>
      </c>
      <c r="AG50" s="1065">
        <v>-15027093720</v>
      </c>
      <c r="AH50" s="1065">
        <v>-12314281586</v>
      </c>
      <c r="AI50" s="1065">
        <v>-29219723656</v>
      </c>
      <c r="AJ50" s="1065">
        <v>-35849324564</v>
      </c>
      <c r="AK50" s="1065">
        <v>-34666498951</v>
      </c>
      <c r="AL50" s="1065">
        <v>-21787274332</v>
      </c>
      <c r="AM50" s="1065">
        <v>-16481866974</v>
      </c>
      <c r="AN50" s="1065">
        <v>-14020080239</v>
      </c>
      <c r="AO50" s="1065">
        <v>-16858329364</v>
      </c>
      <c r="AP50" s="1065">
        <v>-16911627468</v>
      </c>
      <c r="AQ50" s="1065">
        <v>-16001772912</v>
      </c>
    </row>
    <row r="51" spans="1:43">
      <c r="A51" s="1062" t="s">
        <v>895</v>
      </c>
      <c r="B51" s="1063">
        <v>75390387932</v>
      </c>
      <c r="C51" s="1063">
        <v>62871001039</v>
      </c>
      <c r="D51" s="1063">
        <v>23808322896</v>
      </c>
      <c r="E51" s="1063">
        <v>28009547901</v>
      </c>
      <c r="F51" s="1063">
        <v>8459145407</v>
      </c>
      <c r="G51" s="1063">
        <v>5365812650</v>
      </c>
      <c r="H51" s="1063">
        <v>4993651184</v>
      </c>
      <c r="I51" s="1063">
        <v>4994458082</v>
      </c>
      <c r="J51" s="1063">
        <v>4993742980</v>
      </c>
      <c r="K51" s="1063">
        <v>4993610865</v>
      </c>
      <c r="L51" s="1063">
        <v>4995424010</v>
      </c>
      <c r="M51" s="1063">
        <v>4995323669</v>
      </c>
      <c r="N51" s="1063">
        <v>4995368276</v>
      </c>
      <c r="O51" s="1063">
        <v>3996280531</v>
      </c>
      <c r="P51" s="1063">
        <v>3996117510</v>
      </c>
      <c r="Q51" s="1063">
        <v>1998003654</v>
      </c>
      <c r="R51" s="1063">
        <v>1997899701</v>
      </c>
      <c r="S51" s="1063">
        <v>0</v>
      </c>
      <c r="T51" s="1063">
        <v>0</v>
      </c>
      <c r="U51" s="1063">
        <v>0</v>
      </c>
      <c r="V51" s="1063">
        <v>0</v>
      </c>
      <c r="W51" s="1063">
        <v>0</v>
      </c>
      <c r="X51" s="1063">
        <v>0</v>
      </c>
      <c r="Y51" s="1063">
        <v>0</v>
      </c>
      <c r="Z51" s="1063">
        <v>0</v>
      </c>
      <c r="AA51" s="1063">
        <v>0</v>
      </c>
      <c r="AB51" s="1063">
        <v>0</v>
      </c>
      <c r="AC51" s="1063">
        <v>0</v>
      </c>
      <c r="AD51" s="1063">
        <v>0</v>
      </c>
      <c r="AE51" s="1063">
        <v>0</v>
      </c>
      <c r="AF51" s="1063">
        <v>0</v>
      </c>
      <c r="AG51" s="1063">
        <v>0</v>
      </c>
      <c r="AH51" s="1063">
        <v>0</v>
      </c>
      <c r="AI51" s="1063">
        <v>0</v>
      </c>
      <c r="AJ51" s="1063">
        <v>0</v>
      </c>
      <c r="AK51" s="1063">
        <v>0</v>
      </c>
      <c r="AL51" s="1063">
        <v>0</v>
      </c>
      <c r="AM51" s="1063">
        <v>0</v>
      </c>
      <c r="AN51" s="1063">
        <v>0</v>
      </c>
      <c r="AO51" s="1063">
        <v>0</v>
      </c>
      <c r="AP51" s="1063">
        <v>0</v>
      </c>
      <c r="AQ51" s="1063">
        <v>0</v>
      </c>
    </row>
    <row r="52" spans="1:43">
      <c r="A52" s="1064" t="s">
        <v>896</v>
      </c>
      <c r="B52" s="1065">
        <v>0</v>
      </c>
      <c r="C52" s="1065">
        <v>0</v>
      </c>
      <c r="D52" s="1065">
        <v>0</v>
      </c>
      <c r="E52" s="1065">
        <v>0</v>
      </c>
      <c r="F52" s="1065">
        <v>0</v>
      </c>
      <c r="G52" s="1065">
        <v>2000173849</v>
      </c>
      <c r="H52" s="1065">
        <v>0</v>
      </c>
      <c r="I52" s="1065">
        <v>0</v>
      </c>
      <c r="J52" s="1065">
        <v>0</v>
      </c>
      <c r="K52" s="1065">
        <v>0</v>
      </c>
      <c r="L52" s="1065">
        <v>0</v>
      </c>
      <c r="M52" s="1065">
        <v>0</v>
      </c>
      <c r="N52" s="1065">
        <v>0</v>
      </c>
      <c r="O52" s="1065">
        <v>0</v>
      </c>
      <c r="P52" s="1065">
        <v>0</v>
      </c>
      <c r="Q52" s="1065">
        <v>0</v>
      </c>
      <c r="R52" s="1065">
        <v>0</v>
      </c>
      <c r="S52" s="1065">
        <v>0</v>
      </c>
      <c r="T52" s="1065">
        <v>0</v>
      </c>
      <c r="U52" s="1065">
        <v>0</v>
      </c>
      <c r="V52" s="1065">
        <v>0</v>
      </c>
      <c r="W52" s="1065">
        <v>0</v>
      </c>
      <c r="X52" s="1065">
        <v>0</v>
      </c>
      <c r="Y52" s="1065">
        <v>0</v>
      </c>
      <c r="Z52" s="1065">
        <v>0</v>
      </c>
      <c r="AA52" s="1065">
        <v>0</v>
      </c>
      <c r="AB52" s="1065">
        <v>0</v>
      </c>
      <c r="AC52" s="1065">
        <v>0</v>
      </c>
      <c r="AD52" s="1065">
        <v>0</v>
      </c>
      <c r="AE52" s="1065">
        <v>0</v>
      </c>
      <c r="AF52" s="1065">
        <v>0</v>
      </c>
      <c r="AG52" s="1065">
        <v>0</v>
      </c>
      <c r="AH52" s="1065">
        <v>0</v>
      </c>
      <c r="AI52" s="1065">
        <v>0</v>
      </c>
      <c r="AJ52" s="1065">
        <v>0</v>
      </c>
      <c r="AK52" s="1065">
        <v>0</v>
      </c>
      <c r="AL52" s="1065">
        <v>0</v>
      </c>
      <c r="AM52" s="1065">
        <v>0</v>
      </c>
      <c r="AN52" s="1065">
        <v>0</v>
      </c>
      <c r="AO52" s="1065">
        <v>0</v>
      </c>
      <c r="AP52" s="1065">
        <v>0</v>
      </c>
      <c r="AQ52" s="1065">
        <v>0</v>
      </c>
    </row>
    <row r="53" spans="1:43">
      <c r="A53" s="1064" t="s">
        <v>897</v>
      </c>
      <c r="B53" s="1065">
        <v>0</v>
      </c>
      <c r="C53" s="1065">
        <v>0</v>
      </c>
      <c r="D53" s="1065">
        <v>0</v>
      </c>
      <c r="E53" s="1065">
        <v>0</v>
      </c>
      <c r="F53" s="1065">
        <v>0</v>
      </c>
      <c r="G53" s="1065">
        <v>0</v>
      </c>
      <c r="H53" s="1065">
        <v>0</v>
      </c>
      <c r="I53" s="1065">
        <v>0</v>
      </c>
      <c r="J53" s="1065">
        <v>0</v>
      </c>
      <c r="K53" s="1065">
        <v>0</v>
      </c>
      <c r="L53" s="1065">
        <v>0</v>
      </c>
      <c r="M53" s="1065">
        <v>0</v>
      </c>
      <c r="N53" s="1065">
        <v>0</v>
      </c>
      <c r="O53" s="1065">
        <v>0</v>
      </c>
      <c r="P53" s="1065">
        <v>0</v>
      </c>
      <c r="Q53" s="1065">
        <v>0</v>
      </c>
      <c r="R53" s="1065">
        <v>0</v>
      </c>
      <c r="S53" s="1065">
        <v>0</v>
      </c>
      <c r="T53" s="1065">
        <v>0</v>
      </c>
      <c r="U53" s="1065">
        <v>0</v>
      </c>
      <c r="V53" s="1065">
        <v>0</v>
      </c>
      <c r="W53" s="1065">
        <v>0</v>
      </c>
      <c r="X53" s="1065">
        <v>0</v>
      </c>
      <c r="Y53" s="1065">
        <v>0</v>
      </c>
      <c r="Z53" s="1065">
        <v>0</v>
      </c>
      <c r="AA53" s="1065">
        <v>0</v>
      </c>
      <c r="AB53" s="1065">
        <v>0</v>
      </c>
      <c r="AC53" s="1065">
        <v>0</v>
      </c>
      <c r="AD53" s="1065">
        <v>0</v>
      </c>
      <c r="AE53" s="1065">
        <v>0</v>
      </c>
      <c r="AF53" s="1065">
        <v>0</v>
      </c>
      <c r="AG53" s="1065">
        <v>0</v>
      </c>
      <c r="AH53" s="1065">
        <v>0</v>
      </c>
      <c r="AI53" s="1065">
        <v>0</v>
      </c>
      <c r="AJ53" s="1065">
        <v>0</v>
      </c>
      <c r="AK53" s="1065">
        <v>0</v>
      </c>
      <c r="AL53" s="1065">
        <v>0</v>
      </c>
      <c r="AM53" s="1065">
        <v>0</v>
      </c>
      <c r="AN53" s="1065">
        <v>0</v>
      </c>
      <c r="AO53" s="1065">
        <v>0</v>
      </c>
      <c r="AP53" s="1065">
        <v>0</v>
      </c>
      <c r="AQ53" s="1065">
        <v>0</v>
      </c>
    </row>
    <row r="54" spans="1:43">
      <c r="A54" s="1064" t="s">
        <v>898</v>
      </c>
      <c r="B54" s="1065">
        <v>75700000000</v>
      </c>
      <c r="C54" s="1065">
        <v>63100000000</v>
      </c>
      <c r="D54" s="1065">
        <v>23900000000</v>
      </c>
      <c r="E54" s="1065">
        <v>28100000000</v>
      </c>
      <c r="F54" s="1065">
        <v>8500000000</v>
      </c>
      <c r="G54" s="1065">
        <v>3400000000</v>
      </c>
      <c r="H54" s="1065">
        <v>5000000000</v>
      </c>
      <c r="I54" s="1065">
        <v>5000000000</v>
      </c>
      <c r="J54" s="1065">
        <v>4993742980</v>
      </c>
      <c r="K54" s="1065">
        <v>4993610865</v>
      </c>
      <c r="L54" s="1065">
        <v>4995424010</v>
      </c>
      <c r="M54" s="1065">
        <v>4995323669</v>
      </c>
      <c r="N54" s="1065">
        <v>4995368276</v>
      </c>
      <c r="O54" s="1065">
        <v>3996280531</v>
      </c>
      <c r="P54" s="1065">
        <v>3996117510</v>
      </c>
      <c r="Q54" s="1065">
        <v>1998003654</v>
      </c>
      <c r="R54" s="1065">
        <v>1997899701</v>
      </c>
      <c r="S54" s="1065">
        <v>0</v>
      </c>
      <c r="T54" s="1065">
        <v>0</v>
      </c>
      <c r="U54" s="1065">
        <v>0</v>
      </c>
      <c r="V54" s="1065">
        <v>0</v>
      </c>
      <c r="W54" s="1065">
        <v>0</v>
      </c>
      <c r="X54" s="1065">
        <v>0</v>
      </c>
      <c r="Y54" s="1065">
        <v>0</v>
      </c>
      <c r="Z54" s="1065">
        <v>0</v>
      </c>
      <c r="AA54" s="1065">
        <v>0</v>
      </c>
      <c r="AB54" s="1065">
        <v>0</v>
      </c>
      <c r="AC54" s="1065">
        <v>0</v>
      </c>
      <c r="AD54" s="1065">
        <v>0</v>
      </c>
      <c r="AE54" s="1065">
        <v>0</v>
      </c>
      <c r="AF54" s="1065">
        <v>0</v>
      </c>
      <c r="AG54" s="1065">
        <v>0</v>
      </c>
      <c r="AH54" s="1065">
        <v>0</v>
      </c>
      <c r="AI54" s="1065">
        <v>0</v>
      </c>
      <c r="AJ54" s="1065">
        <v>0</v>
      </c>
      <c r="AK54" s="1065">
        <v>0</v>
      </c>
      <c r="AL54" s="1065">
        <v>0</v>
      </c>
      <c r="AM54" s="1065">
        <v>0</v>
      </c>
      <c r="AN54" s="1065">
        <v>0</v>
      </c>
      <c r="AO54" s="1065">
        <v>0</v>
      </c>
      <c r="AP54" s="1065">
        <v>0</v>
      </c>
      <c r="AQ54" s="1065">
        <v>0</v>
      </c>
    </row>
    <row r="55" spans="1:43">
      <c r="A55" s="1064" t="s">
        <v>899</v>
      </c>
      <c r="B55" s="1065">
        <v>0</v>
      </c>
      <c r="C55" s="1065">
        <v>0</v>
      </c>
      <c r="D55" s="1065">
        <v>0</v>
      </c>
      <c r="E55" s="1065">
        <v>0</v>
      </c>
      <c r="F55" s="1065">
        <v>0</v>
      </c>
      <c r="G55" s="1065">
        <v>0</v>
      </c>
      <c r="H55" s="1065">
        <v>0</v>
      </c>
      <c r="I55" s="1065">
        <v>0</v>
      </c>
      <c r="J55" s="1065">
        <v>0</v>
      </c>
      <c r="K55" s="1065">
        <v>0</v>
      </c>
      <c r="L55" s="1065">
        <v>0</v>
      </c>
      <c r="M55" s="1065">
        <v>0</v>
      </c>
      <c r="N55" s="1065">
        <v>0</v>
      </c>
      <c r="O55" s="1065">
        <v>0</v>
      </c>
      <c r="P55" s="1065">
        <v>0</v>
      </c>
      <c r="Q55" s="1065">
        <v>0</v>
      </c>
      <c r="R55" s="1065">
        <v>0</v>
      </c>
      <c r="S55" s="1065">
        <v>0</v>
      </c>
      <c r="T55" s="1065">
        <v>0</v>
      </c>
      <c r="U55" s="1065">
        <v>0</v>
      </c>
      <c r="V55" s="1065">
        <v>0</v>
      </c>
      <c r="W55" s="1065">
        <v>0</v>
      </c>
      <c r="X55" s="1065">
        <v>0</v>
      </c>
      <c r="Y55" s="1065">
        <v>0</v>
      </c>
      <c r="Z55" s="1065">
        <v>0</v>
      </c>
      <c r="AA55" s="1065">
        <v>0</v>
      </c>
      <c r="AB55" s="1065">
        <v>0</v>
      </c>
      <c r="AC55" s="1065">
        <v>0</v>
      </c>
      <c r="AD55" s="1065">
        <v>0</v>
      </c>
      <c r="AE55" s="1065">
        <v>0</v>
      </c>
      <c r="AF55" s="1065">
        <v>0</v>
      </c>
      <c r="AG55" s="1065">
        <v>0</v>
      </c>
      <c r="AH55" s="1065">
        <v>0</v>
      </c>
      <c r="AI55" s="1065">
        <v>0</v>
      </c>
      <c r="AJ55" s="1065">
        <v>0</v>
      </c>
      <c r="AK55" s="1065">
        <v>0</v>
      </c>
      <c r="AL55" s="1065">
        <v>0</v>
      </c>
      <c r="AM55" s="1065">
        <v>0</v>
      </c>
      <c r="AN55" s="1065">
        <v>0</v>
      </c>
      <c r="AO55" s="1065">
        <v>0</v>
      </c>
      <c r="AP55" s="1065">
        <v>0</v>
      </c>
      <c r="AQ55" s="1065">
        <v>0</v>
      </c>
    </row>
    <row r="56" spans="1:43">
      <c r="A56" s="1064" t="s">
        <v>900</v>
      </c>
      <c r="B56" s="1065">
        <v>-309612068</v>
      </c>
      <c r="C56" s="1065">
        <v>-228998961</v>
      </c>
      <c r="D56" s="1065">
        <v>-91677104</v>
      </c>
      <c r="E56" s="1065">
        <v>-90452099</v>
      </c>
      <c r="F56" s="1065">
        <v>-40854593</v>
      </c>
      <c r="G56" s="1065">
        <v>-34361199</v>
      </c>
      <c r="H56" s="1065">
        <v>-6348816</v>
      </c>
      <c r="I56" s="1065">
        <v>-5541918</v>
      </c>
      <c r="J56" s="1065">
        <v>0</v>
      </c>
      <c r="K56" s="1065">
        <v>0</v>
      </c>
      <c r="L56" s="1065">
        <v>0</v>
      </c>
      <c r="M56" s="1065">
        <v>0</v>
      </c>
      <c r="N56" s="1065">
        <v>0</v>
      </c>
      <c r="O56" s="1065">
        <v>0</v>
      </c>
      <c r="P56" s="1065">
        <v>0</v>
      </c>
      <c r="Q56" s="1065">
        <v>0</v>
      </c>
      <c r="R56" s="1065">
        <v>0</v>
      </c>
      <c r="S56" s="1065">
        <v>0</v>
      </c>
      <c r="T56" s="1065">
        <v>0</v>
      </c>
      <c r="U56" s="1065">
        <v>0</v>
      </c>
      <c r="V56" s="1065">
        <v>0</v>
      </c>
      <c r="W56" s="1065">
        <v>0</v>
      </c>
      <c r="X56" s="1065">
        <v>0</v>
      </c>
      <c r="Y56" s="1065">
        <v>0</v>
      </c>
      <c r="Z56" s="1065">
        <v>0</v>
      </c>
      <c r="AA56" s="1065">
        <v>0</v>
      </c>
      <c r="AB56" s="1065">
        <v>0</v>
      </c>
      <c r="AC56" s="1065">
        <v>0</v>
      </c>
      <c r="AD56" s="1065">
        <v>0</v>
      </c>
      <c r="AE56" s="1065">
        <v>0</v>
      </c>
      <c r="AF56" s="1065">
        <v>0</v>
      </c>
      <c r="AG56" s="1065">
        <v>0</v>
      </c>
      <c r="AH56" s="1065">
        <v>0</v>
      </c>
      <c r="AI56" s="1065">
        <v>0</v>
      </c>
      <c r="AJ56" s="1065">
        <v>0</v>
      </c>
      <c r="AK56" s="1065">
        <v>0</v>
      </c>
      <c r="AL56" s="1065">
        <v>0</v>
      </c>
      <c r="AM56" s="1065">
        <v>0</v>
      </c>
      <c r="AN56" s="1065">
        <v>0</v>
      </c>
      <c r="AO56" s="1065">
        <v>0</v>
      </c>
      <c r="AP56" s="1065">
        <v>0</v>
      </c>
      <c r="AQ56" s="1065">
        <v>0</v>
      </c>
    </row>
    <row r="57" spans="1:43">
      <c r="A57" s="1062" t="s">
        <v>901</v>
      </c>
      <c r="B57" s="1063">
        <v>409419956365</v>
      </c>
      <c r="C57" s="1063">
        <v>355429396918</v>
      </c>
      <c r="D57" s="1063">
        <v>307458445589</v>
      </c>
      <c r="E57" s="1063">
        <v>260006033800</v>
      </c>
      <c r="F57" s="1063">
        <v>217896217942</v>
      </c>
      <c r="G57" s="1063">
        <v>180447738137</v>
      </c>
      <c r="H57" s="1063">
        <v>146750974338</v>
      </c>
      <c r="I57" s="1063">
        <v>118042960106</v>
      </c>
      <c r="J57" s="1063">
        <v>91127853697</v>
      </c>
      <c r="K57" s="1063">
        <v>65806703601</v>
      </c>
      <c r="L57" s="1063">
        <v>48638527367</v>
      </c>
      <c r="M57" s="1063">
        <v>35880607668</v>
      </c>
      <c r="N57" s="1063">
        <v>23975803463</v>
      </c>
      <c r="O57" s="1063">
        <v>14344165059</v>
      </c>
      <c r="P57" s="1063">
        <v>7919355977</v>
      </c>
      <c r="Q57" s="1063">
        <v>2675773174</v>
      </c>
      <c r="R57" s="1063">
        <v>96050762</v>
      </c>
      <c r="S57" s="1063">
        <v>184256</v>
      </c>
      <c r="T57" s="1063">
        <v>0</v>
      </c>
      <c r="U57" s="1063">
        <v>0</v>
      </c>
      <c r="V57" s="1063">
        <v>0</v>
      </c>
      <c r="W57" s="1063">
        <v>0</v>
      </c>
      <c r="X57" s="1063">
        <v>0</v>
      </c>
      <c r="Y57" s="1063">
        <v>0</v>
      </c>
      <c r="Z57" s="1063">
        <v>0</v>
      </c>
      <c r="AA57" s="1063">
        <v>0</v>
      </c>
      <c r="AB57" s="1063">
        <v>0</v>
      </c>
      <c r="AC57" s="1063">
        <v>0</v>
      </c>
      <c r="AD57" s="1063">
        <v>0</v>
      </c>
      <c r="AE57" s="1063">
        <v>0</v>
      </c>
      <c r="AF57" s="1063">
        <v>0</v>
      </c>
      <c r="AG57" s="1063">
        <v>0</v>
      </c>
      <c r="AH57" s="1063">
        <v>0</v>
      </c>
      <c r="AI57" s="1063">
        <v>0</v>
      </c>
      <c r="AJ57" s="1063">
        <v>0</v>
      </c>
      <c r="AK57" s="1063">
        <v>0</v>
      </c>
      <c r="AL57" s="1063">
        <v>0</v>
      </c>
      <c r="AM57" s="1063">
        <v>0</v>
      </c>
      <c r="AN57" s="1063">
        <v>0</v>
      </c>
      <c r="AO57" s="1063">
        <v>0</v>
      </c>
      <c r="AP57" s="1063">
        <v>0</v>
      </c>
      <c r="AQ57" s="1063">
        <v>0</v>
      </c>
    </row>
    <row r="58" spans="1:43">
      <c r="A58" s="1064" t="s">
        <v>902</v>
      </c>
      <c r="B58" s="1065">
        <v>408472353385</v>
      </c>
      <c r="C58" s="1065">
        <v>355429396918</v>
      </c>
      <c r="D58" s="1065">
        <v>307458445589</v>
      </c>
      <c r="E58" s="1065">
        <v>260006033800</v>
      </c>
      <c r="F58" s="1065">
        <v>217896217942</v>
      </c>
      <c r="G58" s="1065">
        <v>180447738137</v>
      </c>
      <c r="H58" s="1065">
        <v>146750974338</v>
      </c>
      <c r="I58" s="1065">
        <v>118042960106</v>
      </c>
      <c r="J58" s="1065">
        <v>91127853697</v>
      </c>
      <c r="K58" s="1065">
        <v>65806703601</v>
      </c>
      <c r="L58" s="1065">
        <v>48638527367</v>
      </c>
      <c r="M58" s="1065">
        <v>35880607668</v>
      </c>
      <c r="N58" s="1065">
        <v>23975803463</v>
      </c>
      <c r="O58" s="1065">
        <v>14344165059</v>
      </c>
      <c r="P58" s="1065">
        <v>7919355977</v>
      </c>
      <c r="Q58" s="1065">
        <v>2675773174</v>
      </c>
      <c r="R58" s="1065">
        <v>96050762</v>
      </c>
      <c r="S58" s="1065">
        <v>184256</v>
      </c>
      <c r="T58" s="1065">
        <v>0</v>
      </c>
      <c r="U58" s="1065">
        <v>0</v>
      </c>
      <c r="V58" s="1065">
        <v>0</v>
      </c>
      <c r="W58" s="1065">
        <v>0</v>
      </c>
      <c r="X58" s="1065">
        <v>0</v>
      </c>
      <c r="Y58" s="1065">
        <v>0</v>
      </c>
      <c r="Z58" s="1065">
        <v>0</v>
      </c>
      <c r="AA58" s="1065">
        <v>0</v>
      </c>
      <c r="AB58" s="1065">
        <v>0</v>
      </c>
      <c r="AC58" s="1065">
        <v>0</v>
      </c>
      <c r="AD58" s="1065">
        <v>0</v>
      </c>
      <c r="AE58" s="1065">
        <v>0</v>
      </c>
      <c r="AF58" s="1065">
        <v>0</v>
      </c>
      <c r="AG58" s="1065">
        <v>0</v>
      </c>
      <c r="AH58" s="1065">
        <v>0</v>
      </c>
      <c r="AI58" s="1065">
        <v>0</v>
      </c>
      <c r="AJ58" s="1065">
        <v>0</v>
      </c>
      <c r="AK58" s="1065">
        <v>0</v>
      </c>
      <c r="AL58" s="1065">
        <v>0</v>
      </c>
      <c r="AM58" s="1065">
        <v>0</v>
      </c>
      <c r="AN58" s="1065">
        <v>0</v>
      </c>
      <c r="AO58" s="1065">
        <v>0</v>
      </c>
      <c r="AP58" s="1065">
        <v>0</v>
      </c>
      <c r="AQ58" s="1065">
        <v>0</v>
      </c>
    </row>
    <row r="59" spans="1:43">
      <c r="A59" s="1064" t="s">
        <v>903</v>
      </c>
      <c r="B59" s="1065">
        <v>0</v>
      </c>
      <c r="C59" s="1065">
        <v>0</v>
      </c>
      <c r="D59" s="1065">
        <v>0</v>
      </c>
      <c r="E59" s="1065">
        <v>0</v>
      </c>
      <c r="F59" s="1065">
        <v>0</v>
      </c>
      <c r="G59" s="1065">
        <v>0</v>
      </c>
      <c r="H59" s="1065">
        <v>0</v>
      </c>
      <c r="I59" s="1065">
        <v>0</v>
      </c>
      <c r="J59" s="1065">
        <v>0</v>
      </c>
      <c r="K59" s="1065">
        <v>0</v>
      </c>
      <c r="L59" s="1065">
        <v>0</v>
      </c>
      <c r="M59" s="1065">
        <v>0</v>
      </c>
      <c r="N59" s="1065">
        <v>0</v>
      </c>
      <c r="O59" s="1065">
        <v>0</v>
      </c>
      <c r="P59" s="1065">
        <v>0</v>
      </c>
      <c r="Q59" s="1065">
        <v>0</v>
      </c>
      <c r="R59" s="1065">
        <v>0</v>
      </c>
      <c r="S59" s="1065">
        <v>0</v>
      </c>
      <c r="T59" s="1065">
        <v>0</v>
      </c>
      <c r="U59" s="1065">
        <v>0</v>
      </c>
      <c r="V59" s="1065">
        <v>0</v>
      </c>
      <c r="W59" s="1065">
        <v>0</v>
      </c>
      <c r="X59" s="1065">
        <v>0</v>
      </c>
      <c r="Y59" s="1065">
        <v>0</v>
      </c>
      <c r="Z59" s="1065">
        <v>0</v>
      </c>
      <c r="AA59" s="1065">
        <v>0</v>
      </c>
      <c r="AB59" s="1065">
        <v>0</v>
      </c>
      <c r="AC59" s="1065">
        <v>0</v>
      </c>
      <c r="AD59" s="1065">
        <v>0</v>
      </c>
      <c r="AE59" s="1065">
        <v>0</v>
      </c>
      <c r="AF59" s="1065">
        <v>0</v>
      </c>
      <c r="AG59" s="1065">
        <v>0</v>
      </c>
      <c r="AH59" s="1065">
        <v>0</v>
      </c>
      <c r="AI59" s="1065">
        <v>0</v>
      </c>
      <c r="AJ59" s="1065">
        <v>0</v>
      </c>
      <c r="AK59" s="1065">
        <v>0</v>
      </c>
      <c r="AL59" s="1065">
        <v>0</v>
      </c>
      <c r="AM59" s="1065">
        <v>0</v>
      </c>
      <c r="AN59" s="1065">
        <v>0</v>
      </c>
      <c r="AO59" s="1065">
        <v>0</v>
      </c>
      <c r="AP59" s="1065">
        <v>0</v>
      </c>
      <c r="AQ59" s="1065">
        <v>0</v>
      </c>
    </row>
    <row r="60" spans="1:43">
      <c r="A60" s="1064" t="s">
        <v>904</v>
      </c>
      <c r="B60" s="1065">
        <v>947602980</v>
      </c>
      <c r="C60" s="1065">
        <v>0</v>
      </c>
      <c r="D60" s="1065">
        <v>0</v>
      </c>
      <c r="E60" s="1065">
        <v>0</v>
      </c>
      <c r="F60" s="1065">
        <v>0</v>
      </c>
      <c r="G60" s="1065">
        <v>0</v>
      </c>
      <c r="H60" s="1065">
        <v>0</v>
      </c>
      <c r="I60" s="1065">
        <v>0</v>
      </c>
      <c r="J60" s="1065">
        <v>0</v>
      </c>
      <c r="K60" s="1065">
        <v>0</v>
      </c>
      <c r="L60" s="1065">
        <v>0</v>
      </c>
      <c r="M60" s="1065">
        <v>0</v>
      </c>
      <c r="N60" s="1065">
        <v>0</v>
      </c>
      <c r="O60" s="1065">
        <v>0</v>
      </c>
      <c r="P60" s="1065">
        <v>0</v>
      </c>
      <c r="Q60" s="1065">
        <v>0</v>
      </c>
      <c r="R60" s="1065">
        <v>0</v>
      </c>
      <c r="S60" s="1065">
        <v>0</v>
      </c>
      <c r="T60" s="1065">
        <v>0</v>
      </c>
      <c r="U60" s="1065">
        <v>0</v>
      </c>
      <c r="V60" s="1065">
        <v>0</v>
      </c>
      <c r="W60" s="1065">
        <v>0</v>
      </c>
      <c r="X60" s="1065">
        <v>0</v>
      </c>
      <c r="Y60" s="1065">
        <v>0</v>
      </c>
      <c r="Z60" s="1065">
        <v>0</v>
      </c>
      <c r="AA60" s="1065">
        <v>0</v>
      </c>
      <c r="AB60" s="1065">
        <v>0</v>
      </c>
      <c r="AC60" s="1065">
        <v>0</v>
      </c>
      <c r="AD60" s="1065">
        <v>0</v>
      </c>
      <c r="AE60" s="1065">
        <v>0</v>
      </c>
      <c r="AF60" s="1065">
        <v>0</v>
      </c>
      <c r="AG60" s="1065">
        <v>0</v>
      </c>
      <c r="AH60" s="1065">
        <v>0</v>
      </c>
      <c r="AI60" s="1065">
        <v>0</v>
      </c>
      <c r="AJ60" s="1065">
        <v>0</v>
      </c>
      <c r="AK60" s="1065">
        <v>0</v>
      </c>
      <c r="AL60" s="1065">
        <v>0</v>
      </c>
      <c r="AM60" s="1065">
        <v>0</v>
      </c>
      <c r="AN60" s="1065">
        <v>0</v>
      </c>
      <c r="AO60" s="1065">
        <v>0</v>
      </c>
      <c r="AP60" s="1065">
        <v>0</v>
      </c>
      <c r="AQ60" s="1065">
        <v>0</v>
      </c>
    </row>
    <row r="61" spans="1:43">
      <c r="A61" s="1064" t="s">
        <v>905</v>
      </c>
      <c r="B61" s="1065">
        <v>0</v>
      </c>
      <c r="C61" s="1065">
        <v>0</v>
      </c>
      <c r="D61" s="1065">
        <v>0</v>
      </c>
      <c r="E61" s="1065">
        <v>0</v>
      </c>
      <c r="F61" s="1065">
        <v>0</v>
      </c>
      <c r="G61" s="1065">
        <v>0</v>
      </c>
      <c r="H61" s="1065">
        <v>0</v>
      </c>
      <c r="I61" s="1065">
        <v>0</v>
      </c>
      <c r="J61" s="1065">
        <v>0</v>
      </c>
      <c r="K61" s="1065">
        <v>0</v>
      </c>
      <c r="L61" s="1065">
        <v>0</v>
      </c>
      <c r="M61" s="1065">
        <v>0</v>
      </c>
      <c r="N61" s="1065">
        <v>0</v>
      </c>
      <c r="O61" s="1065">
        <v>0</v>
      </c>
      <c r="P61" s="1065">
        <v>0</v>
      </c>
      <c r="Q61" s="1065">
        <v>0</v>
      </c>
      <c r="R61" s="1065">
        <v>0</v>
      </c>
      <c r="S61" s="1065">
        <v>0</v>
      </c>
      <c r="T61" s="1065">
        <v>0</v>
      </c>
      <c r="U61" s="1065">
        <v>0</v>
      </c>
      <c r="V61" s="1065">
        <v>0</v>
      </c>
      <c r="W61" s="1065">
        <v>0</v>
      </c>
      <c r="X61" s="1065">
        <v>0</v>
      </c>
      <c r="Y61" s="1065">
        <v>0</v>
      </c>
      <c r="Z61" s="1065">
        <v>0</v>
      </c>
      <c r="AA61" s="1065">
        <v>0</v>
      </c>
      <c r="AB61" s="1065">
        <v>0</v>
      </c>
      <c r="AC61" s="1065">
        <v>0</v>
      </c>
      <c r="AD61" s="1065">
        <v>0</v>
      </c>
      <c r="AE61" s="1065">
        <v>0</v>
      </c>
      <c r="AF61" s="1065">
        <v>0</v>
      </c>
      <c r="AG61" s="1065">
        <v>0</v>
      </c>
      <c r="AH61" s="1065">
        <v>0</v>
      </c>
      <c r="AI61" s="1065">
        <v>0</v>
      </c>
      <c r="AJ61" s="1065">
        <v>0</v>
      </c>
      <c r="AK61" s="1065">
        <v>0</v>
      </c>
      <c r="AL61" s="1065">
        <v>0</v>
      </c>
      <c r="AM61" s="1065">
        <v>0</v>
      </c>
      <c r="AN61" s="1065">
        <v>0</v>
      </c>
      <c r="AO61" s="1065">
        <v>0</v>
      </c>
      <c r="AP61" s="1065">
        <v>0</v>
      </c>
      <c r="AQ61" s="1065">
        <v>0</v>
      </c>
    </row>
    <row r="62" spans="1:43">
      <c r="A62" s="1062" t="s">
        <v>906</v>
      </c>
      <c r="B62" s="1063">
        <v>99656270473</v>
      </c>
      <c r="C62" s="1063">
        <v>100268480324</v>
      </c>
      <c r="D62" s="1063">
        <v>99767383059</v>
      </c>
      <c r="E62" s="1063">
        <v>99645668969</v>
      </c>
      <c r="F62" s="1063">
        <v>96361273600</v>
      </c>
      <c r="G62" s="1063">
        <v>96377118640</v>
      </c>
      <c r="H62" s="1063">
        <v>87915035392</v>
      </c>
      <c r="I62" s="1063">
        <v>94944970923</v>
      </c>
      <c r="J62" s="1063">
        <v>94426550937</v>
      </c>
      <c r="K62" s="1063">
        <v>93801022325</v>
      </c>
      <c r="L62" s="1063">
        <v>92870245563</v>
      </c>
      <c r="M62" s="1063">
        <v>91934400666</v>
      </c>
      <c r="N62" s="1063">
        <v>111331748452</v>
      </c>
      <c r="O62" s="1063">
        <v>40400223956</v>
      </c>
      <c r="P62" s="1063">
        <v>39101218073</v>
      </c>
      <c r="Q62" s="1063">
        <v>39995947189</v>
      </c>
      <c r="R62" s="1063">
        <v>41360075568</v>
      </c>
      <c r="S62" s="1063">
        <v>38884649140</v>
      </c>
      <c r="T62" s="1063">
        <v>36270387611</v>
      </c>
      <c r="U62" s="1063">
        <v>37897040076</v>
      </c>
      <c r="V62" s="1063">
        <v>37216310659</v>
      </c>
      <c r="W62" s="1063">
        <v>32250101642</v>
      </c>
      <c r="X62" s="1063">
        <v>34696657500</v>
      </c>
      <c r="Y62" s="1063">
        <v>33569088616</v>
      </c>
      <c r="Z62" s="1063">
        <v>30676923489</v>
      </c>
      <c r="AA62" s="1063">
        <v>33969648813</v>
      </c>
      <c r="AB62" s="1063">
        <v>31241193888</v>
      </c>
      <c r="AC62" s="1063">
        <v>27986648619</v>
      </c>
      <c r="AD62" s="1063">
        <v>26790291288</v>
      </c>
      <c r="AE62" s="1063">
        <v>24315955371</v>
      </c>
      <c r="AF62" s="1063">
        <v>22379927069</v>
      </c>
      <c r="AG62" s="1063">
        <v>20568584914</v>
      </c>
      <c r="AH62" s="1063">
        <v>20369370152</v>
      </c>
      <c r="AI62" s="1063">
        <v>18227253035</v>
      </c>
      <c r="AJ62" s="1063">
        <v>17418510514</v>
      </c>
      <c r="AK62" s="1063">
        <v>50809549862</v>
      </c>
      <c r="AL62" s="1063">
        <v>53624265085</v>
      </c>
      <c r="AM62" s="1063">
        <v>55348444700</v>
      </c>
      <c r="AN62" s="1063">
        <v>52538903073</v>
      </c>
      <c r="AO62" s="1063">
        <v>59036499257</v>
      </c>
      <c r="AP62" s="1063">
        <v>66993841467</v>
      </c>
      <c r="AQ62" s="1063">
        <v>67328249485</v>
      </c>
    </row>
    <row r="63" spans="1:43">
      <c r="A63" s="1064" t="s">
        <v>907</v>
      </c>
      <c r="B63" s="1065">
        <v>164322170245</v>
      </c>
      <c r="C63" s="1065">
        <v>163841129767</v>
      </c>
      <c r="D63" s="1065">
        <v>164762309497</v>
      </c>
      <c r="E63" s="1065">
        <v>159509964303</v>
      </c>
      <c r="F63" s="1065">
        <v>156618932011</v>
      </c>
      <c r="G63" s="1065">
        <v>139877434370</v>
      </c>
      <c r="H63" s="1065">
        <v>140219984768</v>
      </c>
      <c r="I63" s="1065">
        <v>141208106435</v>
      </c>
      <c r="J63" s="1065">
        <v>142354201857</v>
      </c>
      <c r="K63" s="1065">
        <v>143162689357</v>
      </c>
      <c r="L63" s="1065">
        <v>143604903147</v>
      </c>
      <c r="M63" s="1065">
        <v>143985083917</v>
      </c>
      <c r="N63" s="1065">
        <v>166469575315</v>
      </c>
      <c r="O63" s="1065">
        <v>75815261891</v>
      </c>
      <c r="P63" s="1065">
        <v>76840324194</v>
      </c>
      <c r="Q63" s="1065">
        <v>80570227554</v>
      </c>
      <c r="R63" s="1065">
        <v>82814477387</v>
      </c>
      <c r="S63" s="1065">
        <v>79977559302</v>
      </c>
      <c r="T63" s="1065">
        <v>80362578397</v>
      </c>
      <c r="U63" s="1065">
        <v>84699022757</v>
      </c>
      <c r="V63" s="1065">
        <v>86774358166</v>
      </c>
      <c r="W63" s="1065">
        <v>83892355261</v>
      </c>
      <c r="X63" s="1065">
        <v>88698193928</v>
      </c>
      <c r="Y63" s="1065">
        <v>80469841890</v>
      </c>
      <c r="Z63" s="1065">
        <v>80191600719</v>
      </c>
      <c r="AA63" s="1065">
        <v>85630222718</v>
      </c>
      <c r="AB63" s="1065">
        <v>86412897120</v>
      </c>
      <c r="AC63" s="1065">
        <v>85935820646</v>
      </c>
      <c r="AD63" s="1065">
        <v>84765221379</v>
      </c>
      <c r="AE63" s="1065">
        <v>85466208089</v>
      </c>
      <c r="AF63" s="1065">
        <v>86697074181</v>
      </c>
      <c r="AG63" s="1065">
        <v>85604773927</v>
      </c>
      <c r="AH63" s="1065">
        <v>87902972291</v>
      </c>
      <c r="AI63" s="1065">
        <v>87030685403</v>
      </c>
      <c r="AJ63" s="1065">
        <v>87626910432</v>
      </c>
      <c r="AK63" s="1065">
        <v>102117172828</v>
      </c>
      <c r="AL63" s="1065">
        <v>102130258625</v>
      </c>
      <c r="AM63" s="1065">
        <v>107468098828</v>
      </c>
      <c r="AN63" s="1065">
        <v>108649410304</v>
      </c>
      <c r="AO63" s="1065">
        <v>117572403107</v>
      </c>
      <c r="AP63" s="1065">
        <v>129918406266</v>
      </c>
      <c r="AQ63" s="1065">
        <v>134578044973</v>
      </c>
    </row>
    <row r="64" spans="1:43">
      <c r="A64" s="1064" t="s">
        <v>908</v>
      </c>
      <c r="B64" s="1065">
        <v>-64665899772</v>
      </c>
      <c r="C64" s="1065">
        <v>-63572649443</v>
      </c>
      <c r="D64" s="1065">
        <v>-64994926438</v>
      </c>
      <c r="E64" s="1065">
        <v>-59864295334</v>
      </c>
      <c r="F64" s="1065">
        <v>-60257658411</v>
      </c>
      <c r="G64" s="1065">
        <v>-43500315730</v>
      </c>
      <c r="H64" s="1065">
        <v>-52304949376</v>
      </c>
      <c r="I64" s="1065">
        <v>-46263135512</v>
      </c>
      <c r="J64" s="1065">
        <v>-47927650920</v>
      </c>
      <c r="K64" s="1065">
        <v>-49361667032</v>
      </c>
      <c r="L64" s="1065">
        <v>-50734657584</v>
      </c>
      <c r="M64" s="1065">
        <v>-52050683251</v>
      </c>
      <c r="N64" s="1065">
        <v>-55137826863</v>
      </c>
      <c r="O64" s="1065">
        <v>-35415037935</v>
      </c>
      <c r="P64" s="1065">
        <v>-37739106121</v>
      </c>
      <c r="Q64" s="1065">
        <v>-40574280365</v>
      </c>
      <c r="R64" s="1065">
        <v>-41454401819</v>
      </c>
      <c r="S64" s="1065">
        <v>-41092910162</v>
      </c>
      <c r="T64" s="1065">
        <v>-44092190786</v>
      </c>
      <c r="U64" s="1065">
        <v>-46801982681</v>
      </c>
      <c r="V64" s="1065">
        <v>-49558047507</v>
      </c>
      <c r="W64" s="1065">
        <v>-51642253619</v>
      </c>
      <c r="X64" s="1065">
        <v>-54001536428</v>
      </c>
      <c r="Y64" s="1065">
        <v>-46900753274</v>
      </c>
      <c r="Z64" s="1065">
        <v>-49514677230</v>
      </c>
      <c r="AA64" s="1065">
        <v>-51660573905</v>
      </c>
      <c r="AB64" s="1065">
        <v>-55171703232</v>
      </c>
      <c r="AC64" s="1065">
        <v>-57949172027</v>
      </c>
      <c r="AD64" s="1065">
        <v>-57974930091</v>
      </c>
      <c r="AE64" s="1065">
        <v>-61150252718</v>
      </c>
      <c r="AF64" s="1065">
        <v>-64317147112</v>
      </c>
      <c r="AG64" s="1065">
        <v>-65036189013</v>
      </c>
      <c r="AH64" s="1065">
        <v>-67533602139</v>
      </c>
      <c r="AI64" s="1065">
        <v>-68803432368</v>
      </c>
      <c r="AJ64" s="1065">
        <v>-70208399918</v>
      </c>
      <c r="AK64" s="1065">
        <v>-51307622966</v>
      </c>
      <c r="AL64" s="1065">
        <v>-48505993540</v>
      </c>
      <c r="AM64" s="1065">
        <v>-52119654128</v>
      </c>
      <c r="AN64" s="1065">
        <v>-56110507231</v>
      </c>
      <c r="AO64" s="1065">
        <v>-58535903850</v>
      </c>
      <c r="AP64" s="1065">
        <v>-62924564799</v>
      </c>
      <c r="AQ64" s="1065">
        <v>-67249795488</v>
      </c>
    </row>
    <row r="65" spans="1:43">
      <c r="A65" s="1064" t="s">
        <v>909</v>
      </c>
      <c r="B65" s="1065">
        <v>0</v>
      </c>
      <c r="C65" s="1065">
        <v>0</v>
      </c>
      <c r="D65" s="1065">
        <v>0</v>
      </c>
      <c r="E65" s="1065">
        <v>0</v>
      </c>
      <c r="F65" s="1065">
        <v>0</v>
      </c>
      <c r="G65" s="1065">
        <v>0</v>
      </c>
      <c r="H65" s="1065">
        <v>0</v>
      </c>
      <c r="I65" s="1065">
        <v>0</v>
      </c>
      <c r="J65" s="1065">
        <v>0</v>
      </c>
      <c r="K65" s="1065">
        <v>0</v>
      </c>
      <c r="L65" s="1065">
        <v>0</v>
      </c>
      <c r="M65" s="1065">
        <v>0</v>
      </c>
      <c r="N65" s="1065">
        <v>0</v>
      </c>
      <c r="O65" s="1065">
        <v>0</v>
      </c>
      <c r="P65" s="1065">
        <v>0</v>
      </c>
      <c r="Q65" s="1065">
        <v>0</v>
      </c>
      <c r="R65" s="1065">
        <v>0</v>
      </c>
      <c r="S65" s="1065">
        <v>0</v>
      </c>
      <c r="T65" s="1065">
        <v>0</v>
      </c>
      <c r="U65" s="1065">
        <v>0</v>
      </c>
      <c r="V65" s="1065">
        <v>0</v>
      </c>
      <c r="W65" s="1065">
        <v>0</v>
      </c>
      <c r="X65" s="1065">
        <v>0</v>
      </c>
      <c r="Y65" s="1065">
        <v>0</v>
      </c>
      <c r="Z65" s="1065">
        <v>0</v>
      </c>
      <c r="AA65" s="1065">
        <v>0</v>
      </c>
      <c r="AB65" s="1065">
        <v>0</v>
      </c>
      <c r="AC65" s="1065">
        <v>0</v>
      </c>
      <c r="AD65" s="1065">
        <v>0</v>
      </c>
      <c r="AE65" s="1065">
        <v>0</v>
      </c>
      <c r="AF65" s="1065">
        <v>0</v>
      </c>
      <c r="AG65" s="1065">
        <v>0</v>
      </c>
      <c r="AH65" s="1065">
        <v>0</v>
      </c>
      <c r="AI65" s="1065">
        <v>0</v>
      </c>
      <c r="AJ65" s="1065">
        <v>0</v>
      </c>
      <c r="AK65" s="1065">
        <v>0</v>
      </c>
      <c r="AL65" s="1065">
        <v>0</v>
      </c>
      <c r="AM65" s="1065">
        <v>0</v>
      </c>
      <c r="AN65" s="1065">
        <v>0</v>
      </c>
      <c r="AO65" s="1065">
        <v>0</v>
      </c>
      <c r="AP65" s="1065">
        <v>0</v>
      </c>
      <c r="AQ65" s="1065">
        <v>0</v>
      </c>
    </row>
    <row r="66" spans="1:43">
      <c r="A66" s="1062" t="s">
        <v>910</v>
      </c>
      <c r="B66" s="1063">
        <v>22612674119</v>
      </c>
      <c r="C66" s="1063">
        <v>22513398864</v>
      </c>
      <c r="D66" s="1063">
        <v>22414123611</v>
      </c>
      <c r="E66" s="1063">
        <v>21163350787</v>
      </c>
      <c r="F66" s="1063">
        <v>13408135746</v>
      </c>
      <c r="G66" s="1063">
        <v>13350791704</v>
      </c>
      <c r="H66" s="1063">
        <v>20789166324</v>
      </c>
      <c r="I66" s="1063">
        <v>12620165508</v>
      </c>
      <c r="J66" s="1063">
        <v>12208697674</v>
      </c>
      <c r="K66" s="1063">
        <v>12154498516</v>
      </c>
      <c r="L66" s="1063">
        <v>12100299364</v>
      </c>
      <c r="M66" s="1063">
        <v>12046100209</v>
      </c>
      <c r="N66" s="1063">
        <v>11991901053</v>
      </c>
      <c r="O66" s="1063">
        <v>9604502296</v>
      </c>
      <c r="P66" s="1063">
        <v>9554376933</v>
      </c>
      <c r="Q66" s="1063">
        <v>9504251567</v>
      </c>
      <c r="R66" s="1063">
        <v>9454126201</v>
      </c>
      <c r="S66" s="1063">
        <v>9404000833</v>
      </c>
      <c r="T66" s="1063">
        <v>9353875471</v>
      </c>
      <c r="U66" s="1063">
        <v>6838529795</v>
      </c>
      <c r="V66" s="1063">
        <v>6801714571</v>
      </c>
      <c r="W66" s="1063">
        <v>3206117322</v>
      </c>
      <c r="X66" s="1063">
        <v>1219541178</v>
      </c>
      <c r="Y66" s="1063">
        <v>789685852</v>
      </c>
      <c r="Z66" s="1063">
        <v>783054034</v>
      </c>
      <c r="AA66" s="1063">
        <v>776422216</v>
      </c>
      <c r="AB66" s="1063">
        <v>769790400</v>
      </c>
      <c r="AC66" s="1063">
        <v>771158582</v>
      </c>
      <c r="AD66" s="1063">
        <v>764492126</v>
      </c>
      <c r="AE66" s="1063">
        <v>0</v>
      </c>
      <c r="AF66" s="1063">
        <v>0</v>
      </c>
      <c r="AG66" s="1063">
        <v>0</v>
      </c>
      <c r="AH66" s="1063">
        <v>0</v>
      </c>
      <c r="AI66" s="1063">
        <v>0</v>
      </c>
      <c r="AJ66" s="1063">
        <v>0</v>
      </c>
      <c r="AK66" s="1063">
        <v>0</v>
      </c>
      <c r="AL66" s="1063">
        <v>0</v>
      </c>
      <c r="AM66" s="1063">
        <v>0</v>
      </c>
      <c r="AN66" s="1063">
        <v>0</v>
      </c>
      <c r="AO66" s="1063">
        <v>0</v>
      </c>
      <c r="AP66" s="1063">
        <v>0</v>
      </c>
      <c r="AQ66" s="1063">
        <v>0</v>
      </c>
    </row>
    <row r="67" spans="1:43">
      <c r="A67" s="1064" t="s">
        <v>907</v>
      </c>
      <c r="B67" s="1065">
        <v>29058579793</v>
      </c>
      <c r="C67" s="1065">
        <v>29058579793</v>
      </c>
      <c r="D67" s="1065">
        <v>29058579793</v>
      </c>
      <c r="E67" s="1065">
        <v>27466208052</v>
      </c>
      <c r="F67" s="1065">
        <v>17041306997</v>
      </c>
      <c r="G67" s="1065">
        <v>17041306997</v>
      </c>
      <c r="H67" s="1065">
        <v>17041306997</v>
      </c>
      <c r="I67" s="1065">
        <v>16425368874</v>
      </c>
      <c r="J67" s="1065">
        <v>15922187562</v>
      </c>
      <c r="K67" s="1065">
        <v>15922187562</v>
      </c>
      <c r="L67" s="1065">
        <v>15922187562</v>
      </c>
      <c r="M67" s="1065">
        <v>15922187562</v>
      </c>
      <c r="N67" s="1065">
        <v>15922187562</v>
      </c>
      <c r="O67" s="1065">
        <v>13515659743</v>
      </c>
      <c r="P67" s="1065">
        <v>13515659743</v>
      </c>
      <c r="Q67" s="1065">
        <v>13515659743</v>
      </c>
      <c r="R67" s="1065">
        <v>13515659743</v>
      </c>
      <c r="S67" s="1065">
        <v>13515659743</v>
      </c>
      <c r="T67" s="1065">
        <v>13515659743</v>
      </c>
      <c r="U67" s="1065">
        <v>10026037041</v>
      </c>
      <c r="V67" s="1065">
        <v>10026037041</v>
      </c>
      <c r="W67" s="1065">
        <v>4888429059</v>
      </c>
      <c r="X67" s="1065">
        <v>1965395426</v>
      </c>
      <c r="Y67" s="1065">
        <v>1965395426</v>
      </c>
      <c r="Z67" s="1065">
        <v>1965395426</v>
      </c>
      <c r="AA67" s="1065">
        <v>1965395426</v>
      </c>
      <c r="AB67" s="1065">
        <v>1965395426</v>
      </c>
      <c r="AC67" s="1065">
        <v>1965395426</v>
      </c>
      <c r="AD67" s="1065">
        <v>1965395426</v>
      </c>
      <c r="AE67" s="1065">
        <v>0</v>
      </c>
      <c r="AF67" s="1065">
        <v>0</v>
      </c>
      <c r="AG67" s="1065">
        <v>0</v>
      </c>
      <c r="AH67" s="1065">
        <v>0</v>
      </c>
      <c r="AI67" s="1065">
        <v>0</v>
      </c>
      <c r="AJ67" s="1065">
        <v>0</v>
      </c>
      <c r="AK67" s="1065">
        <v>0</v>
      </c>
      <c r="AL67" s="1065">
        <v>0</v>
      </c>
      <c r="AM67" s="1065">
        <v>0</v>
      </c>
      <c r="AN67" s="1065">
        <v>0</v>
      </c>
      <c r="AO67" s="1065">
        <v>0</v>
      </c>
      <c r="AP67" s="1065">
        <v>0</v>
      </c>
      <c r="AQ67" s="1065">
        <v>0</v>
      </c>
    </row>
    <row r="68" spans="1:43">
      <c r="A68" s="1064" t="s">
        <v>908</v>
      </c>
      <c r="B68" s="1065">
        <v>-6445905674</v>
      </c>
      <c r="C68" s="1065">
        <v>-6545180929</v>
      </c>
      <c r="D68" s="1065">
        <v>-6644456182</v>
      </c>
      <c r="E68" s="1065">
        <v>-6302857265</v>
      </c>
      <c r="F68" s="1065">
        <v>-3633171251</v>
      </c>
      <c r="G68" s="1065">
        <v>-3690515293</v>
      </c>
      <c r="H68" s="1065">
        <v>3747859327</v>
      </c>
      <c r="I68" s="1065">
        <v>-3805203366</v>
      </c>
      <c r="J68" s="1065">
        <v>-3713489888</v>
      </c>
      <c r="K68" s="1065">
        <v>-3767689046</v>
      </c>
      <c r="L68" s="1065">
        <v>-3821888198</v>
      </c>
      <c r="M68" s="1065">
        <v>-3876087353</v>
      </c>
      <c r="N68" s="1065">
        <v>-3930286509</v>
      </c>
      <c r="O68" s="1065">
        <v>-3911157447</v>
      </c>
      <c r="P68" s="1065">
        <v>-3961282810</v>
      </c>
      <c r="Q68" s="1065">
        <v>-4011408176</v>
      </c>
      <c r="R68" s="1065">
        <v>-4061533542</v>
      </c>
      <c r="S68" s="1065">
        <v>-4111658910</v>
      </c>
      <c r="T68" s="1065">
        <v>-4161784272</v>
      </c>
      <c r="U68" s="1065">
        <v>-3187507246</v>
      </c>
      <c r="V68" s="1065">
        <v>-3224322470</v>
      </c>
      <c r="W68" s="1065">
        <v>-1682311737</v>
      </c>
      <c r="X68" s="1065">
        <v>-745854248</v>
      </c>
      <c r="Y68" s="1065">
        <v>-753825470</v>
      </c>
      <c r="Z68" s="1065">
        <v>-760457288</v>
      </c>
      <c r="AA68" s="1065">
        <v>-767089106</v>
      </c>
      <c r="AB68" s="1065">
        <v>-773720922</v>
      </c>
      <c r="AC68" s="1065">
        <v>-780352740</v>
      </c>
      <c r="AD68" s="1065">
        <v>-787019196</v>
      </c>
      <c r="AE68" s="1065">
        <v>0</v>
      </c>
      <c r="AF68" s="1065">
        <v>0</v>
      </c>
      <c r="AG68" s="1065">
        <v>0</v>
      </c>
      <c r="AH68" s="1065">
        <v>0</v>
      </c>
      <c r="AI68" s="1065">
        <v>0</v>
      </c>
      <c r="AJ68" s="1065">
        <v>0</v>
      </c>
      <c r="AK68" s="1065">
        <v>0</v>
      </c>
      <c r="AL68" s="1065">
        <v>0</v>
      </c>
      <c r="AM68" s="1065">
        <v>0</v>
      </c>
      <c r="AN68" s="1065">
        <v>0</v>
      </c>
      <c r="AO68" s="1065">
        <v>0</v>
      </c>
      <c r="AP68" s="1065">
        <v>0</v>
      </c>
      <c r="AQ68" s="1065">
        <v>0</v>
      </c>
    </row>
    <row r="69" spans="1:43">
      <c r="A69" s="1064" t="s">
        <v>909</v>
      </c>
      <c r="B69" s="1065">
        <v>0</v>
      </c>
      <c r="C69" s="1065">
        <v>0</v>
      </c>
      <c r="D69" s="1065">
        <v>0</v>
      </c>
      <c r="E69" s="1065">
        <v>0</v>
      </c>
      <c r="F69" s="1065">
        <v>0</v>
      </c>
      <c r="G69" s="1065">
        <v>0</v>
      </c>
      <c r="H69" s="1065">
        <v>0</v>
      </c>
      <c r="I69" s="1065">
        <v>0</v>
      </c>
      <c r="J69" s="1065">
        <v>0</v>
      </c>
      <c r="K69" s="1065">
        <v>0</v>
      </c>
      <c r="L69" s="1065">
        <v>0</v>
      </c>
      <c r="M69" s="1065">
        <v>0</v>
      </c>
      <c r="N69" s="1065">
        <v>0</v>
      </c>
      <c r="O69" s="1065">
        <v>0</v>
      </c>
      <c r="P69" s="1065">
        <v>0</v>
      </c>
      <c r="Q69" s="1065">
        <v>0</v>
      </c>
      <c r="R69" s="1065">
        <v>0</v>
      </c>
      <c r="S69" s="1065">
        <v>0</v>
      </c>
      <c r="T69" s="1065">
        <v>0</v>
      </c>
      <c r="U69" s="1065">
        <v>0</v>
      </c>
      <c r="V69" s="1065">
        <v>0</v>
      </c>
      <c r="W69" s="1065">
        <v>0</v>
      </c>
      <c r="X69" s="1065">
        <v>0</v>
      </c>
      <c r="Y69" s="1065">
        <v>-421884104</v>
      </c>
      <c r="Z69" s="1065">
        <v>-421884104</v>
      </c>
      <c r="AA69" s="1065">
        <v>-421884104</v>
      </c>
      <c r="AB69" s="1065">
        <v>-421884104</v>
      </c>
      <c r="AC69" s="1065">
        <v>-413884104</v>
      </c>
      <c r="AD69" s="1065">
        <v>-413884104</v>
      </c>
      <c r="AE69" s="1065">
        <v>0</v>
      </c>
      <c r="AF69" s="1065">
        <v>0</v>
      </c>
      <c r="AG69" s="1065">
        <v>0</v>
      </c>
      <c r="AH69" s="1065">
        <v>0</v>
      </c>
      <c r="AI69" s="1065">
        <v>0</v>
      </c>
      <c r="AJ69" s="1065">
        <v>0</v>
      </c>
      <c r="AK69" s="1065">
        <v>0</v>
      </c>
      <c r="AL69" s="1065">
        <v>0</v>
      </c>
      <c r="AM69" s="1065">
        <v>0</v>
      </c>
      <c r="AN69" s="1065">
        <v>0</v>
      </c>
      <c r="AO69" s="1065">
        <v>0</v>
      </c>
      <c r="AP69" s="1065">
        <v>0</v>
      </c>
      <c r="AQ69" s="1065">
        <v>0</v>
      </c>
    </row>
    <row r="70" spans="1:43">
      <c r="A70" s="1062" t="s">
        <v>911</v>
      </c>
      <c r="B70" s="1063">
        <v>39270118714</v>
      </c>
      <c r="C70" s="1063">
        <v>38946621548</v>
      </c>
      <c r="D70" s="1063">
        <v>37267573972</v>
      </c>
      <c r="E70" s="1063">
        <v>35713934562</v>
      </c>
      <c r="F70" s="1063">
        <v>32658740063</v>
      </c>
      <c r="G70" s="1063">
        <v>32053300869</v>
      </c>
      <c r="H70" s="1063">
        <v>31664059208</v>
      </c>
      <c r="I70" s="1063">
        <v>31506443784</v>
      </c>
      <c r="J70" s="1063">
        <v>31220800075</v>
      </c>
      <c r="K70" s="1063">
        <v>31449649437</v>
      </c>
      <c r="L70" s="1063">
        <v>31827842111</v>
      </c>
      <c r="M70" s="1063">
        <v>32053762716</v>
      </c>
      <c r="N70" s="1063">
        <v>33409106463</v>
      </c>
      <c r="O70" s="1063">
        <v>33508127903</v>
      </c>
      <c r="P70" s="1063">
        <v>32833990771</v>
      </c>
      <c r="Q70" s="1063">
        <v>31945668653</v>
      </c>
      <c r="R70" s="1063">
        <v>31275980627</v>
      </c>
      <c r="S70" s="1063">
        <v>30734508738</v>
      </c>
      <c r="T70" s="1063">
        <v>32572393275</v>
      </c>
      <c r="U70" s="1063">
        <v>35347410829</v>
      </c>
      <c r="V70" s="1063">
        <v>34741500690</v>
      </c>
      <c r="W70" s="1063">
        <v>34291366205</v>
      </c>
      <c r="X70" s="1063">
        <v>36077296446</v>
      </c>
      <c r="Y70" s="1063">
        <v>35798129119</v>
      </c>
      <c r="Z70" s="1063">
        <v>38353397751</v>
      </c>
      <c r="AA70" s="1063">
        <v>40081347667</v>
      </c>
      <c r="AB70" s="1063">
        <v>50447082731</v>
      </c>
      <c r="AC70" s="1063">
        <v>49902326167</v>
      </c>
      <c r="AD70" s="1063">
        <v>49146785529</v>
      </c>
      <c r="AE70" s="1063">
        <v>48384125429</v>
      </c>
      <c r="AF70" s="1063">
        <v>47939059989</v>
      </c>
      <c r="AG70" s="1063">
        <v>48327866639</v>
      </c>
      <c r="AH70" s="1063">
        <v>47491149034</v>
      </c>
      <c r="AI70" s="1063">
        <v>47412850775</v>
      </c>
      <c r="AJ70" s="1063">
        <v>47882815141</v>
      </c>
      <c r="AK70" s="1063">
        <v>48000965550</v>
      </c>
      <c r="AL70" s="1063">
        <v>47524351195</v>
      </c>
      <c r="AM70" s="1063">
        <v>47135550238</v>
      </c>
      <c r="AN70" s="1063">
        <v>47876230749</v>
      </c>
      <c r="AO70" s="1063">
        <v>52959375999</v>
      </c>
      <c r="AP70" s="1063">
        <v>58847017139</v>
      </c>
      <c r="AQ70" s="1063">
        <v>61991265996</v>
      </c>
    </row>
    <row r="71" spans="1:43">
      <c r="A71" s="1064" t="s">
        <v>912</v>
      </c>
      <c r="B71" s="1065">
        <v>32355950905</v>
      </c>
      <c r="C71" s="1065">
        <v>32189887905</v>
      </c>
      <c r="D71" s="1065">
        <v>32048937905</v>
      </c>
      <c r="E71" s="1065">
        <v>31907687905</v>
      </c>
      <c r="F71" s="1065">
        <v>30533018705</v>
      </c>
      <c r="G71" s="1065">
        <v>30148148425</v>
      </c>
      <c r="H71" s="1065">
        <v>29782365090</v>
      </c>
      <c r="I71" s="1065">
        <v>29739915090</v>
      </c>
      <c r="J71" s="1065">
        <v>29772465090</v>
      </c>
      <c r="K71" s="1065">
        <v>29730015090</v>
      </c>
      <c r="L71" s="1065">
        <v>29687565090</v>
      </c>
      <c r="M71" s="1065">
        <v>29645115090</v>
      </c>
      <c r="N71" s="1065">
        <v>29339865090</v>
      </c>
      <c r="O71" s="1065">
        <v>28860650510</v>
      </c>
      <c r="P71" s="1065">
        <v>28818200510</v>
      </c>
      <c r="Q71" s="1065">
        <v>28526499920</v>
      </c>
      <c r="R71" s="1065">
        <v>28486144496</v>
      </c>
      <c r="S71" s="1065">
        <v>28443694496</v>
      </c>
      <c r="T71" s="1065">
        <v>28700094496</v>
      </c>
      <c r="U71" s="1065">
        <v>28466523221</v>
      </c>
      <c r="V71" s="1065">
        <v>28466523221</v>
      </c>
      <c r="W71" s="1065">
        <v>28466523221</v>
      </c>
      <c r="X71" s="1065">
        <v>28416523221</v>
      </c>
      <c r="Y71" s="1065">
        <v>28416523221</v>
      </c>
      <c r="Z71" s="1065">
        <v>31016523221</v>
      </c>
      <c r="AA71" s="1065">
        <v>31073723221</v>
      </c>
      <c r="AB71" s="1065">
        <v>41702523221</v>
      </c>
      <c r="AC71" s="1065">
        <v>41703790421</v>
      </c>
      <c r="AD71" s="1065">
        <v>41677070511</v>
      </c>
      <c r="AE71" s="1065">
        <v>41677070511</v>
      </c>
      <c r="AF71" s="1065">
        <v>41677070511</v>
      </c>
      <c r="AG71" s="1065">
        <v>41677070511</v>
      </c>
      <c r="AH71" s="1065">
        <v>41602070511</v>
      </c>
      <c r="AI71" s="1065">
        <v>40857024916</v>
      </c>
      <c r="AJ71" s="1065">
        <v>40601524916</v>
      </c>
      <c r="AK71" s="1065">
        <v>40601524916</v>
      </c>
      <c r="AL71" s="1065">
        <v>40601524916</v>
      </c>
      <c r="AM71" s="1065">
        <v>40601524916</v>
      </c>
      <c r="AN71" s="1065">
        <v>40601524916</v>
      </c>
      <c r="AO71" s="1065">
        <v>40601524916</v>
      </c>
      <c r="AP71" s="1065">
        <v>40601524916</v>
      </c>
      <c r="AQ71" s="1065">
        <v>40601524916</v>
      </c>
    </row>
    <row r="72" spans="1:43">
      <c r="A72" s="1064" t="s">
        <v>913</v>
      </c>
      <c r="B72" s="1065">
        <v>11378792344</v>
      </c>
      <c r="C72" s="1065">
        <v>10936358178</v>
      </c>
      <c r="D72" s="1065">
        <v>9398260602</v>
      </c>
      <c r="E72" s="1065">
        <v>7985871192</v>
      </c>
      <c r="F72" s="1065">
        <v>6305345893</v>
      </c>
      <c r="G72" s="1065">
        <v>6084776979</v>
      </c>
      <c r="H72" s="1065">
        <v>6061318653</v>
      </c>
      <c r="I72" s="1065">
        <v>5946153229</v>
      </c>
      <c r="J72" s="1065">
        <v>5627959520</v>
      </c>
      <c r="K72" s="1065">
        <v>5899258882</v>
      </c>
      <c r="L72" s="1065">
        <v>6319901556</v>
      </c>
      <c r="M72" s="1065">
        <v>6588272161</v>
      </c>
      <c r="N72" s="1065">
        <v>8248865908</v>
      </c>
      <c r="O72" s="1065">
        <v>8827101928</v>
      </c>
      <c r="P72" s="1065">
        <v>8195414796</v>
      </c>
      <c r="Q72" s="1065">
        <v>7598793268</v>
      </c>
      <c r="R72" s="1065">
        <v>6969460666</v>
      </c>
      <c r="S72" s="1065">
        <v>6470438777</v>
      </c>
      <c r="T72" s="1065">
        <v>5985923314</v>
      </c>
      <c r="U72" s="1065">
        <v>8876820868</v>
      </c>
      <c r="V72" s="1065">
        <v>8270910729</v>
      </c>
      <c r="W72" s="1065">
        <v>7820776244</v>
      </c>
      <c r="X72" s="1065">
        <v>9656706485</v>
      </c>
      <c r="Y72" s="1065">
        <v>9377539158</v>
      </c>
      <c r="Z72" s="1065">
        <v>8706546020</v>
      </c>
      <c r="AA72" s="1065">
        <v>10377295936</v>
      </c>
      <c r="AB72" s="1065">
        <v>10114231000</v>
      </c>
      <c r="AC72" s="1065">
        <v>9568207236</v>
      </c>
      <c r="AD72" s="1065">
        <v>8839386508</v>
      </c>
      <c r="AE72" s="1065">
        <v>8076726408</v>
      </c>
      <c r="AF72" s="1065">
        <v>7631660968</v>
      </c>
      <c r="AG72" s="1065">
        <v>8020467618</v>
      </c>
      <c r="AH72" s="1065">
        <v>7258750013</v>
      </c>
      <c r="AI72" s="1065">
        <v>7925497349</v>
      </c>
      <c r="AJ72" s="1065">
        <v>8650961715</v>
      </c>
      <c r="AK72" s="1065">
        <v>8769112124</v>
      </c>
      <c r="AL72" s="1065">
        <v>8292497769</v>
      </c>
      <c r="AM72" s="1065">
        <v>7903696812</v>
      </c>
      <c r="AN72" s="1065">
        <v>8644377323</v>
      </c>
      <c r="AO72" s="1065">
        <v>13727522573</v>
      </c>
      <c r="AP72" s="1065">
        <v>19615163713</v>
      </c>
      <c r="AQ72" s="1065">
        <v>22759412570</v>
      </c>
    </row>
    <row r="73" spans="1:43">
      <c r="A73" s="1064" t="s">
        <v>914</v>
      </c>
      <c r="B73" s="1065">
        <v>-4464624535</v>
      </c>
      <c r="C73" s="1065">
        <v>-4179624535</v>
      </c>
      <c r="D73" s="1065">
        <v>-4179624535</v>
      </c>
      <c r="E73" s="1065">
        <v>-4179624535</v>
      </c>
      <c r="F73" s="1065">
        <v>-4179624535</v>
      </c>
      <c r="G73" s="1065">
        <v>-4179624535</v>
      </c>
      <c r="H73" s="1065">
        <v>-4179624535</v>
      </c>
      <c r="I73" s="1065">
        <v>-4179624535</v>
      </c>
      <c r="J73" s="1065">
        <v>-4179624535</v>
      </c>
      <c r="K73" s="1065">
        <v>-4179624535</v>
      </c>
      <c r="L73" s="1065">
        <v>-4179624535</v>
      </c>
      <c r="M73" s="1065">
        <v>-4179624535</v>
      </c>
      <c r="N73" s="1065">
        <v>-4179624535</v>
      </c>
      <c r="O73" s="1065">
        <v>-4179624535</v>
      </c>
      <c r="P73" s="1065">
        <v>-4179624535</v>
      </c>
      <c r="Q73" s="1065">
        <v>-4179624535</v>
      </c>
      <c r="R73" s="1065">
        <v>-4179624535</v>
      </c>
      <c r="S73" s="1065">
        <v>-4179624535</v>
      </c>
      <c r="T73" s="1065">
        <v>-2113624535</v>
      </c>
      <c r="U73" s="1065">
        <v>-1995933260</v>
      </c>
      <c r="V73" s="1065">
        <v>-1995933260</v>
      </c>
      <c r="W73" s="1065">
        <v>-1995933260</v>
      </c>
      <c r="X73" s="1065">
        <v>-1995933260</v>
      </c>
      <c r="Y73" s="1065">
        <v>-1995933260</v>
      </c>
      <c r="Z73" s="1065">
        <v>-1369671490</v>
      </c>
      <c r="AA73" s="1065">
        <v>-1369671490</v>
      </c>
      <c r="AB73" s="1065">
        <v>-1369671490</v>
      </c>
      <c r="AC73" s="1065">
        <v>-1369671490</v>
      </c>
      <c r="AD73" s="1065">
        <v>-1369671490</v>
      </c>
      <c r="AE73" s="1065">
        <v>-1369671490</v>
      </c>
      <c r="AF73" s="1065">
        <v>-1369671490</v>
      </c>
      <c r="AG73" s="1065">
        <v>-1369671490</v>
      </c>
      <c r="AH73" s="1065">
        <v>-1369671490</v>
      </c>
      <c r="AI73" s="1065">
        <v>-1369671490</v>
      </c>
      <c r="AJ73" s="1065">
        <v>-1369671490</v>
      </c>
      <c r="AK73" s="1065">
        <v>-1369671490</v>
      </c>
      <c r="AL73" s="1065">
        <v>-1369671490</v>
      </c>
      <c r="AM73" s="1065">
        <v>-1369671490</v>
      </c>
      <c r="AN73" s="1065">
        <v>-1369671490</v>
      </c>
      <c r="AO73" s="1065">
        <v>-1369671490</v>
      </c>
      <c r="AP73" s="1065">
        <v>-1369671490</v>
      </c>
      <c r="AQ73" s="1065">
        <v>-1369671490</v>
      </c>
    </row>
    <row r="74" spans="1:43">
      <c r="A74" s="1062" t="s">
        <v>915</v>
      </c>
      <c r="B74" s="1063">
        <v>0</v>
      </c>
      <c r="C74" s="1063">
        <v>0</v>
      </c>
      <c r="D74" s="1063">
        <v>0</v>
      </c>
      <c r="E74" s="1063">
        <v>0</v>
      </c>
      <c r="F74" s="1063">
        <v>0</v>
      </c>
      <c r="G74" s="1063">
        <v>0</v>
      </c>
      <c r="H74" s="1063">
        <v>0</v>
      </c>
      <c r="I74" s="1063">
        <v>0</v>
      </c>
      <c r="J74" s="1063">
        <v>0</v>
      </c>
      <c r="K74" s="1063">
        <v>0</v>
      </c>
      <c r="L74" s="1063">
        <v>0</v>
      </c>
      <c r="M74" s="1063">
        <v>0</v>
      </c>
      <c r="N74" s="1063">
        <v>0</v>
      </c>
      <c r="O74" s="1063">
        <v>0</v>
      </c>
      <c r="P74" s="1063">
        <v>0</v>
      </c>
      <c r="Q74" s="1063">
        <v>127097420</v>
      </c>
      <c r="R74" s="1063">
        <v>0</v>
      </c>
      <c r="S74" s="1063">
        <v>0</v>
      </c>
      <c r="T74" s="1063">
        <v>0</v>
      </c>
      <c r="U74" s="1063">
        <v>0</v>
      </c>
      <c r="V74" s="1063">
        <v>0</v>
      </c>
      <c r="W74" s="1063">
        <v>0</v>
      </c>
      <c r="X74" s="1063">
        <v>0</v>
      </c>
      <c r="Y74" s="1063">
        <v>87429393</v>
      </c>
      <c r="Z74" s="1063">
        <v>0</v>
      </c>
      <c r="AA74" s="1063">
        <v>0</v>
      </c>
      <c r="AB74" s="1063">
        <v>0</v>
      </c>
      <c r="AC74" s="1063">
        <v>2866858512</v>
      </c>
      <c r="AD74" s="1063">
        <v>0</v>
      </c>
      <c r="AE74" s="1063">
        <v>0</v>
      </c>
      <c r="AF74" s="1063">
        <v>0</v>
      </c>
      <c r="AG74" s="1063">
        <v>3563057201</v>
      </c>
      <c r="AH74" s="1063">
        <v>2223964396</v>
      </c>
      <c r="AI74" s="1063">
        <v>1605893354</v>
      </c>
      <c r="AJ74" s="1063">
        <v>225918363</v>
      </c>
      <c r="AK74" s="1063">
        <v>2903052898</v>
      </c>
      <c r="AL74" s="1063">
        <v>0</v>
      </c>
      <c r="AM74" s="1063">
        <v>0</v>
      </c>
      <c r="AN74" s="1063">
        <v>0</v>
      </c>
      <c r="AO74" s="1063">
        <v>4962139586</v>
      </c>
      <c r="AP74" s="1063">
        <v>3156619198</v>
      </c>
      <c r="AQ74" s="1063">
        <v>2624956584</v>
      </c>
    </row>
    <row r="75" spans="1:43">
      <c r="A75" s="1064" t="s">
        <v>916</v>
      </c>
      <c r="B75" s="1065"/>
      <c r="C75" s="1065"/>
      <c r="D75" s="1065"/>
      <c r="E75" s="1065"/>
      <c r="F75" s="1065"/>
      <c r="G75" s="1065"/>
      <c r="H75" s="1065"/>
      <c r="I75" s="1065"/>
      <c r="J75" s="1065"/>
      <c r="K75" s="1065"/>
      <c r="L75" s="1065"/>
      <c r="M75" s="1065"/>
      <c r="N75" s="1065"/>
      <c r="O75" s="1065"/>
      <c r="P75" s="1065"/>
      <c r="Q75" s="1065">
        <v>127097420</v>
      </c>
      <c r="R75" s="1065">
        <v>0</v>
      </c>
      <c r="S75" s="1065">
        <v>0</v>
      </c>
      <c r="T75" s="1065">
        <v>0</v>
      </c>
      <c r="U75" s="1065">
        <v>0</v>
      </c>
      <c r="V75" s="1065">
        <v>0</v>
      </c>
      <c r="W75" s="1065">
        <v>0</v>
      </c>
      <c r="X75" s="1065">
        <v>0</v>
      </c>
      <c r="Y75" s="1065">
        <v>87429393</v>
      </c>
      <c r="Z75" s="1065">
        <v>0</v>
      </c>
      <c r="AA75" s="1065">
        <v>0</v>
      </c>
      <c r="AB75" s="1065">
        <v>0</v>
      </c>
      <c r="AC75" s="1065">
        <v>2866858512</v>
      </c>
      <c r="AD75" s="1065">
        <v>0</v>
      </c>
      <c r="AE75" s="1065">
        <v>0</v>
      </c>
      <c r="AF75" s="1065">
        <v>0</v>
      </c>
      <c r="AG75" s="1065">
        <v>3563057201</v>
      </c>
      <c r="AH75" s="1065">
        <v>2223964396</v>
      </c>
      <c r="AI75" s="1065">
        <v>1605893354</v>
      </c>
      <c r="AJ75" s="1065">
        <v>225918363</v>
      </c>
      <c r="AK75" s="1065">
        <v>2903052898</v>
      </c>
      <c r="AL75" s="1065">
        <v>0</v>
      </c>
      <c r="AM75" s="1065">
        <v>0</v>
      </c>
      <c r="AN75" s="1065">
        <v>0</v>
      </c>
      <c r="AO75" s="1065">
        <v>4962139586</v>
      </c>
      <c r="AP75" s="1065">
        <v>3156619198</v>
      </c>
      <c r="AQ75" s="1065">
        <v>2624956584</v>
      </c>
    </row>
    <row r="76" spans="1:43">
      <c r="A76" s="1062" t="s">
        <v>917</v>
      </c>
      <c r="B76" s="1063">
        <v>55661419366</v>
      </c>
      <c r="C76" s="1063">
        <v>53179970403</v>
      </c>
      <c r="D76" s="1063">
        <v>53326624117</v>
      </c>
      <c r="E76" s="1063">
        <v>65253057527</v>
      </c>
      <c r="F76" s="1063">
        <v>69840282831</v>
      </c>
      <c r="G76" s="1063">
        <v>75591782255</v>
      </c>
      <c r="H76" s="1063">
        <v>80627638797</v>
      </c>
      <c r="I76" s="1063">
        <v>84924483955</v>
      </c>
      <c r="J76" s="1063">
        <v>63152808189</v>
      </c>
      <c r="K76" s="1063">
        <v>65197389716</v>
      </c>
      <c r="L76" s="1063">
        <v>64009223458</v>
      </c>
      <c r="M76" s="1063">
        <v>100840605644</v>
      </c>
      <c r="N76" s="1063">
        <v>108605936974</v>
      </c>
      <c r="O76" s="1063">
        <v>122021807322</v>
      </c>
      <c r="P76" s="1063">
        <v>120566321183</v>
      </c>
      <c r="Q76" s="1063">
        <v>138379546855</v>
      </c>
      <c r="R76" s="1063">
        <v>118365578274</v>
      </c>
      <c r="S76" s="1063">
        <v>90122770543</v>
      </c>
      <c r="T76" s="1063">
        <v>109396856994</v>
      </c>
      <c r="U76" s="1063">
        <v>166989793764</v>
      </c>
      <c r="V76" s="1063">
        <v>165665313518</v>
      </c>
      <c r="W76" s="1063">
        <v>201661665031</v>
      </c>
      <c r="X76" s="1063">
        <v>189808562901</v>
      </c>
      <c r="Y76" s="1063">
        <v>170842625116</v>
      </c>
      <c r="Z76" s="1063">
        <v>174275957302</v>
      </c>
      <c r="AA76" s="1063">
        <v>149505891725</v>
      </c>
      <c r="AB76" s="1063">
        <v>190240311022</v>
      </c>
      <c r="AC76" s="1063">
        <v>122120088061</v>
      </c>
      <c r="AD76" s="1063">
        <v>33008083197</v>
      </c>
      <c r="AE76" s="1063">
        <v>52697068846</v>
      </c>
      <c r="AF76" s="1063">
        <v>64978367874</v>
      </c>
      <c r="AG76" s="1063">
        <v>133128796118</v>
      </c>
      <c r="AH76" s="1063">
        <v>264915355287</v>
      </c>
      <c r="AI76" s="1063">
        <v>274377196809</v>
      </c>
      <c r="AJ76" s="1063">
        <v>185597810511</v>
      </c>
      <c r="AK76" s="1063">
        <v>186776321341</v>
      </c>
      <c r="AL76" s="1063">
        <v>226284747446</v>
      </c>
      <c r="AM76" s="1063">
        <v>253696028402</v>
      </c>
      <c r="AN76" s="1063">
        <v>380852143778</v>
      </c>
      <c r="AO76" s="1063">
        <v>281687740366</v>
      </c>
      <c r="AP76" s="1063">
        <v>298928160510</v>
      </c>
      <c r="AQ76" s="1063">
        <v>304073664606</v>
      </c>
    </row>
    <row r="77" spans="1:43">
      <c r="A77" s="1064" t="s">
        <v>918</v>
      </c>
      <c r="B77" s="1065">
        <v>0</v>
      </c>
      <c r="C77" s="1065">
        <v>0</v>
      </c>
      <c r="D77" s="1065">
        <v>0</v>
      </c>
      <c r="E77" s="1065">
        <v>0</v>
      </c>
      <c r="F77" s="1065">
        <v>0</v>
      </c>
      <c r="G77" s="1065">
        <v>0</v>
      </c>
      <c r="H77" s="1065">
        <v>0</v>
      </c>
      <c r="I77" s="1065">
        <v>0</v>
      </c>
      <c r="J77" s="1065">
        <v>0</v>
      </c>
      <c r="K77" s="1065">
        <v>0</v>
      </c>
      <c r="L77" s="1065">
        <v>0</v>
      </c>
      <c r="M77" s="1065">
        <v>0</v>
      </c>
      <c r="N77" s="1065">
        <v>0</v>
      </c>
      <c r="O77" s="1065">
        <v>0</v>
      </c>
      <c r="P77" s="1065">
        <v>0</v>
      </c>
      <c r="Q77" s="1065">
        <v>0</v>
      </c>
      <c r="R77" s="1065">
        <v>1206333972</v>
      </c>
      <c r="S77" s="1065">
        <v>1189969362</v>
      </c>
      <c r="T77" s="1065">
        <v>0</v>
      </c>
      <c r="U77" s="1065">
        <v>0</v>
      </c>
      <c r="V77" s="1065">
        <v>0</v>
      </c>
      <c r="W77" s="1065">
        <v>0</v>
      </c>
      <c r="X77" s="1065">
        <v>14324865</v>
      </c>
      <c r="Y77" s="1065">
        <v>14324865</v>
      </c>
      <c r="Z77" s="1065">
        <v>14324865</v>
      </c>
      <c r="AA77" s="1065">
        <v>14324865</v>
      </c>
      <c r="AB77" s="1065">
        <v>14324865</v>
      </c>
      <c r="AC77" s="1065">
        <v>14324865</v>
      </c>
      <c r="AD77" s="1065">
        <v>33008083197</v>
      </c>
      <c r="AE77" s="1065">
        <v>14324865</v>
      </c>
      <c r="AF77" s="1065">
        <v>14324865</v>
      </c>
      <c r="AG77" s="1065">
        <v>133128796118</v>
      </c>
      <c r="AH77" s="1065">
        <v>81960686826</v>
      </c>
      <c r="AI77" s="1065">
        <v>51182434148</v>
      </c>
      <c r="AJ77" s="1065">
        <v>0</v>
      </c>
      <c r="AK77" s="1065">
        <v>0</v>
      </c>
      <c r="AL77" s="1065">
        <v>0</v>
      </c>
      <c r="AM77" s="1065">
        <v>0</v>
      </c>
      <c r="AN77" s="1065">
        <v>0</v>
      </c>
      <c r="AO77" s="1065">
        <v>5184563943</v>
      </c>
      <c r="AP77" s="1065">
        <v>0</v>
      </c>
      <c r="AQ77" s="1065">
        <v>48455173364</v>
      </c>
    </row>
    <row r="78" spans="1:43">
      <c r="A78" s="1064" t="s">
        <v>919</v>
      </c>
      <c r="B78" s="1065">
        <v>55661419366</v>
      </c>
      <c r="C78" s="1065">
        <v>53179970403</v>
      </c>
      <c r="D78" s="1065">
        <v>53326624117</v>
      </c>
      <c r="E78" s="1065">
        <v>65253057527</v>
      </c>
      <c r="F78" s="1065">
        <v>69840282831</v>
      </c>
      <c r="G78" s="1065">
        <v>75591782255</v>
      </c>
      <c r="H78" s="1065">
        <v>80627638797</v>
      </c>
      <c r="I78" s="1065">
        <v>84924483955</v>
      </c>
      <c r="J78" s="1065">
        <v>63152808189</v>
      </c>
      <c r="K78" s="1065">
        <v>65197389716</v>
      </c>
      <c r="L78" s="1065">
        <v>64009223458</v>
      </c>
      <c r="M78" s="1065">
        <v>100840605644</v>
      </c>
      <c r="N78" s="1065">
        <v>108605936974</v>
      </c>
      <c r="O78" s="1065">
        <v>122021807322</v>
      </c>
      <c r="P78" s="1065">
        <v>120566321183</v>
      </c>
      <c r="Q78" s="1065">
        <v>138379546855</v>
      </c>
      <c r="R78" s="1065">
        <v>117159244302</v>
      </c>
      <c r="S78" s="1065">
        <v>88932801181</v>
      </c>
      <c r="T78" s="1065">
        <v>109396856994</v>
      </c>
      <c r="U78" s="1065">
        <v>166989793764</v>
      </c>
      <c r="V78" s="1065">
        <v>165665313518</v>
      </c>
      <c r="W78" s="1065">
        <v>201661665031</v>
      </c>
      <c r="X78" s="1065">
        <v>189794238036</v>
      </c>
      <c r="Y78" s="1065">
        <v>170828300251</v>
      </c>
      <c r="Z78" s="1065">
        <v>174261632437</v>
      </c>
      <c r="AA78" s="1065">
        <v>149491566860</v>
      </c>
      <c r="AB78" s="1065">
        <v>190225986157</v>
      </c>
      <c r="AC78" s="1065">
        <v>122105763196</v>
      </c>
      <c r="AD78" s="1065">
        <v>0</v>
      </c>
      <c r="AE78" s="1065">
        <v>52682743981</v>
      </c>
      <c r="AF78" s="1065">
        <v>64964043009</v>
      </c>
      <c r="AG78" s="1065">
        <v>0</v>
      </c>
      <c r="AH78" s="1065">
        <v>182954668461</v>
      </c>
      <c r="AI78" s="1065">
        <v>223194762661</v>
      </c>
      <c r="AJ78" s="1065">
        <v>185597810511</v>
      </c>
      <c r="AK78" s="1065">
        <v>186776321341</v>
      </c>
      <c r="AL78" s="1065">
        <v>226284747446</v>
      </c>
      <c r="AM78" s="1065">
        <v>253696028402</v>
      </c>
      <c r="AN78" s="1065">
        <v>380852143778</v>
      </c>
      <c r="AO78" s="1065">
        <v>276503176423</v>
      </c>
      <c r="AP78" s="1065">
        <v>298928160510</v>
      </c>
      <c r="AQ78" s="1065">
        <v>255618491242</v>
      </c>
    </row>
    <row r="79" spans="1:43">
      <c r="A79" s="1062" t="s">
        <v>920</v>
      </c>
      <c r="B79" s="1063">
        <v>2585432843220</v>
      </c>
      <c r="C79" s="1063">
        <v>2077121617990</v>
      </c>
      <c r="D79" s="1063">
        <v>2161387624835</v>
      </c>
      <c r="E79" s="1063">
        <v>478718326668</v>
      </c>
      <c r="F79" s="1063">
        <v>2626061164593</v>
      </c>
      <c r="G79" s="1063">
        <v>1944483809754</v>
      </c>
      <c r="H79" s="1063">
        <v>2132491752061</v>
      </c>
      <c r="I79" s="1063">
        <v>578418505504</v>
      </c>
      <c r="J79" s="1063">
        <v>2248225250247</v>
      </c>
      <c r="K79" s="1063">
        <v>1724588104378</v>
      </c>
      <c r="L79" s="1063">
        <v>2565210908430</v>
      </c>
      <c r="M79" s="1063">
        <v>741187777049</v>
      </c>
      <c r="N79" s="1063">
        <v>2824101868311</v>
      </c>
      <c r="O79" s="1063">
        <v>2289758004702</v>
      </c>
      <c r="P79" s="1063">
        <v>3351935730720</v>
      </c>
      <c r="Q79" s="1063">
        <v>909687185063</v>
      </c>
      <c r="R79" s="1063">
        <v>2106717397425</v>
      </c>
      <c r="S79" s="1063">
        <v>3340818671785</v>
      </c>
      <c r="T79" s="1063">
        <v>3508137920840</v>
      </c>
      <c r="U79" s="1063">
        <v>1632961549473</v>
      </c>
      <c r="V79" s="1063">
        <v>3954615081697</v>
      </c>
      <c r="W79" s="1063">
        <v>3256529468839</v>
      </c>
      <c r="X79" s="1063">
        <v>5864847757023</v>
      </c>
      <c r="Y79" s="1063">
        <v>1946395427147</v>
      </c>
      <c r="Z79" s="1063">
        <v>4718808856685</v>
      </c>
      <c r="AA79" s="1063">
        <v>3686669226774</v>
      </c>
      <c r="AB79" s="1063">
        <v>7037372096424</v>
      </c>
      <c r="AC79" s="1063">
        <v>1379219554916</v>
      </c>
      <c r="AD79" s="1063">
        <v>4435723620178</v>
      </c>
      <c r="AE79" s="1063">
        <v>3520302486266</v>
      </c>
      <c r="AF79" s="1063">
        <v>4259944471726</v>
      </c>
      <c r="AG79" s="1063">
        <v>1456902837100</v>
      </c>
      <c r="AH79" s="1063">
        <v>3802941783453</v>
      </c>
      <c r="AI79" s="1063">
        <v>5955939334236</v>
      </c>
      <c r="AJ79" s="1063">
        <v>5521877396462</v>
      </c>
      <c r="AK79" s="1063">
        <v>2354110446998</v>
      </c>
      <c r="AL79" s="1063">
        <v>4493874642419</v>
      </c>
      <c r="AM79" s="1063">
        <v>6701798329528</v>
      </c>
      <c r="AN79" s="1063">
        <v>9161604784942</v>
      </c>
      <c r="AO79" s="1063">
        <v>3392114406732</v>
      </c>
      <c r="AP79" s="1063">
        <v>9520918884840</v>
      </c>
      <c r="AQ79" s="1063">
        <v>8173689566297</v>
      </c>
    </row>
    <row r="80" spans="1:43">
      <c r="A80" s="1064" t="s">
        <v>921</v>
      </c>
      <c r="B80" s="1065">
        <v>1338371343786</v>
      </c>
      <c r="C80" s="1065">
        <v>1290024325204</v>
      </c>
      <c r="D80" s="1065">
        <v>1095746174684</v>
      </c>
      <c r="E80" s="1065">
        <v>349691880599</v>
      </c>
      <c r="F80" s="1065">
        <v>1243221008823</v>
      </c>
      <c r="G80" s="1065">
        <v>1260906999167</v>
      </c>
      <c r="H80" s="1065">
        <v>938965016694</v>
      </c>
      <c r="I80" s="1065">
        <v>477983039333</v>
      </c>
      <c r="J80" s="1065">
        <v>1189301710040</v>
      </c>
      <c r="K80" s="1065">
        <v>937941950023</v>
      </c>
      <c r="L80" s="1065">
        <v>1293831764512</v>
      </c>
      <c r="M80" s="1065">
        <v>513991247058</v>
      </c>
      <c r="N80" s="1065">
        <v>1626679272812</v>
      </c>
      <c r="O80" s="1065">
        <v>1453306154091</v>
      </c>
      <c r="P80" s="1065">
        <v>1226839063616</v>
      </c>
      <c r="Q80" s="1065">
        <v>409173451523</v>
      </c>
      <c r="R80" s="1065">
        <v>1302711359411</v>
      </c>
      <c r="S80" s="1065">
        <v>1927675127734</v>
      </c>
      <c r="T80" s="1065">
        <v>1132078591124</v>
      </c>
      <c r="U80" s="1065">
        <v>682845132959</v>
      </c>
      <c r="V80" s="1065">
        <v>1594891800695</v>
      </c>
      <c r="W80" s="1065">
        <v>1271552328739</v>
      </c>
      <c r="X80" s="1065">
        <v>1630254810128</v>
      </c>
      <c r="Y80" s="1065">
        <v>895797137256</v>
      </c>
      <c r="Z80" s="1065">
        <v>1655139765256</v>
      </c>
      <c r="AA80" s="1065">
        <v>1321785741810</v>
      </c>
      <c r="AB80" s="1065">
        <v>2033217399475</v>
      </c>
      <c r="AC80" s="1065">
        <v>622856075844</v>
      </c>
      <c r="AD80" s="1065">
        <v>2313531745609</v>
      </c>
      <c r="AE80" s="1065">
        <v>1340791183165</v>
      </c>
      <c r="AF80" s="1065">
        <v>1131796003188</v>
      </c>
      <c r="AG80" s="1065">
        <v>397073611253</v>
      </c>
      <c r="AH80" s="1065">
        <v>1558139496399</v>
      </c>
      <c r="AI80" s="1065">
        <v>1422436385614</v>
      </c>
      <c r="AJ80" s="1065">
        <v>1201957406388</v>
      </c>
      <c r="AK80" s="1065">
        <v>710896279474</v>
      </c>
      <c r="AL80" s="1065">
        <v>1388752630022</v>
      </c>
      <c r="AM80" s="1065">
        <v>1633695080975</v>
      </c>
      <c r="AN80" s="1065">
        <v>2758636972442</v>
      </c>
      <c r="AO80" s="1065">
        <v>1005540171405</v>
      </c>
      <c r="AP80" s="1065">
        <v>3010601087310</v>
      </c>
      <c r="AQ80" s="1065">
        <v>4040711231364</v>
      </c>
    </row>
    <row r="81" spans="1:43">
      <c r="A81" s="1064" t="s">
        <v>922</v>
      </c>
      <c r="B81" s="1065">
        <v>42384060346</v>
      </c>
      <c r="C81" s="1065">
        <v>41244862408</v>
      </c>
      <c r="D81" s="1065">
        <v>40008783417</v>
      </c>
      <c r="E81" s="1065">
        <v>78285784651</v>
      </c>
      <c r="F81" s="1065">
        <v>59245905576</v>
      </c>
      <c r="G81" s="1065">
        <v>50088151079</v>
      </c>
      <c r="H81" s="1065">
        <v>49307671559</v>
      </c>
      <c r="I81" s="1065">
        <v>62594756932</v>
      </c>
      <c r="J81" s="1065">
        <v>73746845199</v>
      </c>
      <c r="K81" s="1065">
        <v>81191598332</v>
      </c>
      <c r="L81" s="1065">
        <v>94320545549</v>
      </c>
      <c r="M81" s="1065">
        <v>133409576154</v>
      </c>
      <c r="N81" s="1065">
        <v>127942156556</v>
      </c>
      <c r="O81" s="1065">
        <v>128512872967</v>
      </c>
      <c r="P81" s="1065">
        <v>140512513691</v>
      </c>
      <c r="Q81" s="1065">
        <v>136458413674</v>
      </c>
      <c r="R81" s="1065">
        <v>175552539200</v>
      </c>
      <c r="S81" s="1065">
        <v>162880324064</v>
      </c>
      <c r="T81" s="1065">
        <v>160493252030</v>
      </c>
      <c r="U81" s="1065">
        <v>155532182167</v>
      </c>
      <c r="V81" s="1065">
        <v>203424624027</v>
      </c>
      <c r="W81" s="1065">
        <v>220181896429</v>
      </c>
      <c r="X81" s="1065">
        <v>233225621030</v>
      </c>
      <c r="Y81" s="1065">
        <v>259539297124</v>
      </c>
      <c r="Z81" s="1065">
        <v>299973233193</v>
      </c>
      <c r="AA81" s="1065">
        <v>309217403111</v>
      </c>
      <c r="AB81" s="1065">
        <v>379911889587</v>
      </c>
      <c r="AC81" s="1065">
        <v>179875570493</v>
      </c>
      <c r="AD81" s="1065">
        <v>224475757117</v>
      </c>
      <c r="AE81" s="1065">
        <v>202221167327</v>
      </c>
      <c r="AF81" s="1065">
        <v>286239889720</v>
      </c>
      <c r="AG81" s="1065">
        <v>256949962675</v>
      </c>
      <c r="AH81" s="1065">
        <v>297590557245</v>
      </c>
      <c r="AI81" s="1065">
        <v>268656119314</v>
      </c>
      <c r="AJ81" s="1065">
        <v>286635593250</v>
      </c>
      <c r="AK81" s="1065">
        <v>306261943192</v>
      </c>
      <c r="AL81" s="1065">
        <v>370191706847</v>
      </c>
      <c r="AM81" s="1065">
        <v>309464405936</v>
      </c>
      <c r="AN81" s="1065">
        <v>294739680674</v>
      </c>
      <c r="AO81" s="1065">
        <v>304920512352</v>
      </c>
      <c r="AP81" s="1065">
        <v>371068701743</v>
      </c>
      <c r="AQ81" s="1065">
        <v>289329404488</v>
      </c>
    </row>
    <row r="82" spans="1:43">
      <c r="A82" s="1064" t="s">
        <v>923</v>
      </c>
      <c r="B82" s="1065">
        <v>6544082008</v>
      </c>
      <c r="C82" s="1065">
        <v>6874832808</v>
      </c>
      <c r="D82" s="1065">
        <v>7074832808</v>
      </c>
      <c r="E82" s="1065">
        <v>7074918564</v>
      </c>
      <c r="F82" s="1065">
        <v>7074918564</v>
      </c>
      <c r="G82" s="1065">
        <v>8734918564</v>
      </c>
      <c r="H82" s="1065">
        <v>9294918564</v>
      </c>
      <c r="I82" s="1065">
        <v>8744918564</v>
      </c>
      <c r="J82" s="1065">
        <v>8744918564</v>
      </c>
      <c r="K82" s="1065">
        <v>8744918564</v>
      </c>
      <c r="L82" s="1065">
        <v>8744918564</v>
      </c>
      <c r="M82" s="1065">
        <v>9055909909</v>
      </c>
      <c r="N82" s="1065">
        <v>9987571444</v>
      </c>
      <c r="O82" s="1065">
        <v>11632629324</v>
      </c>
      <c r="P82" s="1065">
        <v>11627956524</v>
      </c>
      <c r="Q82" s="1065">
        <v>11650889957</v>
      </c>
      <c r="R82" s="1065">
        <v>10751515916</v>
      </c>
      <c r="S82" s="1065">
        <v>10751515916</v>
      </c>
      <c r="T82" s="1065">
        <v>11041515916</v>
      </c>
      <c r="U82" s="1065">
        <v>12531962628</v>
      </c>
      <c r="V82" s="1065">
        <v>12644060828</v>
      </c>
      <c r="W82" s="1065">
        <v>11453260828</v>
      </c>
      <c r="X82" s="1065">
        <v>11498552701</v>
      </c>
      <c r="Y82" s="1065">
        <v>11812559738</v>
      </c>
      <c r="Z82" s="1065">
        <v>11245959738</v>
      </c>
      <c r="AA82" s="1065">
        <v>11293965311</v>
      </c>
      <c r="AB82" s="1065">
        <v>11611304884</v>
      </c>
      <c r="AC82" s="1065">
        <v>12204286884</v>
      </c>
      <c r="AD82" s="1065">
        <v>12311262366</v>
      </c>
      <c r="AE82" s="1065">
        <v>12311262366</v>
      </c>
      <c r="AF82" s="1065">
        <v>12311262366</v>
      </c>
      <c r="AG82" s="1065">
        <v>9391262366</v>
      </c>
      <c r="AH82" s="1065">
        <v>9198375408</v>
      </c>
      <c r="AI82" s="1065">
        <v>8746961608</v>
      </c>
      <c r="AJ82" s="1065">
        <v>8777912708</v>
      </c>
      <c r="AK82" s="1065">
        <v>29847912708</v>
      </c>
      <c r="AL82" s="1065">
        <v>8112058157</v>
      </c>
      <c r="AM82" s="1065">
        <v>8286742416</v>
      </c>
      <c r="AN82" s="1065">
        <v>8318818416</v>
      </c>
      <c r="AO82" s="1065">
        <v>9122711951</v>
      </c>
      <c r="AP82" s="1065">
        <v>9256183951</v>
      </c>
      <c r="AQ82" s="1065">
        <v>12624590351</v>
      </c>
    </row>
    <row r="83" spans="1:43">
      <c r="A83" s="1064" t="s">
        <v>924</v>
      </c>
      <c r="B83" s="1065">
        <v>1200914105000</v>
      </c>
      <c r="C83" s="1065">
        <v>737596000000</v>
      </c>
      <c r="D83" s="1065">
        <v>1023331760300</v>
      </c>
      <c r="E83" s="1065">
        <v>46659606000</v>
      </c>
      <c r="F83" s="1065">
        <v>1311328300000</v>
      </c>
      <c r="G83" s="1065">
        <v>628528961000</v>
      </c>
      <c r="H83" s="1065">
        <v>1127097200000</v>
      </c>
      <c r="I83" s="1065">
        <v>32166600000</v>
      </c>
      <c r="J83" s="1065">
        <v>974439146424</v>
      </c>
      <c r="K83" s="1065">
        <v>700444510636</v>
      </c>
      <c r="L83" s="1065">
        <v>1172092068446</v>
      </c>
      <c r="M83" s="1065">
        <v>89495600000</v>
      </c>
      <c r="N83" s="1065">
        <v>1063910074061</v>
      </c>
      <c r="O83" s="1065">
        <v>698559101634</v>
      </c>
      <c r="P83" s="1065">
        <v>1977987897290</v>
      </c>
      <c r="Q83" s="1065">
        <v>357148150000</v>
      </c>
      <c r="R83" s="1065">
        <v>625756750870</v>
      </c>
      <c r="S83" s="1065">
        <v>1244189668794</v>
      </c>
      <c r="T83" s="1065">
        <v>2200252536931</v>
      </c>
      <c r="U83" s="1065">
        <v>791249004879</v>
      </c>
      <c r="V83" s="1065">
        <v>2152660643000</v>
      </c>
      <c r="W83" s="1065">
        <v>1764574150000</v>
      </c>
      <c r="X83" s="1065">
        <v>3991914782431</v>
      </c>
      <c r="Y83" s="1065">
        <v>793188560328</v>
      </c>
      <c r="Z83" s="1065">
        <v>2757884863773</v>
      </c>
      <c r="AA83" s="1065">
        <v>2051871310168</v>
      </c>
      <c r="AB83" s="1065">
        <v>4625355923852</v>
      </c>
      <c r="AC83" s="1065">
        <v>572971681232</v>
      </c>
      <c r="AD83" s="1065">
        <v>1893566737756</v>
      </c>
      <c r="AE83" s="1065">
        <v>1973657583409</v>
      </c>
      <c r="AF83" s="1065">
        <v>2831976907317</v>
      </c>
      <c r="AG83" s="1065">
        <v>801426726186</v>
      </c>
      <c r="AH83" s="1065">
        <v>1944272427868</v>
      </c>
      <c r="AI83" s="1065">
        <v>4262672629310</v>
      </c>
      <c r="AJ83" s="1065">
        <v>4034715757572</v>
      </c>
      <c r="AK83" s="1065">
        <v>1314393700000</v>
      </c>
      <c r="AL83" s="1065">
        <v>2716420075056</v>
      </c>
      <c r="AM83" s="1065">
        <v>4708644982396</v>
      </c>
      <c r="AN83" s="1065">
        <v>6082159299879</v>
      </c>
      <c r="AO83" s="1065">
        <v>2057537500000</v>
      </c>
      <c r="AP83" s="1065">
        <v>5996544572197</v>
      </c>
      <c r="AQ83" s="1065">
        <v>3843065171598</v>
      </c>
    </row>
    <row r="84" spans="1:43">
      <c r="A84" s="1064" t="s">
        <v>925</v>
      </c>
      <c r="B84" s="1065">
        <v>2127447537</v>
      </c>
      <c r="C84" s="1065">
        <v>6178505677</v>
      </c>
      <c r="D84" s="1065">
        <v>1207</v>
      </c>
      <c r="E84" s="1065">
        <v>861411435</v>
      </c>
      <c r="F84" s="1065">
        <v>8834533426</v>
      </c>
      <c r="G84" s="1065">
        <v>0</v>
      </c>
      <c r="H84" s="1065">
        <v>11601489443</v>
      </c>
      <c r="I84" s="1065">
        <v>742918068</v>
      </c>
      <c r="J84" s="1065">
        <v>5743782052</v>
      </c>
      <c r="K84" s="1065">
        <v>5912</v>
      </c>
      <c r="L84" s="1065">
        <v>5912</v>
      </c>
      <c r="M84" s="1065">
        <v>6242</v>
      </c>
      <c r="N84" s="1065">
        <v>39414</v>
      </c>
      <c r="O84" s="1065">
        <v>2742788209</v>
      </c>
      <c r="P84" s="1065">
        <v>677906185</v>
      </c>
      <c r="Q84" s="1065">
        <v>828993924</v>
      </c>
      <c r="R84" s="1065">
        <v>39720</v>
      </c>
      <c r="S84" s="1065">
        <v>3193269634</v>
      </c>
      <c r="T84" s="1065">
        <v>13548456400</v>
      </c>
      <c r="U84" s="1065">
        <v>39884</v>
      </c>
      <c r="V84" s="1065">
        <v>939325442</v>
      </c>
      <c r="W84" s="1065">
        <v>39884</v>
      </c>
      <c r="X84" s="1065">
        <v>8888316060</v>
      </c>
      <c r="Y84" s="1065">
        <v>39884</v>
      </c>
      <c r="Z84" s="1065">
        <v>8331039873</v>
      </c>
      <c r="AA84" s="1065">
        <v>7401074967</v>
      </c>
      <c r="AB84" s="1065">
        <v>39884</v>
      </c>
      <c r="AC84" s="1065">
        <v>39884</v>
      </c>
      <c r="AD84" s="1065">
        <v>1104503043</v>
      </c>
      <c r="AE84" s="1065">
        <v>2197047441</v>
      </c>
      <c r="AF84" s="1065">
        <v>9468676918</v>
      </c>
      <c r="AG84" s="1065">
        <v>3036842514</v>
      </c>
      <c r="AH84" s="1065">
        <v>4673965098</v>
      </c>
      <c r="AI84" s="1065">
        <v>4453153241</v>
      </c>
      <c r="AJ84" s="1065">
        <v>39884</v>
      </c>
      <c r="AK84" s="1065">
        <v>3476838851</v>
      </c>
      <c r="AL84" s="1065">
        <v>22828123589</v>
      </c>
      <c r="AM84" s="1065">
        <v>53027136772</v>
      </c>
      <c r="AN84" s="1065">
        <v>30351750658</v>
      </c>
      <c r="AO84" s="1065">
        <v>26526853341</v>
      </c>
      <c r="AP84" s="1065">
        <v>144944813498</v>
      </c>
      <c r="AQ84" s="1065">
        <v>39884</v>
      </c>
    </row>
    <row r="85" spans="1:43">
      <c r="A85" s="1064" t="s">
        <v>926</v>
      </c>
      <c r="B85" s="1065">
        <v>-4554900331</v>
      </c>
      <c r="C85" s="1065">
        <v>-4460423264</v>
      </c>
      <c r="D85" s="1065">
        <v>-4468175358</v>
      </c>
      <c r="E85" s="1065">
        <v>-3553524836</v>
      </c>
      <c r="F85" s="1065">
        <v>-3371061874</v>
      </c>
      <c r="G85" s="1065">
        <v>-3496211036</v>
      </c>
      <c r="H85" s="1065">
        <v>-3491440862</v>
      </c>
      <c r="I85" s="1065">
        <v>-3565147303</v>
      </c>
      <c r="J85" s="1065">
        <v>-3541758165</v>
      </c>
      <c r="K85" s="1065">
        <v>-3554589609</v>
      </c>
      <c r="L85" s="1065">
        <v>-3641102450</v>
      </c>
      <c r="M85" s="1065">
        <v>-4624245052</v>
      </c>
      <c r="N85" s="1065">
        <v>-4160843963</v>
      </c>
      <c r="O85" s="1065">
        <v>-4493459379</v>
      </c>
      <c r="P85" s="1065">
        <v>-5246818763</v>
      </c>
      <c r="Q85" s="1065">
        <v>-5159016486</v>
      </c>
      <c r="R85" s="1065">
        <v>-7437459999</v>
      </c>
      <c r="S85" s="1065">
        <v>-7321802589</v>
      </c>
      <c r="T85" s="1065">
        <v>-8765215519</v>
      </c>
      <c r="U85" s="1065">
        <v>-8691380604</v>
      </c>
      <c r="V85" s="1065">
        <v>-9472226275</v>
      </c>
      <c r="W85" s="1065">
        <v>-10805006658</v>
      </c>
      <c r="X85" s="1065">
        <v>-10542771136</v>
      </c>
      <c r="Y85" s="1065">
        <v>-13561072961</v>
      </c>
      <c r="Z85" s="1065">
        <v>-13417755726</v>
      </c>
      <c r="AA85" s="1065">
        <v>-14499185952</v>
      </c>
      <c r="AB85" s="1065">
        <v>-12355351524</v>
      </c>
      <c r="AC85" s="1065">
        <v>-8098267179</v>
      </c>
      <c r="AD85" s="1065">
        <v>-8745298693</v>
      </c>
      <c r="AE85" s="1065">
        <v>-10431912467</v>
      </c>
      <c r="AF85" s="1065">
        <v>-11461205746</v>
      </c>
      <c r="AG85" s="1065">
        <v>-10749349416</v>
      </c>
      <c r="AH85" s="1065">
        <v>-10730591890</v>
      </c>
      <c r="AI85" s="1065">
        <v>-10881472066</v>
      </c>
      <c r="AJ85" s="1065">
        <v>-10082497923</v>
      </c>
      <c r="AK85" s="1065">
        <v>-10689870030</v>
      </c>
      <c r="AL85" s="1065">
        <v>-11811486954</v>
      </c>
      <c r="AM85" s="1065">
        <v>-10672559808</v>
      </c>
      <c r="AN85" s="1065">
        <v>-12001489931</v>
      </c>
      <c r="AO85" s="1065">
        <v>-10872581516</v>
      </c>
      <c r="AP85" s="1065">
        <v>-10860030835</v>
      </c>
      <c r="AQ85" s="1065">
        <v>-10919537205</v>
      </c>
    </row>
    <row r="86" spans="1:43">
      <c r="A86" s="1064" t="s">
        <v>927</v>
      </c>
      <c r="B86" s="1065">
        <v>-353295126</v>
      </c>
      <c r="C86" s="1065">
        <v>-336484843</v>
      </c>
      <c r="D86" s="1065">
        <v>-305752223</v>
      </c>
      <c r="E86" s="1065">
        <v>-301749745</v>
      </c>
      <c r="F86" s="1065">
        <v>-272439922</v>
      </c>
      <c r="G86" s="1065">
        <v>-279009020</v>
      </c>
      <c r="H86" s="1065">
        <v>-283103337</v>
      </c>
      <c r="I86" s="1065">
        <v>-248580090</v>
      </c>
      <c r="J86" s="1065">
        <v>-209393867</v>
      </c>
      <c r="K86" s="1065">
        <v>-180289480</v>
      </c>
      <c r="L86" s="1065">
        <v>-137292103</v>
      </c>
      <c r="M86" s="1065">
        <v>-140317262</v>
      </c>
      <c r="N86" s="1065">
        <v>-256402013</v>
      </c>
      <c r="O86" s="1065">
        <v>-502082144</v>
      </c>
      <c r="P86" s="1065">
        <v>-462787823</v>
      </c>
      <c r="Q86" s="1065">
        <v>-413697529</v>
      </c>
      <c r="R86" s="1065">
        <v>-617347693</v>
      </c>
      <c r="S86" s="1065">
        <v>-549431768</v>
      </c>
      <c r="T86" s="1065">
        <v>-511216042</v>
      </c>
      <c r="U86" s="1065">
        <v>-505392440</v>
      </c>
      <c r="V86" s="1065">
        <v>-473146020</v>
      </c>
      <c r="W86" s="1065">
        <v>-427200383</v>
      </c>
      <c r="X86" s="1065">
        <v>-391554191</v>
      </c>
      <c r="Y86" s="1065">
        <v>-381094222</v>
      </c>
      <c r="Z86" s="1065">
        <v>-348249422</v>
      </c>
      <c r="AA86" s="1065">
        <v>-401082641</v>
      </c>
      <c r="AB86" s="1065">
        <v>-369109734</v>
      </c>
      <c r="AC86" s="1065">
        <v>-589832242</v>
      </c>
      <c r="AD86" s="1065">
        <v>-521087020</v>
      </c>
      <c r="AE86" s="1065">
        <v>-443844975</v>
      </c>
      <c r="AF86" s="1065">
        <v>-387062037</v>
      </c>
      <c r="AG86" s="1065">
        <v>-226218478</v>
      </c>
      <c r="AH86" s="1065">
        <v>-202446675</v>
      </c>
      <c r="AI86" s="1065">
        <v>-144442785</v>
      </c>
      <c r="AJ86" s="1065">
        <v>-126815417</v>
      </c>
      <c r="AK86" s="1065">
        <v>-76357197</v>
      </c>
      <c r="AL86" s="1065">
        <v>-618464298</v>
      </c>
      <c r="AM86" s="1065">
        <v>-647459159</v>
      </c>
      <c r="AN86" s="1065">
        <v>-600247196</v>
      </c>
      <c r="AO86" s="1065">
        <v>-660760801</v>
      </c>
      <c r="AP86" s="1065">
        <v>-636443024</v>
      </c>
      <c r="AQ86" s="1065">
        <v>-1121334183</v>
      </c>
    </row>
    <row r="87" spans="1:43">
      <c r="A87" s="1062" t="s">
        <v>928</v>
      </c>
      <c r="B87" s="1063">
        <v>38474253497</v>
      </c>
      <c r="C87" s="1063">
        <v>32498179997</v>
      </c>
      <c r="D87" s="1063">
        <v>99395225477</v>
      </c>
      <c r="E87" s="1063">
        <v>99087911711</v>
      </c>
      <c r="F87" s="1063">
        <v>126290696503</v>
      </c>
      <c r="G87" s="1063">
        <v>138568101474</v>
      </c>
      <c r="H87" s="1063">
        <v>183197333195</v>
      </c>
      <c r="I87" s="1063">
        <v>153856651031</v>
      </c>
      <c r="J87" s="1063">
        <v>208112954019</v>
      </c>
      <c r="K87" s="1063">
        <v>268108246488</v>
      </c>
      <c r="L87" s="1063">
        <v>250162597041</v>
      </c>
      <c r="M87" s="1063">
        <v>162134307944</v>
      </c>
      <c r="N87" s="1063">
        <v>176556443200</v>
      </c>
      <c r="O87" s="1063">
        <v>161597472348</v>
      </c>
      <c r="P87" s="1063">
        <v>140583622143</v>
      </c>
      <c r="Q87" s="1063">
        <v>156639042740</v>
      </c>
      <c r="R87" s="1063">
        <v>213245406062</v>
      </c>
      <c r="S87" s="1063">
        <v>197629378559</v>
      </c>
      <c r="T87" s="1063">
        <v>182138689011</v>
      </c>
      <c r="U87" s="1063">
        <v>114671183632</v>
      </c>
      <c r="V87" s="1063">
        <v>194993972142</v>
      </c>
      <c r="W87" s="1063">
        <v>238935806868</v>
      </c>
      <c r="X87" s="1063">
        <v>195968345313</v>
      </c>
      <c r="Y87" s="1063">
        <v>158514072464</v>
      </c>
      <c r="Z87" s="1063">
        <v>247674764431</v>
      </c>
      <c r="AA87" s="1063">
        <v>353348756102</v>
      </c>
      <c r="AB87" s="1063">
        <v>408235573706</v>
      </c>
      <c r="AC87" s="1063">
        <v>334679068420</v>
      </c>
      <c r="AD87" s="1063">
        <v>406883565508</v>
      </c>
      <c r="AE87" s="1063">
        <v>405600718318</v>
      </c>
      <c r="AF87" s="1063">
        <v>438837826093</v>
      </c>
      <c r="AG87" s="1063">
        <v>417197569590</v>
      </c>
      <c r="AH87" s="1063">
        <v>488986143404</v>
      </c>
      <c r="AI87" s="1063">
        <v>510058766446</v>
      </c>
      <c r="AJ87" s="1063">
        <v>565218050882</v>
      </c>
      <c r="AK87" s="1063">
        <v>437717977989</v>
      </c>
      <c r="AL87" s="1063">
        <v>556880533619</v>
      </c>
      <c r="AM87" s="1063">
        <v>693271716355</v>
      </c>
      <c r="AN87" s="1063">
        <v>490431232809</v>
      </c>
      <c r="AO87" s="1063">
        <v>622099043757</v>
      </c>
      <c r="AP87" s="1063">
        <v>650693270551</v>
      </c>
      <c r="AQ87" s="1063">
        <v>788480379159</v>
      </c>
    </row>
    <row r="88" spans="1:43">
      <c r="A88" s="1064" t="s">
        <v>929</v>
      </c>
      <c r="B88" s="1065">
        <v>34577168807</v>
      </c>
      <c r="C88" s="1065">
        <v>28836940109</v>
      </c>
      <c r="D88" s="1065">
        <v>93991600663</v>
      </c>
      <c r="E88" s="1065">
        <v>94886204526</v>
      </c>
      <c r="F88" s="1065">
        <v>118597170955</v>
      </c>
      <c r="G88" s="1065">
        <v>130422831618</v>
      </c>
      <c r="H88" s="1065">
        <v>174690593681</v>
      </c>
      <c r="I88" s="1065">
        <v>145809877547</v>
      </c>
      <c r="J88" s="1065">
        <v>195214194709</v>
      </c>
      <c r="K88" s="1065">
        <v>250823252838</v>
      </c>
      <c r="L88" s="1065">
        <v>230205766430</v>
      </c>
      <c r="M88" s="1065">
        <v>142639849138</v>
      </c>
      <c r="N88" s="1065">
        <v>151787676360</v>
      </c>
      <c r="O88" s="1065">
        <v>138754039369</v>
      </c>
      <c r="P88" s="1065">
        <v>122618373157</v>
      </c>
      <c r="Q88" s="1065">
        <v>139445982909</v>
      </c>
      <c r="R88" s="1065">
        <v>194083814263</v>
      </c>
      <c r="S88" s="1065">
        <v>173361066649</v>
      </c>
      <c r="T88" s="1065">
        <v>164891869652</v>
      </c>
      <c r="U88" s="1065">
        <v>100689632735</v>
      </c>
      <c r="V88" s="1065">
        <v>181690970075</v>
      </c>
      <c r="W88" s="1065">
        <v>224715068728</v>
      </c>
      <c r="X88" s="1065">
        <v>180174894334</v>
      </c>
      <c r="Y88" s="1065">
        <v>140853927594</v>
      </c>
      <c r="Z88" s="1065">
        <v>228657898528</v>
      </c>
      <c r="AA88" s="1065">
        <v>338663745663</v>
      </c>
      <c r="AB88" s="1065">
        <v>387525581995</v>
      </c>
      <c r="AC88" s="1065">
        <v>312735638513</v>
      </c>
      <c r="AD88" s="1065">
        <v>392962125198</v>
      </c>
      <c r="AE88" s="1065">
        <v>393211241118</v>
      </c>
      <c r="AF88" s="1065">
        <v>428445967696</v>
      </c>
      <c r="AG88" s="1065">
        <v>403782754141</v>
      </c>
      <c r="AH88" s="1065">
        <v>476319595123</v>
      </c>
      <c r="AI88" s="1065">
        <v>494924475578</v>
      </c>
      <c r="AJ88" s="1065">
        <v>543373916721</v>
      </c>
      <c r="AK88" s="1065">
        <v>388351616812</v>
      </c>
      <c r="AL88" s="1065">
        <v>516141097782</v>
      </c>
      <c r="AM88" s="1065">
        <v>658223702032</v>
      </c>
      <c r="AN88" s="1065">
        <v>455195694230</v>
      </c>
      <c r="AO88" s="1065">
        <v>564647423911</v>
      </c>
      <c r="AP88" s="1065">
        <v>586489114616</v>
      </c>
      <c r="AQ88" s="1065">
        <v>666414010150</v>
      </c>
    </row>
    <row r="89" spans="1:43">
      <c r="A89" s="1064" t="s">
        <v>930</v>
      </c>
      <c r="B89" s="1065">
        <v>1798041812</v>
      </c>
      <c r="C89" s="1065">
        <v>1563132110</v>
      </c>
      <c r="D89" s="1065">
        <v>3305471436</v>
      </c>
      <c r="E89" s="1065">
        <v>2103073807</v>
      </c>
      <c r="F89" s="1065">
        <v>4279372170</v>
      </c>
      <c r="G89" s="1065">
        <v>4836281119</v>
      </c>
      <c r="H89" s="1065">
        <v>5212565136</v>
      </c>
      <c r="I89" s="1065">
        <v>4702735406</v>
      </c>
      <c r="J89" s="1065">
        <v>9556257132</v>
      </c>
      <c r="K89" s="1065">
        <v>13941296472</v>
      </c>
      <c r="L89" s="1065">
        <v>17835498572</v>
      </c>
      <c r="M89" s="1065">
        <v>17264372230</v>
      </c>
      <c r="N89" s="1065">
        <v>23606997136</v>
      </c>
      <c r="O89" s="1065">
        <v>21886710473</v>
      </c>
      <c r="P89" s="1065">
        <v>16998954980</v>
      </c>
      <c r="Q89" s="1065">
        <v>16223712825</v>
      </c>
      <c r="R89" s="1065">
        <v>18189169188</v>
      </c>
      <c r="S89" s="1065">
        <v>23301128226</v>
      </c>
      <c r="T89" s="1065">
        <v>16345635675</v>
      </c>
      <c r="U89" s="1065">
        <v>13483834515</v>
      </c>
      <c r="V89" s="1065">
        <v>12793585085</v>
      </c>
      <c r="W89" s="1065">
        <v>13412472258</v>
      </c>
      <c r="X89" s="1065">
        <v>14994895196</v>
      </c>
      <c r="Y89" s="1065">
        <v>14122286207</v>
      </c>
      <c r="Z89" s="1065">
        <v>15824696440</v>
      </c>
      <c r="AA89" s="1065">
        <v>11002972626</v>
      </c>
      <c r="AB89" s="1065">
        <v>17194484548</v>
      </c>
      <c r="AC89" s="1065">
        <v>17903283244</v>
      </c>
      <c r="AD89" s="1065">
        <v>9910763747</v>
      </c>
      <c r="AE89" s="1065">
        <v>8613719837</v>
      </c>
      <c r="AF89" s="1065">
        <v>6166085934</v>
      </c>
      <c r="AG89" s="1065">
        <v>5046441366</v>
      </c>
      <c r="AH89" s="1065">
        <v>4333386118</v>
      </c>
      <c r="AI89" s="1065">
        <v>6762551705</v>
      </c>
      <c r="AJ89" s="1065">
        <v>14225984610</v>
      </c>
      <c r="AK89" s="1065">
        <v>24417406916</v>
      </c>
      <c r="AL89" s="1065">
        <v>22552423896</v>
      </c>
      <c r="AM89" s="1065">
        <v>17176032422</v>
      </c>
      <c r="AN89" s="1065">
        <v>16553954916</v>
      </c>
      <c r="AO89" s="1065">
        <v>43255750486</v>
      </c>
      <c r="AP89" s="1065">
        <v>50477811920</v>
      </c>
      <c r="AQ89" s="1065">
        <v>76296432449</v>
      </c>
    </row>
    <row r="90" spans="1:43">
      <c r="A90" s="1064" t="s">
        <v>931</v>
      </c>
      <c r="B90" s="1065">
        <v>0</v>
      </c>
      <c r="C90" s="1065">
        <v>0</v>
      </c>
      <c r="D90" s="1065">
        <v>0</v>
      </c>
      <c r="E90" s="1065">
        <v>0</v>
      </c>
      <c r="F90" s="1065">
        <v>0</v>
      </c>
      <c r="G90" s="1065">
        <v>0</v>
      </c>
      <c r="H90" s="1065">
        <v>0</v>
      </c>
      <c r="I90" s="1065">
        <v>0</v>
      </c>
      <c r="J90" s="1065">
        <v>0</v>
      </c>
      <c r="K90" s="1065">
        <v>0</v>
      </c>
      <c r="L90" s="1065">
        <v>0</v>
      </c>
      <c r="M90" s="1065">
        <v>0</v>
      </c>
      <c r="N90" s="1065">
        <v>0</v>
      </c>
      <c r="O90" s="1065">
        <v>0</v>
      </c>
      <c r="P90" s="1065">
        <v>0</v>
      </c>
      <c r="Q90" s="1065">
        <v>0</v>
      </c>
      <c r="R90" s="1065">
        <v>0</v>
      </c>
      <c r="S90" s="1065">
        <v>0</v>
      </c>
      <c r="T90" s="1065">
        <v>0</v>
      </c>
      <c r="U90" s="1065">
        <v>0</v>
      </c>
      <c r="V90" s="1065">
        <v>0</v>
      </c>
      <c r="W90" s="1065">
        <v>0</v>
      </c>
      <c r="X90" s="1065">
        <v>0</v>
      </c>
      <c r="Y90" s="1065">
        <v>0</v>
      </c>
      <c r="Z90" s="1065">
        <v>0</v>
      </c>
      <c r="AA90" s="1065">
        <v>0</v>
      </c>
      <c r="AB90" s="1065">
        <v>0</v>
      </c>
      <c r="AC90" s="1065">
        <v>0</v>
      </c>
      <c r="AD90" s="1065">
        <v>0</v>
      </c>
      <c r="AE90" s="1065">
        <v>0</v>
      </c>
      <c r="AF90" s="1065">
        <v>0</v>
      </c>
      <c r="AG90" s="1065">
        <v>0</v>
      </c>
      <c r="AH90" s="1065">
        <v>0</v>
      </c>
      <c r="AI90" s="1065">
        <v>0</v>
      </c>
      <c r="AJ90" s="1065">
        <v>0</v>
      </c>
      <c r="AK90" s="1065">
        <v>0</v>
      </c>
      <c r="AL90" s="1065">
        <v>0</v>
      </c>
      <c r="AM90" s="1065">
        <v>0</v>
      </c>
      <c r="AN90" s="1065">
        <v>0</v>
      </c>
      <c r="AO90" s="1065">
        <v>0</v>
      </c>
      <c r="AP90" s="1065">
        <v>6407455</v>
      </c>
      <c r="AQ90" s="1065">
        <v>0</v>
      </c>
    </row>
    <row r="91" spans="1:43">
      <c r="A91" s="1064" t="s">
        <v>932</v>
      </c>
      <c r="B91" s="1065">
        <v>0</v>
      </c>
      <c r="C91" s="1065">
        <v>0</v>
      </c>
      <c r="D91" s="1065">
        <v>0</v>
      </c>
      <c r="E91" s="1065">
        <v>0</v>
      </c>
      <c r="F91" s="1065">
        <v>0</v>
      </c>
      <c r="G91" s="1065">
        <v>0</v>
      </c>
      <c r="H91" s="1065">
        <v>0</v>
      </c>
      <c r="I91" s="1065">
        <v>0</v>
      </c>
      <c r="J91" s="1065">
        <v>0</v>
      </c>
      <c r="K91" s="1065">
        <v>0</v>
      </c>
      <c r="L91" s="1065">
        <v>0</v>
      </c>
      <c r="M91" s="1065">
        <v>0</v>
      </c>
      <c r="N91" s="1065">
        <v>0</v>
      </c>
      <c r="O91" s="1065">
        <v>0</v>
      </c>
      <c r="P91" s="1065">
        <v>0</v>
      </c>
      <c r="Q91" s="1065">
        <v>0</v>
      </c>
      <c r="R91" s="1065">
        <v>0</v>
      </c>
      <c r="S91" s="1065">
        <v>0</v>
      </c>
      <c r="T91" s="1065">
        <v>0</v>
      </c>
      <c r="U91" s="1065">
        <v>0</v>
      </c>
      <c r="V91" s="1065">
        <v>0</v>
      </c>
      <c r="W91" s="1065">
        <v>0</v>
      </c>
      <c r="X91" s="1065">
        <v>0</v>
      </c>
      <c r="Y91" s="1065">
        <v>0</v>
      </c>
      <c r="Z91" s="1065">
        <v>0</v>
      </c>
      <c r="AA91" s="1065">
        <v>0</v>
      </c>
      <c r="AB91" s="1065">
        <v>0</v>
      </c>
      <c r="AC91" s="1065">
        <v>0</v>
      </c>
      <c r="AD91" s="1065">
        <v>0</v>
      </c>
      <c r="AE91" s="1065">
        <v>0</v>
      </c>
      <c r="AF91" s="1065">
        <v>0</v>
      </c>
      <c r="AG91" s="1065">
        <v>0</v>
      </c>
      <c r="AH91" s="1065">
        <v>0</v>
      </c>
      <c r="AI91" s="1065">
        <v>0</v>
      </c>
      <c r="AJ91" s="1065">
        <v>0</v>
      </c>
      <c r="AK91" s="1065">
        <v>0</v>
      </c>
      <c r="AL91" s="1065">
        <v>0</v>
      </c>
      <c r="AM91" s="1065">
        <v>0</v>
      </c>
      <c r="AN91" s="1065">
        <v>0</v>
      </c>
      <c r="AO91" s="1065">
        <v>0</v>
      </c>
      <c r="AP91" s="1065">
        <v>0</v>
      </c>
      <c r="AQ91" s="1065">
        <v>0</v>
      </c>
    </row>
    <row r="92" spans="1:43">
      <c r="A92" s="1064" t="s">
        <v>933</v>
      </c>
      <c r="B92" s="1065">
        <v>2099042878</v>
      </c>
      <c r="C92" s="1065">
        <v>2098107778</v>
      </c>
      <c r="D92" s="1065">
        <v>2098153378</v>
      </c>
      <c r="E92" s="1065">
        <v>2098633378</v>
      </c>
      <c r="F92" s="1065">
        <v>3414153378</v>
      </c>
      <c r="G92" s="1065">
        <v>3308988737</v>
      </c>
      <c r="H92" s="1065">
        <v>3294174378</v>
      </c>
      <c r="I92" s="1065">
        <v>3344038078</v>
      </c>
      <c r="J92" s="1065">
        <v>3342502178</v>
      </c>
      <c r="K92" s="1065">
        <v>3343697178</v>
      </c>
      <c r="L92" s="1065">
        <v>2121332039</v>
      </c>
      <c r="M92" s="1065">
        <v>2230086576</v>
      </c>
      <c r="N92" s="1065">
        <v>1161769704</v>
      </c>
      <c r="O92" s="1065">
        <v>956722506</v>
      </c>
      <c r="P92" s="1065">
        <v>966294006</v>
      </c>
      <c r="Q92" s="1065">
        <v>969347006</v>
      </c>
      <c r="R92" s="1065">
        <v>972422611</v>
      </c>
      <c r="S92" s="1065">
        <v>967183684</v>
      </c>
      <c r="T92" s="1065">
        <v>901183684</v>
      </c>
      <c r="U92" s="1065">
        <v>497716382</v>
      </c>
      <c r="V92" s="1065">
        <v>509416982</v>
      </c>
      <c r="W92" s="1065">
        <v>808265882</v>
      </c>
      <c r="X92" s="1065">
        <v>798555783</v>
      </c>
      <c r="Y92" s="1065">
        <v>3537858663</v>
      </c>
      <c r="Z92" s="1065">
        <v>3192169463</v>
      </c>
      <c r="AA92" s="1065">
        <v>3682037813</v>
      </c>
      <c r="AB92" s="1065">
        <v>3515507163</v>
      </c>
      <c r="AC92" s="1065">
        <v>4040146663</v>
      </c>
      <c r="AD92" s="1065">
        <v>4010676563</v>
      </c>
      <c r="AE92" s="1065">
        <v>3775757363</v>
      </c>
      <c r="AF92" s="1065">
        <v>4225772463</v>
      </c>
      <c r="AG92" s="1065">
        <v>8368374083</v>
      </c>
      <c r="AH92" s="1065">
        <v>8333162163</v>
      </c>
      <c r="AI92" s="1065">
        <v>8371739163</v>
      </c>
      <c r="AJ92" s="1065">
        <v>7618149551</v>
      </c>
      <c r="AK92" s="1065">
        <v>24948954261</v>
      </c>
      <c r="AL92" s="1065">
        <v>18187011941</v>
      </c>
      <c r="AM92" s="1065">
        <v>17871981901</v>
      </c>
      <c r="AN92" s="1065">
        <v>18681583663</v>
      </c>
      <c r="AO92" s="1065">
        <v>14195869360</v>
      </c>
      <c r="AP92" s="1065">
        <v>13719936560</v>
      </c>
      <c r="AQ92" s="1065">
        <v>45769936560</v>
      </c>
    </row>
    <row r="93" spans="1:43">
      <c r="A93" s="1060" t="s">
        <v>831</v>
      </c>
      <c r="B93" s="1061">
        <v>14989436525843</v>
      </c>
      <c r="C93" s="1061">
        <v>13777104849486</v>
      </c>
      <c r="D93" s="1061">
        <v>15415219410958</v>
      </c>
      <c r="E93" s="1061">
        <v>13434009204146</v>
      </c>
      <c r="F93" s="1061">
        <v>16587714845421</v>
      </c>
      <c r="G93" s="1061">
        <v>14642397243720</v>
      </c>
      <c r="H93" s="1061">
        <v>13614855496357</v>
      </c>
      <c r="I93" s="1061">
        <v>14672603352441</v>
      </c>
      <c r="J93" s="1061">
        <v>18652299912896</v>
      </c>
      <c r="K93" s="1061">
        <v>21164892921990</v>
      </c>
      <c r="L93" s="1061">
        <v>21539184858447</v>
      </c>
      <c r="M93" s="1061">
        <v>20293611492522</v>
      </c>
      <c r="N93" s="1061">
        <v>24807598513050</v>
      </c>
      <c r="O93" s="1061">
        <v>25377730866647</v>
      </c>
      <c r="P93" s="1061">
        <v>27255208793233</v>
      </c>
      <c r="Q93" s="1061">
        <v>25749742678569</v>
      </c>
      <c r="R93" s="1061">
        <v>27483890109271</v>
      </c>
      <c r="S93" s="1061">
        <v>29234627579305</v>
      </c>
      <c r="T93" s="1061">
        <v>29902253017966</v>
      </c>
      <c r="U93" s="1061">
        <v>30771023719132</v>
      </c>
      <c r="V93" s="1061">
        <v>34111621863576</v>
      </c>
      <c r="W93" s="1061">
        <v>35005423513401</v>
      </c>
      <c r="X93" s="1061">
        <v>36020543534189</v>
      </c>
      <c r="Y93" s="1061">
        <v>36883832582915</v>
      </c>
      <c r="Z93" s="1061">
        <v>41728729141252</v>
      </c>
      <c r="AA93" s="1061">
        <v>42807568647740</v>
      </c>
      <c r="AB93" s="1061">
        <v>42985116860486</v>
      </c>
      <c r="AC93" s="1061">
        <v>37816771926373</v>
      </c>
      <c r="AD93" s="1061">
        <v>40491745716525</v>
      </c>
      <c r="AE93" s="1061">
        <v>40780625124340</v>
      </c>
      <c r="AF93" s="1061">
        <v>40441272164558</v>
      </c>
      <c r="AG93" s="1061">
        <v>45304437309855</v>
      </c>
      <c r="AH93" s="1061">
        <v>45030569180219</v>
      </c>
      <c r="AI93" s="1061">
        <v>46293351100042</v>
      </c>
      <c r="AJ93" s="1061">
        <v>50035086464357</v>
      </c>
      <c r="AK93" s="1061">
        <v>52654486201389</v>
      </c>
      <c r="AL93" s="1061">
        <v>54528885347485</v>
      </c>
      <c r="AM93" s="1061">
        <v>58380619533722</v>
      </c>
      <c r="AN93" s="1061">
        <v>63556903157410</v>
      </c>
      <c r="AO93" s="1061">
        <v>64912749926609</v>
      </c>
      <c r="AP93" s="1061">
        <v>74150749186387</v>
      </c>
      <c r="AQ93" s="1061">
        <v>76833139288167</v>
      </c>
    </row>
    <row r="94" spans="1:43">
      <c r="A94" s="1062" t="s">
        <v>934</v>
      </c>
      <c r="B94" s="1063">
        <v>3452144590254</v>
      </c>
      <c r="C94" s="1063">
        <v>3458292703484</v>
      </c>
      <c r="D94" s="1063">
        <v>3226852699480</v>
      </c>
      <c r="E94" s="1063">
        <v>3101960266757</v>
      </c>
      <c r="F94" s="1063">
        <v>3003029176654</v>
      </c>
      <c r="G94" s="1063">
        <v>2918142258393</v>
      </c>
      <c r="H94" s="1063">
        <v>2893601803627</v>
      </c>
      <c r="I94" s="1063">
        <v>3069311007556</v>
      </c>
      <c r="J94" s="1063">
        <v>2807906731941</v>
      </c>
      <c r="K94" s="1063">
        <v>2598995578932</v>
      </c>
      <c r="L94" s="1063">
        <v>2393824574586</v>
      </c>
      <c r="M94" s="1063">
        <v>2218916885437</v>
      </c>
      <c r="N94" s="1063">
        <v>2079841207114</v>
      </c>
      <c r="O94" s="1063">
        <v>1878923219735</v>
      </c>
      <c r="P94" s="1063">
        <v>1698991187740</v>
      </c>
      <c r="Q94" s="1063">
        <v>2094118259184</v>
      </c>
      <c r="R94" s="1063">
        <v>1653816821473</v>
      </c>
      <c r="S94" s="1063">
        <v>1410073156475</v>
      </c>
      <c r="T94" s="1063">
        <v>1534824385603</v>
      </c>
      <c r="U94" s="1063">
        <v>1947158344729</v>
      </c>
      <c r="V94" s="1063">
        <v>1778133404207</v>
      </c>
      <c r="W94" s="1063">
        <v>1716457011883</v>
      </c>
      <c r="X94" s="1063">
        <v>1642095743378</v>
      </c>
      <c r="Y94" s="1063">
        <v>2551724156973</v>
      </c>
      <c r="Z94" s="1063">
        <v>2171185082924</v>
      </c>
      <c r="AA94" s="1063">
        <v>2340922837261</v>
      </c>
      <c r="AB94" s="1063">
        <v>2694249363623</v>
      </c>
      <c r="AC94" s="1063">
        <v>1907587152965</v>
      </c>
      <c r="AD94" s="1063">
        <v>2433370574092</v>
      </c>
      <c r="AE94" s="1063">
        <v>1972817959263</v>
      </c>
      <c r="AF94" s="1063">
        <v>1859000680508</v>
      </c>
      <c r="AG94" s="1063">
        <v>2082498732884</v>
      </c>
      <c r="AH94" s="1063">
        <v>2564161575876</v>
      </c>
      <c r="AI94" s="1063">
        <v>2318732946437</v>
      </c>
      <c r="AJ94" s="1063">
        <v>2541476850110</v>
      </c>
      <c r="AK94" s="1063">
        <v>3436978759377</v>
      </c>
      <c r="AL94" s="1063">
        <v>3579428385958</v>
      </c>
      <c r="AM94" s="1063">
        <v>4466507853486</v>
      </c>
      <c r="AN94" s="1063">
        <v>5161884313656</v>
      </c>
      <c r="AO94" s="1063">
        <v>5407349665027</v>
      </c>
      <c r="AP94" s="1063">
        <v>6496875940487</v>
      </c>
      <c r="AQ94" s="1063">
        <v>9860577319785</v>
      </c>
    </row>
    <row r="95" spans="1:43">
      <c r="A95" s="1064" t="s">
        <v>935</v>
      </c>
      <c r="B95" s="1065">
        <v>331189142811</v>
      </c>
      <c r="C95" s="1065">
        <v>428708001022</v>
      </c>
      <c r="D95" s="1065">
        <v>356747489889</v>
      </c>
      <c r="E95" s="1065">
        <v>319674248715</v>
      </c>
      <c r="F95" s="1065">
        <v>320896314406</v>
      </c>
      <c r="G95" s="1065">
        <v>325859275356</v>
      </c>
      <c r="H95" s="1065">
        <v>351868301611</v>
      </c>
      <c r="I95" s="1065">
        <v>620331111566</v>
      </c>
      <c r="J95" s="1065">
        <v>503354147622</v>
      </c>
      <c r="K95" s="1065">
        <v>554314623720</v>
      </c>
      <c r="L95" s="1065">
        <v>625356948375</v>
      </c>
      <c r="M95" s="1065">
        <v>562144634062</v>
      </c>
      <c r="N95" s="1065">
        <v>474884805593</v>
      </c>
      <c r="O95" s="1065">
        <v>495349397413</v>
      </c>
      <c r="P95" s="1065">
        <v>358809834517</v>
      </c>
      <c r="Q95" s="1065">
        <v>651908266101</v>
      </c>
      <c r="R95" s="1065">
        <v>667668189512</v>
      </c>
      <c r="S95" s="1065">
        <v>972817828004</v>
      </c>
      <c r="T95" s="1065">
        <v>981244307633</v>
      </c>
      <c r="U95" s="1065">
        <v>1376356198109</v>
      </c>
      <c r="V95" s="1065">
        <v>1275020839751</v>
      </c>
      <c r="W95" s="1065">
        <v>1227848385456</v>
      </c>
      <c r="X95" s="1065">
        <v>1056114790688</v>
      </c>
      <c r="Y95" s="1065">
        <v>1577435867211</v>
      </c>
      <c r="Z95" s="1065">
        <v>1327728384403</v>
      </c>
      <c r="AA95" s="1065">
        <v>1336958107757</v>
      </c>
      <c r="AB95" s="1065">
        <v>1450381109555</v>
      </c>
      <c r="AC95" s="1065">
        <v>1272566387031</v>
      </c>
      <c r="AD95" s="1065">
        <v>1585831970925</v>
      </c>
      <c r="AE95" s="1065">
        <v>1113418696987</v>
      </c>
      <c r="AF95" s="1065">
        <v>1275877809918</v>
      </c>
      <c r="AG95" s="1065">
        <v>1426752047787</v>
      </c>
      <c r="AH95" s="1065">
        <v>1292336471569</v>
      </c>
      <c r="AI95" s="1065">
        <v>1311362897351</v>
      </c>
      <c r="AJ95" s="1065">
        <v>1595373238003</v>
      </c>
      <c r="AK95" s="1065">
        <v>2204852533560</v>
      </c>
      <c r="AL95" s="1065">
        <v>2228909463827</v>
      </c>
      <c r="AM95" s="1065">
        <v>2773610742235</v>
      </c>
      <c r="AN95" s="1065">
        <v>3253870973318</v>
      </c>
      <c r="AO95" s="1065">
        <v>3589861846175</v>
      </c>
      <c r="AP95" s="1065">
        <v>4103343622325</v>
      </c>
      <c r="AQ95" s="1065">
        <v>7240839838301</v>
      </c>
    </row>
    <row r="96" spans="1:43">
      <c r="A96" s="1064" t="s">
        <v>936</v>
      </c>
      <c r="B96" s="1065">
        <v>283000000</v>
      </c>
      <c r="C96" s="1065">
        <v>283000000</v>
      </c>
      <c r="D96" s="1065">
        <v>0</v>
      </c>
      <c r="E96" s="1065">
        <v>0</v>
      </c>
      <c r="F96" s="1065">
        <v>0</v>
      </c>
      <c r="G96" s="1065">
        <v>0</v>
      </c>
      <c r="H96" s="1065">
        <v>0</v>
      </c>
      <c r="I96" s="1065">
        <v>0</v>
      </c>
      <c r="J96" s="1065">
        <v>0</v>
      </c>
      <c r="K96" s="1065">
        <v>0</v>
      </c>
      <c r="L96" s="1065">
        <v>0</v>
      </c>
      <c r="M96" s="1065">
        <v>0</v>
      </c>
      <c r="N96" s="1065">
        <v>0</v>
      </c>
      <c r="O96" s="1065">
        <v>73046081241</v>
      </c>
      <c r="P96" s="1065">
        <v>307962646311</v>
      </c>
      <c r="Q96" s="1065">
        <v>632140480954</v>
      </c>
      <c r="R96" s="1065">
        <v>528804592444</v>
      </c>
      <c r="S96" s="1065">
        <v>420309993735</v>
      </c>
      <c r="T96" s="1065">
        <v>521020298721</v>
      </c>
      <c r="U96" s="1065">
        <v>499792190171</v>
      </c>
      <c r="V96" s="1065">
        <v>468746813323</v>
      </c>
      <c r="W96" s="1065">
        <v>359769881491</v>
      </c>
      <c r="X96" s="1065">
        <v>359865446902</v>
      </c>
      <c r="Y96" s="1065">
        <v>720975540816</v>
      </c>
      <c r="Z96" s="1065">
        <v>586368161099</v>
      </c>
      <c r="AA96" s="1065">
        <v>182978557930</v>
      </c>
      <c r="AB96" s="1065">
        <v>338090646298</v>
      </c>
      <c r="AC96" s="1065">
        <v>449584184873</v>
      </c>
      <c r="AD96" s="1065">
        <v>559129816589</v>
      </c>
      <c r="AE96" s="1065">
        <v>614531823731</v>
      </c>
      <c r="AF96" s="1065">
        <v>437533724295</v>
      </c>
      <c r="AG96" s="1065">
        <v>444541873896</v>
      </c>
      <c r="AH96" s="1065">
        <v>951713107213</v>
      </c>
      <c r="AI96" s="1065">
        <v>842016804030</v>
      </c>
      <c r="AJ96" s="1065">
        <v>795046785339</v>
      </c>
      <c r="AK96" s="1065">
        <v>1005080650426</v>
      </c>
      <c r="AL96" s="1065">
        <v>1097273135335</v>
      </c>
      <c r="AM96" s="1065">
        <v>1436145481661</v>
      </c>
      <c r="AN96" s="1065">
        <v>1495502326155</v>
      </c>
      <c r="AO96" s="1065">
        <v>1556399155985</v>
      </c>
      <c r="AP96" s="1065">
        <v>1956838933954</v>
      </c>
      <c r="AQ96" s="1065">
        <v>2080192180056</v>
      </c>
    </row>
    <row r="97" spans="1:43">
      <c r="A97" s="1064" t="s">
        <v>937</v>
      </c>
      <c r="B97" s="1065">
        <v>143442467140</v>
      </c>
      <c r="C97" s="1065">
        <v>129172088357</v>
      </c>
      <c r="D97" s="1065">
        <v>117103747321</v>
      </c>
      <c r="E97" s="1065">
        <v>104057434283</v>
      </c>
      <c r="F97" s="1065">
        <v>91609626958</v>
      </c>
      <c r="G97" s="1065">
        <v>79581820634</v>
      </c>
      <c r="H97" s="1065">
        <v>67474838954</v>
      </c>
      <c r="I97" s="1065">
        <v>56656369522</v>
      </c>
      <c r="J97" s="1065">
        <v>45326386802</v>
      </c>
      <c r="K97" s="1065">
        <v>32459086648</v>
      </c>
      <c r="L97" s="1065">
        <v>24088696728</v>
      </c>
      <c r="M97" s="1065">
        <v>18848972351</v>
      </c>
      <c r="N97" s="1065">
        <v>13293597451</v>
      </c>
      <c r="O97" s="1065">
        <v>7925661440</v>
      </c>
      <c r="P97" s="1065">
        <v>4411113700</v>
      </c>
      <c r="Q97" s="1065">
        <v>1932622500</v>
      </c>
      <c r="R97" s="1065">
        <v>75624000</v>
      </c>
      <c r="S97" s="1065">
        <v>0</v>
      </c>
      <c r="T97" s="1065">
        <v>0</v>
      </c>
      <c r="U97" s="1065">
        <v>0</v>
      </c>
      <c r="V97" s="1065">
        <v>0</v>
      </c>
      <c r="W97" s="1065">
        <v>0</v>
      </c>
      <c r="X97" s="1065">
        <v>0</v>
      </c>
      <c r="Y97" s="1065">
        <v>0</v>
      </c>
      <c r="Z97" s="1065">
        <v>0</v>
      </c>
      <c r="AA97" s="1065">
        <v>0</v>
      </c>
      <c r="AB97" s="1065">
        <v>0</v>
      </c>
      <c r="AC97" s="1065">
        <v>0</v>
      </c>
      <c r="AD97" s="1065">
        <v>0</v>
      </c>
      <c r="AE97" s="1065">
        <v>0</v>
      </c>
      <c r="AF97" s="1065">
        <v>0</v>
      </c>
      <c r="AG97" s="1065">
        <v>0</v>
      </c>
      <c r="AH97" s="1065">
        <v>0</v>
      </c>
      <c r="AI97" s="1065">
        <v>0</v>
      </c>
      <c r="AJ97" s="1065">
        <v>0</v>
      </c>
      <c r="AK97" s="1065">
        <v>0</v>
      </c>
      <c r="AL97" s="1065">
        <v>0</v>
      </c>
      <c r="AM97" s="1065">
        <v>0</v>
      </c>
      <c r="AN97" s="1065">
        <v>0</v>
      </c>
      <c r="AO97" s="1065">
        <v>0</v>
      </c>
      <c r="AP97" s="1065">
        <v>0</v>
      </c>
      <c r="AQ97" s="1065">
        <v>0</v>
      </c>
    </row>
    <row r="98" spans="1:43">
      <c r="A98" s="1064" t="s">
        <v>938</v>
      </c>
      <c r="B98" s="1065">
        <v>76195538289</v>
      </c>
      <c r="C98" s="1065">
        <v>70065777549</v>
      </c>
      <c r="D98" s="1065">
        <v>28482416130</v>
      </c>
      <c r="E98" s="1065">
        <v>14878545605</v>
      </c>
      <c r="F98" s="1065">
        <v>6753402246</v>
      </c>
      <c r="G98" s="1065">
        <v>8182345087</v>
      </c>
      <c r="H98" s="1065">
        <v>3379594948</v>
      </c>
      <c r="I98" s="1065">
        <v>5309166905</v>
      </c>
      <c r="J98" s="1065">
        <v>4129849617</v>
      </c>
      <c r="K98" s="1065">
        <v>2738860338</v>
      </c>
      <c r="L98" s="1065">
        <v>2870466699</v>
      </c>
      <c r="M98" s="1065">
        <v>2811472310</v>
      </c>
      <c r="N98" s="1065">
        <v>2007994105</v>
      </c>
      <c r="O98" s="1065">
        <v>3445139558</v>
      </c>
      <c r="P98" s="1065">
        <v>2168491387</v>
      </c>
      <c r="Q98" s="1065">
        <v>2075578937</v>
      </c>
      <c r="R98" s="1065">
        <v>615086414</v>
      </c>
      <c r="S98" s="1065">
        <v>0</v>
      </c>
      <c r="T98" s="1065">
        <v>0</v>
      </c>
      <c r="U98" s="1065">
        <v>0</v>
      </c>
      <c r="V98" s="1065">
        <v>0</v>
      </c>
      <c r="W98" s="1065">
        <v>0</v>
      </c>
      <c r="X98" s="1065">
        <v>0</v>
      </c>
      <c r="Y98" s="1065">
        <v>0</v>
      </c>
      <c r="Z98" s="1065">
        <v>0</v>
      </c>
      <c r="AA98" s="1065">
        <v>0</v>
      </c>
      <c r="AB98" s="1065">
        <v>0</v>
      </c>
      <c r="AC98" s="1065">
        <v>0</v>
      </c>
      <c r="AD98" s="1065">
        <v>0</v>
      </c>
      <c r="AE98" s="1065">
        <v>0</v>
      </c>
      <c r="AF98" s="1065">
        <v>0</v>
      </c>
      <c r="AG98" s="1065">
        <v>0</v>
      </c>
      <c r="AH98" s="1065">
        <v>0</v>
      </c>
      <c r="AI98" s="1065">
        <v>0</v>
      </c>
      <c r="AJ98" s="1065">
        <v>0</v>
      </c>
      <c r="AK98" s="1065">
        <v>0</v>
      </c>
      <c r="AL98" s="1065">
        <v>0</v>
      </c>
      <c r="AM98" s="1065">
        <v>0</v>
      </c>
      <c r="AN98" s="1065">
        <v>0</v>
      </c>
      <c r="AO98" s="1065">
        <v>0</v>
      </c>
      <c r="AP98" s="1065">
        <v>0</v>
      </c>
      <c r="AQ98" s="1065">
        <v>0</v>
      </c>
    </row>
    <row r="99" spans="1:43">
      <c r="A99" s="1064" t="s">
        <v>939</v>
      </c>
      <c r="B99" s="1065">
        <v>2912388891670</v>
      </c>
      <c r="C99" s="1065">
        <v>2839256639465</v>
      </c>
      <c r="D99" s="1065">
        <v>2732165792472</v>
      </c>
      <c r="E99" s="1065">
        <v>2669376107903</v>
      </c>
      <c r="F99" s="1065">
        <v>2588131756469</v>
      </c>
      <c r="G99" s="1065">
        <v>2507801535995</v>
      </c>
      <c r="H99" s="1065">
        <v>2470396565240</v>
      </c>
      <c r="I99" s="1065">
        <v>2385585808866</v>
      </c>
      <c r="J99" s="1065">
        <v>2253648430806</v>
      </c>
      <c r="K99" s="1065">
        <v>2007590720378</v>
      </c>
      <c r="L99" s="1065">
        <v>1741071443080</v>
      </c>
      <c r="M99" s="1065">
        <v>1634410028018</v>
      </c>
      <c r="N99" s="1065">
        <v>1588289688515</v>
      </c>
      <c r="O99" s="1065">
        <v>1296811553365</v>
      </c>
      <c r="P99" s="1065">
        <v>1021856982941</v>
      </c>
      <c r="Q99" s="1065">
        <v>802656104362</v>
      </c>
      <c r="R99" s="1065">
        <v>453895980109</v>
      </c>
      <c r="S99" s="1065">
        <v>0</v>
      </c>
      <c r="T99" s="1065">
        <v>0</v>
      </c>
      <c r="U99" s="1065">
        <v>0</v>
      </c>
      <c r="V99" s="1065">
        <v>0</v>
      </c>
      <c r="W99" s="1065">
        <v>0</v>
      </c>
      <c r="X99" s="1065">
        <v>0</v>
      </c>
      <c r="Y99" s="1065">
        <v>0</v>
      </c>
      <c r="Z99" s="1065">
        <v>0</v>
      </c>
      <c r="AA99" s="1065">
        <v>0</v>
      </c>
      <c r="AB99" s="1065">
        <v>0</v>
      </c>
      <c r="AC99" s="1065">
        <v>0</v>
      </c>
      <c r="AD99" s="1065">
        <v>0</v>
      </c>
      <c r="AE99" s="1065">
        <v>0</v>
      </c>
      <c r="AF99" s="1065">
        <v>0</v>
      </c>
      <c r="AG99" s="1065">
        <v>0</v>
      </c>
      <c r="AH99" s="1065">
        <v>0</v>
      </c>
      <c r="AI99" s="1065">
        <v>0</v>
      </c>
      <c r="AJ99" s="1065">
        <v>0</v>
      </c>
      <c r="AK99" s="1065">
        <v>0</v>
      </c>
      <c r="AL99" s="1065">
        <v>0</v>
      </c>
      <c r="AM99" s="1065">
        <v>0</v>
      </c>
      <c r="AN99" s="1065">
        <v>0</v>
      </c>
      <c r="AO99" s="1065">
        <v>0</v>
      </c>
      <c r="AP99" s="1065">
        <v>0</v>
      </c>
      <c r="AQ99" s="1065">
        <v>0</v>
      </c>
    </row>
    <row r="100" spans="1:43">
      <c r="A100" s="1064" t="s">
        <v>940</v>
      </c>
      <c r="B100" s="1065"/>
      <c r="C100" s="1065"/>
      <c r="D100" s="1065"/>
      <c r="E100" s="1065"/>
      <c r="F100" s="1065"/>
      <c r="G100" s="1065"/>
      <c r="H100" s="1065"/>
      <c r="I100" s="1065"/>
      <c r="J100" s="1065"/>
      <c r="K100" s="1065">
        <v>0</v>
      </c>
      <c r="L100" s="1065">
        <v>0</v>
      </c>
      <c r="M100" s="1065">
        <v>0</v>
      </c>
      <c r="N100" s="1065">
        <v>0</v>
      </c>
      <c r="O100" s="1065">
        <v>0</v>
      </c>
      <c r="P100" s="1065">
        <v>0</v>
      </c>
      <c r="Q100" s="1065">
        <v>0</v>
      </c>
      <c r="R100" s="1065">
        <v>0</v>
      </c>
      <c r="S100" s="1065">
        <v>0</v>
      </c>
      <c r="T100" s="1065">
        <v>0</v>
      </c>
      <c r="U100" s="1065">
        <v>0</v>
      </c>
      <c r="V100" s="1065">
        <v>0</v>
      </c>
      <c r="W100" s="1065">
        <v>0</v>
      </c>
      <c r="X100" s="1065">
        <v>0</v>
      </c>
      <c r="Y100" s="1065">
        <v>0</v>
      </c>
      <c r="Z100" s="1065">
        <v>0</v>
      </c>
      <c r="AA100" s="1065">
        <v>0</v>
      </c>
      <c r="AB100" s="1065">
        <v>0</v>
      </c>
      <c r="AC100" s="1065">
        <v>0</v>
      </c>
      <c r="AD100" s="1065">
        <v>0</v>
      </c>
      <c r="AE100" s="1065">
        <v>0</v>
      </c>
      <c r="AF100" s="1065">
        <v>0</v>
      </c>
      <c r="AG100" s="1065">
        <v>0</v>
      </c>
      <c r="AH100" s="1065">
        <v>0</v>
      </c>
      <c r="AI100" s="1065">
        <v>0</v>
      </c>
      <c r="AJ100" s="1065">
        <v>0</v>
      </c>
      <c r="AK100" s="1065">
        <v>0</v>
      </c>
      <c r="AL100" s="1065">
        <v>0</v>
      </c>
      <c r="AM100" s="1065">
        <v>0</v>
      </c>
      <c r="AN100" s="1065">
        <v>0</v>
      </c>
      <c r="AO100" s="1065">
        <v>0</v>
      </c>
      <c r="AP100" s="1065">
        <v>0</v>
      </c>
      <c r="AQ100" s="1065">
        <v>0</v>
      </c>
    </row>
    <row r="101" spans="1:43">
      <c r="A101" s="1064" t="s">
        <v>941</v>
      </c>
      <c r="B101" s="1065">
        <v>1179814751</v>
      </c>
      <c r="C101" s="1065">
        <v>1369793188</v>
      </c>
      <c r="D101" s="1065">
        <v>1154943853</v>
      </c>
      <c r="E101" s="1065">
        <v>1184222220</v>
      </c>
      <c r="F101" s="1065">
        <v>1456029249</v>
      </c>
      <c r="G101" s="1065">
        <v>1323723387</v>
      </c>
      <c r="H101" s="1065">
        <v>4015176464</v>
      </c>
      <c r="I101" s="1065">
        <v>4072290625</v>
      </c>
      <c r="J101" s="1065">
        <v>3376914837</v>
      </c>
      <c r="K101" s="1065">
        <v>3288755238</v>
      </c>
      <c r="L101" s="1065">
        <v>1406518454</v>
      </c>
      <c r="M101" s="1065">
        <v>1328298701</v>
      </c>
      <c r="N101" s="1065">
        <v>1732727616</v>
      </c>
      <c r="O101" s="1065">
        <v>2534848939</v>
      </c>
      <c r="P101" s="1065">
        <v>3864940789</v>
      </c>
      <c r="Q101" s="1065">
        <v>3419703786</v>
      </c>
      <c r="R101" s="1065">
        <v>2757348994</v>
      </c>
      <c r="S101" s="1065">
        <v>16945334736</v>
      </c>
      <c r="T101" s="1065">
        <v>32559779249</v>
      </c>
      <c r="U101" s="1065">
        <v>71009956449</v>
      </c>
      <c r="V101" s="1065">
        <v>34365751133</v>
      </c>
      <c r="W101" s="1065">
        <v>128838744936</v>
      </c>
      <c r="X101" s="1065">
        <v>226115505788</v>
      </c>
      <c r="Y101" s="1065">
        <v>253312748946</v>
      </c>
      <c r="Z101" s="1065">
        <v>257088537422</v>
      </c>
      <c r="AA101" s="1065">
        <v>820986171574</v>
      </c>
      <c r="AB101" s="1065">
        <v>905777607770</v>
      </c>
      <c r="AC101" s="1065">
        <v>185436581061</v>
      </c>
      <c r="AD101" s="1065">
        <v>288408786578</v>
      </c>
      <c r="AE101" s="1065">
        <v>244867438545</v>
      </c>
      <c r="AF101" s="1065">
        <v>145589146295</v>
      </c>
      <c r="AG101" s="1065">
        <v>211204811201</v>
      </c>
      <c r="AH101" s="1065">
        <v>320111997094</v>
      </c>
      <c r="AI101" s="1065">
        <v>165353245056</v>
      </c>
      <c r="AJ101" s="1065">
        <v>151056826768</v>
      </c>
      <c r="AK101" s="1065">
        <v>227045575391</v>
      </c>
      <c r="AL101" s="1065">
        <v>253245786796</v>
      </c>
      <c r="AM101" s="1065">
        <v>256751629590</v>
      </c>
      <c r="AN101" s="1065">
        <v>412511014183</v>
      </c>
      <c r="AO101" s="1065">
        <v>261088662867</v>
      </c>
      <c r="AP101" s="1065">
        <v>436693384208</v>
      </c>
      <c r="AQ101" s="1065">
        <v>539545301428</v>
      </c>
    </row>
    <row r="102" spans="1:43">
      <c r="A102" s="1064" t="s">
        <v>942</v>
      </c>
      <c r="B102" s="1065">
        <v>-12534264407</v>
      </c>
      <c r="C102" s="1065">
        <v>-10562596097</v>
      </c>
      <c r="D102" s="1065">
        <v>-8801690185</v>
      </c>
      <c r="E102" s="1065">
        <v>-7210291969</v>
      </c>
      <c r="F102" s="1065">
        <v>-5817952674</v>
      </c>
      <c r="G102" s="1065">
        <v>-4606442066</v>
      </c>
      <c r="H102" s="1065">
        <v>-3532673590</v>
      </c>
      <c r="I102" s="1065">
        <v>-2643739928</v>
      </c>
      <c r="J102" s="1065">
        <v>-1928997743</v>
      </c>
      <c r="K102" s="1065">
        <v>-1396467390</v>
      </c>
      <c r="L102" s="1065">
        <v>-969498750</v>
      </c>
      <c r="M102" s="1065">
        <v>-626520005</v>
      </c>
      <c r="N102" s="1065">
        <v>-367606166</v>
      </c>
      <c r="O102" s="1065">
        <v>-189462221</v>
      </c>
      <c r="P102" s="1065">
        <v>-82821905</v>
      </c>
      <c r="Q102" s="1065">
        <v>-14497456</v>
      </c>
      <c r="R102" s="1065">
        <v>0</v>
      </c>
      <c r="S102" s="1065">
        <v>0</v>
      </c>
      <c r="T102" s="1065">
        <v>0</v>
      </c>
      <c r="U102" s="1065">
        <v>0</v>
      </c>
      <c r="V102" s="1065">
        <v>0</v>
      </c>
      <c r="W102" s="1065">
        <v>0</v>
      </c>
      <c r="X102" s="1065">
        <v>0</v>
      </c>
      <c r="Y102" s="1065">
        <v>0</v>
      </c>
      <c r="Z102" s="1065">
        <v>0</v>
      </c>
      <c r="AA102" s="1065">
        <v>0</v>
      </c>
      <c r="AB102" s="1065">
        <v>0</v>
      </c>
      <c r="AC102" s="1065">
        <v>0</v>
      </c>
      <c r="AD102" s="1065">
        <v>0</v>
      </c>
      <c r="AE102" s="1065">
        <v>0</v>
      </c>
      <c r="AF102" s="1065">
        <v>0</v>
      </c>
      <c r="AG102" s="1065">
        <v>0</v>
      </c>
      <c r="AH102" s="1065">
        <v>0</v>
      </c>
      <c r="AI102" s="1065">
        <v>0</v>
      </c>
      <c r="AJ102" s="1065">
        <v>0</v>
      </c>
      <c r="AK102" s="1065">
        <v>0</v>
      </c>
      <c r="AL102" s="1065">
        <v>0</v>
      </c>
      <c r="AM102" s="1065">
        <v>0</v>
      </c>
      <c r="AN102" s="1065">
        <v>0</v>
      </c>
      <c r="AO102" s="1065">
        <v>0</v>
      </c>
      <c r="AP102" s="1065">
        <v>0</v>
      </c>
      <c r="AQ102" s="1065">
        <v>0</v>
      </c>
    </row>
    <row r="103" spans="1:43">
      <c r="A103" s="1062" t="s">
        <v>943</v>
      </c>
      <c r="B103" s="1063">
        <v>864516256502</v>
      </c>
      <c r="C103" s="1063">
        <v>1194866002244</v>
      </c>
      <c r="D103" s="1063">
        <v>1285004844407</v>
      </c>
      <c r="E103" s="1063">
        <v>1971774260078</v>
      </c>
      <c r="F103" s="1063">
        <v>2828461270327</v>
      </c>
      <c r="G103" s="1063">
        <v>1819665445808</v>
      </c>
      <c r="H103" s="1063">
        <v>1993369337411</v>
      </c>
      <c r="I103" s="1063">
        <v>1853689257135</v>
      </c>
      <c r="J103" s="1063">
        <v>2676834151349</v>
      </c>
      <c r="K103" s="1063">
        <v>2321599161240</v>
      </c>
      <c r="L103" s="1063">
        <v>2909708743978</v>
      </c>
      <c r="M103" s="1063">
        <v>2404712683241</v>
      </c>
      <c r="N103" s="1063">
        <v>2274471963207</v>
      </c>
      <c r="O103" s="1063">
        <v>2525674137799</v>
      </c>
      <c r="P103" s="1063">
        <v>2811040226644</v>
      </c>
      <c r="Q103" s="1063">
        <v>3019506512966</v>
      </c>
      <c r="R103" s="1063">
        <v>4333774571576</v>
      </c>
      <c r="S103" s="1063">
        <v>3049585603933</v>
      </c>
      <c r="T103" s="1063">
        <v>4266769340732</v>
      </c>
      <c r="U103" s="1063">
        <v>4611950842860</v>
      </c>
      <c r="V103" s="1063">
        <v>5119043783905</v>
      </c>
      <c r="W103" s="1063">
        <v>6483129289720</v>
      </c>
      <c r="X103" s="1063">
        <v>6417802175907</v>
      </c>
      <c r="Y103" s="1063">
        <v>4677134062895</v>
      </c>
      <c r="Z103" s="1063">
        <v>7434409456009</v>
      </c>
      <c r="AA103" s="1063">
        <v>9154730737265</v>
      </c>
      <c r="AB103" s="1063">
        <v>10058155436869</v>
      </c>
      <c r="AC103" s="1063">
        <v>5032483421671</v>
      </c>
      <c r="AD103" s="1063">
        <v>6924982979215</v>
      </c>
      <c r="AE103" s="1063">
        <v>7296029950760</v>
      </c>
      <c r="AF103" s="1063">
        <v>8105176202264</v>
      </c>
      <c r="AG103" s="1063">
        <v>6829500848559</v>
      </c>
      <c r="AH103" s="1063">
        <v>7846928733649</v>
      </c>
      <c r="AI103" s="1063">
        <v>6903290056582</v>
      </c>
      <c r="AJ103" s="1063">
        <v>8623528314928</v>
      </c>
      <c r="AK103" s="1063">
        <v>9025483356903</v>
      </c>
      <c r="AL103" s="1063">
        <v>9366018954586</v>
      </c>
      <c r="AM103" s="1063">
        <v>9805317262888</v>
      </c>
      <c r="AN103" s="1063">
        <v>11720891948666</v>
      </c>
      <c r="AO103" s="1063">
        <v>12986147185573</v>
      </c>
      <c r="AP103" s="1063">
        <v>15511528320758</v>
      </c>
      <c r="AQ103" s="1063">
        <v>13076186039431</v>
      </c>
    </row>
    <row r="104" spans="1:43">
      <c r="A104" s="1064" t="s">
        <v>854</v>
      </c>
      <c r="B104" s="1065">
        <v>733890238580</v>
      </c>
      <c r="C104" s="1065">
        <v>1052697112915</v>
      </c>
      <c r="D104" s="1065">
        <v>1149352651247</v>
      </c>
      <c r="E104" s="1065">
        <v>1868617761355</v>
      </c>
      <c r="F104" s="1065">
        <v>2746249321140</v>
      </c>
      <c r="G104" s="1065">
        <v>1746965794193</v>
      </c>
      <c r="H104" s="1065">
        <v>1932803293115</v>
      </c>
      <c r="I104" s="1065">
        <v>1790814839791</v>
      </c>
      <c r="J104" s="1065">
        <v>2570833923168</v>
      </c>
      <c r="K104" s="1065">
        <v>2090881953274</v>
      </c>
      <c r="L104" s="1065">
        <v>2744794653876</v>
      </c>
      <c r="M104" s="1065">
        <v>1787217221945</v>
      </c>
      <c r="N104" s="1065">
        <v>2130522881614</v>
      </c>
      <c r="O104" s="1065">
        <v>2341590471024</v>
      </c>
      <c r="P104" s="1065">
        <v>2547162712036</v>
      </c>
      <c r="Q104" s="1065">
        <v>2962333832075</v>
      </c>
      <c r="R104" s="1065">
        <v>3213936880259</v>
      </c>
      <c r="S104" s="1065">
        <v>2665425777105</v>
      </c>
      <c r="T104" s="1065">
        <v>3906622444642</v>
      </c>
      <c r="U104" s="1065">
        <v>4322265280348</v>
      </c>
      <c r="V104" s="1065">
        <v>4958185572536</v>
      </c>
      <c r="W104" s="1065">
        <v>6385223378156</v>
      </c>
      <c r="X104" s="1065">
        <v>5834047249906</v>
      </c>
      <c r="Y104" s="1065">
        <v>4259810971769</v>
      </c>
      <c r="Z104" s="1065">
        <v>6708016581177</v>
      </c>
      <c r="AA104" s="1065">
        <v>8035915532759</v>
      </c>
      <c r="AB104" s="1065">
        <v>8082831736344</v>
      </c>
      <c r="AC104" s="1065">
        <v>4016832081185</v>
      </c>
      <c r="AD104" s="1065">
        <v>6128446792372</v>
      </c>
      <c r="AE104" s="1065">
        <v>6404795957034</v>
      </c>
      <c r="AF104" s="1065">
        <v>7170320812008</v>
      </c>
      <c r="AG104" s="1065">
        <v>5718335344938</v>
      </c>
      <c r="AH104" s="1065">
        <v>7028950483650</v>
      </c>
      <c r="AI104" s="1065">
        <v>6385712123849</v>
      </c>
      <c r="AJ104" s="1065">
        <v>7954085784658</v>
      </c>
      <c r="AK104" s="1065">
        <v>8263283712308</v>
      </c>
      <c r="AL104" s="1065">
        <v>8458420034547</v>
      </c>
      <c r="AM104" s="1065">
        <v>8575767162513</v>
      </c>
      <c r="AN104" s="1065">
        <v>10219262917509</v>
      </c>
      <c r="AO104" s="1065">
        <v>11895345274708</v>
      </c>
      <c r="AP104" s="1065">
        <v>13911254523698</v>
      </c>
      <c r="AQ104" s="1065">
        <v>10663352824463</v>
      </c>
    </row>
    <row r="105" spans="1:43">
      <c r="A105" s="1064" t="s">
        <v>944</v>
      </c>
      <c r="B105" s="1065">
        <v>130626017922</v>
      </c>
      <c r="C105" s="1065">
        <v>142168889329</v>
      </c>
      <c r="D105" s="1065">
        <v>135652193160</v>
      </c>
      <c r="E105" s="1065">
        <v>103156498723</v>
      </c>
      <c r="F105" s="1065">
        <v>82211949187</v>
      </c>
      <c r="G105" s="1065">
        <v>72699651615</v>
      </c>
      <c r="H105" s="1065">
        <v>60566044296</v>
      </c>
      <c r="I105" s="1065">
        <v>62874417344</v>
      </c>
      <c r="J105" s="1065">
        <v>106000228181</v>
      </c>
      <c r="K105" s="1065">
        <v>230717207966</v>
      </c>
      <c r="L105" s="1065">
        <v>164914090102</v>
      </c>
      <c r="M105" s="1065">
        <v>617495461296</v>
      </c>
      <c r="N105" s="1065">
        <v>143949081593</v>
      </c>
      <c r="O105" s="1065">
        <v>184083666775</v>
      </c>
      <c r="P105" s="1065">
        <v>263877514608</v>
      </c>
      <c r="Q105" s="1065">
        <v>57172680891</v>
      </c>
      <c r="R105" s="1065">
        <v>1119837691317</v>
      </c>
      <c r="S105" s="1065">
        <v>384159826828</v>
      </c>
      <c r="T105" s="1065">
        <v>360146896090</v>
      </c>
      <c r="U105" s="1065">
        <v>289685562512</v>
      </c>
      <c r="V105" s="1065">
        <v>160858211369</v>
      </c>
      <c r="W105" s="1065">
        <v>97905911564</v>
      </c>
      <c r="X105" s="1065">
        <v>583754926001</v>
      </c>
      <c r="Y105" s="1065">
        <v>417323091126</v>
      </c>
      <c r="Z105" s="1065">
        <v>726392874832</v>
      </c>
      <c r="AA105" s="1065">
        <v>1118815204506</v>
      </c>
      <c r="AB105" s="1065">
        <v>1975323700525</v>
      </c>
      <c r="AC105" s="1065">
        <v>1015651340486</v>
      </c>
      <c r="AD105" s="1065">
        <v>796536186843</v>
      </c>
      <c r="AE105" s="1065">
        <v>891233993726</v>
      </c>
      <c r="AF105" s="1065">
        <v>934855390256</v>
      </c>
      <c r="AG105" s="1065">
        <v>1111165503621</v>
      </c>
      <c r="AH105" s="1065">
        <v>817978249999</v>
      </c>
      <c r="AI105" s="1065">
        <v>517577932733</v>
      </c>
      <c r="AJ105" s="1065">
        <v>669442530270</v>
      </c>
      <c r="AK105" s="1065">
        <v>762199644595</v>
      </c>
      <c r="AL105" s="1065">
        <v>907598920039</v>
      </c>
      <c r="AM105" s="1065">
        <v>1229550100375</v>
      </c>
      <c r="AN105" s="1065">
        <v>1501629031157</v>
      </c>
      <c r="AO105" s="1065">
        <v>1090801910865</v>
      </c>
      <c r="AP105" s="1065">
        <v>1600273797060</v>
      </c>
      <c r="AQ105" s="1065">
        <v>2412833214968</v>
      </c>
    </row>
    <row r="106" spans="1:43">
      <c r="A106" s="1062" t="s">
        <v>945</v>
      </c>
      <c r="B106" s="1063"/>
      <c r="C106" s="1063"/>
      <c r="D106" s="1063"/>
      <c r="E106" s="1063"/>
      <c r="F106" s="1063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3"/>
      <c r="AE106" s="1063"/>
      <c r="AF106" s="1063"/>
      <c r="AG106" s="1063"/>
      <c r="AH106" s="1063"/>
      <c r="AI106" s="1063"/>
      <c r="AJ106" s="1063"/>
      <c r="AK106" s="1063"/>
      <c r="AL106" s="1063"/>
      <c r="AM106" s="1063"/>
      <c r="AN106" s="1063">
        <v>0</v>
      </c>
      <c r="AO106" s="1063">
        <v>134183100</v>
      </c>
      <c r="AP106" s="1063">
        <v>1741156600</v>
      </c>
      <c r="AQ106" s="1063">
        <v>2001456500</v>
      </c>
    </row>
    <row r="107" spans="1:43">
      <c r="A107" s="1064" t="s">
        <v>946</v>
      </c>
      <c r="B107" s="1065"/>
      <c r="C107" s="1065"/>
      <c r="D107" s="1065"/>
      <c r="E107" s="1065"/>
      <c r="F107" s="1065"/>
      <c r="G107" s="1065"/>
      <c r="H107" s="1065"/>
      <c r="I107" s="1065"/>
      <c r="J107" s="1065"/>
      <c r="K107" s="1065"/>
      <c r="L107" s="1065"/>
      <c r="M107" s="1065"/>
      <c r="N107" s="1065"/>
      <c r="O107" s="1065"/>
      <c r="P107" s="1065"/>
      <c r="Q107" s="1065"/>
      <c r="R107" s="1065"/>
      <c r="S107" s="1065"/>
      <c r="T107" s="1065"/>
      <c r="U107" s="1065"/>
      <c r="V107" s="1065"/>
      <c r="W107" s="1065"/>
      <c r="X107" s="1065"/>
      <c r="Y107" s="1065"/>
      <c r="Z107" s="1065"/>
      <c r="AA107" s="1065"/>
      <c r="AB107" s="1065"/>
      <c r="AC107" s="1065"/>
      <c r="AD107" s="1065"/>
      <c r="AE107" s="1065"/>
      <c r="AF107" s="1065"/>
      <c r="AG107" s="1065"/>
      <c r="AH107" s="1065"/>
      <c r="AI107" s="1065"/>
      <c r="AJ107" s="1065"/>
      <c r="AK107" s="1065"/>
      <c r="AL107" s="1065"/>
      <c r="AM107" s="1065"/>
      <c r="AN107" s="1065">
        <v>0</v>
      </c>
      <c r="AO107" s="1065">
        <v>134183100</v>
      </c>
      <c r="AP107" s="1065">
        <v>1741156600</v>
      </c>
      <c r="AQ107" s="1065">
        <v>2001456500</v>
      </c>
    </row>
    <row r="108" spans="1:43">
      <c r="A108" s="1062" t="s">
        <v>947</v>
      </c>
      <c r="B108" s="1063">
        <v>475529778901</v>
      </c>
      <c r="C108" s="1063">
        <v>497893404583</v>
      </c>
      <c r="D108" s="1063">
        <v>571859142223</v>
      </c>
      <c r="E108" s="1063">
        <v>654429685106</v>
      </c>
      <c r="F108" s="1063">
        <v>486489624515</v>
      </c>
      <c r="G108" s="1063">
        <v>647291273953</v>
      </c>
      <c r="H108" s="1063">
        <v>529532421726</v>
      </c>
      <c r="I108" s="1063">
        <v>447145120977</v>
      </c>
      <c r="J108" s="1063">
        <v>1125460213785</v>
      </c>
      <c r="K108" s="1063">
        <v>3199159306557</v>
      </c>
      <c r="L108" s="1063">
        <v>3589507990051</v>
      </c>
      <c r="M108" s="1063">
        <v>3440116590158</v>
      </c>
      <c r="N108" s="1063">
        <v>3006051812094</v>
      </c>
      <c r="O108" s="1063">
        <v>3758783819241</v>
      </c>
      <c r="P108" s="1063">
        <v>4239736258100</v>
      </c>
      <c r="Q108" s="1063">
        <v>4324621257984</v>
      </c>
      <c r="R108" s="1063">
        <v>3062754530397</v>
      </c>
      <c r="S108" s="1063">
        <v>4573605836008</v>
      </c>
      <c r="T108" s="1063">
        <v>3652168145691</v>
      </c>
      <c r="U108" s="1063">
        <v>3244187074669</v>
      </c>
      <c r="V108" s="1063">
        <v>3645548566830</v>
      </c>
      <c r="W108" s="1063">
        <v>3588953657669</v>
      </c>
      <c r="X108" s="1063">
        <v>3471210923437</v>
      </c>
      <c r="Y108" s="1063">
        <v>6312501109840</v>
      </c>
      <c r="Z108" s="1063">
        <v>6598732347872</v>
      </c>
      <c r="AA108" s="1063">
        <v>8810590763611</v>
      </c>
      <c r="AB108" s="1063">
        <v>9742040681412</v>
      </c>
      <c r="AC108" s="1063">
        <v>10553407596025</v>
      </c>
      <c r="AD108" s="1063">
        <v>10666299563935</v>
      </c>
      <c r="AE108" s="1063">
        <v>10967294814647</v>
      </c>
      <c r="AF108" s="1063">
        <v>10652042821477</v>
      </c>
      <c r="AG108" s="1063">
        <v>14143893610349</v>
      </c>
      <c r="AH108" s="1063">
        <v>13235964714227</v>
      </c>
      <c r="AI108" s="1063">
        <v>11304535964457</v>
      </c>
      <c r="AJ108" s="1063">
        <v>10949700309837</v>
      </c>
      <c r="AK108" s="1063">
        <v>11914722464982</v>
      </c>
      <c r="AL108" s="1063">
        <v>11256527868816</v>
      </c>
      <c r="AM108" s="1063">
        <v>11029543082944</v>
      </c>
      <c r="AN108" s="1063">
        <v>11413378899815</v>
      </c>
      <c r="AO108" s="1063">
        <v>11789798614468</v>
      </c>
      <c r="AP108" s="1063">
        <v>12479764988324</v>
      </c>
      <c r="AQ108" s="1063">
        <v>13232348481198</v>
      </c>
    </row>
    <row r="109" spans="1:43">
      <c r="A109" s="1064" t="s">
        <v>948</v>
      </c>
      <c r="B109" s="1065">
        <v>476151187366</v>
      </c>
      <c r="C109" s="1065">
        <v>498773886747</v>
      </c>
      <c r="D109" s="1065">
        <v>572581845930</v>
      </c>
      <c r="E109" s="1065">
        <v>641684310954</v>
      </c>
      <c r="F109" s="1065">
        <v>472250647065</v>
      </c>
      <c r="G109" s="1065">
        <v>621248489380</v>
      </c>
      <c r="H109" s="1065">
        <v>504476563151</v>
      </c>
      <c r="I109" s="1065">
        <v>447383796278</v>
      </c>
      <c r="J109" s="1065">
        <v>1072584717165</v>
      </c>
      <c r="K109" s="1065">
        <v>3077309153254</v>
      </c>
      <c r="L109" s="1065">
        <v>3463853215846</v>
      </c>
      <c r="M109" s="1065">
        <v>3264115732574</v>
      </c>
      <c r="N109" s="1065">
        <v>2832941955508</v>
      </c>
      <c r="O109" s="1065">
        <v>3482977792738</v>
      </c>
      <c r="P109" s="1065">
        <v>3897346169013</v>
      </c>
      <c r="Q109" s="1065">
        <v>3931570258780</v>
      </c>
      <c r="R109" s="1065">
        <v>2686232223751</v>
      </c>
      <c r="S109" s="1065">
        <v>4159926911984</v>
      </c>
      <c r="T109" s="1065">
        <v>3215254027041</v>
      </c>
      <c r="U109" s="1065">
        <v>2748616138323</v>
      </c>
      <c r="V109" s="1065">
        <v>3114056541460</v>
      </c>
      <c r="W109" s="1065">
        <v>3055611772245</v>
      </c>
      <c r="X109" s="1065">
        <v>2892069293444</v>
      </c>
      <c r="Y109" s="1065">
        <v>5785840611142</v>
      </c>
      <c r="Z109" s="1065">
        <v>6069233372443</v>
      </c>
      <c r="AA109" s="1065">
        <v>7203664527731</v>
      </c>
      <c r="AB109" s="1065">
        <v>7489502089010</v>
      </c>
      <c r="AC109" s="1065">
        <v>8305714597159</v>
      </c>
      <c r="AD109" s="1065">
        <v>8343679818081</v>
      </c>
      <c r="AE109" s="1065">
        <v>8424569000104</v>
      </c>
      <c r="AF109" s="1065">
        <v>8495808694411</v>
      </c>
      <c r="AG109" s="1065">
        <v>9689440591242</v>
      </c>
      <c r="AH109" s="1065">
        <v>9394634366305</v>
      </c>
      <c r="AI109" s="1065">
        <v>8521672720869</v>
      </c>
      <c r="AJ109" s="1065">
        <v>7921749639976</v>
      </c>
      <c r="AK109" s="1065">
        <v>7738234912762</v>
      </c>
      <c r="AL109" s="1065">
        <v>8209295688316</v>
      </c>
      <c r="AM109" s="1065">
        <v>8406528486281</v>
      </c>
      <c r="AN109" s="1065">
        <v>8398928279926</v>
      </c>
      <c r="AO109" s="1065">
        <v>9301797887872</v>
      </c>
      <c r="AP109" s="1065">
        <v>9328516981155</v>
      </c>
      <c r="AQ109" s="1065">
        <v>10064463029600</v>
      </c>
    </row>
    <row r="110" spans="1:43">
      <c r="A110" s="1064" t="s">
        <v>949</v>
      </c>
      <c r="B110" s="1065"/>
      <c r="C110" s="1065"/>
      <c r="D110" s="1065"/>
      <c r="E110" s="1065">
        <v>13253118343</v>
      </c>
      <c r="F110" s="1065">
        <v>14730258108</v>
      </c>
      <c r="G110" s="1065">
        <v>26017754476</v>
      </c>
      <c r="H110" s="1065">
        <v>25091080290</v>
      </c>
      <c r="I110" s="1065">
        <v>392068912</v>
      </c>
      <c r="J110" s="1065">
        <v>0</v>
      </c>
      <c r="K110" s="1065">
        <v>15921706691</v>
      </c>
      <c r="L110" s="1065">
        <v>19132772848</v>
      </c>
      <c r="M110" s="1065">
        <v>68609781568</v>
      </c>
      <c r="N110" s="1065">
        <v>81415766381</v>
      </c>
      <c r="O110" s="1065">
        <v>134065251489</v>
      </c>
      <c r="P110" s="1065">
        <v>155692160052</v>
      </c>
      <c r="Q110" s="1065">
        <v>235326289319</v>
      </c>
      <c r="R110" s="1065">
        <v>247180180322</v>
      </c>
      <c r="S110" s="1065">
        <v>286656474290</v>
      </c>
      <c r="T110" s="1065">
        <v>329939147870</v>
      </c>
      <c r="U110" s="1065">
        <v>339361285910</v>
      </c>
      <c r="V110" s="1065">
        <v>252736792556</v>
      </c>
      <c r="W110" s="1065">
        <v>254369159699</v>
      </c>
      <c r="X110" s="1065">
        <v>318412191781</v>
      </c>
      <c r="Y110" s="1065">
        <v>263561805562</v>
      </c>
      <c r="Z110" s="1065">
        <v>279089975585</v>
      </c>
      <c r="AA110" s="1065">
        <v>1337530935273</v>
      </c>
      <c r="AB110" s="1065">
        <v>2014716618438</v>
      </c>
      <c r="AC110" s="1065">
        <v>2047574050679</v>
      </c>
      <c r="AD110" s="1065">
        <v>2173968094486</v>
      </c>
      <c r="AE110" s="1065">
        <v>2431256265474</v>
      </c>
      <c r="AF110" s="1065">
        <v>2072238770237</v>
      </c>
      <c r="AG110" s="1065">
        <v>4407676807654</v>
      </c>
      <c r="AH110" s="1065">
        <v>3807799754131</v>
      </c>
      <c r="AI110" s="1065">
        <v>2766617832016</v>
      </c>
      <c r="AJ110" s="1065">
        <v>3011951909346</v>
      </c>
      <c r="AK110" s="1065">
        <v>4171090586543</v>
      </c>
      <c r="AL110" s="1065">
        <v>3021693427943</v>
      </c>
      <c r="AM110" s="1065">
        <v>2598967261073</v>
      </c>
      <c r="AN110" s="1065">
        <v>2953996437956</v>
      </c>
      <c r="AO110" s="1065">
        <v>2411939474481</v>
      </c>
      <c r="AP110" s="1065">
        <v>3069750636645</v>
      </c>
      <c r="AQ110" s="1065">
        <v>3110556963745</v>
      </c>
    </row>
    <row r="111" spans="1:43">
      <c r="A111" s="1064" t="s">
        <v>862</v>
      </c>
      <c r="B111" s="1065">
        <v>-621408465</v>
      </c>
      <c r="C111" s="1065">
        <v>-880482164</v>
      </c>
      <c r="D111" s="1065">
        <v>-722703707</v>
      </c>
      <c r="E111" s="1065">
        <v>-507744191</v>
      </c>
      <c r="F111" s="1065">
        <v>-491280658</v>
      </c>
      <c r="G111" s="1065">
        <v>25030097</v>
      </c>
      <c r="H111" s="1065">
        <v>-35221715</v>
      </c>
      <c r="I111" s="1065">
        <v>-630744213</v>
      </c>
      <c r="J111" s="1065">
        <v>52875496620</v>
      </c>
      <c r="K111" s="1065">
        <v>105928446612</v>
      </c>
      <c r="L111" s="1065">
        <v>106522001357</v>
      </c>
      <c r="M111" s="1065">
        <v>107391076016</v>
      </c>
      <c r="N111" s="1065">
        <v>91694090205</v>
      </c>
      <c r="O111" s="1065">
        <v>141740775014</v>
      </c>
      <c r="P111" s="1065">
        <v>186697929035</v>
      </c>
      <c r="Q111" s="1065">
        <v>157724709885</v>
      </c>
      <c r="R111" s="1065">
        <v>129342126324</v>
      </c>
      <c r="S111" s="1065">
        <v>127022449734</v>
      </c>
      <c r="T111" s="1065">
        <v>106974970780</v>
      </c>
      <c r="U111" s="1065">
        <v>156209650436</v>
      </c>
      <c r="V111" s="1065">
        <v>278755232814</v>
      </c>
      <c r="W111" s="1065">
        <v>278972725725</v>
      </c>
      <c r="X111" s="1065">
        <v>260729438212</v>
      </c>
      <c r="Y111" s="1065">
        <v>263098693136</v>
      </c>
      <c r="Z111" s="1065">
        <v>250408999844</v>
      </c>
      <c r="AA111" s="1065">
        <v>269395300607</v>
      </c>
      <c r="AB111" s="1065">
        <v>237821973964</v>
      </c>
      <c r="AC111" s="1065">
        <v>200118948187</v>
      </c>
      <c r="AD111" s="1065">
        <v>148651651368</v>
      </c>
      <c r="AE111" s="1065">
        <v>111469549069</v>
      </c>
      <c r="AF111" s="1065">
        <v>83995356829</v>
      </c>
      <c r="AG111" s="1065">
        <v>46776211453</v>
      </c>
      <c r="AH111" s="1065">
        <v>33530593791</v>
      </c>
      <c r="AI111" s="1065">
        <v>16245411572</v>
      </c>
      <c r="AJ111" s="1065">
        <v>15998760515</v>
      </c>
      <c r="AK111" s="1065">
        <v>5396965677</v>
      </c>
      <c r="AL111" s="1065">
        <v>25538752557</v>
      </c>
      <c r="AM111" s="1065">
        <v>24047335590</v>
      </c>
      <c r="AN111" s="1065">
        <v>60454181933</v>
      </c>
      <c r="AO111" s="1065">
        <v>76061252115</v>
      </c>
      <c r="AP111" s="1065">
        <v>81497370524</v>
      </c>
      <c r="AQ111" s="1065">
        <v>57328487853</v>
      </c>
    </row>
    <row r="112" spans="1:43">
      <c r="A112" s="1062" t="s">
        <v>950</v>
      </c>
      <c r="B112" s="1063">
        <v>6978400205438</v>
      </c>
      <c r="C112" s="1063">
        <v>6173342572411</v>
      </c>
      <c r="D112" s="1063">
        <v>7388371416261</v>
      </c>
      <c r="E112" s="1063">
        <v>6786218732308</v>
      </c>
      <c r="F112" s="1063">
        <v>7184635707775</v>
      </c>
      <c r="G112" s="1063">
        <v>6293286955201</v>
      </c>
      <c r="H112" s="1063">
        <v>5553592871331</v>
      </c>
      <c r="I112" s="1063">
        <v>7582790272458</v>
      </c>
      <c r="J112" s="1063">
        <v>8784691040694</v>
      </c>
      <c r="K112" s="1063">
        <v>10222704432722</v>
      </c>
      <c r="L112" s="1063">
        <v>8423090979399</v>
      </c>
      <c r="M112" s="1063">
        <v>9401481797112</v>
      </c>
      <c r="N112" s="1063">
        <v>11907801286919</v>
      </c>
      <c r="O112" s="1063">
        <v>12104012698434</v>
      </c>
      <c r="P112" s="1063">
        <v>12521595119045</v>
      </c>
      <c r="Q112" s="1063">
        <v>12606907622798</v>
      </c>
      <c r="R112" s="1063">
        <v>13120730735645</v>
      </c>
      <c r="S112" s="1063">
        <v>14201464032855</v>
      </c>
      <c r="T112" s="1063">
        <v>14365371273074</v>
      </c>
      <c r="U112" s="1063">
        <v>16324744321131</v>
      </c>
      <c r="V112" s="1063">
        <v>16353347402770</v>
      </c>
      <c r="W112" s="1063">
        <v>15958958574943</v>
      </c>
      <c r="X112" s="1063">
        <v>15311221689513</v>
      </c>
      <c r="Y112" s="1063">
        <v>18477389918955</v>
      </c>
      <c r="Z112" s="1063">
        <v>17789830093342</v>
      </c>
      <c r="AA112" s="1063">
        <v>15809785754061</v>
      </c>
      <c r="AB112" s="1063">
        <v>11702457352942</v>
      </c>
      <c r="AC112" s="1063">
        <v>15992216502052</v>
      </c>
      <c r="AD112" s="1063">
        <v>13643294960151</v>
      </c>
      <c r="AE112" s="1063">
        <v>13931313679497</v>
      </c>
      <c r="AF112" s="1063">
        <v>12569751134290</v>
      </c>
      <c r="AG112" s="1063">
        <v>16418437259869</v>
      </c>
      <c r="AH112" s="1063">
        <v>13630714634858</v>
      </c>
      <c r="AI112" s="1063">
        <v>15345231338979</v>
      </c>
      <c r="AJ112" s="1063">
        <v>17483756659254</v>
      </c>
      <c r="AK112" s="1063">
        <v>20903939615916</v>
      </c>
      <c r="AL112" s="1063">
        <v>19453048337243</v>
      </c>
      <c r="AM112" s="1063">
        <v>20460397540527</v>
      </c>
      <c r="AN112" s="1063">
        <v>20135833822800</v>
      </c>
      <c r="AO112" s="1063">
        <v>24713003015998</v>
      </c>
      <c r="AP112" s="1063">
        <v>23001817278564</v>
      </c>
      <c r="AQ112" s="1063">
        <v>23555704843204</v>
      </c>
    </row>
    <row r="113" spans="1:43">
      <c r="A113" s="1064" t="s">
        <v>951</v>
      </c>
      <c r="B113" s="1065">
        <v>0</v>
      </c>
      <c r="C113" s="1065">
        <v>0</v>
      </c>
      <c r="D113" s="1065">
        <v>0</v>
      </c>
      <c r="E113" s="1065">
        <v>0</v>
      </c>
      <c r="F113" s="1065">
        <v>0</v>
      </c>
      <c r="G113" s="1065">
        <v>100000000000</v>
      </c>
      <c r="H113" s="1065">
        <v>110000000000</v>
      </c>
      <c r="I113" s="1065">
        <v>90000000000</v>
      </c>
      <c r="J113" s="1065">
        <v>130000000000</v>
      </c>
      <c r="K113" s="1065">
        <v>130000000000</v>
      </c>
      <c r="L113" s="1065">
        <v>170000000000</v>
      </c>
      <c r="M113" s="1065">
        <v>110000000000</v>
      </c>
      <c r="N113" s="1065">
        <v>210000000000</v>
      </c>
      <c r="O113" s="1065">
        <v>280000000000</v>
      </c>
      <c r="P113" s="1065">
        <v>280000000000</v>
      </c>
      <c r="Q113" s="1065">
        <v>254200000000</v>
      </c>
      <c r="R113" s="1065">
        <v>220000000000</v>
      </c>
      <c r="S113" s="1065">
        <v>190000000000</v>
      </c>
      <c r="T113" s="1065">
        <v>210000000000</v>
      </c>
      <c r="U113" s="1065">
        <v>210000000000</v>
      </c>
      <c r="V113" s="1065">
        <v>220000000000</v>
      </c>
      <c r="W113" s="1065">
        <v>120000000000</v>
      </c>
      <c r="X113" s="1065">
        <v>0</v>
      </c>
      <c r="Y113" s="1065">
        <v>0</v>
      </c>
      <c r="Z113" s="1065">
        <v>0</v>
      </c>
      <c r="AA113" s="1065">
        <v>0</v>
      </c>
      <c r="AB113" s="1065">
        <v>0</v>
      </c>
      <c r="AC113" s="1065">
        <v>0</v>
      </c>
      <c r="AD113" s="1065">
        <v>0</v>
      </c>
      <c r="AE113" s="1065">
        <v>0</v>
      </c>
      <c r="AF113" s="1065">
        <v>0</v>
      </c>
      <c r="AG113" s="1065">
        <v>0</v>
      </c>
      <c r="AH113" s="1065">
        <v>0</v>
      </c>
      <c r="AI113" s="1065">
        <v>0</v>
      </c>
      <c r="AJ113" s="1065">
        <v>0</v>
      </c>
      <c r="AK113" s="1065">
        <v>0</v>
      </c>
      <c r="AL113" s="1065">
        <v>0</v>
      </c>
      <c r="AM113" s="1065">
        <v>0</v>
      </c>
      <c r="AN113" s="1065">
        <v>0</v>
      </c>
      <c r="AO113" s="1065">
        <v>690000000000</v>
      </c>
      <c r="AP113" s="1065">
        <v>430000000000</v>
      </c>
      <c r="AQ113" s="1065">
        <v>730000000000</v>
      </c>
    </row>
    <row r="114" spans="1:43">
      <c r="A114" s="1064" t="s">
        <v>952</v>
      </c>
      <c r="B114" s="1065">
        <v>590000000000</v>
      </c>
      <c r="C114" s="1065">
        <v>780000000000</v>
      </c>
      <c r="D114" s="1065">
        <v>1080000000000</v>
      </c>
      <c r="E114" s="1065">
        <v>1434600000000</v>
      </c>
      <c r="F114" s="1065">
        <v>1085000000000</v>
      </c>
      <c r="G114" s="1065">
        <v>665000000000</v>
      </c>
      <c r="H114" s="1065">
        <v>965000000000</v>
      </c>
      <c r="I114" s="1065">
        <v>1065000000000</v>
      </c>
      <c r="J114" s="1065">
        <v>1010005101160</v>
      </c>
      <c r="K114" s="1065">
        <v>1434758299463</v>
      </c>
      <c r="L114" s="1065">
        <v>2156985798215</v>
      </c>
      <c r="M114" s="1065">
        <v>2454441963684</v>
      </c>
      <c r="N114" s="1065">
        <v>2773102994746</v>
      </c>
      <c r="O114" s="1065">
        <v>2821247861582</v>
      </c>
      <c r="P114" s="1065">
        <v>2558508287653</v>
      </c>
      <c r="Q114" s="1065">
        <v>2649109086296</v>
      </c>
      <c r="R114" s="1065">
        <v>2270863807284</v>
      </c>
      <c r="S114" s="1065">
        <v>2872713931175</v>
      </c>
      <c r="T114" s="1065">
        <v>2692575072515</v>
      </c>
      <c r="U114" s="1065">
        <v>2461523463313</v>
      </c>
      <c r="V114" s="1065">
        <v>2638430530553</v>
      </c>
      <c r="W114" s="1065">
        <v>2514292578321</v>
      </c>
      <c r="X114" s="1065">
        <v>2550635222815</v>
      </c>
      <c r="Y114" s="1065">
        <v>2414419552381</v>
      </c>
      <c r="Z114" s="1065">
        <v>2383789449821</v>
      </c>
      <c r="AA114" s="1065">
        <v>1676861815094</v>
      </c>
      <c r="AB114" s="1065">
        <v>1817842245321</v>
      </c>
      <c r="AC114" s="1065">
        <v>1747289494401</v>
      </c>
      <c r="AD114" s="1065">
        <v>1018031714298</v>
      </c>
      <c r="AE114" s="1065">
        <v>990231283586</v>
      </c>
      <c r="AF114" s="1065">
        <v>620836434592</v>
      </c>
      <c r="AG114" s="1065">
        <v>671005937243</v>
      </c>
      <c r="AH114" s="1065">
        <v>470699152010</v>
      </c>
      <c r="AI114" s="1065">
        <v>540914954040</v>
      </c>
      <c r="AJ114" s="1065">
        <v>1094051028195</v>
      </c>
      <c r="AK114" s="1065">
        <v>1899541363234</v>
      </c>
      <c r="AL114" s="1065">
        <v>1581755779932</v>
      </c>
      <c r="AM114" s="1065">
        <v>1527425826624</v>
      </c>
      <c r="AN114" s="1065">
        <v>1762638052154</v>
      </c>
      <c r="AO114" s="1065">
        <v>2511524490501</v>
      </c>
      <c r="AP114" s="1065">
        <v>3530525638767</v>
      </c>
      <c r="AQ114" s="1065">
        <v>4378623095118</v>
      </c>
    </row>
    <row r="115" spans="1:43">
      <c r="A115" s="1064" t="s">
        <v>953</v>
      </c>
      <c r="B115" s="1065">
        <v>6388400205438</v>
      </c>
      <c r="C115" s="1065">
        <v>5393342572411</v>
      </c>
      <c r="D115" s="1065">
        <v>6308371416261</v>
      </c>
      <c r="E115" s="1065">
        <v>5351618732308</v>
      </c>
      <c r="F115" s="1065">
        <v>6099635707775</v>
      </c>
      <c r="G115" s="1065">
        <v>5528286955201</v>
      </c>
      <c r="H115" s="1065">
        <v>4478592871331</v>
      </c>
      <c r="I115" s="1065">
        <v>6427790272458</v>
      </c>
      <c r="J115" s="1065">
        <v>7644685939534</v>
      </c>
      <c r="K115" s="1065">
        <v>8657946133259</v>
      </c>
      <c r="L115" s="1065">
        <v>6096105181184</v>
      </c>
      <c r="M115" s="1065">
        <v>6837039833428</v>
      </c>
      <c r="N115" s="1065">
        <v>8924698292173</v>
      </c>
      <c r="O115" s="1065">
        <v>9002764836852</v>
      </c>
      <c r="P115" s="1065">
        <v>9683086831392</v>
      </c>
      <c r="Q115" s="1065">
        <v>9703598536502</v>
      </c>
      <c r="R115" s="1065">
        <v>10629866928361</v>
      </c>
      <c r="S115" s="1065">
        <v>11138750101680</v>
      </c>
      <c r="T115" s="1065">
        <v>11462796200559</v>
      </c>
      <c r="U115" s="1065">
        <v>13653220857818</v>
      </c>
      <c r="V115" s="1065">
        <v>13494916872217</v>
      </c>
      <c r="W115" s="1065">
        <v>13324665996622</v>
      </c>
      <c r="X115" s="1065">
        <v>12760586466698</v>
      </c>
      <c r="Y115" s="1065">
        <v>16062970366574</v>
      </c>
      <c r="Z115" s="1065">
        <v>15406040643521</v>
      </c>
      <c r="AA115" s="1065">
        <v>14132923938967</v>
      </c>
      <c r="AB115" s="1065">
        <v>9884615107621</v>
      </c>
      <c r="AC115" s="1065">
        <v>14244927007651</v>
      </c>
      <c r="AD115" s="1065">
        <v>12625263245853</v>
      </c>
      <c r="AE115" s="1065">
        <v>12941082395911</v>
      </c>
      <c r="AF115" s="1065">
        <v>11948914699698</v>
      </c>
      <c r="AG115" s="1065">
        <v>15747431322626</v>
      </c>
      <c r="AH115" s="1065">
        <v>13160015482848</v>
      </c>
      <c r="AI115" s="1065">
        <v>14804316384939</v>
      </c>
      <c r="AJ115" s="1065">
        <v>16389705631059</v>
      </c>
      <c r="AK115" s="1065">
        <v>19004398252682</v>
      </c>
      <c r="AL115" s="1065">
        <v>17871292557311</v>
      </c>
      <c r="AM115" s="1065">
        <v>18932971713903</v>
      </c>
      <c r="AN115" s="1065">
        <v>18373195770646</v>
      </c>
      <c r="AO115" s="1065">
        <v>21511478525497</v>
      </c>
      <c r="AP115" s="1065">
        <v>19041291639797</v>
      </c>
      <c r="AQ115" s="1065">
        <v>18447081748086</v>
      </c>
    </row>
    <row r="116" spans="1:43">
      <c r="A116" s="1064" t="s">
        <v>954</v>
      </c>
      <c r="B116" s="1065">
        <v>0</v>
      </c>
      <c r="C116" s="1065">
        <v>0</v>
      </c>
      <c r="D116" s="1065">
        <v>0</v>
      </c>
      <c r="E116" s="1065">
        <v>0</v>
      </c>
      <c r="F116" s="1065">
        <v>0</v>
      </c>
      <c r="G116" s="1065">
        <v>0</v>
      </c>
      <c r="H116" s="1065">
        <v>0</v>
      </c>
      <c r="I116" s="1065">
        <v>0</v>
      </c>
      <c r="J116" s="1065">
        <v>0</v>
      </c>
      <c r="K116" s="1065">
        <v>0</v>
      </c>
      <c r="L116" s="1065">
        <v>0</v>
      </c>
      <c r="M116" s="1065">
        <v>0</v>
      </c>
      <c r="N116" s="1065">
        <v>0</v>
      </c>
      <c r="O116" s="1065">
        <v>0</v>
      </c>
      <c r="P116" s="1065">
        <v>0</v>
      </c>
      <c r="Q116" s="1065">
        <v>0</v>
      </c>
      <c r="R116" s="1065">
        <v>0</v>
      </c>
      <c r="S116" s="1065">
        <v>0</v>
      </c>
      <c r="T116" s="1065">
        <v>0</v>
      </c>
      <c r="U116" s="1065">
        <v>0</v>
      </c>
      <c r="V116" s="1065">
        <v>0</v>
      </c>
      <c r="W116" s="1065">
        <v>0</v>
      </c>
      <c r="X116" s="1065">
        <v>0</v>
      </c>
      <c r="Y116" s="1065">
        <v>0</v>
      </c>
      <c r="Z116" s="1065">
        <v>0</v>
      </c>
      <c r="AA116" s="1065">
        <v>0</v>
      </c>
      <c r="AB116" s="1065">
        <v>0</v>
      </c>
      <c r="AC116" s="1065">
        <v>0</v>
      </c>
      <c r="AD116" s="1065">
        <v>0</v>
      </c>
      <c r="AE116" s="1065">
        <v>0</v>
      </c>
      <c r="AF116" s="1065">
        <v>0</v>
      </c>
      <c r="AG116" s="1065">
        <v>0</v>
      </c>
      <c r="AH116" s="1065">
        <v>0</v>
      </c>
      <c r="AI116" s="1065">
        <v>0</v>
      </c>
      <c r="AJ116" s="1065">
        <v>0</v>
      </c>
      <c r="AK116" s="1065">
        <v>0</v>
      </c>
      <c r="AL116" s="1065">
        <v>0</v>
      </c>
      <c r="AM116" s="1065">
        <v>0</v>
      </c>
      <c r="AN116" s="1065">
        <v>0</v>
      </c>
      <c r="AO116" s="1065">
        <v>0</v>
      </c>
      <c r="AP116" s="1065">
        <v>0</v>
      </c>
      <c r="AQ116" s="1065">
        <v>0</v>
      </c>
    </row>
    <row r="117" spans="1:43">
      <c r="A117" s="1062" t="s">
        <v>955</v>
      </c>
      <c r="B117" s="1063">
        <v>279915994017</v>
      </c>
      <c r="C117" s="1063">
        <v>279927044589</v>
      </c>
      <c r="D117" s="1063">
        <v>279941584804</v>
      </c>
      <c r="E117" s="1063">
        <v>279956420408</v>
      </c>
      <c r="F117" s="1063">
        <v>269870747409</v>
      </c>
      <c r="G117" s="1063">
        <v>269884624585</v>
      </c>
      <c r="H117" s="1063">
        <v>269898757266</v>
      </c>
      <c r="I117" s="1063">
        <v>924913074160</v>
      </c>
      <c r="J117" s="1063">
        <v>704925062817</v>
      </c>
      <c r="K117" s="1063">
        <v>674937170101</v>
      </c>
      <c r="L117" s="1063">
        <v>779364983651</v>
      </c>
      <c r="M117" s="1063">
        <v>1840513501296</v>
      </c>
      <c r="N117" s="1063">
        <v>2368393449426</v>
      </c>
      <c r="O117" s="1063">
        <v>2119227757774</v>
      </c>
      <c r="P117" s="1063">
        <v>2002380720017</v>
      </c>
      <c r="Q117" s="1063">
        <v>2237435041540</v>
      </c>
      <c r="R117" s="1063">
        <v>2363485705490</v>
      </c>
      <c r="S117" s="1063">
        <v>2053668590276</v>
      </c>
      <c r="T117" s="1063">
        <v>1985733042633</v>
      </c>
      <c r="U117" s="1063">
        <v>2349564646406</v>
      </c>
      <c r="V117" s="1063">
        <v>2379579743166</v>
      </c>
      <c r="W117" s="1063">
        <v>3001115410015</v>
      </c>
      <c r="X117" s="1063">
        <v>2785450573873</v>
      </c>
      <c r="Y117" s="1063">
        <v>2468703479427</v>
      </c>
      <c r="Z117" s="1063">
        <v>2504953007791</v>
      </c>
      <c r="AA117" s="1063">
        <v>2298296266179</v>
      </c>
      <c r="AB117" s="1063">
        <v>1868075021038</v>
      </c>
      <c r="AC117" s="1063">
        <v>2232566388283</v>
      </c>
      <c r="AD117" s="1063">
        <v>2020229978263</v>
      </c>
      <c r="AE117" s="1063">
        <v>2551816189510</v>
      </c>
      <c r="AF117" s="1063">
        <v>2573452644880</v>
      </c>
      <c r="AG117" s="1063">
        <v>3233984710548</v>
      </c>
      <c r="AH117" s="1063">
        <v>3133074690632</v>
      </c>
      <c r="AI117" s="1063">
        <v>3460980032367</v>
      </c>
      <c r="AJ117" s="1063">
        <v>3951298242492</v>
      </c>
      <c r="AK117" s="1063">
        <v>4246428209946</v>
      </c>
      <c r="AL117" s="1063">
        <v>4947550761666</v>
      </c>
      <c r="AM117" s="1063">
        <v>4960890955605</v>
      </c>
      <c r="AN117" s="1063">
        <v>5610154305708</v>
      </c>
      <c r="AO117" s="1063">
        <v>5569005595690</v>
      </c>
      <c r="AP117" s="1063">
        <v>5861198563910</v>
      </c>
      <c r="AQ117" s="1063">
        <v>6574917527389</v>
      </c>
    </row>
    <row r="118" spans="1:43">
      <c r="A118" s="1064" t="s">
        <v>956</v>
      </c>
      <c r="B118" s="1065">
        <v>0</v>
      </c>
      <c r="C118" s="1065">
        <v>0</v>
      </c>
      <c r="D118" s="1065">
        <v>0</v>
      </c>
      <c r="E118" s="1065">
        <v>0</v>
      </c>
      <c r="F118" s="1065">
        <v>0</v>
      </c>
      <c r="G118" s="1065">
        <v>0</v>
      </c>
      <c r="H118" s="1065">
        <v>0</v>
      </c>
      <c r="I118" s="1065">
        <v>685000000000</v>
      </c>
      <c r="J118" s="1065">
        <v>465000000000</v>
      </c>
      <c r="K118" s="1065">
        <v>435000000000</v>
      </c>
      <c r="L118" s="1065">
        <v>540000000000</v>
      </c>
      <c r="M118" s="1065">
        <v>1642000000000</v>
      </c>
      <c r="N118" s="1065">
        <v>1960000000000</v>
      </c>
      <c r="O118" s="1065">
        <v>1481000000000</v>
      </c>
      <c r="P118" s="1065">
        <v>1364000000000</v>
      </c>
      <c r="Q118" s="1065">
        <v>1597974825248</v>
      </c>
      <c r="R118" s="1065">
        <v>1660207143827</v>
      </c>
      <c r="S118" s="1065">
        <v>1430365284198</v>
      </c>
      <c r="T118" s="1065">
        <v>1362406932232</v>
      </c>
      <c r="U118" s="1065">
        <v>1726215363040</v>
      </c>
      <c r="V118" s="1065">
        <v>1756207339282</v>
      </c>
      <c r="W118" s="1065">
        <v>2377719648356</v>
      </c>
      <c r="X118" s="1065">
        <v>2162031075400</v>
      </c>
      <c r="Y118" s="1065">
        <v>1845259860383</v>
      </c>
      <c r="Z118" s="1065">
        <v>1881485322772</v>
      </c>
      <c r="AA118" s="1065">
        <v>1584870823925</v>
      </c>
      <c r="AB118" s="1065">
        <v>1154622896935</v>
      </c>
      <c r="AC118" s="1065">
        <v>1519087133579</v>
      </c>
      <c r="AD118" s="1065">
        <v>1306723647651</v>
      </c>
      <c r="AE118" s="1065">
        <v>1838282519224</v>
      </c>
      <c r="AF118" s="1065">
        <v>1859891173335</v>
      </c>
      <c r="AG118" s="1065">
        <v>2520395026296</v>
      </c>
      <c r="AH118" s="1065">
        <v>2419456712788</v>
      </c>
      <c r="AI118" s="1065">
        <v>2747333592666</v>
      </c>
      <c r="AJ118" s="1065">
        <v>3237622834756</v>
      </c>
      <c r="AK118" s="1065">
        <v>3532723346395</v>
      </c>
      <c r="AL118" s="1065">
        <v>4233816501506</v>
      </c>
      <c r="AM118" s="1065">
        <v>4247127012913</v>
      </c>
      <c r="AN118" s="1065">
        <v>4774434605944</v>
      </c>
      <c r="AO118" s="1065">
        <v>4733257679543</v>
      </c>
      <c r="AP118" s="1065">
        <v>5092543041922</v>
      </c>
      <c r="AQ118" s="1065">
        <v>5881238302881</v>
      </c>
    </row>
    <row r="119" spans="1:43">
      <c r="A119" s="1064" t="s">
        <v>957</v>
      </c>
      <c r="B119" s="1065">
        <v>279915994017</v>
      </c>
      <c r="C119" s="1065">
        <v>279927044589</v>
      </c>
      <c r="D119" s="1065">
        <v>279941584804</v>
      </c>
      <c r="E119" s="1065">
        <v>279956420408</v>
      </c>
      <c r="F119" s="1065">
        <v>269870747409</v>
      </c>
      <c r="G119" s="1065">
        <v>269884624585</v>
      </c>
      <c r="H119" s="1065">
        <v>269898757266</v>
      </c>
      <c r="I119" s="1065">
        <v>239913074160</v>
      </c>
      <c r="J119" s="1065">
        <v>239925062817</v>
      </c>
      <c r="K119" s="1065">
        <v>239937170101</v>
      </c>
      <c r="L119" s="1065">
        <v>239364983651</v>
      </c>
      <c r="M119" s="1065">
        <v>198513501296</v>
      </c>
      <c r="N119" s="1065">
        <v>408393449426</v>
      </c>
      <c r="O119" s="1065">
        <v>638227757774</v>
      </c>
      <c r="P119" s="1065">
        <v>638380720017</v>
      </c>
      <c r="Q119" s="1065">
        <v>639460216292</v>
      </c>
      <c r="R119" s="1065">
        <v>703278561663</v>
      </c>
      <c r="S119" s="1065">
        <v>623303306078</v>
      </c>
      <c r="T119" s="1065">
        <v>623326110401</v>
      </c>
      <c r="U119" s="1065">
        <v>623349283366</v>
      </c>
      <c r="V119" s="1065">
        <v>623372403884</v>
      </c>
      <c r="W119" s="1065">
        <v>623395761659</v>
      </c>
      <c r="X119" s="1065">
        <v>623419498473</v>
      </c>
      <c r="Y119" s="1065">
        <v>623443619044</v>
      </c>
      <c r="Z119" s="1065">
        <v>623467685019</v>
      </c>
      <c r="AA119" s="1065">
        <v>713425442254</v>
      </c>
      <c r="AB119" s="1065">
        <v>713452124103</v>
      </c>
      <c r="AC119" s="1065">
        <v>713479254704</v>
      </c>
      <c r="AD119" s="1065">
        <v>713506330612</v>
      </c>
      <c r="AE119" s="1065">
        <v>713533670286</v>
      </c>
      <c r="AF119" s="1065">
        <v>713561471545</v>
      </c>
      <c r="AG119" s="1065">
        <v>713589684252</v>
      </c>
      <c r="AH119" s="1065">
        <v>713617977844</v>
      </c>
      <c r="AI119" s="1065">
        <v>713646439701</v>
      </c>
      <c r="AJ119" s="1065">
        <v>713675407736</v>
      </c>
      <c r="AK119" s="1065">
        <v>713704863551</v>
      </c>
      <c r="AL119" s="1065">
        <v>713734260160</v>
      </c>
      <c r="AM119" s="1065">
        <v>713763942692</v>
      </c>
      <c r="AN119" s="1065">
        <v>835719699764</v>
      </c>
      <c r="AO119" s="1065">
        <v>835747916147</v>
      </c>
      <c r="AP119" s="1065">
        <v>768655521988</v>
      </c>
      <c r="AQ119" s="1065">
        <v>693679224508</v>
      </c>
    </row>
    <row r="120" spans="1:43">
      <c r="A120" s="1062" t="s">
        <v>958</v>
      </c>
      <c r="B120" s="1063">
        <v>6612853361</v>
      </c>
      <c r="C120" s="1063">
        <v>5662339327</v>
      </c>
      <c r="D120" s="1063">
        <v>5669695129</v>
      </c>
      <c r="E120" s="1063">
        <v>10186258290</v>
      </c>
      <c r="F120" s="1063">
        <v>2126361773</v>
      </c>
      <c r="G120" s="1063">
        <v>2196849947</v>
      </c>
      <c r="H120" s="1063">
        <v>2179568529</v>
      </c>
      <c r="I120" s="1063">
        <v>1634474259</v>
      </c>
      <c r="J120" s="1063">
        <v>10681437665</v>
      </c>
      <c r="K120" s="1063">
        <v>17845994068</v>
      </c>
      <c r="L120" s="1063">
        <v>22184799267</v>
      </c>
      <c r="M120" s="1063">
        <v>21422648220</v>
      </c>
      <c r="N120" s="1063">
        <v>23102293148</v>
      </c>
      <c r="O120" s="1063">
        <v>19481502520</v>
      </c>
      <c r="P120" s="1063">
        <v>23909018104</v>
      </c>
      <c r="Q120" s="1063">
        <v>23980053012</v>
      </c>
      <c r="R120" s="1063">
        <v>21724582382</v>
      </c>
      <c r="S120" s="1063">
        <v>25922146993</v>
      </c>
      <c r="T120" s="1063">
        <v>40350095295</v>
      </c>
      <c r="U120" s="1063">
        <v>56088415349</v>
      </c>
      <c r="V120" s="1063">
        <v>62021831302</v>
      </c>
      <c r="W120" s="1063">
        <v>62617133242</v>
      </c>
      <c r="X120" s="1063">
        <v>58610846745</v>
      </c>
      <c r="Y120" s="1063">
        <v>58397070954</v>
      </c>
      <c r="Z120" s="1063">
        <v>56766439712</v>
      </c>
      <c r="AA120" s="1063">
        <v>60182047780</v>
      </c>
      <c r="AB120" s="1063">
        <v>65266910262</v>
      </c>
      <c r="AC120" s="1063">
        <v>80774408262</v>
      </c>
      <c r="AD120" s="1063">
        <v>97622518794</v>
      </c>
      <c r="AE120" s="1063">
        <v>97189087735</v>
      </c>
      <c r="AF120" s="1063">
        <v>94101654703</v>
      </c>
      <c r="AG120" s="1063">
        <v>137264358321</v>
      </c>
      <c r="AH120" s="1063">
        <v>88888308119</v>
      </c>
      <c r="AI120" s="1063">
        <v>98659162734</v>
      </c>
      <c r="AJ120" s="1063">
        <v>134767285044</v>
      </c>
      <c r="AK120" s="1063">
        <v>119433963689</v>
      </c>
      <c r="AL120" s="1063">
        <v>125009071404</v>
      </c>
      <c r="AM120" s="1063">
        <v>134657186418</v>
      </c>
      <c r="AN120" s="1063">
        <v>189824894018</v>
      </c>
      <c r="AO120" s="1063">
        <v>183169520567</v>
      </c>
      <c r="AP120" s="1063">
        <v>179434974298</v>
      </c>
      <c r="AQ120" s="1063">
        <v>182712862840</v>
      </c>
    </row>
    <row r="121" spans="1:43">
      <c r="A121" s="1064" t="s">
        <v>959</v>
      </c>
      <c r="B121" s="1065">
        <v>0</v>
      </c>
      <c r="C121" s="1065">
        <v>0</v>
      </c>
      <c r="D121" s="1065">
        <v>0</v>
      </c>
      <c r="E121" s="1065">
        <v>0</v>
      </c>
      <c r="F121" s="1065">
        <v>0</v>
      </c>
      <c r="G121" s="1065">
        <v>0</v>
      </c>
      <c r="H121" s="1065">
        <v>0</v>
      </c>
      <c r="I121" s="1065">
        <v>0</v>
      </c>
      <c r="J121" s="1065">
        <v>9042532953</v>
      </c>
      <c r="K121" s="1065">
        <v>16204988810</v>
      </c>
      <c r="L121" s="1065">
        <v>20573238198</v>
      </c>
      <c r="M121" s="1065">
        <v>19809814506</v>
      </c>
      <c r="N121" s="1065">
        <v>19604221889</v>
      </c>
      <c r="O121" s="1065">
        <v>16040626148</v>
      </c>
      <c r="P121" s="1065">
        <v>20459312204</v>
      </c>
      <c r="Q121" s="1065">
        <v>20296956948</v>
      </c>
      <c r="R121" s="1065">
        <v>18026898824</v>
      </c>
      <c r="S121" s="1065">
        <v>22209781643</v>
      </c>
      <c r="T121" s="1065">
        <v>36622953245</v>
      </c>
      <c r="U121" s="1065">
        <v>52347786078</v>
      </c>
      <c r="V121" s="1065">
        <v>58150514026</v>
      </c>
      <c r="W121" s="1065">
        <v>58761162313</v>
      </c>
      <c r="X121" s="1065">
        <v>52028330195</v>
      </c>
      <c r="Y121" s="1065">
        <v>50609815293</v>
      </c>
      <c r="Z121" s="1065">
        <v>49118785183</v>
      </c>
      <c r="AA121" s="1065">
        <v>52095864430</v>
      </c>
      <c r="AB121" s="1065">
        <v>57174834374</v>
      </c>
      <c r="AC121" s="1065">
        <v>67134151578</v>
      </c>
      <c r="AD121" s="1065">
        <v>90289457480</v>
      </c>
      <c r="AE121" s="1065">
        <v>89834813638</v>
      </c>
      <c r="AF121" s="1065">
        <v>86870664324</v>
      </c>
      <c r="AG121" s="1065">
        <v>130011869104</v>
      </c>
      <c r="AH121" s="1065">
        <v>81601231892</v>
      </c>
      <c r="AI121" s="1065">
        <v>91598155924</v>
      </c>
      <c r="AJ121" s="1065">
        <v>127642559702</v>
      </c>
      <c r="AK121" s="1065">
        <v>112105836364</v>
      </c>
      <c r="AL121" s="1065">
        <v>116566042035</v>
      </c>
      <c r="AM121" s="1065">
        <v>126347785312</v>
      </c>
      <c r="AN121" s="1065">
        <v>181501805764</v>
      </c>
      <c r="AO121" s="1065">
        <v>174525791702</v>
      </c>
      <c r="AP121" s="1065">
        <v>170762064275</v>
      </c>
      <c r="AQ121" s="1065">
        <v>161711982167</v>
      </c>
    </row>
    <row r="122" spans="1:43">
      <c r="A122" s="1064" t="s">
        <v>960</v>
      </c>
      <c r="B122" s="1065">
        <v>6612853361</v>
      </c>
      <c r="C122" s="1065">
        <v>5662339327</v>
      </c>
      <c r="D122" s="1065">
        <v>5669695129</v>
      </c>
      <c r="E122" s="1065">
        <v>10186258290</v>
      </c>
      <c r="F122" s="1065">
        <v>2126361773</v>
      </c>
      <c r="G122" s="1065">
        <v>2196849947</v>
      </c>
      <c r="H122" s="1065">
        <v>2179568529</v>
      </c>
      <c r="I122" s="1065">
        <v>1634474259</v>
      </c>
      <c r="J122" s="1065">
        <v>1638904712</v>
      </c>
      <c r="K122" s="1065">
        <v>1641005258</v>
      </c>
      <c r="L122" s="1065">
        <v>1611561069</v>
      </c>
      <c r="M122" s="1065">
        <v>1612833714</v>
      </c>
      <c r="N122" s="1065">
        <v>3498071259</v>
      </c>
      <c r="O122" s="1065">
        <v>3440876372</v>
      </c>
      <c r="P122" s="1065">
        <v>3449705900</v>
      </c>
      <c r="Q122" s="1065">
        <v>3683096064</v>
      </c>
      <c r="R122" s="1065">
        <v>3697683558</v>
      </c>
      <c r="S122" s="1065">
        <v>3712365350</v>
      </c>
      <c r="T122" s="1065">
        <v>3727142050</v>
      </c>
      <c r="U122" s="1065">
        <v>3740629271</v>
      </c>
      <c r="V122" s="1065">
        <v>3871317276</v>
      </c>
      <c r="W122" s="1065">
        <v>3855970929</v>
      </c>
      <c r="X122" s="1065">
        <v>6582516550</v>
      </c>
      <c r="Y122" s="1065">
        <v>7787255661</v>
      </c>
      <c r="Z122" s="1065">
        <v>7647654529</v>
      </c>
      <c r="AA122" s="1065">
        <v>8086183350</v>
      </c>
      <c r="AB122" s="1065">
        <v>8092075888</v>
      </c>
      <c r="AC122" s="1065">
        <v>13640256684</v>
      </c>
      <c r="AD122" s="1065">
        <v>7333061314</v>
      </c>
      <c r="AE122" s="1065">
        <v>7354274097</v>
      </c>
      <c r="AF122" s="1065">
        <v>7230990379</v>
      </c>
      <c r="AG122" s="1065">
        <v>7252489217</v>
      </c>
      <c r="AH122" s="1065">
        <v>7287076227</v>
      </c>
      <c r="AI122" s="1065">
        <v>7061006810</v>
      </c>
      <c r="AJ122" s="1065">
        <v>7124725342</v>
      </c>
      <c r="AK122" s="1065">
        <v>7328127325</v>
      </c>
      <c r="AL122" s="1065">
        <v>8443029369</v>
      </c>
      <c r="AM122" s="1065">
        <v>8309401106</v>
      </c>
      <c r="AN122" s="1065">
        <v>8323088254</v>
      </c>
      <c r="AO122" s="1065">
        <v>8643728865</v>
      </c>
      <c r="AP122" s="1065">
        <v>8672910023</v>
      </c>
      <c r="AQ122" s="1065">
        <v>21000880673</v>
      </c>
    </row>
    <row r="123" spans="1:43">
      <c r="A123" s="1062" t="s">
        <v>961</v>
      </c>
      <c r="B123" s="1063">
        <v>2922260065</v>
      </c>
      <c r="C123" s="1063">
        <v>4028642860</v>
      </c>
      <c r="D123" s="1063">
        <v>5264847603</v>
      </c>
      <c r="E123" s="1063">
        <v>2628148432</v>
      </c>
      <c r="F123" s="1063">
        <v>3579401403</v>
      </c>
      <c r="G123" s="1063">
        <v>4417501132</v>
      </c>
      <c r="H123" s="1063">
        <v>5535225007</v>
      </c>
      <c r="I123" s="1063">
        <v>0</v>
      </c>
      <c r="J123" s="1063">
        <v>1114112109</v>
      </c>
      <c r="K123" s="1063">
        <v>2571156301</v>
      </c>
      <c r="L123" s="1063">
        <v>3524333346</v>
      </c>
      <c r="M123" s="1063">
        <v>-1143160806</v>
      </c>
      <c r="N123" s="1063">
        <v>927918488</v>
      </c>
      <c r="O123" s="1063">
        <v>2228240972</v>
      </c>
      <c r="P123" s="1063">
        <v>4064685262</v>
      </c>
      <c r="Q123" s="1063">
        <v>0</v>
      </c>
      <c r="R123" s="1063">
        <v>2361688938</v>
      </c>
      <c r="S123" s="1063">
        <v>3606014889</v>
      </c>
      <c r="T123" s="1063">
        <v>4663811540</v>
      </c>
      <c r="U123" s="1063">
        <v>332246287</v>
      </c>
      <c r="V123" s="1063">
        <v>2256353575</v>
      </c>
      <c r="W123" s="1063">
        <v>3358772343</v>
      </c>
      <c r="X123" s="1063">
        <v>4266635904</v>
      </c>
      <c r="Y123" s="1063">
        <v>0</v>
      </c>
      <c r="Z123" s="1063">
        <v>1122889614</v>
      </c>
      <c r="AA123" s="1063">
        <v>801060190</v>
      </c>
      <c r="AB123" s="1063">
        <v>1401020533</v>
      </c>
      <c r="AC123" s="1063">
        <v>0</v>
      </c>
      <c r="AD123" s="1063">
        <v>914009170</v>
      </c>
      <c r="AE123" s="1063">
        <v>398713081</v>
      </c>
      <c r="AF123" s="1063">
        <v>2330718401</v>
      </c>
      <c r="AG123" s="1063">
        <v>0</v>
      </c>
      <c r="AH123" s="1063">
        <v>0</v>
      </c>
      <c r="AI123" s="1063">
        <v>0</v>
      </c>
      <c r="AJ123" s="1063">
        <v>0</v>
      </c>
      <c r="AK123" s="1063">
        <v>0</v>
      </c>
      <c r="AL123" s="1063">
        <v>335977183</v>
      </c>
      <c r="AM123" s="1063">
        <v>978407765</v>
      </c>
      <c r="AN123" s="1063">
        <v>2024113070</v>
      </c>
      <c r="AO123" s="1063">
        <v>0</v>
      </c>
      <c r="AP123" s="1063">
        <v>0</v>
      </c>
      <c r="AQ123" s="1063">
        <v>0</v>
      </c>
    </row>
    <row r="124" spans="1:43">
      <c r="A124" s="1064" t="s">
        <v>962</v>
      </c>
      <c r="B124" s="1065">
        <v>2922260065</v>
      </c>
      <c r="C124" s="1065">
        <v>4028642860</v>
      </c>
      <c r="D124" s="1065">
        <v>5264847603</v>
      </c>
      <c r="E124" s="1065">
        <v>2628148432</v>
      </c>
      <c r="F124" s="1065">
        <v>3579401403</v>
      </c>
      <c r="G124" s="1065">
        <v>4417501132</v>
      </c>
      <c r="H124" s="1065">
        <v>5535225007</v>
      </c>
      <c r="I124" s="1065">
        <v>0</v>
      </c>
      <c r="J124" s="1065">
        <v>1114112109</v>
      </c>
      <c r="K124" s="1065">
        <v>2571156301</v>
      </c>
      <c r="L124" s="1065">
        <v>3524333346</v>
      </c>
      <c r="M124" s="1065">
        <v>-1143160806</v>
      </c>
      <c r="N124" s="1065">
        <v>927918488</v>
      </c>
      <c r="O124" s="1065">
        <v>2228240972</v>
      </c>
      <c r="P124" s="1065">
        <v>4064685262</v>
      </c>
      <c r="Q124" s="1065">
        <v>0</v>
      </c>
      <c r="R124" s="1065">
        <v>2361688938</v>
      </c>
      <c r="S124" s="1065">
        <v>3606014889</v>
      </c>
      <c r="T124" s="1065">
        <v>4663811540</v>
      </c>
      <c r="U124" s="1065">
        <v>332246287</v>
      </c>
      <c r="V124" s="1065">
        <v>2256353575</v>
      </c>
      <c r="W124" s="1065">
        <v>3358772343</v>
      </c>
      <c r="X124" s="1065">
        <v>4266635904</v>
      </c>
      <c r="Y124" s="1065">
        <v>0</v>
      </c>
      <c r="Z124" s="1065">
        <v>1122889614</v>
      </c>
      <c r="AA124" s="1065">
        <v>801060190</v>
      </c>
      <c r="AB124" s="1065">
        <v>1401020533</v>
      </c>
      <c r="AC124" s="1065">
        <v>0</v>
      </c>
      <c r="AD124" s="1065">
        <v>914009170</v>
      </c>
      <c r="AE124" s="1065">
        <v>398713081</v>
      </c>
      <c r="AF124" s="1065">
        <v>2330718401</v>
      </c>
      <c r="AG124" s="1065">
        <v>0</v>
      </c>
      <c r="AH124" s="1065">
        <v>0</v>
      </c>
      <c r="AI124" s="1065">
        <v>0</v>
      </c>
      <c r="AJ124" s="1065">
        <v>0</v>
      </c>
      <c r="AK124" s="1065">
        <v>0</v>
      </c>
      <c r="AL124" s="1065">
        <v>335977183</v>
      </c>
      <c r="AM124" s="1065">
        <v>978407765</v>
      </c>
      <c r="AN124" s="1065">
        <v>2024113070</v>
      </c>
      <c r="AO124" s="1065">
        <v>0</v>
      </c>
      <c r="AP124" s="1065">
        <v>0</v>
      </c>
      <c r="AQ124" s="1065">
        <v>0</v>
      </c>
    </row>
    <row r="125" spans="1:43">
      <c r="A125" s="1062" t="s">
        <v>963</v>
      </c>
      <c r="B125" s="1063">
        <v>61147578681</v>
      </c>
      <c r="C125" s="1063">
        <v>30280551103</v>
      </c>
      <c r="D125" s="1063">
        <v>21803658713</v>
      </c>
      <c r="E125" s="1063">
        <v>14966778614</v>
      </c>
      <c r="F125" s="1063">
        <v>16087416905</v>
      </c>
      <c r="G125" s="1063">
        <v>29281835454</v>
      </c>
      <c r="H125" s="1063">
        <v>36112931279</v>
      </c>
      <c r="I125" s="1063">
        <v>45430497805</v>
      </c>
      <c r="J125" s="1063">
        <v>40770874631</v>
      </c>
      <c r="K125" s="1063">
        <v>20531583603</v>
      </c>
      <c r="L125" s="1063">
        <v>28715220634</v>
      </c>
      <c r="M125" s="1063">
        <v>55052677714</v>
      </c>
      <c r="N125" s="1063">
        <v>98503802215</v>
      </c>
      <c r="O125" s="1063">
        <v>88660454499</v>
      </c>
      <c r="P125" s="1063">
        <v>66024158452</v>
      </c>
      <c r="Q125" s="1063">
        <v>118946649436</v>
      </c>
      <c r="R125" s="1063">
        <v>85420463405</v>
      </c>
      <c r="S125" s="1063">
        <v>50268879021</v>
      </c>
      <c r="T125" s="1063">
        <v>75475854720</v>
      </c>
      <c r="U125" s="1063">
        <v>133240656775</v>
      </c>
      <c r="V125" s="1063">
        <v>138293897434</v>
      </c>
      <c r="W125" s="1063">
        <v>157278139168</v>
      </c>
      <c r="X125" s="1063">
        <v>117991538881</v>
      </c>
      <c r="Y125" s="1063">
        <v>128522597514</v>
      </c>
      <c r="Z125" s="1063">
        <v>133594904545</v>
      </c>
      <c r="AA125" s="1063">
        <v>85122211214</v>
      </c>
      <c r="AB125" s="1063">
        <v>80801104016</v>
      </c>
      <c r="AC125" s="1063">
        <v>44223936637</v>
      </c>
      <c r="AD125" s="1063">
        <v>37607229840</v>
      </c>
      <c r="AE125" s="1063">
        <v>30736842360</v>
      </c>
      <c r="AF125" s="1063">
        <v>9220342618</v>
      </c>
      <c r="AG125" s="1063">
        <v>54753192420</v>
      </c>
      <c r="AH125" s="1063">
        <v>188985687028</v>
      </c>
      <c r="AI125" s="1063">
        <v>308387521114</v>
      </c>
      <c r="AJ125" s="1063">
        <v>207401845558</v>
      </c>
      <c r="AK125" s="1063">
        <v>191153952266</v>
      </c>
      <c r="AL125" s="1063">
        <v>152256764766</v>
      </c>
      <c r="AM125" s="1063">
        <v>102604759766</v>
      </c>
      <c r="AN125" s="1063">
        <v>198378329317</v>
      </c>
      <c r="AO125" s="1063">
        <v>0</v>
      </c>
      <c r="AP125" s="1063">
        <v>14966595118</v>
      </c>
      <c r="AQ125" s="1063">
        <v>0</v>
      </c>
    </row>
    <row r="126" spans="1:43">
      <c r="A126" s="1064" t="s">
        <v>964</v>
      </c>
      <c r="B126" s="1065">
        <v>61147578681</v>
      </c>
      <c r="C126" s="1065">
        <v>30280551103</v>
      </c>
      <c r="D126" s="1065">
        <v>21803658713</v>
      </c>
      <c r="E126" s="1065">
        <v>14966778614</v>
      </c>
      <c r="F126" s="1065">
        <v>16087416905</v>
      </c>
      <c r="G126" s="1065">
        <v>29281835454</v>
      </c>
      <c r="H126" s="1065">
        <v>36112931279</v>
      </c>
      <c r="I126" s="1065">
        <v>45430497805</v>
      </c>
      <c r="J126" s="1065">
        <v>40770874631</v>
      </c>
      <c r="K126" s="1065">
        <v>20531583603</v>
      </c>
      <c r="L126" s="1065">
        <v>28715220634</v>
      </c>
      <c r="M126" s="1065">
        <v>55052677714</v>
      </c>
      <c r="N126" s="1065">
        <v>98503802215</v>
      </c>
      <c r="O126" s="1065">
        <v>88660454499</v>
      </c>
      <c r="P126" s="1065">
        <v>66024158452</v>
      </c>
      <c r="Q126" s="1065">
        <v>118946649436</v>
      </c>
      <c r="R126" s="1065">
        <v>85420463405</v>
      </c>
      <c r="S126" s="1065">
        <v>50268879021</v>
      </c>
      <c r="T126" s="1065">
        <v>75475854720</v>
      </c>
      <c r="U126" s="1065">
        <v>133240656775</v>
      </c>
      <c r="V126" s="1065">
        <v>138293897434</v>
      </c>
      <c r="W126" s="1065">
        <v>157278139168</v>
      </c>
      <c r="X126" s="1065">
        <v>117991538881</v>
      </c>
      <c r="Y126" s="1065">
        <v>128522597514</v>
      </c>
      <c r="Z126" s="1065">
        <v>133594904545</v>
      </c>
      <c r="AA126" s="1065">
        <v>85122211214</v>
      </c>
      <c r="AB126" s="1065">
        <v>80801104016</v>
      </c>
      <c r="AC126" s="1065">
        <v>44223936637</v>
      </c>
      <c r="AD126" s="1065">
        <v>35086020487</v>
      </c>
      <c r="AE126" s="1065">
        <v>30736842360</v>
      </c>
      <c r="AF126" s="1065">
        <v>9220342618</v>
      </c>
      <c r="AG126" s="1065">
        <v>9044653184</v>
      </c>
      <c r="AH126" s="1065">
        <v>188985687028</v>
      </c>
      <c r="AI126" s="1065">
        <v>308387521114</v>
      </c>
      <c r="AJ126" s="1065">
        <v>207401845558</v>
      </c>
      <c r="AK126" s="1065">
        <v>191153952266</v>
      </c>
      <c r="AL126" s="1065">
        <v>152256764766</v>
      </c>
      <c r="AM126" s="1065">
        <v>102604759766</v>
      </c>
      <c r="AN126" s="1065">
        <v>198378329317</v>
      </c>
      <c r="AO126" s="1065">
        <v>0</v>
      </c>
      <c r="AP126" s="1065">
        <v>14966595118</v>
      </c>
      <c r="AQ126" s="1065">
        <v>0</v>
      </c>
    </row>
    <row r="127" spans="1:43">
      <c r="A127" s="1064" t="s">
        <v>965</v>
      </c>
      <c r="B127" s="1065">
        <v>0</v>
      </c>
      <c r="C127" s="1065">
        <v>0</v>
      </c>
      <c r="D127" s="1065">
        <v>0</v>
      </c>
      <c r="E127" s="1065">
        <v>0</v>
      </c>
      <c r="F127" s="1065">
        <v>0</v>
      </c>
      <c r="G127" s="1065">
        <v>0</v>
      </c>
      <c r="H127" s="1065">
        <v>0</v>
      </c>
      <c r="I127" s="1065">
        <v>0</v>
      </c>
      <c r="J127" s="1065">
        <v>0</v>
      </c>
      <c r="K127" s="1065">
        <v>0</v>
      </c>
      <c r="L127" s="1065">
        <v>0</v>
      </c>
      <c r="M127" s="1065">
        <v>0</v>
      </c>
      <c r="N127" s="1065">
        <v>0</v>
      </c>
      <c r="O127" s="1065">
        <v>0</v>
      </c>
      <c r="P127" s="1065">
        <v>0</v>
      </c>
      <c r="Q127" s="1065">
        <v>0</v>
      </c>
      <c r="R127" s="1065">
        <v>0</v>
      </c>
      <c r="S127" s="1065">
        <v>0</v>
      </c>
      <c r="T127" s="1065">
        <v>0</v>
      </c>
      <c r="U127" s="1065">
        <v>0</v>
      </c>
      <c r="V127" s="1065">
        <v>0</v>
      </c>
      <c r="W127" s="1065">
        <v>0</v>
      </c>
      <c r="X127" s="1065">
        <v>0</v>
      </c>
      <c r="Y127" s="1065">
        <v>0</v>
      </c>
      <c r="Z127" s="1065">
        <v>0</v>
      </c>
      <c r="AA127" s="1065">
        <v>0</v>
      </c>
      <c r="AB127" s="1065">
        <v>0</v>
      </c>
      <c r="AC127" s="1065">
        <v>0</v>
      </c>
      <c r="AD127" s="1065">
        <v>2521209353</v>
      </c>
      <c r="AE127" s="1065">
        <v>0</v>
      </c>
      <c r="AF127" s="1065">
        <v>0</v>
      </c>
      <c r="AG127" s="1065">
        <v>45708539236</v>
      </c>
      <c r="AH127" s="1065">
        <v>0</v>
      </c>
      <c r="AI127" s="1065">
        <v>0</v>
      </c>
      <c r="AJ127" s="1065">
        <v>0</v>
      </c>
      <c r="AK127" s="1065">
        <v>0</v>
      </c>
      <c r="AL127" s="1065">
        <v>0</v>
      </c>
      <c r="AM127" s="1065">
        <v>0</v>
      </c>
      <c r="AN127" s="1065">
        <v>0</v>
      </c>
      <c r="AO127" s="1065">
        <v>0</v>
      </c>
      <c r="AP127" s="1065">
        <v>0</v>
      </c>
      <c r="AQ127" s="1065">
        <v>0</v>
      </c>
    </row>
    <row r="128" spans="1:43">
      <c r="A128" s="1062" t="s">
        <v>966</v>
      </c>
      <c r="B128" s="1063">
        <v>2766898325918</v>
      </c>
      <c r="C128" s="1063">
        <v>2026601662914</v>
      </c>
      <c r="D128" s="1063">
        <v>2523576411810</v>
      </c>
      <c r="E128" s="1063">
        <v>491155506776</v>
      </c>
      <c r="F128" s="1063">
        <v>2664918604642</v>
      </c>
      <c r="G128" s="1063">
        <v>2518018318341</v>
      </c>
      <c r="H128" s="1063">
        <v>2193311326490</v>
      </c>
      <c r="I128" s="1063">
        <v>624585294893</v>
      </c>
      <c r="J128" s="1063">
        <v>2347919461863</v>
      </c>
      <c r="K128" s="1063">
        <v>1982471369034</v>
      </c>
      <c r="L128" s="1063">
        <v>3268799095797</v>
      </c>
      <c r="M128" s="1063">
        <v>755282172807</v>
      </c>
      <c r="N128" s="1063">
        <v>2863395082373</v>
      </c>
      <c r="O128" s="1063">
        <v>2754351783534</v>
      </c>
      <c r="P128" s="1063">
        <v>3752927068360</v>
      </c>
      <c r="Q128" s="1063">
        <v>1154569891658</v>
      </c>
      <c r="R128" s="1063">
        <v>2649142961966</v>
      </c>
      <c r="S128" s="1063">
        <v>3726871594126</v>
      </c>
      <c r="T128" s="1063">
        <v>3836596971698</v>
      </c>
      <c r="U128" s="1063">
        <v>1961269481215</v>
      </c>
      <c r="V128" s="1063">
        <v>4469420889134</v>
      </c>
      <c r="W128" s="1063">
        <v>3885071627780</v>
      </c>
      <c r="X128" s="1063">
        <v>6067013353713</v>
      </c>
      <c r="Y128" s="1063">
        <v>2062145912968</v>
      </c>
      <c r="Z128" s="1063">
        <v>4828142385700</v>
      </c>
      <c r="AA128" s="1063">
        <v>4050376548552</v>
      </c>
      <c r="AB128" s="1063">
        <v>6596126112379</v>
      </c>
      <c r="AC128" s="1063">
        <v>1804082913623</v>
      </c>
      <c r="AD128" s="1063">
        <v>4463599122442</v>
      </c>
      <c r="AE128" s="1063">
        <v>3717151472024</v>
      </c>
      <c r="AF128" s="1063">
        <v>4341396909352</v>
      </c>
      <c r="AG128" s="1063">
        <v>2162317185299</v>
      </c>
      <c r="AH128" s="1063">
        <v>4092427460264</v>
      </c>
      <c r="AI128" s="1063">
        <v>6313490633999</v>
      </c>
      <c r="AJ128" s="1063">
        <v>5892153670335</v>
      </c>
      <c r="AK128" s="1063">
        <v>2561669106896</v>
      </c>
      <c r="AL128" s="1063">
        <v>5410573780014</v>
      </c>
      <c r="AM128" s="1063">
        <v>7199329255014</v>
      </c>
      <c r="AN128" s="1063">
        <v>8894302067828</v>
      </c>
      <c r="AO128" s="1063">
        <v>3996157438471</v>
      </c>
      <c r="AP128" s="1063">
        <v>10377638408052</v>
      </c>
      <c r="AQ128" s="1063">
        <v>10128520841518</v>
      </c>
    </row>
    <row r="129" spans="1:43">
      <c r="A129" s="1064" t="s">
        <v>967</v>
      </c>
      <c r="B129" s="1065">
        <v>5507135280</v>
      </c>
      <c r="C129" s="1065">
        <v>126126710</v>
      </c>
      <c r="D129" s="1065">
        <v>126126710</v>
      </c>
      <c r="E129" s="1065">
        <v>120235015</v>
      </c>
      <c r="F129" s="1065">
        <v>118528285</v>
      </c>
      <c r="G129" s="1065">
        <v>118528285</v>
      </c>
      <c r="H129" s="1065">
        <v>118528285</v>
      </c>
      <c r="I129" s="1065">
        <v>112748555</v>
      </c>
      <c r="J129" s="1065">
        <v>112748555</v>
      </c>
      <c r="K129" s="1065">
        <v>112748555</v>
      </c>
      <c r="L129" s="1065">
        <v>112748555</v>
      </c>
      <c r="M129" s="1065">
        <v>112748555</v>
      </c>
      <c r="N129" s="1065">
        <v>112748555</v>
      </c>
      <c r="O129" s="1065">
        <v>112748555</v>
      </c>
      <c r="P129" s="1065">
        <v>112236355</v>
      </c>
      <c r="Q129" s="1065">
        <v>112236355</v>
      </c>
      <c r="R129" s="1065">
        <v>820433075</v>
      </c>
      <c r="S129" s="1065">
        <v>804039632</v>
      </c>
      <c r="T129" s="1065">
        <v>820433075</v>
      </c>
      <c r="U129" s="1065">
        <v>836826516</v>
      </c>
      <c r="V129" s="1065">
        <v>794075593</v>
      </c>
      <c r="W129" s="1065">
        <v>2122568741</v>
      </c>
      <c r="X129" s="1065">
        <v>2176712576</v>
      </c>
      <c r="Y129" s="1065">
        <v>3801541346</v>
      </c>
      <c r="Z129" s="1065">
        <v>3572448697</v>
      </c>
      <c r="AA129" s="1065">
        <v>3573202120</v>
      </c>
      <c r="AB129" s="1065">
        <v>3642448696</v>
      </c>
      <c r="AC129" s="1065">
        <v>3735530893</v>
      </c>
      <c r="AD129" s="1065">
        <v>3572448697</v>
      </c>
      <c r="AE129" s="1065">
        <v>3695145898</v>
      </c>
      <c r="AF129" s="1065">
        <v>5957269185</v>
      </c>
      <c r="AG129" s="1065">
        <v>6044189408</v>
      </c>
      <c r="AH129" s="1065">
        <v>6629142623</v>
      </c>
      <c r="AI129" s="1065">
        <v>6562760222</v>
      </c>
      <c r="AJ129" s="1065">
        <v>4471060431</v>
      </c>
      <c r="AK129" s="1065">
        <v>6643861639</v>
      </c>
      <c r="AL129" s="1065">
        <v>7631788440</v>
      </c>
      <c r="AM129" s="1065">
        <v>7557569262</v>
      </c>
      <c r="AN129" s="1065">
        <v>7777492371</v>
      </c>
      <c r="AO129" s="1065">
        <v>7975043110</v>
      </c>
      <c r="AP129" s="1065">
        <v>8847601369</v>
      </c>
      <c r="AQ129" s="1065">
        <v>8988011866</v>
      </c>
    </row>
    <row r="130" spans="1:43">
      <c r="A130" s="1064" t="s">
        <v>968</v>
      </c>
      <c r="B130" s="1065">
        <v>1342672057276</v>
      </c>
      <c r="C130" s="1065">
        <v>1081227101323</v>
      </c>
      <c r="D130" s="1065">
        <v>1270845533563</v>
      </c>
      <c r="E130" s="1065">
        <v>191882611526</v>
      </c>
      <c r="F130" s="1065">
        <v>1130501313058</v>
      </c>
      <c r="G130" s="1065">
        <v>1623812075845</v>
      </c>
      <c r="H130" s="1065">
        <v>784820376581</v>
      </c>
      <c r="I130" s="1065">
        <v>282528633644</v>
      </c>
      <c r="J130" s="1065">
        <v>1102123885480</v>
      </c>
      <c r="K130" s="1065">
        <v>970907065498</v>
      </c>
      <c r="L130" s="1065">
        <v>1739588642127</v>
      </c>
      <c r="M130" s="1065">
        <v>255589611162</v>
      </c>
      <c r="N130" s="1065">
        <v>1407533058331</v>
      </c>
      <c r="O130" s="1065">
        <v>1628116393541</v>
      </c>
      <c r="P130" s="1065">
        <v>1308150122480</v>
      </c>
      <c r="Q130" s="1065">
        <v>317140034790</v>
      </c>
      <c r="R130" s="1065">
        <v>1516002774890</v>
      </c>
      <c r="S130" s="1065">
        <v>1989221467617</v>
      </c>
      <c r="T130" s="1065">
        <v>1091038121388</v>
      </c>
      <c r="U130" s="1065">
        <v>595293388066</v>
      </c>
      <c r="V130" s="1065">
        <v>1724988980420</v>
      </c>
      <c r="W130" s="1065">
        <v>1477435680449</v>
      </c>
      <c r="X130" s="1065">
        <v>1323254554312</v>
      </c>
      <c r="Y130" s="1065">
        <v>520811052774</v>
      </c>
      <c r="Z130" s="1065">
        <v>1314454339305</v>
      </c>
      <c r="AA130" s="1065">
        <v>1271690819216</v>
      </c>
      <c r="AB130" s="1065">
        <v>1120983513408</v>
      </c>
      <c r="AC130" s="1065">
        <v>374119222410</v>
      </c>
      <c r="AD130" s="1065">
        <v>1788371899796</v>
      </c>
      <c r="AE130" s="1065">
        <v>903265982904</v>
      </c>
      <c r="AF130" s="1065">
        <v>634462202290</v>
      </c>
      <c r="AG130" s="1065">
        <v>544856073364</v>
      </c>
      <c r="AH130" s="1065">
        <v>1383839189838</v>
      </c>
      <c r="AI130" s="1065">
        <v>1238177384070</v>
      </c>
      <c r="AJ130" s="1065">
        <v>991871124785</v>
      </c>
      <c r="AK130" s="1065">
        <v>384263993863</v>
      </c>
      <c r="AL130" s="1065">
        <v>1835135322567</v>
      </c>
      <c r="AM130" s="1065">
        <v>1662785749599</v>
      </c>
      <c r="AN130" s="1065">
        <v>1905460289796</v>
      </c>
      <c r="AO130" s="1065">
        <v>974391918976</v>
      </c>
      <c r="AP130" s="1065">
        <v>3492884308290</v>
      </c>
      <c r="AQ130" s="1065">
        <v>5364504265810</v>
      </c>
    </row>
    <row r="131" spans="1:43">
      <c r="A131" s="1064" t="s">
        <v>969</v>
      </c>
      <c r="B131" s="1065">
        <v>207447656965</v>
      </c>
      <c r="C131" s="1065">
        <v>199861716573</v>
      </c>
      <c r="D131" s="1065">
        <v>219910852835</v>
      </c>
      <c r="E131" s="1065">
        <v>244540985607</v>
      </c>
      <c r="F131" s="1065">
        <v>215629374739</v>
      </c>
      <c r="G131" s="1065">
        <v>258288166589</v>
      </c>
      <c r="H131" s="1065">
        <v>276060215338</v>
      </c>
      <c r="I131" s="1065">
        <v>303244446906</v>
      </c>
      <c r="J131" s="1065">
        <v>266907933706</v>
      </c>
      <c r="K131" s="1065">
        <v>288234194824</v>
      </c>
      <c r="L131" s="1065">
        <v>336844227558</v>
      </c>
      <c r="M131" s="1065">
        <v>401880823829</v>
      </c>
      <c r="N131" s="1065">
        <v>344259336936</v>
      </c>
      <c r="O131" s="1065">
        <v>395035975631</v>
      </c>
      <c r="P131" s="1065">
        <v>434258181703</v>
      </c>
      <c r="Q131" s="1065">
        <v>444191195100</v>
      </c>
      <c r="R131" s="1065">
        <v>444994247431</v>
      </c>
      <c r="S131" s="1065">
        <v>458067713287</v>
      </c>
      <c r="T131" s="1065">
        <v>511666455075</v>
      </c>
      <c r="U131" s="1065">
        <v>541775720977</v>
      </c>
      <c r="V131" s="1065">
        <v>552757843029</v>
      </c>
      <c r="W131" s="1065">
        <v>611736204686</v>
      </c>
      <c r="X131" s="1065">
        <v>716711600426</v>
      </c>
      <c r="Y131" s="1065">
        <v>713671935568</v>
      </c>
      <c r="Z131" s="1065">
        <v>725630716685</v>
      </c>
      <c r="AA131" s="1065">
        <v>692837637889</v>
      </c>
      <c r="AB131" s="1065">
        <v>812559004110</v>
      </c>
      <c r="AC131" s="1065">
        <v>827627486079</v>
      </c>
      <c r="AD131" s="1065">
        <v>750377370931</v>
      </c>
      <c r="AE131" s="1065">
        <v>813918905684</v>
      </c>
      <c r="AF131" s="1065">
        <v>849821375580</v>
      </c>
      <c r="AG131" s="1065">
        <v>791852945606</v>
      </c>
      <c r="AH131" s="1065">
        <v>726430164286</v>
      </c>
      <c r="AI131" s="1065">
        <v>793692283992</v>
      </c>
      <c r="AJ131" s="1065">
        <v>848906634313</v>
      </c>
      <c r="AK131" s="1065">
        <v>812534968219</v>
      </c>
      <c r="AL131" s="1065">
        <v>795142374066</v>
      </c>
      <c r="AM131" s="1065">
        <v>774431888823</v>
      </c>
      <c r="AN131" s="1065">
        <v>851257077639</v>
      </c>
      <c r="AO131" s="1065">
        <v>909411889019</v>
      </c>
      <c r="AP131" s="1065">
        <v>822590126188</v>
      </c>
      <c r="AQ131" s="1065">
        <v>852787207870</v>
      </c>
    </row>
    <row r="132" spans="1:43">
      <c r="A132" s="1064" t="s">
        <v>970</v>
      </c>
      <c r="B132" s="1065">
        <v>4101940000</v>
      </c>
      <c r="C132" s="1065">
        <v>4101940000</v>
      </c>
      <c r="D132" s="1065">
        <v>4101940000</v>
      </c>
      <c r="E132" s="1065">
        <v>4071940000</v>
      </c>
      <c r="F132" s="1065">
        <v>3721940000</v>
      </c>
      <c r="G132" s="1065">
        <v>3721940000</v>
      </c>
      <c r="H132" s="1065">
        <v>3721940000</v>
      </c>
      <c r="I132" s="1065">
        <v>3685400000</v>
      </c>
      <c r="J132" s="1065">
        <v>3685400000</v>
      </c>
      <c r="K132" s="1065">
        <v>3685400000</v>
      </c>
      <c r="L132" s="1065">
        <v>3685400000</v>
      </c>
      <c r="M132" s="1065">
        <v>3685400000</v>
      </c>
      <c r="N132" s="1065">
        <v>3685400000</v>
      </c>
      <c r="O132" s="1065">
        <v>3415000000</v>
      </c>
      <c r="P132" s="1065">
        <v>3415000000</v>
      </c>
      <c r="Q132" s="1065">
        <v>3415000000</v>
      </c>
      <c r="R132" s="1065">
        <v>3415000000</v>
      </c>
      <c r="S132" s="1065">
        <v>3415000000</v>
      </c>
      <c r="T132" s="1065">
        <v>3415000000</v>
      </c>
      <c r="U132" s="1065">
        <v>2415000000</v>
      </c>
      <c r="V132" s="1065">
        <v>2415000000</v>
      </c>
      <c r="W132" s="1065">
        <v>150000000</v>
      </c>
      <c r="X132" s="1065">
        <v>50000000</v>
      </c>
      <c r="Y132" s="1065">
        <v>50000000</v>
      </c>
      <c r="Z132" s="1065">
        <v>50000000</v>
      </c>
      <c r="AA132" s="1065">
        <v>50000000</v>
      </c>
      <c r="AB132" s="1065">
        <v>50000000</v>
      </c>
      <c r="AC132" s="1065">
        <v>50000000</v>
      </c>
      <c r="AD132" s="1065">
        <v>50000000</v>
      </c>
      <c r="AE132" s="1065">
        <v>0</v>
      </c>
      <c r="AF132" s="1065">
        <v>0</v>
      </c>
      <c r="AG132" s="1065">
        <v>0</v>
      </c>
      <c r="AH132" s="1065">
        <v>0</v>
      </c>
      <c r="AI132" s="1065">
        <v>0</v>
      </c>
      <c r="AJ132" s="1065">
        <v>0</v>
      </c>
      <c r="AK132" s="1065">
        <v>0</v>
      </c>
      <c r="AL132" s="1065">
        <v>0</v>
      </c>
      <c r="AM132" s="1065">
        <v>0</v>
      </c>
      <c r="AN132" s="1065">
        <v>0</v>
      </c>
      <c r="AO132" s="1065">
        <v>0</v>
      </c>
      <c r="AP132" s="1065">
        <v>0</v>
      </c>
      <c r="AQ132" s="1065">
        <v>0</v>
      </c>
    </row>
    <row r="133" spans="1:43">
      <c r="A133" s="1064" t="s">
        <v>971</v>
      </c>
      <c r="B133" s="1065">
        <v>1199792100000</v>
      </c>
      <c r="C133" s="1065">
        <v>736539850000</v>
      </c>
      <c r="D133" s="1065">
        <v>1022930880682</v>
      </c>
      <c r="E133" s="1065">
        <v>46667720000</v>
      </c>
      <c r="F133" s="1065">
        <v>1311059230000</v>
      </c>
      <c r="G133" s="1065">
        <v>628586599023</v>
      </c>
      <c r="H133" s="1065">
        <v>1126662700000</v>
      </c>
      <c r="I133" s="1065">
        <v>32175200000</v>
      </c>
      <c r="J133" s="1065">
        <v>974307045349</v>
      </c>
      <c r="K133" s="1065">
        <v>700265429296</v>
      </c>
      <c r="L133" s="1065">
        <v>1171729358503</v>
      </c>
      <c r="M133" s="1065">
        <v>89503500000</v>
      </c>
      <c r="N133" s="1065">
        <v>1064035764330</v>
      </c>
      <c r="O133" s="1065">
        <v>698573592204</v>
      </c>
      <c r="P133" s="1065">
        <v>1977539742606</v>
      </c>
      <c r="Q133" s="1065">
        <v>357136634998</v>
      </c>
      <c r="R133" s="1065">
        <v>625826080152</v>
      </c>
      <c r="S133" s="1065">
        <v>1243934234485</v>
      </c>
      <c r="T133" s="1065">
        <v>2200336221240</v>
      </c>
      <c r="U133" s="1065">
        <v>791213105577</v>
      </c>
      <c r="V133" s="1065">
        <v>2152606287398</v>
      </c>
      <c r="W133" s="1065">
        <v>1763735859998</v>
      </c>
      <c r="X133" s="1065">
        <v>3991683640501</v>
      </c>
      <c r="Y133" s="1065">
        <v>792990942832</v>
      </c>
      <c r="Z133" s="1065">
        <v>2757873219714</v>
      </c>
      <c r="AA133" s="1065">
        <v>2052145017580</v>
      </c>
      <c r="AB133" s="1065">
        <v>4625160425265</v>
      </c>
      <c r="AC133" s="1065">
        <v>572924940293</v>
      </c>
      <c r="AD133" s="1065">
        <v>1891793480896</v>
      </c>
      <c r="AE133" s="1065">
        <v>1975485594495</v>
      </c>
      <c r="AF133" s="1065">
        <v>2832618404831</v>
      </c>
      <c r="AG133" s="1065">
        <v>801259288510</v>
      </c>
      <c r="AH133" s="1065">
        <v>1944470621323</v>
      </c>
      <c r="AI133" s="1065">
        <v>4261595413704</v>
      </c>
      <c r="AJ133" s="1065">
        <v>4033344935434</v>
      </c>
      <c r="AK133" s="1065">
        <v>1314206279998</v>
      </c>
      <c r="AL133" s="1065">
        <v>2717901834633</v>
      </c>
      <c r="AM133" s="1065">
        <v>4708883867755</v>
      </c>
      <c r="AN133" s="1065">
        <v>6084140763972</v>
      </c>
      <c r="AO133" s="1065">
        <v>2057876529998</v>
      </c>
      <c r="AP133" s="1065">
        <v>5999370767579</v>
      </c>
      <c r="AQ133" s="1065">
        <v>3844791965404</v>
      </c>
    </row>
    <row r="134" spans="1:43">
      <c r="A134" s="1064" t="s">
        <v>972</v>
      </c>
      <c r="B134" s="1065">
        <v>7377436397</v>
      </c>
      <c r="C134" s="1065">
        <v>4744928308</v>
      </c>
      <c r="D134" s="1065">
        <v>5661078020</v>
      </c>
      <c r="E134" s="1065">
        <v>3872014628</v>
      </c>
      <c r="F134" s="1065">
        <v>3888218560</v>
      </c>
      <c r="G134" s="1065">
        <v>3491008599</v>
      </c>
      <c r="H134" s="1065">
        <v>1927566286</v>
      </c>
      <c r="I134" s="1065">
        <v>2838865788</v>
      </c>
      <c r="J134" s="1065">
        <v>782448773</v>
      </c>
      <c r="K134" s="1065">
        <v>19266530861</v>
      </c>
      <c r="L134" s="1065">
        <v>16838719054</v>
      </c>
      <c r="M134" s="1065">
        <v>4510089261</v>
      </c>
      <c r="N134" s="1065">
        <v>20405277066</v>
      </c>
      <c r="O134" s="1065">
        <v>794461556</v>
      </c>
      <c r="P134" s="1065">
        <v>1731261090</v>
      </c>
      <c r="Q134" s="1065">
        <v>4172962356</v>
      </c>
      <c r="R134" s="1065">
        <v>26413417079</v>
      </c>
      <c r="S134" s="1065">
        <v>463265775</v>
      </c>
      <c r="T134" s="1065">
        <v>545694595</v>
      </c>
      <c r="U134" s="1065">
        <v>3569441871</v>
      </c>
      <c r="V134" s="1065">
        <v>8673635401</v>
      </c>
      <c r="W134" s="1065">
        <v>3513460009</v>
      </c>
      <c r="X134" s="1065">
        <v>3952044642</v>
      </c>
      <c r="Y134" s="1065">
        <v>3031441727</v>
      </c>
      <c r="Z134" s="1065">
        <v>142299098</v>
      </c>
      <c r="AA134" s="1065">
        <v>1099401445</v>
      </c>
      <c r="AB134" s="1065">
        <v>7122086768</v>
      </c>
      <c r="AC134" s="1065">
        <v>1487820922</v>
      </c>
      <c r="AD134" s="1065">
        <v>6186255963</v>
      </c>
      <c r="AE134" s="1065">
        <v>154097212</v>
      </c>
      <c r="AF134" s="1065">
        <v>388900771</v>
      </c>
      <c r="AG134" s="1065">
        <v>2485700487</v>
      </c>
      <c r="AH134" s="1065">
        <v>15798313515</v>
      </c>
      <c r="AI134" s="1065">
        <v>1378713823</v>
      </c>
      <c r="AJ134" s="1065">
        <v>2887856320</v>
      </c>
      <c r="AK134" s="1065">
        <v>143706787</v>
      </c>
      <c r="AL134" s="1065">
        <v>10139908818</v>
      </c>
      <c r="AM134" s="1065">
        <v>152603062</v>
      </c>
      <c r="AN134" s="1065">
        <v>3124663021</v>
      </c>
      <c r="AO134" s="1065">
        <v>152388482</v>
      </c>
      <c r="AP134" s="1065">
        <v>3027960811</v>
      </c>
      <c r="AQ134" s="1065">
        <v>6578900902</v>
      </c>
    </row>
    <row r="135" spans="1:43">
      <c r="A135" s="1064" t="s">
        <v>973</v>
      </c>
      <c r="B135" s="1065">
        <v>0</v>
      </c>
      <c r="C135" s="1065">
        <v>0</v>
      </c>
      <c r="D135" s="1065">
        <v>0</v>
      </c>
      <c r="E135" s="1065">
        <v>0</v>
      </c>
      <c r="F135" s="1065">
        <v>0</v>
      </c>
      <c r="G135" s="1065">
        <v>0</v>
      </c>
      <c r="H135" s="1065">
        <v>0</v>
      </c>
      <c r="I135" s="1065">
        <v>0</v>
      </c>
      <c r="J135" s="1065">
        <v>0</v>
      </c>
      <c r="K135" s="1065">
        <v>0</v>
      </c>
      <c r="L135" s="1065">
        <v>0</v>
      </c>
      <c r="M135" s="1065">
        <v>0</v>
      </c>
      <c r="N135" s="1065">
        <v>0</v>
      </c>
      <c r="O135" s="1065">
        <v>0</v>
      </c>
      <c r="P135" s="1065">
        <v>0</v>
      </c>
      <c r="Q135" s="1065">
        <v>0</v>
      </c>
      <c r="R135" s="1065">
        <v>0</v>
      </c>
      <c r="S135" s="1065">
        <v>0</v>
      </c>
      <c r="T135" s="1065">
        <v>0</v>
      </c>
      <c r="U135" s="1065">
        <v>0</v>
      </c>
      <c r="V135" s="1065">
        <v>0</v>
      </c>
      <c r="W135" s="1065">
        <v>0</v>
      </c>
      <c r="X135" s="1065">
        <v>0</v>
      </c>
      <c r="Y135" s="1065">
        <v>0</v>
      </c>
      <c r="Z135" s="1065">
        <v>0</v>
      </c>
      <c r="AA135" s="1065">
        <v>0</v>
      </c>
      <c r="AB135" s="1065">
        <v>0</v>
      </c>
      <c r="AC135" s="1065">
        <v>0</v>
      </c>
      <c r="AD135" s="1065">
        <v>0</v>
      </c>
      <c r="AE135" s="1065">
        <v>0</v>
      </c>
      <c r="AF135" s="1065">
        <v>0</v>
      </c>
      <c r="AG135" s="1065">
        <v>0</v>
      </c>
      <c r="AH135" s="1065">
        <v>0</v>
      </c>
      <c r="AI135" s="1065">
        <v>0</v>
      </c>
      <c r="AJ135" s="1065">
        <v>0</v>
      </c>
      <c r="AK135" s="1065">
        <v>0</v>
      </c>
      <c r="AL135" s="1065">
        <v>0</v>
      </c>
      <c r="AM135" s="1065">
        <v>0</v>
      </c>
      <c r="AN135" s="1065">
        <v>0</v>
      </c>
      <c r="AO135" s="1065">
        <v>0</v>
      </c>
      <c r="AP135" s="1065">
        <v>0</v>
      </c>
      <c r="AQ135" s="1065">
        <v>0</v>
      </c>
    </row>
    <row r="136" spans="1:43">
      <c r="A136" s="1064" t="s">
        <v>974</v>
      </c>
      <c r="B136" s="1065">
        <v>0</v>
      </c>
      <c r="C136" s="1065">
        <v>0</v>
      </c>
      <c r="D136" s="1065">
        <v>0</v>
      </c>
      <c r="E136" s="1065">
        <v>0</v>
      </c>
      <c r="F136" s="1065">
        <v>0</v>
      </c>
      <c r="G136" s="1065">
        <v>0</v>
      </c>
      <c r="H136" s="1065">
        <v>0</v>
      </c>
      <c r="I136" s="1065">
        <v>0</v>
      </c>
      <c r="J136" s="1065">
        <v>0</v>
      </c>
      <c r="K136" s="1065">
        <v>0</v>
      </c>
      <c r="L136" s="1065">
        <v>0</v>
      </c>
      <c r="M136" s="1065">
        <v>0</v>
      </c>
      <c r="N136" s="1065">
        <v>23363497155</v>
      </c>
      <c r="O136" s="1065">
        <v>28303612047</v>
      </c>
      <c r="P136" s="1065">
        <v>27720524126</v>
      </c>
      <c r="Q136" s="1065">
        <v>28401828059</v>
      </c>
      <c r="R136" s="1065">
        <v>31671009339</v>
      </c>
      <c r="S136" s="1065">
        <v>30965873330</v>
      </c>
      <c r="T136" s="1065">
        <v>28775046325</v>
      </c>
      <c r="U136" s="1065">
        <v>26165998208</v>
      </c>
      <c r="V136" s="1065">
        <v>27185067293</v>
      </c>
      <c r="W136" s="1065">
        <v>26377853897</v>
      </c>
      <c r="X136" s="1065">
        <v>29184801256</v>
      </c>
      <c r="Y136" s="1065">
        <v>27788998721</v>
      </c>
      <c r="Z136" s="1065">
        <v>26419362201</v>
      </c>
      <c r="AA136" s="1065">
        <v>28980470302</v>
      </c>
      <c r="AB136" s="1065">
        <v>26608634132</v>
      </c>
      <c r="AC136" s="1065">
        <v>24137913026</v>
      </c>
      <c r="AD136" s="1065">
        <v>23247666159</v>
      </c>
      <c r="AE136" s="1065">
        <v>20631745831</v>
      </c>
      <c r="AF136" s="1065">
        <v>18148756695</v>
      </c>
      <c r="AG136" s="1065">
        <v>15818987924</v>
      </c>
      <c r="AH136" s="1065">
        <v>15260028679</v>
      </c>
      <c r="AI136" s="1065">
        <v>12084078188</v>
      </c>
      <c r="AJ136" s="1065">
        <v>10672059052</v>
      </c>
      <c r="AK136" s="1065">
        <v>43876296390</v>
      </c>
      <c r="AL136" s="1065">
        <v>44622551490</v>
      </c>
      <c r="AM136" s="1065">
        <v>45517576513</v>
      </c>
      <c r="AN136" s="1065">
        <v>42541781029</v>
      </c>
      <c r="AO136" s="1065">
        <v>46349668886</v>
      </c>
      <c r="AP136" s="1065">
        <v>50917643815</v>
      </c>
      <c r="AQ136" s="1065">
        <v>50870489666</v>
      </c>
    </row>
    <row r="137" spans="1:43">
      <c r="A137" s="1064" t="s">
        <v>975</v>
      </c>
      <c r="B137" s="1065"/>
      <c r="C137" s="1065"/>
      <c r="D137" s="1065"/>
      <c r="E137" s="1065"/>
      <c r="F137" s="1065"/>
      <c r="G137" s="1065"/>
      <c r="H137" s="1065"/>
      <c r="I137" s="1065"/>
      <c r="J137" s="1065"/>
      <c r="K137" s="1065"/>
      <c r="L137" s="1065"/>
      <c r="M137" s="1065"/>
      <c r="N137" s="1065"/>
      <c r="O137" s="1065"/>
      <c r="P137" s="1065"/>
      <c r="Q137" s="1065"/>
      <c r="R137" s="1065"/>
      <c r="S137" s="1065"/>
      <c r="T137" s="1065">
        <v>0</v>
      </c>
      <c r="U137" s="1065">
        <v>0</v>
      </c>
      <c r="V137" s="1065">
        <v>0</v>
      </c>
      <c r="W137" s="1065">
        <v>0</v>
      </c>
      <c r="X137" s="1065">
        <v>0</v>
      </c>
      <c r="Y137" s="1065">
        <v>0</v>
      </c>
      <c r="Z137" s="1065">
        <v>0</v>
      </c>
      <c r="AA137" s="1065">
        <v>0</v>
      </c>
      <c r="AB137" s="1065">
        <v>0</v>
      </c>
      <c r="AC137" s="1065">
        <v>0</v>
      </c>
      <c r="AD137" s="1065">
        <v>0</v>
      </c>
      <c r="AE137" s="1065">
        <v>0</v>
      </c>
      <c r="AF137" s="1065">
        <v>0</v>
      </c>
      <c r="AG137" s="1065">
        <v>0</v>
      </c>
      <c r="AH137" s="1065">
        <v>0</v>
      </c>
      <c r="AI137" s="1065">
        <v>0</v>
      </c>
      <c r="AJ137" s="1065">
        <v>0</v>
      </c>
      <c r="AK137" s="1065">
        <v>0</v>
      </c>
      <c r="AL137" s="1065">
        <v>0</v>
      </c>
      <c r="AM137" s="1065">
        <v>0</v>
      </c>
      <c r="AN137" s="1065">
        <v>0</v>
      </c>
      <c r="AO137" s="1065">
        <v>0</v>
      </c>
      <c r="AP137" s="1065">
        <v>0</v>
      </c>
      <c r="AQ137" s="1065">
        <v>0</v>
      </c>
    </row>
    <row r="138" spans="1:43">
      <c r="A138" s="1064" t="s">
        <v>976</v>
      </c>
      <c r="B138" s="1065"/>
      <c r="C138" s="1065"/>
      <c r="D138" s="1065"/>
      <c r="E138" s="1065"/>
      <c r="F138" s="1065"/>
      <c r="G138" s="1065"/>
      <c r="H138" s="1065"/>
      <c r="I138" s="1065"/>
      <c r="J138" s="1065"/>
      <c r="K138" s="1065"/>
      <c r="L138" s="1065"/>
      <c r="M138" s="1065"/>
      <c r="N138" s="1065">
        <v>0</v>
      </c>
      <c r="O138" s="1065">
        <v>0</v>
      </c>
      <c r="P138" s="1065">
        <v>0</v>
      </c>
      <c r="Q138" s="1065">
        <v>0</v>
      </c>
      <c r="R138" s="1065">
        <v>0</v>
      </c>
      <c r="S138" s="1065">
        <v>0</v>
      </c>
      <c r="T138" s="1065">
        <v>0</v>
      </c>
      <c r="U138" s="1065">
        <v>0</v>
      </c>
      <c r="V138" s="1065">
        <v>0</v>
      </c>
      <c r="W138" s="1065">
        <v>0</v>
      </c>
      <c r="X138" s="1065">
        <v>0</v>
      </c>
      <c r="Y138" s="1065">
        <v>0</v>
      </c>
      <c r="Z138" s="1065">
        <v>0</v>
      </c>
      <c r="AA138" s="1065">
        <v>0</v>
      </c>
      <c r="AB138" s="1065">
        <v>0</v>
      </c>
      <c r="AC138" s="1065">
        <v>0</v>
      </c>
      <c r="AD138" s="1065">
        <v>0</v>
      </c>
      <c r="AE138" s="1065">
        <v>0</v>
      </c>
      <c r="AF138" s="1065">
        <v>0</v>
      </c>
      <c r="AG138" s="1065">
        <v>0</v>
      </c>
      <c r="AH138" s="1065">
        <v>0</v>
      </c>
      <c r="AI138" s="1065">
        <v>0</v>
      </c>
      <c r="AJ138" s="1065">
        <v>0</v>
      </c>
      <c r="AK138" s="1065">
        <v>0</v>
      </c>
      <c r="AL138" s="1065">
        <v>0</v>
      </c>
      <c r="AM138" s="1065">
        <v>0</v>
      </c>
      <c r="AN138" s="1065">
        <v>0</v>
      </c>
      <c r="AO138" s="1065">
        <v>0</v>
      </c>
      <c r="AP138" s="1065">
        <v>0</v>
      </c>
      <c r="AQ138" s="1065">
        <v>0</v>
      </c>
    </row>
    <row r="139" spans="1:43">
      <c r="A139" s="1066" t="s">
        <v>977</v>
      </c>
      <c r="B139" s="1067">
        <v>101348682706</v>
      </c>
      <c r="C139" s="1067">
        <v>106209925971</v>
      </c>
      <c r="D139" s="1067">
        <v>106875110528</v>
      </c>
      <c r="E139" s="1067">
        <v>120733147377</v>
      </c>
      <c r="F139" s="1067">
        <v>128516534018</v>
      </c>
      <c r="G139" s="1067">
        <v>140212180906</v>
      </c>
      <c r="H139" s="1067">
        <v>137721253691</v>
      </c>
      <c r="I139" s="1067">
        <v>123104353198</v>
      </c>
      <c r="J139" s="1067">
        <v>151996826042</v>
      </c>
      <c r="K139" s="1067">
        <v>124077169432</v>
      </c>
      <c r="L139" s="1067">
        <v>120464137738</v>
      </c>
      <c r="M139" s="1067">
        <v>157255697343</v>
      </c>
      <c r="N139" s="1067">
        <v>185109698066</v>
      </c>
      <c r="O139" s="1067">
        <v>126387252139</v>
      </c>
      <c r="P139" s="1067">
        <v>134540351509</v>
      </c>
      <c r="Q139" s="1067">
        <v>169657389991</v>
      </c>
      <c r="R139" s="1067">
        <v>190678047999</v>
      </c>
      <c r="S139" s="1067">
        <v>139561724729</v>
      </c>
      <c r="T139" s="1067">
        <v>140300096980</v>
      </c>
      <c r="U139" s="1067">
        <v>142487689711</v>
      </c>
      <c r="V139" s="1067">
        <v>163975991253</v>
      </c>
      <c r="W139" s="1067">
        <v>148483896638</v>
      </c>
      <c r="X139" s="1067">
        <v>144880052838</v>
      </c>
      <c r="Y139" s="1067">
        <v>147314273389</v>
      </c>
      <c r="Z139" s="1067">
        <v>209992533743</v>
      </c>
      <c r="AA139" s="1067">
        <v>196760421627</v>
      </c>
      <c r="AB139" s="1067">
        <v>176543857412</v>
      </c>
      <c r="AC139" s="1067">
        <v>169429606855</v>
      </c>
      <c r="AD139" s="1067">
        <v>203824780623</v>
      </c>
      <c r="AE139" s="1067">
        <v>215876415463</v>
      </c>
      <c r="AF139" s="1067">
        <v>234799056065</v>
      </c>
      <c r="AG139" s="1067">
        <v>241787411606</v>
      </c>
      <c r="AH139" s="1067">
        <v>249423375566</v>
      </c>
      <c r="AI139" s="1067">
        <v>240043443373</v>
      </c>
      <c r="AJ139" s="1067">
        <v>251003286799</v>
      </c>
      <c r="AK139" s="1067">
        <v>254676771414</v>
      </c>
      <c r="AL139" s="1067">
        <v>238135445849</v>
      </c>
      <c r="AM139" s="1067">
        <v>220393229309</v>
      </c>
      <c r="AN139" s="1067">
        <v>230230462532</v>
      </c>
      <c r="AO139" s="1067">
        <v>267984707715</v>
      </c>
      <c r="AP139" s="1067">
        <v>225782960276</v>
      </c>
      <c r="AQ139" s="1067">
        <v>220169916302</v>
      </c>
    </row>
    <row r="140" spans="1:43">
      <c r="A140" s="1064" t="s">
        <v>978</v>
      </c>
      <c r="B140" s="1065">
        <v>4578294501</v>
      </c>
      <c r="C140" s="1065">
        <v>3283306346</v>
      </c>
      <c r="D140" s="1065">
        <v>3881384025</v>
      </c>
      <c r="E140" s="1065">
        <v>5161137249</v>
      </c>
      <c r="F140" s="1065">
        <v>3608136224</v>
      </c>
      <c r="G140" s="1065">
        <v>3153065035</v>
      </c>
      <c r="H140" s="1065">
        <v>2607315812</v>
      </c>
      <c r="I140" s="1065">
        <v>1926797325</v>
      </c>
      <c r="J140" s="1065">
        <v>1455382388</v>
      </c>
      <c r="K140" s="1065">
        <v>1320794867</v>
      </c>
      <c r="L140" s="1065">
        <v>1054591280</v>
      </c>
      <c r="M140" s="1065">
        <v>32677306710</v>
      </c>
      <c r="N140" s="1065">
        <v>32343782010</v>
      </c>
      <c r="O140" s="1065">
        <v>422696158</v>
      </c>
      <c r="P140" s="1065">
        <v>202616032</v>
      </c>
      <c r="Q140" s="1065">
        <v>104560422</v>
      </c>
      <c r="R140" s="1065">
        <v>82905119</v>
      </c>
      <c r="S140" s="1065">
        <v>106882695</v>
      </c>
      <c r="T140" s="1065">
        <v>55848332</v>
      </c>
      <c r="U140" s="1065">
        <v>29060580</v>
      </c>
      <c r="V140" s="1065">
        <v>29200298</v>
      </c>
      <c r="W140" s="1065">
        <v>34001366</v>
      </c>
      <c r="X140" s="1065">
        <v>33968784</v>
      </c>
      <c r="Y140" s="1065">
        <v>34086864</v>
      </c>
      <c r="Z140" s="1065">
        <v>34086864</v>
      </c>
      <c r="AA140" s="1065">
        <v>34086864</v>
      </c>
      <c r="AB140" s="1065">
        <v>34086864</v>
      </c>
      <c r="AC140" s="1065">
        <v>34086864</v>
      </c>
      <c r="AD140" s="1065">
        <v>34086864</v>
      </c>
      <c r="AE140" s="1065">
        <v>34086864</v>
      </c>
      <c r="AF140" s="1065">
        <v>34086864</v>
      </c>
      <c r="AG140" s="1065">
        <v>34086864</v>
      </c>
      <c r="AH140" s="1065">
        <v>34086864</v>
      </c>
      <c r="AI140" s="1065">
        <v>34086864</v>
      </c>
      <c r="AJ140" s="1065">
        <v>34086864</v>
      </c>
      <c r="AK140" s="1065">
        <v>34086864</v>
      </c>
      <c r="AL140" s="1065">
        <v>34086864</v>
      </c>
      <c r="AM140" s="1065">
        <v>34086864</v>
      </c>
      <c r="AN140" s="1065">
        <v>34086864</v>
      </c>
      <c r="AO140" s="1065">
        <v>34086864</v>
      </c>
      <c r="AP140" s="1065">
        <v>34086864</v>
      </c>
      <c r="AQ140" s="1065">
        <v>34086864</v>
      </c>
    </row>
    <row r="141" spans="1:43">
      <c r="A141" s="1064" t="s">
        <v>979</v>
      </c>
      <c r="B141" s="1065">
        <v>67509024750</v>
      </c>
      <c r="C141" s="1065">
        <v>76183843423</v>
      </c>
      <c r="D141" s="1065">
        <v>72874424537</v>
      </c>
      <c r="E141" s="1065">
        <v>91084059241</v>
      </c>
      <c r="F141" s="1065">
        <v>89810050547</v>
      </c>
      <c r="G141" s="1065">
        <v>98381153925</v>
      </c>
      <c r="H141" s="1065">
        <v>95338104643</v>
      </c>
      <c r="I141" s="1065">
        <v>88313113297</v>
      </c>
      <c r="J141" s="1065">
        <v>89289176457</v>
      </c>
      <c r="K141" s="1065">
        <v>89660118502</v>
      </c>
      <c r="L141" s="1065">
        <v>94738213532</v>
      </c>
      <c r="M141" s="1065">
        <v>91441717880</v>
      </c>
      <c r="N141" s="1065">
        <v>108119169827</v>
      </c>
      <c r="O141" s="1065">
        <v>112258179483</v>
      </c>
      <c r="P141" s="1065">
        <v>123068240948</v>
      </c>
      <c r="Q141" s="1065">
        <v>149636257016</v>
      </c>
      <c r="R141" s="1065">
        <v>158964192990</v>
      </c>
      <c r="S141" s="1065">
        <v>124529432719</v>
      </c>
      <c r="T141" s="1065">
        <v>122148597708</v>
      </c>
      <c r="U141" s="1065">
        <v>125008333131</v>
      </c>
      <c r="V141" s="1065">
        <v>125086051695</v>
      </c>
      <c r="W141" s="1065">
        <v>121732665544</v>
      </c>
      <c r="X141" s="1065">
        <v>117688802859</v>
      </c>
      <c r="Y141" s="1065">
        <v>128126008465</v>
      </c>
      <c r="Z141" s="1065">
        <v>140499116099</v>
      </c>
      <c r="AA141" s="1065">
        <v>132441976584</v>
      </c>
      <c r="AB141" s="1065">
        <v>119062638721</v>
      </c>
      <c r="AC141" s="1065">
        <v>110671086036</v>
      </c>
      <c r="AD141" s="1065">
        <v>137418752852</v>
      </c>
      <c r="AE141" s="1065">
        <v>157299138606</v>
      </c>
      <c r="AF141" s="1065">
        <v>181147994706</v>
      </c>
      <c r="AG141" s="1065">
        <v>189053234509</v>
      </c>
      <c r="AH141" s="1065">
        <v>192602122654</v>
      </c>
      <c r="AI141" s="1065">
        <v>188556834858</v>
      </c>
      <c r="AJ141" s="1065">
        <v>189245523866</v>
      </c>
      <c r="AK141" s="1065">
        <v>191928854871</v>
      </c>
      <c r="AL141" s="1065">
        <v>178534136930</v>
      </c>
      <c r="AM141" s="1065">
        <v>161212238477</v>
      </c>
      <c r="AN141" s="1065">
        <v>154561201773</v>
      </c>
      <c r="AO141" s="1065">
        <v>177756643672</v>
      </c>
      <c r="AP141" s="1065">
        <v>160571161550</v>
      </c>
      <c r="AQ141" s="1065">
        <v>149390999168</v>
      </c>
    </row>
    <row r="142" spans="1:43">
      <c r="A142" s="1064" t="s">
        <v>980</v>
      </c>
      <c r="B142" s="1065">
        <v>13258105924</v>
      </c>
      <c r="C142" s="1065">
        <v>10738725345</v>
      </c>
      <c r="D142" s="1065">
        <v>12762883153</v>
      </c>
      <c r="E142" s="1065">
        <v>8481018247</v>
      </c>
      <c r="F142" s="1065">
        <v>16150532766</v>
      </c>
      <c r="G142" s="1065">
        <v>11529683522</v>
      </c>
      <c r="H142" s="1065">
        <v>13080528043</v>
      </c>
      <c r="I142" s="1065">
        <v>10089557428</v>
      </c>
      <c r="J142" s="1065">
        <v>24548688913</v>
      </c>
      <c r="K142" s="1065">
        <v>11376908509</v>
      </c>
      <c r="L142" s="1065">
        <v>11836744552</v>
      </c>
      <c r="M142" s="1065">
        <v>17090645159</v>
      </c>
      <c r="N142" s="1065">
        <v>30876785248</v>
      </c>
      <c r="O142" s="1065">
        <v>13046956021</v>
      </c>
      <c r="P142" s="1065">
        <v>10792873806</v>
      </c>
      <c r="Q142" s="1065">
        <v>14509934962</v>
      </c>
      <c r="R142" s="1065">
        <v>30080581372</v>
      </c>
      <c r="S142" s="1065">
        <v>12299802974</v>
      </c>
      <c r="T142" s="1065">
        <v>16528427152</v>
      </c>
      <c r="U142" s="1065">
        <v>13512855697</v>
      </c>
      <c r="V142" s="1065">
        <v>30224132456</v>
      </c>
      <c r="W142" s="1065">
        <v>18443232230</v>
      </c>
      <c r="X142" s="1065">
        <v>19185774841</v>
      </c>
      <c r="Y142" s="1065">
        <v>16450850522</v>
      </c>
      <c r="Z142" s="1065">
        <v>22974329863</v>
      </c>
      <c r="AA142" s="1065">
        <v>21026096363</v>
      </c>
      <c r="AB142" s="1065">
        <v>13569401961</v>
      </c>
      <c r="AC142" s="1065">
        <v>14379738610</v>
      </c>
      <c r="AD142" s="1065">
        <v>21727222583</v>
      </c>
      <c r="AE142" s="1065">
        <v>18483955572</v>
      </c>
      <c r="AF142" s="1065">
        <v>13556639770</v>
      </c>
      <c r="AG142" s="1065">
        <v>15370783602</v>
      </c>
      <c r="AH142" s="1065">
        <v>18597276766</v>
      </c>
      <c r="AI142" s="1065">
        <v>14529138869</v>
      </c>
      <c r="AJ142" s="1065">
        <v>22357026278</v>
      </c>
      <c r="AK142" s="1065">
        <v>23829762920</v>
      </c>
      <c r="AL142" s="1065">
        <v>23820037500</v>
      </c>
      <c r="AM142" s="1065">
        <v>20261634643</v>
      </c>
      <c r="AN142" s="1065">
        <v>25586443412</v>
      </c>
      <c r="AO142" s="1065">
        <v>53894981841</v>
      </c>
      <c r="AP142" s="1065">
        <v>29281726825</v>
      </c>
      <c r="AQ142" s="1065">
        <v>34485845233</v>
      </c>
    </row>
    <row r="143" spans="1:43">
      <c r="A143" s="1064" t="s">
        <v>981</v>
      </c>
      <c r="B143" s="1065">
        <v>0</v>
      </c>
      <c r="C143" s="1065">
        <v>0</v>
      </c>
      <c r="D143" s="1065">
        <v>0</v>
      </c>
      <c r="E143" s="1065">
        <v>0</v>
      </c>
      <c r="F143" s="1065">
        <v>0</v>
      </c>
      <c r="G143" s="1065">
        <v>0</v>
      </c>
      <c r="H143" s="1065">
        <v>7500</v>
      </c>
      <c r="I143" s="1065">
        <v>0</v>
      </c>
      <c r="J143" s="1065">
        <v>0</v>
      </c>
      <c r="K143" s="1065">
        <v>0</v>
      </c>
      <c r="L143" s="1065">
        <v>0</v>
      </c>
      <c r="M143" s="1065">
        <v>0</v>
      </c>
      <c r="N143" s="1065">
        <v>0</v>
      </c>
      <c r="O143" s="1065">
        <v>0</v>
      </c>
      <c r="P143" s="1065">
        <v>0</v>
      </c>
      <c r="Q143" s="1065">
        <v>0</v>
      </c>
      <c r="R143" s="1065">
        <v>0</v>
      </c>
      <c r="S143" s="1065">
        <v>0</v>
      </c>
      <c r="T143" s="1065">
        <v>0</v>
      </c>
      <c r="U143" s="1065">
        <v>0</v>
      </c>
      <c r="V143" s="1065">
        <v>0</v>
      </c>
      <c r="W143" s="1065">
        <v>0</v>
      </c>
      <c r="X143" s="1065">
        <v>0</v>
      </c>
      <c r="Y143" s="1065">
        <v>0</v>
      </c>
      <c r="Z143" s="1065">
        <v>0</v>
      </c>
      <c r="AA143" s="1065">
        <v>0</v>
      </c>
      <c r="AB143" s="1065">
        <v>0</v>
      </c>
      <c r="AC143" s="1065">
        <v>0</v>
      </c>
      <c r="AD143" s="1065">
        <v>0</v>
      </c>
      <c r="AE143" s="1065">
        <v>0</v>
      </c>
      <c r="AF143" s="1065">
        <v>0</v>
      </c>
      <c r="AG143" s="1065">
        <v>0</v>
      </c>
      <c r="AH143" s="1065">
        <v>0</v>
      </c>
      <c r="AI143" s="1065">
        <v>0</v>
      </c>
      <c r="AJ143" s="1065">
        <v>0</v>
      </c>
      <c r="AK143" s="1065">
        <v>0</v>
      </c>
      <c r="AL143" s="1065">
        <v>0</v>
      </c>
      <c r="AM143" s="1065">
        <v>0</v>
      </c>
      <c r="AN143" s="1065">
        <v>0</v>
      </c>
      <c r="AO143" s="1065">
        <v>0</v>
      </c>
      <c r="AP143" s="1065">
        <v>0</v>
      </c>
      <c r="AQ143" s="1065">
        <v>0</v>
      </c>
    </row>
    <row r="144" spans="1:43">
      <c r="A144" s="1064" t="s">
        <v>982</v>
      </c>
      <c r="B144" s="1065">
        <v>16003257531</v>
      </c>
      <c r="C144" s="1065">
        <v>16004050857</v>
      </c>
      <c r="D144" s="1065">
        <v>17356418813</v>
      </c>
      <c r="E144" s="1065">
        <v>16006932640</v>
      </c>
      <c r="F144" s="1065">
        <v>18947814481</v>
      </c>
      <c r="G144" s="1065">
        <v>27148278424</v>
      </c>
      <c r="H144" s="1065">
        <v>26695297693</v>
      </c>
      <c r="I144" s="1065">
        <v>22774885148</v>
      </c>
      <c r="J144" s="1065">
        <v>36703578284</v>
      </c>
      <c r="K144" s="1065">
        <v>21719347554</v>
      </c>
      <c r="L144" s="1065">
        <v>12834588374</v>
      </c>
      <c r="M144" s="1065">
        <v>16046027594</v>
      </c>
      <c r="N144" s="1065">
        <v>13769960981</v>
      </c>
      <c r="O144" s="1065">
        <v>659420477</v>
      </c>
      <c r="P144" s="1065">
        <v>476620723</v>
      </c>
      <c r="Q144" s="1065">
        <v>5406637591</v>
      </c>
      <c r="R144" s="1065">
        <v>1550368518</v>
      </c>
      <c r="S144" s="1065">
        <v>2625606341</v>
      </c>
      <c r="T144" s="1065">
        <v>1567223788</v>
      </c>
      <c r="U144" s="1065">
        <v>3937440303</v>
      </c>
      <c r="V144" s="1065">
        <v>8636606804</v>
      </c>
      <c r="W144" s="1065">
        <v>8273997498</v>
      </c>
      <c r="X144" s="1065">
        <v>7971506354</v>
      </c>
      <c r="Y144" s="1065">
        <v>2703327538</v>
      </c>
      <c r="Z144" s="1065">
        <v>46485000917</v>
      </c>
      <c r="AA144" s="1065">
        <v>43258261816</v>
      </c>
      <c r="AB144" s="1065">
        <v>43877729866</v>
      </c>
      <c r="AC144" s="1065">
        <v>44344695345</v>
      </c>
      <c r="AD144" s="1065">
        <v>44644718324</v>
      </c>
      <c r="AE144" s="1065">
        <v>40059234421</v>
      </c>
      <c r="AF144" s="1065">
        <v>40060334725</v>
      </c>
      <c r="AG144" s="1065">
        <v>37329306631</v>
      </c>
      <c r="AH144" s="1065">
        <v>38189889282</v>
      </c>
      <c r="AI144" s="1065">
        <v>36923382782</v>
      </c>
      <c r="AJ144" s="1065">
        <v>39366649791</v>
      </c>
      <c r="AK144" s="1065">
        <v>38884066759</v>
      </c>
      <c r="AL144" s="1065">
        <v>35747184555</v>
      </c>
      <c r="AM144" s="1065">
        <v>38885269325</v>
      </c>
      <c r="AN144" s="1065">
        <v>50048730483</v>
      </c>
      <c r="AO144" s="1065">
        <v>36298995338</v>
      </c>
      <c r="AP144" s="1065">
        <v>35895985037</v>
      </c>
      <c r="AQ144" s="1065">
        <v>36258985037</v>
      </c>
    </row>
    <row r="145" spans="1:43">
      <c r="A145" s="1060" t="s">
        <v>832</v>
      </c>
      <c r="B145" s="1061">
        <v>1676599119053</v>
      </c>
      <c r="C145" s="1061">
        <v>1762781088535</v>
      </c>
      <c r="D145" s="1061">
        <v>1825103360178</v>
      </c>
      <c r="E145" s="1061">
        <v>1877564488032</v>
      </c>
      <c r="F145" s="1061">
        <v>1893076996229</v>
      </c>
      <c r="G145" s="1061">
        <v>3168044652757</v>
      </c>
      <c r="H145" s="1061">
        <v>3238694782194</v>
      </c>
      <c r="I145" s="1061">
        <v>3311406760833</v>
      </c>
      <c r="J145" s="1061">
        <v>3252526689133</v>
      </c>
      <c r="K145" s="1061">
        <v>3330272010411</v>
      </c>
      <c r="L145" s="1061">
        <v>3300570372158</v>
      </c>
      <c r="M145" s="1061">
        <v>3391501574488</v>
      </c>
      <c r="N145" s="1061">
        <v>3372414475883</v>
      </c>
      <c r="O145" s="1061">
        <v>3629626406577</v>
      </c>
      <c r="P145" s="1061">
        <v>3643893714013</v>
      </c>
      <c r="Q145" s="1061">
        <v>3984324687816</v>
      </c>
      <c r="R145" s="1061">
        <v>3968776660000</v>
      </c>
      <c r="S145" s="1061">
        <v>4314189798442</v>
      </c>
      <c r="T145" s="1061">
        <v>4428469625474</v>
      </c>
      <c r="U145" s="1061">
        <v>4547118605749</v>
      </c>
      <c r="V145" s="1061">
        <v>4481434576497</v>
      </c>
      <c r="W145" s="1061">
        <v>4704172729631</v>
      </c>
      <c r="X145" s="1061">
        <v>4759497340852</v>
      </c>
      <c r="Y145" s="1061">
        <v>5068815484163</v>
      </c>
      <c r="Z145" s="1061">
        <v>5046985121104</v>
      </c>
      <c r="AA145" s="1061">
        <v>5255560452614</v>
      </c>
      <c r="AB145" s="1061">
        <v>5379842093044</v>
      </c>
      <c r="AC145" s="1061">
        <v>5371796142195</v>
      </c>
      <c r="AD145" s="1061">
        <v>5636139978113</v>
      </c>
      <c r="AE145" s="1061">
        <v>5728899818483</v>
      </c>
      <c r="AF145" s="1061">
        <v>5500515694232</v>
      </c>
      <c r="AG145" s="1061">
        <v>5619380059513</v>
      </c>
      <c r="AH145" s="1061">
        <v>5698841817021</v>
      </c>
      <c r="AI145" s="1061">
        <v>5878330881356</v>
      </c>
      <c r="AJ145" s="1061">
        <v>6109036211868</v>
      </c>
      <c r="AK145" s="1061">
        <v>6297745019853</v>
      </c>
      <c r="AL145" s="1061">
        <v>6806914228190</v>
      </c>
      <c r="AM145" s="1061">
        <v>7060933193168</v>
      </c>
      <c r="AN145" s="1061">
        <v>7191736698416</v>
      </c>
      <c r="AO145" s="1061">
        <v>7535276527786</v>
      </c>
      <c r="AP145" s="1061">
        <v>7792566444261</v>
      </c>
      <c r="AQ145" s="1061">
        <v>8349543167409</v>
      </c>
    </row>
    <row r="146" spans="1:43">
      <c r="A146" s="1062" t="s">
        <v>983</v>
      </c>
      <c r="B146" s="1063">
        <v>496638534000</v>
      </c>
      <c r="C146" s="1063">
        <v>496638534000</v>
      </c>
      <c r="D146" s="1063">
        <v>496638534000</v>
      </c>
      <c r="E146" s="1063">
        <v>496638534000</v>
      </c>
      <c r="F146" s="1063">
        <v>496638534000</v>
      </c>
      <c r="G146" s="1063">
        <v>717488890000</v>
      </c>
      <c r="H146" s="1063">
        <v>717488890000</v>
      </c>
      <c r="I146" s="1063">
        <v>717488890000</v>
      </c>
      <c r="J146" s="1063">
        <v>717488890000</v>
      </c>
      <c r="K146" s="1063">
        <v>717488890000</v>
      </c>
      <c r="L146" s="1063">
        <v>717488890000</v>
      </c>
      <c r="M146" s="1063">
        <v>717488890000</v>
      </c>
      <c r="N146" s="1063">
        <v>717488890000</v>
      </c>
      <c r="O146" s="1063">
        <v>717488890000</v>
      </c>
      <c r="P146" s="1063">
        <v>717488890000</v>
      </c>
      <c r="Q146" s="1063">
        <v>717488890000</v>
      </c>
      <c r="R146" s="1063">
        <v>717488890000</v>
      </c>
      <c r="S146" s="1063">
        <v>776139916000</v>
      </c>
      <c r="T146" s="1063">
        <v>776139916000</v>
      </c>
      <c r="U146" s="1063">
        <v>776139916000</v>
      </c>
      <c r="V146" s="1063">
        <v>776139916000</v>
      </c>
      <c r="W146" s="1063">
        <v>776178787000</v>
      </c>
      <c r="X146" s="1063">
        <v>776178787000</v>
      </c>
      <c r="Y146" s="1063">
        <v>776178787000</v>
      </c>
      <c r="Z146" s="1063">
        <v>776178787000</v>
      </c>
      <c r="AA146" s="1063">
        <v>776178787000</v>
      </c>
      <c r="AB146" s="1063">
        <v>776178787000</v>
      </c>
      <c r="AC146" s="1063">
        <v>776178787000</v>
      </c>
      <c r="AD146" s="1063">
        <v>776178787000</v>
      </c>
      <c r="AE146" s="1063">
        <v>776178787000</v>
      </c>
      <c r="AF146" s="1063">
        <v>776178787000</v>
      </c>
      <c r="AG146" s="1063">
        <v>776178787000</v>
      </c>
      <c r="AH146" s="1063">
        <v>776178787000</v>
      </c>
      <c r="AI146" s="1063">
        <v>776178787000</v>
      </c>
      <c r="AJ146" s="1063">
        <v>776178787000</v>
      </c>
      <c r="AK146" s="1063">
        <v>776178787000</v>
      </c>
      <c r="AL146" s="1063">
        <v>776178787000</v>
      </c>
      <c r="AM146" s="1063">
        <v>780178787000</v>
      </c>
      <c r="AN146" s="1063">
        <v>780178787000</v>
      </c>
      <c r="AO146" s="1063">
        <v>818929466000</v>
      </c>
      <c r="AP146" s="1063">
        <v>818929466000</v>
      </c>
      <c r="AQ146" s="1063">
        <v>818929466000</v>
      </c>
    </row>
    <row r="147" spans="1:43">
      <c r="A147" s="1064" t="s">
        <v>984</v>
      </c>
      <c r="B147" s="1065">
        <v>496638534000</v>
      </c>
      <c r="C147" s="1065">
        <v>496638534000</v>
      </c>
      <c r="D147" s="1065">
        <v>496638534000</v>
      </c>
      <c r="E147" s="1065">
        <v>496638534000</v>
      </c>
      <c r="F147" s="1065">
        <v>496638534000</v>
      </c>
      <c r="G147" s="1065">
        <v>605641072000</v>
      </c>
      <c r="H147" s="1065">
        <v>605641072000</v>
      </c>
      <c r="I147" s="1065">
        <v>605641072000</v>
      </c>
      <c r="J147" s="1065">
        <v>605641072000</v>
      </c>
      <c r="K147" s="1065">
        <v>605641072000</v>
      </c>
      <c r="L147" s="1065">
        <v>605641072000</v>
      </c>
      <c r="M147" s="1065">
        <v>605641072000</v>
      </c>
      <c r="N147" s="1065">
        <v>605641072000</v>
      </c>
      <c r="O147" s="1065">
        <v>613409322000</v>
      </c>
      <c r="P147" s="1065">
        <v>617310701000</v>
      </c>
      <c r="Q147" s="1065">
        <v>617310701000</v>
      </c>
      <c r="R147" s="1065">
        <v>617310701000</v>
      </c>
      <c r="S147" s="1065">
        <v>675961727000</v>
      </c>
      <c r="T147" s="1065">
        <v>675961727000</v>
      </c>
      <c r="U147" s="1065">
        <v>675961727000</v>
      </c>
      <c r="V147" s="1065">
        <v>675961727000</v>
      </c>
      <c r="W147" s="1065">
        <v>681730579000</v>
      </c>
      <c r="X147" s="1065">
        <v>681730579000</v>
      </c>
      <c r="Y147" s="1065">
        <v>681730579000</v>
      </c>
      <c r="Z147" s="1065">
        <v>681730579000</v>
      </c>
      <c r="AA147" s="1065">
        <v>681730579000</v>
      </c>
      <c r="AB147" s="1065">
        <v>681730579000</v>
      </c>
      <c r="AC147" s="1065">
        <v>681730579000</v>
      </c>
      <c r="AD147" s="1065">
        <v>681730579000</v>
      </c>
      <c r="AE147" s="1065">
        <v>681730579000</v>
      </c>
      <c r="AF147" s="1065">
        <v>681730579000</v>
      </c>
      <c r="AG147" s="1065">
        <v>681730579000</v>
      </c>
      <c r="AH147" s="1065">
        <v>681730579000</v>
      </c>
      <c r="AI147" s="1065">
        <v>681730579000</v>
      </c>
      <c r="AJ147" s="1065">
        <v>681730579000</v>
      </c>
      <c r="AK147" s="1065">
        <v>681730579000</v>
      </c>
      <c r="AL147" s="1065">
        <v>681730579000</v>
      </c>
      <c r="AM147" s="1065">
        <v>685730579000</v>
      </c>
      <c r="AN147" s="1065">
        <v>685730579000</v>
      </c>
      <c r="AO147" s="1065">
        <v>685730579000</v>
      </c>
      <c r="AP147" s="1065">
        <v>685730579000</v>
      </c>
      <c r="AQ147" s="1065">
        <v>685730579000</v>
      </c>
    </row>
    <row r="148" spans="1:43">
      <c r="A148" s="1064" t="s">
        <v>985</v>
      </c>
      <c r="B148" s="1065">
        <v>0</v>
      </c>
      <c r="C148" s="1065">
        <v>0</v>
      </c>
      <c r="D148" s="1065">
        <v>0</v>
      </c>
      <c r="E148" s="1065">
        <v>0</v>
      </c>
      <c r="F148" s="1065">
        <v>0</v>
      </c>
      <c r="G148" s="1065">
        <v>111847818000</v>
      </c>
      <c r="H148" s="1065">
        <v>111847818000</v>
      </c>
      <c r="I148" s="1065">
        <v>111847818000</v>
      </c>
      <c r="J148" s="1065">
        <v>111847818000</v>
      </c>
      <c r="K148" s="1065">
        <v>111847818000</v>
      </c>
      <c r="L148" s="1065">
        <v>111847818000</v>
      </c>
      <c r="M148" s="1065">
        <v>111847818000</v>
      </c>
      <c r="N148" s="1065">
        <v>111847818000</v>
      </c>
      <c r="O148" s="1065">
        <v>104079568000</v>
      </c>
      <c r="P148" s="1065">
        <v>100178189000</v>
      </c>
      <c r="Q148" s="1065">
        <v>100178189000</v>
      </c>
      <c r="R148" s="1065">
        <v>100178189000</v>
      </c>
      <c r="S148" s="1065">
        <v>100178189000</v>
      </c>
      <c r="T148" s="1065">
        <v>100178189000</v>
      </c>
      <c r="U148" s="1065">
        <v>100178189000</v>
      </c>
      <c r="V148" s="1065">
        <v>100178189000</v>
      </c>
      <c r="W148" s="1065">
        <v>94448208000</v>
      </c>
      <c r="X148" s="1065">
        <v>94448208000</v>
      </c>
      <c r="Y148" s="1065">
        <v>94448208000</v>
      </c>
      <c r="Z148" s="1065">
        <v>94448208000</v>
      </c>
      <c r="AA148" s="1065">
        <v>94448208000</v>
      </c>
      <c r="AB148" s="1065">
        <v>94448208000</v>
      </c>
      <c r="AC148" s="1065">
        <v>94448208000</v>
      </c>
      <c r="AD148" s="1065">
        <v>94448208000</v>
      </c>
      <c r="AE148" s="1065">
        <v>94448208000</v>
      </c>
      <c r="AF148" s="1065">
        <v>94448208000</v>
      </c>
      <c r="AG148" s="1065">
        <v>94448208000</v>
      </c>
      <c r="AH148" s="1065">
        <v>94448208000</v>
      </c>
      <c r="AI148" s="1065">
        <v>94448208000</v>
      </c>
      <c r="AJ148" s="1065">
        <v>94448208000</v>
      </c>
      <c r="AK148" s="1065">
        <v>94448208000</v>
      </c>
      <c r="AL148" s="1065">
        <v>94448208000</v>
      </c>
      <c r="AM148" s="1065">
        <v>94448208000</v>
      </c>
      <c r="AN148" s="1065">
        <v>94448208000</v>
      </c>
      <c r="AO148" s="1065">
        <v>133198887000</v>
      </c>
      <c r="AP148" s="1065">
        <v>133198887000</v>
      </c>
      <c r="AQ148" s="1065">
        <v>133198887000</v>
      </c>
    </row>
    <row r="149" spans="1:43">
      <c r="A149" s="1062" t="s">
        <v>986</v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3">
        <v>0</v>
      </c>
      <c r="I149" s="1063">
        <v>0</v>
      </c>
      <c r="J149" s="1063">
        <v>0</v>
      </c>
      <c r="K149" s="1063">
        <v>0</v>
      </c>
      <c r="L149" s="1063">
        <v>0</v>
      </c>
      <c r="M149" s="1063">
        <v>0</v>
      </c>
      <c r="N149" s="1063">
        <v>0</v>
      </c>
      <c r="O149" s="1063">
        <v>0</v>
      </c>
      <c r="P149" s="1063">
        <v>0</v>
      </c>
      <c r="Q149" s="1063">
        <v>199909080000</v>
      </c>
      <c r="R149" s="1063">
        <v>249916116648</v>
      </c>
      <c r="S149" s="1063">
        <v>249886460000</v>
      </c>
      <c r="T149" s="1063">
        <v>249886460000</v>
      </c>
      <c r="U149" s="1063">
        <v>249886460000</v>
      </c>
      <c r="V149" s="1063">
        <v>249886460000</v>
      </c>
      <c r="W149" s="1063">
        <v>544741370000</v>
      </c>
      <c r="X149" s="1063">
        <v>544741370000</v>
      </c>
      <c r="Y149" s="1063">
        <v>694740750000</v>
      </c>
      <c r="Z149" s="1063">
        <v>694740750000</v>
      </c>
      <c r="AA149" s="1063">
        <v>844660930000</v>
      </c>
      <c r="AB149" s="1063">
        <v>844660930000</v>
      </c>
      <c r="AC149" s="1063">
        <v>844660930000</v>
      </c>
      <c r="AD149" s="1063">
        <v>844660930000</v>
      </c>
      <c r="AE149" s="1063">
        <v>844660930000</v>
      </c>
      <c r="AF149" s="1063">
        <v>844660930000</v>
      </c>
      <c r="AG149" s="1063">
        <v>844660930000</v>
      </c>
      <c r="AH149" s="1063">
        <v>1034552510000</v>
      </c>
      <c r="AI149" s="1063">
        <v>1034552510000</v>
      </c>
      <c r="AJ149" s="1063">
        <v>1174378990000</v>
      </c>
      <c r="AK149" s="1063">
        <v>1464383170000</v>
      </c>
      <c r="AL149" s="1063">
        <v>1987150910000</v>
      </c>
      <c r="AM149" s="1063">
        <v>1987150910000</v>
      </c>
      <c r="AN149" s="1063">
        <v>1987150910000</v>
      </c>
      <c r="AO149" s="1063">
        <v>1987150910000</v>
      </c>
      <c r="AP149" s="1063">
        <v>2283818910000</v>
      </c>
      <c r="AQ149" s="1063">
        <v>2651785290000</v>
      </c>
    </row>
    <row r="150" spans="1:43">
      <c r="A150" s="1064" t="s">
        <v>987</v>
      </c>
      <c r="B150" s="1065">
        <v>0</v>
      </c>
      <c r="C150" s="1065">
        <v>0</v>
      </c>
      <c r="D150" s="1065">
        <v>0</v>
      </c>
      <c r="E150" s="1065">
        <v>0</v>
      </c>
      <c r="F150" s="1065">
        <v>0</v>
      </c>
      <c r="G150" s="1065">
        <v>0</v>
      </c>
      <c r="H150" s="1065">
        <v>0</v>
      </c>
      <c r="I150" s="1065">
        <v>0</v>
      </c>
      <c r="J150" s="1065">
        <v>0</v>
      </c>
      <c r="K150" s="1065">
        <v>0</v>
      </c>
      <c r="L150" s="1065">
        <v>0</v>
      </c>
      <c r="M150" s="1065">
        <v>0</v>
      </c>
      <c r="N150" s="1065">
        <v>0</v>
      </c>
      <c r="O150" s="1065">
        <v>0</v>
      </c>
      <c r="P150" s="1065">
        <v>0</v>
      </c>
      <c r="Q150" s="1065">
        <v>199909080000</v>
      </c>
      <c r="R150" s="1065">
        <v>249916116648</v>
      </c>
      <c r="S150" s="1065">
        <v>249886460000</v>
      </c>
      <c r="T150" s="1065">
        <v>249886460000</v>
      </c>
      <c r="U150" s="1065">
        <v>249886460000</v>
      </c>
      <c r="V150" s="1065">
        <v>249886460000</v>
      </c>
      <c r="W150" s="1065">
        <v>544741370000</v>
      </c>
      <c r="X150" s="1065">
        <v>544741370000</v>
      </c>
      <c r="Y150" s="1065">
        <v>694740750000</v>
      </c>
      <c r="Z150" s="1065">
        <v>694740750000</v>
      </c>
      <c r="AA150" s="1065">
        <v>844660930000</v>
      </c>
      <c r="AB150" s="1065">
        <v>844660930000</v>
      </c>
      <c r="AC150" s="1065">
        <v>844660930000</v>
      </c>
      <c r="AD150" s="1065">
        <v>844660930000</v>
      </c>
      <c r="AE150" s="1065">
        <v>844660930000</v>
      </c>
      <c r="AF150" s="1065">
        <v>844660930000</v>
      </c>
      <c r="AG150" s="1065">
        <v>844660930000</v>
      </c>
      <c r="AH150" s="1065">
        <v>1034552510000</v>
      </c>
      <c r="AI150" s="1065">
        <v>1034552510000</v>
      </c>
      <c r="AJ150" s="1065">
        <v>1174378990000</v>
      </c>
      <c r="AK150" s="1065">
        <v>1464383170000</v>
      </c>
      <c r="AL150" s="1065">
        <v>1987150910000</v>
      </c>
      <c r="AM150" s="1065">
        <v>1987150910000</v>
      </c>
      <c r="AN150" s="1065">
        <v>1987150910000</v>
      </c>
      <c r="AO150" s="1065">
        <v>1987150910000</v>
      </c>
      <c r="AP150" s="1065">
        <v>2283818910000</v>
      </c>
      <c r="AQ150" s="1065">
        <v>2651785290000</v>
      </c>
    </row>
    <row r="151" spans="1:43">
      <c r="A151" s="1062" t="s">
        <v>988</v>
      </c>
      <c r="B151" s="1063">
        <v>577174637252</v>
      </c>
      <c r="C151" s="1063">
        <v>577358461628</v>
      </c>
      <c r="D151" s="1063">
        <v>577542286004</v>
      </c>
      <c r="E151" s="1063">
        <v>577726110380</v>
      </c>
      <c r="F151" s="1063">
        <v>595620115421</v>
      </c>
      <c r="G151" s="1063">
        <v>1571897052546</v>
      </c>
      <c r="H151" s="1063">
        <v>1571334497250</v>
      </c>
      <c r="I151" s="1063">
        <v>1571518321626</v>
      </c>
      <c r="J151" s="1063">
        <v>1571712053933</v>
      </c>
      <c r="K151" s="1063">
        <v>1571925602102</v>
      </c>
      <c r="L151" s="1063">
        <v>1572139150271</v>
      </c>
      <c r="M151" s="1063">
        <v>1572352698440</v>
      </c>
      <c r="N151" s="1063">
        <v>1572566246609</v>
      </c>
      <c r="O151" s="1063">
        <v>1572763537138</v>
      </c>
      <c r="P151" s="1063">
        <v>1572955021555</v>
      </c>
      <c r="Q151" s="1063">
        <v>1573167358420</v>
      </c>
      <c r="R151" s="1063">
        <v>1573195870909</v>
      </c>
      <c r="S151" s="1063">
        <v>1714255320238</v>
      </c>
      <c r="T151" s="1063">
        <v>1714283832727</v>
      </c>
      <c r="U151" s="1063">
        <v>1714312346595</v>
      </c>
      <c r="V151" s="1063">
        <v>1698398059349</v>
      </c>
      <c r="W151" s="1063">
        <v>1607079937556</v>
      </c>
      <c r="X151" s="1063">
        <v>1519133380785</v>
      </c>
      <c r="Y151" s="1063">
        <v>1461566036334</v>
      </c>
      <c r="Z151" s="1063">
        <v>856839134378</v>
      </c>
      <c r="AA151" s="1063">
        <v>874732334287</v>
      </c>
      <c r="AB151" s="1063">
        <v>874758846776</v>
      </c>
      <c r="AC151" s="1063">
        <v>1014720936715</v>
      </c>
      <c r="AD151" s="1063">
        <v>1322290376819</v>
      </c>
      <c r="AE151" s="1063">
        <v>1318235630706</v>
      </c>
      <c r="AF151" s="1063">
        <v>1318235630706</v>
      </c>
      <c r="AG151" s="1063">
        <v>1318235630706</v>
      </c>
      <c r="AH151" s="1063">
        <v>1318235630706</v>
      </c>
      <c r="AI151" s="1063">
        <v>1318235630706</v>
      </c>
      <c r="AJ151" s="1063">
        <v>1318235630706</v>
      </c>
      <c r="AK151" s="1063">
        <v>1318235630706</v>
      </c>
      <c r="AL151" s="1063">
        <v>1318235630706</v>
      </c>
      <c r="AM151" s="1063">
        <v>1364215930706</v>
      </c>
      <c r="AN151" s="1063">
        <v>1364215930706</v>
      </c>
      <c r="AO151" s="1063">
        <v>1825278719593</v>
      </c>
      <c r="AP151" s="1063">
        <v>1825278719593</v>
      </c>
      <c r="AQ151" s="1063">
        <v>1825278719593</v>
      </c>
    </row>
    <row r="152" spans="1:43">
      <c r="A152" s="1064" t="s">
        <v>989</v>
      </c>
      <c r="B152" s="1065">
        <v>586119311178</v>
      </c>
      <c r="C152" s="1065">
        <v>586119311178</v>
      </c>
      <c r="D152" s="1065">
        <v>586119311178</v>
      </c>
      <c r="E152" s="1065">
        <v>586119311178</v>
      </c>
      <c r="F152" s="1065">
        <v>603829491843</v>
      </c>
      <c r="G152" s="1065">
        <v>1579928487379</v>
      </c>
      <c r="H152" s="1065">
        <v>1579182107707</v>
      </c>
      <c r="I152" s="1065">
        <v>1579182107707</v>
      </c>
      <c r="J152" s="1065">
        <v>1579182107707</v>
      </c>
      <c r="K152" s="1065">
        <v>1579182107707</v>
      </c>
      <c r="L152" s="1065">
        <v>1579182107707</v>
      </c>
      <c r="M152" s="1065">
        <v>1579182107707</v>
      </c>
      <c r="N152" s="1065">
        <v>1579182107707</v>
      </c>
      <c r="O152" s="1065">
        <v>1579165850067</v>
      </c>
      <c r="P152" s="1065">
        <v>1579151457907</v>
      </c>
      <c r="Q152" s="1065">
        <v>1579151457907</v>
      </c>
      <c r="R152" s="1065">
        <v>1579151457907</v>
      </c>
      <c r="S152" s="1065">
        <v>1720182343631</v>
      </c>
      <c r="T152" s="1065">
        <v>1720182343631</v>
      </c>
      <c r="U152" s="1065">
        <v>1720182345010</v>
      </c>
      <c r="V152" s="1065">
        <v>1720182345010</v>
      </c>
      <c r="W152" s="1065">
        <v>1720133706198</v>
      </c>
      <c r="X152" s="1065">
        <v>1720133706198</v>
      </c>
      <c r="Y152" s="1065">
        <v>1720133706198</v>
      </c>
      <c r="Z152" s="1065">
        <v>1120134722571</v>
      </c>
      <c r="AA152" s="1065">
        <v>1120134722571</v>
      </c>
      <c r="AB152" s="1065">
        <v>1120132722571</v>
      </c>
      <c r="AC152" s="1065">
        <v>1120130722571</v>
      </c>
      <c r="AD152" s="1065">
        <v>1318230023608</v>
      </c>
      <c r="AE152" s="1065">
        <v>1318235630706</v>
      </c>
      <c r="AF152" s="1065">
        <v>1318235630706</v>
      </c>
      <c r="AG152" s="1065">
        <v>1318235630706</v>
      </c>
      <c r="AH152" s="1065">
        <v>1318235630706</v>
      </c>
      <c r="AI152" s="1065">
        <v>1318235630706</v>
      </c>
      <c r="AJ152" s="1065">
        <v>1318235630706</v>
      </c>
      <c r="AK152" s="1065">
        <v>1318235630706</v>
      </c>
      <c r="AL152" s="1065">
        <v>1318235630706</v>
      </c>
      <c r="AM152" s="1065">
        <v>1364215930706</v>
      </c>
      <c r="AN152" s="1065">
        <v>1364215930706</v>
      </c>
      <c r="AO152" s="1065">
        <v>1825278719593</v>
      </c>
      <c r="AP152" s="1065">
        <v>1825278719593</v>
      </c>
      <c r="AQ152" s="1065">
        <v>1825278719593</v>
      </c>
    </row>
    <row r="153" spans="1:43">
      <c r="A153" s="1064" t="s">
        <v>990</v>
      </c>
      <c r="B153" s="1065">
        <v>-8944673926</v>
      </c>
      <c r="C153" s="1065">
        <v>-8760849550</v>
      </c>
      <c r="D153" s="1065">
        <v>-8577025174</v>
      </c>
      <c r="E153" s="1065">
        <v>-8393200798</v>
      </c>
      <c r="F153" s="1065">
        <v>-8209376422</v>
      </c>
      <c r="G153" s="1065">
        <v>-8031434833</v>
      </c>
      <c r="H153" s="1065">
        <v>-7847610457</v>
      </c>
      <c r="I153" s="1065">
        <v>-7663786081</v>
      </c>
      <c r="J153" s="1065">
        <v>-7470053774</v>
      </c>
      <c r="K153" s="1065">
        <v>-7256505605</v>
      </c>
      <c r="L153" s="1065">
        <v>-7042957436</v>
      </c>
      <c r="M153" s="1065">
        <v>-6829409267</v>
      </c>
      <c r="N153" s="1065">
        <v>-6615861098</v>
      </c>
      <c r="O153" s="1065">
        <v>-6402312929</v>
      </c>
      <c r="P153" s="1065">
        <v>-6196436352</v>
      </c>
      <c r="Q153" s="1065">
        <v>-5984099487</v>
      </c>
      <c r="R153" s="1065">
        <v>-5955586998</v>
      </c>
      <c r="S153" s="1065">
        <v>-5927023393</v>
      </c>
      <c r="T153" s="1065">
        <v>-5898510904</v>
      </c>
      <c r="U153" s="1065">
        <v>-5869998415</v>
      </c>
      <c r="V153" s="1065">
        <v>-21784285661</v>
      </c>
      <c r="W153" s="1065">
        <v>-113053768642</v>
      </c>
      <c r="X153" s="1065">
        <v>-201000325413</v>
      </c>
      <c r="Y153" s="1065">
        <v>-258567669864</v>
      </c>
      <c r="Z153" s="1065">
        <v>-263295588193</v>
      </c>
      <c r="AA153" s="1065">
        <v>-245402388284</v>
      </c>
      <c r="AB153" s="1065">
        <v>-245373875795</v>
      </c>
      <c r="AC153" s="1065">
        <v>-105409785856</v>
      </c>
      <c r="AD153" s="1065">
        <v>4060353211</v>
      </c>
      <c r="AE153" s="1065">
        <v>0</v>
      </c>
      <c r="AF153" s="1065">
        <v>0</v>
      </c>
      <c r="AG153" s="1065">
        <v>0</v>
      </c>
      <c r="AH153" s="1065">
        <v>0</v>
      </c>
      <c r="AI153" s="1065">
        <v>0</v>
      </c>
      <c r="AJ153" s="1065">
        <v>0</v>
      </c>
      <c r="AK153" s="1065">
        <v>0</v>
      </c>
      <c r="AL153" s="1065">
        <v>0</v>
      </c>
      <c r="AM153" s="1065">
        <v>0</v>
      </c>
      <c r="AN153" s="1065">
        <v>0</v>
      </c>
      <c r="AO153" s="1065">
        <v>0</v>
      </c>
      <c r="AP153" s="1065">
        <v>0</v>
      </c>
      <c r="AQ153" s="1065">
        <v>0</v>
      </c>
    </row>
    <row r="154" spans="1:43">
      <c r="A154" s="1062" t="s">
        <v>991</v>
      </c>
      <c r="B154" s="1063">
        <v>72019238495</v>
      </c>
      <c r="C154" s="1063">
        <v>74667016688</v>
      </c>
      <c r="D154" s="1063">
        <v>74176918403</v>
      </c>
      <c r="E154" s="1063">
        <v>70110715199</v>
      </c>
      <c r="F154" s="1063">
        <v>79496093933</v>
      </c>
      <c r="G154" s="1063">
        <v>78765894357</v>
      </c>
      <c r="H154" s="1063">
        <v>77706617672</v>
      </c>
      <c r="I154" s="1063">
        <v>79887012858</v>
      </c>
      <c r="J154" s="1063">
        <v>77732052144</v>
      </c>
      <c r="K154" s="1063">
        <v>76681632815</v>
      </c>
      <c r="L154" s="1063">
        <v>82583326168</v>
      </c>
      <c r="M154" s="1063">
        <v>79764244117</v>
      </c>
      <c r="N154" s="1063">
        <v>80649376736</v>
      </c>
      <c r="O154" s="1063">
        <v>91201883729</v>
      </c>
      <c r="P154" s="1063">
        <v>91408280005</v>
      </c>
      <c r="Q154" s="1063">
        <v>87723537079</v>
      </c>
      <c r="R154" s="1063">
        <v>85702144575</v>
      </c>
      <c r="S154" s="1063">
        <v>106652105023</v>
      </c>
      <c r="T154" s="1063">
        <v>109068596822</v>
      </c>
      <c r="U154" s="1063">
        <v>124761580810</v>
      </c>
      <c r="V154" s="1063">
        <v>131188384949</v>
      </c>
      <c r="W154" s="1063">
        <v>138291507891</v>
      </c>
      <c r="X154" s="1063">
        <v>143142155729</v>
      </c>
      <c r="Y154" s="1063">
        <v>149733064747</v>
      </c>
      <c r="Z154" s="1063">
        <v>120076977010</v>
      </c>
      <c r="AA154" s="1063">
        <v>135048070328</v>
      </c>
      <c r="AB154" s="1063">
        <v>127938994656</v>
      </c>
      <c r="AC154" s="1063">
        <v>184854138006</v>
      </c>
      <c r="AD154" s="1063">
        <v>193401690765</v>
      </c>
      <c r="AE154" s="1063">
        <v>198001808594</v>
      </c>
      <c r="AF154" s="1063">
        <v>181809477937</v>
      </c>
      <c r="AG154" s="1063">
        <v>211742209771</v>
      </c>
      <c r="AH154" s="1063">
        <v>207725350839</v>
      </c>
      <c r="AI154" s="1063">
        <v>208808201563</v>
      </c>
      <c r="AJ154" s="1063">
        <v>183839314295</v>
      </c>
      <c r="AK154" s="1063">
        <v>186431956673</v>
      </c>
      <c r="AL154" s="1063">
        <v>185933792832</v>
      </c>
      <c r="AM154" s="1063">
        <v>211721781880</v>
      </c>
      <c r="AN154" s="1063">
        <v>212183093504</v>
      </c>
      <c r="AO154" s="1063">
        <v>203287007291</v>
      </c>
      <c r="AP154" s="1063">
        <v>149268255473</v>
      </c>
      <c r="AQ154" s="1063">
        <v>147974793450</v>
      </c>
    </row>
    <row r="155" spans="1:43">
      <c r="A155" s="1064" t="s">
        <v>992</v>
      </c>
      <c r="B155" s="1065">
        <v>72871284041</v>
      </c>
      <c r="C155" s="1065">
        <v>75498266711</v>
      </c>
      <c r="D155" s="1065">
        <v>75010223704</v>
      </c>
      <c r="E155" s="1065">
        <v>70773978960</v>
      </c>
      <c r="F155" s="1065">
        <v>80358137871</v>
      </c>
      <c r="G155" s="1065">
        <v>79469713351</v>
      </c>
      <c r="H155" s="1065">
        <v>78202712995</v>
      </c>
      <c r="I155" s="1065">
        <v>80158911345</v>
      </c>
      <c r="J155" s="1065">
        <v>78480730447</v>
      </c>
      <c r="K155" s="1065">
        <v>77614349247</v>
      </c>
      <c r="L155" s="1065">
        <v>83234645143</v>
      </c>
      <c r="M155" s="1065">
        <v>80462025785</v>
      </c>
      <c r="N155" s="1065">
        <v>82574011212</v>
      </c>
      <c r="O155" s="1065">
        <v>92590490764</v>
      </c>
      <c r="P155" s="1065">
        <v>93177195750</v>
      </c>
      <c r="Q155" s="1065">
        <v>89029811339</v>
      </c>
      <c r="R155" s="1065">
        <v>87530025174</v>
      </c>
      <c r="S155" s="1065">
        <v>107781031076</v>
      </c>
      <c r="T155" s="1065">
        <v>110045957317</v>
      </c>
      <c r="U155" s="1065">
        <v>126402590470</v>
      </c>
      <c r="V155" s="1065">
        <v>133734776794</v>
      </c>
      <c r="W155" s="1065">
        <v>140901120674</v>
      </c>
      <c r="X155" s="1065">
        <v>145428364205</v>
      </c>
      <c r="Y155" s="1065">
        <v>151870482483</v>
      </c>
      <c r="Z155" s="1065">
        <v>122024862423</v>
      </c>
      <c r="AA155" s="1065">
        <v>135597816483</v>
      </c>
      <c r="AB155" s="1065">
        <v>126738816038</v>
      </c>
      <c r="AC155" s="1065">
        <v>182396093646</v>
      </c>
      <c r="AD155" s="1065">
        <v>192752307306</v>
      </c>
      <c r="AE155" s="1065">
        <v>198406934337</v>
      </c>
      <c r="AF155" s="1065">
        <v>182386510872</v>
      </c>
      <c r="AG155" s="1065">
        <v>212824417269</v>
      </c>
      <c r="AH155" s="1065">
        <v>215130370220</v>
      </c>
      <c r="AI155" s="1065">
        <v>214495547650</v>
      </c>
      <c r="AJ155" s="1065">
        <v>190356553861</v>
      </c>
      <c r="AK155" s="1065">
        <v>193081847088</v>
      </c>
      <c r="AL155" s="1065">
        <v>193949167254</v>
      </c>
      <c r="AM155" s="1065">
        <v>218623255189</v>
      </c>
      <c r="AN155" s="1065">
        <v>219731092943</v>
      </c>
      <c r="AO155" s="1065">
        <v>210667085811</v>
      </c>
      <c r="AP155" s="1065">
        <v>161373705401</v>
      </c>
      <c r="AQ155" s="1065">
        <v>159265661166</v>
      </c>
    </row>
    <row r="156" spans="1:43">
      <c r="A156" s="1064" t="s">
        <v>993</v>
      </c>
      <c r="B156" s="1065">
        <v>0</v>
      </c>
      <c r="C156" s="1065">
        <v>0</v>
      </c>
      <c r="D156" s="1065">
        <v>0</v>
      </c>
      <c r="E156" s="1065">
        <v>0</v>
      </c>
      <c r="F156" s="1065">
        <v>0</v>
      </c>
      <c r="G156" s="1065">
        <v>0</v>
      </c>
      <c r="H156" s="1065">
        <v>0</v>
      </c>
      <c r="I156" s="1065">
        <v>0</v>
      </c>
      <c r="J156" s="1065">
        <v>0</v>
      </c>
      <c r="K156" s="1065">
        <v>0</v>
      </c>
      <c r="L156" s="1065">
        <v>0</v>
      </c>
      <c r="M156" s="1065">
        <v>0</v>
      </c>
      <c r="N156" s="1065">
        <v>0</v>
      </c>
      <c r="O156" s="1065">
        <v>0</v>
      </c>
      <c r="P156" s="1065">
        <v>0</v>
      </c>
      <c r="Q156" s="1065">
        <v>0</v>
      </c>
      <c r="R156" s="1065">
        <v>0</v>
      </c>
      <c r="S156" s="1065">
        <v>0</v>
      </c>
      <c r="T156" s="1065">
        <v>0</v>
      </c>
      <c r="U156" s="1065">
        <v>0</v>
      </c>
      <c r="V156" s="1065">
        <v>0</v>
      </c>
      <c r="W156" s="1065">
        <v>0</v>
      </c>
      <c r="X156" s="1065">
        <v>0</v>
      </c>
      <c r="Y156" s="1065">
        <v>0</v>
      </c>
      <c r="Z156" s="1065">
        <v>0</v>
      </c>
      <c r="AA156" s="1065">
        <v>0</v>
      </c>
      <c r="AB156" s="1065">
        <v>0</v>
      </c>
      <c r="AC156" s="1065">
        <v>0</v>
      </c>
      <c r="AD156" s="1065">
        <v>0</v>
      </c>
      <c r="AE156" s="1065">
        <v>0</v>
      </c>
      <c r="AF156" s="1065">
        <v>0</v>
      </c>
      <c r="AG156" s="1065">
        <v>0</v>
      </c>
      <c r="AH156" s="1065">
        <v>0</v>
      </c>
      <c r="AI156" s="1065">
        <v>0</v>
      </c>
      <c r="AJ156" s="1065">
        <v>0</v>
      </c>
      <c r="AK156" s="1065">
        <v>0</v>
      </c>
      <c r="AL156" s="1065">
        <v>0</v>
      </c>
      <c r="AM156" s="1065">
        <v>0</v>
      </c>
      <c r="AN156" s="1065">
        <v>0</v>
      </c>
      <c r="AO156" s="1065">
        <v>0</v>
      </c>
      <c r="AP156" s="1065">
        <v>0</v>
      </c>
      <c r="AQ156" s="1065">
        <v>0</v>
      </c>
    </row>
    <row r="157" spans="1:43">
      <c r="A157" s="1064" t="s">
        <v>994</v>
      </c>
      <c r="B157" s="1065">
        <v>0</v>
      </c>
      <c r="C157" s="1065">
        <v>0</v>
      </c>
      <c r="D157" s="1065">
        <v>0</v>
      </c>
      <c r="E157" s="1065">
        <v>0</v>
      </c>
      <c r="F157" s="1065">
        <v>0</v>
      </c>
      <c r="G157" s="1065">
        <v>0</v>
      </c>
      <c r="H157" s="1065">
        <v>0</v>
      </c>
      <c r="I157" s="1065">
        <v>0</v>
      </c>
      <c r="J157" s="1065">
        <v>0</v>
      </c>
      <c r="K157" s="1065">
        <v>0</v>
      </c>
      <c r="L157" s="1065">
        <v>0</v>
      </c>
      <c r="M157" s="1065">
        <v>0</v>
      </c>
      <c r="N157" s="1065">
        <v>0</v>
      </c>
      <c r="O157" s="1065">
        <v>0</v>
      </c>
      <c r="P157" s="1065">
        <v>0</v>
      </c>
      <c r="Q157" s="1065">
        <v>0</v>
      </c>
      <c r="R157" s="1065">
        <v>0</v>
      </c>
      <c r="S157" s="1065">
        <v>0</v>
      </c>
      <c r="T157" s="1065">
        <v>0</v>
      </c>
      <c r="U157" s="1065">
        <v>0</v>
      </c>
      <c r="V157" s="1065">
        <v>0</v>
      </c>
      <c r="W157" s="1065">
        <v>0</v>
      </c>
      <c r="X157" s="1065">
        <v>0</v>
      </c>
      <c r="Y157" s="1065">
        <v>0</v>
      </c>
      <c r="Z157" s="1065">
        <v>0</v>
      </c>
      <c r="AA157" s="1065">
        <v>0</v>
      </c>
      <c r="AB157" s="1065">
        <v>0</v>
      </c>
      <c r="AC157" s="1065">
        <v>0</v>
      </c>
      <c r="AD157" s="1065">
        <v>0</v>
      </c>
      <c r="AE157" s="1065">
        <v>0</v>
      </c>
      <c r="AF157" s="1065">
        <v>0</v>
      </c>
      <c r="AG157" s="1065">
        <v>0</v>
      </c>
      <c r="AH157" s="1065">
        <v>0</v>
      </c>
      <c r="AI157" s="1065">
        <v>0</v>
      </c>
      <c r="AJ157" s="1065">
        <v>0</v>
      </c>
      <c r="AK157" s="1065">
        <v>0</v>
      </c>
      <c r="AL157" s="1065">
        <v>0</v>
      </c>
      <c r="AM157" s="1065">
        <v>1025392232</v>
      </c>
      <c r="AN157" s="1065">
        <v>269360008</v>
      </c>
      <c r="AO157" s="1065">
        <v>-100489724</v>
      </c>
      <c r="AP157" s="1065">
        <v>-1283543615</v>
      </c>
      <c r="AQ157" s="1065">
        <v>-1454862746</v>
      </c>
    </row>
    <row r="158" spans="1:43">
      <c r="A158" s="1064" t="s">
        <v>995</v>
      </c>
      <c r="B158" s="1065">
        <v>0</v>
      </c>
      <c r="C158" s="1065">
        <v>0</v>
      </c>
      <c r="D158" s="1065">
        <v>0</v>
      </c>
      <c r="E158" s="1065">
        <v>0</v>
      </c>
      <c r="F158" s="1065">
        <v>0</v>
      </c>
      <c r="G158" s="1065">
        <v>0</v>
      </c>
      <c r="H158" s="1065">
        <v>0</v>
      </c>
      <c r="I158" s="1065">
        <v>0</v>
      </c>
      <c r="J158" s="1065">
        <v>0</v>
      </c>
      <c r="K158" s="1065">
        <v>0</v>
      </c>
      <c r="L158" s="1065">
        <v>0</v>
      </c>
      <c r="M158" s="1065">
        <v>0</v>
      </c>
      <c r="N158" s="1065">
        <v>0</v>
      </c>
      <c r="O158" s="1065">
        <v>0</v>
      </c>
      <c r="P158" s="1065">
        <v>0</v>
      </c>
      <c r="Q158" s="1065">
        <v>0</v>
      </c>
      <c r="R158" s="1065">
        <v>0</v>
      </c>
      <c r="S158" s="1065">
        <v>0</v>
      </c>
      <c r="T158" s="1065">
        <v>0</v>
      </c>
      <c r="U158" s="1065">
        <v>0</v>
      </c>
      <c r="V158" s="1065">
        <v>0</v>
      </c>
      <c r="W158" s="1065">
        <v>0</v>
      </c>
      <c r="X158" s="1065">
        <v>0</v>
      </c>
      <c r="Y158" s="1065">
        <v>0</v>
      </c>
      <c r="Z158" s="1065">
        <v>0</v>
      </c>
      <c r="AA158" s="1065">
        <v>0</v>
      </c>
      <c r="AB158" s="1065">
        <v>0</v>
      </c>
      <c r="AC158" s="1065">
        <v>0</v>
      </c>
      <c r="AD158" s="1065">
        <v>0</v>
      </c>
      <c r="AE158" s="1065">
        <v>0</v>
      </c>
      <c r="AF158" s="1065">
        <v>0</v>
      </c>
      <c r="AG158" s="1065">
        <v>0</v>
      </c>
      <c r="AH158" s="1065">
        <v>0</v>
      </c>
      <c r="AI158" s="1065">
        <v>0</v>
      </c>
      <c r="AJ158" s="1065">
        <v>0</v>
      </c>
      <c r="AK158" s="1065">
        <v>0</v>
      </c>
      <c r="AL158" s="1065">
        <v>0</v>
      </c>
      <c r="AM158" s="1065">
        <v>0</v>
      </c>
      <c r="AN158" s="1065">
        <v>0</v>
      </c>
      <c r="AO158" s="1065">
        <v>0</v>
      </c>
      <c r="AP158" s="1065">
        <v>0</v>
      </c>
      <c r="AQ158" s="1065">
        <v>0</v>
      </c>
    </row>
    <row r="159" spans="1:43">
      <c r="A159" s="1064" t="s">
        <v>996</v>
      </c>
      <c r="B159" s="1065">
        <v>-852045546</v>
      </c>
      <c r="C159" s="1065">
        <v>-831250023</v>
      </c>
      <c r="D159" s="1065">
        <v>-833305301</v>
      </c>
      <c r="E159" s="1065">
        <v>-663263761</v>
      </c>
      <c r="F159" s="1065">
        <v>-862043938</v>
      </c>
      <c r="G159" s="1065">
        <v>-703818994</v>
      </c>
      <c r="H159" s="1065">
        <v>-496095323</v>
      </c>
      <c r="I159" s="1065">
        <v>-271898487</v>
      </c>
      <c r="J159" s="1065">
        <v>-823078602</v>
      </c>
      <c r="K159" s="1065">
        <v>-1173917454</v>
      </c>
      <c r="L159" s="1065">
        <v>-1011492374</v>
      </c>
      <c r="M159" s="1065">
        <v>-843111457</v>
      </c>
      <c r="N159" s="1065">
        <v>-1818032843</v>
      </c>
      <c r="O159" s="1065">
        <v>-1152367018</v>
      </c>
      <c r="P159" s="1065">
        <v>-1699706750</v>
      </c>
      <c r="Q159" s="1065">
        <v>-1188579407</v>
      </c>
      <c r="R159" s="1065">
        <v>-1903917644</v>
      </c>
      <c r="S159" s="1065">
        <v>-1886054781</v>
      </c>
      <c r="T159" s="1065">
        <v>-1830172423</v>
      </c>
      <c r="U159" s="1065">
        <v>-2059786811</v>
      </c>
      <c r="V159" s="1065">
        <v>-2685662114</v>
      </c>
      <c r="W159" s="1065">
        <v>-2611522240</v>
      </c>
      <c r="X159" s="1065">
        <v>-2280783188</v>
      </c>
      <c r="Y159" s="1065">
        <v>-2133819511</v>
      </c>
      <c r="Z159" s="1065">
        <v>-2167431126</v>
      </c>
      <c r="AA159" s="1065">
        <v>-1213488295</v>
      </c>
      <c r="AB159" s="1065">
        <v>-484398405</v>
      </c>
      <c r="AC159" s="1065">
        <v>-376157887</v>
      </c>
      <c r="AD159" s="1065">
        <v>-2093859653</v>
      </c>
      <c r="AE159" s="1065">
        <v>-1802181586</v>
      </c>
      <c r="AF159" s="1065">
        <v>-1642303840</v>
      </c>
      <c r="AG159" s="1065">
        <v>-2172659811</v>
      </c>
      <c r="AH159" s="1065">
        <v>-2515928612</v>
      </c>
      <c r="AI159" s="1065">
        <v>-2596716248</v>
      </c>
      <c r="AJ159" s="1065">
        <v>-2563536306</v>
      </c>
      <c r="AK159" s="1065">
        <v>-3398710971</v>
      </c>
      <c r="AL159" s="1065">
        <v>-4472275762</v>
      </c>
      <c r="AM159" s="1065">
        <v>-4493301939</v>
      </c>
      <c r="AN159" s="1065">
        <v>-4446449239</v>
      </c>
      <c r="AO159" s="1065">
        <v>-4161743448</v>
      </c>
      <c r="AP159" s="1065">
        <v>-4821971917</v>
      </c>
      <c r="AQ159" s="1065">
        <v>-4660437525</v>
      </c>
    </row>
    <row r="160" spans="1:43">
      <c r="A160" s="1064" t="s">
        <v>997</v>
      </c>
      <c r="B160" s="1065">
        <v>0</v>
      </c>
      <c r="C160" s="1065">
        <v>0</v>
      </c>
      <c r="D160" s="1065">
        <v>0</v>
      </c>
      <c r="E160" s="1065">
        <v>0</v>
      </c>
      <c r="F160" s="1065">
        <v>0</v>
      </c>
      <c r="G160" s="1065">
        <v>0</v>
      </c>
      <c r="H160" s="1065">
        <v>0</v>
      </c>
      <c r="I160" s="1065">
        <v>0</v>
      </c>
      <c r="J160" s="1065">
        <v>74400299</v>
      </c>
      <c r="K160" s="1065">
        <v>241201022</v>
      </c>
      <c r="L160" s="1065">
        <v>360173399</v>
      </c>
      <c r="M160" s="1065">
        <v>145329789</v>
      </c>
      <c r="N160" s="1065">
        <v>-106601633</v>
      </c>
      <c r="O160" s="1065">
        <v>-236240017</v>
      </c>
      <c r="P160" s="1065">
        <v>-69208995</v>
      </c>
      <c r="Q160" s="1065">
        <v>-117694853</v>
      </c>
      <c r="R160" s="1065">
        <v>76037045</v>
      </c>
      <c r="S160" s="1065">
        <v>757128728</v>
      </c>
      <c r="T160" s="1065">
        <v>852811928</v>
      </c>
      <c r="U160" s="1065">
        <v>418777151</v>
      </c>
      <c r="V160" s="1065">
        <v>139270269</v>
      </c>
      <c r="W160" s="1065">
        <v>1909457</v>
      </c>
      <c r="X160" s="1065">
        <v>-5425288</v>
      </c>
      <c r="Y160" s="1065">
        <v>-3598225</v>
      </c>
      <c r="Z160" s="1065">
        <v>219545713</v>
      </c>
      <c r="AA160" s="1065">
        <v>663742140</v>
      </c>
      <c r="AB160" s="1065">
        <v>1684577023</v>
      </c>
      <c r="AC160" s="1065">
        <v>2834202247</v>
      </c>
      <c r="AD160" s="1065">
        <v>2743243112</v>
      </c>
      <c r="AE160" s="1065">
        <v>1397055843</v>
      </c>
      <c r="AF160" s="1065">
        <v>1065270905</v>
      </c>
      <c r="AG160" s="1065">
        <v>1090452313</v>
      </c>
      <c r="AH160" s="1065">
        <v>-4889090769</v>
      </c>
      <c r="AI160" s="1065">
        <v>-3090629839</v>
      </c>
      <c r="AJ160" s="1065">
        <v>-3953703260</v>
      </c>
      <c r="AK160" s="1065">
        <v>-3251179444</v>
      </c>
      <c r="AL160" s="1065">
        <v>-3543098660</v>
      </c>
      <c r="AM160" s="1065">
        <v>-3433563602</v>
      </c>
      <c r="AN160" s="1065">
        <v>-3370910208</v>
      </c>
      <c r="AO160" s="1065">
        <v>-3117845348</v>
      </c>
      <c r="AP160" s="1065">
        <v>-5999934396</v>
      </c>
      <c r="AQ160" s="1065">
        <v>-5175567445</v>
      </c>
    </row>
    <row r="161" spans="1:43">
      <c r="A161" s="1062" t="s">
        <v>998</v>
      </c>
      <c r="B161" s="1063">
        <v>530766709306</v>
      </c>
      <c r="C161" s="1063">
        <v>614117076219</v>
      </c>
      <c r="D161" s="1063">
        <v>676745621771</v>
      </c>
      <c r="E161" s="1063">
        <v>733089128453</v>
      </c>
      <c r="F161" s="1063">
        <v>721322252875</v>
      </c>
      <c r="G161" s="1063">
        <v>799892815854</v>
      </c>
      <c r="H161" s="1063">
        <v>872164777272</v>
      </c>
      <c r="I161" s="1063">
        <v>942512536349</v>
      </c>
      <c r="J161" s="1063">
        <v>885593693056</v>
      </c>
      <c r="K161" s="1063">
        <v>964175885494</v>
      </c>
      <c r="L161" s="1063">
        <v>928359005719</v>
      </c>
      <c r="M161" s="1063">
        <v>1021895741931</v>
      </c>
      <c r="N161" s="1063">
        <v>1001709962538</v>
      </c>
      <c r="O161" s="1063">
        <v>1248172095710</v>
      </c>
      <c r="P161" s="1063">
        <v>1262041522453</v>
      </c>
      <c r="Q161" s="1063">
        <v>1406035822317</v>
      </c>
      <c r="R161" s="1063">
        <v>1342473637868</v>
      </c>
      <c r="S161" s="1063">
        <v>1467255997181</v>
      </c>
      <c r="T161" s="1063">
        <v>1579090819925</v>
      </c>
      <c r="U161" s="1063">
        <v>1682018302344</v>
      </c>
      <c r="V161" s="1063">
        <v>1625821756199</v>
      </c>
      <c r="W161" s="1063">
        <v>1637881127184</v>
      </c>
      <c r="X161" s="1063">
        <v>1776301647338</v>
      </c>
      <c r="Y161" s="1063">
        <v>1986596846082</v>
      </c>
      <c r="Z161" s="1063">
        <v>2599149472716</v>
      </c>
      <c r="AA161" s="1063">
        <v>2624940330999</v>
      </c>
      <c r="AB161" s="1063">
        <v>2756304534612</v>
      </c>
      <c r="AC161" s="1063">
        <v>2551381350474</v>
      </c>
      <c r="AD161" s="1063">
        <v>2499608193529</v>
      </c>
      <c r="AE161" s="1063">
        <v>2591822662183</v>
      </c>
      <c r="AF161" s="1063">
        <v>2379630868589</v>
      </c>
      <c r="AG161" s="1063">
        <v>2468562502036</v>
      </c>
      <c r="AH161" s="1063">
        <v>2362149538476</v>
      </c>
      <c r="AI161" s="1063">
        <v>2540555752087</v>
      </c>
      <c r="AJ161" s="1063">
        <v>2656403489867</v>
      </c>
      <c r="AK161" s="1063">
        <v>2552515475474</v>
      </c>
      <c r="AL161" s="1063">
        <v>2539415107652</v>
      </c>
      <c r="AM161" s="1063">
        <v>2717665783582</v>
      </c>
      <c r="AN161" s="1063">
        <v>2848007977206</v>
      </c>
      <c r="AO161" s="1063">
        <v>2700630424902</v>
      </c>
      <c r="AP161" s="1063">
        <v>2715271093195</v>
      </c>
      <c r="AQ161" s="1063">
        <v>2905574898366</v>
      </c>
    </row>
    <row r="162" spans="1:43">
      <c r="A162" s="1064" t="s">
        <v>999</v>
      </c>
      <c r="B162" s="1065">
        <v>36979394044</v>
      </c>
      <c r="C162" s="1065">
        <v>36979394044</v>
      </c>
      <c r="D162" s="1065">
        <v>36979394044</v>
      </c>
      <c r="E162" s="1065">
        <v>36979394044</v>
      </c>
      <c r="F162" s="1065">
        <v>46049434604</v>
      </c>
      <c r="G162" s="1065">
        <v>46049434604</v>
      </c>
      <c r="H162" s="1065">
        <v>46049434604</v>
      </c>
      <c r="I162" s="1065">
        <v>46049434604</v>
      </c>
      <c r="J162" s="1065">
        <v>58929278315</v>
      </c>
      <c r="K162" s="1065">
        <v>58929278315</v>
      </c>
      <c r="L162" s="1065">
        <v>58929278315</v>
      </c>
      <c r="M162" s="1065">
        <v>58929278315</v>
      </c>
      <c r="N162" s="1065">
        <v>73192271755</v>
      </c>
      <c r="O162" s="1065">
        <v>73192271755</v>
      </c>
      <c r="P162" s="1065">
        <v>73192271755</v>
      </c>
      <c r="Q162" s="1065">
        <v>73192271755</v>
      </c>
      <c r="R162" s="1065">
        <v>86945230058</v>
      </c>
      <c r="S162" s="1065">
        <v>86945230058</v>
      </c>
      <c r="T162" s="1065">
        <v>86945230058</v>
      </c>
      <c r="U162" s="1065">
        <v>86945230058</v>
      </c>
      <c r="V162" s="1065">
        <v>109212330253</v>
      </c>
      <c r="W162" s="1065">
        <v>109212330253</v>
      </c>
      <c r="X162" s="1065">
        <v>109212330253</v>
      </c>
      <c r="Y162" s="1065">
        <v>109212330253</v>
      </c>
      <c r="Z162" s="1065">
        <v>116679310151</v>
      </c>
      <c r="AA162" s="1065">
        <v>116679310151</v>
      </c>
      <c r="AB162" s="1065">
        <v>116679310151</v>
      </c>
      <c r="AC162" s="1065">
        <v>116679310151</v>
      </c>
      <c r="AD162" s="1065">
        <v>125635591554</v>
      </c>
      <c r="AE162" s="1065">
        <v>125635591554</v>
      </c>
      <c r="AF162" s="1065">
        <v>125635591554</v>
      </c>
      <c r="AG162" s="1065">
        <v>125635591554</v>
      </c>
      <c r="AH162" s="1065">
        <v>183133591554</v>
      </c>
      <c r="AI162" s="1065">
        <v>183133591554</v>
      </c>
      <c r="AJ162" s="1065">
        <v>183133591554</v>
      </c>
      <c r="AK162" s="1065">
        <v>183133591554</v>
      </c>
      <c r="AL162" s="1065">
        <v>224892591554</v>
      </c>
      <c r="AM162" s="1065">
        <v>224892591554</v>
      </c>
      <c r="AN162" s="1065">
        <v>224892591554</v>
      </c>
      <c r="AO162" s="1065">
        <v>224892591554</v>
      </c>
      <c r="AP162" s="1065">
        <v>273469591554</v>
      </c>
      <c r="AQ162" s="1065">
        <v>273469591554</v>
      </c>
    </row>
    <row r="163" spans="1:43">
      <c r="A163" s="1064" t="s">
        <v>1000</v>
      </c>
      <c r="B163" s="1065">
        <v>0</v>
      </c>
      <c r="C163" s="1065">
        <v>0</v>
      </c>
      <c r="D163" s="1065">
        <v>0</v>
      </c>
      <c r="E163" s="1065">
        <v>0</v>
      </c>
      <c r="F163" s="1065">
        <v>0</v>
      </c>
      <c r="G163" s="1065">
        <v>0</v>
      </c>
      <c r="H163" s="1065">
        <v>0</v>
      </c>
      <c r="I163" s="1065">
        <v>0</v>
      </c>
      <c r="J163" s="1065">
        <v>0</v>
      </c>
      <c r="K163" s="1065">
        <v>0</v>
      </c>
      <c r="L163" s="1065">
        <v>0</v>
      </c>
      <c r="M163" s="1065">
        <v>0</v>
      </c>
      <c r="N163" s="1065">
        <v>0</v>
      </c>
      <c r="O163" s="1065">
        <v>0</v>
      </c>
      <c r="P163" s="1065">
        <v>0</v>
      </c>
      <c r="Q163" s="1065">
        <v>0</v>
      </c>
      <c r="R163" s="1065">
        <v>0</v>
      </c>
      <c r="S163" s="1065">
        <v>0</v>
      </c>
      <c r="T163" s="1065">
        <v>0</v>
      </c>
      <c r="U163" s="1065">
        <v>0</v>
      </c>
      <c r="V163" s="1065">
        <v>0</v>
      </c>
      <c r="W163" s="1065">
        <v>0</v>
      </c>
      <c r="X163" s="1065">
        <v>0</v>
      </c>
      <c r="Y163" s="1065">
        <v>0</v>
      </c>
      <c r="Z163" s="1065">
        <v>0</v>
      </c>
      <c r="AA163" s="1065">
        <v>0</v>
      </c>
      <c r="AB163" s="1065">
        <v>0</v>
      </c>
      <c r="AC163" s="1065">
        <v>0</v>
      </c>
      <c r="AD163" s="1065">
        <v>0</v>
      </c>
      <c r="AE163" s="1065">
        <v>0</v>
      </c>
      <c r="AF163" s="1065">
        <v>0</v>
      </c>
      <c r="AG163" s="1065">
        <v>0</v>
      </c>
      <c r="AH163" s="1065">
        <v>0</v>
      </c>
      <c r="AI163" s="1065">
        <v>0</v>
      </c>
      <c r="AJ163" s="1065">
        <v>0</v>
      </c>
      <c r="AK163" s="1065">
        <v>0</v>
      </c>
      <c r="AL163" s="1065">
        <v>0</v>
      </c>
      <c r="AM163" s="1065">
        <v>0</v>
      </c>
      <c r="AN163" s="1065">
        <v>0</v>
      </c>
      <c r="AO163" s="1065">
        <v>0</v>
      </c>
      <c r="AP163" s="1065">
        <v>0</v>
      </c>
      <c r="AQ163" s="1065">
        <v>0</v>
      </c>
    </row>
    <row r="164" spans="1:43">
      <c r="A164" s="1064" t="s">
        <v>1001</v>
      </c>
      <c r="B164" s="1065">
        <v>12276238959</v>
      </c>
      <c r="C164" s="1065">
        <v>12276238959</v>
      </c>
      <c r="D164" s="1065">
        <v>12276238959</v>
      </c>
      <c r="E164" s="1065">
        <v>12276238959</v>
      </c>
      <c r="F164" s="1065">
        <v>23675828911</v>
      </c>
      <c r="G164" s="1065">
        <v>23675828911</v>
      </c>
      <c r="H164" s="1065">
        <v>23675828911</v>
      </c>
      <c r="I164" s="1065">
        <v>23675828911</v>
      </c>
      <c r="J164" s="1065">
        <v>93482355957</v>
      </c>
      <c r="K164" s="1065">
        <v>93482355957</v>
      </c>
      <c r="L164" s="1065">
        <v>93482355957</v>
      </c>
      <c r="M164" s="1065">
        <v>93482355957</v>
      </c>
      <c r="N164" s="1065">
        <v>163127588154</v>
      </c>
      <c r="O164" s="1065">
        <v>163127588154</v>
      </c>
      <c r="P164" s="1065">
        <v>163127588154</v>
      </c>
      <c r="Q164" s="1065">
        <v>163127588154</v>
      </c>
      <c r="R164" s="1065">
        <v>222807386645</v>
      </c>
      <c r="S164" s="1065">
        <v>222807386645</v>
      </c>
      <c r="T164" s="1065">
        <v>222807386645</v>
      </c>
      <c r="U164" s="1065">
        <v>222807386645</v>
      </c>
      <c r="V164" s="1065">
        <v>140086057460</v>
      </c>
      <c r="W164" s="1065">
        <v>140086057460</v>
      </c>
      <c r="X164" s="1065">
        <v>140086057460</v>
      </c>
      <c r="Y164" s="1065">
        <v>140086057460</v>
      </c>
      <c r="Z164" s="1065">
        <v>161266927402</v>
      </c>
      <c r="AA164" s="1065">
        <v>161266927402</v>
      </c>
      <c r="AB164" s="1065">
        <v>161266927402</v>
      </c>
      <c r="AC164" s="1065">
        <v>161266927402</v>
      </c>
      <c r="AD164" s="1065">
        <v>77179860770</v>
      </c>
      <c r="AE164" s="1065">
        <v>77179860770</v>
      </c>
      <c r="AF164" s="1065">
        <v>77179860770</v>
      </c>
      <c r="AG164" s="1065">
        <v>77179860770</v>
      </c>
      <c r="AH164" s="1065">
        <v>8154090164</v>
      </c>
      <c r="AI164" s="1065">
        <v>8154090164</v>
      </c>
      <c r="AJ164" s="1065">
        <v>8154090164</v>
      </c>
      <c r="AK164" s="1065">
        <v>8154090164</v>
      </c>
      <c r="AL164" s="1065">
        <v>125110516840</v>
      </c>
      <c r="AM164" s="1065">
        <v>125110516840</v>
      </c>
      <c r="AN164" s="1065">
        <v>125110516840</v>
      </c>
      <c r="AO164" s="1065">
        <v>125110516840</v>
      </c>
      <c r="AP164" s="1065">
        <v>179658466615</v>
      </c>
      <c r="AQ164" s="1065">
        <v>179658466615</v>
      </c>
    </row>
    <row r="165" spans="1:43">
      <c r="A165" s="1064" t="s">
        <v>1002</v>
      </c>
      <c r="B165" s="1065">
        <v>42466456819</v>
      </c>
      <c r="C165" s="1065">
        <v>42466456819</v>
      </c>
      <c r="D165" s="1065">
        <v>42466456819</v>
      </c>
      <c r="E165" s="1065">
        <v>42466456819</v>
      </c>
      <c r="F165" s="1065">
        <v>42466456819</v>
      </c>
      <c r="G165" s="1065">
        <v>42466456819</v>
      </c>
      <c r="H165" s="1065">
        <v>42466456819</v>
      </c>
      <c r="I165" s="1065">
        <v>42466456819</v>
      </c>
      <c r="J165" s="1065">
        <v>42466456819</v>
      </c>
      <c r="K165" s="1065">
        <v>42466456819</v>
      </c>
      <c r="L165" s="1065">
        <v>42466456819</v>
      </c>
      <c r="M165" s="1065">
        <v>42466456819</v>
      </c>
      <c r="N165" s="1065">
        <v>196881991982</v>
      </c>
      <c r="O165" s="1065">
        <v>196881991982</v>
      </c>
      <c r="P165" s="1065">
        <v>124098187789</v>
      </c>
      <c r="Q165" s="1065">
        <v>124098187789</v>
      </c>
      <c r="R165" s="1065">
        <v>253511974050</v>
      </c>
      <c r="S165" s="1065">
        <v>253511974050</v>
      </c>
      <c r="T165" s="1065">
        <v>253511974050</v>
      </c>
      <c r="U165" s="1065">
        <v>253511974050</v>
      </c>
      <c r="V165" s="1065">
        <v>253511974050</v>
      </c>
      <c r="W165" s="1065">
        <v>120899631720</v>
      </c>
      <c r="X165" s="1065">
        <v>120899631720</v>
      </c>
      <c r="Y165" s="1065">
        <v>120899631720</v>
      </c>
      <c r="Z165" s="1065">
        <v>365484973087</v>
      </c>
      <c r="AA165" s="1065">
        <v>365484973087</v>
      </c>
      <c r="AB165" s="1065">
        <v>365484973087</v>
      </c>
      <c r="AC165" s="1065">
        <v>11015126667</v>
      </c>
      <c r="AD165" s="1065">
        <v>10665395169</v>
      </c>
      <c r="AE165" s="1065">
        <v>10665395169</v>
      </c>
      <c r="AF165" s="1065">
        <v>10665395169</v>
      </c>
      <c r="AG165" s="1065">
        <v>10665395169</v>
      </c>
      <c r="AH165" s="1065">
        <v>10665395169</v>
      </c>
      <c r="AI165" s="1065">
        <v>10665395169</v>
      </c>
      <c r="AJ165" s="1065">
        <v>10665395169</v>
      </c>
      <c r="AK165" s="1065">
        <v>10665395169</v>
      </c>
      <c r="AL165" s="1065">
        <v>10665395169</v>
      </c>
      <c r="AM165" s="1065">
        <v>10665395169</v>
      </c>
      <c r="AN165" s="1065">
        <v>10665395169</v>
      </c>
      <c r="AO165" s="1065">
        <v>10665395169</v>
      </c>
      <c r="AP165" s="1065">
        <v>10665395169</v>
      </c>
      <c r="AQ165" s="1065">
        <v>10665395169</v>
      </c>
    </row>
    <row r="166" spans="1:43">
      <c r="A166" s="1064" t="s">
        <v>1003</v>
      </c>
      <c r="B166" s="1065">
        <v>439044619484</v>
      </c>
      <c r="C166" s="1065">
        <v>522394986397</v>
      </c>
      <c r="D166" s="1065">
        <v>585023531949</v>
      </c>
      <c r="E166" s="1065">
        <v>641367038631</v>
      </c>
      <c r="F166" s="1065">
        <v>609130532541</v>
      </c>
      <c r="G166" s="1065">
        <v>687701095520</v>
      </c>
      <c r="H166" s="1065">
        <v>759973056938</v>
      </c>
      <c r="I166" s="1065">
        <v>830320816015</v>
      </c>
      <c r="J166" s="1065">
        <v>690715601965</v>
      </c>
      <c r="K166" s="1065">
        <v>769297794403</v>
      </c>
      <c r="L166" s="1065">
        <v>733480914628</v>
      </c>
      <c r="M166" s="1065">
        <v>827017650840</v>
      </c>
      <c r="N166" s="1065">
        <v>568508110647</v>
      </c>
      <c r="O166" s="1065">
        <v>814970243819</v>
      </c>
      <c r="P166" s="1065">
        <v>901623474755</v>
      </c>
      <c r="Q166" s="1065">
        <v>1045617774619</v>
      </c>
      <c r="R166" s="1065">
        <v>779209047115</v>
      </c>
      <c r="S166" s="1065">
        <v>903991406428</v>
      </c>
      <c r="T166" s="1065">
        <v>1015826229172</v>
      </c>
      <c r="U166" s="1065">
        <v>1118753711591</v>
      </c>
      <c r="V166" s="1065">
        <v>1123011394436</v>
      </c>
      <c r="W166" s="1065">
        <v>1267683107751</v>
      </c>
      <c r="X166" s="1065">
        <v>1406103627905</v>
      </c>
      <c r="Y166" s="1065">
        <v>1616398826649</v>
      </c>
      <c r="Z166" s="1065">
        <v>1955718262076</v>
      </c>
      <c r="AA166" s="1065">
        <v>1981509120359</v>
      </c>
      <c r="AB166" s="1065">
        <v>2112873323972</v>
      </c>
      <c r="AC166" s="1065">
        <v>2262419986254</v>
      </c>
      <c r="AD166" s="1065">
        <v>2286127346036</v>
      </c>
      <c r="AE166" s="1065">
        <v>2378341814690</v>
      </c>
      <c r="AF166" s="1065">
        <v>2166150021096</v>
      </c>
      <c r="AG166" s="1065">
        <v>2255081654543</v>
      </c>
      <c r="AH166" s="1065">
        <v>2160196461589</v>
      </c>
      <c r="AI166" s="1065">
        <v>2338602675200</v>
      </c>
      <c r="AJ166" s="1065">
        <v>2454450412980</v>
      </c>
      <c r="AK166" s="1065">
        <v>2350562398587</v>
      </c>
      <c r="AL166" s="1065">
        <v>2178746604089</v>
      </c>
      <c r="AM166" s="1065">
        <v>2356997280019</v>
      </c>
      <c r="AN166" s="1065">
        <v>2487339473643</v>
      </c>
      <c r="AO166" s="1065">
        <v>2339961921339</v>
      </c>
      <c r="AP166" s="1065">
        <v>2251477639857</v>
      </c>
      <c r="AQ166" s="1065">
        <v>2441781445028</v>
      </c>
    </row>
    <row r="167" spans="1:43">
      <c r="A167" s="1062" t="s">
        <v>1004</v>
      </c>
      <c r="B167" s="1063">
        <v>0</v>
      </c>
      <c r="C167" s="1063">
        <v>0</v>
      </c>
      <c r="D167" s="1063">
        <v>0</v>
      </c>
      <c r="E167" s="1063">
        <v>0</v>
      </c>
      <c r="F167" s="1063">
        <v>0</v>
      </c>
      <c r="G167" s="1063">
        <v>0</v>
      </c>
      <c r="H167" s="1063">
        <v>0</v>
      </c>
      <c r="I167" s="1063">
        <v>0</v>
      </c>
      <c r="J167" s="1063">
        <v>0</v>
      </c>
      <c r="K167" s="1063">
        <v>0</v>
      </c>
      <c r="L167" s="1063">
        <v>0</v>
      </c>
      <c r="M167" s="1063">
        <v>0</v>
      </c>
      <c r="N167" s="1063">
        <v>0</v>
      </c>
      <c r="O167" s="1063">
        <v>0</v>
      </c>
      <c r="P167" s="1063">
        <v>0</v>
      </c>
      <c r="Q167" s="1063">
        <v>0</v>
      </c>
      <c r="R167" s="1063">
        <v>0</v>
      </c>
      <c r="S167" s="1063">
        <v>0</v>
      </c>
      <c r="T167" s="1063">
        <v>0</v>
      </c>
      <c r="U167" s="1063">
        <v>0</v>
      </c>
      <c r="V167" s="1063">
        <v>0</v>
      </c>
      <c r="W167" s="1063">
        <v>0</v>
      </c>
      <c r="X167" s="1063">
        <v>0</v>
      </c>
      <c r="Y167" s="1063">
        <v>0</v>
      </c>
      <c r="Z167" s="1063">
        <v>0</v>
      </c>
      <c r="AA167" s="1063">
        <v>0</v>
      </c>
      <c r="AB167" s="1063">
        <v>0</v>
      </c>
      <c r="AC167" s="1063">
        <v>0</v>
      </c>
      <c r="AD167" s="1063">
        <v>0</v>
      </c>
      <c r="AE167" s="1063">
        <v>0</v>
      </c>
      <c r="AF167" s="1063">
        <v>0</v>
      </c>
      <c r="AG167" s="1063">
        <v>0</v>
      </c>
      <c r="AH167" s="1063">
        <v>0</v>
      </c>
      <c r="AI167" s="1063">
        <v>0</v>
      </c>
      <c r="AJ167" s="1063">
        <v>0</v>
      </c>
      <c r="AK167" s="1063">
        <v>0</v>
      </c>
      <c r="AL167" s="1063">
        <v>0</v>
      </c>
      <c r="AM167" s="1063">
        <v>0</v>
      </c>
      <c r="AN167" s="1063">
        <v>0</v>
      </c>
      <c r="AO167" s="1063">
        <v>0</v>
      </c>
      <c r="AP167" s="1063">
        <v>0</v>
      </c>
      <c r="AQ167" s="1063">
        <v>0</v>
      </c>
    </row>
    <row r="168" spans="1:43">
      <c r="A168" s="1060" t="s">
        <v>1005</v>
      </c>
      <c r="B168" s="1061">
        <v>16666035644896</v>
      </c>
      <c r="C168" s="1061">
        <v>15539885938021</v>
      </c>
      <c r="D168" s="1061">
        <v>17240322771136</v>
      </c>
      <c r="E168" s="1061">
        <v>15311573692178</v>
      </c>
      <c r="F168" s="1061">
        <v>18480791841650</v>
      </c>
      <c r="G168" s="1061">
        <v>17810441896477</v>
      </c>
      <c r="H168" s="1061">
        <v>16853550278551</v>
      </c>
      <c r="I168" s="1061">
        <v>17984010113274</v>
      </c>
      <c r="J168" s="1061">
        <v>21904826602029</v>
      </c>
      <c r="K168" s="1061">
        <v>24495164932401</v>
      </c>
      <c r="L168" s="1061">
        <v>24839755230605</v>
      </c>
      <c r="M168" s="1061">
        <v>23685113067010</v>
      </c>
      <c r="N168" s="1061">
        <v>28180012988933</v>
      </c>
      <c r="O168" s="1061">
        <v>29007357273224</v>
      </c>
      <c r="P168" s="1061">
        <v>30899102507246</v>
      </c>
      <c r="Q168" s="1061">
        <v>29734067366385</v>
      </c>
      <c r="R168" s="1061">
        <v>31452666769271</v>
      </c>
      <c r="S168" s="1061">
        <v>33548817377747</v>
      </c>
      <c r="T168" s="1061">
        <v>34330722643440</v>
      </c>
      <c r="U168" s="1061">
        <v>35318142324881</v>
      </c>
      <c r="V168" s="1061">
        <v>38593056440073</v>
      </c>
      <c r="W168" s="1061">
        <v>39709596243032</v>
      </c>
      <c r="X168" s="1061">
        <v>40780040875041</v>
      </c>
      <c r="Y168" s="1061">
        <v>41952648067078</v>
      </c>
      <c r="Z168" s="1061">
        <v>46775714262356</v>
      </c>
      <c r="AA168" s="1061">
        <v>48063129100354</v>
      </c>
      <c r="AB168" s="1061">
        <v>48364958953530</v>
      </c>
      <c r="AC168" s="1061">
        <v>43188568068568</v>
      </c>
      <c r="AD168" s="1061">
        <v>46127885694638</v>
      </c>
      <c r="AE168" s="1061">
        <v>46509524942823</v>
      </c>
      <c r="AF168" s="1061">
        <v>45941787858790</v>
      </c>
      <c r="AG168" s="1061">
        <v>50923817369368</v>
      </c>
      <c r="AH168" s="1061">
        <v>50729410997240</v>
      </c>
      <c r="AI168" s="1061">
        <v>52171681981398</v>
      </c>
      <c r="AJ168" s="1061">
        <v>56144122676225</v>
      </c>
      <c r="AK168" s="1061">
        <v>58952231221242</v>
      </c>
      <c r="AL168" s="1061">
        <v>61335799575675</v>
      </c>
      <c r="AM168" s="1061">
        <v>65441552726890</v>
      </c>
      <c r="AN168" s="1061">
        <v>70748639855826</v>
      </c>
      <c r="AO168" s="1061">
        <v>72448026454395</v>
      </c>
      <c r="AP168" s="1061">
        <v>81943315630648</v>
      </c>
      <c r="AQ168" s="1061">
        <v>85182682455576</v>
      </c>
    </row>
  </sheetData>
  <phoneticPr fontId="21" type="noConversion"/>
  <pageMargins left="0.7" right="0.7" top="0.75" bottom="0.75" header="0.3" footer="0.3"/>
  <pageSetup paperSize="9" scale="98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6E99-3389-436B-A8A1-1B872B4BFC35}">
  <sheetPr>
    <tabColor theme="5" tint="0.79998168889431442"/>
    <pageSetUpPr fitToPage="1"/>
  </sheetPr>
  <dimension ref="A1:BD117"/>
  <sheetViews>
    <sheetView showGridLines="0" view="pageBreakPreview" zoomScaleNormal="100" zoomScaleSheetLayoutView="100" workbookViewId="0">
      <pane ySplit="4" topLeftCell="A5" activePane="bottomLeft" state="frozen"/>
      <selection activeCell="BJ51" sqref="BJ51"/>
      <selection pane="bottomLeft" activeCell="BJ51" sqref="BJ51"/>
    </sheetView>
  </sheetViews>
  <sheetFormatPr defaultColWidth="8.88671875" defaultRowHeight="14.25"/>
  <cols>
    <col min="1" max="1" width="38.77734375" style="1049" customWidth="1"/>
    <col min="2" max="28" width="14.6640625" style="1049" hidden="1" customWidth="1"/>
    <col min="29" max="38" width="14.6640625" style="1048" hidden="1" customWidth="1"/>
    <col min="39" max="39" width="14.6640625" style="1048" customWidth="1"/>
    <col min="40" max="42" width="14.6640625" style="1048" hidden="1" customWidth="1"/>
    <col min="43" max="43" width="14.6640625" style="1048" customWidth="1"/>
    <col min="44" max="44" width="1.21875" style="1049" customWidth="1"/>
    <col min="45" max="51" width="14.6640625" style="1049" hidden="1" customWidth="1"/>
    <col min="52" max="54" width="14.6640625" style="1048" hidden="1" customWidth="1"/>
    <col min="55" max="56" width="14.6640625" style="1048" customWidth="1"/>
    <col min="57" max="16384" width="8.88671875" style="1048"/>
  </cols>
  <sheetData>
    <row r="1" spans="1:56" s="1049" customFormat="1" ht="12" customHeight="1">
      <c r="AC1" s="1048"/>
      <c r="AD1" s="1048"/>
      <c r="AE1" s="1048"/>
      <c r="AF1" s="1048"/>
      <c r="AG1" s="1048"/>
      <c r="AH1" s="1048"/>
      <c r="AI1" s="1048"/>
      <c r="AJ1" s="1048"/>
      <c r="AK1" s="1048"/>
      <c r="AL1" s="1048"/>
      <c r="AM1" s="1048"/>
      <c r="AN1" s="1048"/>
      <c r="AO1" s="1048"/>
      <c r="AP1" s="1048"/>
      <c r="AQ1" s="1048"/>
      <c r="AZ1" s="1048"/>
      <c r="BA1" s="1048"/>
      <c r="BB1" s="1048"/>
      <c r="BC1" s="1048"/>
      <c r="BD1" s="1048"/>
    </row>
    <row r="2" spans="1:56" s="1052" customFormat="1" ht="38.25" customHeight="1">
      <c r="A2" s="1050" t="s">
        <v>1007</v>
      </c>
      <c r="B2" s="1051"/>
      <c r="C2" s="1051"/>
      <c r="D2" s="1051"/>
      <c r="E2" s="1051"/>
      <c r="F2" s="1051"/>
      <c r="G2" s="1051"/>
      <c r="H2" s="1051"/>
      <c r="I2" s="1051"/>
      <c r="J2" s="1051"/>
      <c r="K2" s="1051"/>
      <c r="L2" s="1051"/>
      <c r="M2" s="1051"/>
      <c r="N2" s="1051"/>
      <c r="O2" s="1051"/>
      <c r="P2" s="1051"/>
      <c r="Q2" s="1051"/>
      <c r="R2" s="1051"/>
      <c r="S2" s="1051"/>
      <c r="T2" s="1051"/>
      <c r="U2" s="1051"/>
      <c r="V2" s="1051"/>
      <c r="W2" s="1051"/>
      <c r="X2" s="1051"/>
      <c r="Y2" s="1051"/>
      <c r="Z2" s="1051"/>
      <c r="AA2" s="1051"/>
      <c r="AB2" s="1051"/>
      <c r="AC2" s="1051"/>
      <c r="AD2" s="1051"/>
      <c r="AE2" s="1051"/>
      <c r="AF2" s="1051"/>
      <c r="AG2" s="1051"/>
      <c r="AH2" s="1051"/>
      <c r="AI2" s="1051"/>
      <c r="AJ2" s="1051"/>
      <c r="AK2" s="1051"/>
      <c r="AL2" s="1051"/>
      <c r="AM2" s="1051"/>
      <c r="AN2" s="1051"/>
      <c r="AO2" s="1051"/>
      <c r="AP2" s="1051"/>
      <c r="AQ2" s="1051"/>
      <c r="AR2" s="1051"/>
      <c r="AS2" s="1051"/>
      <c r="AT2" s="1051"/>
      <c r="AU2" s="1051"/>
      <c r="AV2" s="1051"/>
      <c r="AW2" s="1051"/>
      <c r="AX2" s="1069"/>
      <c r="AY2" s="1069"/>
      <c r="AZ2" s="1051"/>
      <c r="BA2" s="1051"/>
      <c r="BB2" s="1051"/>
      <c r="BC2" s="1051"/>
      <c r="BD2" s="1051"/>
    </row>
    <row r="3" spans="1:56" ht="18" customHeight="1" thickBot="1"/>
    <row r="4" spans="1:56" s="1059" customFormat="1" ht="18" customHeight="1" thickTop="1">
      <c r="A4" s="1054" t="s">
        <v>849</v>
      </c>
      <c r="B4" s="1055" t="s">
        <v>803</v>
      </c>
      <c r="C4" s="1055" t="s">
        <v>804</v>
      </c>
      <c r="D4" s="1055" t="s">
        <v>805</v>
      </c>
      <c r="E4" s="1055" t="s">
        <v>806</v>
      </c>
      <c r="F4" s="1055" t="s">
        <v>807</v>
      </c>
      <c r="G4" s="1055" t="s">
        <v>808</v>
      </c>
      <c r="H4" s="1055" t="s">
        <v>809</v>
      </c>
      <c r="I4" s="1055" t="s">
        <v>810</v>
      </c>
      <c r="J4" s="1055" t="s">
        <v>1008</v>
      </c>
      <c r="K4" s="1057" t="s">
        <v>436</v>
      </c>
      <c r="L4" s="1057" t="s">
        <v>437</v>
      </c>
      <c r="M4" s="1057" t="s">
        <v>438</v>
      </c>
      <c r="N4" s="1057" t="s">
        <v>439</v>
      </c>
      <c r="O4" s="1057" t="s">
        <v>440</v>
      </c>
      <c r="P4" s="1057" t="s">
        <v>441</v>
      </c>
      <c r="Q4" s="1057" t="s">
        <v>442</v>
      </c>
      <c r="R4" s="1057" t="s">
        <v>443</v>
      </c>
      <c r="S4" s="1057" t="s">
        <v>444</v>
      </c>
      <c r="T4" s="1057" t="s">
        <v>445</v>
      </c>
      <c r="U4" s="1057" t="s">
        <v>446</v>
      </c>
      <c r="V4" s="1057" t="s">
        <v>447</v>
      </c>
      <c r="W4" s="1057" t="s">
        <v>448</v>
      </c>
      <c r="X4" s="1057" t="s">
        <v>449</v>
      </c>
      <c r="Y4" s="1057" t="s">
        <v>450</v>
      </c>
      <c r="Z4" s="1058" t="s">
        <v>391</v>
      </c>
      <c r="AA4" s="1058" t="s">
        <v>452</v>
      </c>
      <c r="AB4" s="1058" t="s">
        <v>430</v>
      </c>
      <c r="AC4" s="1058" t="s">
        <v>432</v>
      </c>
      <c r="AD4" s="1057" t="s">
        <v>428</v>
      </c>
      <c r="AE4" s="1057" t="s">
        <v>466</v>
      </c>
      <c r="AF4" s="1057" t="s">
        <v>467</v>
      </c>
      <c r="AG4" s="1057" t="s">
        <v>513</v>
      </c>
      <c r="AH4" s="1057" t="s">
        <v>563</v>
      </c>
      <c r="AI4" s="1057" t="s">
        <v>607</v>
      </c>
      <c r="AJ4" s="1057" t="s">
        <v>622</v>
      </c>
      <c r="AK4" s="1057" t="s">
        <v>633</v>
      </c>
      <c r="AL4" s="1057" t="s">
        <v>647</v>
      </c>
      <c r="AM4" s="1057" t="s">
        <v>676</v>
      </c>
      <c r="AN4" s="1057" t="s">
        <v>675</v>
      </c>
      <c r="AO4" s="1057" t="s">
        <v>686</v>
      </c>
      <c r="AP4" s="1057" t="s">
        <v>688</v>
      </c>
      <c r="AQ4" s="1068" t="s">
        <v>732</v>
      </c>
      <c r="AR4" s="1070"/>
      <c r="AS4" s="1071">
        <v>2016</v>
      </c>
      <c r="AT4" s="1071">
        <v>2017</v>
      </c>
      <c r="AU4" s="1071">
        <v>2018</v>
      </c>
      <c r="AV4" s="1071">
        <v>2019</v>
      </c>
      <c r="AW4" s="1071">
        <v>2020</v>
      </c>
      <c r="AX4" s="1071">
        <v>2021</v>
      </c>
      <c r="AY4" s="1071">
        <v>2022</v>
      </c>
      <c r="AZ4" s="1071">
        <v>2023</v>
      </c>
      <c r="BA4" s="1071">
        <v>2024</v>
      </c>
      <c r="BB4" s="1071">
        <v>2025</v>
      </c>
      <c r="BC4" s="1071" t="s">
        <v>709</v>
      </c>
      <c r="BD4" s="1072" t="s">
        <v>716</v>
      </c>
    </row>
    <row r="5" spans="1:56">
      <c r="A5" s="1073" t="s">
        <v>1009</v>
      </c>
      <c r="B5" s="1061">
        <v>1176833608777</v>
      </c>
      <c r="C5" s="1061">
        <v>1159159939388</v>
      </c>
      <c r="D5" s="1061">
        <v>1002175839040</v>
      </c>
      <c r="E5" s="1061">
        <v>1608432278145</v>
      </c>
      <c r="F5" s="1061">
        <v>1250856589356.1191</v>
      </c>
      <c r="G5" s="1061">
        <v>1201206688227.8809</v>
      </c>
      <c r="H5" s="1061">
        <v>1348986130414</v>
      </c>
      <c r="I5" s="1061">
        <v>1496416253031</v>
      </c>
      <c r="J5" s="1061">
        <v>1931969415573</v>
      </c>
      <c r="K5" s="1061">
        <v>1922225662999</v>
      </c>
      <c r="L5" s="1061">
        <v>2054709217481</v>
      </c>
      <c r="M5" s="1061">
        <v>2830513673430</v>
      </c>
      <c r="N5" s="1061">
        <v>2828184036967</v>
      </c>
      <c r="O5" s="1061">
        <v>2656415226531</v>
      </c>
      <c r="P5" s="1061">
        <v>3186575296220</v>
      </c>
      <c r="Q5" s="1061">
        <v>3241411894677</v>
      </c>
      <c r="R5" s="1061">
        <v>7068348954448</v>
      </c>
      <c r="S5" s="1061">
        <v>2682520933168</v>
      </c>
      <c r="T5" s="1061">
        <v>3135135822430</v>
      </c>
      <c r="U5" s="1061">
        <v>3719624658273</v>
      </c>
      <c r="V5" s="1061">
        <v>4837616920391</v>
      </c>
      <c r="W5" s="1061">
        <v>4778134330590</v>
      </c>
      <c r="X5" s="1061">
        <v>5848740623468</v>
      </c>
      <c r="Y5" s="1061">
        <v>7782893848572</v>
      </c>
      <c r="Z5" s="1061">
        <v>10823549244252</v>
      </c>
      <c r="AA5" s="1061">
        <v>14465184971968</v>
      </c>
      <c r="AB5" s="1061">
        <v>17546662802145</v>
      </c>
      <c r="AC5" s="1061">
        <v>14202194463790</v>
      </c>
      <c r="AD5" s="1061">
        <v>14623254686659</v>
      </c>
      <c r="AE5" s="1061">
        <v>10241293618903</v>
      </c>
      <c r="AF5" s="1061">
        <v>9902875543877</v>
      </c>
      <c r="AG5" s="1061">
        <v>12680871691666</v>
      </c>
      <c r="AH5" s="1061">
        <v>9581857606893</v>
      </c>
      <c r="AI5" s="1061">
        <v>8336594772172</v>
      </c>
      <c r="AJ5" s="1061">
        <v>8094246982809</v>
      </c>
      <c r="AK5" s="1061">
        <v>8772344200854</v>
      </c>
      <c r="AL5" s="1061">
        <v>5195861577079.0801</v>
      </c>
      <c r="AM5" s="1061">
        <v>6044114847039</v>
      </c>
      <c r="AN5" s="1061">
        <v>4376363470105.9199</v>
      </c>
      <c r="AO5" s="1061">
        <v>7252549432966</v>
      </c>
      <c r="AP5" s="1061">
        <v>12865744302673</v>
      </c>
      <c r="AQ5" s="1074">
        <v>15789107745135</v>
      </c>
      <c r="AR5" s="1075"/>
      <c r="AS5" s="1061">
        <v>4946601665350</v>
      </c>
      <c r="AT5" s="1061">
        <v>5297465661029</v>
      </c>
      <c r="AU5" s="1061">
        <v>8739417969483</v>
      </c>
      <c r="AV5" s="1061">
        <v>11912586454395</v>
      </c>
      <c r="AW5" s="1061">
        <v>16604877677194</v>
      </c>
      <c r="AX5" s="1061">
        <v>23247385723021</v>
      </c>
      <c r="AY5" s="1061">
        <v>57037591482155</v>
      </c>
      <c r="AZ5" s="1061">
        <v>47448295541105</v>
      </c>
      <c r="BA5" s="1061">
        <v>34785043562728</v>
      </c>
      <c r="BB5" s="1061">
        <v>22868889327190</v>
      </c>
      <c r="BC5" s="1061">
        <v>11239976424118.08</v>
      </c>
      <c r="BD5" s="1061">
        <v>28654852047808</v>
      </c>
    </row>
    <row r="6" spans="1:56">
      <c r="A6" s="1076" t="s">
        <v>1010</v>
      </c>
      <c r="B6" s="1063">
        <v>62350141991</v>
      </c>
      <c r="C6" s="1063">
        <v>114862846717</v>
      </c>
      <c r="D6" s="1063">
        <v>81508986300</v>
      </c>
      <c r="E6" s="1063">
        <v>84551865339</v>
      </c>
      <c r="F6" s="1063">
        <v>86814782418</v>
      </c>
      <c r="G6" s="1063">
        <v>119581387626</v>
      </c>
      <c r="H6" s="1063">
        <v>104094490970</v>
      </c>
      <c r="I6" s="1063">
        <v>102365197684</v>
      </c>
      <c r="J6" s="1063">
        <v>99472800535</v>
      </c>
      <c r="K6" s="1063">
        <v>113743006477</v>
      </c>
      <c r="L6" s="1063">
        <v>96045178409</v>
      </c>
      <c r="M6" s="1063">
        <v>125547942895</v>
      </c>
      <c r="N6" s="1063">
        <v>111481712692</v>
      </c>
      <c r="O6" s="1063">
        <v>114261625356</v>
      </c>
      <c r="P6" s="1063">
        <v>95358032264</v>
      </c>
      <c r="Q6" s="1063">
        <v>147304571792</v>
      </c>
      <c r="R6" s="1063">
        <v>180503330406</v>
      </c>
      <c r="S6" s="1063">
        <v>131151855445</v>
      </c>
      <c r="T6" s="1063">
        <v>122714432922</v>
      </c>
      <c r="U6" s="1063">
        <v>148552365756</v>
      </c>
      <c r="V6" s="1063">
        <v>172998749027</v>
      </c>
      <c r="W6" s="1063">
        <v>196533115218</v>
      </c>
      <c r="X6" s="1063">
        <v>163747036076</v>
      </c>
      <c r="Y6" s="1063">
        <v>172593349354</v>
      </c>
      <c r="Z6" s="1063">
        <v>168836024371</v>
      </c>
      <c r="AA6" s="1063">
        <v>215904993544</v>
      </c>
      <c r="AB6" s="1063">
        <v>150526761635</v>
      </c>
      <c r="AC6" s="1063">
        <v>134007460903</v>
      </c>
      <c r="AD6" s="1063">
        <v>119097381138</v>
      </c>
      <c r="AE6" s="1063">
        <v>162398307737</v>
      </c>
      <c r="AF6" s="1063">
        <v>162726513225</v>
      </c>
      <c r="AG6" s="1063">
        <v>118767580186</v>
      </c>
      <c r="AH6" s="1063">
        <v>126788415517</v>
      </c>
      <c r="AI6" s="1063">
        <v>125602527698</v>
      </c>
      <c r="AJ6" s="1063">
        <v>136299079776</v>
      </c>
      <c r="AK6" s="1063">
        <v>114926410010</v>
      </c>
      <c r="AL6" s="1063">
        <v>129421528649</v>
      </c>
      <c r="AM6" s="1063">
        <v>147866371478</v>
      </c>
      <c r="AN6" s="1063">
        <v>247093643262</v>
      </c>
      <c r="AO6" s="1063">
        <v>248591563292</v>
      </c>
      <c r="AP6" s="1063">
        <v>205673137068</v>
      </c>
      <c r="AQ6" s="1077">
        <v>261487671040</v>
      </c>
      <c r="AR6" s="1078"/>
      <c r="AS6" s="1063">
        <v>343273840347</v>
      </c>
      <c r="AT6" s="1063">
        <v>412855858698</v>
      </c>
      <c r="AU6" s="1063">
        <v>434808928316</v>
      </c>
      <c r="AV6" s="1063">
        <v>468405942104</v>
      </c>
      <c r="AW6" s="1063">
        <v>582921984529</v>
      </c>
      <c r="AX6" s="1063">
        <v>705872249675</v>
      </c>
      <c r="AY6" s="1063">
        <v>669275240453</v>
      </c>
      <c r="AZ6" s="1063">
        <v>562989782286</v>
      </c>
      <c r="BA6" s="1063">
        <v>503616433001</v>
      </c>
      <c r="BB6" s="1063">
        <v>772973106681</v>
      </c>
      <c r="BC6" s="1063">
        <v>277287900127</v>
      </c>
      <c r="BD6" s="1063">
        <v>467160808108</v>
      </c>
    </row>
    <row r="7" spans="1:56">
      <c r="A7" s="1079" t="s">
        <v>1011</v>
      </c>
      <c r="B7" s="1065">
        <v>17043724549</v>
      </c>
      <c r="C7" s="1065">
        <v>24685811238</v>
      </c>
      <c r="D7" s="1065">
        <v>18715476187</v>
      </c>
      <c r="E7" s="1065">
        <v>12545912638</v>
      </c>
      <c r="F7" s="1065">
        <v>14466042969</v>
      </c>
      <c r="G7" s="1065">
        <v>19291717241</v>
      </c>
      <c r="H7" s="1065">
        <v>18528675264</v>
      </c>
      <c r="I7" s="1065">
        <v>22220421095</v>
      </c>
      <c r="J7" s="1065">
        <v>30573956322</v>
      </c>
      <c r="K7" s="1065">
        <v>26328605737</v>
      </c>
      <c r="L7" s="1065">
        <v>17243480588</v>
      </c>
      <c r="M7" s="1065">
        <v>15095985086</v>
      </c>
      <c r="N7" s="1065">
        <v>16379927086</v>
      </c>
      <c r="O7" s="1065">
        <v>15259779229</v>
      </c>
      <c r="P7" s="1065">
        <v>12649892337</v>
      </c>
      <c r="Q7" s="1065">
        <v>16626199016</v>
      </c>
      <c r="R7" s="1065">
        <v>19797132050</v>
      </c>
      <c r="S7" s="1065">
        <v>25342319328</v>
      </c>
      <c r="T7" s="1065">
        <v>31990280433</v>
      </c>
      <c r="U7" s="1065">
        <v>29344250925</v>
      </c>
      <c r="V7" s="1065">
        <v>35034886967</v>
      </c>
      <c r="W7" s="1065">
        <v>30605324911</v>
      </c>
      <c r="X7" s="1065">
        <v>27799534331</v>
      </c>
      <c r="Y7" s="1065">
        <v>27469823045</v>
      </c>
      <c r="Z7" s="1065">
        <v>19394355204</v>
      </c>
      <c r="AA7" s="1065">
        <v>16944396784</v>
      </c>
      <c r="AB7" s="1065">
        <v>15795728535</v>
      </c>
      <c r="AC7" s="1065">
        <v>13678525565</v>
      </c>
      <c r="AD7" s="1065">
        <v>19689233494</v>
      </c>
      <c r="AE7" s="1065">
        <v>20156987270</v>
      </c>
      <c r="AF7" s="1065">
        <v>19219373947</v>
      </c>
      <c r="AG7" s="1065">
        <v>15241569410</v>
      </c>
      <c r="AH7" s="1065">
        <v>22186156164</v>
      </c>
      <c r="AI7" s="1065">
        <v>21152634466</v>
      </c>
      <c r="AJ7" s="1065">
        <v>18499005992</v>
      </c>
      <c r="AK7" s="1065">
        <v>15676018836</v>
      </c>
      <c r="AL7" s="1065">
        <v>18642648880</v>
      </c>
      <c r="AM7" s="1065">
        <v>21977836687</v>
      </c>
      <c r="AN7" s="1065">
        <v>27909792035</v>
      </c>
      <c r="AO7" s="1065">
        <v>34641836613</v>
      </c>
      <c r="AP7" s="1065">
        <v>55696169173</v>
      </c>
      <c r="AQ7" s="1080">
        <v>80581519847</v>
      </c>
      <c r="AR7" s="1081"/>
      <c r="AS7" s="1065">
        <v>72990924612</v>
      </c>
      <c r="AT7" s="1065">
        <v>74506856569</v>
      </c>
      <c r="AU7" s="1065">
        <v>89242027733</v>
      </c>
      <c r="AV7" s="1065">
        <v>60915797668</v>
      </c>
      <c r="AW7" s="1065">
        <v>106473982736</v>
      </c>
      <c r="AX7" s="1065">
        <v>120909569254</v>
      </c>
      <c r="AY7" s="1065">
        <v>65813006088</v>
      </c>
      <c r="AZ7" s="1065">
        <v>74307164121</v>
      </c>
      <c r="BA7" s="1065">
        <v>77513815458</v>
      </c>
      <c r="BB7" s="1065">
        <v>103172114215</v>
      </c>
      <c r="BC7" s="1065">
        <v>40620485567</v>
      </c>
      <c r="BD7" s="1065">
        <v>136277689020</v>
      </c>
    </row>
    <row r="8" spans="1:56">
      <c r="A8" s="1079" t="s">
        <v>1012</v>
      </c>
      <c r="B8" s="1065">
        <v>4990466930</v>
      </c>
      <c r="C8" s="1065">
        <v>6099216848</v>
      </c>
      <c r="D8" s="1065">
        <v>7114999561</v>
      </c>
      <c r="E8" s="1065">
        <v>8309578022</v>
      </c>
      <c r="F8" s="1065">
        <v>2389504667</v>
      </c>
      <c r="G8" s="1065">
        <v>3544962107</v>
      </c>
      <c r="H8" s="1065">
        <v>4664612074</v>
      </c>
      <c r="I8" s="1065">
        <v>5260657917</v>
      </c>
      <c r="J8" s="1065">
        <v>3215004754</v>
      </c>
      <c r="K8" s="1065">
        <v>4592477105</v>
      </c>
      <c r="L8" s="1065">
        <v>11949961091</v>
      </c>
      <c r="M8" s="1065">
        <v>2254363581</v>
      </c>
      <c r="N8" s="1065">
        <v>3509176852</v>
      </c>
      <c r="O8" s="1065">
        <v>3169426011</v>
      </c>
      <c r="P8" s="1065">
        <v>3626062391</v>
      </c>
      <c r="Q8" s="1065">
        <v>3027382385</v>
      </c>
      <c r="R8" s="1065">
        <v>3268125827</v>
      </c>
      <c r="S8" s="1065">
        <v>3522294109</v>
      </c>
      <c r="T8" s="1065">
        <v>3831153256</v>
      </c>
      <c r="U8" s="1065">
        <v>2705874127</v>
      </c>
      <c r="V8" s="1065">
        <v>2054595851</v>
      </c>
      <c r="W8" s="1065">
        <v>3580698439</v>
      </c>
      <c r="X8" s="1065">
        <v>1546822925</v>
      </c>
      <c r="Y8" s="1065">
        <v>1200545372</v>
      </c>
      <c r="Z8" s="1065">
        <v>2255500152</v>
      </c>
      <c r="AA8" s="1065">
        <v>3332773409</v>
      </c>
      <c r="AB8" s="1065">
        <v>3711675673</v>
      </c>
      <c r="AC8" s="1065">
        <v>2848040944</v>
      </c>
      <c r="AD8" s="1065">
        <v>3307754343</v>
      </c>
      <c r="AE8" s="1065">
        <v>3337579402</v>
      </c>
      <c r="AF8" s="1065">
        <v>2990028460</v>
      </c>
      <c r="AG8" s="1065">
        <v>1792827842</v>
      </c>
      <c r="AH8" s="1065">
        <v>4820979575</v>
      </c>
      <c r="AI8" s="1065">
        <v>4480998265</v>
      </c>
      <c r="AJ8" s="1065">
        <v>7108693108</v>
      </c>
      <c r="AK8" s="1065">
        <v>4266839048</v>
      </c>
      <c r="AL8" s="1065">
        <v>4693525329</v>
      </c>
      <c r="AM8" s="1065">
        <v>5981586887</v>
      </c>
      <c r="AN8" s="1065">
        <v>8317318962</v>
      </c>
      <c r="AO8" s="1065">
        <v>5733423886</v>
      </c>
      <c r="AP8" s="1065">
        <v>13219229087</v>
      </c>
      <c r="AQ8" s="1080">
        <v>12694697550</v>
      </c>
      <c r="AR8" s="1081"/>
      <c r="AS8" s="1065">
        <v>26514261361</v>
      </c>
      <c r="AT8" s="1065">
        <v>15859736765</v>
      </c>
      <c r="AU8" s="1065">
        <v>22011806531</v>
      </c>
      <c r="AV8" s="1065">
        <v>13332047639</v>
      </c>
      <c r="AW8" s="1065">
        <v>13327447319</v>
      </c>
      <c r="AX8" s="1065">
        <v>8382662587</v>
      </c>
      <c r="AY8" s="1065">
        <v>12147990178</v>
      </c>
      <c r="AZ8" s="1065">
        <v>11428190047</v>
      </c>
      <c r="BA8" s="1065">
        <v>20677509996</v>
      </c>
      <c r="BB8" s="1065">
        <v>24725855064</v>
      </c>
      <c r="BC8" s="1065">
        <v>10675112216</v>
      </c>
      <c r="BD8" s="1065">
        <v>25913926637</v>
      </c>
    </row>
    <row r="9" spans="1:56">
      <c r="A9" s="1079" t="s">
        <v>1013</v>
      </c>
      <c r="B9" s="1065">
        <v>942037451</v>
      </c>
      <c r="C9" s="1065">
        <v>933132677</v>
      </c>
      <c r="D9" s="1065">
        <v>1712766965</v>
      </c>
      <c r="E9" s="1065">
        <v>992393151</v>
      </c>
      <c r="F9" s="1065">
        <v>1111680695</v>
      </c>
      <c r="G9" s="1065">
        <v>1189897465</v>
      </c>
      <c r="H9" s="1065">
        <v>1303998436</v>
      </c>
      <c r="I9" s="1065">
        <v>1185841217</v>
      </c>
      <c r="J9" s="1065">
        <v>1282929139</v>
      </c>
      <c r="K9" s="1065">
        <v>1416523125</v>
      </c>
      <c r="L9" s="1065">
        <v>1602074365</v>
      </c>
      <c r="M9" s="1065">
        <v>1427886222</v>
      </c>
      <c r="N9" s="1065">
        <v>1619246461</v>
      </c>
      <c r="O9" s="1065">
        <v>1829689728</v>
      </c>
      <c r="P9" s="1065">
        <v>1809840302</v>
      </c>
      <c r="Q9" s="1065">
        <v>1687361701</v>
      </c>
      <c r="R9" s="1065">
        <v>1638095811</v>
      </c>
      <c r="S9" s="1065">
        <v>1358337837</v>
      </c>
      <c r="T9" s="1065">
        <v>1395715363</v>
      </c>
      <c r="U9" s="1065">
        <v>1530090219</v>
      </c>
      <c r="V9" s="1065">
        <v>1704038399</v>
      </c>
      <c r="W9" s="1065">
        <v>1711206975</v>
      </c>
      <c r="X9" s="1065">
        <v>1772767202</v>
      </c>
      <c r="Y9" s="1065">
        <v>2321741122</v>
      </c>
      <c r="Z9" s="1065">
        <v>2013565035</v>
      </c>
      <c r="AA9" s="1065">
        <v>1941687892</v>
      </c>
      <c r="AB9" s="1065">
        <v>1755891243</v>
      </c>
      <c r="AC9" s="1065">
        <v>1616983505</v>
      </c>
      <c r="AD9" s="1065">
        <v>1859191365</v>
      </c>
      <c r="AE9" s="1065">
        <v>1578944849</v>
      </c>
      <c r="AF9" s="1065">
        <v>1582499706</v>
      </c>
      <c r="AG9" s="1065">
        <v>1642211672</v>
      </c>
      <c r="AH9" s="1065">
        <v>1759764866</v>
      </c>
      <c r="AI9" s="1065">
        <v>1834990364</v>
      </c>
      <c r="AJ9" s="1065">
        <v>1865628893</v>
      </c>
      <c r="AK9" s="1065">
        <v>1894089236</v>
      </c>
      <c r="AL9" s="1065">
        <v>2056978991</v>
      </c>
      <c r="AM9" s="1065">
        <v>2266011268</v>
      </c>
      <c r="AN9" s="1065">
        <v>2612820296</v>
      </c>
      <c r="AO9" s="1065">
        <v>2726848118</v>
      </c>
      <c r="AP9" s="1065">
        <v>3220884343</v>
      </c>
      <c r="AQ9" s="1080">
        <v>3504353162</v>
      </c>
      <c r="AR9" s="1081"/>
      <c r="AS9" s="1065">
        <v>4580330244</v>
      </c>
      <c r="AT9" s="1065">
        <v>4791417813</v>
      </c>
      <c r="AU9" s="1065">
        <v>5729412851</v>
      </c>
      <c r="AV9" s="1065">
        <v>6946138192</v>
      </c>
      <c r="AW9" s="1065">
        <v>5922239230</v>
      </c>
      <c r="AX9" s="1065">
        <v>7509753698</v>
      </c>
      <c r="AY9" s="1065">
        <v>7328127675</v>
      </c>
      <c r="AZ9" s="1065">
        <v>6662847592</v>
      </c>
      <c r="BA9" s="1065">
        <v>7354473359</v>
      </c>
      <c r="BB9" s="1065">
        <v>9662658673</v>
      </c>
      <c r="BC9" s="1065">
        <v>4322990259</v>
      </c>
      <c r="BD9" s="1065">
        <v>6725237505</v>
      </c>
    </row>
    <row r="10" spans="1:56">
      <c r="A10" s="1079" t="s">
        <v>1014</v>
      </c>
      <c r="B10" s="1065">
        <v>378566990</v>
      </c>
      <c r="C10" s="1065">
        <v>338379522</v>
      </c>
      <c r="D10" s="1065">
        <v>313133087</v>
      </c>
      <c r="E10" s="1065">
        <v>327634650</v>
      </c>
      <c r="F10" s="1065">
        <v>781591363</v>
      </c>
      <c r="G10" s="1065">
        <v>476212221</v>
      </c>
      <c r="H10" s="1065">
        <v>681794398</v>
      </c>
      <c r="I10" s="1065">
        <v>801059467</v>
      </c>
      <c r="J10" s="1065">
        <v>1295341192</v>
      </c>
      <c r="K10" s="1065">
        <v>957107908</v>
      </c>
      <c r="L10" s="1065">
        <v>782110458</v>
      </c>
      <c r="M10" s="1065">
        <v>502365639</v>
      </c>
      <c r="N10" s="1065">
        <v>529778439</v>
      </c>
      <c r="O10" s="1065">
        <v>537816529</v>
      </c>
      <c r="P10" s="1065">
        <v>515714736</v>
      </c>
      <c r="Q10" s="1065">
        <v>996719372</v>
      </c>
      <c r="R10" s="1065">
        <v>782754601</v>
      </c>
      <c r="S10" s="1065">
        <v>988754021</v>
      </c>
      <c r="T10" s="1065">
        <v>1900369354</v>
      </c>
      <c r="U10" s="1065">
        <v>6512097677</v>
      </c>
      <c r="V10" s="1065">
        <v>5685813504</v>
      </c>
      <c r="W10" s="1065">
        <v>4332284248</v>
      </c>
      <c r="X10" s="1065">
        <v>3716109195</v>
      </c>
      <c r="Y10" s="1065">
        <v>4741674371</v>
      </c>
      <c r="Z10" s="1065">
        <v>3659726913</v>
      </c>
      <c r="AA10" s="1065">
        <v>2344890734</v>
      </c>
      <c r="AB10" s="1065">
        <v>1997934791</v>
      </c>
      <c r="AC10" s="1065">
        <v>1922383620</v>
      </c>
      <c r="AD10" s="1065">
        <v>2181360704</v>
      </c>
      <c r="AE10" s="1065">
        <v>2981372348</v>
      </c>
      <c r="AF10" s="1065">
        <v>3805161743</v>
      </c>
      <c r="AG10" s="1065">
        <v>4384579404</v>
      </c>
      <c r="AH10" s="1065">
        <v>3621943447</v>
      </c>
      <c r="AI10" s="1065">
        <v>5864829817</v>
      </c>
      <c r="AJ10" s="1065">
        <v>4401162502</v>
      </c>
      <c r="AK10" s="1065">
        <v>8243149303</v>
      </c>
      <c r="AL10" s="1065">
        <v>6370964791</v>
      </c>
      <c r="AM10" s="1065">
        <v>6507394645</v>
      </c>
      <c r="AN10" s="1065">
        <v>9259945049</v>
      </c>
      <c r="AO10" s="1065">
        <v>19374219795</v>
      </c>
      <c r="AP10" s="1065">
        <v>19352723980</v>
      </c>
      <c r="AQ10" s="1080">
        <v>35634358535</v>
      </c>
      <c r="AR10" s="1081"/>
      <c r="AS10" s="1065">
        <v>1357714249</v>
      </c>
      <c r="AT10" s="1065">
        <v>2740657449</v>
      </c>
      <c r="AU10" s="1065">
        <v>3536925197</v>
      </c>
      <c r="AV10" s="1065">
        <v>2580029076</v>
      </c>
      <c r="AW10" s="1065">
        <v>10183975653</v>
      </c>
      <c r="AX10" s="1065">
        <v>18475881318</v>
      </c>
      <c r="AY10" s="1065">
        <v>9924936058</v>
      </c>
      <c r="AZ10" s="1065">
        <v>13352474199</v>
      </c>
      <c r="BA10" s="1065">
        <v>22131085069</v>
      </c>
      <c r="BB10" s="1065">
        <v>41512524280</v>
      </c>
      <c r="BC10" s="1065">
        <v>12878359436</v>
      </c>
      <c r="BD10" s="1065">
        <v>54987082515</v>
      </c>
    </row>
    <row r="11" spans="1:56">
      <c r="A11" s="1079" t="s">
        <v>1015</v>
      </c>
      <c r="B11" s="1065">
        <v>23606311525</v>
      </c>
      <c r="C11" s="1065">
        <v>53550725028</v>
      </c>
      <c r="D11" s="1065">
        <v>33638385446</v>
      </c>
      <c r="E11" s="1065">
        <v>24307297763</v>
      </c>
      <c r="F11" s="1065">
        <v>45464227967</v>
      </c>
      <c r="G11" s="1065">
        <v>51146817677</v>
      </c>
      <c r="H11" s="1065">
        <v>40200523477</v>
      </c>
      <c r="I11" s="1065">
        <v>41448642797</v>
      </c>
      <c r="J11" s="1065">
        <v>37405671448</v>
      </c>
      <c r="K11" s="1065">
        <v>48707665273</v>
      </c>
      <c r="L11" s="1065">
        <v>41758604144</v>
      </c>
      <c r="M11" s="1065">
        <v>56798900203</v>
      </c>
      <c r="N11" s="1065">
        <v>47777781439</v>
      </c>
      <c r="O11" s="1065">
        <v>66018615711</v>
      </c>
      <c r="P11" s="1065">
        <v>39347864209</v>
      </c>
      <c r="Q11" s="1065">
        <v>65142700074</v>
      </c>
      <c r="R11" s="1065">
        <v>101893540899</v>
      </c>
      <c r="S11" s="1065">
        <v>54923072375</v>
      </c>
      <c r="T11" s="1065">
        <v>55365818490</v>
      </c>
      <c r="U11" s="1065">
        <v>73569658539</v>
      </c>
      <c r="V11" s="1065">
        <v>76105121777</v>
      </c>
      <c r="W11" s="1065">
        <v>102108370892</v>
      </c>
      <c r="X11" s="1065">
        <v>79537419917</v>
      </c>
      <c r="Y11" s="1065">
        <v>69603253267</v>
      </c>
      <c r="Z11" s="1065">
        <v>78534172035</v>
      </c>
      <c r="AA11" s="1065">
        <v>123549614664</v>
      </c>
      <c r="AB11" s="1065">
        <v>84070101777</v>
      </c>
      <c r="AC11" s="1065">
        <v>69689665167</v>
      </c>
      <c r="AD11" s="1065">
        <v>58533619348</v>
      </c>
      <c r="AE11" s="1065">
        <v>82111187192</v>
      </c>
      <c r="AF11" s="1065">
        <v>62499404967</v>
      </c>
      <c r="AG11" s="1065">
        <v>38339714259</v>
      </c>
      <c r="AH11" s="1065">
        <v>41752832179</v>
      </c>
      <c r="AI11" s="1065">
        <v>44913681287</v>
      </c>
      <c r="AJ11" s="1065">
        <v>59283155745</v>
      </c>
      <c r="AK11" s="1065">
        <v>45508197184</v>
      </c>
      <c r="AL11" s="1065">
        <v>43599866935</v>
      </c>
      <c r="AM11" s="1065">
        <v>52688470496</v>
      </c>
      <c r="AN11" s="1065">
        <v>58677082685</v>
      </c>
      <c r="AO11" s="1065">
        <v>46338477288</v>
      </c>
      <c r="AP11" s="1065">
        <v>35840695669</v>
      </c>
      <c r="AQ11" s="1080">
        <v>33402829337</v>
      </c>
      <c r="AR11" s="1081"/>
      <c r="AS11" s="1065">
        <v>135102719762</v>
      </c>
      <c r="AT11" s="1065">
        <v>178260211918</v>
      </c>
      <c r="AU11" s="1065">
        <v>184670841068</v>
      </c>
      <c r="AV11" s="1065">
        <v>218286961433</v>
      </c>
      <c r="AW11" s="1065">
        <v>285752090303</v>
      </c>
      <c r="AX11" s="1065">
        <v>327354165853</v>
      </c>
      <c r="AY11" s="1065">
        <v>355843553643</v>
      </c>
      <c r="AZ11" s="1065">
        <v>241483925766</v>
      </c>
      <c r="BA11" s="1065">
        <v>191457866395</v>
      </c>
      <c r="BB11" s="1065">
        <v>201303897404</v>
      </c>
      <c r="BC11" s="1065">
        <v>96288337431</v>
      </c>
      <c r="BD11" s="1065">
        <v>69243525006</v>
      </c>
    </row>
    <row r="12" spans="1:56">
      <c r="A12" s="1079" t="s">
        <v>1016</v>
      </c>
      <c r="B12" s="1065">
        <v>921998301</v>
      </c>
      <c r="C12" s="1065">
        <v>624981731</v>
      </c>
      <c r="D12" s="1065">
        <v>648472639</v>
      </c>
      <c r="E12" s="1065">
        <v>921440756</v>
      </c>
      <c r="F12" s="1065">
        <v>977544428</v>
      </c>
      <c r="G12" s="1065">
        <v>745704678</v>
      </c>
      <c r="H12" s="1065">
        <v>974021957</v>
      </c>
      <c r="I12" s="1065">
        <v>681439554</v>
      </c>
      <c r="J12" s="1065">
        <v>988574745</v>
      </c>
      <c r="K12" s="1065">
        <v>750929729</v>
      </c>
      <c r="L12" s="1065">
        <v>862601890</v>
      </c>
      <c r="M12" s="1065">
        <v>530542856</v>
      </c>
      <c r="N12" s="1065">
        <v>894375193</v>
      </c>
      <c r="O12" s="1065">
        <v>421256976</v>
      </c>
      <c r="P12" s="1065">
        <v>579179380</v>
      </c>
      <c r="Q12" s="1065">
        <v>634494165</v>
      </c>
      <c r="R12" s="1065">
        <v>729870567</v>
      </c>
      <c r="S12" s="1065">
        <v>402399147</v>
      </c>
      <c r="T12" s="1065">
        <v>642105093</v>
      </c>
      <c r="U12" s="1065">
        <v>1357955053</v>
      </c>
      <c r="V12" s="1065">
        <v>1004322712</v>
      </c>
      <c r="W12" s="1065">
        <v>1101548689</v>
      </c>
      <c r="X12" s="1065">
        <v>1156334360</v>
      </c>
      <c r="Y12" s="1065">
        <v>1296107413</v>
      </c>
      <c r="Z12" s="1065">
        <v>1473341452</v>
      </c>
      <c r="AA12" s="1065">
        <v>1322152764</v>
      </c>
      <c r="AB12" s="1065">
        <v>1312902374</v>
      </c>
      <c r="AC12" s="1065">
        <v>809134101</v>
      </c>
      <c r="AD12" s="1065">
        <v>1414561064</v>
      </c>
      <c r="AE12" s="1065">
        <v>1359012372</v>
      </c>
      <c r="AF12" s="1065">
        <v>1593972423</v>
      </c>
      <c r="AG12" s="1065">
        <v>1088345533</v>
      </c>
      <c r="AH12" s="1065">
        <v>1201389614</v>
      </c>
      <c r="AI12" s="1065">
        <v>2366079545</v>
      </c>
      <c r="AJ12" s="1065">
        <v>1579265341</v>
      </c>
      <c r="AK12" s="1065">
        <v>1110518693</v>
      </c>
      <c r="AL12" s="1065">
        <v>1176038670</v>
      </c>
      <c r="AM12" s="1065">
        <v>1314117052</v>
      </c>
      <c r="AN12" s="1065">
        <v>1474907985</v>
      </c>
      <c r="AO12" s="1065">
        <v>1503005017</v>
      </c>
      <c r="AP12" s="1065">
        <v>1271546961</v>
      </c>
      <c r="AQ12" s="1080">
        <v>1279273860</v>
      </c>
      <c r="AR12" s="1081"/>
      <c r="AS12" s="1065">
        <v>3116893427</v>
      </c>
      <c r="AT12" s="1065">
        <v>3378710617</v>
      </c>
      <c r="AU12" s="1065">
        <v>3132649220</v>
      </c>
      <c r="AV12" s="1065">
        <v>2529305714</v>
      </c>
      <c r="AW12" s="1065">
        <v>3132329860</v>
      </c>
      <c r="AX12" s="1065">
        <v>4558313174</v>
      </c>
      <c r="AY12" s="1065">
        <v>4917530691</v>
      </c>
      <c r="AZ12" s="1065">
        <v>5455891392</v>
      </c>
      <c r="BA12" s="1065">
        <v>6257253193</v>
      </c>
      <c r="BB12" s="1065">
        <v>5468068724</v>
      </c>
      <c r="BC12" s="1065">
        <v>2490155722</v>
      </c>
      <c r="BD12" s="1065">
        <v>2550820821</v>
      </c>
    </row>
    <row r="13" spans="1:56">
      <c r="A13" s="1079" t="s">
        <v>1017</v>
      </c>
      <c r="B13" s="1065">
        <v>34853680</v>
      </c>
      <c r="C13" s="1065">
        <v>31636697</v>
      </c>
      <c r="D13" s="1065">
        <v>29499707</v>
      </c>
      <c r="E13" s="1065">
        <v>11910680</v>
      </c>
      <c r="F13" s="1065">
        <v>6158329</v>
      </c>
      <c r="G13" s="1065">
        <v>4979966</v>
      </c>
      <c r="H13" s="1065">
        <v>4355872</v>
      </c>
      <c r="I13" s="1065">
        <v>2472328</v>
      </c>
      <c r="J13" s="1065">
        <v>2457535</v>
      </c>
      <c r="K13" s="1065">
        <v>2493150</v>
      </c>
      <c r="L13" s="1065">
        <v>2520548</v>
      </c>
      <c r="M13" s="1065">
        <v>2520548</v>
      </c>
      <c r="N13" s="1065">
        <v>2465753</v>
      </c>
      <c r="O13" s="1065">
        <v>2312329</v>
      </c>
      <c r="P13" s="1065">
        <v>2016438</v>
      </c>
      <c r="Q13" s="1065">
        <v>1227397</v>
      </c>
      <c r="R13" s="1065">
        <v>997261</v>
      </c>
      <c r="S13" s="1065">
        <v>21917</v>
      </c>
      <c r="T13" s="1065">
        <v>0</v>
      </c>
      <c r="U13" s="1065">
        <v>0</v>
      </c>
      <c r="V13" s="1065">
        <v>0</v>
      </c>
      <c r="W13" s="1065">
        <v>0</v>
      </c>
      <c r="X13" s="1065">
        <v>0</v>
      </c>
      <c r="Y13" s="1065">
        <v>0</v>
      </c>
      <c r="Z13" s="1065">
        <v>0</v>
      </c>
      <c r="AA13" s="1065">
        <v>0</v>
      </c>
      <c r="AB13" s="1065">
        <v>0</v>
      </c>
      <c r="AC13" s="1065">
        <v>0</v>
      </c>
      <c r="AD13" s="1065">
        <v>0</v>
      </c>
      <c r="AE13" s="1065">
        <v>0</v>
      </c>
      <c r="AF13" s="1065">
        <v>0</v>
      </c>
      <c r="AG13" s="1065">
        <v>0</v>
      </c>
      <c r="AH13" s="1065">
        <v>0</v>
      </c>
      <c r="AI13" s="1065">
        <v>0</v>
      </c>
      <c r="AJ13" s="1065">
        <v>0</v>
      </c>
      <c r="AK13" s="1065">
        <v>0</v>
      </c>
      <c r="AL13" s="1065">
        <v>0</v>
      </c>
      <c r="AM13" s="1065">
        <v>0</v>
      </c>
      <c r="AN13" s="1065">
        <v>0</v>
      </c>
      <c r="AO13" s="1065">
        <v>0</v>
      </c>
      <c r="AP13" s="1065">
        <v>0</v>
      </c>
      <c r="AQ13" s="1080">
        <v>0</v>
      </c>
      <c r="AR13" s="1081"/>
      <c r="AS13" s="1065">
        <v>107900764</v>
      </c>
      <c r="AT13" s="1065">
        <v>17966495</v>
      </c>
      <c r="AU13" s="1065">
        <v>9991781</v>
      </c>
      <c r="AV13" s="1065">
        <v>8021917</v>
      </c>
      <c r="AW13" s="1065">
        <v>1019178</v>
      </c>
      <c r="AX13" s="1065">
        <v>0</v>
      </c>
      <c r="AY13" s="1065">
        <v>0</v>
      </c>
      <c r="AZ13" s="1065">
        <v>0</v>
      </c>
      <c r="BA13" s="1065">
        <v>0</v>
      </c>
      <c r="BB13" s="1065">
        <v>0</v>
      </c>
      <c r="BC13" s="1065">
        <v>0</v>
      </c>
      <c r="BD13" s="1065">
        <v>0</v>
      </c>
    </row>
    <row r="14" spans="1:56">
      <c r="A14" s="1079" t="s">
        <v>1018</v>
      </c>
      <c r="B14" s="1065">
        <v>14432182565</v>
      </c>
      <c r="C14" s="1065">
        <v>28598962976</v>
      </c>
      <c r="D14" s="1065">
        <v>19336252708</v>
      </c>
      <c r="E14" s="1065">
        <v>37135697679</v>
      </c>
      <c r="F14" s="1065">
        <v>21618032000</v>
      </c>
      <c r="G14" s="1065">
        <v>43181096271</v>
      </c>
      <c r="H14" s="1065">
        <v>37736509492</v>
      </c>
      <c r="I14" s="1065">
        <v>30764663309</v>
      </c>
      <c r="J14" s="1065">
        <v>24708865400</v>
      </c>
      <c r="K14" s="1065">
        <v>30987204450</v>
      </c>
      <c r="L14" s="1065">
        <v>21843825325</v>
      </c>
      <c r="M14" s="1065">
        <v>48935378760</v>
      </c>
      <c r="N14" s="1065">
        <v>40768961469</v>
      </c>
      <c r="O14" s="1065">
        <v>27022728843</v>
      </c>
      <c r="P14" s="1065">
        <v>36827462471</v>
      </c>
      <c r="Q14" s="1065">
        <v>59188487682</v>
      </c>
      <c r="R14" s="1065">
        <v>52392813390</v>
      </c>
      <c r="S14" s="1065">
        <v>44614656711</v>
      </c>
      <c r="T14" s="1065">
        <v>27588990933</v>
      </c>
      <c r="U14" s="1065">
        <v>33532439216</v>
      </c>
      <c r="V14" s="1065">
        <v>51409969817</v>
      </c>
      <c r="W14" s="1065">
        <v>53093681064</v>
      </c>
      <c r="X14" s="1065">
        <v>48218048146</v>
      </c>
      <c r="Y14" s="1065">
        <v>65960204764</v>
      </c>
      <c r="Z14" s="1065">
        <v>61505363580</v>
      </c>
      <c r="AA14" s="1065">
        <v>66469477297</v>
      </c>
      <c r="AB14" s="1065">
        <v>41882527242</v>
      </c>
      <c r="AC14" s="1065">
        <v>43442728001</v>
      </c>
      <c r="AD14" s="1065">
        <v>32111660820</v>
      </c>
      <c r="AE14" s="1065">
        <v>50873224304</v>
      </c>
      <c r="AF14" s="1065">
        <v>71036071979</v>
      </c>
      <c r="AG14" s="1065">
        <v>56278332066</v>
      </c>
      <c r="AH14" s="1065">
        <v>51445349672</v>
      </c>
      <c r="AI14" s="1065">
        <v>44989313954</v>
      </c>
      <c r="AJ14" s="1065">
        <v>43562168195</v>
      </c>
      <c r="AK14" s="1065">
        <v>38227597710</v>
      </c>
      <c r="AL14" s="1065">
        <v>52881505053</v>
      </c>
      <c r="AM14" s="1065">
        <v>57130954443</v>
      </c>
      <c r="AN14" s="1065">
        <v>138841776250</v>
      </c>
      <c r="AO14" s="1065">
        <v>138273752575</v>
      </c>
      <c r="AP14" s="1065">
        <v>77071887855</v>
      </c>
      <c r="AQ14" s="1080">
        <v>94390638749</v>
      </c>
      <c r="AR14" s="1081"/>
      <c r="AS14" s="1065">
        <v>99503095928</v>
      </c>
      <c r="AT14" s="1065">
        <v>133300301072</v>
      </c>
      <c r="AU14" s="1065">
        <v>126475273935</v>
      </c>
      <c r="AV14" s="1065">
        <v>163807640465</v>
      </c>
      <c r="AW14" s="1065">
        <v>158128900250</v>
      </c>
      <c r="AX14" s="1065">
        <v>218681903791</v>
      </c>
      <c r="AY14" s="1065">
        <v>213300096120</v>
      </c>
      <c r="AZ14" s="1065">
        <v>210299289169</v>
      </c>
      <c r="BA14" s="1065">
        <v>178224429531</v>
      </c>
      <c r="BB14" s="1065">
        <v>387127988321</v>
      </c>
      <c r="BC14" s="1065">
        <v>110012459496</v>
      </c>
      <c r="BD14" s="1065">
        <v>171462526604</v>
      </c>
    </row>
    <row r="15" spans="1:56">
      <c r="A15" s="1076" t="s">
        <v>1019</v>
      </c>
      <c r="B15" s="1063">
        <v>113926539454</v>
      </c>
      <c r="C15" s="1063">
        <v>107187251410</v>
      </c>
      <c r="D15" s="1063">
        <v>97083287736</v>
      </c>
      <c r="E15" s="1063">
        <v>180350683474</v>
      </c>
      <c r="F15" s="1063">
        <v>177357165881</v>
      </c>
      <c r="G15" s="1063">
        <v>176750853285</v>
      </c>
      <c r="H15" s="1063">
        <v>197609663713</v>
      </c>
      <c r="I15" s="1063">
        <v>262290251117</v>
      </c>
      <c r="J15" s="1063">
        <v>436347825656</v>
      </c>
      <c r="K15" s="1063">
        <v>323117539562</v>
      </c>
      <c r="L15" s="1063">
        <v>269888096439</v>
      </c>
      <c r="M15" s="1063">
        <v>581454990101</v>
      </c>
      <c r="N15" s="1063">
        <v>356720887168</v>
      </c>
      <c r="O15" s="1063">
        <v>305413174447</v>
      </c>
      <c r="P15" s="1063">
        <v>371410067196</v>
      </c>
      <c r="Q15" s="1063">
        <v>394365374345</v>
      </c>
      <c r="R15" s="1063">
        <v>1691755866795</v>
      </c>
      <c r="S15" s="1063">
        <v>-138500432141</v>
      </c>
      <c r="T15" s="1063">
        <v>428095688152</v>
      </c>
      <c r="U15" s="1063">
        <v>518540099036</v>
      </c>
      <c r="V15" s="1063">
        <v>843637915174</v>
      </c>
      <c r="W15" s="1063">
        <v>484811691307</v>
      </c>
      <c r="X15" s="1063">
        <v>678570590733</v>
      </c>
      <c r="Y15" s="1063">
        <v>606094137636</v>
      </c>
      <c r="Z15" s="1063">
        <v>1087345007550</v>
      </c>
      <c r="AA15" s="1063">
        <v>1098769903689</v>
      </c>
      <c r="AB15" s="1063">
        <v>1242665446551</v>
      </c>
      <c r="AC15" s="1063">
        <v>-9102226269</v>
      </c>
      <c r="AD15" s="1063">
        <v>1220871788705</v>
      </c>
      <c r="AE15" s="1063">
        <v>478161776961</v>
      </c>
      <c r="AF15" s="1063">
        <v>489727010984</v>
      </c>
      <c r="AG15" s="1063">
        <v>1293834352029</v>
      </c>
      <c r="AH15" s="1063">
        <v>963278963895</v>
      </c>
      <c r="AI15" s="1063">
        <v>817279465258</v>
      </c>
      <c r="AJ15" s="1063">
        <v>938889029680</v>
      </c>
      <c r="AK15" s="1063">
        <v>869947582086</v>
      </c>
      <c r="AL15" s="1063">
        <v>996627267042</v>
      </c>
      <c r="AM15" s="1063">
        <v>1049011680318</v>
      </c>
      <c r="AN15" s="1063">
        <v>1156600053937</v>
      </c>
      <c r="AO15" s="1063">
        <v>2208865896016</v>
      </c>
      <c r="AP15" s="1063">
        <v>4014187662904</v>
      </c>
      <c r="AQ15" s="1077">
        <v>6923949239508</v>
      </c>
      <c r="AR15" s="1078"/>
      <c r="AS15" s="1063">
        <v>498547762074</v>
      </c>
      <c r="AT15" s="1063">
        <v>814007933996</v>
      </c>
      <c r="AU15" s="1063">
        <v>1610808451758</v>
      </c>
      <c r="AV15" s="1063">
        <v>1427909503156</v>
      </c>
      <c r="AW15" s="1063">
        <v>2499891221842</v>
      </c>
      <c r="AX15" s="1063">
        <v>2613114334850</v>
      </c>
      <c r="AY15" s="1063">
        <v>3419678131521</v>
      </c>
      <c r="AZ15" s="1063">
        <v>3482594928679</v>
      </c>
      <c r="BA15" s="1063">
        <v>3589395040919</v>
      </c>
      <c r="BB15" s="1063">
        <v>5411104897313</v>
      </c>
      <c r="BC15" s="1063">
        <v>2045638947360</v>
      </c>
      <c r="BD15" s="1063">
        <v>10938136902412</v>
      </c>
    </row>
    <row r="16" spans="1:56">
      <c r="A16" s="1079" t="s">
        <v>1020</v>
      </c>
      <c r="B16" s="1065">
        <v>92522419579</v>
      </c>
      <c r="C16" s="1065">
        <v>93177670615</v>
      </c>
      <c r="D16" s="1065">
        <v>94306790054</v>
      </c>
      <c r="E16" s="1065">
        <v>162692235592</v>
      </c>
      <c r="F16" s="1065">
        <v>133157893864</v>
      </c>
      <c r="G16" s="1065">
        <v>164836511318</v>
      </c>
      <c r="H16" s="1065">
        <v>175430934454</v>
      </c>
      <c r="I16" s="1065">
        <v>251546745603</v>
      </c>
      <c r="J16" s="1065">
        <v>353235383105</v>
      </c>
      <c r="K16" s="1065">
        <v>234973043427</v>
      </c>
      <c r="L16" s="1065">
        <v>323134212680</v>
      </c>
      <c r="M16" s="1065">
        <v>360138037178</v>
      </c>
      <c r="N16" s="1065">
        <v>213033418710</v>
      </c>
      <c r="O16" s="1065">
        <v>282104614238</v>
      </c>
      <c r="P16" s="1065">
        <v>361295863632</v>
      </c>
      <c r="Q16" s="1065">
        <v>339806878715</v>
      </c>
      <c r="R16" s="1065">
        <v>700492135931</v>
      </c>
      <c r="S16" s="1065">
        <v>417015843563</v>
      </c>
      <c r="T16" s="1065">
        <v>477894736249</v>
      </c>
      <c r="U16" s="1065">
        <v>579670087726</v>
      </c>
      <c r="V16" s="1065">
        <v>640611616022</v>
      </c>
      <c r="W16" s="1065">
        <v>456642494719</v>
      </c>
      <c r="X16" s="1065">
        <v>441117929530</v>
      </c>
      <c r="Y16" s="1065">
        <v>631781937699</v>
      </c>
      <c r="Z16" s="1065">
        <v>543957570458</v>
      </c>
      <c r="AA16" s="1065">
        <v>666142946749</v>
      </c>
      <c r="AB16" s="1065">
        <v>595779332524</v>
      </c>
      <c r="AC16" s="1065">
        <v>709984211413</v>
      </c>
      <c r="AD16" s="1065">
        <v>660752448399</v>
      </c>
      <c r="AE16" s="1065">
        <v>467480671878</v>
      </c>
      <c r="AF16" s="1065">
        <v>304684305175</v>
      </c>
      <c r="AG16" s="1065">
        <v>721017767278</v>
      </c>
      <c r="AH16" s="1065">
        <v>512666571137</v>
      </c>
      <c r="AI16" s="1065">
        <v>605159850575</v>
      </c>
      <c r="AJ16" s="1065">
        <v>669827552466</v>
      </c>
      <c r="AK16" s="1065">
        <v>685882121139</v>
      </c>
      <c r="AL16" s="1065">
        <v>539354397580</v>
      </c>
      <c r="AM16" s="1065">
        <v>756079150177</v>
      </c>
      <c r="AN16" s="1065">
        <v>744763263951</v>
      </c>
      <c r="AO16" s="1065">
        <v>1874132613070</v>
      </c>
      <c r="AP16" s="1065">
        <v>3136506045474</v>
      </c>
      <c r="AQ16" s="1080">
        <v>5970256450551</v>
      </c>
      <c r="AR16" s="1081"/>
      <c r="AS16" s="1065">
        <v>442699115840</v>
      </c>
      <c r="AT16" s="1065">
        <v>724972085239</v>
      </c>
      <c r="AU16" s="1065">
        <v>1271480676390</v>
      </c>
      <c r="AV16" s="1065">
        <v>1196240775295</v>
      </c>
      <c r="AW16" s="1065">
        <v>2175072803469</v>
      </c>
      <c r="AX16" s="1065">
        <v>2170153977970</v>
      </c>
      <c r="AY16" s="1065">
        <v>2515864061144</v>
      </c>
      <c r="AZ16" s="1065">
        <v>2153935192730</v>
      </c>
      <c r="BA16" s="1065">
        <v>2473536095317</v>
      </c>
      <c r="BB16" s="1065">
        <v>3914329424778</v>
      </c>
      <c r="BC16" s="1065">
        <v>1295433547757</v>
      </c>
      <c r="BD16" s="1065">
        <v>9106762496025</v>
      </c>
    </row>
    <row r="17" spans="1:56">
      <c r="A17" s="1079" t="s">
        <v>1021</v>
      </c>
      <c r="B17" s="1065">
        <v>16530772034</v>
      </c>
      <c r="C17" s="1065">
        <v>6631394484</v>
      </c>
      <c r="D17" s="1065">
        <v>-3697359884</v>
      </c>
      <c r="E17" s="1065">
        <v>10188280398</v>
      </c>
      <c r="F17" s="1065">
        <v>35816949611</v>
      </c>
      <c r="G17" s="1065">
        <v>3111794108</v>
      </c>
      <c r="H17" s="1065">
        <v>-4317611448</v>
      </c>
      <c r="I17" s="1065">
        <v>10157065578</v>
      </c>
      <c r="J17" s="1065">
        <v>48230967591</v>
      </c>
      <c r="K17" s="1065">
        <v>84485603308</v>
      </c>
      <c r="L17" s="1065">
        <v>-30224353955</v>
      </c>
      <c r="M17" s="1065">
        <v>2185546602</v>
      </c>
      <c r="N17" s="1065">
        <v>142222512005</v>
      </c>
      <c r="O17" s="1065">
        <v>21379681886</v>
      </c>
      <c r="P17" s="1065">
        <v>5124443873</v>
      </c>
      <c r="Q17" s="1065">
        <v>48605326170</v>
      </c>
      <c r="R17" s="1065">
        <v>179738993259</v>
      </c>
      <c r="S17" s="1065">
        <v>-32410123300</v>
      </c>
      <c r="T17" s="1065">
        <v>49257364366</v>
      </c>
      <c r="U17" s="1065">
        <v>71422997194</v>
      </c>
      <c r="V17" s="1065">
        <v>200940488157</v>
      </c>
      <c r="W17" s="1065">
        <v>29242238524</v>
      </c>
      <c r="X17" s="1065">
        <v>124906138685</v>
      </c>
      <c r="Y17" s="1065">
        <v>-24673249777</v>
      </c>
      <c r="Z17" s="1065">
        <v>342514617118</v>
      </c>
      <c r="AA17" s="1065">
        <v>212227621415</v>
      </c>
      <c r="AB17" s="1065">
        <v>185103025568</v>
      </c>
      <c r="AC17" s="1065">
        <v>-320842622754</v>
      </c>
      <c r="AD17" s="1065">
        <v>544717002489</v>
      </c>
      <c r="AE17" s="1065">
        <v>-40590869702</v>
      </c>
      <c r="AF17" s="1065">
        <v>82266129062</v>
      </c>
      <c r="AG17" s="1065">
        <v>442717696902</v>
      </c>
      <c r="AH17" s="1065">
        <v>359125192432</v>
      </c>
      <c r="AI17" s="1065">
        <v>180686862250</v>
      </c>
      <c r="AJ17" s="1065">
        <v>220385583269</v>
      </c>
      <c r="AK17" s="1065">
        <v>127870791386</v>
      </c>
      <c r="AL17" s="1065">
        <v>411423335356</v>
      </c>
      <c r="AM17" s="1065">
        <v>205989930859</v>
      </c>
      <c r="AN17" s="1065">
        <v>428121140662</v>
      </c>
      <c r="AO17" s="1065">
        <v>277535029253</v>
      </c>
      <c r="AP17" s="1065">
        <v>822488276358</v>
      </c>
      <c r="AQ17" s="1080">
        <v>923384968700</v>
      </c>
      <c r="AR17" s="1081"/>
      <c r="AS17" s="1065">
        <v>29653087032</v>
      </c>
      <c r="AT17" s="1065">
        <v>44768197849</v>
      </c>
      <c r="AU17" s="1065">
        <v>104677763546</v>
      </c>
      <c r="AV17" s="1065">
        <v>217331963934</v>
      </c>
      <c r="AW17" s="1065">
        <v>268009231519</v>
      </c>
      <c r="AX17" s="1065">
        <v>330415615589</v>
      </c>
      <c r="AY17" s="1065">
        <v>419002641347</v>
      </c>
      <c r="AZ17" s="1065">
        <v>1029109958751</v>
      </c>
      <c r="BA17" s="1065">
        <v>888068429337</v>
      </c>
      <c r="BB17" s="1065">
        <v>1323069436130</v>
      </c>
      <c r="BC17" s="1065">
        <v>617413266215</v>
      </c>
      <c r="BD17" s="1065">
        <v>1745873245058</v>
      </c>
    </row>
    <row r="18" spans="1:56">
      <c r="A18" s="1079" t="s">
        <v>1022</v>
      </c>
      <c r="B18" s="1065">
        <v>39428352</v>
      </c>
      <c r="C18" s="1065">
        <v>1177722622</v>
      </c>
      <c r="D18" s="1065">
        <v>64287827</v>
      </c>
      <c r="E18" s="1065">
        <v>1215333</v>
      </c>
      <c r="F18" s="1065">
        <v>262163056</v>
      </c>
      <c r="G18" s="1065">
        <v>12155636</v>
      </c>
      <c r="H18" s="1065">
        <v>3217804688</v>
      </c>
      <c r="I18" s="1065">
        <v>1737655510</v>
      </c>
      <c r="J18" s="1065">
        <v>11270854</v>
      </c>
      <c r="K18" s="1065">
        <v>626550602</v>
      </c>
      <c r="L18" s="1065">
        <v>99102881</v>
      </c>
      <c r="M18" s="1065">
        <v>1346168111</v>
      </c>
      <c r="N18" s="1065">
        <v>364176120</v>
      </c>
      <c r="O18" s="1065">
        <v>1363630240</v>
      </c>
      <c r="P18" s="1065">
        <v>2134688826</v>
      </c>
      <c r="Q18" s="1065">
        <v>1972160123</v>
      </c>
      <c r="R18" s="1065">
        <v>16511395397</v>
      </c>
      <c r="S18" s="1065">
        <v>3914061799</v>
      </c>
      <c r="T18" s="1065">
        <v>5004349168</v>
      </c>
      <c r="U18" s="1065">
        <v>17863512280</v>
      </c>
      <c r="V18" s="1065">
        <v>367219657</v>
      </c>
      <c r="W18" s="1065">
        <v>71008393</v>
      </c>
      <c r="X18" s="1065">
        <v>718065046</v>
      </c>
      <c r="Y18" s="1065">
        <v>1051974945</v>
      </c>
      <c r="Z18" s="1065">
        <v>980626251</v>
      </c>
      <c r="AA18" s="1065">
        <v>7096539093</v>
      </c>
      <c r="AB18" s="1065">
        <v>25522175121</v>
      </c>
      <c r="AC18" s="1065">
        <v>3524030574</v>
      </c>
      <c r="AD18" s="1065">
        <v>3253784483</v>
      </c>
      <c r="AE18" s="1065">
        <v>4436328744</v>
      </c>
      <c r="AF18" s="1065">
        <v>18693407219</v>
      </c>
      <c r="AG18" s="1065">
        <v>25969206509</v>
      </c>
      <c r="AH18" s="1065">
        <v>47763495900</v>
      </c>
      <c r="AI18" s="1065">
        <v>52939917076</v>
      </c>
      <c r="AJ18" s="1065">
        <v>30254924150</v>
      </c>
      <c r="AK18" s="1065">
        <v>27474186117</v>
      </c>
      <c r="AL18" s="1065">
        <v>26870219458</v>
      </c>
      <c r="AM18" s="1065">
        <v>63056545901</v>
      </c>
      <c r="AN18" s="1065">
        <v>10803608730</v>
      </c>
      <c r="AO18" s="1065">
        <v>20559129018</v>
      </c>
      <c r="AP18" s="1065">
        <v>13368073664</v>
      </c>
      <c r="AQ18" s="1080">
        <v>47757622717</v>
      </c>
      <c r="AR18" s="1081"/>
      <c r="AS18" s="1065">
        <v>1282654134</v>
      </c>
      <c r="AT18" s="1065">
        <v>5229778890</v>
      </c>
      <c r="AU18" s="1065">
        <v>2083092448</v>
      </c>
      <c r="AV18" s="1065">
        <v>5834655309</v>
      </c>
      <c r="AW18" s="1065">
        <v>43293318644</v>
      </c>
      <c r="AX18" s="1065">
        <v>2208268041</v>
      </c>
      <c r="AY18" s="1065">
        <v>37123371039</v>
      </c>
      <c r="AZ18" s="1065">
        <v>52352726955</v>
      </c>
      <c r="BA18" s="1065">
        <v>158432523243</v>
      </c>
      <c r="BB18" s="1065">
        <v>121289503107</v>
      </c>
      <c r="BC18" s="1065">
        <v>89926765359</v>
      </c>
      <c r="BD18" s="1065">
        <v>61125696381</v>
      </c>
    </row>
    <row r="19" spans="1:56">
      <c r="A19" s="1079" t="s">
        <v>1023</v>
      </c>
      <c r="B19" s="1065">
        <v>3035083601</v>
      </c>
      <c r="C19" s="1065">
        <v>96885664</v>
      </c>
      <c r="D19" s="1065">
        <v>3237516503</v>
      </c>
      <c r="E19" s="1065">
        <v>-161179888</v>
      </c>
      <c r="F19" s="1065">
        <v>6113708228</v>
      </c>
      <c r="G19" s="1065">
        <v>5975185309</v>
      </c>
      <c r="H19" s="1065">
        <v>22258978670</v>
      </c>
      <c r="I19" s="1065">
        <v>-4037521176</v>
      </c>
      <c r="J19" s="1065">
        <v>32960880759</v>
      </c>
      <c r="K19" s="1065">
        <v>2816956362</v>
      </c>
      <c r="L19" s="1065">
        <v>-23185699100</v>
      </c>
      <c r="M19" s="1065">
        <v>215358747236</v>
      </c>
      <c r="N19" s="1065">
        <v>783094328</v>
      </c>
      <c r="O19" s="1065">
        <v>550209456</v>
      </c>
      <c r="P19" s="1065">
        <v>1716568545</v>
      </c>
      <c r="Q19" s="1065">
        <v>2680993903</v>
      </c>
      <c r="R19" s="1065">
        <v>794816447838</v>
      </c>
      <c r="S19" s="1065">
        <v>-527017018114</v>
      </c>
      <c r="T19" s="1065">
        <v>-104068649094</v>
      </c>
      <c r="U19" s="1065">
        <v>-150673504907</v>
      </c>
      <c r="V19" s="1065">
        <v>1718571238</v>
      </c>
      <c r="W19" s="1065">
        <v>-1150489939</v>
      </c>
      <c r="X19" s="1065">
        <v>111822586466</v>
      </c>
      <c r="Y19" s="1065">
        <v>-3662199938</v>
      </c>
      <c r="Z19" s="1065">
        <v>199768557018</v>
      </c>
      <c r="AA19" s="1065">
        <v>213302782532</v>
      </c>
      <c r="AB19" s="1065">
        <v>431663922697</v>
      </c>
      <c r="AC19" s="1065">
        <v>-401878882664</v>
      </c>
      <c r="AD19" s="1065">
        <v>2342766641</v>
      </c>
      <c r="AE19" s="1065">
        <v>36836511301</v>
      </c>
      <c r="AF19" s="1065">
        <v>84075101122</v>
      </c>
      <c r="AG19" s="1065">
        <v>104663958737</v>
      </c>
      <c r="AH19" s="1065">
        <v>35377962373</v>
      </c>
      <c r="AI19" s="1065">
        <v>-23205525881</v>
      </c>
      <c r="AJ19" s="1065">
        <v>-897848344</v>
      </c>
      <c r="AK19" s="1065">
        <v>24827049835</v>
      </c>
      <c r="AL19" s="1065">
        <v>17927355361</v>
      </c>
      <c r="AM19" s="1065">
        <v>24092985798</v>
      </c>
      <c r="AN19" s="1065">
        <v>-29391614493</v>
      </c>
      <c r="AO19" s="1065">
        <v>36762705852</v>
      </c>
      <c r="AP19" s="1065">
        <v>41014017364</v>
      </c>
      <c r="AQ19" s="1080">
        <v>-17510557069</v>
      </c>
      <c r="AR19" s="1081"/>
      <c r="AS19" s="1065">
        <v>6208305880</v>
      </c>
      <c r="AT19" s="1065">
        <v>30310351031</v>
      </c>
      <c r="AU19" s="1065">
        <v>227950885257</v>
      </c>
      <c r="AV19" s="1065">
        <v>5730866232</v>
      </c>
      <c r="AW19" s="1065">
        <v>13057275723</v>
      </c>
      <c r="AX19" s="1065">
        <v>108728467827</v>
      </c>
      <c r="AY19" s="1065">
        <v>442856379583</v>
      </c>
      <c r="AZ19" s="1065">
        <v>227918337801</v>
      </c>
      <c r="BA19" s="1065">
        <v>36101637983</v>
      </c>
      <c r="BB19" s="1065">
        <v>49391432518</v>
      </c>
      <c r="BC19" s="1065">
        <v>42020341159</v>
      </c>
      <c r="BD19" s="1065">
        <v>23503460295</v>
      </c>
    </row>
    <row r="20" spans="1:56">
      <c r="A20" s="1079" t="s">
        <v>1024</v>
      </c>
      <c r="B20" s="1065">
        <v>1798834388</v>
      </c>
      <c r="C20" s="1065">
        <v>6100563325</v>
      </c>
      <c r="D20" s="1065">
        <v>3169052036</v>
      </c>
      <c r="E20" s="1065">
        <v>7630126939</v>
      </c>
      <c r="F20" s="1065">
        <v>2006442622</v>
      </c>
      <c r="G20" s="1065">
        <v>2814204514</v>
      </c>
      <c r="H20" s="1065">
        <v>1019552249</v>
      </c>
      <c r="I20" s="1065">
        <v>2886294314</v>
      </c>
      <c r="J20" s="1065">
        <v>0</v>
      </c>
      <c r="K20" s="1065">
        <v>0</v>
      </c>
      <c r="L20" s="1065">
        <v>0</v>
      </c>
      <c r="M20" s="1065">
        <v>0</v>
      </c>
      <c r="N20" s="1065">
        <v>0</v>
      </c>
      <c r="O20" s="1065">
        <v>0</v>
      </c>
      <c r="P20" s="1065">
        <v>0</v>
      </c>
      <c r="Q20" s="1065">
        <v>832446</v>
      </c>
      <c r="R20" s="1065">
        <v>0</v>
      </c>
      <c r="S20" s="1065">
        <v>5640959</v>
      </c>
      <c r="T20" s="1065">
        <v>14489186</v>
      </c>
      <c r="U20" s="1065">
        <v>0</v>
      </c>
      <c r="V20" s="1065">
        <v>0</v>
      </c>
      <c r="W20" s="1065">
        <v>6427210</v>
      </c>
      <c r="X20" s="1065">
        <v>5871606</v>
      </c>
      <c r="Y20" s="1065">
        <v>1595636607</v>
      </c>
      <c r="Z20" s="1065">
        <v>123538705</v>
      </c>
      <c r="AA20" s="1065">
        <v>0</v>
      </c>
      <c r="AB20" s="1065">
        <v>4596985641</v>
      </c>
      <c r="AC20" s="1065">
        <v>108582817</v>
      </c>
      <c r="AD20" s="1065">
        <v>8425984836</v>
      </c>
      <c r="AE20" s="1065">
        <v>9038155448</v>
      </c>
      <c r="AF20" s="1065">
        <v>183817172</v>
      </c>
      <c r="AG20" s="1065">
        <v>166426865</v>
      </c>
      <c r="AH20" s="1065">
        <v>5025152458</v>
      </c>
      <c r="AI20" s="1065">
        <v>1725736975</v>
      </c>
      <c r="AJ20" s="1065">
        <v>18992149985</v>
      </c>
      <c r="AK20" s="1065">
        <v>4456662877</v>
      </c>
      <c r="AL20" s="1065">
        <v>810063276</v>
      </c>
      <c r="AM20" s="1065">
        <v>14887194</v>
      </c>
      <c r="AN20" s="1065">
        <v>2151930990</v>
      </c>
      <c r="AO20" s="1065">
        <v>48040226</v>
      </c>
      <c r="AP20" s="1065">
        <v>364453558</v>
      </c>
      <c r="AQ20" s="1080">
        <v>395759631</v>
      </c>
      <c r="AR20" s="1081"/>
      <c r="AS20" s="1065">
        <v>18698576688</v>
      </c>
      <c r="AT20" s="1065">
        <v>8726493699</v>
      </c>
      <c r="AU20" s="1065">
        <v>0</v>
      </c>
      <c r="AV20" s="1065">
        <v>832446</v>
      </c>
      <c r="AW20" s="1065">
        <v>20130145</v>
      </c>
      <c r="AX20" s="1065">
        <v>1607935423</v>
      </c>
      <c r="AY20" s="1065">
        <v>4829107163</v>
      </c>
      <c r="AZ20" s="1065">
        <v>17814384321</v>
      </c>
      <c r="BA20" s="1065">
        <v>30199702295</v>
      </c>
      <c r="BB20" s="1065">
        <v>3024921686</v>
      </c>
      <c r="BC20" s="1065">
        <v>824950470</v>
      </c>
      <c r="BD20" s="1065">
        <v>760213189</v>
      </c>
    </row>
    <row r="21" spans="1:56">
      <c r="A21" s="1079" t="s">
        <v>1025</v>
      </c>
      <c r="B21" s="1065">
        <v>0</v>
      </c>
      <c r="C21" s="1065">
        <v>0</v>
      </c>
      <c r="D21" s="1065">
        <v>0</v>
      </c>
      <c r="E21" s="1065">
        <v>0</v>
      </c>
      <c r="F21" s="1065">
        <v>0</v>
      </c>
      <c r="G21" s="1065">
        <v>0</v>
      </c>
      <c r="H21" s="1065">
        <v>0</v>
      </c>
      <c r="I21" s="1065">
        <v>0</v>
      </c>
      <c r="J21" s="1065">
        <v>1909321047</v>
      </c>
      <c r="K21" s="1065">
        <v>215380463</v>
      </c>
      <c r="L21" s="1065">
        <v>64810733</v>
      </c>
      <c r="M21" s="1065">
        <v>2426470974</v>
      </c>
      <c r="N21" s="1065">
        <v>316670805</v>
      </c>
      <c r="O21" s="1065">
        <v>15010527</v>
      </c>
      <c r="P21" s="1065">
        <v>1138494520</v>
      </c>
      <c r="Q21" s="1065">
        <v>1299172788</v>
      </c>
      <c r="R21" s="1065">
        <v>196884170</v>
      </c>
      <c r="S21" s="1065">
        <v>-8840248</v>
      </c>
      <c r="T21" s="1065">
        <v>-6599823</v>
      </c>
      <c r="U21" s="1065">
        <v>-181444099</v>
      </c>
      <c r="V21" s="1065">
        <v>0</v>
      </c>
      <c r="W21" s="1065">
        <v>0</v>
      </c>
      <c r="X21" s="1065">
        <v>0</v>
      </c>
      <c r="Y21" s="1065">
        <v>0</v>
      </c>
      <c r="Z21" s="1065">
        <v>0</v>
      </c>
      <c r="AA21" s="1065">
        <v>0</v>
      </c>
      <c r="AB21" s="1065">
        <v>0</v>
      </c>
      <c r="AC21" s="1065">
        <v>0</v>
      </c>
      <c r="AD21" s="1065">
        <v>1379779557</v>
      </c>
      <c r="AE21" s="1065">
        <v>960949492</v>
      </c>
      <c r="AF21" s="1065">
        <v>-175760966</v>
      </c>
      <c r="AG21" s="1065">
        <v>-700720562</v>
      </c>
      <c r="AH21" s="1065">
        <v>3320561095</v>
      </c>
      <c r="AI21" s="1065">
        <v>-27401737</v>
      </c>
      <c r="AJ21" s="1065">
        <v>326640754</v>
      </c>
      <c r="AK21" s="1065">
        <v>-563302068</v>
      </c>
      <c r="AL21" s="1065">
        <v>241845711</v>
      </c>
      <c r="AM21" s="1065">
        <v>-241845711</v>
      </c>
      <c r="AN21" s="1065">
        <v>161630997</v>
      </c>
      <c r="AO21" s="1065">
        <v>-161630997</v>
      </c>
      <c r="AP21" s="1065">
        <v>426697580</v>
      </c>
      <c r="AQ21" s="1080">
        <v>-325077022</v>
      </c>
      <c r="AR21" s="1081"/>
      <c r="AS21" s="1065">
        <v>0</v>
      </c>
      <c r="AT21" s="1065">
        <v>0</v>
      </c>
      <c r="AU21" s="1065">
        <v>4615983217</v>
      </c>
      <c r="AV21" s="1065">
        <v>2769348640</v>
      </c>
      <c r="AW21" s="1065">
        <v>0</v>
      </c>
      <c r="AX21" s="1065">
        <v>0</v>
      </c>
      <c r="AY21" s="1065">
        <v>0</v>
      </c>
      <c r="AZ21" s="1065">
        <v>1464247521</v>
      </c>
      <c r="BA21" s="1065">
        <v>3056498044</v>
      </c>
      <c r="BB21" s="1065">
        <v>0</v>
      </c>
      <c r="BC21" s="1065">
        <v>0</v>
      </c>
      <c r="BD21" s="1065">
        <v>101620558</v>
      </c>
    </row>
    <row r="22" spans="1:56">
      <c r="A22" s="1079" t="s">
        <v>1026</v>
      </c>
      <c r="B22" s="1065">
        <v>0</v>
      </c>
      <c r="C22" s="1065">
        <v>0</v>
      </c>
      <c r="D22" s="1065">
        <v>0</v>
      </c>
      <c r="E22" s="1065">
        <v>0</v>
      </c>
      <c r="F22" s="1065">
        <v>0</v>
      </c>
      <c r="G22" s="1065">
        <v>0</v>
      </c>
      <c r="H22" s="1065">
        <v>0</v>
      </c>
      <c r="I22" s="1065">
        <v>0</v>
      </c>
      <c r="J22" s="1065">
        <v>0</v>
      </c>
      <c r="K22" s="1065">
        <v>0</v>
      </c>
      <c r="L22" s="1065">
        <v>0</v>
      </c>
      <c r="M22" s="1065">
        <v>0</v>
      </c>
      <c r="N22" s="1065">
        <v>0</v>
      </c>
      <c r="O22" s="1065">
        <v>0</v>
      </c>
      <c r="P22" s="1065">
        <v>0</v>
      </c>
      <c r="Q22" s="1065">
        <v>0</v>
      </c>
      <c r="R22" s="1065">
        <v>0</v>
      </c>
      <c r="S22" s="1065">
        <v>0</v>
      </c>
      <c r="T22" s="1065">
        <v>0</v>
      </c>
      <c r="U22" s="1065">
        <v>0</v>
      </c>
      <c r="V22" s="1065">
        <v>0</v>
      </c>
      <c r="W22" s="1065">
        <v>0</v>
      </c>
      <c r="X22" s="1065">
        <v>0</v>
      </c>
      <c r="Y22" s="1065">
        <v>0</v>
      </c>
      <c r="Z22" s="1065">
        <v>0</v>
      </c>
      <c r="AA22" s="1065">
        <v>0</v>
      </c>
      <c r="AB22" s="1065">
        <v>0</v>
      </c>
      <c r="AC22" s="1065">
        <v>0</v>
      </c>
      <c r="AD22" s="1065">
        <v>0</v>
      </c>
      <c r="AE22" s="1065">
        <v>0</v>
      </c>
      <c r="AF22" s="1065">
        <v>0</v>
      </c>
      <c r="AG22" s="1065">
        <v>0</v>
      </c>
      <c r="AH22" s="1065">
        <v>0</v>
      </c>
      <c r="AI22" s="1065">
        <v>0</v>
      </c>
      <c r="AJ22" s="1065">
        <v>0</v>
      </c>
      <c r="AK22" s="1065">
        <v>0</v>
      </c>
      <c r="AL22" s="1065">
        <v>0</v>
      </c>
      <c r="AM22" s="1065">
        <v>0</v>
      </c>
      <c r="AN22" s="1065">
        <v>0</v>
      </c>
      <c r="AO22" s="1065">
        <v>0</v>
      </c>
      <c r="AP22" s="1065">
        <v>0</v>
      </c>
      <c r="AQ22" s="1080">
        <v>0</v>
      </c>
      <c r="AR22" s="1081"/>
      <c r="AS22" s="1065">
        <v>0</v>
      </c>
      <c r="AT22" s="1065">
        <v>0</v>
      </c>
      <c r="AU22" s="1065">
        <v>0</v>
      </c>
      <c r="AV22" s="1065">
        <v>0</v>
      </c>
      <c r="AW22" s="1065">
        <v>0</v>
      </c>
      <c r="AX22" s="1065">
        <v>0</v>
      </c>
      <c r="AY22" s="1065">
        <v>0</v>
      </c>
      <c r="AZ22" s="1065">
        <v>0</v>
      </c>
      <c r="BA22" s="1065">
        <v>0</v>
      </c>
      <c r="BB22" s="1065">
        <v>0</v>
      </c>
      <c r="BC22" s="1065">
        <v>0</v>
      </c>
      <c r="BD22" s="1065">
        <v>0</v>
      </c>
    </row>
    <row r="23" spans="1:56">
      <c r="A23" s="1079" t="s">
        <v>1027</v>
      </c>
      <c r="B23" s="1065">
        <v>1500</v>
      </c>
      <c r="C23" s="1065">
        <v>3014700</v>
      </c>
      <c r="D23" s="1065">
        <v>3001200</v>
      </c>
      <c r="E23" s="1065">
        <v>5100</v>
      </c>
      <c r="F23" s="1065">
        <v>8500</v>
      </c>
      <c r="G23" s="1065">
        <v>1002400</v>
      </c>
      <c r="H23" s="1065">
        <v>5100</v>
      </c>
      <c r="I23" s="1065">
        <v>11288</v>
      </c>
      <c r="J23" s="1065">
        <v>2300</v>
      </c>
      <c r="K23" s="1065">
        <v>5400</v>
      </c>
      <c r="L23" s="1065">
        <v>23200</v>
      </c>
      <c r="M23" s="1065">
        <v>20000</v>
      </c>
      <c r="N23" s="1065">
        <v>1015200</v>
      </c>
      <c r="O23" s="1065">
        <v>28100</v>
      </c>
      <c r="P23" s="1065">
        <v>7800</v>
      </c>
      <c r="Q23" s="1065">
        <v>10200</v>
      </c>
      <c r="R23" s="1065">
        <v>10200</v>
      </c>
      <c r="S23" s="1065">
        <v>3200</v>
      </c>
      <c r="T23" s="1065">
        <v>-1900</v>
      </c>
      <c r="U23" s="1065">
        <v>438450842</v>
      </c>
      <c r="V23" s="1065">
        <v>20100</v>
      </c>
      <c r="W23" s="1065">
        <v>12400</v>
      </c>
      <c r="X23" s="1065">
        <v>-600</v>
      </c>
      <c r="Y23" s="1065">
        <v>38100</v>
      </c>
      <c r="Z23" s="1065">
        <v>98000</v>
      </c>
      <c r="AA23" s="1065">
        <v>13900</v>
      </c>
      <c r="AB23" s="1065">
        <v>5000</v>
      </c>
      <c r="AC23" s="1065">
        <v>2454345</v>
      </c>
      <c r="AD23" s="1065">
        <v>22300</v>
      </c>
      <c r="AE23" s="1065">
        <v>29800</v>
      </c>
      <c r="AF23" s="1065">
        <v>12200</v>
      </c>
      <c r="AG23" s="1065">
        <v>16300</v>
      </c>
      <c r="AH23" s="1065">
        <v>28500</v>
      </c>
      <c r="AI23" s="1065">
        <v>26000</v>
      </c>
      <c r="AJ23" s="1065">
        <v>27400</v>
      </c>
      <c r="AK23" s="1065">
        <v>72800</v>
      </c>
      <c r="AL23" s="1065">
        <v>50300</v>
      </c>
      <c r="AM23" s="1065">
        <v>20026100</v>
      </c>
      <c r="AN23" s="1065">
        <v>-9906900</v>
      </c>
      <c r="AO23" s="1065">
        <v>-9990406</v>
      </c>
      <c r="AP23" s="1065">
        <v>20098906</v>
      </c>
      <c r="AQ23" s="1080">
        <v>-9928000</v>
      </c>
      <c r="AR23" s="1081"/>
      <c r="AS23" s="1065">
        <v>6022500</v>
      </c>
      <c r="AT23" s="1065">
        <v>1027288</v>
      </c>
      <c r="AU23" s="1065">
        <v>50900</v>
      </c>
      <c r="AV23" s="1065">
        <v>1061300</v>
      </c>
      <c r="AW23" s="1065">
        <v>438462342</v>
      </c>
      <c r="AX23" s="1065">
        <v>70000</v>
      </c>
      <c r="AY23" s="1065">
        <v>2571245</v>
      </c>
      <c r="AZ23" s="1065">
        <v>80600</v>
      </c>
      <c r="BA23" s="1065">
        <v>154700</v>
      </c>
      <c r="BB23" s="1065">
        <v>179094</v>
      </c>
      <c r="BC23" s="1065">
        <v>20076400</v>
      </c>
      <c r="BD23" s="1065">
        <v>10170906</v>
      </c>
    </row>
    <row r="24" spans="1:56">
      <c r="A24" s="1076" t="s">
        <v>1028</v>
      </c>
      <c r="B24" s="1063">
        <v>531348780599</v>
      </c>
      <c r="C24" s="1063">
        <v>539071739426</v>
      </c>
      <c r="D24" s="1063">
        <v>484002379752</v>
      </c>
      <c r="E24" s="1063">
        <v>1005741896672</v>
      </c>
      <c r="F24" s="1063">
        <v>623641776874</v>
      </c>
      <c r="G24" s="1063">
        <v>552210650581</v>
      </c>
      <c r="H24" s="1063">
        <v>702435863926</v>
      </c>
      <c r="I24" s="1063">
        <v>798686466703</v>
      </c>
      <c r="J24" s="1063">
        <v>971385115405</v>
      </c>
      <c r="K24" s="1063">
        <v>971366808399</v>
      </c>
      <c r="L24" s="1063">
        <v>1150291595176</v>
      </c>
      <c r="M24" s="1063">
        <v>1564410924150</v>
      </c>
      <c r="N24" s="1063">
        <v>1801440461520</v>
      </c>
      <c r="O24" s="1063">
        <v>1559250990238</v>
      </c>
      <c r="P24" s="1063">
        <v>1978063576278</v>
      </c>
      <c r="Q24" s="1063">
        <v>2067033842151</v>
      </c>
      <c r="R24" s="1063">
        <v>4178610987523</v>
      </c>
      <c r="S24" s="1063">
        <v>1965032315071</v>
      </c>
      <c r="T24" s="1063">
        <v>1990675334680</v>
      </c>
      <c r="U24" s="1063">
        <v>2383100671214</v>
      </c>
      <c r="V24" s="1063">
        <v>3038344672790</v>
      </c>
      <c r="W24" s="1063">
        <v>3348861246041</v>
      </c>
      <c r="X24" s="1063">
        <v>4140439976957</v>
      </c>
      <c r="Y24" s="1063">
        <v>6283357841135</v>
      </c>
      <c r="Z24" s="1063">
        <v>8454331299629</v>
      </c>
      <c r="AA24" s="1063">
        <v>11844040231942</v>
      </c>
      <c r="AB24" s="1063">
        <v>14604861732970</v>
      </c>
      <c r="AC24" s="1063">
        <v>12765761976802</v>
      </c>
      <c r="AD24" s="1063">
        <v>11988882382141</v>
      </c>
      <c r="AE24" s="1063">
        <v>8416148707071</v>
      </c>
      <c r="AF24" s="1063">
        <v>8149710117610</v>
      </c>
      <c r="AG24" s="1063">
        <v>10083589004665</v>
      </c>
      <c r="AH24" s="1063">
        <v>7414886686833</v>
      </c>
      <c r="AI24" s="1063">
        <v>6286719305295</v>
      </c>
      <c r="AJ24" s="1063">
        <v>5840577281033</v>
      </c>
      <c r="AK24" s="1063">
        <v>6349184991643</v>
      </c>
      <c r="AL24" s="1063">
        <v>2661911690166</v>
      </c>
      <c r="AM24" s="1063">
        <v>2663703123147</v>
      </c>
      <c r="AN24" s="1063">
        <v>1378487981144</v>
      </c>
      <c r="AO24" s="1063">
        <v>2941763102617</v>
      </c>
      <c r="AP24" s="1063">
        <v>5623654580057</v>
      </c>
      <c r="AQ24" s="1077">
        <v>5182909197278</v>
      </c>
      <c r="AR24" s="1078"/>
      <c r="AS24" s="1063">
        <v>2560164796449</v>
      </c>
      <c r="AT24" s="1063">
        <v>2676974758084</v>
      </c>
      <c r="AU24" s="1063">
        <v>4657454443130</v>
      </c>
      <c r="AV24" s="1063">
        <v>7405788870187</v>
      </c>
      <c r="AW24" s="1063">
        <v>10517419308488</v>
      </c>
      <c r="AX24" s="1063">
        <v>16811003736923</v>
      </c>
      <c r="AY24" s="1063">
        <v>47668995241343</v>
      </c>
      <c r="AZ24" s="1063">
        <v>38638330211487</v>
      </c>
      <c r="BA24" s="1063">
        <v>25891368264804</v>
      </c>
      <c r="BB24" s="1063">
        <v>9645865897074</v>
      </c>
      <c r="BC24" s="1063">
        <v>5325614813313</v>
      </c>
      <c r="BD24" s="1063">
        <v>10806563777335</v>
      </c>
    </row>
    <row r="25" spans="1:56">
      <c r="A25" s="1079" t="s">
        <v>1029</v>
      </c>
      <c r="B25" s="1065">
        <v>68674027827</v>
      </c>
      <c r="C25" s="1065">
        <v>72849356961</v>
      </c>
      <c r="D25" s="1065">
        <v>66039506584</v>
      </c>
      <c r="E25" s="1065">
        <v>122660139639</v>
      </c>
      <c r="F25" s="1065">
        <v>72796967949</v>
      </c>
      <c r="G25" s="1065">
        <v>80995140941</v>
      </c>
      <c r="H25" s="1065">
        <v>93608633345</v>
      </c>
      <c r="I25" s="1065">
        <v>111852502454</v>
      </c>
      <c r="J25" s="1065">
        <v>179488820918</v>
      </c>
      <c r="K25" s="1065">
        <v>145851014774</v>
      </c>
      <c r="L25" s="1065">
        <v>134536080645</v>
      </c>
      <c r="M25" s="1065">
        <v>288552839133</v>
      </c>
      <c r="N25" s="1065">
        <v>476968911839</v>
      </c>
      <c r="O25" s="1065">
        <v>183061597376</v>
      </c>
      <c r="P25" s="1065">
        <v>179167787894</v>
      </c>
      <c r="Q25" s="1065">
        <v>198912039404</v>
      </c>
      <c r="R25" s="1065">
        <v>694488727064</v>
      </c>
      <c r="S25" s="1065">
        <v>367033374074</v>
      </c>
      <c r="T25" s="1065">
        <v>327565356885</v>
      </c>
      <c r="U25" s="1065">
        <v>374665088104</v>
      </c>
      <c r="V25" s="1065">
        <v>514340151128</v>
      </c>
      <c r="W25" s="1065">
        <v>383064693399</v>
      </c>
      <c r="X25" s="1065">
        <v>426048131421</v>
      </c>
      <c r="Y25" s="1065">
        <v>448195544593</v>
      </c>
      <c r="Z25" s="1065">
        <v>892543935685</v>
      </c>
      <c r="AA25" s="1065">
        <v>568071887188</v>
      </c>
      <c r="AB25" s="1065">
        <v>792263842837</v>
      </c>
      <c r="AC25" s="1065">
        <v>536390933307</v>
      </c>
      <c r="AD25" s="1065">
        <v>1167080526628</v>
      </c>
      <c r="AE25" s="1065">
        <v>654827147465</v>
      </c>
      <c r="AF25" s="1065">
        <v>384048145991</v>
      </c>
      <c r="AG25" s="1065">
        <v>571670758783</v>
      </c>
      <c r="AH25" s="1065">
        <v>1251676109160</v>
      </c>
      <c r="AI25" s="1065">
        <v>515433737644</v>
      </c>
      <c r="AJ25" s="1065">
        <v>1065321070892</v>
      </c>
      <c r="AK25" s="1065">
        <v>830400350668</v>
      </c>
      <c r="AL25" s="1065">
        <v>1018304848129</v>
      </c>
      <c r="AM25" s="1065">
        <v>1707971499393</v>
      </c>
      <c r="AN25" s="1065">
        <v>930966860087</v>
      </c>
      <c r="AO25" s="1065">
        <v>1155014235951</v>
      </c>
      <c r="AP25" s="1065">
        <v>2426276045937</v>
      </c>
      <c r="AQ25" s="1080">
        <v>3127934694777</v>
      </c>
      <c r="AR25" s="1081"/>
      <c r="AS25" s="1065">
        <v>330223031011</v>
      </c>
      <c r="AT25" s="1065">
        <v>359253244689</v>
      </c>
      <c r="AU25" s="1065">
        <v>748428755470</v>
      </c>
      <c r="AV25" s="1065">
        <v>1038110336513</v>
      </c>
      <c r="AW25" s="1065">
        <v>1763752546127</v>
      </c>
      <c r="AX25" s="1065">
        <v>1771648520541</v>
      </c>
      <c r="AY25" s="1065">
        <v>2789270599017</v>
      </c>
      <c r="AZ25" s="1065">
        <v>2777626578867</v>
      </c>
      <c r="BA25" s="1065">
        <v>3662831268364</v>
      </c>
      <c r="BB25" s="1065">
        <v>4812257443560</v>
      </c>
      <c r="BC25" s="1065">
        <v>2726276347522</v>
      </c>
      <c r="BD25" s="1065">
        <v>5554210740714</v>
      </c>
    </row>
    <row r="26" spans="1:56">
      <c r="A26" s="1079" t="s">
        <v>1030</v>
      </c>
      <c r="B26" s="1065">
        <v>462674752772</v>
      </c>
      <c r="C26" s="1065">
        <v>466222382465</v>
      </c>
      <c r="D26" s="1065">
        <v>417962873168</v>
      </c>
      <c r="E26" s="1065">
        <v>883081757033</v>
      </c>
      <c r="F26" s="1065">
        <v>550844808925</v>
      </c>
      <c r="G26" s="1065">
        <v>471215509640</v>
      </c>
      <c r="H26" s="1065">
        <v>608827230581</v>
      </c>
      <c r="I26" s="1065">
        <v>686833964249</v>
      </c>
      <c r="J26" s="1065">
        <v>791896294487</v>
      </c>
      <c r="K26" s="1065">
        <v>825515793625</v>
      </c>
      <c r="L26" s="1065">
        <v>1015755514531</v>
      </c>
      <c r="M26" s="1065">
        <v>1275858085017</v>
      </c>
      <c r="N26" s="1065">
        <v>1324471549681</v>
      </c>
      <c r="O26" s="1065">
        <v>1376189392862</v>
      </c>
      <c r="P26" s="1065">
        <v>1798895788384</v>
      </c>
      <c r="Q26" s="1065">
        <v>1868121802747</v>
      </c>
      <c r="R26" s="1065">
        <v>3484122260459</v>
      </c>
      <c r="S26" s="1065">
        <v>1597998940997</v>
      </c>
      <c r="T26" s="1065">
        <v>1663109977795</v>
      </c>
      <c r="U26" s="1065">
        <v>2008435583110</v>
      </c>
      <c r="V26" s="1065">
        <v>2524004521662</v>
      </c>
      <c r="W26" s="1065">
        <v>2965796552642</v>
      </c>
      <c r="X26" s="1065">
        <v>3714391845536</v>
      </c>
      <c r="Y26" s="1065">
        <v>5835162296542</v>
      </c>
      <c r="Z26" s="1065">
        <v>7561787363944</v>
      </c>
      <c r="AA26" s="1065">
        <v>11275968344754</v>
      </c>
      <c r="AB26" s="1065">
        <v>13812597890133</v>
      </c>
      <c r="AC26" s="1065">
        <v>12229371043495</v>
      </c>
      <c r="AD26" s="1065">
        <v>10821801855513</v>
      </c>
      <c r="AE26" s="1065">
        <v>7761321559606</v>
      </c>
      <c r="AF26" s="1065">
        <v>7765661971619</v>
      </c>
      <c r="AG26" s="1065">
        <v>9511918245882</v>
      </c>
      <c r="AH26" s="1065">
        <v>6163210577673</v>
      </c>
      <c r="AI26" s="1065">
        <v>5771285567651</v>
      </c>
      <c r="AJ26" s="1065">
        <v>4775256210141</v>
      </c>
      <c r="AK26" s="1065">
        <v>5518784640975</v>
      </c>
      <c r="AL26" s="1065">
        <v>1643606842037</v>
      </c>
      <c r="AM26" s="1065">
        <v>955731623754</v>
      </c>
      <c r="AN26" s="1065">
        <v>447521121057</v>
      </c>
      <c r="AO26" s="1065">
        <v>1786748866666</v>
      </c>
      <c r="AP26" s="1065">
        <v>3197378534120</v>
      </c>
      <c r="AQ26" s="1080">
        <v>2054974502501</v>
      </c>
      <c r="AR26" s="1081"/>
      <c r="AS26" s="1065">
        <v>2229941765438</v>
      </c>
      <c r="AT26" s="1065">
        <v>2317721513395</v>
      </c>
      <c r="AU26" s="1065">
        <v>3909025687660</v>
      </c>
      <c r="AV26" s="1065">
        <v>6367678533674</v>
      </c>
      <c r="AW26" s="1065">
        <v>8753666762361</v>
      </c>
      <c r="AX26" s="1065">
        <v>15039355216382</v>
      </c>
      <c r="AY26" s="1065">
        <v>44879724642326</v>
      </c>
      <c r="AZ26" s="1065">
        <v>35860703632620</v>
      </c>
      <c r="BA26" s="1065">
        <v>22228536996440</v>
      </c>
      <c r="BB26" s="1065">
        <v>4833608453514</v>
      </c>
      <c r="BC26" s="1065">
        <v>2599338465791</v>
      </c>
      <c r="BD26" s="1065">
        <v>5252353036621</v>
      </c>
    </row>
    <row r="27" spans="1:56">
      <c r="A27" s="1076" t="s">
        <v>1031</v>
      </c>
      <c r="B27" s="1063">
        <v>111286438211</v>
      </c>
      <c r="C27" s="1063">
        <v>120706784495</v>
      </c>
      <c r="D27" s="1063">
        <v>121677776937</v>
      </c>
      <c r="E27" s="1063">
        <v>124708756474</v>
      </c>
      <c r="F27" s="1063">
        <v>129269096337.11926</v>
      </c>
      <c r="G27" s="1063">
        <v>170830208065.88074</v>
      </c>
      <c r="H27" s="1063">
        <v>177492498124</v>
      </c>
      <c r="I27" s="1063">
        <v>185291821059</v>
      </c>
      <c r="J27" s="1063">
        <v>203989165875</v>
      </c>
      <c r="K27" s="1063">
        <v>242613087536</v>
      </c>
      <c r="L27" s="1063">
        <v>272611793647</v>
      </c>
      <c r="M27" s="1063">
        <v>324883125762</v>
      </c>
      <c r="N27" s="1063">
        <v>296832157532</v>
      </c>
      <c r="O27" s="1063">
        <v>321475124760</v>
      </c>
      <c r="P27" s="1063">
        <v>318532476430</v>
      </c>
      <c r="Q27" s="1063">
        <v>272641168461</v>
      </c>
      <c r="R27" s="1063">
        <v>306187225296</v>
      </c>
      <c r="S27" s="1063">
        <v>292501160431</v>
      </c>
      <c r="T27" s="1063">
        <v>247812439010</v>
      </c>
      <c r="U27" s="1063">
        <v>253234868047</v>
      </c>
      <c r="V27" s="1063">
        <v>261400539253</v>
      </c>
      <c r="W27" s="1063">
        <v>282623438581</v>
      </c>
      <c r="X27" s="1063">
        <v>296780445074</v>
      </c>
      <c r="Y27" s="1063">
        <v>319611011362</v>
      </c>
      <c r="Z27" s="1063">
        <v>409952417520</v>
      </c>
      <c r="AA27" s="1063">
        <v>403368491960</v>
      </c>
      <c r="AB27" s="1063">
        <v>507171700198</v>
      </c>
      <c r="AC27" s="1063">
        <v>613558464062</v>
      </c>
      <c r="AD27" s="1063">
        <v>547665819672</v>
      </c>
      <c r="AE27" s="1063">
        <v>576872322982</v>
      </c>
      <c r="AF27" s="1063">
        <v>571478362340</v>
      </c>
      <c r="AG27" s="1063">
        <v>590942063647</v>
      </c>
      <c r="AH27" s="1063">
        <v>564132885501</v>
      </c>
      <c r="AI27" s="1063">
        <v>544121785490</v>
      </c>
      <c r="AJ27" s="1063">
        <v>549625017871</v>
      </c>
      <c r="AK27" s="1063">
        <v>607845817434</v>
      </c>
      <c r="AL27" s="1063">
        <v>608819712142</v>
      </c>
      <c r="AM27" s="1063">
        <v>611955497290</v>
      </c>
      <c r="AN27" s="1063">
        <v>578819484808</v>
      </c>
      <c r="AO27" s="1063">
        <v>558283897104</v>
      </c>
      <c r="AP27" s="1063">
        <v>612975235158</v>
      </c>
      <c r="AQ27" s="1077">
        <v>693838377660</v>
      </c>
      <c r="AR27" s="1078"/>
      <c r="AS27" s="1063">
        <v>478379756117</v>
      </c>
      <c r="AT27" s="1063">
        <v>662883623586</v>
      </c>
      <c r="AU27" s="1063">
        <v>1044097172820</v>
      </c>
      <c r="AV27" s="1063">
        <v>1209480927183</v>
      </c>
      <c r="AW27" s="1063">
        <v>1099735692784</v>
      </c>
      <c r="AX27" s="1063">
        <v>1160415434270</v>
      </c>
      <c r="AY27" s="1063">
        <v>1934051073740</v>
      </c>
      <c r="AZ27" s="1063">
        <v>2286958568641</v>
      </c>
      <c r="BA27" s="1063">
        <v>2265725506296</v>
      </c>
      <c r="BB27" s="1063">
        <v>2357878591344</v>
      </c>
      <c r="BC27" s="1063">
        <v>1220775209432</v>
      </c>
      <c r="BD27" s="1063">
        <v>1306813612818</v>
      </c>
    </row>
    <row r="28" spans="1:56">
      <c r="A28" s="1079" t="s">
        <v>1032</v>
      </c>
      <c r="B28" s="1065">
        <v>2901570487</v>
      </c>
      <c r="C28" s="1065">
        <v>2503037459</v>
      </c>
      <c r="D28" s="1065">
        <v>2294162478</v>
      </c>
      <c r="E28" s="1065">
        <v>2546145522</v>
      </c>
      <c r="F28" s="1065">
        <v>2240557774</v>
      </c>
      <c r="G28" s="1065">
        <v>4391752041</v>
      </c>
      <c r="H28" s="1065">
        <v>4775117201</v>
      </c>
      <c r="I28" s="1065">
        <v>3983889698</v>
      </c>
      <c r="J28" s="1065">
        <v>4010468391</v>
      </c>
      <c r="K28" s="1065">
        <v>3556868200</v>
      </c>
      <c r="L28" s="1065">
        <v>5165622114</v>
      </c>
      <c r="M28" s="1065">
        <v>10033408463</v>
      </c>
      <c r="N28" s="1065">
        <v>7875062431</v>
      </c>
      <c r="O28" s="1065">
        <v>6566499266</v>
      </c>
      <c r="P28" s="1065">
        <v>5580619796</v>
      </c>
      <c r="Q28" s="1065">
        <v>4952883177</v>
      </c>
      <c r="R28" s="1065">
        <v>6804090684</v>
      </c>
      <c r="S28" s="1065">
        <v>5708790151</v>
      </c>
      <c r="T28" s="1065">
        <v>3974341375</v>
      </c>
      <c r="U28" s="1065">
        <v>4553683981</v>
      </c>
      <c r="V28" s="1065">
        <v>3966452662</v>
      </c>
      <c r="W28" s="1065">
        <v>3451256860</v>
      </c>
      <c r="X28" s="1065">
        <v>2856508040</v>
      </c>
      <c r="Y28" s="1065">
        <v>6102887685</v>
      </c>
      <c r="Z28" s="1065">
        <v>11637737973</v>
      </c>
      <c r="AA28" s="1065">
        <v>10478300243</v>
      </c>
      <c r="AB28" s="1065">
        <v>17927549404</v>
      </c>
      <c r="AC28" s="1065">
        <v>21695220237</v>
      </c>
      <c r="AD28" s="1065">
        <v>25875760793</v>
      </c>
      <c r="AE28" s="1065">
        <v>19895399007</v>
      </c>
      <c r="AF28" s="1065">
        <v>20084297963</v>
      </c>
      <c r="AG28" s="1065">
        <v>31852284203</v>
      </c>
      <c r="AH28" s="1065">
        <v>30486397275</v>
      </c>
      <c r="AI28" s="1065">
        <v>23683898602</v>
      </c>
      <c r="AJ28" s="1065">
        <v>17624309213</v>
      </c>
      <c r="AK28" s="1065">
        <v>16896132427</v>
      </c>
      <c r="AL28" s="1065">
        <v>17732108994</v>
      </c>
      <c r="AM28" s="1065">
        <v>18535436592</v>
      </c>
      <c r="AN28" s="1065">
        <v>19828419722</v>
      </c>
      <c r="AO28" s="1065">
        <v>28530018253</v>
      </c>
      <c r="AP28" s="1065">
        <v>31624955294</v>
      </c>
      <c r="AQ28" s="1080">
        <v>26335094721</v>
      </c>
      <c r="AR28" s="1081"/>
      <c r="AS28" s="1065">
        <v>10244915946</v>
      </c>
      <c r="AT28" s="1065">
        <v>15391316714</v>
      </c>
      <c r="AU28" s="1065">
        <v>22766367168</v>
      </c>
      <c r="AV28" s="1065">
        <v>24975064670</v>
      </c>
      <c r="AW28" s="1065">
        <v>21040906191</v>
      </c>
      <c r="AX28" s="1065">
        <v>16377105247</v>
      </c>
      <c r="AY28" s="1065">
        <v>61738807857</v>
      </c>
      <c r="AZ28" s="1065">
        <v>97707741966</v>
      </c>
      <c r="BA28" s="1065">
        <v>88690737517</v>
      </c>
      <c r="BB28" s="1065">
        <v>84625983561</v>
      </c>
      <c r="BC28" s="1065">
        <v>36267545586</v>
      </c>
      <c r="BD28" s="1065">
        <v>57960050015</v>
      </c>
    </row>
    <row r="29" spans="1:56">
      <c r="A29" s="1079" t="s">
        <v>1033</v>
      </c>
      <c r="B29" s="1065">
        <v>42236162067</v>
      </c>
      <c r="C29" s="1065">
        <v>43895120760</v>
      </c>
      <c r="D29" s="1065">
        <v>43900474630</v>
      </c>
      <c r="E29" s="1065">
        <v>47265588470</v>
      </c>
      <c r="F29" s="1065">
        <v>45147991103</v>
      </c>
      <c r="G29" s="1065">
        <v>44670621627</v>
      </c>
      <c r="H29" s="1065">
        <v>45329284985</v>
      </c>
      <c r="I29" s="1065">
        <v>42828457717</v>
      </c>
      <c r="J29" s="1065">
        <v>56913796945</v>
      </c>
      <c r="K29" s="1065">
        <v>76334429859</v>
      </c>
      <c r="L29" s="1065">
        <v>87321195764</v>
      </c>
      <c r="M29" s="1065">
        <v>92972776277</v>
      </c>
      <c r="N29" s="1065">
        <v>82491307923</v>
      </c>
      <c r="O29" s="1065">
        <v>97963029300</v>
      </c>
      <c r="P29" s="1065">
        <v>99799805753</v>
      </c>
      <c r="Q29" s="1065">
        <v>101827294439</v>
      </c>
      <c r="R29" s="1065">
        <v>102922543381</v>
      </c>
      <c r="S29" s="1065">
        <v>104498765662</v>
      </c>
      <c r="T29" s="1065">
        <v>86089247474</v>
      </c>
      <c r="U29" s="1065">
        <v>89032901624</v>
      </c>
      <c r="V29" s="1065">
        <v>108052063429</v>
      </c>
      <c r="W29" s="1065">
        <v>113528655597</v>
      </c>
      <c r="X29" s="1065">
        <v>132422428503</v>
      </c>
      <c r="Y29" s="1065">
        <v>128855713343</v>
      </c>
      <c r="Z29" s="1065">
        <v>139160333566</v>
      </c>
      <c r="AA29" s="1065">
        <v>164151843119</v>
      </c>
      <c r="AB29" s="1065">
        <v>187769762809</v>
      </c>
      <c r="AC29" s="1065">
        <v>298945864318</v>
      </c>
      <c r="AD29" s="1065">
        <v>227634224794</v>
      </c>
      <c r="AE29" s="1065">
        <v>235024957619</v>
      </c>
      <c r="AF29" s="1065">
        <v>228734318048</v>
      </c>
      <c r="AG29" s="1065">
        <v>225746162536</v>
      </c>
      <c r="AH29" s="1065">
        <v>217913588335</v>
      </c>
      <c r="AI29" s="1065">
        <v>186193533800</v>
      </c>
      <c r="AJ29" s="1065">
        <v>221408979703</v>
      </c>
      <c r="AK29" s="1065">
        <v>234914623799</v>
      </c>
      <c r="AL29" s="1065">
        <v>236833336863</v>
      </c>
      <c r="AM29" s="1065">
        <v>218484854691</v>
      </c>
      <c r="AN29" s="1065">
        <v>202040811910</v>
      </c>
      <c r="AO29" s="1065">
        <v>222555124533</v>
      </c>
      <c r="AP29" s="1065">
        <v>229822118022</v>
      </c>
      <c r="AQ29" s="1080">
        <v>283905529919</v>
      </c>
      <c r="AR29" s="1081"/>
      <c r="AS29" s="1065">
        <v>177297345927</v>
      </c>
      <c r="AT29" s="1065">
        <v>177976355432</v>
      </c>
      <c r="AU29" s="1065">
        <v>313542198845</v>
      </c>
      <c r="AV29" s="1065">
        <v>382081437415</v>
      </c>
      <c r="AW29" s="1065">
        <v>382543458141</v>
      </c>
      <c r="AX29" s="1065">
        <v>482858860872</v>
      </c>
      <c r="AY29" s="1065">
        <v>790027803812</v>
      </c>
      <c r="AZ29" s="1065">
        <v>917139662997</v>
      </c>
      <c r="BA29" s="1065">
        <v>860430725637</v>
      </c>
      <c r="BB29" s="1065">
        <v>879914127997</v>
      </c>
      <c r="BC29" s="1065">
        <v>455318191554</v>
      </c>
      <c r="BD29" s="1065">
        <v>513727647941</v>
      </c>
    </row>
    <row r="30" spans="1:56">
      <c r="A30" s="1079" t="s">
        <v>1034</v>
      </c>
      <c r="B30" s="1065">
        <v>1731186277</v>
      </c>
      <c r="C30" s="1065">
        <v>2534438182</v>
      </c>
      <c r="D30" s="1065">
        <v>4196172114</v>
      </c>
      <c r="E30" s="1065">
        <v>5367139853</v>
      </c>
      <c r="F30" s="1065">
        <v>4675429903</v>
      </c>
      <c r="G30" s="1065">
        <v>3251505524</v>
      </c>
      <c r="H30" s="1065">
        <v>6082176897</v>
      </c>
      <c r="I30" s="1065">
        <v>14104321472</v>
      </c>
      <c r="J30" s="1065">
        <v>5026317605</v>
      </c>
      <c r="K30" s="1065">
        <v>4401479862</v>
      </c>
      <c r="L30" s="1065">
        <v>13553059400</v>
      </c>
      <c r="M30" s="1065">
        <v>16222294661</v>
      </c>
      <c r="N30" s="1065">
        <v>5457093356</v>
      </c>
      <c r="O30" s="1065">
        <v>7145081083</v>
      </c>
      <c r="P30" s="1065">
        <v>6421518492</v>
      </c>
      <c r="Q30" s="1065">
        <v>4564939915</v>
      </c>
      <c r="R30" s="1065">
        <v>764399332</v>
      </c>
      <c r="S30" s="1065">
        <v>586904289</v>
      </c>
      <c r="T30" s="1065">
        <v>612621956</v>
      </c>
      <c r="U30" s="1065">
        <v>1082211398</v>
      </c>
      <c r="V30" s="1065">
        <v>1461638758</v>
      </c>
      <c r="W30" s="1065">
        <v>1708894782</v>
      </c>
      <c r="X30" s="1065">
        <v>2256311201</v>
      </c>
      <c r="Y30" s="1065">
        <v>8482919867</v>
      </c>
      <c r="Z30" s="1065">
        <v>12741248529</v>
      </c>
      <c r="AA30" s="1065">
        <v>21689596503</v>
      </c>
      <c r="AB30" s="1065">
        <v>32507768549</v>
      </c>
      <c r="AC30" s="1065">
        <v>35756805721</v>
      </c>
      <c r="AD30" s="1065">
        <v>29651683349</v>
      </c>
      <c r="AE30" s="1065">
        <v>21341528959</v>
      </c>
      <c r="AF30" s="1065">
        <v>22963210523</v>
      </c>
      <c r="AG30" s="1065">
        <v>25335635170</v>
      </c>
      <c r="AH30" s="1065">
        <v>22254624655</v>
      </c>
      <c r="AI30" s="1065">
        <v>20287688467</v>
      </c>
      <c r="AJ30" s="1065">
        <v>18348441885</v>
      </c>
      <c r="AK30" s="1065">
        <v>17667895117</v>
      </c>
      <c r="AL30" s="1065">
        <v>19436961704</v>
      </c>
      <c r="AM30" s="1065">
        <v>22165887708</v>
      </c>
      <c r="AN30" s="1065">
        <v>26939763741</v>
      </c>
      <c r="AO30" s="1065">
        <v>30706258562</v>
      </c>
      <c r="AP30" s="1065">
        <v>33800603074</v>
      </c>
      <c r="AQ30" s="1080">
        <v>38244788919</v>
      </c>
      <c r="AR30" s="1081"/>
      <c r="AS30" s="1065">
        <v>13828936426</v>
      </c>
      <c r="AT30" s="1065">
        <v>28113433796</v>
      </c>
      <c r="AU30" s="1065">
        <v>39203151528</v>
      </c>
      <c r="AV30" s="1065">
        <v>23588632846</v>
      </c>
      <c r="AW30" s="1065">
        <v>3046136975</v>
      </c>
      <c r="AX30" s="1065">
        <v>13909764608</v>
      </c>
      <c r="AY30" s="1065">
        <v>102695419302</v>
      </c>
      <c r="AZ30" s="1065">
        <v>99292058001</v>
      </c>
      <c r="BA30" s="1065">
        <v>78558650124</v>
      </c>
      <c r="BB30" s="1065">
        <v>99248871715</v>
      </c>
      <c r="BC30" s="1065">
        <v>41602849412</v>
      </c>
      <c r="BD30" s="1065">
        <v>72045391993</v>
      </c>
    </row>
    <row r="31" spans="1:56">
      <c r="A31" s="1079" t="s">
        <v>1035</v>
      </c>
      <c r="B31" s="1065">
        <v>59971344570</v>
      </c>
      <c r="C31" s="1065">
        <v>67666063612</v>
      </c>
      <c r="D31" s="1065">
        <v>67909387542</v>
      </c>
      <c r="E31" s="1065">
        <v>66261594494</v>
      </c>
      <c r="F31" s="1065">
        <v>73768781471.119263</v>
      </c>
      <c r="G31" s="1065">
        <v>115584703089.88074</v>
      </c>
      <c r="H31" s="1065">
        <v>118339438301</v>
      </c>
      <c r="I31" s="1065">
        <v>122118254264</v>
      </c>
      <c r="J31" s="1065">
        <v>133645259498</v>
      </c>
      <c r="K31" s="1065">
        <v>152298519864</v>
      </c>
      <c r="L31" s="1065">
        <v>160547937244</v>
      </c>
      <c r="M31" s="1065">
        <v>199757485564</v>
      </c>
      <c r="N31" s="1065">
        <v>192458536835</v>
      </c>
      <c r="O31" s="1065">
        <v>201510341479</v>
      </c>
      <c r="P31" s="1065">
        <v>198516021662</v>
      </c>
      <c r="Q31" s="1065">
        <v>154009996102</v>
      </c>
      <c r="R31" s="1065">
        <v>187193939827</v>
      </c>
      <c r="S31" s="1065">
        <v>175995788286</v>
      </c>
      <c r="T31" s="1065">
        <v>152222333435</v>
      </c>
      <c r="U31" s="1065">
        <v>154534604274</v>
      </c>
      <c r="V31" s="1065">
        <v>143071183783</v>
      </c>
      <c r="W31" s="1065">
        <v>158022144181</v>
      </c>
      <c r="X31" s="1065">
        <v>150457494217</v>
      </c>
      <c r="Y31" s="1065">
        <v>162764409172</v>
      </c>
      <c r="Z31" s="1065">
        <v>229963095930</v>
      </c>
      <c r="AA31" s="1065">
        <v>179035060268</v>
      </c>
      <c r="AB31" s="1065">
        <v>226686223958</v>
      </c>
      <c r="AC31" s="1065">
        <v>204978200550</v>
      </c>
      <c r="AD31" s="1065">
        <v>227759413274</v>
      </c>
      <c r="AE31" s="1065">
        <v>257880834501</v>
      </c>
      <c r="AF31" s="1065">
        <v>255237208155</v>
      </c>
      <c r="AG31" s="1065">
        <v>268670237179</v>
      </c>
      <c r="AH31" s="1065">
        <v>262564954956</v>
      </c>
      <c r="AI31" s="1065">
        <v>275695640962</v>
      </c>
      <c r="AJ31" s="1065">
        <v>257795139638</v>
      </c>
      <c r="AK31" s="1065">
        <v>292955547127</v>
      </c>
      <c r="AL31" s="1065">
        <v>303844042167</v>
      </c>
      <c r="AM31" s="1065">
        <v>274812350016</v>
      </c>
      <c r="AN31" s="1065">
        <v>287067845178</v>
      </c>
      <c r="AO31" s="1065">
        <v>233728677567</v>
      </c>
      <c r="AP31" s="1065">
        <v>263458564710</v>
      </c>
      <c r="AQ31" s="1080">
        <v>282341852756</v>
      </c>
      <c r="AR31" s="1081"/>
      <c r="AS31" s="1065">
        <v>261808390218</v>
      </c>
      <c r="AT31" s="1065">
        <v>429811177126</v>
      </c>
      <c r="AU31" s="1065">
        <v>646249202170</v>
      </c>
      <c r="AV31" s="1065">
        <v>746494896078</v>
      </c>
      <c r="AW31" s="1065">
        <v>669946665822</v>
      </c>
      <c r="AX31" s="1065">
        <v>614315231353</v>
      </c>
      <c r="AY31" s="1065">
        <v>840662580706</v>
      </c>
      <c r="AZ31" s="1065">
        <v>1009547693109</v>
      </c>
      <c r="BA31" s="1065">
        <v>1089011282683</v>
      </c>
      <c r="BB31" s="1065">
        <v>1099452914928</v>
      </c>
      <c r="BC31" s="1065">
        <v>578656392183</v>
      </c>
      <c r="BD31" s="1065">
        <v>545800417466</v>
      </c>
    </row>
    <row r="32" spans="1:56">
      <c r="A32" s="1079" t="s">
        <v>1036</v>
      </c>
      <c r="B32" s="1065">
        <v>389353654</v>
      </c>
      <c r="C32" s="1065">
        <v>343570627</v>
      </c>
      <c r="D32" s="1065">
        <v>293154666</v>
      </c>
      <c r="E32" s="1065">
        <v>118471914</v>
      </c>
      <c r="F32" s="1065">
        <v>61355764</v>
      </c>
      <c r="G32" s="1065">
        <v>77506132</v>
      </c>
      <c r="H32" s="1065">
        <v>13707800</v>
      </c>
      <c r="I32" s="1065">
        <v>18141371</v>
      </c>
      <c r="J32" s="1065">
        <v>19008217</v>
      </c>
      <c r="K32" s="1065">
        <v>19121919</v>
      </c>
      <c r="L32" s="1065">
        <v>20050684</v>
      </c>
      <c r="M32" s="1065">
        <v>21424657</v>
      </c>
      <c r="N32" s="1065">
        <v>20958905</v>
      </c>
      <c r="O32" s="1065">
        <v>19401643</v>
      </c>
      <c r="P32" s="1065">
        <v>16433972</v>
      </c>
      <c r="Q32" s="1065">
        <v>10003289</v>
      </c>
      <c r="R32" s="1065">
        <v>8127670</v>
      </c>
      <c r="S32" s="1065">
        <v>178631</v>
      </c>
      <c r="T32" s="1065">
        <v>0</v>
      </c>
      <c r="U32" s="1065">
        <v>0</v>
      </c>
      <c r="V32" s="1065">
        <v>0</v>
      </c>
      <c r="W32" s="1065">
        <v>0</v>
      </c>
      <c r="X32" s="1065">
        <v>0</v>
      </c>
      <c r="Y32" s="1065">
        <v>0</v>
      </c>
      <c r="Z32" s="1065">
        <v>0</v>
      </c>
      <c r="AA32" s="1065">
        <v>0</v>
      </c>
      <c r="AB32" s="1065">
        <v>0</v>
      </c>
      <c r="AC32" s="1065">
        <v>0</v>
      </c>
      <c r="AD32" s="1065">
        <v>0</v>
      </c>
      <c r="AE32" s="1065">
        <v>0</v>
      </c>
      <c r="AF32" s="1065">
        <v>0</v>
      </c>
      <c r="AG32" s="1065">
        <v>0</v>
      </c>
      <c r="AH32" s="1065">
        <v>0</v>
      </c>
      <c r="AI32" s="1065">
        <v>0</v>
      </c>
      <c r="AJ32" s="1065">
        <v>0</v>
      </c>
      <c r="AK32" s="1065">
        <v>0</v>
      </c>
      <c r="AL32" s="1065">
        <v>0</v>
      </c>
      <c r="AM32" s="1065">
        <v>0</v>
      </c>
      <c r="AN32" s="1065">
        <v>0</v>
      </c>
      <c r="AO32" s="1065">
        <v>0</v>
      </c>
      <c r="AP32" s="1065">
        <v>0</v>
      </c>
      <c r="AQ32" s="1080">
        <v>0</v>
      </c>
      <c r="AR32" s="1081"/>
      <c r="AS32" s="1065">
        <v>1144550861</v>
      </c>
      <c r="AT32" s="1065">
        <v>170711067</v>
      </c>
      <c r="AU32" s="1065">
        <v>79605477</v>
      </c>
      <c r="AV32" s="1065">
        <v>66797809</v>
      </c>
      <c r="AW32" s="1065">
        <v>8306301</v>
      </c>
      <c r="AX32" s="1065">
        <v>0</v>
      </c>
      <c r="AY32" s="1065">
        <v>0</v>
      </c>
      <c r="AZ32" s="1065">
        <v>0</v>
      </c>
      <c r="BA32" s="1065">
        <v>0</v>
      </c>
      <c r="BB32" s="1065">
        <v>0</v>
      </c>
      <c r="BC32" s="1065">
        <v>0</v>
      </c>
      <c r="BD32" s="1065">
        <v>0</v>
      </c>
    </row>
    <row r="33" spans="1:56">
      <c r="A33" s="1079" t="s">
        <v>1037</v>
      </c>
      <c r="B33" s="1065">
        <v>4056821156</v>
      </c>
      <c r="C33" s="1065">
        <v>3764553855</v>
      </c>
      <c r="D33" s="1065">
        <v>3084425507</v>
      </c>
      <c r="E33" s="1065">
        <v>3149816221</v>
      </c>
      <c r="F33" s="1065">
        <v>3374980322</v>
      </c>
      <c r="G33" s="1065">
        <v>2854119652</v>
      </c>
      <c r="H33" s="1065">
        <v>2952772940</v>
      </c>
      <c r="I33" s="1065">
        <v>2238756537</v>
      </c>
      <c r="J33" s="1065">
        <v>4374315219</v>
      </c>
      <c r="K33" s="1065">
        <v>6002667832</v>
      </c>
      <c r="L33" s="1065">
        <v>6003928441</v>
      </c>
      <c r="M33" s="1065">
        <v>5875736140</v>
      </c>
      <c r="N33" s="1065">
        <v>8529198082</v>
      </c>
      <c r="O33" s="1065">
        <v>8270771989</v>
      </c>
      <c r="P33" s="1065">
        <v>8198076755</v>
      </c>
      <c r="Q33" s="1065">
        <v>7276051539</v>
      </c>
      <c r="R33" s="1065">
        <v>8494124402</v>
      </c>
      <c r="S33" s="1065">
        <v>5710733412</v>
      </c>
      <c r="T33" s="1065">
        <v>4913894770</v>
      </c>
      <c r="U33" s="1065">
        <v>4031466770</v>
      </c>
      <c r="V33" s="1065">
        <v>4849200621</v>
      </c>
      <c r="W33" s="1065">
        <v>5912487161</v>
      </c>
      <c r="X33" s="1065">
        <v>8787703113</v>
      </c>
      <c r="Y33" s="1065">
        <v>13405081295</v>
      </c>
      <c r="Z33" s="1065">
        <v>16450001522</v>
      </c>
      <c r="AA33" s="1065">
        <v>28013691827</v>
      </c>
      <c r="AB33" s="1065">
        <v>42280395478</v>
      </c>
      <c r="AC33" s="1065">
        <v>52182373236</v>
      </c>
      <c r="AD33" s="1065">
        <v>36744737462</v>
      </c>
      <c r="AE33" s="1065">
        <v>42729602896</v>
      </c>
      <c r="AF33" s="1065">
        <v>44459327651</v>
      </c>
      <c r="AG33" s="1065">
        <v>39337744559</v>
      </c>
      <c r="AH33" s="1065">
        <v>30913320280</v>
      </c>
      <c r="AI33" s="1065">
        <v>38261023659</v>
      </c>
      <c r="AJ33" s="1065">
        <v>34448147432</v>
      </c>
      <c r="AK33" s="1065">
        <v>45411618964</v>
      </c>
      <c r="AL33" s="1065">
        <v>30973262414</v>
      </c>
      <c r="AM33" s="1065">
        <v>77956968283</v>
      </c>
      <c r="AN33" s="1065">
        <v>42942644257</v>
      </c>
      <c r="AO33" s="1065">
        <v>42763818189</v>
      </c>
      <c r="AP33" s="1065">
        <v>54268994058</v>
      </c>
      <c r="AQ33" s="1080">
        <v>63011111345</v>
      </c>
      <c r="AR33" s="1081"/>
      <c r="AS33" s="1065">
        <v>14055616739</v>
      </c>
      <c r="AT33" s="1065">
        <v>11420629451</v>
      </c>
      <c r="AU33" s="1065">
        <v>22256647632</v>
      </c>
      <c r="AV33" s="1065">
        <v>32274098365</v>
      </c>
      <c r="AW33" s="1065">
        <v>23150219354</v>
      </c>
      <c r="AX33" s="1065">
        <v>32954472190</v>
      </c>
      <c r="AY33" s="1065">
        <v>138926462063</v>
      </c>
      <c r="AZ33" s="1065">
        <v>163271412568</v>
      </c>
      <c r="BA33" s="1065">
        <v>149034110335</v>
      </c>
      <c r="BB33" s="1065">
        <v>194636693143</v>
      </c>
      <c r="BC33" s="1065">
        <v>108930230697</v>
      </c>
      <c r="BD33" s="1065">
        <v>117280105403</v>
      </c>
    </row>
    <row r="34" spans="1:56">
      <c r="A34" s="1076" t="s">
        <v>1038</v>
      </c>
      <c r="B34" s="1063">
        <v>1006837846</v>
      </c>
      <c r="C34" s="1063">
        <v>1018525705</v>
      </c>
      <c r="D34" s="1063">
        <v>694320635</v>
      </c>
      <c r="E34" s="1063">
        <v>5575093007</v>
      </c>
      <c r="F34" s="1063">
        <v>3399364837</v>
      </c>
      <c r="G34" s="1063">
        <v>-944404662</v>
      </c>
      <c r="H34" s="1063">
        <v>538029074</v>
      </c>
      <c r="I34" s="1063">
        <v>1863238653</v>
      </c>
      <c r="J34" s="1063">
        <v>166170123</v>
      </c>
      <c r="K34" s="1063">
        <v>459627003</v>
      </c>
      <c r="L34" s="1063">
        <v>1131759395</v>
      </c>
      <c r="M34" s="1063">
        <v>1844921006</v>
      </c>
      <c r="N34" s="1063">
        <v>4684174088</v>
      </c>
      <c r="O34" s="1063">
        <v>8271207895</v>
      </c>
      <c r="P34" s="1063">
        <v>1805988792</v>
      </c>
      <c r="Q34" s="1063">
        <v>8343643717</v>
      </c>
      <c r="R34" s="1063">
        <v>6992978308</v>
      </c>
      <c r="S34" s="1063">
        <v>527354033</v>
      </c>
      <c r="T34" s="1063">
        <v>4200743570</v>
      </c>
      <c r="U34" s="1063">
        <v>452069307</v>
      </c>
      <c r="V34" s="1063">
        <v>159825832</v>
      </c>
      <c r="W34" s="1063">
        <v>4789614574</v>
      </c>
      <c r="X34" s="1063">
        <v>76562875</v>
      </c>
      <c r="Y34" s="1063">
        <v>5824613776</v>
      </c>
      <c r="Z34" s="1063">
        <v>40813808</v>
      </c>
      <c r="AA34" s="1063">
        <v>5098320631</v>
      </c>
      <c r="AB34" s="1063">
        <v>38010998</v>
      </c>
      <c r="AC34" s="1063">
        <v>233609303</v>
      </c>
      <c r="AD34" s="1063">
        <v>406881020</v>
      </c>
      <c r="AE34" s="1063">
        <v>3281915710</v>
      </c>
      <c r="AF34" s="1063">
        <v>408190995</v>
      </c>
      <c r="AG34" s="1063">
        <v>6094907871</v>
      </c>
      <c r="AH34" s="1063">
        <v>293386896</v>
      </c>
      <c r="AI34" s="1063">
        <v>6371142189</v>
      </c>
      <c r="AJ34" s="1063">
        <v>6269299721</v>
      </c>
      <c r="AK34" s="1063">
        <v>315804393</v>
      </c>
      <c r="AL34" s="1063">
        <v>1674430518</v>
      </c>
      <c r="AM34" s="1063">
        <v>2690681869</v>
      </c>
      <c r="AN34" s="1063">
        <v>4447930675</v>
      </c>
      <c r="AO34" s="1063">
        <v>1266207533</v>
      </c>
      <c r="AP34" s="1063">
        <v>56002464775</v>
      </c>
      <c r="AQ34" s="1077">
        <v>-54993868412</v>
      </c>
      <c r="AR34" s="1078"/>
      <c r="AS34" s="1063">
        <v>8294777193</v>
      </c>
      <c r="AT34" s="1063">
        <v>4856227902</v>
      </c>
      <c r="AU34" s="1063">
        <v>3602477527</v>
      </c>
      <c r="AV34" s="1063">
        <v>23105014492</v>
      </c>
      <c r="AW34" s="1063">
        <v>11420454093</v>
      </c>
      <c r="AX34" s="1063">
        <v>10850617057</v>
      </c>
      <c r="AY34" s="1063">
        <v>5410754740</v>
      </c>
      <c r="AZ34" s="1063">
        <v>10191895596</v>
      </c>
      <c r="BA34" s="1063">
        <v>13249633199</v>
      </c>
      <c r="BB34" s="1063">
        <v>10079250595</v>
      </c>
      <c r="BC34" s="1063">
        <v>4365112387</v>
      </c>
      <c r="BD34" s="1063">
        <v>1008596363</v>
      </c>
    </row>
    <row r="35" spans="1:56">
      <c r="A35" s="1079" t="s">
        <v>1039</v>
      </c>
      <c r="B35" s="1065">
        <v>747986239</v>
      </c>
      <c r="C35" s="1065">
        <v>1277377312</v>
      </c>
      <c r="D35" s="1065">
        <v>694320635</v>
      </c>
      <c r="E35" s="1065">
        <v>5575093007</v>
      </c>
      <c r="F35" s="1065">
        <v>2157873309</v>
      </c>
      <c r="G35" s="1065">
        <v>297086866</v>
      </c>
      <c r="H35" s="1065">
        <v>538029074</v>
      </c>
      <c r="I35" s="1065">
        <v>1863238653</v>
      </c>
      <c r="J35" s="1065">
        <v>166170123</v>
      </c>
      <c r="K35" s="1065">
        <v>459627003</v>
      </c>
      <c r="L35" s="1065">
        <v>1131759395</v>
      </c>
      <c r="M35" s="1065">
        <v>1844921006</v>
      </c>
      <c r="N35" s="1065">
        <v>4684174088</v>
      </c>
      <c r="O35" s="1065">
        <v>8271207895</v>
      </c>
      <c r="P35" s="1065">
        <v>1805988792</v>
      </c>
      <c r="Q35" s="1065">
        <v>8343643717</v>
      </c>
      <c r="R35" s="1065">
        <v>6240287183</v>
      </c>
      <c r="S35" s="1065">
        <v>305103898</v>
      </c>
      <c r="T35" s="1065">
        <v>4039422709</v>
      </c>
      <c r="U35" s="1065">
        <v>33508318</v>
      </c>
      <c r="V35" s="1065">
        <v>32749100</v>
      </c>
      <c r="W35" s="1065">
        <v>4067851760</v>
      </c>
      <c r="X35" s="1065">
        <v>20563105</v>
      </c>
      <c r="Y35" s="1065">
        <v>5209590695</v>
      </c>
      <c r="Z35" s="1065">
        <v>31033697</v>
      </c>
      <c r="AA35" s="1065">
        <v>4449448427</v>
      </c>
      <c r="AB35" s="1065">
        <v>25112219</v>
      </c>
      <c r="AC35" s="1065">
        <v>133705413</v>
      </c>
      <c r="AD35" s="1065">
        <v>202771944</v>
      </c>
      <c r="AE35" s="1065">
        <v>3216521684</v>
      </c>
      <c r="AF35" s="1065">
        <v>408190995</v>
      </c>
      <c r="AG35" s="1065">
        <v>5957062388</v>
      </c>
      <c r="AH35" s="1065">
        <v>293386896</v>
      </c>
      <c r="AI35" s="1065">
        <v>6346310746</v>
      </c>
      <c r="AJ35" s="1065">
        <v>6269299721</v>
      </c>
      <c r="AK35" s="1065">
        <v>315804393</v>
      </c>
      <c r="AL35" s="1065">
        <v>374430518</v>
      </c>
      <c r="AM35" s="1065">
        <v>2690681869</v>
      </c>
      <c r="AN35" s="1065">
        <v>4447930675</v>
      </c>
      <c r="AO35" s="1065">
        <v>1266207533</v>
      </c>
      <c r="AP35" s="1065">
        <v>612891375</v>
      </c>
      <c r="AQ35" s="1080">
        <v>395704988</v>
      </c>
      <c r="AR35" s="1081"/>
      <c r="AS35" s="1065">
        <v>8294777193</v>
      </c>
      <c r="AT35" s="1065">
        <v>4856227902</v>
      </c>
      <c r="AU35" s="1065">
        <v>3602477527</v>
      </c>
      <c r="AV35" s="1065">
        <v>23105014492</v>
      </c>
      <c r="AW35" s="1065">
        <v>10618322108</v>
      </c>
      <c r="AX35" s="1065">
        <v>9330754660</v>
      </c>
      <c r="AY35" s="1065">
        <v>4639299756</v>
      </c>
      <c r="AZ35" s="1065">
        <v>9784547011</v>
      </c>
      <c r="BA35" s="1065">
        <v>13224801756</v>
      </c>
      <c r="BB35" s="1065">
        <v>8779250595</v>
      </c>
      <c r="BC35" s="1065">
        <v>3065112387</v>
      </c>
      <c r="BD35" s="1065">
        <v>1008596363</v>
      </c>
    </row>
    <row r="36" spans="1:56">
      <c r="A36" s="1079" t="s">
        <v>1040</v>
      </c>
      <c r="B36" s="1065">
        <v>258851607</v>
      </c>
      <c r="C36" s="1065">
        <v>-258851607</v>
      </c>
      <c r="D36" s="1065">
        <v>0</v>
      </c>
      <c r="E36" s="1065">
        <v>0</v>
      </c>
      <c r="F36" s="1065">
        <v>1241491528</v>
      </c>
      <c r="G36" s="1065">
        <v>-1241491528</v>
      </c>
      <c r="H36" s="1065">
        <v>0</v>
      </c>
      <c r="I36" s="1065">
        <v>0</v>
      </c>
      <c r="J36" s="1065">
        <v>0</v>
      </c>
      <c r="K36" s="1065">
        <v>0</v>
      </c>
      <c r="L36" s="1065">
        <v>0</v>
      </c>
      <c r="M36" s="1065">
        <v>0</v>
      </c>
      <c r="N36" s="1065">
        <v>0</v>
      </c>
      <c r="O36" s="1065">
        <v>0</v>
      </c>
      <c r="P36" s="1065">
        <v>0</v>
      </c>
      <c r="Q36" s="1065">
        <v>0</v>
      </c>
      <c r="R36" s="1065">
        <v>752691125</v>
      </c>
      <c r="S36" s="1065">
        <v>0</v>
      </c>
      <c r="T36" s="1065">
        <v>0</v>
      </c>
      <c r="U36" s="1065">
        <v>0</v>
      </c>
      <c r="V36" s="1065">
        <v>0</v>
      </c>
      <c r="W36" s="1065">
        <v>0</v>
      </c>
      <c r="X36" s="1065">
        <v>0</v>
      </c>
      <c r="Y36" s="1065">
        <v>0</v>
      </c>
      <c r="Z36" s="1065">
        <v>0</v>
      </c>
      <c r="AA36" s="1065">
        <v>0</v>
      </c>
      <c r="AB36" s="1065">
        <v>0</v>
      </c>
      <c r="AC36" s="1065">
        <v>0</v>
      </c>
      <c r="AD36" s="1065">
        <v>0</v>
      </c>
      <c r="AE36" s="1065">
        <v>0</v>
      </c>
      <c r="AF36" s="1065">
        <v>0</v>
      </c>
      <c r="AG36" s="1065">
        <v>0</v>
      </c>
      <c r="AH36" s="1065">
        <v>0</v>
      </c>
      <c r="AI36" s="1065">
        <v>0</v>
      </c>
      <c r="AJ36" s="1065">
        <v>0</v>
      </c>
      <c r="AK36" s="1065">
        <v>0</v>
      </c>
      <c r="AL36" s="1065">
        <v>0</v>
      </c>
      <c r="AM36" s="1065">
        <v>0</v>
      </c>
      <c r="AN36" s="1065">
        <v>0</v>
      </c>
      <c r="AO36" s="1065">
        <v>0</v>
      </c>
      <c r="AP36" s="1065">
        <v>55389573400</v>
      </c>
      <c r="AQ36" s="1080">
        <v>-55389573400</v>
      </c>
      <c r="AR36" s="1081"/>
      <c r="AS36" s="1065">
        <v>0</v>
      </c>
      <c r="AT36" s="1065">
        <v>0</v>
      </c>
      <c r="AU36" s="1065">
        <v>0</v>
      </c>
      <c r="AV36" s="1065">
        <v>0</v>
      </c>
      <c r="AW36" s="1065">
        <v>0</v>
      </c>
      <c r="AX36" s="1065">
        <v>0</v>
      </c>
      <c r="AY36" s="1065">
        <v>0</v>
      </c>
      <c r="AZ36" s="1065">
        <v>0</v>
      </c>
      <c r="BA36" s="1065">
        <v>0</v>
      </c>
      <c r="BB36" s="1065">
        <v>0</v>
      </c>
      <c r="BC36" s="1065">
        <v>0</v>
      </c>
      <c r="BD36" s="1065">
        <v>0</v>
      </c>
    </row>
    <row r="37" spans="1:56">
      <c r="A37" s="1079" t="s">
        <v>1041</v>
      </c>
      <c r="B37" s="1065">
        <v>0</v>
      </c>
      <c r="C37" s="1065">
        <v>0</v>
      </c>
      <c r="D37" s="1065">
        <v>0</v>
      </c>
      <c r="E37" s="1065">
        <v>0</v>
      </c>
      <c r="F37" s="1065">
        <v>0</v>
      </c>
      <c r="G37" s="1065">
        <v>0</v>
      </c>
      <c r="H37" s="1065">
        <v>0</v>
      </c>
      <c r="I37" s="1065">
        <v>0</v>
      </c>
      <c r="J37" s="1065">
        <v>0</v>
      </c>
      <c r="K37" s="1065">
        <v>0</v>
      </c>
      <c r="L37" s="1065">
        <v>0</v>
      </c>
      <c r="M37" s="1065">
        <v>0</v>
      </c>
      <c r="N37" s="1065">
        <v>0</v>
      </c>
      <c r="O37" s="1065">
        <v>0</v>
      </c>
      <c r="P37" s="1065">
        <v>0</v>
      </c>
      <c r="Q37" s="1065">
        <v>0</v>
      </c>
      <c r="R37" s="1065">
        <v>0</v>
      </c>
      <c r="S37" s="1065">
        <v>222250135</v>
      </c>
      <c r="T37" s="1065">
        <v>161320861</v>
      </c>
      <c r="U37" s="1065">
        <v>418560989</v>
      </c>
      <c r="V37" s="1065">
        <v>127076732</v>
      </c>
      <c r="W37" s="1065">
        <v>721762814</v>
      </c>
      <c r="X37" s="1065">
        <v>55999770</v>
      </c>
      <c r="Y37" s="1065">
        <v>615023081</v>
      </c>
      <c r="Z37" s="1065">
        <v>9780111</v>
      </c>
      <c r="AA37" s="1065">
        <v>648872204</v>
      </c>
      <c r="AB37" s="1065">
        <v>12898779</v>
      </c>
      <c r="AC37" s="1065">
        <v>99903890</v>
      </c>
      <c r="AD37" s="1065">
        <v>204109076</v>
      </c>
      <c r="AE37" s="1065">
        <v>65394026</v>
      </c>
      <c r="AF37" s="1065">
        <v>0</v>
      </c>
      <c r="AG37" s="1065">
        <v>137845483</v>
      </c>
      <c r="AH37" s="1065">
        <v>0</v>
      </c>
      <c r="AI37" s="1065">
        <v>24831443</v>
      </c>
      <c r="AJ37" s="1065">
        <v>0</v>
      </c>
      <c r="AK37" s="1065">
        <v>0</v>
      </c>
      <c r="AL37" s="1065">
        <v>1300000000</v>
      </c>
      <c r="AM37" s="1065">
        <v>0</v>
      </c>
      <c r="AN37" s="1065">
        <v>0</v>
      </c>
      <c r="AO37" s="1065">
        <v>0</v>
      </c>
      <c r="AP37" s="1065">
        <v>0</v>
      </c>
      <c r="AQ37" s="1080">
        <v>0</v>
      </c>
      <c r="AR37" s="1081"/>
      <c r="AS37" s="1065">
        <v>0</v>
      </c>
      <c r="AT37" s="1065">
        <v>0</v>
      </c>
      <c r="AU37" s="1065">
        <v>0</v>
      </c>
      <c r="AV37" s="1065">
        <v>0</v>
      </c>
      <c r="AW37" s="1065">
        <v>802131985</v>
      </c>
      <c r="AX37" s="1065">
        <v>1519862397</v>
      </c>
      <c r="AY37" s="1065">
        <v>771454984</v>
      </c>
      <c r="AZ37" s="1065">
        <v>407348585</v>
      </c>
      <c r="BA37" s="1065">
        <v>24831443</v>
      </c>
      <c r="BB37" s="1065">
        <v>1300000000</v>
      </c>
      <c r="BC37" s="1065">
        <v>1300000000</v>
      </c>
      <c r="BD37" s="1065">
        <v>0</v>
      </c>
    </row>
    <row r="38" spans="1:56">
      <c r="A38" s="1076" t="s">
        <v>1042</v>
      </c>
      <c r="B38" s="1063">
        <v>340143746750</v>
      </c>
      <c r="C38" s="1063">
        <v>262136508714</v>
      </c>
      <c r="D38" s="1063">
        <v>206791496273</v>
      </c>
      <c r="E38" s="1063">
        <v>200710251012</v>
      </c>
      <c r="F38" s="1063">
        <v>205592218685</v>
      </c>
      <c r="G38" s="1063">
        <v>159782472618</v>
      </c>
      <c r="H38" s="1063">
        <v>144565676549</v>
      </c>
      <c r="I38" s="1063">
        <v>118730004757</v>
      </c>
      <c r="J38" s="1063">
        <v>172589157434</v>
      </c>
      <c r="K38" s="1063">
        <v>164807290801</v>
      </c>
      <c r="L38" s="1063">
        <v>180311007002</v>
      </c>
      <c r="M38" s="1063">
        <v>163103551638</v>
      </c>
      <c r="N38" s="1063">
        <v>150080285398</v>
      </c>
      <c r="O38" s="1063">
        <v>227924721533</v>
      </c>
      <c r="P38" s="1063">
        <v>318155086038</v>
      </c>
      <c r="Q38" s="1063">
        <v>233432570133</v>
      </c>
      <c r="R38" s="1063">
        <v>535320098631</v>
      </c>
      <c r="S38" s="1063">
        <v>365855047093</v>
      </c>
      <c r="T38" s="1063">
        <v>237439504205</v>
      </c>
      <c r="U38" s="1063">
        <v>305412069028</v>
      </c>
      <c r="V38" s="1063">
        <v>370978850409</v>
      </c>
      <c r="W38" s="1063">
        <v>276519004925</v>
      </c>
      <c r="X38" s="1063">
        <v>365822928305</v>
      </c>
      <c r="Y38" s="1063">
        <v>293678852737</v>
      </c>
      <c r="Z38" s="1063">
        <v>510627427556</v>
      </c>
      <c r="AA38" s="1063">
        <v>765766529188</v>
      </c>
      <c r="AB38" s="1063">
        <v>911105273328</v>
      </c>
      <c r="AC38" s="1063">
        <v>554358311873</v>
      </c>
      <c r="AD38" s="1063">
        <v>575592520165</v>
      </c>
      <c r="AE38" s="1063">
        <v>441179167528</v>
      </c>
      <c r="AF38" s="1063">
        <v>398900618690</v>
      </c>
      <c r="AG38" s="1063">
        <v>437138660685</v>
      </c>
      <c r="AH38" s="1063">
        <v>353033112287</v>
      </c>
      <c r="AI38" s="1063">
        <v>387543847240</v>
      </c>
      <c r="AJ38" s="1063">
        <v>476133714194</v>
      </c>
      <c r="AK38" s="1063">
        <v>660943430626</v>
      </c>
      <c r="AL38" s="1063">
        <v>603581499952.07996</v>
      </c>
      <c r="AM38" s="1063">
        <v>1338874874306</v>
      </c>
      <c r="AN38" s="1063">
        <v>721858798112.91992</v>
      </c>
      <c r="AO38" s="1063">
        <v>1050159563350</v>
      </c>
      <c r="AP38" s="1063">
        <v>2070145984460</v>
      </c>
      <c r="AQ38" s="1077">
        <v>2527608365479</v>
      </c>
      <c r="AR38" s="1078"/>
      <c r="AS38" s="1063">
        <v>1009782002749</v>
      </c>
      <c r="AT38" s="1063">
        <v>628670372609</v>
      </c>
      <c r="AU38" s="1063">
        <v>680811006875</v>
      </c>
      <c r="AV38" s="1063">
        <v>929592663102</v>
      </c>
      <c r="AW38" s="1063">
        <v>1444026718957</v>
      </c>
      <c r="AX38" s="1063">
        <v>1306999636376</v>
      </c>
      <c r="AY38" s="1063">
        <v>2741857541945</v>
      </c>
      <c r="AZ38" s="1063">
        <v>1852810967068</v>
      </c>
      <c r="BA38" s="1063">
        <v>1877654104347</v>
      </c>
      <c r="BB38" s="1063">
        <v>3714474735721</v>
      </c>
      <c r="BC38" s="1063">
        <v>1942456374258.0801</v>
      </c>
      <c r="BD38" s="1063">
        <v>4597754349939</v>
      </c>
    </row>
    <row r="39" spans="1:56">
      <c r="A39" s="1079" t="s">
        <v>1043</v>
      </c>
      <c r="B39" s="1065">
        <v>337834008732</v>
      </c>
      <c r="C39" s="1065">
        <v>263299063896</v>
      </c>
      <c r="D39" s="1065">
        <v>207653779734</v>
      </c>
      <c r="E39" s="1065">
        <v>198358418187</v>
      </c>
      <c r="F39" s="1065">
        <v>204397543581</v>
      </c>
      <c r="G39" s="1065">
        <v>159702835182</v>
      </c>
      <c r="H39" s="1065">
        <v>141738923671</v>
      </c>
      <c r="I39" s="1065">
        <v>121754826636</v>
      </c>
      <c r="J39" s="1065">
        <v>171282076984</v>
      </c>
      <c r="K39" s="1065">
        <v>151660249167</v>
      </c>
      <c r="L39" s="1065">
        <v>178108628998</v>
      </c>
      <c r="M39" s="1065">
        <v>159128662906</v>
      </c>
      <c r="N39" s="1065">
        <v>123174493815</v>
      </c>
      <c r="O39" s="1065">
        <v>190365457469</v>
      </c>
      <c r="P39" s="1065">
        <v>274528984617</v>
      </c>
      <c r="Q39" s="1065">
        <v>250236013949</v>
      </c>
      <c r="R39" s="1065">
        <v>402283261425</v>
      </c>
      <c r="S39" s="1065">
        <v>379777993881</v>
      </c>
      <c r="T39" s="1065">
        <v>240575096210</v>
      </c>
      <c r="U39" s="1065">
        <v>317833879677</v>
      </c>
      <c r="V39" s="1065">
        <v>304371879805</v>
      </c>
      <c r="W39" s="1065">
        <v>291513699340</v>
      </c>
      <c r="X39" s="1065">
        <v>262076764547</v>
      </c>
      <c r="Y39" s="1065">
        <v>316315066982</v>
      </c>
      <c r="Z39" s="1065">
        <v>441979204856</v>
      </c>
      <c r="AA39" s="1065">
        <v>583949679855</v>
      </c>
      <c r="AB39" s="1065">
        <v>663878850624</v>
      </c>
      <c r="AC39" s="1065">
        <v>885444699859</v>
      </c>
      <c r="AD39" s="1065">
        <v>524715531139</v>
      </c>
      <c r="AE39" s="1065">
        <v>418521210050</v>
      </c>
      <c r="AF39" s="1065">
        <v>356226160874</v>
      </c>
      <c r="AG39" s="1065">
        <v>506851799775</v>
      </c>
      <c r="AH39" s="1065">
        <v>283725318912</v>
      </c>
      <c r="AI39" s="1065">
        <v>356664847962</v>
      </c>
      <c r="AJ39" s="1065">
        <v>499757115611</v>
      </c>
      <c r="AK39" s="1065">
        <v>507640196316</v>
      </c>
      <c r="AL39" s="1065">
        <v>580263202792.07996</v>
      </c>
      <c r="AM39" s="1065">
        <v>1215083736153</v>
      </c>
      <c r="AN39" s="1065">
        <v>817021909340.91992</v>
      </c>
      <c r="AO39" s="1065">
        <v>1055444283644</v>
      </c>
      <c r="AP39" s="1065">
        <v>1916987607370</v>
      </c>
      <c r="AQ39" s="1080">
        <v>2450447914113</v>
      </c>
      <c r="AR39" s="1081"/>
      <c r="AS39" s="1065">
        <v>1007145270549</v>
      </c>
      <c r="AT39" s="1065">
        <v>627594129070</v>
      </c>
      <c r="AU39" s="1065">
        <v>660179618055</v>
      </c>
      <c r="AV39" s="1065">
        <v>838304949850</v>
      </c>
      <c r="AW39" s="1065">
        <v>1340470231193</v>
      </c>
      <c r="AX39" s="1065">
        <v>1174277410674</v>
      </c>
      <c r="AY39" s="1065">
        <v>2575252435194</v>
      </c>
      <c r="AZ39" s="1065">
        <v>1806314701838</v>
      </c>
      <c r="BA39" s="1065">
        <v>1647787478801</v>
      </c>
      <c r="BB39" s="1065">
        <v>3667813131930</v>
      </c>
      <c r="BC39" s="1065">
        <v>1795346938945.0801</v>
      </c>
      <c r="BD39" s="1065">
        <v>4367435521483</v>
      </c>
    </row>
    <row r="40" spans="1:56">
      <c r="A40" s="1079" t="s">
        <v>1044</v>
      </c>
      <c r="B40" s="1065">
        <v>2309738018</v>
      </c>
      <c r="C40" s="1065">
        <v>-1162555182</v>
      </c>
      <c r="D40" s="1065">
        <v>-862283461</v>
      </c>
      <c r="E40" s="1065">
        <v>2351832825</v>
      </c>
      <c r="F40" s="1065">
        <v>1194675104</v>
      </c>
      <c r="G40" s="1065">
        <v>79637436</v>
      </c>
      <c r="H40" s="1065">
        <v>2826752878</v>
      </c>
      <c r="I40" s="1065">
        <v>-3024821879</v>
      </c>
      <c r="J40" s="1065">
        <v>1307080450</v>
      </c>
      <c r="K40" s="1065">
        <v>13147041634</v>
      </c>
      <c r="L40" s="1065">
        <v>2202378004</v>
      </c>
      <c r="M40" s="1065">
        <v>3974888732</v>
      </c>
      <c r="N40" s="1065">
        <v>26905791583</v>
      </c>
      <c r="O40" s="1065">
        <v>37559264064</v>
      </c>
      <c r="P40" s="1065">
        <v>43626101421</v>
      </c>
      <c r="Q40" s="1065">
        <v>-16803443816</v>
      </c>
      <c r="R40" s="1065">
        <v>133036837206</v>
      </c>
      <c r="S40" s="1065">
        <v>-13922946788</v>
      </c>
      <c r="T40" s="1065">
        <v>-3135592005</v>
      </c>
      <c r="U40" s="1065">
        <v>-12421810649</v>
      </c>
      <c r="V40" s="1065">
        <v>66606970604</v>
      </c>
      <c r="W40" s="1065">
        <v>-14994694415</v>
      </c>
      <c r="X40" s="1065">
        <v>103746163758</v>
      </c>
      <c r="Y40" s="1065">
        <v>-22636214245</v>
      </c>
      <c r="Z40" s="1065">
        <v>68648222700</v>
      </c>
      <c r="AA40" s="1065">
        <v>181816849333</v>
      </c>
      <c r="AB40" s="1065">
        <v>247226422704</v>
      </c>
      <c r="AC40" s="1065">
        <v>-331086387986</v>
      </c>
      <c r="AD40" s="1065">
        <v>50876989026</v>
      </c>
      <c r="AE40" s="1065">
        <v>22657957478</v>
      </c>
      <c r="AF40" s="1065">
        <v>42674457816</v>
      </c>
      <c r="AG40" s="1065">
        <v>-69713139090</v>
      </c>
      <c r="AH40" s="1065">
        <v>69307793375</v>
      </c>
      <c r="AI40" s="1065">
        <v>30878999278</v>
      </c>
      <c r="AJ40" s="1065">
        <v>-23623401417</v>
      </c>
      <c r="AK40" s="1065">
        <v>153303234310</v>
      </c>
      <c r="AL40" s="1065">
        <v>23318297160</v>
      </c>
      <c r="AM40" s="1065">
        <v>123791138153</v>
      </c>
      <c r="AN40" s="1065">
        <v>-95163111228</v>
      </c>
      <c r="AO40" s="1065">
        <v>-5284720294</v>
      </c>
      <c r="AP40" s="1065">
        <v>153158377090</v>
      </c>
      <c r="AQ40" s="1080">
        <v>77160451366</v>
      </c>
      <c r="AR40" s="1081"/>
      <c r="AS40" s="1065">
        <v>2636732200</v>
      </c>
      <c r="AT40" s="1065">
        <v>1076243539</v>
      </c>
      <c r="AU40" s="1065">
        <v>20631388820</v>
      </c>
      <c r="AV40" s="1065">
        <v>91287713252</v>
      </c>
      <c r="AW40" s="1065">
        <v>103556487764</v>
      </c>
      <c r="AX40" s="1065">
        <v>132722225702</v>
      </c>
      <c r="AY40" s="1065">
        <v>166605106751</v>
      </c>
      <c r="AZ40" s="1065">
        <v>46496265230</v>
      </c>
      <c r="BA40" s="1065">
        <v>229866625546</v>
      </c>
      <c r="BB40" s="1065">
        <v>46661603791</v>
      </c>
      <c r="BC40" s="1065">
        <v>147109435313</v>
      </c>
      <c r="BD40" s="1065">
        <v>230318828456</v>
      </c>
    </row>
    <row r="41" spans="1:56">
      <c r="A41" s="1076" t="s">
        <v>1045</v>
      </c>
      <c r="B41" s="1063">
        <v>8773650998</v>
      </c>
      <c r="C41" s="1063">
        <v>7523287886</v>
      </c>
      <c r="D41" s="1063">
        <v>6729302906</v>
      </c>
      <c r="E41" s="1063">
        <v>4081031405</v>
      </c>
      <c r="F41" s="1063">
        <v>5336993376</v>
      </c>
      <c r="G41" s="1063">
        <v>18055029333</v>
      </c>
      <c r="H41" s="1063">
        <v>18609127235</v>
      </c>
      <c r="I41" s="1063">
        <v>22336156781</v>
      </c>
      <c r="J41" s="1063">
        <v>25628754299</v>
      </c>
      <c r="K41" s="1063">
        <v>23678542242</v>
      </c>
      <c r="L41" s="1063">
        <v>27429881978</v>
      </c>
      <c r="M41" s="1063">
        <v>28248807733</v>
      </c>
      <c r="N41" s="1063">
        <v>29912615746</v>
      </c>
      <c r="O41" s="1063">
        <v>32483005545</v>
      </c>
      <c r="P41" s="1063">
        <v>33706065565</v>
      </c>
      <c r="Q41" s="1063">
        <v>33028947052</v>
      </c>
      <c r="R41" s="1063">
        <v>36677746307</v>
      </c>
      <c r="S41" s="1063">
        <v>36425577822</v>
      </c>
      <c r="T41" s="1063">
        <v>36594929470</v>
      </c>
      <c r="U41" s="1063">
        <v>38622036424</v>
      </c>
      <c r="V41" s="1063">
        <v>40779159929</v>
      </c>
      <c r="W41" s="1063">
        <v>43116547256</v>
      </c>
      <c r="X41" s="1063">
        <v>44892376960</v>
      </c>
      <c r="Y41" s="1063">
        <v>46712710330</v>
      </c>
      <c r="Z41" s="1063">
        <v>48268705520</v>
      </c>
      <c r="AA41" s="1063">
        <v>51492285476</v>
      </c>
      <c r="AB41" s="1063">
        <v>54775885146</v>
      </c>
      <c r="AC41" s="1063">
        <v>56074068844</v>
      </c>
      <c r="AD41" s="1063">
        <v>57116879228</v>
      </c>
      <c r="AE41" s="1063">
        <v>57062917444</v>
      </c>
      <c r="AF41" s="1063">
        <v>57454159203</v>
      </c>
      <c r="AG41" s="1063">
        <v>62150073706</v>
      </c>
      <c r="AH41" s="1063">
        <v>60309889451</v>
      </c>
      <c r="AI41" s="1063">
        <v>63256403668</v>
      </c>
      <c r="AJ41" s="1063">
        <v>65810994273</v>
      </c>
      <c r="AK41" s="1063">
        <v>67893318589</v>
      </c>
      <c r="AL41" s="1063">
        <v>69154998379</v>
      </c>
      <c r="AM41" s="1063">
        <v>71759178938</v>
      </c>
      <c r="AN41" s="1063">
        <v>75722553054</v>
      </c>
      <c r="AO41" s="1063">
        <v>78490478034</v>
      </c>
      <c r="AP41" s="1063">
        <v>80166686569</v>
      </c>
      <c r="AQ41" s="1077">
        <v>83957140920</v>
      </c>
      <c r="AR41" s="1078"/>
      <c r="AS41" s="1063">
        <v>27107273195</v>
      </c>
      <c r="AT41" s="1063">
        <v>64337306725</v>
      </c>
      <c r="AU41" s="1063">
        <v>104985986252</v>
      </c>
      <c r="AV41" s="1063">
        <v>129130633908</v>
      </c>
      <c r="AW41" s="1063">
        <v>148320290023</v>
      </c>
      <c r="AX41" s="1063">
        <v>175500794475</v>
      </c>
      <c r="AY41" s="1063">
        <v>210610944986</v>
      </c>
      <c r="AZ41" s="1063">
        <v>233784029581</v>
      </c>
      <c r="BA41" s="1063">
        <v>257270605981</v>
      </c>
      <c r="BB41" s="1063">
        <v>295127208405</v>
      </c>
      <c r="BC41" s="1063">
        <v>140914177317</v>
      </c>
      <c r="BD41" s="1063">
        <v>164123827489</v>
      </c>
    </row>
    <row r="42" spans="1:56">
      <c r="A42" s="1079" t="s">
        <v>1046</v>
      </c>
      <c r="B42" s="1065">
        <v>7256368728</v>
      </c>
      <c r="C42" s="1065">
        <v>6545474955</v>
      </c>
      <c r="D42" s="1065">
        <v>5774539689</v>
      </c>
      <c r="E42" s="1065">
        <v>5035530972</v>
      </c>
      <c r="F42" s="1065">
        <v>4458200261</v>
      </c>
      <c r="G42" s="1065">
        <v>10699584184</v>
      </c>
      <c r="H42" s="1065">
        <v>9862379758</v>
      </c>
      <c r="I42" s="1065">
        <v>9947043609</v>
      </c>
      <c r="J42" s="1065">
        <v>13577232024</v>
      </c>
      <c r="K42" s="1065">
        <v>11268288436</v>
      </c>
      <c r="L42" s="1065">
        <v>12934345980</v>
      </c>
      <c r="M42" s="1065">
        <v>12345033603</v>
      </c>
      <c r="N42" s="1065">
        <v>13291392086</v>
      </c>
      <c r="O42" s="1065">
        <v>12919970793</v>
      </c>
      <c r="P42" s="1065">
        <v>13463083652</v>
      </c>
      <c r="Q42" s="1065">
        <v>6274052579</v>
      </c>
      <c r="R42" s="1065">
        <v>11524523361</v>
      </c>
      <c r="S42" s="1065">
        <v>11166743554</v>
      </c>
      <c r="T42" s="1065">
        <v>10866166693</v>
      </c>
      <c r="U42" s="1065">
        <v>10724138504</v>
      </c>
      <c r="V42" s="1065">
        <v>10429833293</v>
      </c>
      <c r="W42" s="1065">
        <v>10336029051</v>
      </c>
      <c r="X42" s="1065">
        <v>10980684620</v>
      </c>
      <c r="Y42" s="1065">
        <v>11675638465</v>
      </c>
      <c r="Z42" s="1065">
        <v>11492078968</v>
      </c>
      <c r="AA42" s="1065">
        <v>11442067051</v>
      </c>
      <c r="AB42" s="1065">
        <v>12564149334</v>
      </c>
      <c r="AC42" s="1065">
        <v>12984260263</v>
      </c>
      <c r="AD42" s="1065">
        <v>13238814296</v>
      </c>
      <c r="AE42" s="1065">
        <v>12331397670</v>
      </c>
      <c r="AF42" s="1065">
        <v>12755220662</v>
      </c>
      <c r="AG42" s="1065">
        <v>12806400668</v>
      </c>
      <c r="AH42" s="1065">
        <v>12654904187</v>
      </c>
      <c r="AI42" s="1065">
        <v>12712315215</v>
      </c>
      <c r="AJ42" s="1065">
        <v>12817432532</v>
      </c>
      <c r="AK42" s="1065">
        <v>12919953200</v>
      </c>
      <c r="AL42" s="1065">
        <v>13084941415</v>
      </c>
      <c r="AM42" s="1065">
        <v>12645155134</v>
      </c>
      <c r="AN42" s="1065">
        <v>12569928144</v>
      </c>
      <c r="AO42" s="1065">
        <v>12568285510</v>
      </c>
      <c r="AP42" s="1065">
        <v>12341316869</v>
      </c>
      <c r="AQ42" s="1080">
        <v>12410268421</v>
      </c>
      <c r="AR42" s="1081"/>
      <c r="AS42" s="1065">
        <v>24611914344</v>
      </c>
      <c r="AT42" s="1065">
        <v>34967207812</v>
      </c>
      <c r="AU42" s="1065">
        <v>50124900043</v>
      </c>
      <c r="AV42" s="1065">
        <v>45948499110</v>
      </c>
      <c r="AW42" s="1065">
        <v>44281572112</v>
      </c>
      <c r="AX42" s="1065">
        <v>43422185429</v>
      </c>
      <c r="AY42" s="1065">
        <v>48482555616</v>
      </c>
      <c r="AZ42" s="1065">
        <v>51131833296</v>
      </c>
      <c r="BA42" s="1065">
        <v>51104605134</v>
      </c>
      <c r="BB42" s="1065">
        <v>50868310203</v>
      </c>
      <c r="BC42" s="1065">
        <v>25730096549</v>
      </c>
      <c r="BD42" s="1065">
        <v>24751585290</v>
      </c>
    </row>
    <row r="43" spans="1:56">
      <c r="A43" s="1079" t="s">
        <v>1047</v>
      </c>
      <c r="B43" s="1065">
        <v>244177458</v>
      </c>
      <c r="C43" s="1065">
        <v>81392526</v>
      </c>
      <c r="D43" s="1065">
        <v>0</v>
      </c>
      <c r="E43" s="1065">
        <v>0</v>
      </c>
      <c r="F43" s="1065">
        <v>0</v>
      </c>
      <c r="G43" s="1065">
        <v>6478075150</v>
      </c>
      <c r="H43" s="1065">
        <v>7920772723</v>
      </c>
      <c r="I43" s="1065">
        <v>10450168900</v>
      </c>
      <c r="J43" s="1065">
        <v>10332761953</v>
      </c>
      <c r="K43" s="1065">
        <v>12192459595</v>
      </c>
      <c r="L43" s="1065">
        <v>13776701778</v>
      </c>
      <c r="M43" s="1065">
        <v>15296028254</v>
      </c>
      <c r="N43" s="1065">
        <v>15824799936</v>
      </c>
      <c r="O43" s="1065">
        <v>18646948678</v>
      </c>
      <c r="P43" s="1065">
        <v>19489838534</v>
      </c>
      <c r="Q43" s="1065">
        <v>21025723235</v>
      </c>
      <c r="R43" s="1065">
        <v>22174771796</v>
      </c>
      <c r="S43" s="1065">
        <v>24318607390</v>
      </c>
      <c r="T43" s="1065">
        <v>24419582241</v>
      </c>
      <c r="U43" s="1065">
        <v>27061095036</v>
      </c>
      <c r="V43" s="1065">
        <v>28795299561</v>
      </c>
      <c r="W43" s="1065">
        <v>31843777092</v>
      </c>
      <c r="X43" s="1065">
        <v>33009082153</v>
      </c>
      <c r="Y43" s="1065">
        <v>34002133877</v>
      </c>
      <c r="Z43" s="1065">
        <v>35783443444</v>
      </c>
      <c r="AA43" s="1065">
        <v>38996868336</v>
      </c>
      <c r="AB43" s="1065">
        <v>41149369548</v>
      </c>
      <c r="AC43" s="1065">
        <v>42212758454</v>
      </c>
      <c r="AD43" s="1065">
        <v>42578667352</v>
      </c>
      <c r="AE43" s="1065">
        <v>43621118602</v>
      </c>
      <c r="AF43" s="1065">
        <v>44331826240</v>
      </c>
      <c r="AG43" s="1065">
        <v>48411325535</v>
      </c>
      <c r="AH43" s="1065">
        <v>46741823507</v>
      </c>
      <c r="AI43" s="1065">
        <v>49047561820</v>
      </c>
      <c r="AJ43" s="1065">
        <v>51561467758</v>
      </c>
      <c r="AK43" s="1065">
        <v>53964252813</v>
      </c>
      <c r="AL43" s="1065">
        <v>54834288954</v>
      </c>
      <c r="AM43" s="1065">
        <v>57550104236</v>
      </c>
      <c r="AN43" s="1065">
        <v>61814751397</v>
      </c>
      <c r="AO43" s="1065">
        <v>64619011032</v>
      </c>
      <c r="AP43" s="1065">
        <v>66376237656</v>
      </c>
      <c r="AQ43" s="1080">
        <v>70772514357</v>
      </c>
      <c r="AR43" s="1081"/>
      <c r="AS43" s="1065">
        <v>325569984</v>
      </c>
      <c r="AT43" s="1065">
        <v>24849016773</v>
      </c>
      <c r="AU43" s="1065">
        <v>51597951580</v>
      </c>
      <c r="AV43" s="1065">
        <v>74987310383</v>
      </c>
      <c r="AW43" s="1065">
        <v>97974056463</v>
      </c>
      <c r="AX43" s="1065">
        <v>127650292683</v>
      </c>
      <c r="AY43" s="1065">
        <v>158142439782</v>
      </c>
      <c r="AZ43" s="1065">
        <v>178942937729</v>
      </c>
      <c r="BA43" s="1065">
        <v>201315105898</v>
      </c>
      <c r="BB43" s="1065">
        <v>238818155619</v>
      </c>
      <c r="BC43" s="1065">
        <v>112384393190</v>
      </c>
      <c r="BD43" s="1065">
        <v>137148752013</v>
      </c>
    </row>
    <row r="44" spans="1:56">
      <c r="A44" s="1079" t="s">
        <v>1048</v>
      </c>
      <c r="B44" s="1065">
        <v>594648257</v>
      </c>
      <c r="C44" s="1065">
        <v>516413039</v>
      </c>
      <c r="D44" s="1065">
        <v>553222847</v>
      </c>
      <c r="E44" s="1065">
        <v>428240116</v>
      </c>
      <c r="F44" s="1065">
        <v>629952612</v>
      </c>
      <c r="G44" s="1065">
        <v>1126210502</v>
      </c>
      <c r="H44" s="1065">
        <v>825974754</v>
      </c>
      <c r="I44" s="1065">
        <v>893145499</v>
      </c>
      <c r="J44" s="1065">
        <v>1166854787</v>
      </c>
      <c r="K44" s="1065">
        <v>769699746</v>
      </c>
      <c r="L44" s="1065">
        <v>718834220</v>
      </c>
      <c r="M44" s="1065">
        <v>607745876</v>
      </c>
      <c r="N44" s="1065">
        <v>796423724</v>
      </c>
      <c r="O44" s="1065">
        <v>916086074</v>
      </c>
      <c r="P44" s="1065">
        <v>753143379</v>
      </c>
      <c r="Q44" s="1065">
        <v>5729171238</v>
      </c>
      <c r="R44" s="1065">
        <v>2978451150</v>
      </c>
      <c r="S44" s="1065">
        <v>940226878</v>
      </c>
      <c r="T44" s="1065">
        <v>1309180536</v>
      </c>
      <c r="U44" s="1065">
        <v>836802884</v>
      </c>
      <c r="V44" s="1065">
        <v>1554027075</v>
      </c>
      <c r="W44" s="1065">
        <v>936741113</v>
      </c>
      <c r="X44" s="1065">
        <v>902610187</v>
      </c>
      <c r="Y44" s="1065">
        <v>1034937988</v>
      </c>
      <c r="Z44" s="1065">
        <v>875998637</v>
      </c>
      <c r="AA44" s="1065">
        <v>902701159</v>
      </c>
      <c r="AB44" s="1065">
        <v>1018492361</v>
      </c>
      <c r="AC44" s="1065">
        <v>930174274</v>
      </c>
      <c r="AD44" s="1065">
        <v>866437526</v>
      </c>
      <c r="AE44" s="1065">
        <v>1105346253</v>
      </c>
      <c r="AF44" s="1065">
        <v>805127274</v>
      </c>
      <c r="AG44" s="1065">
        <v>932347503</v>
      </c>
      <c r="AH44" s="1065">
        <v>913161757</v>
      </c>
      <c r="AI44" s="1065">
        <v>1496526633</v>
      </c>
      <c r="AJ44" s="1065">
        <v>1432093983</v>
      </c>
      <c r="AK44" s="1065">
        <v>1009112576</v>
      </c>
      <c r="AL44" s="1065">
        <v>1235768010</v>
      </c>
      <c r="AM44" s="1065">
        <v>1563919568</v>
      </c>
      <c r="AN44" s="1065">
        <v>1337873513</v>
      </c>
      <c r="AO44" s="1065">
        <v>1303181492</v>
      </c>
      <c r="AP44" s="1065">
        <v>1206709545</v>
      </c>
      <c r="AQ44" s="1080">
        <v>1016780641</v>
      </c>
      <c r="AR44" s="1081"/>
      <c r="AS44" s="1065">
        <v>2092524259</v>
      </c>
      <c r="AT44" s="1065">
        <v>3475283367</v>
      </c>
      <c r="AU44" s="1065">
        <v>3263134629</v>
      </c>
      <c r="AV44" s="1065">
        <v>8194824415</v>
      </c>
      <c r="AW44" s="1065">
        <v>6064661448</v>
      </c>
      <c r="AX44" s="1065">
        <v>4428316363</v>
      </c>
      <c r="AY44" s="1065">
        <v>3727366431</v>
      </c>
      <c r="AZ44" s="1065">
        <v>3709258556</v>
      </c>
      <c r="BA44" s="1065">
        <v>4850894949</v>
      </c>
      <c r="BB44" s="1065">
        <v>5440742583</v>
      </c>
      <c r="BC44" s="1065">
        <v>2799687578</v>
      </c>
      <c r="BD44" s="1065">
        <v>2223490186</v>
      </c>
    </row>
    <row r="45" spans="1:56">
      <c r="A45" s="1079" t="s">
        <v>1049</v>
      </c>
      <c r="B45" s="1065">
        <v>678456555</v>
      </c>
      <c r="C45" s="1065">
        <v>380007366</v>
      </c>
      <c r="D45" s="1065">
        <v>401540370</v>
      </c>
      <c r="E45" s="1065">
        <v>-1382739683</v>
      </c>
      <c r="F45" s="1065">
        <v>248840503</v>
      </c>
      <c r="G45" s="1065">
        <v>-248840503</v>
      </c>
      <c r="H45" s="1065">
        <v>0</v>
      </c>
      <c r="I45" s="1065">
        <v>1045798773</v>
      </c>
      <c r="J45" s="1065">
        <v>551905535</v>
      </c>
      <c r="K45" s="1065">
        <v>-551905535</v>
      </c>
      <c r="L45" s="1065">
        <v>0</v>
      </c>
      <c r="M45" s="1065">
        <v>0</v>
      </c>
      <c r="N45" s="1065">
        <v>0</v>
      </c>
      <c r="O45" s="1065">
        <v>0</v>
      </c>
      <c r="P45" s="1065">
        <v>0</v>
      </c>
      <c r="Q45" s="1065">
        <v>0</v>
      </c>
      <c r="R45" s="1065">
        <v>0</v>
      </c>
      <c r="S45" s="1065">
        <v>0</v>
      </c>
      <c r="T45" s="1065">
        <v>0</v>
      </c>
      <c r="U45" s="1065">
        <v>0</v>
      </c>
      <c r="V45" s="1065">
        <v>0</v>
      </c>
      <c r="W45" s="1065">
        <v>0</v>
      </c>
      <c r="X45" s="1065">
        <v>0</v>
      </c>
      <c r="Y45" s="1065">
        <v>0</v>
      </c>
      <c r="Z45" s="1065">
        <v>117184471</v>
      </c>
      <c r="AA45" s="1065">
        <v>150648930</v>
      </c>
      <c r="AB45" s="1065">
        <v>43873903</v>
      </c>
      <c r="AC45" s="1065">
        <v>-53124147</v>
      </c>
      <c r="AD45" s="1065">
        <v>432960054</v>
      </c>
      <c r="AE45" s="1065">
        <v>5054919</v>
      </c>
      <c r="AF45" s="1065">
        <v>-438014973</v>
      </c>
      <c r="AG45" s="1065">
        <v>0</v>
      </c>
      <c r="AH45" s="1065">
        <v>0</v>
      </c>
      <c r="AI45" s="1065">
        <v>0</v>
      </c>
      <c r="AJ45" s="1065">
        <v>0</v>
      </c>
      <c r="AK45" s="1065">
        <v>0</v>
      </c>
      <c r="AL45" s="1065">
        <v>0</v>
      </c>
      <c r="AM45" s="1065">
        <v>0</v>
      </c>
      <c r="AN45" s="1065">
        <v>0</v>
      </c>
      <c r="AO45" s="1065">
        <v>0</v>
      </c>
      <c r="AP45" s="1065">
        <v>242422499</v>
      </c>
      <c r="AQ45" s="1080">
        <v>-242422499</v>
      </c>
      <c r="AR45" s="1081"/>
      <c r="AS45" s="1065">
        <v>77264608</v>
      </c>
      <c r="AT45" s="1065">
        <v>1045798773</v>
      </c>
      <c r="AU45" s="1065">
        <v>0</v>
      </c>
      <c r="AV45" s="1065">
        <v>0</v>
      </c>
      <c r="AW45" s="1065">
        <v>0</v>
      </c>
      <c r="AX45" s="1065">
        <v>0</v>
      </c>
      <c r="AY45" s="1065">
        <v>258583157</v>
      </c>
      <c r="AZ45" s="1065">
        <v>0</v>
      </c>
      <c r="BA45" s="1065">
        <v>0</v>
      </c>
      <c r="BB45" s="1065">
        <v>0</v>
      </c>
      <c r="BC45" s="1065">
        <v>0</v>
      </c>
      <c r="BD45" s="1065">
        <v>0</v>
      </c>
    </row>
    <row r="46" spans="1:56">
      <c r="A46" s="1076" t="s">
        <v>1050</v>
      </c>
      <c r="B46" s="1063">
        <v>7997472928</v>
      </c>
      <c r="C46" s="1063">
        <v>6652995035</v>
      </c>
      <c r="D46" s="1063">
        <v>3688288501</v>
      </c>
      <c r="E46" s="1063">
        <v>2712700762</v>
      </c>
      <c r="F46" s="1063">
        <v>19445190948</v>
      </c>
      <c r="G46" s="1063">
        <v>4940491381</v>
      </c>
      <c r="H46" s="1063">
        <v>3640780823</v>
      </c>
      <c r="I46" s="1063">
        <v>4853116277</v>
      </c>
      <c r="J46" s="1063">
        <v>22390426246</v>
      </c>
      <c r="K46" s="1063">
        <v>82439760979</v>
      </c>
      <c r="L46" s="1063">
        <v>56999905435</v>
      </c>
      <c r="M46" s="1063">
        <v>41019410145</v>
      </c>
      <c r="N46" s="1063">
        <v>77031742823</v>
      </c>
      <c r="O46" s="1063">
        <v>87335376757</v>
      </c>
      <c r="P46" s="1063">
        <v>69544003657</v>
      </c>
      <c r="Q46" s="1063">
        <v>85261777026</v>
      </c>
      <c r="R46" s="1063">
        <v>132300721182</v>
      </c>
      <c r="S46" s="1063">
        <v>29528055414</v>
      </c>
      <c r="T46" s="1063">
        <v>67602750421</v>
      </c>
      <c r="U46" s="1063">
        <v>71710479461</v>
      </c>
      <c r="V46" s="1063">
        <v>109317207977</v>
      </c>
      <c r="W46" s="1063">
        <v>140879672688</v>
      </c>
      <c r="X46" s="1063">
        <v>158410706488</v>
      </c>
      <c r="Y46" s="1063">
        <v>55021332242</v>
      </c>
      <c r="Z46" s="1063">
        <v>144147548298</v>
      </c>
      <c r="AA46" s="1063">
        <v>80744215538</v>
      </c>
      <c r="AB46" s="1063">
        <v>75517991319</v>
      </c>
      <c r="AC46" s="1063">
        <v>87302798272</v>
      </c>
      <c r="AD46" s="1063">
        <v>113621034590</v>
      </c>
      <c r="AE46" s="1063">
        <v>106188503470</v>
      </c>
      <c r="AF46" s="1063">
        <v>72470570830</v>
      </c>
      <c r="AG46" s="1063">
        <v>88355048877</v>
      </c>
      <c r="AH46" s="1063">
        <v>99134266513</v>
      </c>
      <c r="AI46" s="1063">
        <v>105700295334</v>
      </c>
      <c r="AJ46" s="1063">
        <v>80642566261</v>
      </c>
      <c r="AK46" s="1063">
        <v>101286846073</v>
      </c>
      <c r="AL46" s="1063">
        <v>124670450231</v>
      </c>
      <c r="AM46" s="1063">
        <v>158253439693</v>
      </c>
      <c r="AN46" s="1063">
        <v>213333025113</v>
      </c>
      <c r="AO46" s="1063">
        <v>165128725020</v>
      </c>
      <c r="AP46" s="1063">
        <v>202938551682</v>
      </c>
      <c r="AQ46" s="1077">
        <v>170351621662</v>
      </c>
      <c r="AR46" s="1078"/>
      <c r="AS46" s="1063">
        <v>21051457226</v>
      </c>
      <c r="AT46" s="1063">
        <v>32879579429</v>
      </c>
      <c r="AU46" s="1063">
        <v>202849502805</v>
      </c>
      <c r="AV46" s="1063">
        <v>319172900263</v>
      </c>
      <c r="AW46" s="1063">
        <v>301142006478</v>
      </c>
      <c r="AX46" s="1063">
        <v>463628919395</v>
      </c>
      <c r="AY46" s="1063">
        <v>387712553427</v>
      </c>
      <c r="AZ46" s="1063">
        <v>380635157767</v>
      </c>
      <c r="BA46" s="1063">
        <v>386763974181</v>
      </c>
      <c r="BB46" s="1063">
        <v>661385640057</v>
      </c>
      <c r="BC46" s="1063">
        <v>282923889924</v>
      </c>
      <c r="BD46" s="1063">
        <v>373290173344</v>
      </c>
    </row>
    <row r="47" spans="1:56">
      <c r="A47" s="1079" t="s">
        <v>1051</v>
      </c>
      <c r="B47" s="1065">
        <v>5206546271</v>
      </c>
      <c r="C47" s="1065">
        <v>15244244</v>
      </c>
      <c r="D47" s="1065">
        <v>59860182</v>
      </c>
      <c r="E47" s="1065">
        <v>16815382</v>
      </c>
      <c r="F47" s="1065">
        <v>7439658935</v>
      </c>
      <c r="G47" s="1065">
        <v>49372109</v>
      </c>
      <c r="H47" s="1065">
        <v>699344995</v>
      </c>
      <c r="I47" s="1065">
        <v>1436598096</v>
      </c>
      <c r="J47" s="1065">
        <v>10339211730</v>
      </c>
      <c r="K47" s="1065">
        <v>814850737</v>
      </c>
      <c r="L47" s="1065">
        <v>4553844140</v>
      </c>
      <c r="M47" s="1065">
        <v>401699312</v>
      </c>
      <c r="N47" s="1065">
        <v>17633371870</v>
      </c>
      <c r="O47" s="1065">
        <v>4923291448</v>
      </c>
      <c r="P47" s="1065">
        <v>2252756009</v>
      </c>
      <c r="Q47" s="1065">
        <v>1650475010</v>
      </c>
      <c r="R47" s="1065">
        <v>14350196872</v>
      </c>
      <c r="S47" s="1065">
        <v>3644395221</v>
      </c>
      <c r="T47" s="1065">
        <v>3502836153</v>
      </c>
      <c r="U47" s="1065">
        <v>2329606978</v>
      </c>
      <c r="V47" s="1065">
        <v>21163303339</v>
      </c>
      <c r="W47" s="1065">
        <v>667944233</v>
      </c>
      <c r="X47" s="1065">
        <v>4737876028</v>
      </c>
      <c r="Y47" s="1065">
        <v>2942280245</v>
      </c>
      <c r="Z47" s="1065">
        <v>26133775349</v>
      </c>
      <c r="AA47" s="1065">
        <v>4597148447</v>
      </c>
      <c r="AB47" s="1065">
        <v>2322651513</v>
      </c>
      <c r="AC47" s="1065">
        <v>4788897241</v>
      </c>
      <c r="AD47" s="1065">
        <v>26609989125</v>
      </c>
      <c r="AE47" s="1065">
        <v>1417478013</v>
      </c>
      <c r="AF47" s="1065">
        <v>2837508989</v>
      </c>
      <c r="AG47" s="1065">
        <v>6302153266</v>
      </c>
      <c r="AH47" s="1065">
        <v>28778204513</v>
      </c>
      <c r="AI47" s="1065">
        <v>10033517413</v>
      </c>
      <c r="AJ47" s="1065">
        <v>6858402198</v>
      </c>
      <c r="AK47" s="1065">
        <v>11610626524</v>
      </c>
      <c r="AL47" s="1065">
        <v>45328532381</v>
      </c>
      <c r="AM47" s="1065">
        <v>9964802746</v>
      </c>
      <c r="AN47" s="1065">
        <v>18879251747</v>
      </c>
      <c r="AO47" s="1065">
        <v>16504093038</v>
      </c>
      <c r="AP47" s="1065">
        <v>77737977909</v>
      </c>
      <c r="AQ47" s="1080">
        <v>22153193182</v>
      </c>
      <c r="AR47" s="1081"/>
      <c r="AS47" s="1065">
        <v>5298466079</v>
      </c>
      <c r="AT47" s="1065">
        <v>9624974135</v>
      </c>
      <c r="AU47" s="1065">
        <v>16109605919</v>
      </c>
      <c r="AV47" s="1065">
        <v>26459894337</v>
      </c>
      <c r="AW47" s="1065">
        <v>23827035224</v>
      </c>
      <c r="AX47" s="1065">
        <v>29511403845</v>
      </c>
      <c r="AY47" s="1065">
        <v>37842472550</v>
      </c>
      <c r="AZ47" s="1065">
        <v>37167129393</v>
      </c>
      <c r="BA47" s="1065">
        <v>57280750648</v>
      </c>
      <c r="BB47" s="1065">
        <v>90676679912</v>
      </c>
      <c r="BC47" s="1065">
        <v>55293335127</v>
      </c>
      <c r="BD47" s="1065">
        <v>99891171091</v>
      </c>
    </row>
    <row r="48" spans="1:56">
      <c r="A48" s="1079" t="s">
        <v>1052</v>
      </c>
      <c r="B48" s="1065">
        <v>1561167248</v>
      </c>
      <c r="C48" s="1065">
        <v>2481125981</v>
      </c>
      <c r="D48" s="1065">
        <v>2545507139</v>
      </c>
      <c r="E48" s="1065">
        <v>1588436067</v>
      </c>
      <c r="F48" s="1065">
        <v>401217967</v>
      </c>
      <c r="G48" s="1065">
        <v>2279255135</v>
      </c>
      <c r="H48" s="1065">
        <v>464829472</v>
      </c>
      <c r="I48" s="1065">
        <v>734115206</v>
      </c>
      <c r="J48" s="1065">
        <v>1412236178</v>
      </c>
      <c r="K48" s="1065">
        <v>2525109313</v>
      </c>
      <c r="L48" s="1065">
        <v>520199554</v>
      </c>
      <c r="M48" s="1065">
        <v>1156986122</v>
      </c>
      <c r="N48" s="1065">
        <v>197810219</v>
      </c>
      <c r="O48" s="1065">
        <v>7681992076</v>
      </c>
      <c r="P48" s="1065">
        <v>721290365</v>
      </c>
      <c r="Q48" s="1065">
        <v>1318896604</v>
      </c>
      <c r="R48" s="1065">
        <v>1631345818</v>
      </c>
      <c r="S48" s="1065">
        <v>4215421409</v>
      </c>
      <c r="T48" s="1065">
        <v>1045129833</v>
      </c>
      <c r="U48" s="1065">
        <v>1880050178</v>
      </c>
      <c r="V48" s="1065">
        <v>2737778758</v>
      </c>
      <c r="W48" s="1065">
        <v>6636905598</v>
      </c>
      <c r="X48" s="1065">
        <v>952658243</v>
      </c>
      <c r="Y48" s="1065">
        <v>1719201508</v>
      </c>
      <c r="Z48" s="1065">
        <v>833915941</v>
      </c>
      <c r="AA48" s="1065">
        <v>10880889689</v>
      </c>
      <c r="AB48" s="1065">
        <v>1905384915</v>
      </c>
      <c r="AC48" s="1065">
        <v>2349340983</v>
      </c>
      <c r="AD48" s="1065">
        <v>1107860241</v>
      </c>
      <c r="AE48" s="1065">
        <v>12920638054</v>
      </c>
      <c r="AF48" s="1065">
        <v>3041601106</v>
      </c>
      <c r="AG48" s="1065">
        <v>4201568680</v>
      </c>
      <c r="AH48" s="1065">
        <v>1315303848</v>
      </c>
      <c r="AI48" s="1065">
        <v>11517902175</v>
      </c>
      <c r="AJ48" s="1065">
        <v>5632498649</v>
      </c>
      <c r="AK48" s="1065">
        <v>10507727756</v>
      </c>
      <c r="AL48" s="1065">
        <v>10770348589</v>
      </c>
      <c r="AM48" s="1065">
        <v>21129713696</v>
      </c>
      <c r="AN48" s="1065">
        <v>25272526888</v>
      </c>
      <c r="AO48" s="1065">
        <v>52944653495</v>
      </c>
      <c r="AP48" s="1065">
        <v>26377151589</v>
      </c>
      <c r="AQ48" s="1080">
        <v>33740482521</v>
      </c>
      <c r="AR48" s="1081"/>
      <c r="AS48" s="1065">
        <v>8176236435</v>
      </c>
      <c r="AT48" s="1065">
        <v>3879417780</v>
      </c>
      <c r="AU48" s="1065">
        <v>5614531167</v>
      </c>
      <c r="AV48" s="1065">
        <v>9919989264</v>
      </c>
      <c r="AW48" s="1065">
        <v>8771947238</v>
      </c>
      <c r="AX48" s="1065">
        <v>12046544107</v>
      </c>
      <c r="AY48" s="1065">
        <v>15969531528</v>
      </c>
      <c r="AZ48" s="1065">
        <v>21271668081</v>
      </c>
      <c r="BA48" s="1065">
        <v>28973432428</v>
      </c>
      <c r="BB48" s="1065">
        <v>110117242668</v>
      </c>
      <c r="BC48" s="1065">
        <v>31900062285</v>
      </c>
      <c r="BD48" s="1065">
        <v>60117634110</v>
      </c>
    </row>
    <row r="49" spans="1:56">
      <c r="A49" s="1079" t="s">
        <v>1053</v>
      </c>
      <c r="B49" s="1065">
        <v>39511712</v>
      </c>
      <c r="C49" s="1065">
        <v>72820958</v>
      </c>
      <c r="D49" s="1065">
        <v>-7752094</v>
      </c>
      <c r="E49" s="1065">
        <v>-104580576</v>
      </c>
      <c r="F49" s="1065">
        <v>182462962</v>
      </c>
      <c r="G49" s="1065">
        <v>-150729969</v>
      </c>
      <c r="H49" s="1065">
        <v>-31732993</v>
      </c>
      <c r="I49" s="1065">
        <v>0</v>
      </c>
      <c r="J49" s="1065">
        <v>0</v>
      </c>
      <c r="K49" s="1065">
        <v>0</v>
      </c>
      <c r="L49" s="1065">
        <v>0</v>
      </c>
      <c r="M49" s="1065">
        <v>0</v>
      </c>
      <c r="N49" s="1065">
        <v>461206274</v>
      </c>
      <c r="O49" s="1065">
        <v>-329584092</v>
      </c>
      <c r="P49" s="1065">
        <v>-131622182</v>
      </c>
      <c r="Q49" s="1065">
        <v>0</v>
      </c>
      <c r="R49" s="1065">
        <v>0</v>
      </c>
      <c r="S49" s="1065">
        <v>0</v>
      </c>
      <c r="T49" s="1065">
        <v>0</v>
      </c>
      <c r="U49" s="1065">
        <v>0</v>
      </c>
      <c r="V49" s="1065">
        <v>0</v>
      </c>
      <c r="W49" s="1065">
        <v>0</v>
      </c>
      <c r="X49" s="1065">
        <v>0</v>
      </c>
      <c r="Y49" s="1065">
        <v>0</v>
      </c>
      <c r="Z49" s="1065">
        <v>3441276</v>
      </c>
      <c r="AA49" s="1065">
        <v>-3441276</v>
      </c>
      <c r="AB49" s="1065">
        <v>437327268</v>
      </c>
      <c r="AC49" s="1065">
        <v>2523326434</v>
      </c>
      <c r="AD49" s="1065">
        <v>0</v>
      </c>
      <c r="AE49" s="1065">
        <v>0</v>
      </c>
      <c r="AF49" s="1065">
        <v>0</v>
      </c>
      <c r="AG49" s="1065">
        <v>0</v>
      </c>
      <c r="AH49" s="1065">
        <v>0</v>
      </c>
      <c r="AI49" s="1065">
        <v>0</v>
      </c>
      <c r="AJ49" s="1065">
        <v>0</v>
      </c>
      <c r="AK49" s="1065">
        <v>0</v>
      </c>
      <c r="AL49" s="1065">
        <v>0</v>
      </c>
      <c r="AM49" s="1065">
        <v>0</v>
      </c>
      <c r="AN49" s="1065">
        <v>0</v>
      </c>
      <c r="AO49" s="1065">
        <v>0</v>
      </c>
      <c r="AP49" s="1065">
        <v>0</v>
      </c>
      <c r="AQ49" s="1080">
        <v>0</v>
      </c>
      <c r="AR49" s="1081"/>
      <c r="AS49" s="1065">
        <v>0</v>
      </c>
      <c r="AT49" s="1065">
        <v>0</v>
      </c>
      <c r="AU49" s="1065">
        <v>0</v>
      </c>
      <c r="AV49" s="1065">
        <v>0</v>
      </c>
      <c r="AW49" s="1065">
        <v>0</v>
      </c>
      <c r="AX49" s="1065">
        <v>0</v>
      </c>
      <c r="AY49" s="1065">
        <v>2960653702</v>
      </c>
      <c r="AZ49" s="1065">
        <v>0</v>
      </c>
      <c r="BA49" s="1065">
        <v>0</v>
      </c>
      <c r="BB49" s="1065">
        <v>0</v>
      </c>
      <c r="BC49" s="1065">
        <v>0</v>
      </c>
      <c r="BD49" s="1065">
        <v>0</v>
      </c>
    </row>
    <row r="50" spans="1:56">
      <c r="A50" s="1079" t="s">
        <v>1054</v>
      </c>
      <c r="B50" s="1065">
        <v>120726935</v>
      </c>
      <c r="C50" s="1065">
        <v>695192934</v>
      </c>
      <c r="D50" s="1065">
        <v>0</v>
      </c>
      <c r="E50" s="1065">
        <v>-797831674</v>
      </c>
      <c r="F50" s="1065">
        <v>7971237201</v>
      </c>
      <c r="G50" s="1065">
        <v>0</v>
      </c>
      <c r="H50" s="1065">
        <v>9607519</v>
      </c>
      <c r="I50" s="1065">
        <v>289099569</v>
      </c>
      <c r="J50" s="1065">
        <v>270262201</v>
      </c>
      <c r="K50" s="1065">
        <v>-270262201</v>
      </c>
      <c r="L50" s="1065">
        <v>26158361</v>
      </c>
      <c r="M50" s="1065">
        <v>0</v>
      </c>
      <c r="N50" s="1065">
        <v>7295446</v>
      </c>
      <c r="O50" s="1065">
        <v>64232940</v>
      </c>
      <c r="P50" s="1065">
        <v>205541498</v>
      </c>
      <c r="Q50" s="1065">
        <v>-36775700</v>
      </c>
      <c r="R50" s="1065">
        <v>3990330612</v>
      </c>
      <c r="S50" s="1065">
        <v>3247362928</v>
      </c>
      <c r="T50" s="1065">
        <v>1792639713</v>
      </c>
      <c r="U50" s="1065">
        <v>2472203999</v>
      </c>
      <c r="V50" s="1065">
        <v>2141421890</v>
      </c>
      <c r="W50" s="1065">
        <v>-1191283665</v>
      </c>
      <c r="X50" s="1065">
        <v>187474560</v>
      </c>
      <c r="Y50" s="1065">
        <v>-1102327737</v>
      </c>
      <c r="Z50" s="1065">
        <v>101450680</v>
      </c>
      <c r="AA50" s="1065">
        <v>20500000</v>
      </c>
      <c r="AB50" s="1065">
        <v>4500000</v>
      </c>
      <c r="AC50" s="1065">
        <v>0</v>
      </c>
      <c r="AD50" s="1065">
        <v>6988868169</v>
      </c>
      <c r="AE50" s="1065">
        <v>1839767794</v>
      </c>
      <c r="AF50" s="1065">
        <v>430747783</v>
      </c>
      <c r="AG50" s="1065">
        <v>2198852397</v>
      </c>
      <c r="AH50" s="1065">
        <v>0</v>
      </c>
      <c r="AI50" s="1065">
        <v>89249878</v>
      </c>
      <c r="AJ50" s="1065">
        <v>0</v>
      </c>
      <c r="AK50" s="1065">
        <v>33099474</v>
      </c>
      <c r="AL50" s="1065">
        <v>390948808</v>
      </c>
      <c r="AM50" s="1065">
        <v>-255463450</v>
      </c>
      <c r="AN50" s="1065">
        <v>0</v>
      </c>
      <c r="AO50" s="1065">
        <v>3957135136</v>
      </c>
      <c r="AP50" s="1065">
        <v>3610076965</v>
      </c>
      <c r="AQ50" s="1080">
        <v>5393754885</v>
      </c>
      <c r="AR50" s="1081"/>
      <c r="AS50" s="1065">
        <v>18088195</v>
      </c>
      <c r="AT50" s="1065">
        <v>8269944289</v>
      </c>
      <c r="AU50" s="1065">
        <v>26158361</v>
      </c>
      <c r="AV50" s="1065">
        <v>240294184</v>
      </c>
      <c r="AW50" s="1065">
        <v>11502537252</v>
      </c>
      <c r="AX50" s="1065">
        <v>35285048</v>
      </c>
      <c r="AY50" s="1065">
        <v>126450680</v>
      </c>
      <c r="AZ50" s="1065">
        <v>11458236143</v>
      </c>
      <c r="BA50" s="1065">
        <v>122349352</v>
      </c>
      <c r="BB50" s="1065">
        <v>4092620494</v>
      </c>
      <c r="BC50" s="1065">
        <v>135485358</v>
      </c>
      <c r="BD50" s="1065">
        <v>9003831850</v>
      </c>
    </row>
    <row r="51" spans="1:56">
      <c r="A51" s="1079" t="s">
        <v>1055</v>
      </c>
      <c r="B51" s="1065">
        <v>873572849</v>
      </c>
      <c r="C51" s="1065">
        <v>2824490286</v>
      </c>
      <c r="D51" s="1065">
        <v>870639267</v>
      </c>
      <c r="E51" s="1065">
        <v>1452766246</v>
      </c>
      <c r="F51" s="1065">
        <v>3448366643</v>
      </c>
      <c r="G51" s="1065">
        <v>2363837392</v>
      </c>
      <c r="H51" s="1065">
        <v>2148117946</v>
      </c>
      <c r="I51" s="1065">
        <v>2057995428</v>
      </c>
      <c r="J51" s="1065">
        <v>9638632780</v>
      </c>
      <c r="K51" s="1065">
        <v>75649585823</v>
      </c>
      <c r="L51" s="1065">
        <v>51175606926</v>
      </c>
      <c r="M51" s="1065">
        <v>39364911690</v>
      </c>
      <c r="N51" s="1065">
        <v>58717738892</v>
      </c>
      <c r="O51" s="1065">
        <v>74950927449</v>
      </c>
      <c r="P51" s="1065">
        <v>64069207394</v>
      </c>
      <c r="Q51" s="1065">
        <v>82262707296</v>
      </c>
      <c r="R51" s="1065">
        <v>111555873883</v>
      </c>
      <c r="S51" s="1065">
        <v>18686604751</v>
      </c>
      <c r="T51" s="1065">
        <v>61667353352</v>
      </c>
      <c r="U51" s="1065">
        <v>64861186429</v>
      </c>
      <c r="V51" s="1065">
        <v>82943479954</v>
      </c>
      <c r="W51" s="1065">
        <v>134618027836</v>
      </c>
      <c r="X51" s="1065">
        <v>151938335799</v>
      </c>
      <c r="Y51" s="1065">
        <v>47396962786</v>
      </c>
      <c r="Z51" s="1065">
        <v>116567413591</v>
      </c>
      <c r="AA51" s="1065">
        <v>65098774826</v>
      </c>
      <c r="AB51" s="1065">
        <v>70208358194</v>
      </c>
      <c r="AC51" s="1065">
        <v>74178466669</v>
      </c>
      <c r="AD51" s="1065">
        <v>78892129431</v>
      </c>
      <c r="AE51" s="1065">
        <v>89958552025</v>
      </c>
      <c r="AF51" s="1065">
        <v>64198305327</v>
      </c>
      <c r="AG51" s="1065">
        <v>75916549308</v>
      </c>
      <c r="AH51" s="1065">
        <v>67778319291</v>
      </c>
      <c r="AI51" s="1065">
        <v>83812993885</v>
      </c>
      <c r="AJ51" s="1065">
        <v>67928268755</v>
      </c>
      <c r="AK51" s="1065">
        <v>78716181001</v>
      </c>
      <c r="AL51" s="1065">
        <v>68151299132</v>
      </c>
      <c r="AM51" s="1065">
        <v>126721906169</v>
      </c>
      <c r="AN51" s="1065">
        <v>168553064356</v>
      </c>
      <c r="AO51" s="1065">
        <v>91690506064</v>
      </c>
      <c r="AP51" s="1065">
        <v>94855404846</v>
      </c>
      <c r="AQ51" s="1080">
        <v>108610967064</v>
      </c>
      <c r="AR51" s="1081"/>
      <c r="AS51" s="1065">
        <v>6021468648</v>
      </c>
      <c r="AT51" s="1065">
        <v>10018317409</v>
      </c>
      <c r="AU51" s="1065">
        <v>175828737219</v>
      </c>
      <c r="AV51" s="1065">
        <v>280000581031</v>
      </c>
      <c r="AW51" s="1065">
        <v>256771018415</v>
      </c>
      <c r="AX51" s="1065">
        <v>416896806375</v>
      </c>
      <c r="AY51" s="1065">
        <v>326053013280</v>
      </c>
      <c r="AZ51" s="1065">
        <v>308965536091</v>
      </c>
      <c r="BA51" s="1065">
        <v>298235762932</v>
      </c>
      <c r="BB51" s="1065">
        <v>455116775721</v>
      </c>
      <c r="BC51" s="1065">
        <v>194873205301</v>
      </c>
      <c r="BD51" s="1065">
        <v>203466371910</v>
      </c>
    </row>
    <row r="52" spans="1:56">
      <c r="A52" s="1079" t="s">
        <v>1056</v>
      </c>
      <c r="B52" s="1065">
        <v>195947913</v>
      </c>
      <c r="C52" s="1065">
        <v>564120632</v>
      </c>
      <c r="D52" s="1065">
        <v>220034007</v>
      </c>
      <c r="E52" s="1065">
        <v>557095317</v>
      </c>
      <c r="F52" s="1065">
        <v>2247240</v>
      </c>
      <c r="G52" s="1065">
        <v>398756714</v>
      </c>
      <c r="H52" s="1065">
        <v>350613884</v>
      </c>
      <c r="I52" s="1065">
        <v>335307978</v>
      </c>
      <c r="J52" s="1065">
        <v>730083357</v>
      </c>
      <c r="K52" s="1065">
        <v>3720477307</v>
      </c>
      <c r="L52" s="1065">
        <v>724096454</v>
      </c>
      <c r="M52" s="1065">
        <v>95813021</v>
      </c>
      <c r="N52" s="1065">
        <v>14320122</v>
      </c>
      <c r="O52" s="1065">
        <v>44516936</v>
      </c>
      <c r="P52" s="1065">
        <v>2426830573</v>
      </c>
      <c r="Q52" s="1065">
        <v>66473816</v>
      </c>
      <c r="R52" s="1065">
        <v>772973997</v>
      </c>
      <c r="S52" s="1065">
        <v>-265728895</v>
      </c>
      <c r="T52" s="1065">
        <v>-405208630</v>
      </c>
      <c r="U52" s="1065">
        <v>167431877</v>
      </c>
      <c r="V52" s="1065">
        <v>331224036</v>
      </c>
      <c r="W52" s="1065">
        <v>148078686</v>
      </c>
      <c r="X52" s="1065">
        <v>594361858</v>
      </c>
      <c r="Y52" s="1065">
        <v>4065215440</v>
      </c>
      <c r="Z52" s="1065">
        <v>507551461</v>
      </c>
      <c r="AA52" s="1065">
        <v>150343852</v>
      </c>
      <c r="AB52" s="1065">
        <v>639769429</v>
      </c>
      <c r="AC52" s="1065">
        <v>3462766945</v>
      </c>
      <c r="AD52" s="1065">
        <v>22187624</v>
      </c>
      <c r="AE52" s="1065">
        <v>52067584</v>
      </c>
      <c r="AF52" s="1065">
        <v>1962407625</v>
      </c>
      <c r="AG52" s="1065">
        <v>-264074774</v>
      </c>
      <c r="AH52" s="1065">
        <v>1262438861</v>
      </c>
      <c r="AI52" s="1065">
        <v>246631983</v>
      </c>
      <c r="AJ52" s="1065">
        <v>223396659</v>
      </c>
      <c r="AK52" s="1065">
        <v>419211318</v>
      </c>
      <c r="AL52" s="1065">
        <v>29321321</v>
      </c>
      <c r="AM52" s="1065">
        <v>692480532</v>
      </c>
      <c r="AN52" s="1065">
        <v>628182122</v>
      </c>
      <c r="AO52" s="1065">
        <v>32337287</v>
      </c>
      <c r="AP52" s="1065">
        <v>357940373</v>
      </c>
      <c r="AQ52" s="1080">
        <v>453224010</v>
      </c>
      <c r="AR52" s="1081"/>
      <c r="AS52" s="1065">
        <v>1537197869</v>
      </c>
      <c r="AT52" s="1065">
        <v>1086925816</v>
      </c>
      <c r="AU52" s="1065">
        <v>5270470139</v>
      </c>
      <c r="AV52" s="1065">
        <v>2552141447</v>
      </c>
      <c r="AW52" s="1065">
        <v>269468349</v>
      </c>
      <c r="AX52" s="1065">
        <v>5138880020</v>
      </c>
      <c r="AY52" s="1065">
        <v>4760431687</v>
      </c>
      <c r="AZ52" s="1065">
        <v>1772588059</v>
      </c>
      <c r="BA52" s="1065">
        <v>2151678821</v>
      </c>
      <c r="BB52" s="1065">
        <v>1382321262</v>
      </c>
      <c r="BC52" s="1065">
        <v>721801853</v>
      </c>
      <c r="BD52" s="1065">
        <v>811164383</v>
      </c>
    </row>
    <row r="53" spans="1:56">
      <c r="A53" s="1073" t="s">
        <v>1057</v>
      </c>
      <c r="B53" s="1061">
        <v>1108787665544</v>
      </c>
      <c r="C53" s="1061">
        <v>1050009021706</v>
      </c>
      <c r="D53" s="1061">
        <v>920730105604</v>
      </c>
      <c r="E53" s="1061">
        <v>1540218897122</v>
      </c>
      <c r="F53" s="1061">
        <v>1153019831751.1191</v>
      </c>
      <c r="G53" s="1061">
        <v>1076146856355.8807</v>
      </c>
      <c r="H53" s="1061">
        <v>1234694454526.5</v>
      </c>
      <c r="I53" s="1061">
        <v>1390022037046.5</v>
      </c>
      <c r="J53" s="1061">
        <v>1796827541306</v>
      </c>
      <c r="K53" s="1061">
        <v>1795306822460</v>
      </c>
      <c r="L53" s="1061">
        <v>1913547109630</v>
      </c>
      <c r="M53" s="1061">
        <v>2701387345532</v>
      </c>
      <c r="N53" s="1061">
        <v>2662268781512</v>
      </c>
      <c r="O53" s="1061">
        <v>2489545614439</v>
      </c>
      <c r="P53" s="1061">
        <v>3065755281885</v>
      </c>
      <c r="Q53" s="1061">
        <v>3015074804210</v>
      </c>
      <c r="R53" s="1061">
        <v>6923660062897</v>
      </c>
      <c r="S53" s="1061">
        <v>2460721231855</v>
      </c>
      <c r="T53" s="1061">
        <v>2927082223180</v>
      </c>
      <c r="U53" s="1061">
        <v>3466168250745</v>
      </c>
      <c r="V53" s="1061">
        <v>4552970348064</v>
      </c>
      <c r="W53" s="1061">
        <v>4538305554781</v>
      </c>
      <c r="X53" s="1061">
        <v>5608517873322</v>
      </c>
      <c r="Y53" s="1061">
        <v>7598652837824</v>
      </c>
      <c r="Z53" s="1061">
        <v>10446595514450</v>
      </c>
      <c r="AA53" s="1061">
        <v>14266350842203</v>
      </c>
      <c r="AB53" s="1061">
        <v>17299008266167</v>
      </c>
      <c r="AC53" s="1061">
        <v>13933105187365</v>
      </c>
      <c r="AD53" s="1061">
        <v>14383578580855</v>
      </c>
      <c r="AE53" s="1061">
        <v>10037837074158</v>
      </c>
      <c r="AF53" s="1061">
        <v>9741164049231</v>
      </c>
      <c r="AG53" s="1061">
        <v>12404414264892</v>
      </c>
      <c r="AH53" s="1061">
        <v>9426202288768</v>
      </c>
      <c r="AI53" s="1061">
        <v>7990457843294</v>
      </c>
      <c r="AJ53" s="1061">
        <v>7851299404571</v>
      </c>
      <c r="AK53" s="1061">
        <v>8462224045665</v>
      </c>
      <c r="AL53" s="1061">
        <v>5047663779812.0801</v>
      </c>
      <c r="AM53" s="1061">
        <v>5743764897984</v>
      </c>
      <c r="AN53" s="1061">
        <v>4123336187442.9199</v>
      </c>
      <c r="AO53" s="1061">
        <v>7165847518053</v>
      </c>
      <c r="AP53" s="1061">
        <v>12610156920401</v>
      </c>
      <c r="AQ53" s="1074">
        <v>15543369691822</v>
      </c>
      <c r="AR53" s="1075"/>
      <c r="AS53" s="1061">
        <v>4619745689976</v>
      </c>
      <c r="AT53" s="1061">
        <v>4853883179680</v>
      </c>
      <c r="AU53" s="1061">
        <v>8207068818928</v>
      </c>
      <c r="AV53" s="1061">
        <v>11232644482046</v>
      </c>
      <c r="AW53" s="1061">
        <v>15776879077552</v>
      </c>
      <c r="AX53" s="1061">
        <v>22298446613991</v>
      </c>
      <c r="AY53" s="1061">
        <v>55945059810185</v>
      </c>
      <c r="AZ53" s="1061">
        <v>46566993969136</v>
      </c>
      <c r="BA53" s="1061">
        <v>33730183582298</v>
      </c>
      <c r="BB53" s="1061">
        <v>22080612383292</v>
      </c>
      <c r="BC53" s="1061">
        <v>10791428677796.08</v>
      </c>
      <c r="BD53" s="1061">
        <v>28153526612223</v>
      </c>
    </row>
    <row r="54" spans="1:56">
      <c r="A54" s="1076" t="s">
        <v>1058</v>
      </c>
      <c r="B54" s="1063">
        <v>7468774463</v>
      </c>
      <c r="C54" s="1063">
        <v>5946459103</v>
      </c>
      <c r="D54" s="1063">
        <v>8528854887</v>
      </c>
      <c r="E54" s="1063">
        <v>7748932661</v>
      </c>
      <c r="F54" s="1063">
        <v>6953913788</v>
      </c>
      <c r="G54" s="1063">
        <v>11100166079</v>
      </c>
      <c r="H54" s="1063">
        <v>9740026625</v>
      </c>
      <c r="I54" s="1063">
        <v>13938152000</v>
      </c>
      <c r="J54" s="1063">
        <v>14526332677</v>
      </c>
      <c r="K54" s="1063">
        <v>21904056506</v>
      </c>
      <c r="L54" s="1063">
        <v>19381293825</v>
      </c>
      <c r="M54" s="1063">
        <v>10483402596</v>
      </c>
      <c r="N54" s="1063">
        <v>14905608348</v>
      </c>
      <c r="O54" s="1063">
        <v>13544858765</v>
      </c>
      <c r="P54" s="1063">
        <v>20080881504</v>
      </c>
      <c r="Q54" s="1063">
        <v>14839346612</v>
      </c>
      <c r="R54" s="1063">
        <v>12499290901</v>
      </c>
      <c r="S54" s="1063">
        <v>21471449429</v>
      </c>
      <c r="T54" s="1063">
        <v>17494135290</v>
      </c>
      <c r="U54" s="1063">
        <v>16388177459</v>
      </c>
      <c r="V54" s="1063">
        <v>18740095032</v>
      </c>
      <c r="W54" s="1063">
        <v>27771409447</v>
      </c>
      <c r="X54" s="1063">
        <v>27622952292</v>
      </c>
      <c r="Y54" s="1063">
        <v>35591708642</v>
      </c>
      <c r="Z54" s="1063">
        <v>36234450881</v>
      </c>
      <c r="AA54" s="1063">
        <v>27521319810</v>
      </c>
      <c r="AB54" s="1063">
        <v>30780828539</v>
      </c>
      <c r="AC54" s="1063">
        <v>23999241809</v>
      </c>
      <c r="AD54" s="1063">
        <v>17078165119</v>
      </c>
      <c r="AE54" s="1063">
        <v>24295843644</v>
      </c>
      <c r="AF54" s="1063">
        <v>28926419734</v>
      </c>
      <c r="AG54" s="1063">
        <v>19924207098</v>
      </c>
      <c r="AH54" s="1063">
        <v>28453077017</v>
      </c>
      <c r="AI54" s="1063">
        <v>24494506741</v>
      </c>
      <c r="AJ54" s="1063">
        <v>22403065176</v>
      </c>
      <c r="AK54" s="1063">
        <v>20061324673</v>
      </c>
      <c r="AL54" s="1063">
        <v>32263496439</v>
      </c>
      <c r="AM54" s="1063">
        <v>39671922040</v>
      </c>
      <c r="AN54" s="1063">
        <v>47519371071</v>
      </c>
      <c r="AO54" s="1063">
        <v>51266613786</v>
      </c>
      <c r="AP54" s="1063">
        <v>62240335298</v>
      </c>
      <c r="AQ54" s="1077">
        <v>89659001884</v>
      </c>
      <c r="AR54" s="1078"/>
      <c r="AS54" s="1063">
        <v>29693021114</v>
      </c>
      <c r="AT54" s="1063">
        <v>41732258492</v>
      </c>
      <c r="AU54" s="1063">
        <v>66295085604</v>
      </c>
      <c r="AV54" s="1063">
        <v>63370695229</v>
      </c>
      <c r="AW54" s="1063">
        <v>67853053079</v>
      </c>
      <c r="AX54" s="1063">
        <v>109726165413</v>
      </c>
      <c r="AY54" s="1063">
        <v>118535841039</v>
      </c>
      <c r="AZ54" s="1063">
        <v>90224635595</v>
      </c>
      <c r="BA54" s="1063">
        <v>95411973607</v>
      </c>
      <c r="BB54" s="1063">
        <v>170721403336</v>
      </c>
      <c r="BC54" s="1063">
        <v>71935418479</v>
      </c>
      <c r="BD54" s="1063">
        <v>151899337182</v>
      </c>
    </row>
    <row r="55" spans="1:56">
      <c r="A55" s="1079" t="s">
        <v>1059</v>
      </c>
      <c r="B55" s="1065">
        <v>1488552417</v>
      </c>
      <c r="C55" s="1065">
        <v>1427274950</v>
      </c>
      <c r="D55" s="1065">
        <v>1388800735</v>
      </c>
      <c r="E55" s="1065">
        <v>1437789216</v>
      </c>
      <c r="F55" s="1065">
        <v>1488566931</v>
      </c>
      <c r="G55" s="1065">
        <v>1858830791</v>
      </c>
      <c r="H55" s="1065">
        <v>1786363856</v>
      </c>
      <c r="I55" s="1065">
        <v>1775649624</v>
      </c>
      <c r="J55" s="1065">
        <v>2653105373</v>
      </c>
      <c r="K55" s="1065">
        <v>2497679523</v>
      </c>
      <c r="L55" s="1065">
        <v>2465723967</v>
      </c>
      <c r="M55" s="1065">
        <v>2370318031</v>
      </c>
      <c r="N55" s="1065">
        <v>2293465826</v>
      </c>
      <c r="O55" s="1065">
        <v>2856332362</v>
      </c>
      <c r="P55" s="1065">
        <v>2229413315</v>
      </c>
      <c r="Q55" s="1065">
        <v>2245276683</v>
      </c>
      <c r="R55" s="1065">
        <v>3195317574</v>
      </c>
      <c r="S55" s="1065">
        <v>2611994913</v>
      </c>
      <c r="T55" s="1065">
        <v>2638991017</v>
      </c>
      <c r="U55" s="1065">
        <v>909432767</v>
      </c>
      <c r="V55" s="1065">
        <v>3498445356</v>
      </c>
      <c r="W55" s="1065">
        <v>3385764914</v>
      </c>
      <c r="X55" s="1065">
        <v>4654943580</v>
      </c>
      <c r="Y55" s="1065">
        <v>4368132876</v>
      </c>
      <c r="Z55" s="1065">
        <v>4541492826</v>
      </c>
      <c r="AA55" s="1065">
        <v>4083009761</v>
      </c>
      <c r="AB55" s="1065">
        <v>3598974093</v>
      </c>
      <c r="AC55" s="1065">
        <v>3185862707</v>
      </c>
      <c r="AD55" s="1065">
        <v>3291792759</v>
      </c>
      <c r="AE55" s="1065">
        <v>3229544754</v>
      </c>
      <c r="AF55" s="1065">
        <v>3294918093</v>
      </c>
      <c r="AG55" s="1065">
        <v>3215494673</v>
      </c>
      <c r="AH55" s="1065">
        <v>3648312419</v>
      </c>
      <c r="AI55" s="1065">
        <v>3716131313</v>
      </c>
      <c r="AJ55" s="1065">
        <v>4066665125</v>
      </c>
      <c r="AK55" s="1065">
        <v>4596144879</v>
      </c>
      <c r="AL55" s="1065">
        <v>8028456062</v>
      </c>
      <c r="AM55" s="1065">
        <v>11080022031</v>
      </c>
      <c r="AN55" s="1065">
        <v>12061596269</v>
      </c>
      <c r="AO55" s="1065">
        <v>17290252678</v>
      </c>
      <c r="AP55" s="1065">
        <v>20065087469</v>
      </c>
      <c r="AQ55" s="1080">
        <v>32858483098</v>
      </c>
      <c r="AR55" s="1081"/>
      <c r="AS55" s="1065">
        <v>5742417318</v>
      </c>
      <c r="AT55" s="1065">
        <v>6909411202</v>
      </c>
      <c r="AU55" s="1065">
        <v>9986826894</v>
      </c>
      <c r="AV55" s="1065">
        <v>9624488186</v>
      </c>
      <c r="AW55" s="1065">
        <v>9355736271</v>
      </c>
      <c r="AX55" s="1065">
        <v>15907286726</v>
      </c>
      <c r="AY55" s="1065">
        <v>15409339387</v>
      </c>
      <c r="AZ55" s="1065">
        <v>13031750279</v>
      </c>
      <c r="BA55" s="1065">
        <v>16027253736</v>
      </c>
      <c r="BB55" s="1065">
        <v>48460327040</v>
      </c>
      <c r="BC55" s="1065">
        <v>19108478093</v>
      </c>
      <c r="BD55" s="1065">
        <v>52923570567</v>
      </c>
    </row>
    <row r="56" spans="1:56">
      <c r="A56" s="1079" t="s">
        <v>1060</v>
      </c>
      <c r="B56" s="1065">
        <v>2948957092</v>
      </c>
      <c r="C56" s="1065">
        <v>2955822843</v>
      </c>
      <c r="D56" s="1065">
        <v>2489405059</v>
      </c>
      <c r="E56" s="1065">
        <v>1971716134</v>
      </c>
      <c r="F56" s="1065">
        <v>2828129491</v>
      </c>
      <c r="G56" s="1065">
        <v>2895981748</v>
      </c>
      <c r="H56" s="1065">
        <v>2420657297</v>
      </c>
      <c r="I56" s="1065">
        <v>2159711770</v>
      </c>
      <c r="J56" s="1065">
        <v>3710368337</v>
      </c>
      <c r="K56" s="1065">
        <v>5454282804</v>
      </c>
      <c r="L56" s="1065">
        <v>5258329222</v>
      </c>
      <c r="M56" s="1065">
        <v>4531676707</v>
      </c>
      <c r="N56" s="1065">
        <v>5077150039</v>
      </c>
      <c r="O56" s="1065">
        <v>5818296828</v>
      </c>
      <c r="P56" s="1065">
        <v>5099753209</v>
      </c>
      <c r="Q56" s="1065">
        <v>5139074652</v>
      </c>
      <c r="R56" s="1065">
        <v>4410574293</v>
      </c>
      <c r="S56" s="1065">
        <v>3479353192</v>
      </c>
      <c r="T56" s="1065">
        <v>3912118053</v>
      </c>
      <c r="U56" s="1065">
        <v>5530736214</v>
      </c>
      <c r="V56" s="1065">
        <v>6857687967</v>
      </c>
      <c r="W56" s="1065">
        <v>13653817328</v>
      </c>
      <c r="X56" s="1065">
        <v>12560624992</v>
      </c>
      <c r="Y56" s="1065">
        <v>11362861558</v>
      </c>
      <c r="Z56" s="1065">
        <v>10922365908</v>
      </c>
      <c r="AA56" s="1065">
        <v>10724449019</v>
      </c>
      <c r="AB56" s="1065">
        <v>11217016122</v>
      </c>
      <c r="AC56" s="1065">
        <v>10986945128</v>
      </c>
      <c r="AD56" s="1065">
        <v>6251182829</v>
      </c>
      <c r="AE56" s="1065">
        <v>8199565552</v>
      </c>
      <c r="AF56" s="1065">
        <v>9916511236</v>
      </c>
      <c r="AG56" s="1065">
        <v>7025529319</v>
      </c>
      <c r="AH56" s="1065">
        <v>6277458995</v>
      </c>
      <c r="AI56" s="1065">
        <v>8158968386</v>
      </c>
      <c r="AJ56" s="1065">
        <v>5552667854</v>
      </c>
      <c r="AK56" s="1065">
        <v>6365554221</v>
      </c>
      <c r="AL56" s="1065">
        <v>8570486401</v>
      </c>
      <c r="AM56" s="1065">
        <v>11453337899</v>
      </c>
      <c r="AN56" s="1065">
        <v>16301428531</v>
      </c>
      <c r="AO56" s="1065">
        <v>20164826566</v>
      </c>
      <c r="AP56" s="1065">
        <v>22769633587</v>
      </c>
      <c r="AQ56" s="1080">
        <v>27155015964</v>
      </c>
      <c r="AR56" s="1081"/>
      <c r="AS56" s="1065">
        <v>10365901128</v>
      </c>
      <c r="AT56" s="1065">
        <v>10304480306</v>
      </c>
      <c r="AU56" s="1065">
        <v>18954657070</v>
      </c>
      <c r="AV56" s="1065">
        <v>21134274728</v>
      </c>
      <c r="AW56" s="1065">
        <v>17332781752</v>
      </c>
      <c r="AX56" s="1065">
        <v>44434991845</v>
      </c>
      <c r="AY56" s="1065">
        <v>43850776177</v>
      </c>
      <c r="AZ56" s="1065">
        <v>31392788936</v>
      </c>
      <c r="BA56" s="1065">
        <v>26354649456</v>
      </c>
      <c r="BB56" s="1065">
        <v>56490079397</v>
      </c>
      <c r="BC56" s="1065">
        <v>20023824300</v>
      </c>
      <c r="BD56" s="1065">
        <v>49924649551</v>
      </c>
    </row>
    <row r="57" spans="1:56">
      <c r="A57" s="1079" t="s">
        <v>1061</v>
      </c>
      <c r="B57" s="1065">
        <v>3031264954</v>
      </c>
      <c r="C57" s="1065">
        <v>1563361310</v>
      </c>
      <c r="D57" s="1065">
        <v>4650649093</v>
      </c>
      <c r="E57" s="1065">
        <v>4339427311</v>
      </c>
      <c r="F57" s="1065">
        <v>2637217366</v>
      </c>
      <c r="G57" s="1065">
        <v>6345353540</v>
      </c>
      <c r="H57" s="1065">
        <v>5533005472</v>
      </c>
      <c r="I57" s="1065">
        <v>10002790606</v>
      </c>
      <c r="J57" s="1065">
        <v>8162858967</v>
      </c>
      <c r="K57" s="1065">
        <v>13952094179</v>
      </c>
      <c r="L57" s="1065">
        <v>11657240636</v>
      </c>
      <c r="M57" s="1065">
        <v>3581407858</v>
      </c>
      <c r="N57" s="1065">
        <v>7534992483</v>
      </c>
      <c r="O57" s="1065">
        <v>4870229575</v>
      </c>
      <c r="P57" s="1065">
        <v>12751714980</v>
      </c>
      <c r="Q57" s="1065">
        <v>7454995277</v>
      </c>
      <c r="R57" s="1065">
        <v>4893399034</v>
      </c>
      <c r="S57" s="1065">
        <v>15380101324</v>
      </c>
      <c r="T57" s="1065">
        <v>10943026220</v>
      </c>
      <c r="U57" s="1065">
        <v>9948008478</v>
      </c>
      <c r="V57" s="1065">
        <v>8383961709</v>
      </c>
      <c r="W57" s="1065">
        <v>10731827205</v>
      </c>
      <c r="X57" s="1065">
        <v>10407383720</v>
      </c>
      <c r="Y57" s="1065">
        <v>19860714208</v>
      </c>
      <c r="Z57" s="1065">
        <v>20770592147</v>
      </c>
      <c r="AA57" s="1065">
        <v>12713861030</v>
      </c>
      <c r="AB57" s="1065">
        <v>15964838324</v>
      </c>
      <c r="AC57" s="1065">
        <v>9826433974</v>
      </c>
      <c r="AD57" s="1065">
        <v>7535189531</v>
      </c>
      <c r="AE57" s="1065">
        <v>12866733338</v>
      </c>
      <c r="AF57" s="1065">
        <v>15714990405</v>
      </c>
      <c r="AG57" s="1065">
        <v>9683183106</v>
      </c>
      <c r="AH57" s="1065">
        <v>18527305603</v>
      </c>
      <c r="AI57" s="1065">
        <v>12619407042</v>
      </c>
      <c r="AJ57" s="1065">
        <v>12783732197</v>
      </c>
      <c r="AK57" s="1065">
        <v>9099625573</v>
      </c>
      <c r="AL57" s="1065">
        <v>15664553976</v>
      </c>
      <c r="AM57" s="1065">
        <v>17138562110</v>
      </c>
      <c r="AN57" s="1065">
        <v>19156346271</v>
      </c>
      <c r="AO57" s="1065">
        <v>13811534542</v>
      </c>
      <c r="AP57" s="1065">
        <v>19405614242</v>
      </c>
      <c r="AQ57" s="1080">
        <v>29645502822</v>
      </c>
      <c r="AR57" s="1081"/>
      <c r="AS57" s="1065">
        <v>13584702668</v>
      </c>
      <c r="AT57" s="1065">
        <v>24518366984</v>
      </c>
      <c r="AU57" s="1065">
        <v>37353601640</v>
      </c>
      <c r="AV57" s="1065">
        <v>32611932315</v>
      </c>
      <c r="AW57" s="1065">
        <v>41164535056</v>
      </c>
      <c r="AX57" s="1065">
        <v>49383886842</v>
      </c>
      <c r="AY57" s="1065">
        <v>59275725475</v>
      </c>
      <c r="AZ57" s="1065">
        <v>45800096380</v>
      </c>
      <c r="BA57" s="1065">
        <v>53030070415</v>
      </c>
      <c r="BB57" s="1065">
        <v>65770996899</v>
      </c>
      <c r="BC57" s="1065">
        <v>32803116086</v>
      </c>
      <c r="BD57" s="1065">
        <v>49051117064</v>
      </c>
    </row>
    <row r="58" spans="1:56">
      <c r="A58" s="1076" t="s">
        <v>1062</v>
      </c>
      <c r="B58" s="1063">
        <v>85475867220</v>
      </c>
      <c r="C58" s="1063">
        <v>85154106989</v>
      </c>
      <c r="D58" s="1063">
        <v>107178854467</v>
      </c>
      <c r="E58" s="1063">
        <v>224604301667</v>
      </c>
      <c r="F58" s="1063">
        <v>174529581674</v>
      </c>
      <c r="G58" s="1063">
        <v>139236659186</v>
      </c>
      <c r="H58" s="1063">
        <v>183435314712.5</v>
      </c>
      <c r="I58" s="1063">
        <v>251501359021.5</v>
      </c>
      <c r="J58" s="1063">
        <v>374928717384</v>
      </c>
      <c r="K58" s="1063">
        <v>383333744114</v>
      </c>
      <c r="L58" s="1063">
        <v>425920733737</v>
      </c>
      <c r="M58" s="1063">
        <v>243962517157</v>
      </c>
      <c r="N58" s="1063">
        <v>739789587415</v>
      </c>
      <c r="O58" s="1063">
        <v>372867004260</v>
      </c>
      <c r="P58" s="1063">
        <v>487487133771</v>
      </c>
      <c r="Q58" s="1063">
        <v>559093126379</v>
      </c>
      <c r="R58" s="1063">
        <v>1009634712077</v>
      </c>
      <c r="S58" s="1063">
        <v>377557071182</v>
      </c>
      <c r="T58" s="1063">
        <v>561589276009</v>
      </c>
      <c r="U58" s="1063">
        <v>891919495345</v>
      </c>
      <c r="V58" s="1063">
        <v>991490919680</v>
      </c>
      <c r="W58" s="1063">
        <v>705789742066</v>
      </c>
      <c r="X58" s="1063">
        <v>499324135014</v>
      </c>
      <c r="Y58" s="1063">
        <v>686908408672</v>
      </c>
      <c r="Z58" s="1063">
        <v>1228754982359</v>
      </c>
      <c r="AA58" s="1063">
        <v>1228118208308</v>
      </c>
      <c r="AB58" s="1063">
        <v>1021933394931</v>
      </c>
      <c r="AC58" s="1063">
        <v>391195519099</v>
      </c>
      <c r="AD58" s="1063">
        <v>1315377485436</v>
      </c>
      <c r="AE58" s="1063">
        <v>721197912667</v>
      </c>
      <c r="AF58" s="1063">
        <v>653054183758</v>
      </c>
      <c r="AG58" s="1063">
        <v>813303015543</v>
      </c>
      <c r="AH58" s="1063">
        <v>1253667009339</v>
      </c>
      <c r="AI58" s="1063">
        <v>815430595634</v>
      </c>
      <c r="AJ58" s="1063">
        <v>986145801798</v>
      </c>
      <c r="AK58" s="1063">
        <v>909762350357</v>
      </c>
      <c r="AL58" s="1063">
        <v>1316332104361</v>
      </c>
      <c r="AM58" s="1063">
        <v>973229058855</v>
      </c>
      <c r="AN58" s="1063">
        <v>763312682020</v>
      </c>
      <c r="AO58" s="1063">
        <v>1985481426494</v>
      </c>
      <c r="AP58" s="1063">
        <v>3336711960454</v>
      </c>
      <c r="AQ58" s="1077">
        <v>4067578729817</v>
      </c>
      <c r="AR58" s="1078"/>
      <c r="AS58" s="1063">
        <v>502413130343</v>
      </c>
      <c r="AT58" s="1063">
        <v>748702914594</v>
      </c>
      <c r="AU58" s="1063">
        <v>1428145712392</v>
      </c>
      <c r="AV58" s="1063">
        <v>2159236851825</v>
      </c>
      <c r="AW58" s="1063">
        <v>2840700554613</v>
      </c>
      <c r="AX58" s="1063">
        <v>2883513205432</v>
      </c>
      <c r="AY58" s="1063">
        <v>3870002104697</v>
      </c>
      <c r="AZ58" s="1063">
        <v>3502932597404</v>
      </c>
      <c r="BA58" s="1063">
        <v>3965005757128</v>
      </c>
      <c r="BB58" s="1063">
        <v>5038355271730</v>
      </c>
      <c r="BC58" s="1063">
        <v>2289561163216</v>
      </c>
      <c r="BD58" s="1063">
        <v>7404290690271</v>
      </c>
    </row>
    <row r="59" spans="1:56">
      <c r="A59" s="1079" t="s">
        <v>1063</v>
      </c>
      <c r="B59" s="1065">
        <v>71998199501</v>
      </c>
      <c r="C59" s="1065">
        <v>71351556597</v>
      </c>
      <c r="D59" s="1065">
        <v>89678108760</v>
      </c>
      <c r="E59" s="1065">
        <v>183741236019</v>
      </c>
      <c r="F59" s="1065">
        <v>134522232441</v>
      </c>
      <c r="G59" s="1065">
        <v>138957706722</v>
      </c>
      <c r="H59" s="1065">
        <v>177180029312</v>
      </c>
      <c r="I59" s="1065">
        <v>237932047104</v>
      </c>
      <c r="J59" s="1065">
        <v>332067801559</v>
      </c>
      <c r="K59" s="1065">
        <v>242672175635</v>
      </c>
      <c r="L59" s="1065">
        <v>241955471679</v>
      </c>
      <c r="M59" s="1065">
        <v>304050872827</v>
      </c>
      <c r="N59" s="1065">
        <v>200390097232</v>
      </c>
      <c r="O59" s="1065">
        <v>211800969931</v>
      </c>
      <c r="P59" s="1065">
        <v>342052985670</v>
      </c>
      <c r="Q59" s="1065">
        <v>316870508424</v>
      </c>
      <c r="R59" s="1065">
        <v>773309470660</v>
      </c>
      <c r="S59" s="1065">
        <v>433896506230</v>
      </c>
      <c r="T59" s="1065">
        <v>474829083299</v>
      </c>
      <c r="U59" s="1065">
        <v>557512315858</v>
      </c>
      <c r="V59" s="1065">
        <v>589006383260</v>
      </c>
      <c r="W59" s="1065">
        <v>484904281719</v>
      </c>
      <c r="X59" s="1065">
        <v>442766706248</v>
      </c>
      <c r="Y59" s="1065">
        <v>606445136476</v>
      </c>
      <c r="Z59" s="1065">
        <v>649119828237</v>
      </c>
      <c r="AA59" s="1065">
        <v>905513752327</v>
      </c>
      <c r="AB59" s="1065">
        <v>635283158002</v>
      </c>
      <c r="AC59" s="1065">
        <v>595101949788</v>
      </c>
      <c r="AD59" s="1065">
        <v>485730590186</v>
      </c>
      <c r="AE59" s="1065">
        <v>475192752329</v>
      </c>
      <c r="AF59" s="1065">
        <v>493154870049</v>
      </c>
      <c r="AG59" s="1065">
        <v>549843516216</v>
      </c>
      <c r="AH59" s="1065">
        <v>495644409657</v>
      </c>
      <c r="AI59" s="1065">
        <v>479159407220</v>
      </c>
      <c r="AJ59" s="1065">
        <v>525410337259</v>
      </c>
      <c r="AK59" s="1065">
        <v>689712353548</v>
      </c>
      <c r="AL59" s="1065">
        <v>622798325502</v>
      </c>
      <c r="AM59" s="1065">
        <v>928469333841</v>
      </c>
      <c r="AN59" s="1065">
        <v>713181288041</v>
      </c>
      <c r="AO59" s="1065">
        <v>1630067629033</v>
      </c>
      <c r="AP59" s="1065">
        <v>2399621788143</v>
      </c>
      <c r="AQ59" s="1080">
        <v>3811518645549</v>
      </c>
      <c r="AR59" s="1081"/>
      <c r="AS59" s="1065">
        <v>416769100877</v>
      </c>
      <c r="AT59" s="1065">
        <v>688592015579</v>
      </c>
      <c r="AU59" s="1065">
        <v>1120746321700</v>
      </c>
      <c r="AV59" s="1065">
        <v>1071114561257</v>
      </c>
      <c r="AW59" s="1065">
        <v>2239547376047</v>
      </c>
      <c r="AX59" s="1065">
        <v>2123122507703</v>
      </c>
      <c r="AY59" s="1065">
        <v>2785018688354</v>
      </c>
      <c r="AZ59" s="1065">
        <v>2003921728780</v>
      </c>
      <c r="BA59" s="1065">
        <v>2189926507684</v>
      </c>
      <c r="BB59" s="1065">
        <v>3894516576417</v>
      </c>
      <c r="BC59" s="1065">
        <v>1551267659343</v>
      </c>
      <c r="BD59" s="1065">
        <v>6211140433692</v>
      </c>
    </row>
    <row r="60" spans="1:56">
      <c r="A60" s="1079" t="s">
        <v>1064</v>
      </c>
      <c r="B60" s="1065">
        <v>9882859348</v>
      </c>
      <c r="C60" s="1065">
        <v>6697899209</v>
      </c>
      <c r="D60" s="1065">
        <v>5437028423</v>
      </c>
      <c r="E60" s="1065">
        <v>28856531164</v>
      </c>
      <c r="F60" s="1065">
        <v>28951475930</v>
      </c>
      <c r="G60" s="1065">
        <v>-2986909495</v>
      </c>
      <c r="H60" s="1065">
        <v>2678030274</v>
      </c>
      <c r="I60" s="1065">
        <v>9291035508</v>
      </c>
      <c r="J60" s="1065">
        <v>35227432660</v>
      </c>
      <c r="K60" s="1065">
        <v>23632722072</v>
      </c>
      <c r="L60" s="1065">
        <v>22040908411</v>
      </c>
      <c r="M60" s="1065">
        <v>8353384661</v>
      </c>
      <c r="N60" s="1065">
        <v>45287605654</v>
      </c>
      <c r="O60" s="1065">
        <v>29338986132</v>
      </c>
      <c r="P60" s="1065">
        <v>10369425186</v>
      </c>
      <c r="Q60" s="1065">
        <v>3016195867</v>
      </c>
      <c r="R60" s="1065">
        <v>198271813686</v>
      </c>
      <c r="S60" s="1065">
        <v>-103771924482</v>
      </c>
      <c r="T60" s="1065">
        <v>16382273371</v>
      </c>
      <c r="U60" s="1065">
        <v>115779197195</v>
      </c>
      <c r="V60" s="1065">
        <v>198019889178</v>
      </c>
      <c r="W60" s="1065">
        <v>32122151140</v>
      </c>
      <c r="X60" s="1065">
        <v>68947148912</v>
      </c>
      <c r="Y60" s="1065">
        <v>-24130356516</v>
      </c>
      <c r="Z60" s="1065">
        <v>524503156745</v>
      </c>
      <c r="AA60" s="1065">
        <v>286325079652</v>
      </c>
      <c r="AB60" s="1065">
        <v>264706340262</v>
      </c>
      <c r="AC60" s="1065">
        <v>-407758259988</v>
      </c>
      <c r="AD60" s="1065">
        <v>309391048514</v>
      </c>
      <c r="AE60" s="1065">
        <v>97674764192</v>
      </c>
      <c r="AF60" s="1065">
        <v>43917051532</v>
      </c>
      <c r="AG60" s="1065">
        <v>64879408433</v>
      </c>
      <c r="AH60" s="1065">
        <v>506189170372</v>
      </c>
      <c r="AI60" s="1065">
        <v>54666474213</v>
      </c>
      <c r="AJ60" s="1065">
        <v>301703373970</v>
      </c>
      <c r="AK60" s="1065">
        <v>1958332205</v>
      </c>
      <c r="AL60" s="1065">
        <v>527438946078</v>
      </c>
      <c r="AM60" s="1065">
        <v>-48834016802</v>
      </c>
      <c r="AN60" s="1065">
        <v>-172403219998</v>
      </c>
      <c r="AO60" s="1065">
        <v>163163643210</v>
      </c>
      <c r="AP60" s="1065">
        <v>734972878766</v>
      </c>
      <c r="AQ60" s="1080">
        <v>-23526149492</v>
      </c>
      <c r="AR60" s="1081"/>
      <c r="AS60" s="1065">
        <v>50874318144</v>
      </c>
      <c r="AT60" s="1065">
        <v>37933632217</v>
      </c>
      <c r="AU60" s="1065">
        <v>89254447804</v>
      </c>
      <c r="AV60" s="1065">
        <v>88012212839</v>
      </c>
      <c r="AW60" s="1065">
        <v>226661359770</v>
      </c>
      <c r="AX60" s="1065">
        <v>274958832714</v>
      </c>
      <c r="AY60" s="1065">
        <v>667776316671</v>
      </c>
      <c r="AZ60" s="1065">
        <v>515862272671</v>
      </c>
      <c r="BA60" s="1065">
        <v>864517350760</v>
      </c>
      <c r="BB60" s="1065">
        <v>469365352488</v>
      </c>
      <c r="BC60" s="1065">
        <v>478604929276</v>
      </c>
      <c r="BD60" s="1065">
        <v>711446729274</v>
      </c>
    </row>
    <row r="61" spans="1:56">
      <c r="A61" s="1079" t="s">
        <v>1065</v>
      </c>
      <c r="B61" s="1065">
        <v>613119667</v>
      </c>
      <c r="C61" s="1065">
        <v>2325317323</v>
      </c>
      <c r="D61" s="1065">
        <v>993824029</v>
      </c>
      <c r="E61" s="1065">
        <v>2494356781</v>
      </c>
      <c r="F61" s="1065">
        <v>1303097100</v>
      </c>
      <c r="G61" s="1065">
        <v>1455399205</v>
      </c>
      <c r="H61" s="1065">
        <v>2073632393</v>
      </c>
      <c r="I61" s="1065">
        <v>3815824337</v>
      </c>
      <c r="J61" s="1065">
        <v>432917636</v>
      </c>
      <c r="K61" s="1065">
        <v>4581770039</v>
      </c>
      <c r="L61" s="1065">
        <v>139184747759</v>
      </c>
      <c r="M61" s="1065">
        <v>63616307950</v>
      </c>
      <c r="N61" s="1065">
        <v>218636423442</v>
      </c>
      <c r="O61" s="1065">
        <v>247696376231</v>
      </c>
      <c r="P61" s="1065">
        <v>119231664097</v>
      </c>
      <c r="Q61" s="1065">
        <v>128048484941</v>
      </c>
      <c r="R61" s="1065">
        <v>14716134175</v>
      </c>
      <c r="S61" s="1065">
        <v>30806723980</v>
      </c>
      <c r="T61" s="1065">
        <v>74173307975</v>
      </c>
      <c r="U61" s="1065">
        <v>121654603097</v>
      </c>
      <c r="V61" s="1065">
        <v>47428081946</v>
      </c>
      <c r="W61" s="1065">
        <v>98203642294</v>
      </c>
      <c r="X61" s="1065">
        <v>160702960305</v>
      </c>
      <c r="Y61" s="1065">
        <v>71220052043</v>
      </c>
      <c r="Z61" s="1065">
        <v>20670443789</v>
      </c>
      <c r="AA61" s="1065">
        <v>15215344976</v>
      </c>
      <c r="AB61" s="1065">
        <v>50626014385</v>
      </c>
      <c r="AC61" s="1065">
        <v>148154624752</v>
      </c>
      <c r="AD61" s="1065">
        <v>84394451010</v>
      </c>
      <c r="AE61" s="1065">
        <v>193787235193</v>
      </c>
      <c r="AF61" s="1065">
        <v>104803160211</v>
      </c>
      <c r="AG61" s="1065">
        <v>308569662919</v>
      </c>
      <c r="AH61" s="1065">
        <v>41956951476</v>
      </c>
      <c r="AI61" s="1065">
        <v>136108159085</v>
      </c>
      <c r="AJ61" s="1065">
        <v>164857226710</v>
      </c>
      <c r="AK61" s="1065">
        <v>150200544588</v>
      </c>
      <c r="AL61" s="1065">
        <v>38688890510</v>
      </c>
      <c r="AM61" s="1065">
        <v>26410297732</v>
      </c>
      <c r="AN61" s="1065">
        <v>60489054945</v>
      </c>
      <c r="AO61" s="1065">
        <v>227877304547</v>
      </c>
      <c r="AP61" s="1065">
        <v>64077607368</v>
      </c>
      <c r="AQ61" s="1080">
        <v>112527419357</v>
      </c>
      <c r="AR61" s="1081"/>
      <c r="AS61" s="1065">
        <v>6426617800</v>
      </c>
      <c r="AT61" s="1065">
        <v>8647953035</v>
      </c>
      <c r="AU61" s="1065">
        <v>207815743384</v>
      </c>
      <c r="AV61" s="1065">
        <v>713612948711</v>
      </c>
      <c r="AW61" s="1065">
        <v>241350769227</v>
      </c>
      <c r="AX61" s="1065">
        <v>377554736588</v>
      </c>
      <c r="AY61" s="1065">
        <v>234666427902</v>
      </c>
      <c r="AZ61" s="1065">
        <v>691554509333</v>
      </c>
      <c r="BA61" s="1065">
        <v>493122881859</v>
      </c>
      <c r="BB61" s="1065">
        <v>353465547734</v>
      </c>
      <c r="BC61" s="1065">
        <v>65099188242</v>
      </c>
      <c r="BD61" s="1065">
        <v>176605026725</v>
      </c>
    </row>
    <row r="62" spans="1:56">
      <c r="A62" s="1079" t="s">
        <v>1066</v>
      </c>
      <c r="B62" s="1065">
        <v>2689408936</v>
      </c>
      <c r="C62" s="1065">
        <v>2012298148</v>
      </c>
      <c r="D62" s="1065">
        <v>4628449664</v>
      </c>
      <c r="E62" s="1065">
        <v>5676885429</v>
      </c>
      <c r="F62" s="1065">
        <v>1445722072</v>
      </c>
      <c r="G62" s="1065">
        <v>1794282842</v>
      </c>
      <c r="H62" s="1065">
        <v>1448036202.5</v>
      </c>
      <c r="I62" s="1065">
        <v>-1170426800.5</v>
      </c>
      <c r="J62" s="1065">
        <v>7182428512</v>
      </c>
      <c r="K62" s="1065">
        <v>112465202097</v>
      </c>
      <c r="L62" s="1065">
        <v>19658295368</v>
      </c>
      <c r="M62" s="1065">
        <v>-128976728661</v>
      </c>
      <c r="N62" s="1065">
        <v>274730984422</v>
      </c>
      <c r="O62" s="1065">
        <v>-115555229440</v>
      </c>
      <c r="P62" s="1065">
        <v>15833057718</v>
      </c>
      <c r="Q62" s="1065">
        <v>110914930988</v>
      </c>
      <c r="R62" s="1065">
        <v>23320299626</v>
      </c>
      <c r="S62" s="1065">
        <v>16178834665</v>
      </c>
      <c r="T62" s="1065">
        <v>-3795386236</v>
      </c>
      <c r="U62" s="1065">
        <v>96602408666</v>
      </c>
      <c r="V62" s="1065">
        <v>156917825549</v>
      </c>
      <c r="W62" s="1065">
        <v>90546523637</v>
      </c>
      <c r="X62" s="1065">
        <v>-173458039058</v>
      </c>
      <c r="Y62" s="1065">
        <v>29762479663</v>
      </c>
      <c r="Z62" s="1065">
        <v>32096986528</v>
      </c>
      <c r="AA62" s="1065">
        <v>15367122563</v>
      </c>
      <c r="AB62" s="1065">
        <v>53963832130</v>
      </c>
      <c r="AC62" s="1065">
        <v>-6758583989</v>
      </c>
      <c r="AD62" s="1065">
        <v>434554778533</v>
      </c>
      <c r="AE62" s="1065">
        <v>-47604267821</v>
      </c>
      <c r="AF62" s="1065">
        <v>11150547121</v>
      </c>
      <c r="AG62" s="1065">
        <v>-114410772836</v>
      </c>
      <c r="AH62" s="1065">
        <v>209833952626</v>
      </c>
      <c r="AI62" s="1065">
        <v>145430734069</v>
      </c>
      <c r="AJ62" s="1065">
        <v>-6506624779</v>
      </c>
      <c r="AK62" s="1065">
        <v>67876216269</v>
      </c>
      <c r="AL62" s="1065">
        <v>127405015012</v>
      </c>
      <c r="AM62" s="1065">
        <v>67171690865</v>
      </c>
      <c r="AN62" s="1065">
        <v>161274076810</v>
      </c>
      <c r="AO62" s="1065">
        <v>-35647793408</v>
      </c>
      <c r="AP62" s="1065">
        <v>137659802133</v>
      </c>
      <c r="AQ62" s="1080">
        <v>162360121316</v>
      </c>
      <c r="AR62" s="1081"/>
      <c r="AS62" s="1065">
        <v>15007042177</v>
      </c>
      <c r="AT62" s="1065">
        <v>3517614316</v>
      </c>
      <c r="AU62" s="1065">
        <v>10329197316</v>
      </c>
      <c r="AV62" s="1065">
        <v>285923743688</v>
      </c>
      <c r="AW62" s="1065">
        <v>132306156721</v>
      </c>
      <c r="AX62" s="1065">
        <v>103768789791</v>
      </c>
      <c r="AY62" s="1065">
        <v>94669357232</v>
      </c>
      <c r="AZ62" s="1065">
        <v>283690284997</v>
      </c>
      <c r="BA62" s="1065">
        <v>416634278185</v>
      </c>
      <c r="BB62" s="1065">
        <v>320202989279</v>
      </c>
      <c r="BC62" s="1065">
        <v>194576705877</v>
      </c>
      <c r="BD62" s="1065">
        <v>300019923449</v>
      </c>
    </row>
    <row r="63" spans="1:56">
      <c r="A63" s="1079" t="s">
        <v>1067</v>
      </c>
      <c r="B63" s="1065">
        <v>202241028</v>
      </c>
      <c r="C63" s="1065">
        <v>2368023323</v>
      </c>
      <c r="D63" s="1065">
        <v>6365669263</v>
      </c>
      <c r="E63" s="1065">
        <v>2993920853</v>
      </c>
      <c r="F63" s="1065">
        <v>1106589920</v>
      </c>
      <c r="G63" s="1065">
        <v>7095438</v>
      </c>
      <c r="H63" s="1065">
        <v>64670205</v>
      </c>
      <c r="I63" s="1065">
        <v>434256313</v>
      </c>
      <c r="J63" s="1065">
        <v>0</v>
      </c>
      <c r="K63" s="1065">
        <v>0</v>
      </c>
      <c r="L63" s="1065">
        <v>0</v>
      </c>
      <c r="M63" s="1065">
        <v>0</v>
      </c>
      <c r="N63" s="1065">
        <v>320474971</v>
      </c>
      <c r="O63" s="1065">
        <v>0</v>
      </c>
      <c r="P63" s="1065">
        <v>0</v>
      </c>
      <c r="Q63" s="1065">
        <v>243009359</v>
      </c>
      <c r="R63" s="1065">
        <v>16987430</v>
      </c>
      <c r="S63" s="1065">
        <v>0</v>
      </c>
      <c r="T63" s="1065">
        <v>0</v>
      </c>
      <c r="U63" s="1065">
        <v>0</v>
      </c>
      <c r="V63" s="1065">
        <v>0</v>
      </c>
      <c r="W63" s="1065">
        <v>0</v>
      </c>
      <c r="X63" s="1065">
        <v>0</v>
      </c>
      <c r="Y63" s="1065">
        <v>2396716215</v>
      </c>
      <c r="Z63" s="1065">
        <v>1932126724</v>
      </c>
      <c r="AA63" s="1065">
        <v>5600731647</v>
      </c>
      <c r="AB63" s="1065">
        <v>16150078738</v>
      </c>
      <c r="AC63" s="1065">
        <v>60534107061</v>
      </c>
      <c r="AD63" s="1065">
        <v>1306606093</v>
      </c>
      <c r="AE63" s="1065">
        <v>1959700867</v>
      </c>
      <c r="AF63" s="1065">
        <v>28559445</v>
      </c>
      <c r="AG63" s="1065">
        <v>4421202011</v>
      </c>
      <c r="AH63" s="1065">
        <v>27608398</v>
      </c>
      <c r="AI63" s="1065">
        <v>65820147</v>
      </c>
      <c r="AJ63" s="1065">
        <v>57812456</v>
      </c>
      <c r="AK63" s="1065">
        <v>14892647</v>
      </c>
      <c r="AL63" s="1065">
        <v>911759</v>
      </c>
      <c r="AM63" s="1065">
        <v>1</v>
      </c>
      <c r="AN63" s="1065">
        <v>0</v>
      </c>
      <c r="AO63" s="1065">
        <v>1469207</v>
      </c>
      <c r="AP63" s="1065">
        <v>379823244</v>
      </c>
      <c r="AQ63" s="1080">
        <v>4698709087</v>
      </c>
      <c r="AR63" s="1081"/>
      <c r="AS63" s="1065">
        <v>11929854467</v>
      </c>
      <c r="AT63" s="1065">
        <v>1612611876</v>
      </c>
      <c r="AU63" s="1065">
        <v>0</v>
      </c>
      <c r="AV63" s="1065">
        <v>563484330</v>
      </c>
      <c r="AW63" s="1065">
        <v>16987430</v>
      </c>
      <c r="AX63" s="1065">
        <v>2396716215</v>
      </c>
      <c r="AY63" s="1065">
        <v>84217044170</v>
      </c>
      <c r="AZ63" s="1065">
        <v>7716068416</v>
      </c>
      <c r="BA63" s="1065">
        <v>166133648</v>
      </c>
      <c r="BB63" s="1065">
        <v>2380967</v>
      </c>
      <c r="BC63" s="1065">
        <v>911760</v>
      </c>
      <c r="BD63" s="1065">
        <v>5078532331</v>
      </c>
    </row>
    <row r="64" spans="1:56">
      <c r="A64" s="1079" t="s">
        <v>1068</v>
      </c>
      <c r="B64" s="1065">
        <v>90038240</v>
      </c>
      <c r="C64" s="1065">
        <v>399011889</v>
      </c>
      <c r="D64" s="1065">
        <v>75771928</v>
      </c>
      <c r="E64" s="1065">
        <v>841368421</v>
      </c>
      <c r="F64" s="1065">
        <v>7200462811</v>
      </c>
      <c r="G64" s="1065">
        <v>0</v>
      </c>
      <c r="H64" s="1065">
        <v>0</v>
      </c>
      <c r="I64" s="1065">
        <v>1198623660</v>
      </c>
      <c r="J64" s="1065">
        <v>18125829</v>
      </c>
      <c r="K64" s="1065">
        <v>-18125829</v>
      </c>
      <c r="L64" s="1065">
        <v>3078308520</v>
      </c>
      <c r="M64" s="1065">
        <v>-3078308520</v>
      </c>
      <c r="N64" s="1065">
        <v>414097594</v>
      </c>
      <c r="O64" s="1065">
        <v>-414097594</v>
      </c>
      <c r="P64" s="1065">
        <v>0</v>
      </c>
      <c r="Q64" s="1065">
        <v>0</v>
      </c>
      <c r="R64" s="1065">
        <v>0</v>
      </c>
      <c r="S64" s="1065">
        <v>0</v>
      </c>
      <c r="T64" s="1065">
        <v>0</v>
      </c>
      <c r="U64" s="1065">
        <v>85013486</v>
      </c>
      <c r="V64" s="1065">
        <v>118738747</v>
      </c>
      <c r="W64" s="1065">
        <v>13139876</v>
      </c>
      <c r="X64" s="1065">
        <v>365359707</v>
      </c>
      <c r="Y64" s="1065">
        <v>1213381991</v>
      </c>
      <c r="Z64" s="1065">
        <v>432435636</v>
      </c>
      <c r="AA64" s="1065">
        <v>96173943</v>
      </c>
      <c r="AB64" s="1065">
        <v>1203972214</v>
      </c>
      <c r="AC64" s="1065">
        <v>1921680375</v>
      </c>
      <c r="AD64" s="1065">
        <v>0</v>
      </c>
      <c r="AE64" s="1065">
        <v>0</v>
      </c>
      <c r="AF64" s="1065">
        <v>0</v>
      </c>
      <c r="AG64" s="1065">
        <v>0</v>
      </c>
      <c r="AH64" s="1065">
        <v>0</v>
      </c>
      <c r="AI64" s="1065">
        <v>0</v>
      </c>
      <c r="AJ64" s="1065">
        <v>0</v>
      </c>
      <c r="AK64" s="1065">
        <v>0</v>
      </c>
      <c r="AL64" s="1065">
        <v>0</v>
      </c>
      <c r="AM64" s="1065">
        <v>11735418</v>
      </c>
      <c r="AN64" s="1065">
        <v>-11735418</v>
      </c>
      <c r="AO64" s="1065">
        <v>19173305</v>
      </c>
      <c r="AP64" s="1065">
        <v>0</v>
      </c>
      <c r="AQ64" s="1080">
        <v>0</v>
      </c>
      <c r="AR64" s="1081"/>
      <c r="AS64" s="1065">
        <v>1406190478</v>
      </c>
      <c r="AT64" s="1065">
        <v>8399086471</v>
      </c>
      <c r="AU64" s="1065">
        <v>0</v>
      </c>
      <c r="AV64" s="1065">
        <v>0</v>
      </c>
      <c r="AW64" s="1065">
        <v>85013486</v>
      </c>
      <c r="AX64" s="1065">
        <v>1710620321</v>
      </c>
      <c r="AY64" s="1065">
        <v>3654262168</v>
      </c>
      <c r="AZ64" s="1065">
        <v>0</v>
      </c>
      <c r="BA64" s="1065">
        <v>0</v>
      </c>
      <c r="BB64" s="1065">
        <v>19173305</v>
      </c>
      <c r="BC64" s="1065">
        <v>11735418</v>
      </c>
      <c r="BD64" s="1065">
        <v>0</v>
      </c>
    </row>
    <row r="65" spans="1:56">
      <c r="A65" s="1079" t="s">
        <v>1069</v>
      </c>
      <c r="B65" s="1065">
        <v>0</v>
      </c>
      <c r="C65" s="1065">
        <v>0</v>
      </c>
      <c r="D65" s="1065">
        <v>0</v>
      </c>
      <c r="E65" s="1065">
        <v>0</v>
      </c>
      <c r="F65" s="1065">
        <v>0</v>
      </c>
      <c r="G65" s="1065">
        <v>0</v>
      </c>
      <c r="H65" s="1065">
        <v>0</v>
      </c>
      <c r="I65" s="1065">
        <v>0</v>
      </c>
      <c r="J65" s="1065">
        <v>0</v>
      </c>
      <c r="K65" s="1065">
        <v>0</v>
      </c>
      <c r="L65" s="1065">
        <v>0</v>
      </c>
      <c r="M65" s="1065">
        <v>0</v>
      </c>
      <c r="N65" s="1065">
        <v>0</v>
      </c>
      <c r="O65" s="1065">
        <v>0</v>
      </c>
      <c r="P65" s="1065">
        <v>0</v>
      </c>
      <c r="Q65" s="1065">
        <v>0</v>
      </c>
      <c r="R65" s="1065">
        <v>0</v>
      </c>
      <c r="S65" s="1065">
        <v>0</v>
      </c>
      <c r="T65" s="1065">
        <v>0</v>
      </c>
      <c r="U65" s="1065">
        <v>0</v>
      </c>
      <c r="V65" s="1065">
        <v>0</v>
      </c>
      <c r="W65" s="1065">
        <v>0</v>
      </c>
      <c r="X65" s="1065">
        <v>0</v>
      </c>
      <c r="Y65" s="1065">
        <v>0</v>
      </c>
      <c r="Z65" s="1065">
        <v>0</v>
      </c>
      <c r="AA65" s="1065">
        <v>0</v>
      </c>
      <c r="AB65" s="1065">
        <v>0</v>
      </c>
      <c r="AC65" s="1065">
        <v>0</v>
      </c>
      <c r="AD65" s="1065">
        <v>0</v>
      </c>
      <c r="AE65" s="1065">
        <v>0</v>
      </c>
      <c r="AF65" s="1065">
        <v>0</v>
      </c>
      <c r="AG65" s="1065">
        <v>0</v>
      </c>
      <c r="AH65" s="1065">
        <v>0</v>
      </c>
      <c r="AI65" s="1065">
        <v>0</v>
      </c>
      <c r="AJ65" s="1065">
        <v>0</v>
      </c>
      <c r="AK65" s="1065">
        <v>0</v>
      </c>
      <c r="AL65" s="1065">
        <v>0</v>
      </c>
      <c r="AM65" s="1065">
        <v>0</v>
      </c>
      <c r="AN65" s="1065">
        <v>0</v>
      </c>
      <c r="AO65" s="1065">
        <v>0</v>
      </c>
      <c r="AP65" s="1065">
        <v>0</v>
      </c>
      <c r="AQ65" s="1080">
        <v>0</v>
      </c>
      <c r="AR65" s="1081"/>
      <c r="AS65" s="1065">
        <v>0</v>
      </c>
      <c r="AT65" s="1065">
        <v>0</v>
      </c>
      <c r="AU65" s="1065">
        <v>0</v>
      </c>
      <c r="AV65" s="1065">
        <v>0</v>
      </c>
      <c r="AW65" s="1065">
        <v>0</v>
      </c>
      <c r="AX65" s="1065">
        <v>0</v>
      </c>
      <c r="AY65" s="1065">
        <v>0</v>
      </c>
      <c r="AZ65" s="1065">
        <v>0</v>
      </c>
      <c r="BA65" s="1065">
        <v>0</v>
      </c>
      <c r="BB65" s="1065">
        <v>0</v>
      </c>
      <c r="BC65" s="1065">
        <v>0</v>
      </c>
      <c r="BD65" s="1065">
        <v>0</v>
      </c>
    </row>
    <row r="66" spans="1:56">
      <c r="A66" s="1079" t="s">
        <v>1070</v>
      </c>
      <c r="B66" s="1065">
        <v>500</v>
      </c>
      <c r="C66" s="1065">
        <v>500</v>
      </c>
      <c r="D66" s="1065">
        <v>2400</v>
      </c>
      <c r="E66" s="1065">
        <v>3000</v>
      </c>
      <c r="F66" s="1065">
        <v>1400</v>
      </c>
      <c r="G66" s="1065">
        <v>9084474</v>
      </c>
      <c r="H66" s="1065">
        <v>-9083674</v>
      </c>
      <c r="I66" s="1065">
        <v>-1100</v>
      </c>
      <c r="J66" s="1065">
        <v>11188</v>
      </c>
      <c r="K66" s="1065">
        <v>100</v>
      </c>
      <c r="L66" s="1065">
        <v>3002000</v>
      </c>
      <c r="M66" s="1065">
        <v>-3011100</v>
      </c>
      <c r="N66" s="1065">
        <v>9904100</v>
      </c>
      <c r="O66" s="1065">
        <v>-1000</v>
      </c>
      <c r="P66" s="1065">
        <v>1100</v>
      </c>
      <c r="Q66" s="1065">
        <v>-3200</v>
      </c>
      <c r="R66" s="1065">
        <v>6500</v>
      </c>
      <c r="S66" s="1065">
        <v>446930789</v>
      </c>
      <c r="T66" s="1065">
        <v>-2400</v>
      </c>
      <c r="U66" s="1065">
        <v>285957043</v>
      </c>
      <c r="V66" s="1065">
        <v>1000</v>
      </c>
      <c r="W66" s="1065">
        <v>3400</v>
      </c>
      <c r="X66" s="1065">
        <v>-1100</v>
      </c>
      <c r="Y66" s="1065">
        <v>998800</v>
      </c>
      <c r="Z66" s="1065">
        <v>4700</v>
      </c>
      <c r="AA66" s="1065">
        <v>3200</v>
      </c>
      <c r="AB66" s="1065">
        <v>-800</v>
      </c>
      <c r="AC66" s="1065">
        <v>1100</v>
      </c>
      <c r="AD66" s="1065">
        <v>11100</v>
      </c>
      <c r="AE66" s="1065">
        <v>187727907</v>
      </c>
      <c r="AF66" s="1065">
        <v>-4600</v>
      </c>
      <c r="AG66" s="1065">
        <v>-1200</v>
      </c>
      <c r="AH66" s="1065">
        <v>14916810</v>
      </c>
      <c r="AI66" s="1065">
        <v>900</v>
      </c>
      <c r="AJ66" s="1065">
        <v>623676182</v>
      </c>
      <c r="AK66" s="1065">
        <v>11100</v>
      </c>
      <c r="AL66" s="1065">
        <v>15500</v>
      </c>
      <c r="AM66" s="1065">
        <v>17800</v>
      </c>
      <c r="AN66" s="1065">
        <v>783217640</v>
      </c>
      <c r="AO66" s="1065">
        <v>600</v>
      </c>
      <c r="AP66" s="1065">
        <v>60800</v>
      </c>
      <c r="AQ66" s="1080">
        <v>-16000</v>
      </c>
      <c r="AR66" s="1081"/>
      <c r="AS66" s="1065">
        <v>6400</v>
      </c>
      <c r="AT66" s="1065">
        <v>1100</v>
      </c>
      <c r="AU66" s="1065">
        <v>2188</v>
      </c>
      <c r="AV66" s="1065">
        <v>9901000</v>
      </c>
      <c r="AW66" s="1065">
        <v>732891932</v>
      </c>
      <c r="AX66" s="1065">
        <v>1002100</v>
      </c>
      <c r="AY66" s="1065">
        <v>8200</v>
      </c>
      <c r="AZ66" s="1065">
        <v>187733207</v>
      </c>
      <c r="BA66" s="1065">
        <v>638604992</v>
      </c>
      <c r="BB66" s="1065">
        <v>783251540</v>
      </c>
      <c r="BC66" s="1065">
        <v>33300</v>
      </c>
      <c r="BD66" s="1065">
        <v>44800</v>
      </c>
    </row>
    <row r="67" spans="1:56">
      <c r="A67" s="1076" t="s">
        <v>1071</v>
      </c>
      <c r="B67" s="1063">
        <v>550417051144</v>
      </c>
      <c r="C67" s="1063">
        <v>534548110732</v>
      </c>
      <c r="D67" s="1063">
        <v>457018548235</v>
      </c>
      <c r="E67" s="1063">
        <v>955768323796</v>
      </c>
      <c r="F67" s="1063">
        <v>622807888645</v>
      </c>
      <c r="G67" s="1063">
        <v>550468978749</v>
      </c>
      <c r="H67" s="1063">
        <v>710356567345</v>
      </c>
      <c r="I67" s="1063">
        <v>792519643107</v>
      </c>
      <c r="J67" s="1063">
        <v>1004546095091</v>
      </c>
      <c r="K67" s="1063">
        <v>924381230210</v>
      </c>
      <c r="L67" s="1063">
        <v>1009847185785</v>
      </c>
      <c r="M67" s="1063">
        <v>1922874251870</v>
      </c>
      <c r="N67" s="1063">
        <v>1449933102966</v>
      </c>
      <c r="O67" s="1063">
        <v>1521618854875</v>
      </c>
      <c r="P67" s="1063">
        <v>1900319645959</v>
      </c>
      <c r="Q67" s="1063">
        <v>1891240080241</v>
      </c>
      <c r="R67" s="1063">
        <v>4909630609093</v>
      </c>
      <c r="S67" s="1063">
        <v>1380220304673</v>
      </c>
      <c r="T67" s="1063">
        <v>1754233006199</v>
      </c>
      <c r="U67" s="1063">
        <v>1930737973175</v>
      </c>
      <c r="V67" s="1063">
        <v>2835504982855</v>
      </c>
      <c r="W67" s="1063">
        <v>3062777296691</v>
      </c>
      <c r="X67" s="1063">
        <v>4296100014075</v>
      </c>
      <c r="Y67" s="1063">
        <v>6263055438491</v>
      </c>
      <c r="Z67" s="1063">
        <v>8197620578555</v>
      </c>
      <c r="AA67" s="1063">
        <v>11905611448123</v>
      </c>
      <c r="AB67" s="1063">
        <v>14956861485023</v>
      </c>
      <c r="AC67" s="1063">
        <v>12203819516468</v>
      </c>
      <c r="AD67" s="1063">
        <v>11860081917688</v>
      </c>
      <c r="AE67" s="1063">
        <v>8206012988631</v>
      </c>
      <c r="AF67" s="1063">
        <v>8063141721336</v>
      </c>
      <c r="AG67" s="1063">
        <v>10500521069794</v>
      </c>
      <c r="AH67" s="1063">
        <v>7168291103968</v>
      </c>
      <c r="AI67" s="1063">
        <v>6135363999492</v>
      </c>
      <c r="AJ67" s="1063">
        <v>5723613742416</v>
      </c>
      <c r="AK67" s="1063">
        <v>6284977376727</v>
      </c>
      <c r="AL67" s="1063">
        <v>2404038207421.0801</v>
      </c>
      <c r="AM67" s="1063">
        <v>2630393039712</v>
      </c>
      <c r="AN67" s="1063">
        <v>1809417034368.9199</v>
      </c>
      <c r="AO67" s="1063">
        <v>3299940959025</v>
      </c>
      <c r="AP67" s="1063">
        <v>6250705798579</v>
      </c>
      <c r="AQ67" s="1077">
        <v>7962946502270</v>
      </c>
      <c r="AR67" s="1078"/>
      <c r="AS67" s="1063">
        <v>2497752033907</v>
      </c>
      <c r="AT67" s="1063">
        <v>2676153077846</v>
      </c>
      <c r="AU67" s="1063">
        <v>4861648762956</v>
      </c>
      <c r="AV67" s="1063">
        <v>6763111684041</v>
      </c>
      <c r="AW67" s="1063">
        <v>9974821893140</v>
      </c>
      <c r="AX67" s="1063">
        <v>16457437732112</v>
      </c>
      <c r="AY67" s="1063">
        <v>47263913028169</v>
      </c>
      <c r="AZ67" s="1063">
        <v>38629757697449</v>
      </c>
      <c r="BA67" s="1063">
        <v>25312246222603</v>
      </c>
      <c r="BB67" s="1063">
        <v>10143789240527</v>
      </c>
      <c r="BC67" s="1063">
        <v>5034431247133.0801</v>
      </c>
      <c r="BD67" s="1063">
        <v>14213652300849</v>
      </c>
    </row>
    <row r="68" spans="1:56">
      <c r="A68" s="1079" t="s">
        <v>1072</v>
      </c>
      <c r="B68" s="1065">
        <v>83980476895</v>
      </c>
      <c r="C68" s="1065">
        <v>62985965390</v>
      </c>
      <c r="D68" s="1065">
        <v>56882330011</v>
      </c>
      <c r="E68" s="1065">
        <v>95185464504</v>
      </c>
      <c r="F68" s="1065">
        <v>75889214604</v>
      </c>
      <c r="G68" s="1065">
        <v>79149924165</v>
      </c>
      <c r="H68" s="1065">
        <v>81166618158</v>
      </c>
      <c r="I68" s="1065">
        <v>125590574865</v>
      </c>
      <c r="J68" s="1065">
        <v>176253361302</v>
      </c>
      <c r="K68" s="1065">
        <v>150614921838</v>
      </c>
      <c r="L68" s="1065">
        <v>121693969834</v>
      </c>
      <c r="M68" s="1065">
        <v>442371301044</v>
      </c>
      <c r="N68" s="1065">
        <v>412588884838</v>
      </c>
      <c r="O68" s="1065">
        <v>197781239350</v>
      </c>
      <c r="P68" s="1065">
        <v>175352462437</v>
      </c>
      <c r="Q68" s="1065">
        <v>192354515591</v>
      </c>
      <c r="R68" s="1065">
        <v>920944241416</v>
      </c>
      <c r="S68" s="1065">
        <v>173738587176</v>
      </c>
      <c r="T68" s="1065">
        <v>208518590085</v>
      </c>
      <c r="U68" s="1065">
        <v>224306118047</v>
      </c>
      <c r="V68" s="1065">
        <v>500331145058</v>
      </c>
      <c r="W68" s="1065">
        <v>264465795505</v>
      </c>
      <c r="X68" s="1065">
        <v>519881229699</v>
      </c>
      <c r="Y68" s="1065">
        <v>405498642065</v>
      </c>
      <c r="Z68" s="1065">
        <v>906321765539</v>
      </c>
      <c r="AA68" s="1065">
        <v>823564896698</v>
      </c>
      <c r="AB68" s="1065">
        <v>1030875137898</v>
      </c>
      <c r="AC68" s="1065">
        <v>421001305360</v>
      </c>
      <c r="AD68" s="1065">
        <v>926255618007</v>
      </c>
      <c r="AE68" s="1065">
        <v>454265196026</v>
      </c>
      <c r="AF68" s="1065">
        <v>323007576461</v>
      </c>
      <c r="AG68" s="1065">
        <v>800295707641</v>
      </c>
      <c r="AH68" s="1065">
        <v>1089160383572</v>
      </c>
      <c r="AI68" s="1065">
        <v>462920212733</v>
      </c>
      <c r="AJ68" s="1065">
        <v>1094481723042</v>
      </c>
      <c r="AK68" s="1065">
        <v>796342384243</v>
      </c>
      <c r="AL68" s="1065">
        <v>982543320307</v>
      </c>
      <c r="AM68" s="1065">
        <v>1430119787745</v>
      </c>
      <c r="AN68" s="1065">
        <v>861580545229</v>
      </c>
      <c r="AO68" s="1065">
        <v>1422373153991</v>
      </c>
      <c r="AP68" s="1065">
        <v>3076182965273</v>
      </c>
      <c r="AQ68" s="1080">
        <v>5073649289321</v>
      </c>
      <c r="AR68" s="1081"/>
      <c r="AS68" s="1065">
        <v>299034236800</v>
      </c>
      <c r="AT68" s="1065">
        <v>361796331792</v>
      </c>
      <c r="AU68" s="1065">
        <v>890933554018</v>
      </c>
      <c r="AV68" s="1065">
        <v>978077102216</v>
      </c>
      <c r="AW68" s="1065">
        <v>1527507536724</v>
      </c>
      <c r="AX68" s="1065">
        <v>1690176812327</v>
      </c>
      <c r="AY68" s="1065">
        <v>3181763105495</v>
      </c>
      <c r="AZ68" s="1065">
        <v>2503824098135</v>
      </c>
      <c r="BA68" s="1065">
        <v>3442904703590</v>
      </c>
      <c r="BB68" s="1065">
        <v>4696616807272</v>
      </c>
      <c r="BC68" s="1065">
        <v>2412663108052</v>
      </c>
      <c r="BD68" s="1065">
        <v>8149832254594</v>
      </c>
    </row>
    <row r="69" spans="1:56">
      <c r="A69" s="1079" t="s">
        <v>1073</v>
      </c>
      <c r="B69" s="1065">
        <v>466436574249</v>
      </c>
      <c r="C69" s="1065">
        <v>471562145342</v>
      </c>
      <c r="D69" s="1065">
        <v>400136218224</v>
      </c>
      <c r="E69" s="1065">
        <v>860582859292</v>
      </c>
      <c r="F69" s="1065">
        <v>546918674041</v>
      </c>
      <c r="G69" s="1065">
        <v>471319054584</v>
      </c>
      <c r="H69" s="1065">
        <v>629189949187</v>
      </c>
      <c r="I69" s="1065">
        <v>666929068242</v>
      </c>
      <c r="J69" s="1065">
        <v>828292733789</v>
      </c>
      <c r="K69" s="1065">
        <v>773766308372</v>
      </c>
      <c r="L69" s="1065">
        <v>888153215951</v>
      </c>
      <c r="M69" s="1065">
        <v>1480502950826</v>
      </c>
      <c r="N69" s="1065">
        <v>1037344218128</v>
      </c>
      <c r="O69" s="1065">
        <v>1323837615525</v>
      </c>
      <c r="P69" s="1065">
        <v>1724967183522</v>
      </c>
      <c r="Q69" s="1065">
        <v>1698885564650</v>
      </c>
      <c r="R69" s="1065">
        <v>3988686367677</v>
      </c>
      <c r="S69" s="1065">
        <v>1206481717497</v>
      </c>
      <c r="T69" s="1065">
        <v>1545714416114</v>
      </c>
      <c r="U69" s="1065">
        <v>1706431855128</v>
      </c>
      <c r="V69" s="1065">
        <v>2335173837797</v>
      </c>
      <c r="W69" s="1065">
        <v>2798311501186</v>
      </c>
      <c r="X69" s="1065">
        <v>3776218784376</v>
      </c>
      <c r="Y69" s="1065">
        <v>5857556796426</v>
      </c>
      <c r="Z69" s="1065">
        <v>7291298813016</v>
      </c>
      <c r="AA69" s="1065">
        <v>11082046551425</v>
      </c>
      <c r="AB69" s="1065">
        <v>13925986347125</v>
      </c>
      <c r="AC69" s="1065">
        <v>11782818211108</v>
      </c>
      <c r="AD69" s="1065">
        <v>10933826299681</v>
      </c>
      <c r="AE69" s="1065">
        <v>7751747792605</v>
      </c>
      <c r="AF69" s="1065">
        <v>7740134144875</v>
      </c>
      <c r="AG69" s="1065">
        <v>9700225362153</v>
      </c>
      <c r="AH69" s="1065">
        <v>6079130720396</v>
      </c>
      <c r="AI69" s="1065">
        <v>5672443786759</v>
      </c>
      <c r="AJ69" s="1065">
        <v>4629132019374</v>
      </c>
      <c r="AK69" s="1065">
        <v>5488634992484</v>
      </c>
      <c r="AL69" s="1065">
        <v>1421494887114.0801</v>
      </c>
      <c r="AM69" s="1065">
        <v>1200273251967</v>
      </c>
      <c r="AN69" s="1065">
        <v>947836489139.91992</v>
      </c>
      <c r="AO69" s="1065">
        <v>1877567805034</v>
      </c>
      <c r="AP69" s="1065">
        <v>3174522833306</v>
      </c>
      <c r="AQ69" s="1080">
        <v>2889297212949</v>
      </c>
      <c r="AR69" s="1081"/>
      <c r="AS69" s="1065">
        <v>2198717797107</v>
      </c>
      <c r="AT69" s="1065">
        <v>2314356746054</v>
      </c>
      <c r="AU69" s="1065">
        <v>3970715208938</v>
      </c>
      <c r="AV69" s="1065">
        <v>5785034581825</v>
      </c>
      <c r="AW69" s="1065">
        <v>8447314356416</v>
      </c>
      <c r="AX69" s="1065">
        <v>14767260919785</v>
      </c>
      <c r="AY69" s="1065">
        <v>44082149922674</v>
      </c>
      <c r="AZ69" s="1065">
        <v>36125933599314</v>
      </c>
      <c r="BA69" s="1065">
        <v>21869341519013</v>
      </c>
      <c r="BB69" s="1065">
        <v>5447172433255</v>
      </c>
      <c r="BC69" s="1065">
        <v>2621768139081.0801</v>
      </c>
      <c r="BD69" s="1065">
        <v>6063820046255</v>
      </c>
    </row>
    <row r="70" spans="1:56">
      <c r="A70" s="1076" t="s">
        <v>1074</v>
      </c>
      <c r="B70" s="1063">
        <v>59809493366</v>
      </c>
      <c r="C70" s="1063">
        <v>63315037981</v>
      </c>
      <c r="D70" s="1063">
        <v>57375025910</v>
      </c>
      <c r="E70" s="1063">
        <v>62391647035</v>
      </c>
      <c r="F70" s="1063">
        <v>60271361080.11927</v>
      </c>
      <c r="G70" s="1063">
        <v>82663193012.880737</v>
      </c>
      <c r="H70" s="1063">
        <v>76976679579</v>
      </c>
      <c r="I70" s="1063">
        <v>79499963466</v>
      </c>
      <c r="J70" s="1063">
        <v>89464592475</v>
      </c>
      <c r="K70" s="1063">
        <v>100518973552</v>
      </c>
      <c r="L70" s="1063">
        <v>104449689198</v>
      </c>
      <c r="M70" s="1063">
        <v>107773365849</v>
      </c>
      <c r="N70" s="1063">
        <v>122158021936</v>
      </c>
      <c r="O70" s="1063">
        <v>130627843470</v>
      </c>
      <c r="P70" s="1063">
        <v>127075278190</v>
      </c>
      <c r="Q70" s="1063">
        <v>123245096114</v>
      </c>
      <c r="R70" s="1063">
        <v>125567271305</v>
      </c>
      <c r="S70" s="1063">
        <v>113077690260</v>
      </c>
      <c r="T70" s="1063">
        <v>93490832324</v>
      </c>
      <c r="U70" s="1063">
        <v>92747950908</v>
      </c>
      <c r="V70" s="1063">
        <v>91808628312</v>
      </c>
      <c r="W70" s="1063">
        <v>90440303618</v>
      </c>
      <c r="X70" s="1063">
        <v>93389288102</v>
      </c>
      <c r="Y70" s="1063">
        <v>117674513226</v>
      </c>
      <c r="Z70" s="1063">
        <v>150512830812</v>
      </c>
      <c r="AA70" s="1063">
        <v>176361630276</v>
      </c>
      <c r="AB70" s="1063">
        <v>236155963140</v>
      </c>
      <c r="AC70" s="1063">
        <v>325222069985</v>
      </c>
      <c r="AD70" s="1063">
        <v>358261191978</v>
      </c>
      <c r="AE70" s="1063">
        <v>341930719148</v>
      </c>
      <c r="AF70" s="1063">
        <v>334168071074</v>
      </c>
      <c r="AG70" s="1063">
        <v>372975691833</v>
      </c>
      <c r="AH70" s="1063">
        <v>352288991922</v>
      </c>
      <c r="AI70" s="1063">
        <v>335361175726</v>
      </c>
      <c r="AJ70" s="1063">
        <v>378835937066</v>
      </c>
      <c r="AK70" s="1063">
        <v>386648892802</v>
      </c>
      <c r="AL70" s="1063">
        <v>384845123682</v>
      </c>
      <c r="AM70" s="1063">
        <v>376893285987</v>
      </c>
      <c r="AN70" s="1063">
        <v>371991771202</v>
      </c>
      <c r="AO70" s="1063">
        <v>423224370980</v>
      </c>
      <c r="AP70" s="1063">
        <v>426395532586</v>
      </c>
      <c r="AQ70" s="1077">
        <v>472479261658</v>
      </c>
      <c r="AR70" s="1078"/>
      <c r="AS70" s="1063">
        <v>242891204292</v>
      </c>
      <c r="AT70" s="1063">
        <v>299411197138</v>
      </c>
      <c r="AU70" s="1063">
        <v>402206621074</v>
      </c>
      <c r="AV70" s="1063">
        <v>503106239710</v>
      </c>
      <c r="AW70" s="1063">
        <v>424883744797</v>
      </c>
      <c r="AX70" s="1063">
        <v>393312733258</v>
      </c>
      <c r="AY70" s="1063">
        <v>888252494213</v>
      </c>
      <c r="AZ70" s="1063">
        <v>1407335674033</v>
      </c>
      <c r="BA70" s="1063">
        <v>1453134997516</v>
      </c>
      <c r="BB70" s="1063">
        <v>1556954551851</v>
      </c>
      <c r="BC70" s="1063">
        <v>761738409669</v>
      </c>
      <c r="BD70" s="1063">
        <v>898874794244</v>
      </c>
    </row>
    <row r="71" spans="1:56">
      <c r="A71" s="1079" t="s">
        <v>1075</v>
      </c>
      <c r="B71" s="1065">
        <v>12844924089</v>
      </c>
      <c r="C71" s="1065">
        <v>12195904183</v>
      </c>
      <c r="D71" s="1065">
        <v>10827220162</v>
      </c>
      <c r="E71" s="1065">
        <v>10169936379</v>
      </c>
      <c r="F71" s="1065">
        <v>9232613933</v>
      </c>
      <c r="G71" s="1065">
        <v>8926444626</v>
      </c>
      <c r="H71" s="1065">
        <v>9028949488</v>
      </c>
      <c r="I71" s="1065">
        <v>8907029262</v>
      </c>
      <c r="J71" s="1065">
        <v>9271986940</v>
      </c>
      <c r="K71" s="1065">
        <v>9121352518</v>
      </c>
      <c r="L71" s="1065">
        <v>8007217520</v>
      </c>
      <c r="M71" s="1065">
        <v>7402972117</v>
      </c>
      <c r="N71" s="1065">
        <v>7266388952</v>
      </c>
      <c r="O71" s="1065">
        <v>6761615448</v>
      </c>
      <c r="P71" s="1065">
        <v>5315854692</v>
      </c>
      <c r="Q71" s="1065">
        <v>4086752830</v>
      </c>
      <c r="R71" s="1065">
        <v>3123381734</v>
      </c>
      <c r="S71" s="1065">
        <v>1151739875</v>
      </c>
      <c r="T71" s="1065">
        <v>544898886</v>
      </c>
      <c r="U71" s="1065">
        <v>612528925</v>
      </c>
      <c r="V71" s="1065">
        <v>671644183</v>
      </c>
      <c r="W71" s="1065">
        <v>697413437</v>
      </c>
      <c r="X71" s="1065">
        <v>633327447</v>
      </c>
      <c r="Y71" s="1065">
        <v>778913714</v>
      </c>
      <c r="Z71" s="1065">
        <v>1010189721</v>
      </c>
      <c r="AA71" s="1065">
        <v>1050362397</v>
      </c>
      <c r="AB71" s="1065">
        <v>1256096425</v>
      </c>
      <c r="AC71" s="1065">
        <v>1526694429</v>
      </c>
      <c r="AD71" s="1065">
        <v>1879267027</v>
      </c>
      <c r="AE71" s="1065">
        <v>1557211468</v>
      </c>
      <c r="AF71" s="1065">
        <v>1970067190</v>
      </c>
      <c r="AG71" s="1065">
        <v>2411953807</v>
      </c>
      <c r="AH71" s="1065">
        <v>2771410780</v>
      </c>
      <c r="AI71" s="1065">
        <v>2974962841</v>
      </c>
      <c r="AJ71" s="1065">
        <v>2657252031</v>
      </c>
      <c r="AK71" s="1065">
        <v>2784800538</v>
      </c>
      <c r="AL71" s="1065">
        <v>2972917531</v>
      </c>
      <c r="AM71" s="1065">
        <v>2759206810</v>
      </c>
      <c r="AN71" s="1065">
        <v>2217403690</v>
      </c>
      <c r="AO71" s="1065">
        <v>2908318406</v>
      </c>
      <c r="AP71" s="1065">
        <v>3779789350</v>
      </c>
      <c r="AQ71" s="1080">
        <v>5680633627</v>
      </c>
      <c r="AR71" s="1081"/>
      <c r="AS71" s="1065">
        <v>46037984813</v>
      </c>
      <c r="AT71" s="1065">
        <v>36095037309</v>
      </c>
      <c r="AU71" s="1065">
        <v>33803529095</v>
      </c>
      <c r="AV71" s="1065">
        <v>23430611922</v>
      </c>
      <c r="AW71" s="1065">
        <v>5432549420</v>
      </c>
      <c r="AX71" s="1065">
        <v>2781298781</v>
      </c>
      <c r="AY71" s="1065">
        <v>4843342972</v>
      </c>
      <c r="AZ71" s="1065">
        <v>7818499492</v>
      </c>
      <c r="BA71" s="1065">
        <v>11188426190</v>
      </c>
      <c r="BB71" s="1065">
        <v>10857846437</v>
      </c>
      <c r="BC71" s="1065">
        <v>5732124341</v>
      </c>
      <c r="BD71" s="1065">
        <v>9460422977</v>
      </c>
    </row>
    <row r="72" spans="1:56">
      <c r="A72" s="1079" t="s">
        <v>1076</v>
      </c>
      <c r="B72" s="1065">
        <v>38432794179</v>
      </c>
      <c r="C72" s="1065">
        <v>42651976711</v>
      </c>
      <c r="D72" s="1065">
        <v>37536263554</v>
      </c>
      <c r="E72" s="1065">
        <v>43710122624</v>
      </c>
      <c r="F72" s="1065">
        <v>42624756592.11927</v>
      </c>
      <c r="G72" s="1065">
        <v>48137123569.88073</v>
      </c>
      <c r="H72" s="1065">
        <v>41325110857</v>
      </c>
      <c r="I72" s="1065">
        <v>36124936866</v>
      </c>
      <c r="J72" s="1065">
        <v>42443581038</v>
      </c>
      <c r="K72" s="1065">
        <v>51166003976</v>
      </c>
      <c r="L72" s="1065">
        <v>53586352979</v>
      </c>
      <c r="M72" s="1065">
        <v>53714669434</v>
      </c>
      <c r="N72" s="1065">
        <v>62913615954</v>
      </c>
      <c r="O72" s="1065">
        <v>71911693018</v>
      </c>
      <c r="P72" s="1065">
        <v>68511541648</v>
      </c>
      <c r="Q72" s="1065">
        <v>68775938357</v>
      </c>
      <c r="R72" s="1065">
        <v>65376344178</v>
      </c>
      <c r="S72" s="1065">
        <v>53983728442</v>
      </c>
      <c r="T72" s="1065">
        <v>36880661417</v>
      </c>
      <c r="U72" s="1065">
        <v>37168258868</v>
      </c>
      <c r="V72" s="1065">
        <v>37558681575</v>
      </c>
      <c r="W72" s="1065">
        <v>35765748402</v>
      </c>
      <c r="X72" s="1065">
        <v>37347349022</v>
      </c>
      <c r="Y72" s="1065">
        <v>55206706570</v>
      </c>
      <c r="Z72" s="1065">
        <v>72458968799</v>
      </c>
      <c r="AA72" s="1065">
        <v>91162391896</v>
      </c>
      <c r="AB72" s="1065">
        <v>114272810753</v>
      </c>
      <c r="AC72" s="1065">
        <v>172500862437</v>
      </c>
      <c r="AD72" s="1065">
        <v>185474149968</v>
      </c>
      <c r="AE72" s="1065">
        <v>184097910876</v>
      </c>
      <c r="AF72" s="1065">
        <v>173022554493</v>
      </c>
      <c r="AG72" s="1065">
        <v>192415690772</v>
      </c>
      <c r="AH72" s="1065">
        <v>177192873296</v>
      </c>
      <c r="AI72" s="1065">
        <v>152343924672</v>
      </c>
      <c r="AJ72" s="1065">
        <v>197956693276</v>
      </c>
      <c r="AK72" s="1065">
        <v>205557114349</v>
      </c>
      <c r="AL72" s="1065">
        <v>200105346566</v>
      </c>
      <c r="AM72" s="1065">
        <v>188527253685</v>
      </c>
      <c r="AN72" s="1065">
        <v>191125142753</v>
      </c>
      <c r="AO72" s="1065">
        <v>224940358264</v>
      </c>
      <c r="AP72" s="1065">
        <v>227790457983</v>
      </c>
      <c r="AQ72" s="1080">
        <v>247005378081</v>
      </c>
      <c r="AR72" s="1081"/>
      <c r="AS72" s="1065">
        <v>162331157068</v>
      </c>
      <c r="AT72" s="1065">
        <v>168211927885</v>
      </c>
      <c r="AU72" s="1065">
        <v>200910607427</v>
      </c>
      <c r="AV72" s="1065">
        <v>272112788977</v>
      </c>
      <c r="AW72" s="1065">
        <v>193408992905</v>
      </c>
      <c r="AX72" s="1065">
        <v>165878485569</v>
      </c>
      <c r="AY72" s="1065">
        <v>450395033885</v>
      </c>
      <c r="AZ72" s="1065">
        <v>735010306109</v>
      </c>
      <c r="BA72" s="1065">
        <v>733050605593</v>
      </c>
      <c r="BB72" s="1065">
        <v>804698101268</v>
      </c>
      <c r="BC72" s="1065">
        <v>388632600251</v>
      </c>
      <c r="BD72" s="1065">
        <v>474795836064</v>
      </c>
    </row>
    <row r="73" spans="1:56">
      <c r="A73" s="1079" t="s">
        <v>1077</v>
      </c>
      <c r="B73" s="1065">
        <v>3396594039</v>
      </c>
      <c r="C73" s="1065">
        <v>3367300595</v>
      </c>
      <c r="D73" s="1065">
        <v>3395837289</v>
      </c>
      <c r="E73" s="1065">
        <v>3545515033</v>
      </c>
      <c r="F73" s="1065">
        <v>3336563254</v>
      </c>
      <c r="G73" s="1065">
        <v>21905736653</v>
      </c>
      <c r="H73" s="1065">
        <v>22297757243</v>
      </c>
      <c r="I73" s="1065">
        <v>30457235492</v>
      </c>
      <c r="J73" s="1065">
        <v>32340193782</v>
      </c>
      <c r="K73" s="1065">
        <v>34588031327</v>
      </c>
      <c r="L73" s="1065">
        <v>38332746175</v>
      </c>
      <c r="M73" s="1065">
        <v>43251370138</v>
      </c>
      <c r="N73" s="1065">
        <v>47332653912</v>
      </c>
      <c r="O73" s="1065">
        <v>47525052034</v>
      </c>
      <c r="P73" s="1065">
        <v>48236914965</v>
      </c>
      <c r="Q73" s="1065">
        <v>46151898931</v>
      </c>
      <c r="R73" s="1065">
        <v>47932343640</v>
      </c>
      <c r="S73" s="1065">
        <v>50515590609</v>
      </c>
      <c r="T73" s="1065">
        <v>47370238904</v>
      </c>
      <c r="U73" s="1065">
        <v>47438903598</v>
      </c>
      <c r="V73" s="1065">
        <v>44990188322</v>
      </c>
      <c r="W73" s="1065">
        <v>43685133964</v>
      </c>
      <c r="X73" s="1065">
        <v>43496409647</v>
      </c>
      <c r="Y73" s="1065">
        <v>46049550345</v>
      </c>
      <c r="Z73" s="1065">
        <v>55735159496</v>
      </c>
      <c r="AA73" s="1065">
        <v>55184690172</v>
      </c>
      <c r="AB73" s="1065">
        <v>71089659986</v>
      </c>
      <c r="AC73" s="1065">
        <v>94016040448</v>
      </c>
      <c r="AD73" s="1065">
        <v>113568351471</v>
      </c>
      <c r="AE73" s="1065">
        <v>109952955154</v>
      </c>
      <c r="AF73" s="1065">
        <v>110967816744</v>
      </c>
      <c r="AG73" s="1065">
        <v>122602334722</v>
      </c>
      <c r="AH73" s="1065">
        <v>126834087902</v>
      </c>
      <c r="AI73" s="1065">
        <v>129311042585</v>
      </c>
      <c r="AJ73" s="1065">
        <v>130781787421</v>
      </c>
      <c r="AK73" s="1065">
        <v>135485175578</v>
      </c>
      <c r="AL73" s="1065">
        <v>143856184634</v>
      </c>
      <c r="AM73" s="1065">
        <v>143479608353</v>
      </c>
      <c r="AN73" s="1065">
        <v>138187843582</v>
      </c>
      <c r="AO73" s="1065">
        <v>146102832018</v>
      </c>
      <c r="AP73" s="1065">
        <v>160656107832</v>
      </c>
      <c r="AQ73" s="1080">
        <v>170137439989</v>
      </c>
      <c r="AR73" s="1081"/>
      <c r="AS73" s="1065">
        <v>13705246956</v>
      </c>
      <c r="AT73" s="1065">
        <v>77997292642</v>
      </c>
      <c r="AU73" s="1065">
        <v>148512341422</v>
      </c>
      <c r="AV73" s="1065">
        <v>189246519842</v>
      </c>
      <c r="AW73" s="1065">
        <v>193257076751</v>
      </c>
      <c r="AX73" s="1065">
        <v>178221282278</v>
      </c>
      <c r="AY73" s="1065">
        <v>276025550102</v>
      </c>
      <c r="AZ73" s="1065">
        <v>457091458091</v>
      </c>
      <c r="BA73" s="1065">
        <v>522412093486</v>
      </c>
      <c r="BB73" s="1065">
        <v>571626468587</v>
      </c>
      <c r="BC73" s="1065">
        <v>287335792987</v>
      </c>
      <c r="BD73" s="1065">
        <v>330793547821</v>
      </c>
    </row>
    <row r="74" spans="1:56">
      <c r="A74" s="1079" t="s">
        <v>1078</v>
      </c>
      <c r="B74" s="1065">
        <v>5135181059</v>
      </c>
      <c r="C74" s="1065">
        <v>5099856492</v>
      </c>
      <c r="D74" s="1065">
        <v>5615704905</v>
      </c>
      <c r="E74" s="1065">
        <v>4966072999</v>
      </c>
      <c r="F74" s="1065">
        <v>5077427301</v>
      </c>
      <c r="G74" s="1065">
        <v>3693888164</v>
      </c>
      <c r="H74" s="1065">
        <v>4324861991</v>
      </c>
      <c r="I74" s="1065">
        <v>4010761846</v>
      </c>
      <c r="J74" s="1065">
        <v>5408830715</v>
      </c>
      <c r="K74" s="1065">
        <v>5643585731</v>
      </c>
      <c r="L74" s="1065">
        <v>4523372524</v>
      </c>
      <c r="M74" s="1065">
        <v>3404354160</v>
      </c>
      <c r="N74" s="1065">
        <v>4645363118</v>
      </c>
      <c r="O74" s="1065">
        <v>4429482970</v>
      </c>
      <c r="P74" s="1065">
        <v>5010966885</v>
      </c>
      <c r="Q74" s="1065">
        <v>4230505996</v>
      </c>
      <c r="R74" s="1065">
        <v>9135201753</v>
      </c>
      <c r="S74" s="1065">
        <v>7426631334</v>
      </c>
      <c r="T74" s="1065">
        <v>8695033117</v>
      </c>
      <c r="U74" s="1065">
        <v>7528259517</v>
      </c>
      <c r="V74" s="1065">
        <v>8588114232</v>
      </c>
      <c r="W74" s="1065">
        <v>10292007815</v>
      </c>
      <c r="X74" s="1065">
        <v>11912201986</v>
      </c>
      <c r="Y74" s="1065">
        <v>15639342597</v>
      </c>
      <c r="Z74" s="1065">
        <v>21308512796</v>
      </c>
      <c r="AA74" s="1065">
        <v>28964185811</v>
      </c>
      <c r="AB74" s="1065">
        <v>49537395976</v>
      </c>
      <c r="AC74" s="1065">
        <v>57178472671</v>
      </c>
      <c r="AD74" s="1065">
        <v>57339423512</v>
      </c>
      <c r="AE74" s="1065">
        <v>46322641650</v>
      </c>
      <c r="AF74" s="1065">
        <v>48207632647</v>
      </c>
      <c r="AG74" s="1065">
        <v>55545712532</v>
      </c>
      <c r="AH74" s="1065">
        <v>45490619944</v>
      </c>
      <c r="AI74" s="1065">
        <v>50731245628</v>
      </c>
      <c r="AJ74" s="1065">
        <v>47440204338</v>
      </c>
      <c r="AK74" s="1065">
        <v>42821802337</v>
      </c>
      <c r="AL74" s="1065">
        <v>37910674951</v>
      </c>
      <c r="AM74" s="1065">
        <v>42127217139</v>
      </c>
      <c r="AN74" s="1065">
        <v>40461381177</v>
      </c>
      <c r="AO74" s="1065">
        <v>49272862292</v>
      </c>
      <c r="AP74" s="1065">
        <v>34169177421</v>
      </c>
      <c r="AQ74" s="1080">
        <v>49655809961</v>
      </c>
      <c r="AR74" s="1081"/>
      <c r="AS74" s="1065">
        <v>20816815455</v>
      </c>
      <c r="AT74" s="1065">
        <v>17106939302</v>
      </c>
      <c r="AU74" s="1065">
        <v>18980143130</v>
      </c>
      <c r="AV74" s="1065">
        <v>18316318969</v>
      </c>
      <c r="AW74" s="1065">
        <v>32785125721</v>
      </c>
      <c r="AX74" s="1065">
        <v>46431666630</v>
      </c>
      <c r="AY74" s="1065">
        <v>156988567254</v>
      </c>
      <c r="AZ74" s="1065">
        <v>207415410341</v>
      </c>
      <c r="BA74" s="1065">
        <v>186483872247</v>
      </c>
      <c r="BB74" s="1065">
        <v>169772135559</v>
      </c>
      <c r="BC74" s="1065">
        <v>80037892090</v>
      </c>
      <c r="BD74" s="1065">
        <v>83824987382</v>
      </c>
    </row>
    <row r="75" spans="1:56">
      <c r="A75" s="1076" t="s">
        <v>1079</v>
      </c>
      <c r="B75" s="1063">
        <v>302032628</v>
      </c>
      <c r="C75" s="1063">
        <v>4244017265</v>
      </c>
      <c r="D75" s="1063">
        <v>-1318671823</v>
      </c>
      <c r="E75" s="1063">
        <v>8124904833</v>
      </c>
      <c r="F75" s="1063">
        <v>28022571</v>
      </c>
      <c r="G75" s="1063">
        <v>9866681054</v>
      </c>
      <c r="H75" s="1063">
        <v>9484898199</v>
      </c>
      <c r="I75" s="1063">
        <v>16452346048</v>
      </c>
      <c r="J75" s="1063">
        <v>15158393763</v>
      </c>
      <c r="K75" s="1063">
        <v>13906097167</v>
      </c>
      <c r="L75" s="1063">
        <v>19009615786</v>
      </c>
      <c r="M75" s="1063">
        <v>28743339315</v>
      </c>
      <c r="N75" s="1063">
        <v>25557379023</v>
      </c>
      <c r="O75" s="1063">
        <v>27971218370</v>
      </c>
      <c r="P75" s="1063">
        <v>40484204596</v>
      </c>
      <c r="Q75" s="1063">
        <v>-227776550</v>
      </c>
      <c r="R75" s="1063">
        <v>42733670437</v>
      </c>
      <c r="S75" s="1063">
        <v>19218155923</v>
      </c>
      <c r="T75" s="1063">
        <v>19328145716</v>
      </c>
      <c r="U75" s="1063">
        <v>-12559515435</v>
      </c>
      <c r="V75" s="1063">
        <v>2941514270</v>
      </c>
      <c r="W75" s="1063">
        <v>6221489163</v>
      </c>
      <c r="X75" s="1063">
        <v>12065201192</v>
      </c>
      <c r="Y75" s="1063">
        <v>26688402793</v>
      </c>
      <c r="Z75" s="1063">
        <v>17932879818</v>
      </c>
      <c r="AA75" s="1063">
        <v>12612830069</v>
      </c>
      <c r="AB75" s="1063">
        <v>1458252227</v>
      </c>
      <c r="AC75" s="1063">
        <v>21710207079</v>
      </c>
      <c r="AD75" s="1063">
        <v>30431013146</v>
      </c>
      <c r="AE75" s="1063">
        <v>10508819932</v>
      </c>
      <c r="AF75" s="1063">
        <v>49908123384</v>
      </c>
      <c r="AG75" s="1063">
        <v>79820767748</v>
      </c>
      <c r="AH75" s="1063">
        <v>68880855505</v>
      </c>
      <c r="AI75" s="1063">
        <v>9343110920</v>
      </c>
      <c r="AJ75" s="1063">
        <v>12055742603</v>
      </c>
      <c r="AK75" s="1063">
        <v>23381816552</v>
      </c>
      <c r="AL75" s="1063">
        <v>70542958185</v>
      </c>
      <c r="AM75" s="1063">
        <v>33477198463</v>
      </c>
      <c r="AN75" s="1063">
        <v>57578229745</v>
      </c>
      <c r="AO75" s="1063">
        <v>33135566666</v>
      </c>
      <c r="AP75" s="1063">
        <v>55314894</v>
      </c>
      <c r="AQ75" s="1077">
        <v>7101042586</v>
      </c>
      <c r="AR75" s="1078"/>
      <c r="AS75" s="1063">
        <v>11352282903</v>
      </c>
      <c r="AT75" s="1063">
        <v>35831947872</v>
      </c>
      <c r="AU75" s="1063">
        <v>76817446031</v>
      </c>
      <c r="AV75" s="1063">
        <v>93785025439</v>
      </c>
      <c r="AW75" s="1063">
        <v>67967765516</v>
      </c>
      <c r="AX75" s="1063">
        <v>47916607418</v>
      </c>
      <c r="AY75" s="1063">
        <v>53714169193</v>
      </c>
      <c r="AZ75" s="1063">
        <v>170668724210</v>
      </c>
      <c r="BA75" s="1063">
        <v>113661525580</v>
      </c>
      <c r="BB75" s="1063">
        <v>194733953059</v>
      </c>
      <c r="BC75" s="1063">
        <v>104020156648</v>
      </c>
      <c r="BD75" s="1063">
        <v>7156357480</v>
      </c>
    </row>
    <row r="76" spans="1:56">
      <c r="A76" s="1079" t="s">
        <v>1080</v>
      </c>
      <c r="B76" s="1065">
        <v>302032628</v>
      </c>
      <c r="C76" s="1065">
        <v>0</v>
      </c>
      <c r="D76" s="1065">
        <v>460499900</v>
      </c>
      <c r="E76" s="1065">
        <v>20000000</v>
      </c>
      <c r="F76" s="1065">
        <v>28022571</v>
      </c>
      <c r="G76" s="1065">
        <v>816874090</v>
      </c>
      <c r="H76" s="1065">
        <v>0</v>
      </c>
      <c r="I76" s="1065">
        <v>26438533</v>
      </c>
      <c r="J76" s="1065">
        <v>0</v>
      </c>
      <c r="K76" s="1065">
        <v>0</v>
      </c>
      <c r="L76" s="1065">
        <v>1269849000</v>
      </c>
      <c r="M76" s="1065">
        <v>-1269849000</v>
      </c>
      <c r="N76" s="1065">
        <v>0</v>
      </c>
      <c r="O76" s="1065">
        <v>11868628</v>
      </c>
      <c r="P76" s="1065">
        <v>1092162</v>
      </c>
      <c r="Q76" s="1065">
        <v>5202884</v>
      </c>
      <c r="R76" s="1065">
        <v>0</v>
      </c>
      <c r="S76" s="1065">
        <v>104940294</v>
      </c>
      <c r="T76" s="1065">
        <v>0</v>
      </c>
      <c r="U76" s="1065">
        <v>5871605951</v>
      </c>
      <c r="V76" s="1065">
        <v>151799250</v>
      </c>
      <c r="W76" s="1065">
        <v>0</v>
      </c>
      <c r="X76" s="1065">
        <v>0</v>
      </c>
      <c r="Y76" s="1065">
        <v>65083867</v>
      </c>
      <c r="Z76" s="1065">
        <v>0</v>
      </c>
      <c r="AA76" s="1065">
        <v>0</v>
      </c>
      <c r="AB76" s="1065">
        <v>0</v>
      </c>
      <c r="AC76" s="1065">
        <v>20555350</v>
      </c>
      <c r="AD76" s="1065">
        <v>7974808</v>
      </c>
      <c r="AE76" s="1065">
        <v>37481061</v>
      </c>
      <c r="AF76" s="1065">
        <v>1138951</v>
      </c>
      <c r="AG76" s="1065">
        <v>4724268</v>
      </c>
      <c r="AH76" s="1065">
        <v>0</v>
      </c>
      <c r="AI76" s="1065">
        <v>8039028255</v>
      </c>
      <c r="AJ76" s="1065">
        <v>76105034</v>
      </c>
      <c r="AK76" s="1065">
        <v>1126754580</v>
      </c>
      <c r="AL76" s="1065">
        <v>22036312</v>
      </c>
      <c r="AM76" s="1065">
        <v>147558834</v>
      </c>
      <c r="AN76" s="1065">
        <v>591761619</v>
      </c>
      <c r="AO76" s="1065">
        <v>1093087316</v>
      </c>
      <c r="AP76" s="1065">
        <v>55314894</v>
      </c>
      <c r="AQ76" s="1080">
        <v>72170135</v>
      </c>
      <c r="AR76" s="1081"/>
      <c r="AS76" s="1065">
        <v>782532528</v>
      </c>
      <c r="AT76" s="1065">
        <v>871335194</v>
      </c>
      <c r="AU76" s="1065">
        <v>0</v>
      </c>
      <c r="AV76" s="1065">
        <v>18163674</v>
      </c>
      <c r="AW76" s="1065">
        <v>5976546245</v>
      </c>
      <c r="AX76" s="1065">
        <v>216883117</v>
      </c>
      <c r="AY76" s="1065">
        <v>20555350</v>
      </c>
      <c r="AZ76" s="1065">
        <v>51319088</v>
      </c>
      <c r="BA76" s="1065">
        <v>9241887869</v>
      </c>
      <c r="BB76" s="1065">
        <v>1854444081</v>
      </c>
      <c r="BC76" s="1065">
        <v>169595146</v>
      </c>
      <c r="BD76" s="1065">
        <v>127485029</v>
      </c>
    </row>
    <row r="77" spans="1:56">
      <c r="A77" s="1079" t="s">
        <v>1081</v>
      </c>
      <c r="B77" s="1065">
        <v>0</v>
      </c>
      <c r="C77" s="1065">
        <v>4244017265</v>
      </c>
      <c r="D77" s="1065">
        <v>-1779171723</v>
      </c>
      <c r="E77" s="1065">
        <v>8104904833</v>
      </c>
      <c r="F77" s="1065">
        <v>0</v>
      </c>
      <c r="G77" s="1065">
        <v>9049806964</v>
      </c>
      <c r="H77" s="1065">
        <v>9484898199</v>
      </c>
      <c r="I77" s="1065">
        <v>16425907515</v>
      </c>
      <c r="J77" s="1065">
        <v>15158393763</v>
      </c>
      <c r="K77" s="1065">
        <v>13906097167</v>
      </c>
      <c r="L77" s="1065">
        <v>17739766786</v>
      </c>
      <c r="M77" s="1065">
        <v>30013188315</v>
      </c>
      <c r="N77" s="1065">
        <v>25557379023</v>
      </c>
      <c r="O77" s="1065">
        <v>27959349742</v>
      </c>
      <c r="P77" s="1065">
        <v>40483112434</v>
      </c>
      <c r="Q77" s="1065">
        <v>-232979434</v>
      </c>
      <c r="R77" s="1065">
        <v>42733670437</v>
      </c>
      <c r="S77" s="1065">
        <v>19113215629</v>
      </c>
      <c r="T77" s="1065">
        <v>19328145716</v>
      </c>
      <c r="U77" s="1065">
        <v>-18431121386</v>
      </c>
      <c r="V77" s="1065">
        <v>2789715020</v>
      </c>
      <c r="W77" s="1065">
        <v>6221489163</v>
      </c>
      <c r="X77" s="1065">
        <v>12065201192</v>
      </c>
      <c r="Y77" s="1065">
        <v>26623318926</v>
      </c>
      <c r="Z77" s="1065">
        <v>17932879818</v>
      </c>
      <c r="AA77" s="1065">
        <v>12612830069</v>
      </c>
      <c r="AB77" s="1065">
        <v>1458252227</v>
      </c>
      <c r="AC77" s="1065">
        <v>21689651729</v>
      </c>
      <c r="AD77" s="1065">
        <v>30423038338</v>
      </c>
      <c r="AE77" s="1065">
        <v>10471338871</v>
      </c>
      <c r="AF77" s="1065">
        <v>49906984433</v>
      </c>
      <c r="AG77" s="1065">
        <v>79816043480</v>
      </c>
      <c r="AH77" s="1065">
        <v>68880855505</v>
      </c>
      <c r="AI77" s="1065">
        <v>1304082665</v>
      </c>
      <c r="AJ77" s="1065">
        <v>11979637569</v>
      </c>
      <c r="AK77" s="1065">
        <v>22255061972</v>
      </c>
      <c r="AL77" s="1065">
        <v>70520921873</v>
      </c>
      <c r="AM77" s="1065">
        <v>33329639629</v>
      </c>
      <c r="AN77" s="1065">
        <v>56986468126</v>
      </c>
      <c r="AO77" s="1065">
        <v>32042479350</v>
      </c>
      <c r="AP77" s="1065">
        <v>0</v>
      </c>
      <c r="AQ77" s="1080">
        <v>7028872451</v>
      </c>
      <c r="AR77" s="1081"/>
      <c r="AS77" s="1065">
        <v>10569750375</v>
      </c>
      <c r="AT77" s="1065">
        <v>34960612678</v>
      </c>
      <c r="AU77" s="1065">
        <v>76817446031</v>
      </c>
      <c r="AV77" s="1065">
        <v>93766861765</v>
      </c>
      <c r="AW77" s="1065">
        <v>61991219271</v>
      </c>
      <c r="AX77" s="1065">
        <v>47699724301</v>
      </c>
      <c r="AY77" s="1065">
        <v>53693613843</v>
      </c>
      <c r="AZ77" s="1065">
        <v>170617405122</v>
      </c>
      <c r="BA77" s="1065">
        <v>104419637711</v>
      </c>
      <c r="BB77" s="1065">
        <v>192879508978</v>
      </c>
      <c r="BC77" s="1065">
        <v>103850561502</v>
      </c>
      <c r="BD77" s="1065">
        <v>7028872451</v>
      </c>
    </row>
    <row r="78" spans="1:56">
      <c r="A78" s="1079" t="s">
        <v>1082</v>
      </c>
      <c r="B78" s="1065">
        <v>0</v>
      </c>
      <c r="C78" s="1065">
        <v>0</v>
      </c>
      <c r="D78" s="1065">
        <v>0</v>
      </c>
      <c r="E78" s="1065">
        <v>0</v>
      </c>
      <c r="F78" s="1065">
        <v>0</v>
      </c>
      <c r="G78" s="1065">
        <v>0</v>
      </c>
      <c r="H78" s="1065">
        <v>0</v>
      </c>
      <c r="I78" s="1065">
        <v>0</v>
      </c>
      <c r="J78" s="1065">
        <v>0</v>
      </c>
      <c r="K78" s="1065">
        <v>0</v>
      </c>
      <c r="L78" s="1065">
        <v>0</v>
      </c>
      <c r="M78" s="1065">
        <v>0</v>
      </c>
      <c r="N78" s="1065">
        <v>0</v>
      </c>
      <c r="O78" s="1065">
        <v>0</v>
      </c>
      <c r="P78" s="1065">
        <v>0</v>
      </c>
      <c r="Q78" s="1065">
        <v>0</v>
      </c>
      <c r="R78" s="1065">
        <v>0</v>
      </c>
      <c r="S78" s="1065">
        <v>0</v>
      </c>
      <c r="T78" s="1065">
        <v>0</v>
      </c>
      <c r="U78" s="1065">
        <v>0</v>
      </c>
      <c r="V78" s="1065">
        <v>0</v>
      </c>
      <c r="W78" s="1065">
        <v>0</v>
      </c>
      <c r="X78" s="1065">
        <v>0</v>
      </c>
      <c r="Y78" s="1065">
        <v>0</v>
      </c>
      <c r="Z78" s="1065">
        <v>0</v>
      </c>
      <c r="AA78" s="1065">
        <v>0</v>
      </c>
      <c r="AB78" s="1065">
        <v>0</v>
      </c>
      <c r="AC78" s="1065">
        <v>0</v>
      </c>
      <c r="AD78" s="1065">
        <v>0</v>
      </c>
      <c r="AE78" s="1065">
        <v>0</v>
      </c>
      <c r="AF78" s="1065">
        <v>0</v>
      </c>
      <c r="AG78" s="1065">
        <v>0</v>
      </c>
      <c r="AH78" s="1065">
        <v>0</v>
      </c>
      <c r="AI78" s="1065">
        <v>0</v>
      </c>
      <c r="AJ78" s="1065">
        <v>0</v>
      </c>
      <c r="AK78" s="1065">
        <v>0</v>
      </c>
      <c r="AL78" s="1065">
        <v>0</v>
      </c>
      <c r="AM78" s="1065">
        <v>0</v>
      </c>
      <c r="AN78" s="1065">
        <v>0</v>
      </c>
      <c r="AO78" s="1065">
        <v>0</v>
      </c>
      <c r="AP78" s="1065">
        <v>0</v>
      </c>
      <c r="AQ78" s="1080">
        <v>0</v>
      </c>
      <c r="AR78" s="1081"/>
      <c r="AS78" s="1065">
        <v>0</v>
      </c>
      <c r="AT78" s="1065">
        <v>0</v>
      </c>
      <c r="AU78" s="1065">
        <v>0</v>
      </c>
      <c r="AV78" s="1065">
        <v>0</v>
      </c>
      <c r="AW78" s="1065">
        <v>0</v>
      </c>
      <c r="AX78" s="1065">
        <v>0</v>
      </c>
      <c r="AY78" s="1065">
        <v>0</v>
      </c>
      <c r="AZ78" s="1065">
        <v>0</v>
      </c>
      <c r="BA78" s="1065">
        <v>0</v>
      </c>
      <c r="BB78" s="1065">
        <v>0</v>
      </c>
      <c r="BC78" s="1065">
        <v>0</v>
      </c>
      <c r="BD78" s="1065">
        <v>0</v>
      </c>
    </row>
    <row r="79" spans="1:56">
      <c r="A79" s="1076" t="s">
        <v>1083</v>
      </c>
      <c r="B79" s="1063">
        <v>340439715445</v>
      </c>
      <c r="C79" s="1063">
        <v>261096943950</v>
      </c>
      <c r="D79" s="1063">
        <v>211392838423</v>
      </c>
      <c r="E79" s="1063">
        <v>196646112758</v>
      </c>
      <c r="F79" s="1063">
        <v>200124269979</v>
      </c>
      <c r="G79" s="1063">
        <v>155612818454</v>
      </c>
      <c r="H79" s="1063">
        <v>144752210981</v>
      </c>
      <c r="I79" s="1063">
        <v>122697566033</v>
      </c>
      <c r="J79" s="1063">
        <v>178508530121</v>
      </c>
      <c r="K79" s="1063">
        <v>181573523095</v>
      </c>
      <c r="L79" s="1063">
        <v>155038694458</v>
      </c>
      <c r="M79" s="1063">
        <v>166632166633</v>
      </c>
      <c r="N79" s="1063">
        <v>134016485685</v>
      </c>
      <c r="O79" s="1063">
        <v>200068492823</v>
      </c>
      <c r="P79" s="1063">
        <v>295229443409</v>
      </c>
      <c r="Q79" s="1063">
        <v>229648191801</v>
      </c>
      <c r="R79" s="1063">
        <v>531227820131</v>
      </c>
      <c r="S79" s="1063">
        <v>365349376901</v>
      </c>
      <c r="T79" s="1063">
        <v>247338003689</v>
      </c>
      <c r="U79" s="1063">
        <v>349570255355</v>
      </c>
      <c r="V79" s="1063">
        <v>333811860538</v>
      </c>
      <c r="W79" s="1063">
        <v>280326797145</v>
      </c>
      <c r="X79" s="1063">
        <v>331329407524</v>
      </c>
      <c r="Y79" s="1063">
        <v>274296759025</v>
      </c>
      <c r="Z79" s="1063">
        <v>488758347557</v>
      </c>
      <c r="AA79" s="1063">
        <v>691769826745</v>
      </c>
      <c r="AB79" s="1063">
        <v>766118320830</v>
      </c>
      <c r="AC79" s="1063">
        <v>725598757615</v>
      </c>
      <c r="AD79" s="1063">
        <v>557872647377</v>
      </c>
      <c r="AE79" s="1063">
        <v>446140882921</v>
      </c>
      <c r="AF79" s="1063">
        <v>378363847712</v>
      </c>
      <c r="AG79" s="1063">
        <v>469975403720</v>
      </c>
      <c r="AH79" s="1063">
        <v>318754469807</v>
      </c>
      <c r="AI79" s="1063">
        <v>402007126405</v>
      </c>
      <c r="AJ79" s="1063">
        <v>473590950833</v>
      </c>
      <c r="AK79" s="1063">
        <v>686994215453</v>
      </c>
      <c r="AL79" s="1063">
        <v>591419830192</v>
      </c>
      <c r="AM79" s="1063">
        <v>1352864160768</v>
      </c>
      <c r="AN79" s="1063">
        <v>799135406545</v>
      </c>
      <c r="AO79" s="1063">
        <v>1042104049598</v>
      </c>
      <c r="AP79" s="1063">
        <v>2177857284519</v>
      </c>
      <c r="AQ79" s="1077">
        <v>2562590327937</v>
      </c>
      <c r="AR79" s="1078"/>
      <c r="AS79" s="1063">
        <v>1009575610576</v>
      </c>
      <c r="AT79" s="1063">
        <v>623186865447</v>
      </c>
      <c r="AU79" s="1063">
        <v>681752914307</v>
      </c>
      <c r="AV79" s="1063">
        <v>858962613718</v>
      </c>
      <c r="AW79" s="1063">
        <v>1493485456076</v>
      </c>
      <c r="AX79" s="1063">
        <v>1219764824232</v>
      </c>
      <c r="AY79" s="1063">
        <v>2672245252747</v>
      </c>
      <c r="AZ79" s="1063">
        <v>1852352781730</v>
      </c>
      <c r="BA79" s="1063">
        <v>1881346762498</v>
      </c>
      <c r="BB79" s="1063">
        <v>3785523447103</v>
      </c>
      <c r="BC79" s="1063">
        <v>1944283990960</v>
      </c>
      <c r="BD79" s="1063">
        <v>4740447612456</v>
      </c>
    </row>
    <row r="80" spans="1:56">
      <c r="A80" s="1079" t="s">
        <v>1084</v>
      </c>
      <c r="B80" s="1065">
        <v>338438509446</v>
      </c>
      <c r="C80" s="1065">
        <v>261543995709</v>
      </c>
      <c r="D80" s="1065">
        <v>212020511314</v>
      </c>
      <c r="E80" s="1065">
        <v>197246358217</v>
      </c>
      <c r="F80" s="1065">
        <v>197494734689</v>
      </c>
      <c r="G80" s="1065">
        <v>156193874732</v>
      </c>
      <c r="H80" s="1065">
        <v>142094578006</v>
      </c>
      <c r="I80" s="1065">
        <v>121052292340</v>
      </c>
      <c r="J80" s="1065">
        <v>170486223955</v>
      </c>
      <c r="K80" s="1065">
        <v>148010153151</v>
      </c>
      <c r="L80" s="1065">
        <v>182364013457</v>
      </c>
      <c r="M80" s="1065">
        <v>165650291872</v>
      </c>
      <c r="N80" s="1065">
        <v>121278382655</v>
      </c>
      <c r="O80" s="1065">
        <v>198447733780</v>
      </c>
      <c r="P80" s="1065">
        <v>284246953714</v>
      </c>
      <c r="Q80" s="1065">
        <v>222343513563</v>
      </c>
      <c r="R80" s="1065">
        <v>483148183371</v>
      </c>
      <c r="S80" s="1065">
        <v>381848480003</v>
      </c>
      <c r="T80" s="1065">
        <v>218605698862</v>
      </c>
      <c r="U80" s="1065">
        <v>269706649309</v>
      </c>
      <c r="V80" s="1065">
        <v>291864757138</v>
      </c>
      <c r="W80" s="1065">
        <v>286864665659</v>
      </c>
      <c r="X80" s="1065">
        <v>318780840729</v>
      </c>
      <c r="Y80" s="1065">
        <v>297866333205</v>
      </c>
      <c r="Z80" s="1065">
        <v>465733037792</v>
      </c>
      <c r="AA80" s="1065">
        <v>639595711066</v>
      </c>
      <c r="AB80" s="1065">
        <v>725461069308</v>
      </c>
      <c r="AC80" s="1065">
        <v>816601459756</v>
      </c>
      <c r="AD80" s="1065">
        <v>530790736956</v>
      </c>
      <c r="AE80" s="1065">
        <v>442226054125</v>
      </c>
      <c r="AF80" s="1065">
        <v>351418478061</v>
      </c>
      <c r="AG80" s="1065">
        <v>502071319354</v>
      </c>
      <c r="AH80" s="1065">
        <v>282506873436</v>
      </c>
      <c r="AI80" s="1065">
        <v>381035873208</v>
      </c>
      <c r="AJ80" s="1065">
        <v>494338407360</v>
      </c>
      <c r="AK80" s="1065">
        <v>567740848596</v>
      </c>
      <c r="AL80" s="1065">
        <v>479243785755</v>
      </c>
      <c r="AM80" s="1065">
        <v>1238444491847</v>
      </c>
      <c r="AN80" s="1065">
        <v>835776104476</v>
      </c>
      <c r="AO80" s="1065">
        <v>1139327156563</v>
      </c>
      <c r="AP80" s="1065">
        <v>2061004231768</v>
      </c>
      <c r="AQ80" s="1080">
        <v>2518888702885</v>
      </c>
      <c r="AR80" s="1081"/>
      <c r="AS80" s="1065">
        <v>1009249374686</v>
      </c>
      <c r="AT80" s="1065">
        <v>616835479767</v>
      </c>
      <c r="AU80" s="1065">
        <v>666510682435</v>
      </c>
      <c r="AV80" s="1065">
        <v>826316583712</v>
      </c>
      <c r="AW80" s="1065">
        <v>1353309011545</v>
      </c>
      <c r="AX80" s="1065">
        <v>1195376596731</v>
      </c>
      <c r="AY80" s="1065">
        <v>2647391277922</v>
      </c>
      <c r="AZ80" s="1065">
        <v>1826506588496</v>
      </c>
      <c r="BA80" s="1065">
        <v>1725622002600</v>
      </c>
      <c r="BB80" s="1065">
        <v>3692791538641</v>
      </c>
      <c r="BC80" s="1065">
        <v>1717688277602</v>
      </c>
      <c r="BD80" s="1065">
        <v>4579892934653</v>
      </c>
    </row>
    <row r="81" spans="1:56">
      <c r="A81" s="1079" t="s">
        <v>1085</v>
      </c>
      <c r="B81" s="1065">
        <v>2001205999</v>
      </c>
      <c r="C81" s="1065">
        <v>-447051759</v>
      </c>
      <c r="D81" s="1065">
        <v>-627672891</v>
      </c>
      <c r="E81" s="1065">
        <v>-600245459</v>
      </c>
      <c r="F81" s="1065">
        <v>2629535290</v>
      </c>
      <c r="G81" s="1065">
        <v>-581056278</v>
      </c>
      <c r="H81" s="1065">
        <v>2657632975</v>
      </c>
      <c r="I81" s="1065">
        <v>1645273693</v>
      </c>
      <c r="J81" s="1065">
        <v>8022306166</v>
      </c>
      <c r="K81" s="1065">
        <v>33563369944</v>
      </c>
      <c r="L81" s="1065">
        <v>-27325318999</v>
      </c>
      <c r="M81" s="1065">
        <v>981874761</v>
      </c>
      <c r="N81" s="1065">
        <v>12738103030</v>
      </c>
      <c r="O81" s="1065">
        <v>1620759043</v>
      </c>
      <c r="P81" s="1065">
        <v>10982489695</v>
      </c>
      <c r="Q81" s="1065">
        <v>7304678238</v>
      </c>
      <c r="R81" s="1065">
        <v>48079636760</v>
      </c>
      <c r="S81" s="1065">
        <v>-16499103102</v>
      </c>
      <c r="T81" s="1065">
        <v>28732304827</v>
      </c>
      <c r="U81" s="1065">
        <v>79863606046</v>
      </c>
      <c r="V81" s="1065">
        <v>41947103400</v>
      </c>
      <c r="W81" s="1065">
        <v>-6537868514</v>
      </c>
      <c r="X81" s="1065">
        <v>12548566795</v>
      </c>
      <c r="Y81" s="1065">
        <v>-23569574180</v>
      </c>
      <c r="Z81" s="1065">
        <v>23025309765</v>
      </c>
      <c r="AA81" s="1065">
        <v>52174115679</v>
      </c>
      <c r="AB81" s="1065">
        <v>40657251522</v>
      </c>
      <c r="AC81" s="1065">
        <v>-91002702141</v>
      </c>
      <c r="AD81" s="1065">
        <v>27081910421</v>
      </c>
      <c r="AE81" s="1065">
        <v>3914828796</v>
      </c>
      <c r="AF81" s="1065">
        <v>26945369651</v>
      </c>
      <c r="AG81" s="1065">
        <v>-32095915634</v>
      </c>
      <c r="AH81" s="1065">
        <v>36247596371</v>
      </c>
      <c r="AI81" s="1065">
        <v>20971253197</v>
      </c>
      <c r="AJ81" s="1065">
        <v>-20747456527</v>
      </c>
      <c r="AK81" s="1065">
        <v>119253366857</v>
      </c>
      <c r="AL81" s="1065">
        <v>112176044437</v>
      </c>
      <c r="AM81" s="1065">
        <v>114419668921</v>
      </c>
      <c r="AN81" s="1065">
        <v>-36640697931</v>
      </c>
      <c r="AO81" s="1065">
        <v>-97223106965</v>
      </c>
      <c r="AP81" s="1065">
        <v>116853052751</v>
      </c>
      <c r="AQ81" s="1080">
        <v>43701625052</v>
      </c>
      <c r="AR81" s="1081"/>
      <c r="AS81" s="1065">
        <v>326235890</v>
      </c>
      <c r="AT81" s="1065">
        <v>6351385680</v>
      </c>
      <c r="AU81" s="1065">
        <v>15242231872</v>
      </c>
      <c r="AV81" s="1065">
        <v>32646030006</v>
      </c>
      <c r="AW81" s="1065">
        <v>140176444531</v>
      </c>
      <c r="AX81" s="1065">
        <v>24388227501</v>
      </c>
      <c r="AY81" s="1065">
        <v>24853974825</v>
      </c>
      <c r="AZ81" s="1065">
        <v>25846193234</v>
      </c>
      <c r="BA81" s="1065">
        <v>155724759898</v>
      </c>
      <c r="BB81" s="1065">
        <v>92731908462</v>
      </c>
      <c r="BC81" s="1065">
        <v>226595713358</v>
      </c>
      <c r="BD81" s="1065">
        <v>160554677803</v>
      </c>
    </row>
    <row r="82" spans="1:56">
      <c r="A82" s="1076" t="s">
        <v>1086</v>
      </c>
      <c r="B82" s="1063">
        <v>64072768823</v>
      </c>
      <c r="C82" s="1063">
        <v>95074316055</v>
      </c>
      <c r="D82" s="1063">
        <v>80074437297</v>
      </c>
      <c r="E82" s="1063">
        <v>80422199928</v>
      </c>
      <c r="F82" s="1063">
        <v>87386209275</v>
      </c>
      <c r="G82" s="1063">
        <v>123153675299</v>
      </c>
      <c r="H82" s="1063">
        <v>92072420416</v>
      </c>
      <c r="I82" s="1063">
        <v>102176461205</v>
      </c>
      <c r="J82" s="1063">
        <v>106999126663</v>
      </c>
      <c r="K82" s="1063">
        <v>108968000024</v>
      </c>
      <c r="L82" s="1063">
        <v>126393099303</v>
      </c>
      <c r="M82" s="1063">
        <v>159712434415</v>
      </c>
      <c r="N82" s="1063">
        <v>110084191743</v>
      </c>
      <c r="O82" s="1063">
        <v>143861592226</v>
      </c>
      <c r="P82" s="1063">
        <v>108578284176</v>
      </c>
      <c r="Q82" s="1063">
        <v>116274156012</v>
      </c>
      <c r="R82" s="1063">
        <v>160483365508</v>
      </c>
      <c r="S82" s="1063">
        <v>154187687901</v>
      </c>
      <c r="T82" s="1063">
        <v>160042067513</v>
      </c>
      <c r="U82" s="1063">
        <v>130727975483</v>
      </c>
      <c r="V82" s="1063">
        <v>191471944360</v>
      </c>
      <c r="W82" s="1063">
        <v>243076295614</v>
      </c>
      <c r="X82" s="1063">
        <v>210664253809</v>
      </c>
      <c r="Y82" s="1063">
        <v>127698106951</v>
      </c>
      <c r="Z82" s="1063">
        <v>241873672571</v>
      </c>
      <c r="AA82" s="1063">
        <v>152801018859</v>
      </c>
      <c r="AB82" s="1063">
        <v>208328585113</v>
      </c>
      <c r="AC82" s="1063">
        <v>154056765466</v>
      </c>
      <c r="AD82" s="1063">
        <v>151503524631</v>
      </c>
      <c r="AE82" s="1063">
        <v>199198747071</v>
      </c>
      <c r="AF82" s="1063">
        <v>161234716035</v>
      </c>
      <c r="AG82" s="1063">
        <v>74611658935</v>
      </c>
      <c r="AH82" s="1063">
        <v>164913703057</v>
      </c>
      <c r="AI82" s="1063">
        <v>192299972807</v>
      </c>
      <c r="AJ82" s="1063">
        <v>196239065508</v>
      </c>
      <c r="AK82" s="1063">
        <v>97707150625</v>
      </c>
      <c r="AL82" s="1063">
        <v>189939296152</v>
      </c>
      <c r="AM82" s="1063">
        <v>232954329410</v>
      </c>
      <c r="AN82" s="1063">
        <v>211018268415</v>
      </c>
      <c r="AO82" s="1063">
        <v>265759099430</v>
      </c>
      <c r="AP82" s="1063">
        <v>271752505066</v>
      </c>
      <c r="AQ82" s="1077">
        <v>291953238575</v>
      </c>
      <c r="AR82" s="1078"/>
      <c r="AS82" s="1063">
        <v>319643722103</v>
      </c>
      <c r="AT82" s="1063">
        <v>404788766195</v>
      </c>
      <c r="AU82" s="1063">
        <v>502072660405</v>
      </c>
      <c r="AV82" s="1063">
        <v>478798224157</v>
      </c>
      <c r="AW82" s="1063">
        <v>605441096405</v>
      </c>
      <c r="AX82" s="1063">
        <v>772910600734</v>
      </c>
      <c r="AY82" s="1063">
        <v>757060042009</v>
      </c>
      <c r="AZ82" s="1063">
        <v>586548646672</v>
      </c>
      <c r="BA82" s="1063">
        <v>651159891997</v>
      </c>
      <c r="BB82" s="1063">
        <v>899670993407</v>
      </c>
      <c r="BC82" s="1063">
        <v>422893625562</v>
      </c>
      <c r="BD82" s="1063">
        <v>563705743641</v>
      </c>
    </row>
    <row r="83" spans="1:56">
      <c r="A83" s="1079" t="s">
        <v>1087</v>
      </c>
      <c r="B83" s="1065">
        <v>37295610549</v>
      </c>
      <c r="C83" s="1065">
        <v>62840517026</v>
      </c>
      <c r="D83" s="1065">
        <v>52721639748</v>
      </c>
      <c r="E83" s="1065">
        <v>52356287356</v>
      </c>
      <c r="F83" s="1065">
        <v>57878600636</v>
      </c>
      <c r="G83" s="1065">
        <v>89523653332</v>
      </c>
      <c r="H83" s="1065">
        <v>57961312971</v>
      </c>
      <c r="I83" s="1065">
        <v>66865001779</v>
      </c>
      <c r="J83" s="1065">
        <v>72828722642</v>
      </c>
      <c r="K83" s="1065">
        <v>71448876521</v>
      </c>
      <c r="L83" s="1065">
        <v>91402974221</v>
      </c>
      <c r="M83" s="1065">
        <v>98203598830</v>
      </c>
      <c r="N83" s="1065">
        <v>70858681000</v>
      </c>
      <c r="O83" s="1065">
        <v>99845655981</v>
      </c>
      <c r="P83" s="1065">
        <v>69794113152</v>
      </c>
      <c r="Q83" s="1065">
        <v>70274535252</v>
      </c>
      <c r="R83" s="1065">
        <v>115941914564</v>
      </c>
      <c r="S83" s="1065">
        <v>106681145358</v>
      </c>
      <c r="T83" s="1065">
        <v>113377012184</v>
      </c>
      <c r="U83" s="1065">
        <v>71266439053</v>
      </c>
      <c r="V83" s="1065">
        <v>141798287444</v>
      </c>
      <c r="W83" s="1065">
        <v>185296544501</v>
      </c>
      <c r="X83" s="1065">
        <v>155287960820</v>
      </c>
      <c r="Y83" s="1065">
        <v>66196467550</v>
      </c>
      <c r="Z83" s="1065">
        <v>184541903800</v>
      </c>
      <c r="AA83" s="1065">
        <v>88781498514</v>
      </c>
      <c r="AB83" s="1065">
        <v>146727035885</v>
      </c>
      <c r="AC83" s="1065">
        <v>89219391634</v>
      </c>
      <c r="AD83" s="1065">
        <v>90492595480</v>
      </c>
      <c r="AE83" s="1065">
        <v>137033923462</v>
      </c>
      <c r="AF83" s="1065">
        <v>100116214598</v>
      </c>
      <c r="AG83" s="1065">
        <v>6185252158</v>
      </c>
      <c r="AH83" s="1065">
        <v>104880557661</v>
      </c>
      <c r="AI83" s="1065">
        <v>132566317715</v>
      </c>
      <c r="AJ83" s="1065">
        <v>133975509449</v>
      </c>
      <c r="AK83" s="1065">
        <v>15697846369</v>
      </c>
      <c r="AL83" s="1065">
        <v>122237715192</v>
      </c>
      <c r="AM83" s="1065">
        <v>163348754653</v>
      </c>
      <c r="AN83" s="1065">
        <v>136854373096</v>
      </c>
      <c r="AO83" s="1065">
        <v>165470104537</v>
      </c>
      <c r="AP83" s="1065">
        <v>167490188841</v>
      </c>
      <c r="AQ83" s="1080">
        <v>162942259857</v>
      </c>
      <c r="AR83" s="1081"/>
      <c r="AS83" s="1065">
        <v>205214054679</v>
      </c>
      <c r="AT83" s="1065">
        <v>272228568718</v>
      </c>
      <c r="AU83" s="1065">
        <v>333884172214</v>
      </c>
      <c r="AV83" s="1065">
        <v>310772985385</v>
      </c>
      <c r="AW83" s="1065">
        <v>407266511159</v>
      </c>
      <c r="AX83" s="1065">
        <v>548579260315</v>
      </c>
      <c r="AY83" s="1065">
        <v>509269829833</v>
      </c>
      <c r="AZ83" s="1065">
        <v>333827985698</v>
      </c>
      <c r="BA83" s="1065">
        <v>387120231194</v>
      </c>
      <c r="BB83" s="1065">
        <v>587910947478</v>
      </c>
      <c r="BC83" s="1065">
        <v>285586469845</v>
      </c>
      <c r="BD83" s="1065">
        <v>330432448698</v>
      </c>
    </row>
    <row r="84" spans="1:56">
      <c r="A84" s="1079" t="s">
        <v>1088</v>
      </c>
      <c r="B84" s="1065">
        <v>26777158274</v>
      </c>
      <c r="C84" s="1065">
        <v>32233799029</v>
      </c>
      <c r="D84" s="1065">
        <v>27352797549</v>
      </c>
      <c r="E84" s="1065">
        <v>28065912572</v>
      </c>
      <c r="F84" s="1065">
        <v>29507608639</v>
      </c>
      <c r="G84" s="1065">
        <v>33630021967</v>
      </c>
      <c r="H84" s="1065">
        <v>34111107445</v>
      </c>
      <c r="I84" s="1065">
        <v>35311459426</v>
      </c>
      <c r="J84" s="1065">
        <v>34170404021</v>
      </c>
      <c r="K84" s="1065">
        <v>37519123503</v>
      </c>
      <c r="L84" s="1065">
        <v>34990125082</v>
      </c>
      <c r="M84" s="1065">
        <v>61508835585</v>
      </c>
      <c r="N84" s="1065">
        <v>39225510743</v>
      </c>
      <c r="O84" s="1065">
        <v>44015936245</v>
      </c>
      <c r="P84" s="1065">
        <v>38784171024</v>
      </c>
      <c r="Q84" s="1065">
        <v>45999620760</v>
      </c>
      <c r="R84" s="1065">
        <v>44541450944</v>
      </c>
      <c r="S84" s="1065">
        <v>47506542543</v>
      </c>
      <c r="T84" s="1065">
        <v>46665055329</v>
      </c>
      <c r="U84" s="1065">
        <v>59461536430</v>
      </c>
      <c r="V84" s="1065">
        <v>49673656916</v>
      </c>
      <c r="W84" s="1065">
        <v>57779751113</v>
      </c>
      <c r="X84" s="1065">
        <v>55376292989</v>
      </c>
      <c r="Y84" s="1065">
        <v>61501639401</v>
      </c>
      <c r="Z84" s="1065">
        <v>57331768771</v>
      </c>
      <c r="AA84" s="1065">
        <v>64019520345</v>
      </c>
      <c r="AB84" s="1065">
        <v>61601549228</v>
      </c>
      <c r="AC84" s="1065">
        <v>64837373832</v>
      </c>
      <c r="AD84" s="1065">
        <v>61010929151</v>
      </c>
      <c r="AE84" s="1065">
        <v>62164823609</v>
      </c>
      <c r="AF84" s="1065">
        <v>61118501437</v>
      </c>
      <c r="AG84" s="1065">
        <v>68426406777</v>
      </c>
      <c r="AH84" s="1065">
        <v>60033145396</v>
      </c>
      <c r="AI84" s="1065">
        <v>59733655092</v>
      </c>
      <c r="AJ84" s="1065">
        <v>62263556059</v>
      </c>
      <c r="AK84" s="1065">
        <v>82009304256</v>
      </c>
      <c r="AL84" s="1065">
        <v>67701580960</v>
      </c>
      <c r="AM84" s="1065">
        <v>69605574757</v>
      </c>
      <c r="AN84" s="1065">
        <v>74163895319</v>
      </c>
      <c r="AO84" s="1065">
        <v>100288994893</v>
      </c>
      <c r="AP84" s="1065">
        <v>104262316225</v>
      </c>
      <c r="AQ84" s="1080">
        <v>129010978718</v>
      </c>
      <c r="AR84" s="1081"/>
      <c r="AS84" s="1065">
        <v>114429667424</v>
      </c>
      <c r="AT84" s="1065">
        <v>132560197477</v>
      </c>
      <c r="AU84" s="1065">
        <v>168188488191</v>
      </c>
      <c r="AV84" s="1065">
        <v>168025238772</v>
      </c>
      <c r="AW84" s="1065">
        <v>198174585246</v>
      </c>
      <c r="AX84" s="1065">
        <v>224331340419</v>
      </c>
      <c r="AY84" s="1065">
        <v>247790212176</v>
      </c>
      <c r="AZ84" s="1065">
        <v>252720660974</v>
      </c>
      <c r="BA84" s="1065">
        <v>264039660803</v>
      </c>
      <c r="BB84" s="1065">
        <v>311760045929</v>
      </c>
      <c r="BC84" s="1065">
        <v>137307155717</v>
      </c>
      <c r="BD84" s="1065">
        <v>233273294943</v>
      </c>
    </row>
    <row r="85" spans="1:56">
      <c r="A85" s="1076" t="s">
        <v>1089</v>
      </c>
      <c r="B85" s="1063">
        <v>401545578</v>
      </c>
      <c r="C85" s="1063">
        <v>339846221</v>
      </c>
      <c r="D85" s="1063">
        <v>184216132</v>
      </c>
      <c r="E85" s="1063">
        <v>126665013</v>
      </c>
      <c r="F85" s="1063">
        <v>306877036</v>
      </c>
      <c r="G85" s="1063">
        <v>3762790732</v>
      </c>
      <c r="H85" s="1063">
        <v>7136014954</v>
      </c>
      <c r="I85" s="1063">
        <v>9583759253</v>
      </c>
      <c r="J85" s="1063">
        <v>10126867434</v>
      </c>
      <c r="K85" s="1063">
        <v>11339737320</v>
      </c>
      <c r="L85" s="1063">
        <v>12630249851</v>
      </c>
      <c r="M85" s="1063">
        <v>18839947917</v>
      </c>
      <c r="N85" s="1063">
        <v>16807788580</v>
      </c>
      <c r="O85" s="1063">
        <v>18185513595</v>
      </c>
      <c r="P85" s="1063">
        <v>19838546846</v>
      </c>
      <c r="Q85" s="1063">
        <v>12564727542</v>
      </c>
      <c r="R85" s="1063">
        <v>20995845477</v>
      </c>
      <c r="S85" s="1063">
        <v>19243880171</v>
      </c>
      <c r="T85" s="1063">
        <v>19064940343</v>
      </c>
      <c r="U85" s="1063">
        <v>21362501226</v>
      </c>
      <c r="V85" s="1063">
        <v>22715085174</v>
      </c>
      <c r="W85" s="1063">
        <v>23017147195</v>
      </c>
      <c r="X85" s="1063">
        <v>23838514840</v>
      </c>
      <c r="Y85" s="1063">
        <v>24577803332</v>
      </c>
      <c r="Z85" s="1063">
        <v>26388928818</v>
      </c>
      <c r="AA85" s="1063">
        <v>28520861169</v>
      </c>
      <c r="AB85" s="1063">
        <v>29189201371</v>
      </c>
      <c r="AC85" s="1063">
        <v>31722493864</v>
      </c>
      <c r="AD85" s="1063">
        <v>32123405715</v>
      </c>
      <c r="AE85" s="1063">
        <v>31121063007</v>
      </c>
      <c r="AF85" s="1063">
        <v>31454051920</v>
      </c>
      <c r="AG85" s="1063">
        <v>32667476678</v>
      </c>
      <c r="AH85" s="1063">
        <v>35379324609</v>
      </c>
      <c r="AI85" s="1063">
        <v>34972451839</v>
      </c>
      <c r="AJ85" s="1063">
        <v>37132888360</v>
      </c>
      <c r="AK85" s="1063">
        <v>36860832855</v>
      </c>
      <c r="AL85" s="1063">
        <v>40545598753</v>
      </c>
      <c r="AM85" s="1063">
        <v>40924051791</v>
      </c>
      <c r="AN85" s="1063">
        <v>43074581728</v>
      </c>
      <c r="AO85" s="1063">
        <v>43171706963</v>
      </c>
      <c r="AP85" s="1063">
        <v>46063966472</v>
      </c>
      <c r="AQ85" s="1077">
        <v>48267573501</v>
      </c>
      <c r="AR85" s="1078"/>
      <c r="AS85" s="1063">
        <v>1052272944</v>
      </c>
      <c r="AT85" s="1063">
        <v>20789441975</v>
      </c>
      <c r="AU85" s="1063">
        <v>52936802522</v>
      </c>
      <c r="AV85" s="1063">
        <v>67396576563</v>
      </c>
      <c r="AW85" s="1063">
        <v>80667167217</v>
      </c>
      <c r="AX85" s="1063">
        <v>94148550541</v>
      </c>
      <c r="AY85" s="1063">
        <v>115821485222</v>
      </c>
      <c r="AZ85" s="1063">
        <v>127365997320</v>
      </c>
      <c r="BA85" s="1063">
        <v>144345497663</v>
      </c>
      <c r="BB85" s="1063">
        <v>167715939235</v>
      </c>
      <c r="BC85" s="1063">
        <v>81469650544</v>
      </c>
      <c r="BD85" s="1063">
        <v>94331539973</v>
      </c>
    </row>
    <row r="86" spans="1:56">
      <c r="A86" s="1079" t="s">
        <v>1090</v>
      </c>
      <c r="B86" s="1065">
        <v>181939770</v>
      </c>
      <c r="C86" s="1065">
        <v>60646598</v>
      </c>
      <c r="D86" s="1065">
        <v>0</v>
      </c>
      <c r="E86" s="1065">
        <v>0</v>
      </c>
      <c r="F86" s="1065">
        <v>0</v>
      </c>
      <c r="G86" s="1065">
        <v>1876227331</v>
      </c>
      <c r="H86" s="1065">
        <v>4430120171</v>
      </c>
      <c r="I86" s="1065">
        <v>5915918136</v>
      </c>
      <c r="J86" s="1065">
        <v>7035144079</v>
      </c>
      <c r="K86" s="1065">
        <v>8002313857</v>
      </c>
      <c r="L86" s="1065">
        <v>9112732664</v>
      </c>
      <c r="M86" s="1065">
        <v>10375058795</v>
      </c>
      <c r="N86" s="1065">
        <v>10355825528</v>
      </c>
      <c r="O86" s="1065">
        <v>12064290408</v>
      </c>
      <c r="P86" s="1065">
        <v>13310183346</v>
      </c>
      <c r="Q86" s="1065">
        <v>13416588345</v>
      </c>
      <c r="R86" s="1065">
        <v>14226774589</v>
      </c>
      <c r="S86" s="1065">
        <v>14841291545</v>
      </c>
      <c r="T86" s="1065">
        <v>14950410360</v>
      </c>
      <c r="U86" s="1065">
        <v>16017092324</v>
      </c>
      <c r="V86" s="1065">
        <v>17016021208</v>
      </c>
      <c r="W86" s="1065">
        <v>18501841428</v>
      </c>
      <c r="X86" s="1065">
        <v>19533889108</v>
      </c>
      <c r="Y86" s="1065">
        <v>20285475260</v>
      </c>
      <c r="Z86" s="1065">
        <v>21301879085</v>
      </c>
      <c r="AA86" s="1065">
        <v>23145947109</v>
      </c>
      <c r="AB86" s="1065">
        <v>24504765201</v>
      </c>
      <c r="AC86" s="1065">
        <v>25473794248</v>
      </c>
      <c r="AD86" s="1065">
        <v>25538348462</v>
      </c>
      <c r="AE86" s="1065">
        <v>25640462455</v>
      </c>
      <c r="AF86" s="1065">
        <v>26251181202</v>
      </c>
      <c r="AG86" s="1065">
        <v>27046700561</v>
      </c>
      <c r="AH86" s="1065">
        <v>27855404889</v>
      </c>
      <c r="AI86" s="1065">
        <v>28316803219</v>
      </c>
      <c r="AJ86" s="1065">
        <v>29602608692</v>
      </c>
      <c r="AK86" s="1065">
        <v>29978682711</v>
      </c>
      <c r="AL86" s="1065">
        <v>31753897153</v>
      </c>
      <c r="AM86" s="1065">
        <v>32848182930</v>
      </c>
      <c r="AN86" s="1065">
        <v>34782831476</v>
      </c>
      <c r="AO86" s="1065">
        <v>36350785620</v>
      </c>
      <c r="AP86" s="1065">
        <v>37758852070</v>
      </c>
      <c r="AQ86" s="1080">
        <v>40141760865</v>
      </c>
      <c r="AR86" s="1081"/>
      <c r="AS86" s="1065">
        <v>242586368</v>
      </c>
      <c r="AT86" s="1065">
        <v>12222265638</v>
      </c>
      <c r="AU86" s="1065">
        <v>34525249395</v>
      </c>
      <c r="AV86" s="1065">
        <v>49146887627</v>
      </c>
      <c r="AW86" s="1065">
        <v>60035568818</v>
      </c>
      <c r="AX86" s="1065">
        <v>75337227004</v>
      </c>
      <c r="AY86" s="1065">
        <v>94426385643</v>
      </c>
      <c r="AZ86" s="1065">
        <v>104476692680</v>
      </c>
      <c r="BA86" s="1065">
        <v>115753499511</v>
      </c>
      <c r="BB86" s="1065">
        <v>135735697179</v>
      </c>
      <c r="BC86" s="1065">
        <v>64602080083</v>
      </c>
      <c r="BD86" s="1065">
        <v>77900612935</v>
      </c>
    </row>
    <row r="87" spans="1:56">
      <c r="A87" s="1079" t="s">
        <v>1091</v>
      </c>
      <c r="B87" s="1065">
        <v>47727260</v>
      </c>
      <c r="C87" s="1065">
        <v>53514790</v>
      </c>
      <c r="D87" s="1065">
        <v>47054710</v>
      </c>
      <c r="E87" s="1065">
        <v>46015450</v>
      </c>
      <c r="F87" s="1065">
        <v>47214365</v>
      </c>
      <c r="G87" s="1065">
        <v>45553200</v>
      </c>
      <c r="H87" s="1065">
        <v>35182850</v>
      </c>
      <c r="I87" s="1065">
        <v>32103260</v>
      </c>
      <c r="J87" s="1065">
        <v>27588280</v>
      </c>
      <c r="K87" s="1065">
        <v>29920732</v>
      </c>
      <c r="L87" s="1065">
        <v>19776160</v>
      </c>
      <c r="M87" s="1065">
        <v>17392330</v>
      </c>
      <c r="N87" s="1065">
        <v>15360520</v>
      </c>
      <c r="O87" s="1065">
        <v>14128000</v>
      </c>
      <c r="P87" s="1065">
        <v>8290660</v>
      </c>
      <c r="Q87" s="1065">
        <v>8215000</v>
      </c>
      <c r="R87" s="1065">
        <v>2815963</v>
      </c>
      <c r="S87" s="1065">
        <v>24000</v>
      </c>
      <c r="T87" s="1065">
        <v>240350</v>
      </c>
      <c r="U87" s="1065">
        <v>0</v>
      </c>
      <c r="V87" s="1065">
        <v>0</v>
      </c>
      <c r="W87" s="1065">
        <v>0</v>
      </c>
      <c r="X87" s="1065">
        <v>0</v>
      </c>
      <c r="Y87" s="1065">
        <v>0</v>
      </c>
      <c r="Z87" s="1065">
        <v>0</v>
      </c>
      <c r="AA87" s="1065">
        <v>0</v>
      </c>
      <c r="AB87" s="1065">
        <v>0</v>
      </c>
      <c r="AC87" s="1065">
        <v>0</v>
      </c>
      <c r="AD87" s="1065">
        <v>0</v>
      </c>
      <c r="AE87" s="1065">
        <v>0</v>
      </c>
      <c r="AF87" s="1065">
        <v>0</v>
      </c>
      <c r="AG87" s="1065">
        <v>0</v>
      </c>
      <c r="AH87" s="1065">
        <v>0</v>
      </c>
      <c r="AI87" s="1065">
        <v>0</v>
      </c>
      <c r="AJ87" s="1065">
        <v>0</v>
      </c>
      <c r="AK87" s="1065">
        <v>0</v>
      </c>
      <c r="AL87" s="1065">
        <v>0</v>
      </c>
      <c r="AM87" s="1065">
        <v>0</v>
      </c>
      <c r="AN87" s="1065">
        <v>0</v>
      </c>
      <c r="AO87" s="1065">
        <v>0</v>
      </c>
      <c r="AP87" s="1065">
        <v>0</v>
      </c>
      <c r="AQ87" s="1080">
        <v>0</v>
      </c>
      <c r="AR87" s="1081"/>
      <c r="AS87" s="1065">
        <v>194312210</v>
      </c>
      <c r="AT87" s="1065">
        <v>160053675</v>
      </c>
      <c r="AU87" s="1065">
        <v>94677502</v>
      </c>
      <c r="AV87" s="1065">
        <v>45994180</v>
      </c>
      <c r="AW87" s="1065">
        <v>3080313</v>
      </c>
      <c r="AX87" s="1065">
        <v>0</v>
      </c>
      <c r="AY87" s="1065">
        <v>0</v>
      </c>
      <c r="AZ87" s="1065">
        <v>0</v>
      </c>
      <c r="BA87" s="1065">
        <v>0</v>
      </c>
      <c r="BB87" s="1065">
        <v>0</v>
      </c>
      <c r="BC87" s="1065">
        <v>0</v>
      </c>
      <c r="BD87" s="1065">
        <v>0</v>
      </c>
    </row>
    <row r="88" spans="1:56">
      <c r="A88" s="1079" t="s">
        <v>1092</v>
      </c>
      <c r="B88" s="1065">
        <v>168223702</v>
      </c>
      <c r="C88" s="1065">
        <v>220333303</v>
      </c>
      <c r="D88" s="1065">
        <v>132733400</v>
      </c>
      <c r="E88" s="1065">
        <v>77958823</v>
      </c>
      <c r="F88" s="1065">
        <v>258311921</v>
      </c>
      <c r="G88" s="1065">
        <v>299510275</v>
      </c>
      <c r="H88" s="1065">
        <v>459883553</v>
      </c>
      <c r="I88" s="1065">
        <v>231619236</v>
      </c>
      <c r="J88" s="1065">
        <v>688799603</v>
      </c>
      <c r="K88" s="1065">
        <v>787277379</v>
      </c>
      <c r="L88" s="1065">
        <v>690938164</v>
      </c>
      <c r="M88" s="1065">
        <v>882657859</v>
      </c>
      <c r="N88" s="1065">
        <v>888379552</v>
      </c>
      <c r="O88" s="1065">
        <v>823677500</v>
      </c>
      <c r="P88" s="1065">
        <v>813252396</v>
      </c>
      <c r="Q88" s="1065">
        <v>869656354</v>
      </c>
      <c r="R88" s="1065">
        <v>1415262868</v>
      </c>
      <c r="S88" s="1065">
        <v>1592025506</v>
      </c>
      <c r="T88" s="1065">
        <v>1086688148</v>
      </c>
      <c r="U88" s="1065">
        <v>1014032045</v>
      </c>
      <c r="V88" s="1065">
        <v>949564630</v>
      </c>
      <c r="W88" s="1065">
        <v>920392900</v>
      </c>
      <c r="X88" s="1065">
        <v>517637055</v>
      </c>
      <c r="Y88" s="1065">
        <v>549080158</v>
      </c>
      <c r="Z88" s="1065">
        <v>446089741</v>
      </c>
      <c r="AA88" s="1065">
        <v>650315674</v>
      </c>
      <c r="AB88" s="1065">
        <v>470257895</v>
      </c>
      <c r="AC88" s="1065">
        <v>804775417</v>
      </c>
      <c r="AD88" s="1065">
        <v>961620081</v>
      </c>
      <c r="AE88" s="1065">
        <v>573248155</v>
      </c>
      <c r="AF88" s="1065">
        <v>446527391</v>
      </c>
      <c r="AG88" s="1065">
        <v>613412194</v>
      </c>
      <c r="AH88" s="1065">
        <v>948973028</v>
      </c>
      <c r="AI88" s="1065">
        <v>762104170</v>
      </c>
      <c r="AJ88" s="1065">
        <v>707627471</v>
      </c>
      <c r="AK88" s="1065">
        <v>899931048</v>
      </c>
      <c r="AL88" s="1065">
        <v>1244580683</v>
      </c>
      <c r="AM88" s="1065">
        <v>896003217</v>
      </c>
      <c r="AN88" s="1065">
        <v>1229576799</v>
      </c>
      <c r="AO88" s="1065">
        <v>1026511746</v>
      </c>
      <c r="AP88" s="1065">
        <v>838969954</v>
      </c>
      <c r="AQ88" s="1080">
        <v>1421502537</v>
      </c>
      <c r="AR88" s="1081"/>
      <c r="AS88" s="1065">
        <v>599249228</v>
      </c>
      <c r="AT88" s="1065">
        <v>1249324985</v>
      </c>
      <c r="AU88" s="1065">
        <v>3049673005</v>
      </c>
      <c r="AV88" s="1065">
        <v>3394965802</v>
      </c>
      <c r="AW88" s="1065">
        <v>5108008567</v>
      </c>
      <c r="AX88" s="1065">
        <v>2936674743</v>
      </c>
      <c r="AY88" s="1065">
        <v>2371438727</v>
      </c>
      <c r="AZ88" s="1065">
        <v>2594807821</v>
      </c>
      <c r="BA88" s="1065">
        <v>3318635717</v>
      </c>
      <c r="BB88" s="1065">
        <v>4396672445</v>
      </c>
      <c r="BC88" s="1065">
        <v>2140583900</v>
      </c>
      <c r="BD88" s="1065">
        <v>2260472491</v>
      </c>
    </row>
    <row r="89" spans="1:56">
      <c r="A89" s="1079" t="s">
        <v>1093</v>
      </c>
      <c r="B89" s="1065">
        <v>3654846</v>
      </c>
      <c r="C89" s="1065">
        <v>5351530</v>
      </c>
      <c r="D89" s="1065">
        <v>4428022</v>
      </c>
      <c r="E89" s="1065">
        <v>2690740</v>
      </c>
      <c r="F89" s="1065">
        <v>1350750</v>
      </c>
      <c r="G89" s="1065">
        <v>1541499926</v>
      </c>
      <c r="H89" s="1065">
        <v>2210828380</v>
      </c>
      <c r="I89" s="1065">
        <v>3404118621</v>
      </c>
      <c r="J89" s="1065">
        <v>2375335472</v>
      </c>
      <c r="K89" s="1065">
        <v>2520225352</v>
      </c>
      <c r="L89" s="1065">
        <v>2806802863</v>
      </c>
      <c r="M89" s="1065">
        <v>7564838933</v>
      </c>
      <c r="N89" s="1065">
        <v>5548222980</v>
      </c>
      <c r="O89" s="1065">
        <v>5283417687</v>
      </c>
      <c r="P89" s="1065">
        <v>5706820444</v>
      </c>
      <c r="Q89" s="1065">
        <v>-1729732157</v>
      </c>
      <c r="R89" s="1065">
        <v>5350992057</v>
      </c>
      <c r="S89" s="1065">
        <v>2810539120</v>
      </c>
      <c r="T89" s="1065">
        <v>3027601485</v>
      </c>
      <c r="U89" s="1065">
        <v>4331376857</v>
      </c>
      <c r="V89" s="1065">
        <v>4749499336</v>
      </c>
      <c r="W89" s="1065">
        <v>3594912867</v>
      </c>
      <c r="X89" s="1065">
        <v>3786988677</v>
      </c>
      <c r="Y89" s="1065">
        <v>3743247914</v>
      </c>
      <c r="Z89" s="1065">
        <v>4640959992</v>
      </c>
      <c r="AA89" s="1065">
        <v>4724598386</v>
      </c>
      <c r="AB89" s="1065">
        <v>4214178275</v>
      </c>
      <c r="AC89" s="1065">
        <v>5443924199</v>
      </c>
      <c r="AD89" s="1065">
        <v>5623437172</v>
      </c>
      <c r="AE89" s="1065">
        <v>4907352397</v>
      </c>
      <c r="AF89" s="1065">
        <v>4756343327</v>
      </c>
      <c r="AG89" s="1065">
        <v>5007363923</v>
      </c>
      <c r="AH89" s="1065">
        <v>6574946692</v>
      </c>
      <c r="AI89" s="1065">
        <v>5893544450</v>
      </c>
      <c r="AJ89" s="1065">
        <v>6822652197</v>
      </c>
      <c r="AK89" s="1065">
        <v>5982219096</v>
      </c>
      <c r="AL89" s="1065">
        <v>7547120917</v>
      </c>
      <c r="AM89" s="1065">
        <v>7179865644</v>
      </c>
      <c r="AN89" s="1065">
        <v>7062173453</v>
      </c>
      <c r="AO89" s="1065">
        <v>5794409597</v>
      </c>
      <c r="AP89" s="1065">
        <v>7466144448</v>
      </c>
      <c r="AQ89" s="1080">
        <v>6704310099</v>
      </c>
      <c r="AR89" s="1081"/>
      <c r="AS89" s="1065">
        <v>16125138</v>
      </c>
      <c r="AT89" s="1065">
        <v>7157797677</v>
      </c>
      <c r="AU89" s="1065">
        <v>15267202620</v>
      </c>
      <c r="AV89" s="1065">
        <v>14808728954</v>
      </c>
      <c r="AW89" s="1065">
        <v>15520509519</v>
      </c>
      <c r="AX89" s="1065">
        <v>15874648794</v>
      </c>
      <c r="AY89" s="1065">
        <v>19023660852</v>
      </c>
      <c r="AZ89" s="1065">
        <v>20294496819</v>
      </c>
      <c r="BA89" s="1065">
        <v>25273362435</v>
      </c>
      <c r="BB89" s="1065">
        <v>27583569611</v>
      </c>
      <c r="BC89" s="1065">
        <v>14726986561</v>
      </c>
      <c r="BD89" s="1065">
        <v>14170454547</v>
      </c>
    </row>
    <row r="90" spans="1:56">
      <c r="A90" s="1076" t="s">
        <v>1094</v>
      </c>
      <c r="B90" s="1063">
        <v>400416877</v>
      </c>
      <c r="C90" s="1063">
        <v>290183410</v>
      </c>
      <c r="D90" s="1063">
        <v>296002076</v>
      </c>
      <c r="E90" s="1063">
        <v>4385809431</v>
      </c>
      <c r="F90" s="1063">
        <v>611707703</v>
      </c>
      <c r="G90" s="1063">
        <v>281893790</v>
      </c>
      <c r="H90" s="1063">
        <v>740321715</v>
      </c>
      <c r="I90" s="1063">
        <v>1652786913</v>
      </c>
      <c r="J90" s="1063">
        <v>2568885698</v>
      </c>
      <c r="K90" s="1063">
        <v>49381460472</v>
      </c>
      <c r="L90" s="1063">
        <v>40876547687</v>
      </c>
      <c r="M90" s="1063">
        <v>42365919780</v>
      </c>
      <c r="N90" s="1063">
        <v>49016615816</v>
      </c>
      <c r="O90" s="1063">
        <v>60800236055</v>
      </c>
      <c r="P90" s="1063">
        <v>66661863434</v>
      </c>
      <c r="Q90" s="1063">
        <v>68397856059</v>
      </c>
      <c r="R90" s="1063">
        <v>110887477968</v>
      </c>
      <c r="S90" s="1063">
        <v>10395615415</v>
      </c>
      <c r="T90" s="1063">
        <v>54501816097</v>
      </c>
      <c r="U90" s="1063">
        <v>45273437229</v>
      </c>
      <c r="V90" s="1063">
        <v>64485317843</v>
      </c>
      <c r="W90" s="1063">
        <v>98885073842</v>
      </c>
      <c r="X90" s="1063">
        <v>114184106474</v>
      </c>
      <c r="Y90" s="1063">
        <v>42161696692</v>
      </c>
      <c r="Z90" s="1063">
        <v>58518843079</v>
      </c>
      <c r="AA90" s="1063">
        <v>43033698844</v>
      </c>
      <c r="AB90" s="1063">
        <v>48182234993</v>
      </c>
      <c r="AC90" s="1063">
        <v>55780615980</v>
      </c>
      <c r="AD90" s="1063">
        <v>60849229765</v>
      </c>
      <c r="AE90" s="1063">
        <v>57430097137</v>
      </c>
      <c r="AF90" s="1063">
        <v>40912914278</v>
      </c>
      <c r="AG90" s="1063">
        <v>40614973543</v>
      </c>
      <c r="AH90" s="1063">
        <v>35573753544</v>
      </c>
      <c r="AI90" s="1063">
        <v>41184903730</v>
      </c>
      <c r="AJ90" s="1063">
        <v>21282210811</v>
      </c>
      <c r="AK90" s="1063">
        <v>15830085621</v>
      </c>
      <c r="AL90" s="1063">
        <v>17737164627</v>
      </c>
      <c r="AM90" s="1063">
        <v>63357850958</v>
      </c>
      <c r="AN90" s="1063">
        <v>20288842348</v>
      </c>
      <c r="AO90" s="1063">
        <v>21763725111</v>
      </c>
      <c r="AP90" s="1063">
        <v>38374222533</v>
      </c>
      <c r="AQ90" s="1077">
        <v>40794013594</v>
      </c>
      <c r="AR90" s="1078"/>
      <c r="AS90" s="1063">
        <v>5372411794</v>
      </c>
      <c r="AT90" s="1063">
        <v>3286710121</v>
      </c>
      <c r="AU90" s="1063">
        <v>135192813637</v>
      </c>
      <c r="AV90" s="1063">
        <v>244876571364</v>
      </c>
      <c r="AW90" s="1063">
        <v>221058346709</v>
      </c>
      <c r="AX90" s="1063">
        <v>319716194851</v>
      </c>
      <c r="AY90" s="1063">
        <v>205515392896</v>
      </c>
      <c r="AZ90" s="1063">
        <v>199807214723</v>
      </c>
      <c r="BA90" s="1063">
        <v>113870953706</v>
      </c>
      <c r="BB90" s="1063">
        <v>123147583044</v>
      </c>
      <c r="BC90" s="1063">
        <v>81095015585</v>
      </c>
      <c r="BD90" s="1063">
        <v>79168236127</v>
      </c>
    </row>
    <row r="91" spans="1:56">
      <c r="A91" s="1079" t="s">
        <v>1095</v>
      </c>
      <c r="B91" s="1065">
        <v>21656109</v>
      </c>
      <c r="C91" s="1065">
        <v>-21656109</v>
      </c>
      <c r="D91" s="1065">
        <v>0</v>
      </c>
      <c r="E91" s="1065">
        <v>197499627</v>
      </c>
      <c r="F91" s="1065">
        <v>0</v>
      </c>
      <c r="G91" s="1065">
        <v>0</v>
      </c>
      <c r="H91" s="1065">
        <v>18213039</v>
      </c>
      <c r="I91" s="1065">
        <v>1017545429</v>
      </c>
      <c r="J91" s="1065">
        <v>706043957</v>
      </c>
      <c r="K91" s="1065">
        <v>-674617280</v>
      </c>
      <c r="L91" s="1065">
        <v>26058632</v>
      </c>
      <c r="M91" s="1065">
        <v>985167587</v>
      </c>
      <c r="N91" s="1065">
        <v>0</v>
      </c>
      <c r="O91" s="1065">
        <v>0</v>
      </c>
      <c r="P91" s="1065">
        <v>940003632</v>
      </c>
      <c r="Q91" s="1065">
        <v>14307645</v>
      </c>
      <c r="R91" s="1065">
        <v>2959253646</v>
      </c>
      <c r="S91" s="1065">
        <v>11915603</v>
      </c>
      <c r="T91" s="1065">
        <v>1413032500</v>
      </c>
      <c r="U91" s="1065">
        <v>54020269</v>
      </c>
      <c r="V91" s="1065">
        <v>799973853</v>
      </c>
      <c r="W91" s="1065">
        <v>755479060</v>
      </c>
      <c r="X91" s="1065">
        <v>-234383355</v>
      </c>
      <c r="Y91" s="1065">
        <v>3553663030</v>
      </c>
      <c r="Z91" s="1065">
        <v>0</v>
      </c>
      <c r="AA91" s="1065">
        <v>1347923968</v>
      </c>
      <c r="AB91" s="1065">
        <v>-1347923968</v>
      </c>
      <c r="AC91" s="1065">
        <v>0</v>
      </c>
      <c r="AD91" s="1065">
        <v>1905311025</v>
      </c>
      <c r="AE91" s="1065">
        <v>1772618581</v>
      </c>
      <c r="AF91" s="1065">
        <v>1289017851</v>
      </c>
      <c r="AG91" s="1065">
        <v>570005259</v>
      </c>
      <c r="AH91" s="1065">
        <v>1394366450</v>
      </c>
      <c r="AI91" s="1065">
        <v>1253078694</v>
      </c>
      <c r="AJ91" s="1065">
        <v>-583370180</v>
      </c>
      <c r="AK91" s="1065">
        <v>507213605</v>
      </c>
      <c r="AL91" s="1065">
        <v>1636033073</v>
      </c>
      <c r="AM91" s="1065">
        <v>1078109678</v>
      </c>
      <c r="AN91" s="1065">
        <v>1518671741</v>
      </c>
      <c r="AO91" s="1065">
        <v>-263201490</v>
      </c>
      <c r="AP91" s="1065">
        <v>243691282</v>
      </c>
      <c r="AQ91" s="1080">
        <v>4058064589</v>
      </c>
      <c r="AR91" s="1081"/>
      <c r="AS91" s="1065">
        <v>197499627</v>
      </c>
      <c r="AT91" s="1065">
        <v>1035758468</v>
      </c>
      <c r="AU91" s="1065">
        <v>1042652896</v>
      </c>
      <c r="AV91" s="1065">
        <v>954311277</v>
      </c>
      <c r="AW91" s="1065">
        <v>4438222018</v>
      </c>
      <c r="AX91" s="1065">
        <v>4874732588</v>
      </c>
      <c r="AY91" s="1065">
        <v>0</v>
      </c>
      <c r="AZ91" s="1065">
        <v>5536952716</v>
      </c>
      <c r="BA91" s="1065">
        <v>2571288569</v>
      </c>
      <c r="BB91" s="1065">
        <v>3969613002</v>
      </c>
      <c r="BC91" s="1065">
        <v>2714142751</v>
      </c>
      <c r="BD91" s="1065">
        <v>4301755871</v>
      </c>
    </row>
    <row r="92" spans="1:56">
      <c r="A92" s="1079" t="s">
        <v>1096</v>
      </c>
      <c r="B92" s="1065">
        <v>35000000</v>
      </c>
      <c r="C92" s="1065">
        <v>-35000000</v>
      </c>
      <c r="D92" s="1065">
        <v>0</v>
      </c>
      <c r="E92" s="1065">
        <v>3711331843</v>
      </c>
      <c r="F92" s="1065">
        <v>0</v>
      </c>
      <c r="G92" s="1065">
        <v>65346428</v>
      </c>
      <c r="H92" s="1065">
        <v>2160716</v>
      </c>
      <c r="I92" s="1065">
        <v>-4507144</v>
      </c>
      <c r="J92" s="1065">
        <v>2523884</v>
      </c>
      <c r="K92" s="1065">
        <v>5092653516</v>
      </c>
      <c r="L92" s="1065">
        <v>2224912014</v>
      </c>
      <c r="M92" s="1065">
        <v>431729892</v>
      </c>
      <c r="N92" s="1065">
        <v>7888750650</v>
      </c>
      <c r="O92" s="1065">
        <v>-2604181408</v>
      </c>
      <c r="P92" s="1065">
        <v>4833179292</v>
      </c>
      <c r="Q92" s="1065">
        <v>-1069468534</v>
      </c>
      <c r="R92" s="1065">
        <v>4686204</v>
      </c>
      <c r="S92" s="1065">
        <v>4255913</v>
      </c>
      <c r="T92" s="1065">
        <v>-8942117</v>
      </c>
      <c r="U92" s="1065">
        <v>0</v>
      </c>
      <c r="V92" s="1065">
        <v>13435898</v>
      </c>
      <c r="W92" s="1065">
        <v>-13435898</v>
      </c>
      <c r="X92" s="1065">
        <v>2657709869</v>
      </c>
      <c r="Y92" s="1065">
        <v>1930320083</v>
      </c>
      <c r="Z92" s="1065">
        <v>3486678186</v>
      </c>
      <c r="AA92" s="1065">
        <v>-1138641943</v>
      </c>
      <c r="AB92" s="1065">
        <v>1062354779</v>
      </c>
      <c r="AC92" s="1065">
        <v>4906907369</v>
      </c>
      <c r="AD92" s="1065">
        <v>4913367</v>
      </c>
      <c r="AE92" s="1065">
        <v>-4913367</v>
      </c>
      <c r="AF92" s="1065">
        <v>0</v>
      </c>
      <c r="AG92" s="1065">
        <v>0</v>
      </c>
      <c r="AH92" s="1065">
        <v>1874493821</v>
      </c>
      <c r="AI92" s="1065">
        <v>5766195883</v>
      </c>
      <c r="AJ92" s="1065">
        <v>3466505619</v>
      </c>
      <c r="AK92" s="1065">
        <v>778287631</v>
      </c>
      <c r="AL92" s="1065">
        <v>0</v>
      </c>
      <c r="AM92" s="1065">
        <v>8063576311</v>
      </c>
      <c r="AN92" s="1065">
        <v>-4616363561</v>
      </c>
      <c r="AO92" s="1065">
        <v>-3447212750</v>
      </c>
      <c r="AP92" s="1065">
        <v>12500000</v>
      </c>
      <c r="AQ92" s="1080">
        <v>12089110531</v>
      </c>
      <c r="AR92" s="1081"/>
      <c r="AS92" s="1065">
        <v>3711331843</v>
      </c>
      <c r="AT92" s="1065">
        <v>63000000</v>
      </c>
      <c r="AU92" s="1065">
        <v>7751819306</v>
      </c>
      <c r="AV92" s="1065">
        <v>9048280000</v>
      </c>
      <c r="AW92" s="1065">
        <v>0</v>
      </c>
      <c r="AX92" s="1065">
        <v>4588029952</v>
      </c>
      <c r="AY92" s="1065">
        <v>8317298391</v>
      </c>
      <c r="AZ92" s="1065">
        <v>0</v>
      </c>
      <c r="BA92" s="1065">
        <v>11885482954</v>
      </c>
      <c r="BB92" s="1065">
        <v>0</v>
      </c>
      <c r="BC92" s="1065">
        <v>8063576311</v>
      </c>
      <c r="BD92" s="1065">
        <v>12101610531</v>
      </c>
    </row>
    <row r="93" spans="1:56">
      <c r="A93" s="1079" t="s">
        <v>1097</v>
      </c>
      <c r="B93" s="1065">
        <v>343760766</v>
      </c>
      <c r="C93" s="1065">
        <v>323975568</v>
      </c>
      <c r="D93" s="1065">
        <v>296002076</v>
      </c>
      <c r="E93" s="1065">
        <v>464198071</v>
      </c>
      <c r="F93" s="1065">
        <v>532585188</v>
      </c>
      <c r="G93" s="1065">
        <v>-1708094</v>
      </c>
      <c r="H93" s="1065">
        <v>383864596</v>
      </c>
      <c r="I93" s="1065">
        <v>127894994</v>
      </c>
      <c r="J93" s="1065">
        <v>1770095867</v>
      </c>
      <c r="K93" s="1065">
        <v>44947851226</v>
      </c>
      <c r="L93" s="1065">
        <v>38563118044</v>
      </c>
      <c r="M93" s="1065">
        <v>40258931256</v>
      </c>
      <c r="N93" s="1065">
        <v>41069807038</v>
      </c>
      <c r="O93" s="1065">
        <v>62382773182</v>
      </c>
      <c r="P93" s="1065">
        <v>56511106575</v>
      </c>
      <c r="Q93" s="1065">
        <v>72480101785</v>
      </c>
      <c r="R93" s="1065">
        <v>107569639075</v>
      </c>
      <c r="S93" s="1065">
        <v>10380747348</v>
      </c>
      <c r="T93" s="1065">
        <v>52523940558</v>
      </c>
      <c r="U93" s="1065">
        <v>44840829853</v>
      </c>
      <c r="V93" s="1065">
        <v>62509617314</v>
      </c>
      <c r="W93" s="1065">
        <v>96443267930</v>
      </c>
      <c r="X93" s="1065">
        <v>108957656031</v>
      </c>
      <c r="Y93" s="1065">
        <v>35879578542</v>
      </c>
      <c r="Z93" s="1065">
        <v>51583090606</v>
      </c>
      <c r="AA93" s="1065">
        <v>44379017591</v>
      </c>
      <c r="AB93" s="1065">
        <v>47976685253</v>
      </c>
      <c r="AC93" s="1065">
        <v>50067194970</v>
      </c>
      <c r="AD93" s="1065">
        <v>58563534759</v>
      </c>
      <c r="AE93" s="1065">
        <v>55084685717</v>
      </c>
      <c r="AF93" s="1065">
        <v>39223419798</v>
      </c>
      <c r="AG93" s="1065">
        <v>37561291961</v>
      </c>
      <c r="AH93" s="1065">
        <v>31509298409</v>
      </c>
      <c r="AI93" s="1065">
        <v>33845324761</v>
      </c>
      <c r="AJ93" s="1065">
        <v>18448149520</v>
      </c>
      <c r="AK93" s="1065">
        <v>14421757148</v>
      </c>
      <c r="AL93" s="1065">
        <v>15980914503</v>
      </c>
      <c r="AM93" s="1065">
        <v>52687727389</v>
      </c>
      <c r="AN93" s="1065">
        <v>23264118799</v>
      </c>
      <c r="AO93" s="1065">
        <v>25242804610</v>
      </c>
      <c r="AP93" s="1065">
        <v>37944325801</v>
      </c>
      <c r="AQ93" s="1080">
        <v>24254105776</v>
      </c>
      <c r="AR93" s="1081"/>
      <c r="AS93" s="1065">
        <v>1427936481</v>
      </c>
      <c r="AT93" s="1065">
        <v>1042636684</v>
      </c>
      <c r="AU93" s="1065">
        <v>125539996393</v>
      </c>
      <c r="AV93" s="1065">
        <v>232443788580</v>
      </c>
      <c r="AW93" s="1065">
        <v>215315156834</v>
      </c>
      <c r="AX93" s="1065">
        <v>303790119817</v>
      </c>
      <c r="AY93" s="1065">
        <v>194005988420</v>
      </c>
      <c r="AZ93" s="1065">
        <v>190432932235</v>
      </c>
      <c r="BA93" s="1065">
        <v>98224529838</v>
      </c>
      <c r="BB93" s="1065">
        <v>117175565301</v>
      </c>
      <c r="BC93" s="1065">
        <v>68668641892</v>
      </c>
      <c r="BD93" s="1065">
        <v>62198431577</v>
      </c>
    </row>
    <row r="94" spans="1:56">
      <c r="A94" s="1079" t="s">
        <v>1098</v>
      </c>
      <c r="B94" s="1065">
        <v>2</v>
      </c>
      <c r="C94" s="1065">
        <v>22863951</v>
      </c>
      <c r="D94" s="1065">
        <v>0</v>
      </c>
      <c r="E94" s="1065">
        <v>12779890</v>
      </c>
      <c r="F94" s="1065">
        <v>79122515</v>
      </c>
      <c r="G94" s="1065">
        <v>218255456</v>
      </c>
      <c r="H94" s="1065">
        <v>336083364</v>
      </c>
      <c r="I94" s="1065">
        <v>511853634</v>
      </c>
      <c r="J94" s="1065">
        <v>90221990</v>
      </c>
      <c r="K94" s="1065">
        <v>15573010</v>
      </c>
      <c r="L94" s="1065">
        <v>62458997</v>
      </c>
      <c r="M94" s="1065">
        <v>690091045</v>
      </c>
      <c r="N94" s="1065">
        <v>58058128</v>
      </c>
      <c r="O94" s="1065">
        <v>1021644281</v>
      </c>
      <c r="P94" s="1065">
        <v>4377573935</v>
      </c>
      <c r="Q94" s="1065">
        <v>-3027084837</v>
      </c>
      <c r="R94" s="1065">
        <v>353899043</v>
      </c>
      <c r="S94" s="1065">
        <v>-1303449</v>
      </c>
      <c r="T94" s="1065">
        <v>573785156</v>
      </c>
      <c r="U94" s="1065">
        <v>378587107</v>
      </c>
      <c r="V94" s="1065">
        <v>1162290778</v>
      </c>
      <c r="W94" s="1065">
        <v>1699762750</v>
      </c>
      <c r="X94" s="1065">
        <v>2803123929</v>
      </c>
      <c r="Y94" s="1065">
        <v>798135037</v>
      </c>
      <c r="Z94" s="1065">
        <v>3449074287</v>
      </c>
      <c r="AA94" s="1065">
        <v>-1554600772</v>
      </c>
      <c r="AB94" s="1065">
        <v>491118929</v>
      </c>
      <c r="AC94" s="1065">
        <v>806513641</v>
      </c>
      <c r="AD94" s="1065">
        <v>375470614</v>
      </c>
      <c r="AE94" s="1065">
        <v>577706206</v>
      </c>
      <c r="AF94" s="1065">
        <v>400476629</v>
      </c>
      <c r="AG94" s="1065">
        <v>2483676323</v>
      </c>
      <c r="AH94" s="1065">
        <v>795594864</v>
      </c>
      <c r="AI94" s="1065">
        <v>320304392</v>
      </c>
      <c r="AJ94" s="1065">
        <v>-49074148</v>
      </c>
      <c r="AK94" s="1065">
        <v>122827237</v>
      </c>
      <c r="AL94" s="1065">
        <v>120217051</v>
      </c>
      <c r="AM94" s="1065">
        <v>1528437580</v>
      </c>
      <c r="AN94" s="1065">
        <v>122415369</v>
      </c>
      <c r="AO94" s="1065">
        <v>231334741</v>
      </c>
      <c r="AP94" s="1065">
        <v>173705450</v>
      </c>
      <c r="AQ94" s="1080">
        <v>392732698</v>
      </c>
      <c r="AR94" s="1081"/>
      <c r="AS94" s="1065">
        <v>35643843</v>
      </c>
      <c r="AT94" s="1065">
        <v>1145314969</v>
      </c>
      <c r="AU94" s="1065">
        <v>858345042</v>
      </c>
      <c r="AV94" s="1065">
        <v>2430191507</v>
      </c>
      <c r="AW94" s="1065">
        <v>1304967857</v>
      </c>
      <c r="AX94" s="1065">
        <v>6463312494</v>
      </c>
      <c r="AY94" s="1065">
        <v>3192106085</v>
      </c>
      <c r="AZ94" s="1065">
        <v>3837329772</v>
      </c>
      <c r="BA94" s="1065">
        <v>1189652345</v>
      </c>
      <c r="BB94" s="1065">
        <v>2002404741</v>
      </c>
      <c r="BC94" s="1065">
        <v>1648654631</v>
      </c>
      <c r="BD94" s="1065">
        <v>566438148</v>
      </c>
    </row>
    <row r="95" spans="1:56">
      <c r="A95" s="1073" t="s">
        <v>281</v>
      </c>
      <c r="B95" s="1061">
        <v>68045943233</v>
      </c>
      <c r="C95" s="1061">
        <v>109150917682</v>
      </c>
      <c r="D95" s="1061">
        <v>81445733436</v>
      </c>
      <c r="E95" s="1061">
        <v>68213381023</v>
      </c>
      <c r="F95" s="1061">
        <v>97836757605</v>
      </c>
      <c r="G95" s="1061">
        <v>125059831872.00012</v>
      </c>
      <c r="H95" s="1061">
        <v>114291675887.5</v>
      </c>
      <c r="I95" s="1061">
        <v>106394215984.5</v>
      </c>
      <c r="J95" s="1061">
        <v>135141874267</v>
      </c>
      <c r="K95" s="1061">
        <v>126918840539</v>
      </c>
      <c r="L95" s="1061">
        <v>141162107851</v>
      </c>
      <c r="M95" s="1061">
        <v>129126327898</v>
      </c>
      <c r="N95" s="1061">
        <v>165915255455</v>
      </c>
      <c r="O95" s="1061">
        <v>166869612092</v>
      </c>
      <c r="P95" s="1061">
        <v>120820014335</v>
      </c>
      <c r="Q95" s="1061">
        <v>226337090467</v>
      </c>
      <c r="R95" s="1061">
        <v>144688891551</v>
      </c>
      <c r="S95" s="1061">
        <v>221799701313</v>
      </c>
      <c r="T95" s="1061">
        <v>208053599250</v>
      </c>
      <c r="U95" s="1061">
        <v>253456407528</v>
      </c>
      <c r="V95" s="1061">
        <v>284646572327</v>
      </c>
      <c r="W95" s="1061">
        <v>239828775809</v>
      </c>
      <c r="X95" s="1061">
        <v>240222750146</v>
      </c>
      <c r="Y95" s="1061">
        <v>184241010748</v>
      </c>
      <c r="Z95" s="1061">
        <v>376953729802</v>
      </c>
      <c r="AA95" s="1061">
        <v>198834129765</v>
      </c>
      <c r="AB95" s="1061">
        <v>247654535978</v>
      </c>
      <c r="AC95" s="1061">
        <v>269089276425</v>
      </c>
      <c r="AD95" s="1061">
        <v>239676105804</v>
      </c>
      <c r="AE95" s="1061">
        <v>203456544745</v>
      </c>
      <c r="AF95" s="1061">
        <v>161711494646</v>
      </c>
      <c r="AG95" s="1061">
        <v>276457426774</v>
      </c>
      <c r="AH95" s="1061">
        <v>155655318125</v>
      </c>
      <c r="AI95" s="1061">
        <v>346136928878</v>
      </c>
      <c r="AJ95" s="1061">
        <v>242947578238</v>
      </c>
      <c r="AK95" s="1061">
        <v>310120155189</v>
      </c>
      <c r="AL95" s="1061">
        <v>148197797267</v>
      </c>
      <c r="AM95" s="1061">
        <v>300349949055</v>
      </c>
      <c r="AN95" s="1061">
        <v>253027282663</v>
      </c>
      <c r="AO95" s="1061">
        <v>86701914913</v>
      </c>
      <c r="AP95" s="1061">
        <v>255587382272</v>
      </c>
      <c r="AQ95" s="1074">
        <v>245738053313</v>
      </c>
      <c r="AR95" s="1075"/>
      <c r="AS95" s="1061">
        <v>326855975374</v>
      </c>
      <c r="AT95" s="1061">
        <v>443582481349</v>
      </c>
      <c r="AU95" s="1061">
        <v>532349150555</v>
      </c>
      <c r="AV95" s="1061">
        <v>679941972349</v>
      </c>
      <c r="AW95" s="1061">
        <v>827998599642</v>
      </c>
      <c r="AX95" s="1061">
        <v>948939109030</v>
      </c>
      <c r="AY95" s="1061">
        <v>1092531671970</v>
      </c>
      <c r="AZ95" s="1061">
        <v>881301571969</v>
      </c>
      <c r="BA95" s="1061">
        <v>1054859980430</v>
      </c>
      <c r="BB95" s="1061">
        <v>788276943898</v>
      </c>
      <c r="BC95" s="1061">
        <v>448547746322</v>
      </c>
      <c r="BD95" s="1061">
        <v>501325435585</v>
      </c>
    </row>
    <row r="96" spans="1:56">
      <c r="A96" s="1073" t="s">
        <v>1099</v>
      </c>
      <c r="B96" s="1061">
        <v>1569579833</v>
      </c>
      <c r="C96" s="1061">
        <v>1310707730</v>
      </c>
      <c r="D96" s="1061">
        <v>2715954689</v>
      </c>
      <c r="E96" s="1061">
        <v>3034271393</v>
      </c>
      <c r="F96" s="1061">
        <v>9400322787</v>
      </c>
      <c r="G96" s="1061">
        <v>4536209061</v>
      </c>
      <c r="H96" s="1061">
        <v>5227205620</v>
      </c>
      <c r="I96" s="1061">
        <v>8910677090</v>
      </c>
      <c r="J96" s="1061">
        <v>6082308817</v>
      </c>
      <c r="K96" s="1061">
        <v>19642249187</v>
      </c>
      <c r="L96" s="1061">
        <v>10905401054</v>
      </c>
      <c r="M96" s="1061">
        <v>48294414617</v>
      </c>
      <c r="N96" s="1061">
        <v>32454717077</v>
      </c>
      <c r="O96" s="1061">
        <v>40721947008</v>
      </c>
      <c r="P96" s="1061">
        <v>28447426474</v>
      </c>
      <c r="Q96" s="1061">
        <v>11449290106</v>
      </c>
      <c r="R96" s="1061">
        <v>36531738540</v>
      </c>
      <c r="S96" s="1061">
        <v>3530926257</v>
      </c>
      <c r="T96" s="1061">
        <v>22421829395</v>
      </c>
      <c r="U96" s="1061">
        <v>19042431091</v>
      </c>
      <c r="V96" s="1061">
        <v>28512331734</v>
      </c>
      <c r="W96" s="1061">
        <v>31763179743</v>
      </c>
      <c r="X96" s="1061">
        <v>32250175818</v>
      </c>
      <c r="Y96" s="1061">
        <v>61282405258</v>
      </c>
      <c r="Z96" s="1061">
        <v>34118830202</v>
      </c>
      <c r="AA96" s="1061">
        <v>25168149477</v>
      </c>
      <c r="AB96" s="1061">
        <v>63679466231</v>
      </c>
      <c r="AC96" s="1061">
        <v>35862707173</v>
      </c>
      <c r="AD96" s="1061">
        <v>45641326991</v>
      </c>
      <c r="AE96" s="1061">
        <v>38799008143</v>
      </c>
      <c r="AF96" s="1061">
        <v>41424500737</v>
      </c>
      <c r="AG96" s="1061">
        <v>9967367418</v>
      </c>
      <c r="AH96" s="1061">
        <v>49873661268</v>
      </c>
      <c r="AI96" s="1061">
        <v>30653824562</v>
      </c>
      <c r="AJ96" s="1061">
        <v>44221548586</v>
      </c>
      <c r="AK96" s="1061">
        <v>31736255220</v>
      </c>
      <c r="AL96" s="1061">
        <v>132149846293</v>
      </c>
      <c r="AM96" s="1061">
        <v>54804115159</v>
      </c>
      <c r="AN96" s="1061">
        <v>54494881778</v>
      </c>
      <c r="AO96" s="1061">
        <v>221861414462</v>
      </c>
      <c r="AP96" s="1061">
        <v>139562610238</v>
      </c>
      <c r="AQ96" s="1074">
        <v>131185827940</v>
      </c>
      <c r="AR96" s="1075"/>
      <c r="AS96" s="1061">
        <v>8630513645</v>
      </c>
      <c r="AT96" s="1061">
        <v>28074414558</v>
      </c>
      <c r="AU96" s="1061">
        <v>84924373675</v>
      </c>
      <c r="AV96" s="1061">
        <v>113073380665</v>
      </c>
      <c r="AW96" s="1061">
        <v>81526925283</v>
      </c>
      <c r="AX96" s="1061">
        <v>153808092553</v>
      </c>
      <c r="AY96" s="1061">
        <v>158829153083</v>
      </c>
      <c r="AZ96" s="1061">
        <v>135832203289</v>
      </c>
      <c r="BA96" s="1061">
        <v>156485289636</v>
      </c>
      <c r="BB96" s="1061">
        <v>463310257692</v>
      </c>
      <c r="BC96" s="1061">
        <v>186953961452</v>
      </c>
      <c r="BD96" s="1061">
        <v>270748438178</v>
      </c>
    </row>
    <row r="97" spans="1:56">
      <c r="A97" s="1079" t="s">
        <v>1100</v>
      </c>
      <c r="B97" s="1065">
        <v>7393449</v>
      </c>
      <c r="C97" s="1065">
        <v>44146816</v>
      </c>
      <c r="D97" s="1065">
        <v>0</v>
      </c>
      <c r="E97" s="1065">
        <v>13447259</v>
      </c>
      <c r="F97" s="1065">
        <v>815551475</v>
      </c>
      <c r="G97" s="1065">
        <v>27581788</v>
      </c>
      <c r="H97" s="1065">
        <v>405252955</v>
      </c>
      <c r="I97" s="1065">
        <v>344000</v>
      </c>
      <c r="J97" s="1065">
        <v>0</v>
      </c>
      <c r="K97" s="1065">
        <v>0</v>
      </c>
      <c r="L97" s="1065">
        <v>0</v>
      </c>
      <c r="M97" s="1065">
        <v>0</v>
      </c>
      <c r="N97" s="1065">
        <v>0</v>
      </c>
      <c r="O97" s="1065">
        <v>25942245044</v>
      </c>
      <c r="P97" s="1065">
        <v>1923924</v>
      </c>
      <c r="Q97" s="1065">
        <v>2216182</v>
      </c>
      <c r="R97" s="1065">
        <v>0</v>
      </c>
      <c r="S97" s="1065">
        <v>9819728</v>
      </c>
      <c r="T97" s="1065">
        <v>873000</v>
      </c>
      <c r="U97" s="1065">
        <v>19545454</v>
      </c>
      <c r="V97" s="1065">
        <v>0</v>
      </c>
      <c r="W97" s="1065">
        <v>444394984</v>
      </c>
      <c r="X97" s="1065">
        <v>0</v>
      </c>
      <c r="Y97" s="1065">
        <v>18202176</v>
      </c>
      <c r="Z97" s="1065">
        <v>0</v>
      </c>
      <c r="AA97" s="1065">
        <v>2517000</v>
      </c>
      <c r="AB97" s="1065">
        <v>1570000</v>
      </c>
      <c r="AC97" s="1065">
        <v>9250016</v>
      </c>
      <c r="AD97" s="1065">
        <v>0</v>
      </c>
      <c r="AE97" s="1065">
        <v>0</v>
      </c>
      <c r="AF97" s="1065">
        <v>0</v>
      </c>
      <c r="AG97" s="1065">
        <v>29268756</v>
      </c>
      <c r="AH97" s="1065">
        <v>0</v>
      </c>
      <c r="AI97" s="1065">
        <v>0</v>
      </c>
      <c r="AJ97" s="1065">
        <v>0</v>
      </c>
      <c r="AK97" s="1065">
        <v>2526000</v>
      </c>
      <c r="AL97" s="1065">
        <v>0</v>
      </c>
      <c r="AM97" s="1065">
        <v>2188383</v>
      </c>
      <c r="AN97" s="1065">
        <v>0</v>
      </c>
      <c r="AO97" s="1065">
        <v>60407273</v>
      </c>
      <c r="AP97" s="1065">
        <v>0</v>
      </c>
      <c r="AQ97" s="1080">
        <v>578000</v>
      </c>
      <c r="AR97" s="1081"/>
      <c r="AS97" s="1065">
        <v>64987524</v>
      </c>
      <c r="AT97" s="1065">
        <v>1248730218</v>
      </c>
      <c r="AU97" s="1065">
        <v>0</v>
      </c>
      <c r="AV97" s="1065">
        <v>25946385150</v>
      </c>
      <c r="AW97" s="1065">
        <v>30238182</v>
      </c>
      <c r="AX97" s="1065">
        <v>462597160</v>
      </c>
      <c r="AY97" s="1065">
        <v>13337016</v>
      </c>
      <c r="AZ97" s="1065">
        <v>29268756</v>
      </c>
      <c r="BA97" s="1065">
        <v>2526000</v>
      </c>
      <c r="BB97" s="1065">
        <v>62595656</v>
      </c>
      <c r="BC97" s="1065">
        <v>2188383</v>
      </c>
      <c r="BD97" s="1065">
        <v>578000</v>
      </c>
    </row>
    <row r="98" spans="1:56">
      <c r="A98" s="1079" t="s">
        <v>1101</v>
      </c>
      <c r="B98" s="1065">
        <v>0</v>
      </c>
      <c r="C98" s="1065">
        <v>0</v>
      </c>
      <c r="D98" s="1065">
        <v>0</v>
      </c>
      <c r="E98" s="1065">
        <v>0</v>
      </c>
      <c r="F98" s="1065">
        <v>2155918525</v>
      </c>
      <c r="G98" s="1065">
        <v>0</v>
      </c>
      <c r="H98" s="1065">
        <v>0</v>
      </c>
      <c r="I98" s="1065">
        <v>0</v>
      </c>
      <c r="J98" s="1065">
        <v>0</v>
      </c>
      <c r="K98" s="1065">
        <v>0</v>
      </c>
      <c r="L98" s="1065">
        <v>0</v>
      </c>
      <c r="M98" s="1065">
        <v>0</v>
      </c>
      <c r="N98" s="1065">
        <v>0</v>
      </c>
      <c r="O98" s="1065">
        <v>1888839864</v>
      </c>
      <c r="P98" s="1065">
        <v>0</v>
      </c>
      <c r="Q98" s="1065">
        <v>0</v>
      </c>
      <c r="R98" s="1065">
        <v>0</v>
      </c>
      <c r="S98" s="1065">
        <v>0</v>
      </c>
      <c r="T98" s="1065">
        <v>0</v>
      </c>
      <c r="U98" s="1065">
        <v>1562867120</v>
      </c>
      <c r="V98" s="1065">
        <v>0</v>
      </c>
      <c r="W98" s="1065">
        <v>1173900825</v>
      </c>
      <c r="X98" s="1065">
        <v>3521050696</v>
      </c>
      <c r="Y98" s="1065">
        <v>0</v>
      </c>
      <c r="Z98" s="1065">
        <v>0</v>
      </c>
      <c r="AA98" s="1065">
        <v>0</v>
      </c>
      <c r="AB98" s="1065">
        <v>0</v>
      </c>
      <c r="AC98" s="1065">
        <v>0</v>
      </c>
      <c r="AD98" s="1065">
        <v>0</v>
      </c>
      <c r="AE98" s="1065">
        <v>79143216</v>
      </c>
      <c r="AF98" s="1065">
        <v>0</v>
      </c>
      <c r="AG98" s="1065">
        <v>0</v>
      </c>
      <c r="AH98" s="1065">
        <v>0</v>
      </c>
      <c r="AI98" s="1065">
        <v>0</v>
      </c>
      <c r="AJ98" s="1065">
        <v>0</v>
      </c>
      <c r="AK98" s="1065">
        <v>0</v>
      </c>
      <c r="AL98" s="1065">
        <v>0</v>
      </c>
      <c r="AM98" s="1065">
        <v>0</v>
      </c>
      <c r="AN98" s="1065">
        <v>0</v>
      </c>
      <c r="AO98" s="1065">
        <v>0</v>
      </c>
      <c r="AP98" s="1065">
        <v>0</v>
      </c>
      <c r="AQ98" s="1080">
        <v>0</v>
      </c>
      <c r="AR98" s="1081"/>
      <c r="AS98" s="1065">
        <v>0</v>
      </c>
      <c r="AT98" s="1065">
        <v>2155918525</v>
      </c>
      <c r="AU98" s="1065">
        <v>0</v>
      </c>
      <c r="AV98" s="1065">
        <v>1888839864</v>
      </c>
      <c r="AW98" s="1065">
        <v>1562867120</v>
      </c>
      <c r="AX98" s="1065">
        <v>4694951521</v>
      </c>
      <c r="AY98" s="1065">
        <v>0</v>
      </c>
      <c r="AZ98" s="1065">
        <v>79143216</v>
      </c>
      <c r="BA98" s="1065">
        <v>0</v>
      </c>
      <c r="BB98" s="1065">
        <v>0</v>
      </c>
      <c r="BC98" s="1065">
        <v>0</v>
      </c>
      <c r="BD98" s="1065">
        <v>0</v>
      </c>
    </row>
    <row r="99" spans="1:56">
      <c r="A99" s="1079" t="s">
        <v>1102</v>
      </c>
      <c r="B99" s="1065">
        <v>365078272</v>
      </c>
      <c r="C99" s="1065">
        <v>379944883</v>
      </c>
      <c r="D99" s="1065">
        <v>402648067</v>
      </c>
      <c r="E99" s="1065">
        <v>377487010</v>
      </c>
      <c r="F99" s="1065">
        <v>251791155</v>
      </c>
      <c r="G99" s="1065">
        <v>216538015</v>
      </c>
      <c r="H99" s="1065">
        <v>216707140</v>
      </c>
      <c r="I99" s="1065">
        <v>207896946</v>
      </c>
      <c r="J99" s="1065">
        <v>205233661</v>
      </c>
      <c r="K99" s="1065">
        <v>204760365</v>
      </c>
      <c r="L99" s="1065">
        <v>212204139</v>
      </c>
      <c r="M99" s="1065">
        <v>207011445</v>
      </c>
      <c r="N99" s="1065">
        <v>210385569</v>
      </c>
      <c r="O99" s="1065">
        <v>155126816</v>
      </c>
      <c r="P99" s="1065">
        <v>93657540</v>
      </c>
      <c r="Q99" s="1065">
        <v>93657540</v>
      </c>
      <c r="R99" s="1065">
        <v>90407540</v>
      </c>
      <c r="S99" s="1065">
        <v>84177500</v>
      </c>
      <c r="T99" s="1065">
        <v>91217420</v>
      </c>
      <c r="U99" s="1065">
        <v>74790008</v>
      </c>
      <c r="V99" s="1065">
        <v>73848520</v>
      </c>
      <c r="W99" s="1065">
        <v>65671780</v>
      </c>
      <c r="X99" s="1065">
        <v>30538200</v>
      </c>
      <c r="Y99" s="1065">
        <v>8400000</v>
      </c>
      <c r="Z99" s="1065">
        <v>5661244894</v>
      </c>
      <c r="AA99" s="1065">
        <v>4806403915</v>
      </c>
      <c r="AB99" s="1065">
        <v>7352666483</v>
      </c>
      <c r="AC99" s="1065">
        <v>9793693769</v>
      </c>
      <c r="AD99" s="1065">
        <v>9609068265</v>
      </c>
      <c r="AE99" s="1065">
        <v>9285412824</v>
      </c>
      <c r="AF99" s="1065">
        <v>8323129254</v>
      </c>
      <c r="AG99" s="1065">
        <v>8480755036</v>
      </c>
      <c r="AH99" s="1065">
        <v>9675971578</v>
      </c>
      <c r="AI99" s="1065">
        <v>9299004515</v>
      </c>
      <c r="AJ99" s="1065">
        <v>9350979092</v>
      </c>
      <c r="AK99" s="1065">
        <v>9743001280</v>
      </c>
      <c r="AL99" s="1065">
        <v>10762585247</v>
      </c>
      <c r="AM99" s="1065">
        <v>9753634188</v>
      </c>
      <c r="AN99" s="1065">
        <v>9458744630</v>
      </c>
      <c r="AO99" s="1065">
        <v>9868126092</v>
      </c>
      <c r="AP99" s="1065">
        <v>10943837724</v>
      </c>
      <c r="AQ99" s="1080">
        <v>10500873631</v>
      </c>
      <c r="AR99" s="1081"/>
      <c r="AS99" s="1065">
        <v>1525158232</v>
      </c>
      <c r="AT99" s="1065">
        <v>892933256</v>
      </c>
      <c r="AU99" s="1065">
        <v>829209610</v>
      </c>
      <c r="AV99" s="1065">
        <v>552827465</v>
      </c>
      <c r="AW99" s="1065">
        <v>340592468</v>
      </c>
      <c r="AX99" s="1065">
        <v>178458500</v>
      </c>
      <c r="AY99" s="1065">
        <v>27614009061</v>
      </c>
      <c r="AZ99" s="1065">
        <v>35698365379</v>
      </c>
      <c r="BA99" s="1065">
        <v>38068956465</v>
      </c>
      <c r="BB99" s="1065">
        <v>39843090157</v>
      </c>
      <c r="BC99" s="1065">
        <v>20516219435</v>
      </c>
      <c r="BD99" s="1065">
        <v>21444711355</v>
      </c>
    </row>
    <row r="100" spans="1:56">
      <c r="A100" s="1079" t="s">
        <v>1103</v>
      </c>
      <c r="B100" s="1065">
        <v>273212219</v>
      </c>
      <c r="C100" s="1065">
        <v>170095975</v>
      </c>
      <c r="D100" s="1065">
        <v>2235448695</v>
      </c>
      <c r="E100" s="1065">
        <v>2593202429</v>
      </c>
      <c r="F100" s="1065">
        <v>5748403886</v>
      </c>
      <c r="G100" s="1065">
        <v>4174870751</v>
      </c>
      <c r="H100" s="1065">
        <v>4264375858</v>
      </c>
      <c r="I100" s="1065">
        <v>8591768610</v>
      </c>
      <c r="J100" s="1065">
        <v>5752968583</v>
      </c>
      <c r="K100" s="1065">
        <v>19170619607</v>
      </c>
      <c r="L100" s="1065">
        <v>10438704377</v>
      </c>
      <c r="M100" s="1065">
        <v>48211769669</v>
      </c>
      <c r="N100" s="1065">
        <v>31910039555</v>
      </c>
      <c r="O100" s="1065">
        <v>12276887410</v>
      </c>
      <c r="P100" s="1065">
        <v>25407466637</v>
      </c>
      <c r="Q100" s="1065">
        <v>11007106445</v>
      </c>
      <c r="R100" s="1065">
        <v>35192592591</v>
      </c>
      <c r="S100" s="1065">
        <v>2955690943</v>
      </c>
      <c r="T100" s="1065">
        <v>18854954314</v>
      </c>
      <c r="U100" s="1065">
        <v>17417246698</v>
      </c>
      <c r="V100" s="1065">
        <v>27918499280</v>
      </c>
      <c r="W100" s="1065">
        <v>28998962516</v>
      </c>
      <c r="X100" s="1065">
        <v>27867957737</v>
      </c>
      <c r="Y100" s="1065">
        <v>37468675824</v>
      </c>
      <c r="Z100" s="1065">
        <v>24067305313</v>
      </c>
      <c r="AA100" s="1065">
        <v>15926537308</v>
      </c>
      <c r="AB100" s="1065">
        <v>48358758987</v>
      </c>
      <c r="AC100" s="1065">
        <v>21765137417</v>
      </c>
      <c r="AD100" s="1065">
        <v>31441732328</v>
      </c>
      <c r="AE100" s="1065">
        <v>19979449629</v>
      </c>
      <c r="AF100" s="1065">
        <v>30292276787</v>
      </c>
      <c r="AG100" s="1065">
        <v>-306455679</v>
      </c>
      <c r="AH100" s="1065">
        <v>37380304434</v>
      </c>
      <c r="AI100" s="1065">
        <v>16883734126</v>
      </c>
      <c r="AJ100" s="1065">
        <v>31349866642</v>
      </c>
      <c r="AK100" s="1065">
        <v>16482667537</v>
      </c>
      <c r="AL100" s="1065">
        <v>118420003083</v>
      </c>
      <c r="AM100" s="1065">
        <v>40953050917</v>
      </c>
      <c r="AN100" s="1065">
        <v>38585246933</v>
      </c>
      <c r="AO100" s="1065">
        <v>207866120110</v>
      </c>
      <c r="AP100" s="1065">
        <v>124177241874</v>
      </c>
      <c r="AQ100" s="1080">
        <v>116356522870</v>
      </c>
      <c r="AR100" s="1081"/>
      <c r="AS100" s="1065">
        <v>5271959318</v>
      </c>
      <c r="AT100" s="1065">
        <v>22779419105</v>
      </c>
      <c r="AU100" s="1065">
        <v>83574062236</v>
      </c>
      <c r="AV100" s="1065">
        <v>80601500047</v>
      </c>
      <c r="AW100" s="1065">
        <v>74420484546</v>
      </c>
      <c r="AX100" s="1065">
        <v>122254095357</v>
      </c>
      <c r="AY100" s="1065">
        <v>110117739025</v>
      </c>
      <c r="AZ100" s="1065">
        <v>81407003065</v>
      </c>
      <c r="BA100" s="1065">
        <v>102096572739</v>
      </c>
      <c r="BB100" s="1065">
        <v>405824421043</v>
      </c>
      <c r="BC100" s="1065">
        <v>159373054000</v>
      </c>
      <c r="BD100" s="1065">
        <v>240533764744</v>
      </c>
    </row>
    <row r="101" spans="1:56">
      <c r="A101" s="1079" t="s">
        <v>1104</v>
      </c>
      <c r="B101" s="1065">
        <v>0</v>
      </c>
      <c r="C101" s="1065">
        <v>0</v>
      </c>
      <c r="D101" s="1065">
        <v>0</v>
      </c>
      <c r="E101" s="1065">
        <v>0</v>
      </c>
      <c r="F101" s="1065">
        <v>0</v>
      </c>
      <c r="G101" s="1065">
        <v>0</v>
      </c>
      <c r="H101" s="1065">
        <v>0</v>
      </c>
      <c r="I101" s="1065">
        <v>0</v>
      </c>
      <c r="J101" s="1065">
        <v>0</v>
      </c>
      <c r="K101" s="1065">
        <v>0</v>
      </c>
      <c r="L101" s="1065">
        <v>0</v>
      </c>
      <c r="M101" s="1065">
        <v>0</v>
      </c>
      <c r="N101" s="1065">
        <v>0</v>
      </c>
      <c r="O101" s="1065">
        <v>0</v>
      </c>
      <c r="P101" s="1065">
        <v>0</v>
      </c>
      <c r="Q101" s="1065">
        <v>0</v>
      </c>
      <c r="R101" s="1065">
        <v>0</v>
      </c>
      <c r="S101" s="1065">
        <v>0</v>
      </c>
      <c r="T101" s="1065">
        <v>2066000000</v>
      </c>
      <c r="U101" s="1065">
        <v>0</v>
      </c>
      <c r="V101" s="1065">
        <v>0</v>
      </c>
      <c r="W101" s="1065">
        <v>0</v>
      </c>
      <c r="X101" s="1065">
        <v>0</v>
      </c>
      <c r="Y101" s="1065">
        <v>0</v>
      </c>
      <c r="Z101" s="1065">
        <v>626261770</v>
      </c>
      <c r="AA101" s="1065">
        <v>0</v>
      </c>
      <c r="AB101" s="1065">
        <v>0</v>
      </c>
      <c r="AC101" s="1065">
        <v>8000000</v>
      </c>
      <c r="AD101" s="1065">
        <v>0</v>
      </c>
      <c r="AE101" s="1065">
        <v>0</v>
      </c>
      <c r="AF101" s="1065">
        <v>0</v>
      </c>
      <c r="AG101" s="1065">
        <v>0</v>
      </c>
      <c r="AH101" s="1065">
        <v>0</v>
      </c>
      <c r="AI101" s="1065">
        <v>0</v>
      </c>
      <c r="AJ101" s="1065">
        <v>0</v>
      </c>
      <c r="AK101" s="1065">
        <v>0</v>
      </c>
      <c r="AL101" s="1065">
        <v>0</v>
      </c>
      <c r="AM101" s="1065">
        <v>0</v>
      </c>
      <c r="AN101" s="1065">
        <v>0</v>
      </c>
      <c r="AO101" s="1065">
        <v>0</v>
      </c>
      <c r="AP101" s="1065">
        <v>0</v>
      </c>
      <c r="AQ101" s="1080">
        <v>0</v>
      </c>
      <c r="AR101" s="1081"/>
      <c r="AS101" s="1065">
        <v>0</v>
      </c>
      <c r="AT101" s="1065">
        <v>0</v>
      </c>
      <c r="AU101" s="1065">
        <v>0</v>
      </c>
      <c r="AV101" s="1065">
        <v>0</v>
      </c>
      <c r="AW101" s="1065">
        <v>2066000000</v>
      </c>
      <c r="AX101" s="1065">
        <v>0</v>
      </c>
      <c r="AY101" s="1065">
        <v>634261770</v>
      </c>
      <c r="AZ101" s="1065">
        <v>0</v>
      </c>
      <c r="BA101" s="1065">
        <v>0</v>
      </c>
      <c r="BB101" s="1065">
        <v>0</v>
      </c>
      <c r="BC101" s="1065">
        <v>0</v>
      </c>
      <c r="BD101" s="1065">
        <v>0</v>
      </c>
    </row>
    <row r="102" spans="1:56">
      <c r="A102" s="1079" t="s">
        <v>1105</v>
      </c>
      <c r="B102" s="1065">
        <v>923895893</v>
      </c>
      <c r="C102" s="1065">
        <v>716520056</v>
      </c>
      <c r="D102" s="1065">
        <v>77857927</v>
      </c>
      <c r="E102" s="1065">
        <v>50134695</v>
      </c>
      <c r="F102" s="1065">
        <v>428657746</v>
      </c>
      <c r="G102" s="1065">
        <v>117218507</v>
      </c>
      <c r="H102" s="1065">
        <v>340869667</v>
      </c>
      <c r="I102" s="1065">
        <v>110667534</v>
      </c>
      <c r="J102" s="1065">
        <v>124106573</v>
      </c>
      <c r="K102" s="1065">
        <v>266869215</v>
      </c>
      <c r="L102" s="1065">
        <v>254492538</v>
      </c>
      <c r="M102" s="1065">
        <v>-124366497</v>
      </c>
      <c r="N102" s="1065">
        <v>334291953</v>
      </c>
      <c r="O102" s="1065">
        <v>458847874</v>
      </c>
      <c r="P102" s="1065">
        <v>2944378373</v>
      </c>
      <c r="Q102" s="1065">
        <v>346309939</v>
      </c>
      <c r="R102" s="1065">
        <v>1248738409</v>
      </c>
      <c r="S102" s="1065">
        <v>481238086</v>
      </c>
      <c r="T102" s="1065">
        <v>1408784661</v>
      </c>
      <c r="U102" s="1065">
        <v>-32018189</v>
      </c>
      <c r="V102" s="1065">
        <v>519983934</v>
      </c>
      <c r="W102" s="1065">
        <v>1080249638</v>
      </c>
      <c r="X102" s="1065">
        <v>830629185</v>
      </c>
      <c r="Y102" s="1065">
        <v>23787127258</v>
      </c>
      <c r="Z102" s="1065">
        <v>3764018225</v>
      </c>
      <c r="AA102" s="1065">
        <v>4432691254</v>
      </c>
      <c r="AB102" s="1065">
        <v>7966470761</v>
      </c>
      <c r="AC102" s="1065">
        <v>4286625971</v>
      </c>
      <c r="AD102" s="1065">
        <v>4590526398</v>
      </c>
      <c r="AE102" s="1065">
        <v>9455002474</v>
      </c>
      <c r="AF102" s="1065">
        <v>2809094696</v>
      </c>
      <c r="AG102" s="1065">
        <v>1763799305</v>
      </c>
      <c r="AH102" s="1065">
        <v>2817385256</v>
      </c>
      <c r="AI102" s="1065">
        <v>4471085921</v>
      </c>
      <c r="AJ102" s="1065">
        <v>3520702852</v>
      </c>
      <c r="AK102" s="1065">
        <v>5508060403</v>
      </c>
      <c r="AL102" s="1065">
        <v>2967257963</v>
      </c>
      <c r="AM102" s="1065">
        <v>4095241671</v>
      </c>
      <c r="AN102" s="1065">
        <v>6450890215</v>
      </c>
      <c r="AO102" s="1065">
        <v>4066760987</v>
      </c>
      <c r="AP102" s="1065">
        <v>4441530640</v>
      </c>
      <c r="AQ102" s="1080">
        <v>4327853439</v>
      </c>
      <c r="AR102" s="1081"/>
      <c r="AS102" s="1065">
        <v>1768408571</v>
      </c>
      <c r="AT102" s="1065">
        <v>997413454</v>
      </c>
      <c r="AU102" s="1065">
        <v>521101829</v>
      </c>
      <c r="AV102" s="1065">
        <v>4083828139</v>
      </c>
      <c r="AW102" s="1065">
        <v>3106742967</v>
      </c>
      <c r="AX102" s="1065">
        <v>26217990015</v>
      </c>
      <c r="AY102" s="1065">
        <v>20449806211</v>
      </c>
      <c r="AZ102" s="1065">
        <v>18618422873</v>
      </c>
      <c r="BA102" s="1065">
        <v>16317234432</v>
      </c>
      <c r="BB102" s="1065">
        <v>17580150836</v>
      </c>
      <c r="BC102" s="1065">
        <v>7062499634</v>
      </c>
      <c r="BD102" s="1065">
        <v>8769384079</v>
      </c>
    </row>
    <row r="103" spans="1:56">
      <c r="A103" s="1073" t="s">
        <v>1106</v>
      </c>
      <c r="B103" s="1061">
        <v>362464457</v>
      </c>
      <c r="C103" s="1061">
        <v>435739535</v>
      </c>
      <c r="D103" s="1061">
        <v>389354523</v>
      </c>
      <c r="E103" s="1061">
        <v>1696071718</v>
      </c>
      <c r="F103" s="1061">
        <v>1169262927</v>
      </c>
      <c r="G103" s="1061">
        <v>276845107</v>
      </c>
      <c r="H103" s="1061">
        <v>921893245</v>
      </c>
      <c r="I103" s="1061">
        <v>2918692882</v>
      </c>
      <c r="J103" s="1061">
        <v>1373292507</v>
      </c>
      <c r="K103" s="1061">
        <v>-40719016</v>
      </c>
      <c r="L103" s="1061">
        <v>3834094606</v>
      </c>
      <c r="M103" s="1061">
        <v>22884408089</v>
      </c>
      <c r="N103" s="1061">
        <v>2997611908</v>
      </c>
      <c r="O103" s="1061">
        <v>2905881221</v>
      </c>
      <c r="P103" s="1061">
        <v>6993915461</v>
      </c>
      <c r="Q103" s="1061">
        <v>13111195266</v>
      </c>
      <c r="R103" s="1061">
        <v>45208859088</v>
      </c>
      <c r="S103" s="1061">
        <v>11515248149</v>
      </c>
      <c r="T103" s="1061">
        <v>6618118918</v>
      </c>
      <c r="U103" s="1061">
        <v>79016230770</v>
      </c>
      <c r="V103" s="1061">
        <v>24473869088</v>
      </c>
      <c r="W103" s="1061">
        <v>9905162924</v>
      </c>
      <c r="X103" s="1061">
        <v>9663485906</v>
      </c>
      <c r="Y103" s="1061">
        <v>11504264430</v>
      </c>
      <c r="Z103" s="1061">
        <v>30111184741</v>
      </c>
      <c r="AA103" s="1061">
        <v>10704551613</v>
      </c>
      <c r="AB103" s="1061">
        <v>18549875779</v>
      </c>
      <c r="AC103" s="1061">
        <v>58765149726</v>
      </c>
      <c r="AD103" s="1061">
        <v>23704934245</v>
      </c>
      <c r="AE103" s="1061">
        <v>34290650951</v>
      </c>
      <c r="AF103" s="1061">
        <v>52538662405</v>
      </c>
      <c r="AG103" s="1061">
        <v>142851574231</v>
      </c>
      <c r="AH103" s="1061">
        <v>27760661977</v>
      </c>
      <c r="AI103" s="1061">
        <v>52250148855</v>
      </c>
      <c r="AJ103" s="1061">
        <v>63686698563</v>
      </c>
      <c r="AK103" s="1061">
        <v>148935220340</v>
      </c>
      <c r="AL103" s="1061">
        <v>32620273619</v>
      </c>
      <c r="AM103" s="1061">
        <v>20628776626</v>
      </c>
      <c r="AN103" s="1061">
        <v>42642876496</v>
      </c>
      <c r="AO103" s="1061">
        <v>190232863265</v>
      </c>
      <c r="AP103" s="1061">
        <v>64138662563</v>
      </c>
      <c r="AQ103" s="1074">
        <v>41377607293</v>
      </c>
      <c r="AR103" s="1075"/>
      <c r="AS103" s="1061">
        <v>2883630233</v>
      </c>
      <c r="AT103" s="1061">
        <v>5286694161</v>
      </c>
      <c r="AU103" s="1061">
        <v>28051076186</v>
      </c>
      <c r="AV103" s="1061">
        <v>26008603856</v>
      </c>
      <c r="AW103" s="1061">
        <v>142358456925</v>
      </c>
      <c r="AX103" s="1061">
        <v>55546782348</v>
      </c>
      <c r="AY103" s="1061">
        <v>118130761859</v>
      </c>
      <c r="AZ103" s="1061">
        <v>253385821832</v>
      </c>
      <c r="BA103" s="1061">
        <v>292632729735</v>
      </c>
      <c r="BB103" s="1061">
        <v>286124790006</v>
      </c>
      <c r="BC103" s="1061">
        <v>53249050245</v>
      </c>
      <c r="BD103" s="1061">
        <v>105516269856</v>
      </c>
    </row>
    <row r="104" spans="1:56">
      <c r="A104" s="1079" t="s">
        <v>1107</v>
      </c>
      <c r="B104" s="1065">
        <v>22064719</v>
      </c>
      <c r="C104" s="1065">
        <v>232138777</v>
      </c>
      <c r="D104" s="1065">
        <v>0</v>
      </c>
      <c r="E104" s="1065">
        <v>46032944</v>
      </c>
      <c r="F104" s="1065">
        <v>214418701</v>
      </c>
      <c r="G104" s="1065">
        <v>724424</v>
      </c>
      <c r="H104" s="1065">
        <v>36905871</v>
      </c>
      <c r="I104" s="1065">
        <v>-14799345</v>
      </c>
      <c r="J104" s="1065">
        <v>58607387</v>
      </c>
      <c r="K104" s="1065">
        <v>54819557</v>
      </c>
      <c r="L104" s="1065">
        <v>75328192</v>
      </c>
      <c r="M104" s="1065">
        <v>-170252129</v>
      </c>
      <c r="N104" s="1065">
        <v>211560</v>
      </c>
      <c r="O104" s="1065">
        <v>1219933429</v>
      </c>
      <c r="P104" s="1065">
        <v>-47859618</v>
      </c>
      <c r="Q104" s="1065">
        <v>9247210</v>
      </c>
      <c r="R104" s="1065">
        <v>6789938</v>
      </c>
      <c r="S104" s="1065">
        <v>1378690</v>
      </c>
      <c r="T104" s="1065">
        <v>24319171</v>
      </c>
      <c r="U104" s="1065">
        <v>29048184</v>
      </c>
      <c r="V104" s="1065">
        <v>323000</v>
      </c>
      <c r="W104" s="1065">
        <v>547171504</v>
      </c>
      <c r="X104" s="1065">
        <v>15000</v>
      </c>
      <c r="Y104" s="1065">
        <v>14619153</v>
      </c>
      <c r="Z104" s="1065">
        <v>1000</v>
      </c>
      <c r="AA104" s="1065">
        <v>345370</v>
      </c>
      <c r="AB104" s="1065">
        <v>3069997</v>
      </c>
      <c r="AC104" s="1065">
        <v>112016</v>
      </c>
      <c r="AD104" s="1065">
        <v>3378638</v>
      </c>
      <c r="AE104" s="1065">
        <v>27551975</v>
      </c>
      <c r="AF104" s="1065">
        <v>113886</v>
      </c>
      <c r="AG104" s="1065">
        <v>1468590</v>
      </c>
      <c r="AH104" s="1065">
        <v>0</v>
      </c>
      <c r="AI104" s="1065">
        <v>12799687</v>
      </c>
      <c r="AJ104" s="1065">
        <v>0</v>
      </c>
      <c r="AK104" s="1065">
        <v>16283277</v>
      </c>
      <c r="AL104" s="1065">
        <v>2042473</v>
      </c>
      <c r="AM104" s="1065">
        <v>887217</v>
      </c>
      <c r="AN104" s="1065">
        <v>0</v>
      </c>
      <c r="AO104" s="1065">
        <v>1256409</v>
      </c>
      <c r="AP104" s="1065">
        <v>25772605</v>
      </c>
      <c r="AQ104" s="1080">
        <v>256869</v>
      </c>
      <c r="AR104" s="1081"/>
      <c r="AS104" s="1065">
        <v>300236440</v>
      </c>
      <c r="AT104" s="1065">
        <v>237249651</v>
      </c>
      <c r="AU104" s="1065">
        <v>18503007</v>
      </c>
      <c r="AV104" s="1065">
        <v>1181532581</v>
      </c>
      <c r="AW104" s="1065">
        <v>61535983</v>
      </c>
      <c r="AX104" s="1065">
        <v>562128657</v>
      </c>
      <c r="AY104" s="1065">
        <v>3528383</v>
      </c>
      <c r="AZ104" s="1065">
        <v>32513089</v>
      </c>
      <c r="BA104" s="1065">
        <v>29082964</v>
      </c>
      <c r="BB104" s="1065">
        <v>4186099</v>
      </c>
      <c r="BC104" s="1065">
        <v>2929690</v>
      </c>
      <c r="BD104" s="1065">
        <v>26029474</v>
      </c>
    </row>
    <row r="105" spans="1:56">
      <c r="A105" s="1079" t="s">
        <v>1108</v>
      </c>
      <c r="B105" s="1065">
        <v>85597112</v>
      </c>
      <c r="C105" s="1065">
        <v>0</v>
      </c>
      <c r="D105" s="1065">
        <v>0</v>
      </c>
      <c r="E105" s="1065">
        <v>0</v>
      </c>
      <c r="F105" s="1065">
        <v>566848421</v>
      </c>
      <c r="G105" s="1065">
        <v>0</v>
      </c>
      <c r="H105" s="1065">
        <v>0</v>
      </c>
      <c r="I105" s="1065">
        <v>0</v>
      </c>
      <c r="J105" s="1065">
        <v>0</v>
      </c>
      <c r="K105" s="1065">
        <v>0</v>
      </c>
      <c r="L105" s="1065">
        <v>0</v>
      </c>
      <c r="M105" s="1065">
        <v>0</v>
      </c>
      <c r="N105" s="1065">
        <v>0</v>
      </c>
      <c r="O105" s="1065">
        <v>0</v>
      </c>
      <c r="P105" s="1065">
        <v>0</v>
      </c>
      <c r="Q105" s="1065">
        <v>0</v>
      </c>
      <c r="R105" s="1065">
        <v>0</v>
      </c>
      <c r="S105" s="1065">
        <v>0</v>
      </c>
      <c r="T105" s="1065">
        <v>0</v>
      </c>
      <c r="U105" s="1065">
        <v>0</v>
      </c>
      <c r="V105" s="1065">
        <v>0</v>
      </c>
      <c r="W105" s="1065">
        <v>444215501</v>
      </c>
      <c r="X105" s="1065">
        <v>0</v>
      </c>
      <c r="Y105" s="1065">
        <v>0</v>
      </c>
      <c r="Z105" s="1065">
        <v>0</v>
      </c>
      <c r="AA105" s="1065">
        <v>0</v>
      </c>
      <c r="AB105" s="1065">
        <v>0</v>
      </c>
      <c r="AC105" s="1065">
        <v>0</v>
      </c>
      <c r="AD105" s="1065">
        <v>0</v>
      </c>
      <c r="AE105" s="1065">
        <v>0</v>
      </c>
      <c r="AF105" s="1065">
        <v>0</v>
      </c>
      <c r="AG105" s="1065">
        <v>0</v>
      </c>
      <c r="AH105" s="1065">
        <v>0</v>
      </c>
      <c r="AI105" s="1065">
        <v>0</v>
      </c>
      <c r="AJ105" s="1065">
        <v>0</v>
      </c>
      <c r="AK105" s="1065">
        <v>0</v>
      </c>
      <c r="AL105" s="1065">
        <v>0</v>
      </c>
      <c r="AM105" s="1065">
        <v>0</v>
      </c>
      <c r="AN105" s="1065">
        <v>0</v>
      </c>
      <c r="AO105" s="1065">
        <v>0</v>
      </c>
      <c r="AP105" s="1065">
        <v>0</v>
      </c>
      <c r="AQ105" s="1080">
        <v>0</v>
      </c>
      <c r="AR105" s="1081"/>
      <c r="AS105" s="1065">
        <v>85597112</v>
      </c>
      <c r="AT105" s="1065">
        <v>566848421</v>
      </c>
      <c r="AU105" s="1065">
        <v>0</v>
      </c>
      <c r="AV105" s="1065">
        <v>0</v>
      </c>
      <c r="AW105" s="1065">
        <v>0</v>
      </c>
      <c r="AX105" s="1065">
        <v>444215501</v>
      </c>
      <c r="AY105" s="1065">
        <v>0</v>
      </c>
      <c r="AZ105" s="1065">
        <v>0</v>
      </c>
      <c r="BA105" s="1065">
        <v>0</v>
      </c>
      <c r="BB105" s="1065">
        <v>0</v>
      </c>
      <c r="BC105" s="1065">
        <v>0</v>
      </c>
      <c r="BD105" s="1065">
        <v>0</v>
      </c>
    </row>
    <row r="106" spans="1:56">
      <c r="A106" s="1079" t="s">
        <v>1109</v>
      </c>
      <c r="B106" s="1065">
        <v>100</v>
      </c>
      <c r="C106" s="1065">
        <v>0</v>
      </c>
      <c r="D106" s="1065">
        <v>277887996</v>
      </c>
      <c r="E106" s="1065">
        <v>1630974360</v>
      </c>
      <c r="F106" s="1065">
        <v>71613462</v>
      </c>
      <c r="G106" s="1065">
        <v>259579950</v>
      </c>
      <c r="H106" s="1065">
        <v>783619487</v>
      </c>
      <c r="I106" s="1065">
        <v>2454010045</v>
      </c>
      <c r="J106" s="1065">
        <v>685070676</v>
      </c>
      <c r="K106" s="1065">
        <v>-158981101</v>
      </c>
      <c r="L106" s="1065">
        <v>3495302078</v>
      </c>
      <c r="M106" s="1065">
        <v>16832434861</v>
      </c>
      <c r="N106" s="1065">
        <v>2640259320</v>
      </c>
      <c r="O106" s="1065">
        <v>1005167343</v>
      </c>
      <c r="P106" s="1065">
        <v>5737683086</v>
      </c>
      <c r="Q106" s="1065">
        <v>14284035849</v>
      </c>
      <c r="R106" s="1065">
        <v>44928615728</v>
      </c>
      <c r="S106" s="1065">
        <v>11056189685</v>
      </c>
      <c r="T106" s="1065">
        <v>6492345732</v>
      </c>
      <c r="U106" s="1065">
        <v>79370422728</v>
      </c>
      <c r="V106" s="1065">
        <v>23652836527</v>
      </c>
      <c r="W106" s="1065">
        <v>9008735969</v>
      </c>
      <c r="X106" s="1065">
        <v>9808045514</v>
      </c>
      <c r="Y106" s="1065">
        <v>11307248058</v>
      </c>
      <c r="Z106" s="1065">
        <v>25766730764</v>
      </c>
      <c r="AA106" s="1065">
        <v>5947606820</v>
      </c>
      <c r="AB106" s="1065">
        <v>8896019088</v>
      </c>
      <c r="AC106" s="1065">
        <v>38197895270</v>
      </c>
      <c r="AD106" s="1065">
        <v>10936195009</v>
      </c>
      <c r="AE106" s="1065">
        <v>25356018553</v>
      </c>
      <c r="AF106" s="1065">
        <v>49114239167</v>
      </c>
      <c r="AG106" s="1065">
        <v>60670590684</v>
      </c>
      <c r="AH106" s="1065">
        <v>14623377937</v>
      </c>
      <c r="AI106" s="1065">
        <v>42977452256</v>
      </c>
      <c r="AJ106" s="1065">
        <v>54520721197</v>
      </c>
      <c r="AK106" s="1065">
        <v>140793011275</v>
      </c>
      <c r="AL106" s="1065">
        <v>22599634107</v>
      </c>
      <c r="AM106" s="1065">
        <v>11661492582</v>
      </c>
      <c r="AN106" s="1065">
        <v>31288420537</v>
      </c>
      <c r="AO106" s="1065">
        <v>181532239020</v>
      </c>
      <c r="AP106" s="1065">
        <v>49506445693</v>
      </c>
      <c r="AQ106" s="1080">
        <v>31027381726</v>
      </c>
      <c r="AR106" s="1081"/>
      <c r="AS106" s="1065">
        <v>1908862456</v>
      </c>
      <c r="AT106" s="1065">
        <v>3568822944</v>
      </c>
      <c r="AU106" s="1065">
        <v>20853826514</v>
      </c>
      <c r="AV106" s="1065">
        <v>23667145598</v>
      </c>
      <c r="AW106" s="1065">
        <v>141847573873</v>
      </c>
      <c r="AX106" s="1065">
        <v>53776866068</v>
      </c>
      <c r="AY106" s="1065">
        <v>78808251942</v>
      </c>
      <c r="AZ106" s="1065">
        <v>146077043413</v>
      </c>
      <c r="BA106" s="1065">
        <v>252914562665</v>
      </c>
      <c r="BB106" s="1065">
        <v>247081786246</v>
      </c>
      <c r="BC106" s="1065">
        <v>34261126689</v>
      </c>
      <c r="BD106" s="1065">
        <v>80533827419</v>
      </c>
    </row>
    <row r="107" spans="1:56">
      <c r="A107" s="1079" t="s">
        <v>1110</v>
      </c>
      <c r="B107" s="1065">
        <v>194000000</v>
      </c>
      <c r="C107" s="1065">
        <v>3000000</v>
      </c>
      <c r="D107" s="1065">
        <v>94000000</v>
      </c>
      <c r="E107" s="1065">
        <v>1500000</v>
      </c>
      <c r="F107" s="1065">
        <v>94000000</v>
      </c>
      <c r="G107" s="1065">
        <v>0</v>
      </c>
      <c r="H107" s="1065">
        <v>94000000</v>
      </c>
      <c r="I107" s="1065">
        <v>474082000</v>
      </c>
      <c r="J107" s="1065">
        <v>94000000</v>
      </c>
      <c r="K107" s="1065">
        <v>0</v>
      </c>
      <c r="L107" s="1065">
        <v>114000000</v>
      </c>
      <c r="M107" s="1065">
        <v>3500000</v>
      </c>
      <c r="N107" s="1065">
        <v>0</v>
      </c>
      <c r="O107" s="1065">
        <v>94000000</v>
      </c>
      <c r="P107" s="1065">
        <v>94000000</v>
      </c>
      <c r="Q107" s="1065">
        <v>6500000</v>
      </c>
      <c r="R107" s="1065">
        <v>149000260</v>
      </c>
      <c r="S107" s="1065">
        <v>0</v>
      </c>
      <c r="T107" s="1065">
        <v>94000000</v>
      </c>
      <c r="U107" s="1065">
        <v>1500000</v>
      </c>
      <c r="V107" s="1065">
        <v>0</v>
      </c>
      <c r="W107" s="1065">
        <v>10000000</v>
      </c>
      <c r="X107" s="1065">
        <v>0</v>
      </c>
      <c r="Y107" s="1065">
        <v>2040000</v>
      </c>
      <c r="Z107" s="1065">
        <v>0</v>
      </c>
      <c r="AA107" s="1065">
        <v>10000000</v>
      </c>
      <c r="AB107" s="1065">
        <v>1000000</v>
      </c>
      <c r="AC107" s="1065">
        <v>2000000</v>
      </c>
      <c r="AD107" s="1065">
        <v>0</v>
      </c>
      <c r="AE107" s="1065">
        <v>0</v>
      </c>
      <c r="AF107" s="1065">
        <v>5000000</v>
      </c>
      <c r="AG107" s="1065">
        <v>106000000</v>
      </c>
      <c r="AH107" s="1065">
        <v>0</v>
      </c>
      <c r="AI107" s="1065">
        <v>0</v>
      </c>
      <c r="AJ107" s="1065">
        <v>0</v>
      </c>
      <c r="AK107" s="1065">
        <v>3000000</v>
      </c>
      <c r="AL107" s="1065">
        <v>5000000</v>
      </c>
      <c r="AM107" s="1065">
        <v>36000000</v>
      </c>
      <c r="AN107" s="1065">
        <v>3000000</v>
      </c>
      <c r="AO107" s="1065">
        <v>5000000</v>
      </c>
      <c r="AP107" s="1065">
        <v>0</v>
      </c>
      <c r="AQ107" s="1080">
        <v>77000000</v>
      </c>
      <c r="AR107" s="1081"/>
      <c r="AS107" s="1065">
        <v>292500000</v>
      </c>
      <c r="AT107" s="1065">
        <v>662082000</v>
      </c>
      <c r="AU107" s="1065">
        <v>211500000</v>
      </c>
      <c r="AV107" s="1065">
        <v>194500000</v>
      </c>
      <c r="AW107" s="1065">
        <v>244500260</v>
      </c>
      <c r="AX107" s="1065">
        <v>12040000</v>
      </c>
      <c r="AY107" s="1065">
        <v>13000000</v>
      </c>
      <c r="AZ107" s="1065">
        <v>111000000</v>
      </c>
      <c r="BA107" s="1065">
        <v>3000000</v>
      </c>
      <c r="BB107" s="1065">
        <v>49000000</v>
      </c>
      <c r="BC107" s="1065">
        <v>41000000</v>
      </c>
      <c r="BD107" s="1065">
        <v>77000000</v>
      </c>
    </row>
    <row r="108" spans="1:56">
      <c r="A108" s="1079" t="s">
        <v>1111</v>
      </c>
      <c r="B108" s="1065">
        <v>0</v>
      </c>
      <c r="C108" s="1065">
        <v>0</v>
      </c>
      <c r="D108" s="1065">
        <v>0</v>
      </c>
      <c r="E108" s="1065">
        <v>0</v>
      </c>
      <c r="F108" s="1065">
        <v>0</v>
      </c>
      <c r="G108" s="1065">
        <v>0</v>
      </c>
      <c r="H108" s="1065">
        <v>0</v>
      </c>
      <c r="I108" s="1065">
        <v>0</v>
      </c>
      <c r="J108" s="1065">
        <v>0</v>
      </c>
      <c r="K108" s="1065">
        <v>0</v>
      </c>
      <c r="L108" s="1065">
        <v>0</v>
      </c>
      <c r="M108" s="1065">
        <v>0</v>
      </c>
      <c r="N108" s="1065">
        <v>0</v>
      </c>
      <c r="O108" s="1065">
        <v>0</v>
      </c>
      <c r="P108" s="1065">
        <v>0</v>
      </c>
      <c r="Q108" s="1065">
        <v>0</v>
      </c>
      <c r="R108" s="1065">
        <v>0</v>
      </c>
      <c r="S108" s="1065">
        <v>0</v>
      </c>
      <c r="T108" s="1065">
        <v>0</v>
      </c>
      <c r="U108" s="1065">
        <v>0</v>
      </c>
      <c r="V108" s="1065">
        <v>0</v>
      </c>
      <c r="W108" s="1065">
        <v>0</v>
      </c>
      <c r="X108" s="1065">
        <v>0</v>
      </c>
      <c r="Y108" s="1065">
        <v>421884104</v>
      </c>
      <c r="Z108" s="1065">
        <v>0</v>
      </c>
      <c r="AA108" s="1065">
        <v>0</v>
      </c>
      <c r="AB108" s="1065">
        <v>0</v>
      </c>
      <c r="AC108" s="1065">
        <v>3960169791</v>
      </c>
      <c r="AD108" s="1065">
        <v>0</v>
      </c>
      <c r="AE108" s="1065">
        <v>0</v>
      </c>
      <c r="AF108" s="1065">
        <v>0</v>
      </c>
      <c r="AG108" s="1065">
        <v>72579829424</v>
      </c>
      <c r="AH108" s="1065">
        <v>0</v>
      </c>
      <c r="AI108" s="1065">
        <v>0</v>
      </c>
      <c r="AJ108" s="1065">
        <v>0</v>
      </c>
      <c r="AK108" s="1065">
        <v>0</v>
      </c>
      <c r="AL108" s="1065">
        <v>0</v>
      </c>
      <c r="AM108" s="1065">
        <v>0</v>
      </c>
      <c r="AN108" s="1065">
        <v>0</v>
      </c>
      <c r="AO108" s="1065">
        <v>0</v>
      </c>
      <c r="AP108" s="1065">
        <v>0</v>
      </c>
      <c r="AQ108" s="1080">
        <v>0</v>
      </c>
      <c r="AR108" s="1081"/>
      <c r="AS108" s="1065">
        <v>0</v>
      </c>
      <c r="AT108" s="1065">
        <v>0</v>
      </c>
      <c r="AU108" s="1065">
        <v>0</v>
      </c>
      <c r="AV108" s="1065">
        <v>0</v>
      </c>
      <c r="AW108" s="1065">
        <v>0</v>
      </c>
      <c r="AX108" s="1065">
        <v>421884104</v>
      </c>
      <c r="AY108" s="1065">
        <v>3960169791</v>
      </c>
      <c r="AZ108" s="1065">
        <v>72579829424</v>
      </c>
      <c r="BA108" s="1065">
        <v>0</v>
      </c>
      <c r="BB108" s="1065">
        <v>0</v>
      </c>
      <c r="BC108" s="1065">
        <v>0</v>
      </c>
      <c r="BD108" s="1065">
        <v>0</v>
      </c>
    </row>
    <row r="109" spans="1:56">
      <c r="A109" s="1079" t="s">
        <v>1112</v>
      </c>
      <c r="B109" s="1065">
        <v>60802526</v>
      </c>
      <c r="C109" s="1065">
        <v>200600758</v>
      </c>
      <c r="D109" s="1065">
        <v>17466527</v>
      </c>
      <c r="E109" s="1065">
        <v>17564414</v>
      </c>
      <c r="F109" s="1065">
        <v>222382343</v>
      </c>
      <c r="G109" s="1065">
        <v>16540733</v>
      </c>
      <c r="H109" s="1065">
        <v>7367887</v>
      </c>
      <c r="I109" s="1065">
        <v>5400182</v>
      </c>
      <c r="J109" s="1065">
        <v>535614444</v>
      </c>
      <c r="K109" s="1065">
        <v>63442528</v>
      </c>
      <c r="L109" s="1065">
        <v>149464336</v>
      </c>
      <c r="M109" s="1065">
        <v>6218725357</v>
      </c>
      <c r="N109" s="1065">
        <v>357141028</v>
      </c>
      <c r="O109" s="1065">
        <v>586780449</v>
      </c>
      <c r="P109" s="1065">
        <v>1210091993</v>
      </c>
      <c r="Q109" s="1065">
        <v>-1188587793</v>
      </c>
      <c r="R109" s="1065">
        <v>124453162</v>
      </c>
      <c r="S109" s="1065">
        <v>457679774</v>
      </c>
      <c r="T109" s="1065">
        <v>7454015</v>
      </c>
      <c r="U109" s="1065">
        <v>-384740142</v>
      </c>
      <c r="V109" s="1065">
        <v>820709561</v>
      </c>
      <c r="W109" s="1065">
        <v>-104960050</v>
      </c>
      <c r="X109" s="1065">
        <v>-144574608</v>
      </c>
      <c r="Y109" s="1065">
        <v>-241526885</v>
      </c>
      <c r="Z109" s="1065">
        <v>4344452977</v>
      </c>
      <c r="AA109" s="1065">
        <v>4746599423</v>
      </c>
      <c r="AB109" s="1065">
        <v>9649786694</v>
      </c>
      <c r="AC109" s="1065">
        <v>16604972649</v>
      </c>
      <c r="AD109" s="1065">
        <v>12765360598</v>
      </c>
      <c r="AE109" s="1065">
        <v>8907080423</v>
      </c>
      <c r="AF109" s="1065">
        <v>3419309352</v>
      </c>
      <c r="AG109" s="1065">
        <v>9493685533</v>
      </c>
      <c r="AH109" s="1065">
        <v>13137284040</v>
      </c>
      <c r="AI109" s="1065">
        <v>9259896912</v>
      </c>
      <c r="AJ109" s="1065">
        <v>9165977366</v>
      </c>
      <c r="AK109" s="1065">
        <v>8122925788</v>
      </c>
      <c r="AL109" s="1065">
        <v>10013597039</v>
      </c>
      <c r="AM109" s="1065">
        <v>8930396827</v>
      </c>
      <c r="AN109" s="1065">
        <v>11351455959</v>
      </c>
      <c r="AO109" s="1065">
        <v>8694367836</v>
      </c>
      <c r="AP109" s="1065">
        <v>14606444265</v>
      </c>
      <c r="AQ109" s="1080">
        <v>10272968698</v>
      </c>
      <c r="AR109" s="1081"/>
      <c r="AS109" s="1065">
        <v>296434225</v>
      </c>
      <c r="AT109" s="1065">
        <v>251691145</v>
      </c>
      <c r="AU109" s="1065">
        <v>6967246665</v>
      </c>
      <c r="AV109" s="1065">
        <v>965425677</v>
      </c>
      <c r="AW109" s="1065">
        <v>204846809</v>
      </c>
      <c r="AX109" s="1065">
        <v>329648018</v>
      </c>
      <c r="AY109" s="1065">
        <v>35345811743</v>
      </c>
      <c r="AZ109" s="1065">
        <v>34585435906</v>
      </c>
      <c r="BA109" s="1065">
        <v>39686084106</v>
      </c>
      <c r="BB109" s="1065">
        <v>38989817661</v>
      </c>
      <c r="BC109" s="1065">
        <v>18943993866</v>
      </c>
      <c r="BD109" s="1065">
        <v>24879412963</v>
      </c>
    </row>
    <row r="110" spans="1:56">
      <c r="A110" s="1073" t="s">
        <v>1113</v>
      </c>
      <c r="B110" s="1061">
        <v>69253058609</v>
      </c>
      <c r="C110" s="1061">
        <v>110025885877</v>
      </c>
      <c r="D110" s="1061">
        <v>83772333602</v>
      </c>
      <c r="E110" s="1061">
        <v>69551580698</v>
      </c>
      <c r="F110" s="1061">
        <v>106067817465</v>
      </c>
      <c r="G110" s="1061">
        <v>129319195826.00012</v>
      </c>
      <c r="H110" s="1061">
        <v>118596988262.5</v>
      </c>
      <c r="I110" s="1061">
        <v>112386200192.5</v>
      </c>
      <c r="J110" s="1061">
        <v>139850890577</v>
      </c>
      <c r="K110" s="1061">
        <v>146601808742</v>
      </c>
      <c r="L110" s="1061">
        <v>148233414299</v>
      </c>
      <c r="M110" s="1061">
        <v>154536334426</v>
      </c>
      <c r="N110" s="1061">
        <v>195372360624</v>
      </c>
      <c r="O110" s="1061">
        <v>204685677879</v>
      </c>
      <c r="P110" s="1061">
        <v>142273525348</v>
      </c>
      <c r="Q110" s="1061">
        <v>224675185307</v>
      </c>
      <c r="R110" s="1061">
        <v>136011771003</v>
      </c>
      <c r="S110" s="1061">
        <v>213815379421</v>
      </c>
      <c r="T110" s="1061">
        <v>223857309727</v>
      </c>
      <c r="U110" s="1061">
        <v>193482607849</v>
      </c>
      <c r="V110" s="1061">
        <v>288685034973</v>
      </c>
      <c r="W110" s="1061">
        <v>261686792628</v>
      </c>
      <c r="X110" s="1061">
        <v>262809440058</v>
      </c>
      <c r="Y110" s="1061">
        <v>234019151576</v>
      </c>
      <c r="Z110" s="1061">
        <v>380961375263</v>
      </c>
      <c r="AA110" s="1061">
        <v>213297727629</v>
      </c>
      <c r="AB110" s="1061">
        <v>292784126430</v>
      </c>
      <c r="AC110" s="1061">
        <v>246186833872</v>
      </c>
      <c r="AD110" s="1061">
        <v>261612498550</v>
      </c>
      <c r="AE110" s="1061">
        <v>207964901937</v>
      </c>
      <c r="AF110" s="1061">
        <v>150597332978</v>
      </c>
      <c r="AG110" s="1061">
        <v>143573219961</v>
      </c>
      <c r="AH110" s="1061">
        <v>177768317416</v>
      </c>
      <c r="AI110" s="1061">
        <v>324540604585</v>
      </c>
      <c r="AJ110" s="1061">
        <v>223482428261</v>
      </c>
      <c r="AK110" s="1061">
        <v>192921190069</v>
      </c>
      <c r="AL110" s="1061">
        <v>247727369941</v>
      </c>
      <c r="AM110" s="1061">
        <v>334525287588</v>
      </c>
      <c r="AN110" s="1061">
        <v>264879287945</v>
      </c>
      <c r="AO110" s="1061">
        <v>118330466110</v>
      </c>
      <c r="AP110" s="1061">
        <v>331011329947</v>
      </c>
      <c r="AQ110" s="1074">
        <v>335546273960</v>
      </c>
      <c r="AR110" s="1075"/>
      <c r="AS110" s="1061">
        <v>332602858786</v>
      </c>
      <c r="AT110" s="1061">
        <v>466370201746</v>
      </c>
      <c r="AU110" s="1061">
        <v>589222448044</v>
      </c>
      <c r="AV110" s="1061">
        <v>767006749158</v>
      </c>
      <c r="AW110" s="1061">
        <v>767167068000</v>
      </c>
      <c r="AX110" s="1061">
        <v>1047200419235</v>
      </c>
      <c r="AY110" s="1061">
        <v>1133230063194</v>
      </c>
      <c r="AZ110" s="1061">
        <v>763747953426</v>
      </c>
      <c r="BA110" s="1061">
        <v>918712540331</v>
      </c>
      <c r="BB110" s="1061">
        <v>965462411584</v>
      </c>
      <c r="BC110" s="1061">
        <v>582252657529</v>
      </c>
      <c r="BD110" s="1061">
        <v>666557603907</v>
      </c>
    </row>
    <row r="111" spans="1:56">
      <c r="A111" s="1073" t="s">
        <v>1114</v>
      </c>
      <c r="B111" s="1061">
        <v>19042425504</v>
      </c>
      <c r="C111" s="1061">
        <v>26860337063</v>
      </c>
      <c r="D111" s="1061">
        <v>20767568098</v>
      </c>
      <c r="E111" s="1061">
        <v>12085824755</v>
      </c>
      <c r="F111" s="1061">
        <v>25212464496</v>
      </c>
      <c r="G111" s="1061">
        <v>31252781375</v>
      </c>
      <c r="H111" s="1061">
        <v>28751131443</v>
      </c>
      <c r="I111" s="1061">
        <v>25916628070</v>
      </c>
      <c r="J111" s="1061">
        <v>36482591637</v>
      </c>
      <c r="K111" s="1061">
        <v>37595568299</v>
      </c>
      <c r="L111" s="1061">
        <v>40963548923</v>
      </c>
      <c r="M111" s="1061">
        <v>40357715524</v>
      </c>
      <c r="N111" s="1061">
        <v>54025252787</v>
      </c>
      <c r="O111" s="1061">
        <v>58831758134</v>
      </c>
      <c r="P111" s="1061">
        <v>37907899081</v>
      </c>
      <c r="Q111" s="1061">
        <v>61655757105</v>
      </c>
      <c r="R111" s="1061">
        <v>33664251511</v>
      </c>
      <c r="S111" s="1061">
        <v>58092899927</v>
      </c>
      <c r="T111" s="1061">
        <v>61372188122</v>
      </c>
      <c r="U111" s="1061">
        <v>48903286197</v>
      </c>
      <c r="V111" s="1061">
        <v>76986751323</v>
      </c>
      <c r="W111" s="1061">
        <v>71415701609</v>
      </c>
      <c r="X111" s="1061">
        <v>71631547281</v>
      </c>
      <c r="Y111" s="1061">
        <v>44241877502</v>
      </c>
      <c r="Z111" s="1061">
        <v>98534811116</v>
      </c>
      <c r="AA111" s="1061">
        <v>54887931316</v>
      </c>
      <c r="AB111" s="1061">
        <v>75330903552</v>
      </c>
      <c r="AC111" s="1061">
        <v>76381332105</v>
      </c>
      <c r="AD111" s="1061">
        <v>61771902658</v>
      </c>
      <c r="AE111" s="1061">
        <v>46510456205</v>
      </c>
      <c r="AF111" s="1061">
        <v>32910451523</v>
      </c>
      <c r="AG111" s="1061">
        <v>32588883688</v>
      </c>
      <c r="AH111" s="1061">
        <v>51221963746</v>
      </c>
      <c r="AI111" s="1061">
        <v>81185704466</v>
      </c>
      <c r="AJ111" s="1061">
        <v>48212157426</v>
      </c>
      <c r="AK111" s="1061">
        <v>42107844449</v>
      </c>
      <c r="AL111" s="1061">
        <v>60331695097</v>
      </c>
      <c r="AM111" s="1061">
        <v>78470728492</v>
      </c>
      <c r="AN111" s="1061">
        <v>64831005398</v>
      </c>
      <c r="AO111" s="1061">
        <v>-4458281649</v>
      </c>
      <c r="AP111" s="1061">
        <v>76715818690</v>
      </c>
      <c r="AQ111" s="1074">
        <v>75802912947</v>
      </c>
      <c r="AR111" s="1075"/>
      <c r="AS111" s="1061">
        <v>78756155420</v>
      </c>
      <c r="AT111" s="1061">
        <v>111133005384</v>
      </c>
      <c r="AU111" s="1061">
        <v>155399424383</v>
      </c>
      <c r="AV111" s="1061">
        <v>212420667107</v>
      </c>
      <c r="AW111" s="1061">
        <v>202032625757</v>
      </c>
      <c r="AX111" s="1061">
        <v>264275877715</v>
      </c>
      <c r="AY111" s="1061">
        <v>305134978089</v>
      </c>
      <c r="AZ111" s="1061">
        <v>173781694074</v>
      </c>
      <c r="BA111" s="1061">
        <v>222727670087</v>
      </c>
      <c r="BB111" s="1061">
        <v>199175147338</v>
      </c>
      <c r="BC111" s="1061">
        <v>138802423589</v>
      </c>
      <c r="BD111" s="1061">
        <v>152518731637</v>
      </c>
    </row>
    <row r="112" spans="1:56">
      <c r="A112" s="1073" t="s">
        <v>284</v>
      </c>
      <c r="B112" s="1061">
        <v>50210633105</v>
      </c>
      <c r="C112" s="1061">
        <v>83165548814</v>
      </c>
      <c r="D112" s="1061">
        <v>63004765504</v>
      </c>
      <c r="E112" s="1061">
        <v>57465755943</v>
      </c>
      <c r="F112" s="1061">
        <v>80855352969</v>
      </c>
      <c r="G112" s="1061">
        <v>98066414451.000122</v>
      </c>
      <c r="H112" s="1061">
        <v>89845856819.5</v>
      </c>
      <c r="I112" s="1061">
        <v>86469572122.5</v>
      </c>
      <c r="J112" s="1061">
        <v>103368298940</v>
      </c>
      <c r="K112" s="1061">
        <v>109006240443</v>
      </c>
      <c r="L112" s="1061">
        <v>107269865376</v>
      </c>
      <c r="M112" s="1061">
        <v>114178618902</v>
      </c>
      <c r="N112" s="1061">
        <v>141347107837</v>
      </c>
      <c r="O112" s="1061">
        <v>145853919745</v>
      </c>
      <c r="P112" s="1061">
        <v>104365626267</v>
      </c>
      <c r="Q112" s="1061">
        <v>163019428202</v>
      </c>
      <c r="R112" s="1061">
        <v>102347519492</v>
      </c>
      <c r="S112" s="1061">
        <v>155722479494</v>
      </c>
      <c r="T112" s="1061">
        <v>162485121605</v>
      </c>
      <c r="U112" s="1061">
        <v>144579321652</v>
      </c>
      <c r="V112" s="1061">
        <v>211698283650</v>
      </c>
      <c r="W112" s="1061">
        <v>190271091019</v>
      </c>
      <c r="X112" s="1061">
        <v>191177892777</v>
      </c>
      <c r="Y112" s="1061">
        <v>189777274074</v>
      </c>
      <c r="Z112" s="1061">
        <v>282426564147</v>
      </c>
      <c r="AA112" s="1061">
        <v>158409796313</v>
      </c>
      <c r="AB112" s="1061">
        <v>217453222878</v>
      </c>
      <c r="AC112" s="1061">
        <v>169805501767</v>
      </c>
      <c r="AD112" s="1061">
        <v>199840595892</v>
      </c>
      <c r="AE112" s="1061">
        <v>161454445732</v>
      </c>
      <c r="AF112" s="1061">
        <v>117686881455</v>
      </c>
      <c r="AG112" s="1061">
        <v>110984336273</v>
      </c>
      <c r="AH112" s="1061">
        <v>126546353670</v>
      </c>
      <c r="AI112" s="1061">
        <v>243354900119</v>
      </c>
      <c r="AJ112" s="1061">
        <v>175270270835</v>
      </c>
      <c r="AK112" s="1061">
        <v>150813345620</v>
      </c>
      <c r="AL112" s="1061">
        <v>187395674844</v>
      </c>
      <c r="AM112" s="1061">
        <v>256054559096</v>
      </c>
      <c r="AN112" s="1061">
        <v>200048282547</v>
      </c>
      <c r="AO112" s="1061">
        <v>122788747759</v>
      </c>
      <c r="AP112" s="1061">
        <v>254295511257</v>
      </c>
      <c r="AQ112" s="1074">
        <v>259743361013</v>
      </c>
      <c r="AR112" s="1075"/>
      <c r="AS112" s="1061">
        <v>253846703366</v>
      </c>
      <c r="AT112" s="1061">
        <v>355237196362</v>
      </c>
      <c r="AU112" s="1061">
        <v>433823023661</v>
      </c>
      <c r="AV112" s="1061">
        <v>554586082051</v>
      </c>
      <c r="AW112" s="1061">
        <v>565134442243</v>
      </c>
      <c r="AX112" s="1061">
        <v>782924541520</v>
      </c>
      <c r="AY112" s="1061">
        <v>828095085105</v>
      </c>
      <c r="AZ112" s="1061">
        <v>589966259352</v>
      </c>
      <c r="BA112" s="1061">
        <v>695984870244</v>
      </c>
      <c r="BB112" s="1061">
        <v>766287264246</v>
      </c>
      <c r="BC112" s="1061">
        <v>443450233940</v>
      </c>
      <c r="BD112" s="1061">
        <v>514038872270</v>
      </c>
    </row>
    <row r="113" spans="2:56">
      <c r="B113" s="1082"/>
      <c r="C113" s="1082"/>
      <c r="D113" s="1082"/>
      <c r="E113" s="1082"/>
      <c r="F113" s="1082"/>
      <c r="G113" s="1082"/>
      <c r="H113" s="1082"/>
      <c r="I113" s="1082"/>
      <c r="J113" s="1082"/>
      <c r="K113" s="1082"/>
      <c r="L113" s="1082"/>
      <c r="M113" s="1082"/>
      <c r="N113" s="1082"/>
      <c r="O113" s="1082"/>
      <c r="P113" s="1082"/>
      <c r="Q113" s="1082"/>
      <c r="R113" s="1082"/>
      <c r="S113" s="1082"/>
      <c r="T113" s="1082"/>
      <c r="U113" s="1082"/>
      <c r="V113" s="1082"/>
      <c r="W113" s="1082"/>
      <c r="X113" s="1082"/>
      <c r="Y113" s="1082"/>
      <c r="Z113" s="1082"/>
      <c r="AA113" s="1082"/>
      <c r="AB113" s="1082"/>
      <c r="AC113" s="1083"/>
      <c r="AD113" s="1083"/>
      <c r="AE113" s="1083"/>
      <c r="AF113" s="1083"/>
      <c r="AG113" s="1083"/>
      <c r="AH113" s="1083"/>
      <c r="AI113" s="1083"/>
      <c r="AJ113" s="1083"/>
      <c r="AK113" s="1083"/>
      <c r="AL113" s="1083"/>
      <c r="AM113" s="1083"/>
      <c r="AN113" s="1083"/>
      <c r="AO113" s="1083"/>
      <c r="AP113" s="1083"/>
      <c r="AQ113" s="1083"/>
      <c r="AR113" s="1082"/>
      <c r="AS113" s="1082"/>
      <c r="AT113" s="1082"/>
      <c r="AU113" s="1082"/>
      <c r="AV113" s="1082"/>
      <c r="AW113" s="1082"/>
      <c r="AX113" s="1082"/>
      <c r="AY113" s="1082"/>
      <c r="AZ113" s="1083"/>
      <c r="BA113" s="1083"/>
      <c r="BB113" s="1083"/>
      <c r="BC113" s="1083"/>
      <c r="BD113" s="1083"/>
    </row>
    <row r="114" spans="2:56">
      <c r="B114" s="1084"/>
      <c r="C114" s="1084"/>
      <c r="D114" s="1084"/>
      <c r="E114" s="1084"/>
      <c r="F114" s="1084"/>
      <c r="G114" s="1084"/>
      <c r="H114" s="1084"/>
      <c r="I114" s="1084"/>
      <c r="J114" s="1084"/>
      <c r="K114" s="1084"/>
      <c r="L114" s="1084"/>
      <c r="M114" s="1084"/>
      <c r="N114" s="1084"/>
      <c r="O114" s="1084"/>
      <c r="P114" s="1084"/>
      <c r="Q114" s="1084"/>
      <c r="R114" s="1084"/>
      <c r="S114" s="1084"/>
      <c r="T114" s="1084"/>
      <c r="U114" s="1084"/>
      <c r="V114" s="1084"/>
      <c r="W114" s="1084"/>
      <c r="X114" s="1084"/>
      <c r="Y114" s="1084"/>
      <c r="Z114" s="1084"/>
      <c r="AA114" s="1084"/>
      <c r="AB114" s="1084"/>
      <c r="AC114" s="1085"/>
      <c r="AD114" s="1085"/>
      <c r="AE114" s="1085"/>
      <c r="AF114" s="1085"/>
      <c r="AG114" s="1085"/>
      <c r="AH114" s="1085"/>
      <c r="AI114" s="1085"/>
      <c r="AJ114" s="1085"/>
      <c r="AK114" s="1085"/>
      <c r="AL114" s="1085"/>
      <c r="AM114" s="1085"/>
      <c r="AN114" s="1085"/>
      <c r="AO114" s="1085"/>
      <c r="AP114" s="1085"/>
      <c r="AQ114" s="1085"/>
      <c r="AR114" s="1084"/>
      <c r="AS114" s="1084"/>
      <c r="AT114" s="1084"/>
      <c r="AU114" s="1084"/>
      <c r="AV114" s="1084"/>
      <c r="AW114" s="1084"/>
      <c r="AX114" s="1084"/>
      <c r="AY114" s="1084"/>
      <c r="AZ114" s="1085"/>
      <c r="BA114" s="1085"/>
      <c r="BB114" s="1085"/>
      <c r="BC114" s="1085"/>
      <c r="BD114" s="1085"/>
    </row>
    <row r="115" spans="2:56">
      <c r="B115" s="1084"/>
      <c r="C115" s="1084"/>
      <c r="D115" s="1084"/>
      <c r="E115" s="1084"/>
      <c r="F115" s="1084"/>
      <c r="G115" s="1084"/>
      <c r="H115" s="1084"/>
      <c r="I115" s="1084"/>
      <c r="J115" s="1084"/>
      <c r="K115" s="1084"/>
      <c r="L115" s="1084"/>
      <c r="M115" s="1084"/>
      <c r="N115" s="1084"/>
      <c r="O115" s="1084"/>
      <c r="P115" s="1084"/>
      <c r="Q115" s="1084"/>
      <c r="R115" s="1084"/>
      <c r="S115" s="1084"/>
      <c r="T115" s="1084"/>
      <c r="U115" s="1084"/>
      <c r="V115" s="1084"/>
      <c r="W115" s="1084"/>
      <c r="X115" s="1084"/>
      <c r="Y115" s="1084"/>
      <c r="Z115" s="1084"/>
      <c r="AA115" s="1084"/>
      <c r="AB115" s="1084"/>
      <c r="AC115" s="1085"/>
      <c r="AD115" s="1085"/>
      <c r="AE115" s="1085"/>
      <c r="AF115" s="1085"/>
      <c r="AG115" s="1085"/>
      <c r="AH115" s="1085"/>
      <c r="AI115" s="1085"/>
      <c r="AJ115" s="1085"/>
      <c r="AK115" s="1085"/>
      <c r="AL115" s="1085"/>
      <c r="AM115" s="1085"/>
      <c r="AN115" s="1085"/>
      <c r="AO115" s="1085"/>
      <c r="AP115" s="1085"/>
      <c r="AQ115" s="1085"/>
      <c r="AR115" s="1084"/>
      <c r="AS115" s="1084"/>
      <c r="AT115" s="1084"/>
      <c r="AU115" s="1084"/>
      <c r="AV115" s="1084"/>
      <c r="AW115" s="1084"/>
      <c r="AX115" s="1084"/>
      <c r="AY115" s="1084"/>
      <c r="AZ115" s="1085"/>
      <c r="BA115" s="1085"/>
      <c r="BB115" s="1085"/>
      <c r="BC115" s="1085"/>
      <c r="BD115" s="1085"/>
    </row>
    <row r="116" spans="2:56">
      <c r="B116" s="1084"/>
      <c r="C116" s="1084"/>
      <c r="D116" s="1084"/>
      <c r="E116" s="1084"/>
      <c r="F116" s="1084"/>
      <c r="G116" s="1084"/>
      <c r="H116" s="1084"/>
      <c r="I116" s="1084"/>
      <c r="J116" s="1084"/>
      <c r="K116" s="1084"/>
      <c r="L116" s="1084"/>
      <c r="M116" s="1084"/>
      <c r="N116" s="1084"/>
      <c r="O116" s="1084"/>
      <c r="P116" s="1084"/>
      <c r="Q116" s="1084"/>
      <c r="R116" s="1084"/>
      <c r="S116" s="1084"/>
      <c r="T116" s="1084"/>
      <c r="U116" s="1084"/>
      <c r="V116" s="1084"/>
      <c r="W116" s="1084"/>
      <c r="X116" s="1084"/>
      <c r="Y116" s="1084"/>
      <c r="Z116" s="1084"/>
      <c r="AA116" s="1084"/>
      <c r="AB116" s="1084"/>
      <c r="AC116" s="1085"/>
      <c r="AD116" s="1085"/>
      <c r="AE116" s="1085"/>
      <c r="AF116" s="1085"/>
      <c r="AG116" s="1085"/>
      <c r="AH116" s="1085"/>
      <c r="AI116" s="1085"/>
      <c r="AJ116" s="1085"/>
      <c r="AK116" s="1085"/>
      <c r="AL116" s="1085"/>
      <c r="AM116" s="1085"/>
      <c r="AN116" s="1085"/>
      <c r="AO116" s="1085"/>
      <c r="AP116" s="1085"/>
      <c r="AQ116" s="1085"/>
      <c r="AR116" s="1084"/>
      <c r="AS116" s="1084"/>
      <c r="AT116" s="1084"/>
      <c r="AU116" s="1084"/>
      <c r="AV116" s="1084"/>
      <c r="AW116" s="1084"/>
      <c r="AX116" s="1084"/>
      <c r="AY116" s="1084"/>
      <c r="AZ116" s="1085"/>
      <c r="BA116" s="1085"/>
      <c r="BB116" s="1085"/>
      <c r="BC116" s="1085"/>
      <c r="BD116" s="1085"/>
    </row>
    <row r="117" spans="2:56">
      <c r="B117" s="1084"/>
      <c r="C117" s="1084"/>
      <c r="D117" s="1084"/>
      <c r="E117" s="1084"/>
      <c r="F117" s="1084"/>
      <c r="G117" s="1084"/>
      <c r="H117" s="1084"/>
      <c r="I117" s="1084"/>
      <c r="J117" s="1084"/>
      <c r="K117" s="1084"/>
      <c r="L117" s="1084"/>
      <c r="M117" s="1084"/>
      <c r="N117" s="1084"/>
      <c r="O117" s="1084"/>
      <c r="P117" s="1084"/>
      <c r="Q117" s="1084"/>
      <c r="R117" s="1084"/>
      <c r="S117" s="1084"/>
      <c r="T117" s="1084"/>
      <c r="U117" s="1084"/>
      <c r="V117" s="1084"/>
      <c r="W117" s="1084"/>
      <c r="X117" s="1084"/>
      <c r="Y117" s="1084"/>
      <c r="Z117" s="1084"/>
      <c r="AA117" s="1084"/>
      <c r="AB117" s="1084"/>
      <c r="AC117" s="1085"/>
      <c r="AD117" s="1085"/>
      <c r="AE117" s="1085"/>
      <c r="AF117" s="1085"/>
      <c r="AG117" s="1085"/>
      <c r="AH117" s="1085"/>
      <c r="AI117" s="1085"/>
      <c r="AJ117" s="1085"/>
      <c r="AK117" s="1085"/>
      <c r="AL117" s="1085"/>
      <c r="AM117" s="1085"/>
      <c r="AN117" s="1085"/>
      <c r="AO117" s="1085"/>
      <c r="AP117" s="1085"/>
      <c r="AQ117" s="1085"/>
      <c r="AR117" s="1084"/>
      <c r="AS117" s="1084"/>
      <c r="AT117" s="1084"/>
      <c r="AU117" s="1084"/>
      <c r="AV117" s="1084"/>
      <c r="AW117" s="1084"/>
      <c r="AX117" s="1084"/>
      <c r="AY117" s="1084"/>
      <c r="AZ117" s="1085"/>
      <c r="BA117" s="1085"/>
      <c r="BB117" s="1085"/>
      <c r="BC117" s="1085"/>
      <c r="BD117" s="1085"/>
    </row>
  </sheetData>
  <phoneticPr fontId="21" type="noConversion"/>
  <pageMargins left="0.7" right="0.7" top="0.75" bottom="0.75" header="0.3" footer="0.3"/>
  <pageSetup paperSize="9" scale="69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63B4-C2D8-4AC2-9B92-C5C1E275AC08}">
  <sheetPr>
    <tabColor theme="5" tint="0.79998168889431442"/>
    <pageSetUpPr fitToPage="1"/>
  </sheetPr>
  <dimension ref="A1:BD117"/>
  <sheetViews>
    <sheetView showGridLines="0" view="pageBreakPreview" zoomScaleNormal="100" zoomScaleSheetLayoutView="100" workbookViewId="0">
      <pane ySplit="4" topLeftCell="A5" activePane="bottomLeft" state="frozen"/>
      <selection activeCell="A5" sqref="A5"/>
      <selection pane="bottomLeft" activeCell="BM45" sqref="BM45"/>
    </sheetView>
  </sheetViews>
  <sheetFormatPr defaultColWidth="8.88671875" defaultRowHeight="14.25"/>
  <cols>
    <col min="1" max="1" width="38.77734375" style="1049" customWidth="1"/>
    <col min="2" max="27" width="14.6640625" style="1049" hidden="1" customWidth="1"/>
    <col min="28" max="38" width="14.6640625" style="1048" hidden="1" customWidth="1"/>
    <col min="39" max="39" width="14.6640625" style="1048" customWidth="1"/>
    <col min="40" max="42" width="14.6640625" style="1048" hidden="1" customWidth="1"/>
    <col min="43" max="43" width="14.6640625" style="1048" customWidth="1"/>
    <col min="44" max="44" width="1.109375" style="1049" customWidth="1"/>
    <col min="45" max="50" width="14.6640625" style="1049" hidden="1" customWidth="1"/>
    <col min="51" max="54" width="14.6640625" style="1048" hidden="1" customWidth="1"/>
    <col min="55" max="56" width="14.6640625" style="1048" customWidth="1"/>
    <col min="57" max="16384" width="8.88671875" style="1048"/>
  </cols>
  <sheetData>
    <row r="1" spans="1:56" s="1049" customFormat="1" ht="12" customHeight="1">
      <c r="AB1" s="1048"/>
      <c r="AC1" s="1048"/>
      <c r="AD1" s="1048"/>
      <c r="AE1" s="1048"/>
      <c r="AF1" s="1048"/>
      <c r="AG1" s="1048"/>
      <c r="AH1" s="1048"/>
      <c r="AI1" s="1048"/>
      <c r="AJ1" s="1048"/>
      <c r="AK1" s="1048"/>
      <c r="AL1" s="1048"/>
      <c r="AM1" s="1048"/>
      <c r="AN1" s="1048"/>
      <c r="AO1" s="1048"/>
      <c r="AP1" s="1048"/>
      <c r="AQ1" s="1048"/>
      <c r="AY1" s="1048"/>
      <c r="AZ1" s="1048"/>
      <c r="BA1" s="1048"/>
      <c r="BB1" s="1048"/>
      <c r="BC1" s="1048"/>
      <c r="BD1" s="1048"/>
    </row>
    <row r="2" spans="1:56" s="1052" customFormat="1" ht="38.25" customHeight="1">
      <c r="A2" s="1050" t="s">
        <v>1115</v>
      </c>
      <c r="B2" s="1051"/>
      <c r="C2" s="1051"/>
      <c r="D2" s="1051"/>
      <c r="E2" s="1051"/>
      <c r="F2" s="1051"/>
      <c r="G2" s="1051"/>
      <c r="H2" s="1051"/>
      <c r="I2" s="1051"/>
      <c r="J2" s="1051"/>
      <c r="K2" s="1051"/>
      <c r="L2" s="1051"/>
      <c r="M2" s="1051"/>
      <c r="N2" s="1051"/>
      <c r="O2" s="1051"/>
      <c r="P2" s="1051"/>
      <c r="Q2" s="1051"/>
      <c r="R2" s="1051"/>
      <c r="S2" s="1051"/>
      <c r="T2" s="1051"/>
      <c r="U2" s="1051"/>
      <c r="V2" s="1051"/>
      <c r="W2" s="1051"/>
      <c r="X2" s="1051"/>
      <c r="Y2" s="1051"/>
      <c r="Z2" s="1051"/>
      <c r="AA2" s="1051"/>
      <c r="AB2" s="1051"/>
      <c r="AC2" s="1051"/>
      <c r="AD2" s="1051"/>
      <c r="AE2" s="1051"/>
      <c r="AF2" s="1051"/>
      <c r="AG2" s="1051"/>
      <c r="AH2" s="1051"/>
      <c r="AI2" s="1051"/>
      <c r="AJ2" s="1051"/>
      <c r="AK2" s="1051"/>
      <c r="AL2" s="1051"/>
      <c r="AM2" s="1051"/>
      <c r="AN2" s="1051"/>
      <c r="AO2" s="1051"/>
      <c r="AP2" s="1051"/>
      <c r="AQ2" s="1051"/>
      <c r="AR2" s="1051"/>
      <c r="AS2" s="1051"/>
      <c r="AT2" s="1051"/>
      <c r="AU2" s="1051"/>
      <c r="AV2" s="1051"/>
      <c r="AW2" s="1051"/>
      <c r="AX2" s="1069"/>
      <c r="AY2" s="1051"/>
      <c r="AZ2" s="1051"/>
      <c r="BA2" s="1051"/>
      <c r="BB2" s="1051"/>
      <c r="BC2" s="1051"/>
      <c r="BD2" s="1051"/>
    </row>
    <row r="3" spans="1:56" ht="18" customHeight="1" thickBot="1">
      <c r="AH3" s="1086"/>
      <c r="AI3" s="1086"/>
      <c r="AJ3" s="1086"/>
      <c r="AK3" s="1086"/>
      <c r="AL3" s="1086"/>
      <c r="AM3" s="1086"/>
      <c r="AN3" s="1086"/>
      <c r="AO3" s="1086"/>
      <c r="AP3" s="1086"/>
      <c r="AQ3" s="1086"/>
    </row>
    <row r="4" spans="1:56" s="1059" customFormat="1" ht="18" customHeight="1" thickTop="1">
      <c r="A4" s="1054" t="s">
        <v>849</v>
      </c>
      <c r="B4" s="1055" t="s">
        <v>803</v>
      </c>
      <c r="C4" s="1055" t="s">
        <v>804</v>
      </c>
      <c r="D4" s="1055" t="s">
        <v>805</v>
      </c>
      <c r="E4" s="1055" t="s">
        <v>806</v>
      </c>
      <c r="F4" s="1055" t="s">
        <v>807</v>
      </c>
      <c r="G4" s="1055" t="s">
        <v>808</v>
      </c>
      <c r="H4" s="1055" t="s">
        <v>809</v>
      </c>
      <c r="I4" s="1055" t="s">
        <v>810</v>
      </c>
      <c r="J4" s="1055" t="s">
        <v>1008</v>
      </c>
      <c r="K4" s="1057" t="s">
        <v>436</v>
      </c>
      <c r="L4" s="1057" t="s">
        <v>437</v>
      </c>
      <c r="M4" s="1057" t="s">
        <v>438</v>
      </c>
      <c r="N4" s="1057" t="s">
        <v>439</v>
      </c>
      <c r="O4" s="1057" t="s">
        <v>440</v>
      </c>
      <c r="P4" s="1057" t="s">
        <v>441</v>
      </c>
      <c r="Q4" s="1057" t="s">
        <v>442</v>
      </c>
      <c r="R4" s="1057" t="s">
        <v>443</v>
      </c>
      <c r="S4" s="1057" t="s">
        <v>444</v>
      </c>
      <c r="T4" s="1057" t="s">
        <v>445</v>
      </c>
      <c r="U4" s="1057" t="s">
        <v>446</v>
      </c>
      <c r="V4" s="1057" t="s">
        <v>447</v>
      </c>
      <c r="W4" s="1057" t="s">
        <v>448</v>
      </c>
      <c r="X4" s="1057" t="s">
        <v>449</v>
      </c>
      <c r="Y4" s="1057" t="s">
        <v>450</v>
      </c>
      <c r="Z4" s="1058" t="s">
        <v>391</v>
      </c>
      <c r="AA4" s="1058" t="s">
        <v>452</v>
      </c>
      <c r="AB4" s="1058" t="s">
        <v>430</v>
      </c>
      <c r="AC4" s="1058" t="s">
        <v>432</v>
      </c>
      <c r="AD4" s="1057" t="s">
        <v>428</v>
      </c>
      <c r="AE4" s="1057" t="s">
        <v>427</v>
      </c>
      <c r="AF4" s="1057" t="s">
        <v>467</v>
      </c>
      <c r="AG4" s="1057" t="s">
        <v>513</v>
      </c>
      <c r="AH4" s="1057" t="s">
        <v>563</v>
      </c>
      <c r="AI4" s="1057" t="s">
        <v>607</v>
      </c>
      <c r="AJ4" s="1057" t="s">
        <v>622</v>
      </c>
      <c r="AK4" s="1057" t="s">
        <v>633</v>
      </c>
      <c r="AL4" s="1057" t="s">
        <v>647</v>
      </c>
      <c r="AM4" s="1057" t="s">
        <v>676</v>
      </c>
      <c r="AN4" s="1057" t="s">
        <v>675</v>
      </c>
      <c r="AO4" s="1057" t="s">
        <v>686</v>
      </c>
      <c r="AP4" s="1057" t="s">
        <v>688</v>
      </c>
      <c r="AQ4" s="1068" t="s">
        <v>732</v>
      </c>
      <c r="AR4" s="1070"/>
      <c r="AS4" s="1071">
        <v>2016</v>
      </c>
      <c r="AT4" s="1071">
        <v>2017</v>
      </c>
      <c r="AU4" s="1071">
        <v>2018</v>
      </c>
      <c r="AV4" s="1071">
        <v>2019</v>
      </c>
      <c r="AW4" s="1071">
        <v>2020</v>
      </c>
      <c r="AX4" s="1071">
        <v>2021</v>
      </c>
      <c r="AY4" s="1071">
        <v>2022</v>
      </c>
      <c r="AZ4" s="1071">
        <v>2023</v>
      </c>
      <c r="BA4" s="1071">
        <v>2024</v>
      </c>
      <c r="BB4" s="1071">
        <v>2025</v>
      </c>
      <c r="BC4" s="1071" t="s">
        <v>709</v>
      </c>
      <c r="BD4" s="1072" t="s">
        <v>716</v>
      </c>
    </row>
    <row r="5" spans="1:56">
      <c r="A5" s="1073" t="s">
        <v>1009</v>
      </c>
      <c r="B5" s="1061">
        <v>1156486880072</v>
      </c>
      <c r="C5" s="1061">
        <v>1141590750128</v>
      </c>
      <c r="D5" s="1061">
        <v>987772140098</v>
      </c>
      <c r="E5" s="1061">
        <v>1585686092674</v>
      </c>
      <c r="F5" s="1061">
        <v>1232180752352</v>
      </c>
      <c r="G5" s="1061">
        <v>1108409194316</v>
      </c>
      <c r="H5" s="1061">
        <v>1257969529240</v>
      </c>
      <c r="I5" s="1061">
        <v>1402962725551</v>
      </c>
      <c r="J5" s="1061">
        <v>1829053578594</v>
      </c>
      <c r="K5" s="1061">
        <v>1808310723974</v>
      </c>
      <c r="L5" s="1061">
        <v>1942586891058</v>
      </c>
      <c r="M5" s="1061">
        <v>2681638077888</v>
      </c>
      <c r="N5" s="1061">
        <v>2683322821089</v>
      </c>
      <c r="O5" s="1061">
        <v>2642832073565</v>
      </c>
      <c r="P5" s="1061">
        <v>3022583726748</v>
      </c>
      <c r="Q5" s="1061">
        <v>3119084386961</v>
      </c>
      <c r="R5" s="1061">
        <v>6853094860326</v>
      </c>
      <c r="S5" s="1061">
        <v>2549944006815</v>
      </c>
      <c r="T5" s="1061">
        <v>2984625774297</v>
      </c>
      <c r="U5" s="1061">
        <v>3556081669936</v>
      </c>
      <c r="V5" s="1061">
        <v>4613221216380</v>
      </c>
      <c r="W5" s="1061">
        <v>4616338607962</v>
      </c>
      <c r="X5" s="1061">
        <v>5637037215265</v>
      </c>
      <c r="Y5" s="1061">
        <v>7728175725778</v>
      </c>
      <c r="Z5" s="1061">
        <v>10538950453430</v>
      </c>
      <c r="AA5" s="1061">
        <v>14231081454903</v>
      </c>
      <c r="AB5" s="1061">
        <v>17197145586195</v>
      </c>
      <c r="AC5" s="1061">
        <v>14196774515992</v>
      </c>
      <c r="AD5" s="1061">
        <v>14320193548710</v>
      </c>
      <c r="AE5" s="1061">
        <v>9940617618971</v>
      </c>
      <c r="AF5" s="1061">
        <v>9602158634241</v>
      </c>
      <c r="AG5" s="1061">
        <v>12334991592949</v>
      </c>
      <c r="AH5" s="1061">
        <v>9358320989807</v>
      </c>
      <c r="AI5" s="1061">
        <v>7898582485582</v>
      </c>
      <c r="AJ5" s="1061">
        <v>7771927428246</v>
      </c>
      <c r="AK5" s="1061">
        <v>8395268917292</v>
      </c>
      <c r="AL5" s="1061">
        <v>5008586146738</v>
      </c>
      <c r="AM5" s="1061">
        <v>5699603040064</v>
      </c>
      <c r="AN5" s="1061">
        <v>4044813437674</v>
      </c>
      <c r="AO5" s="1061">
        <v>7060516802137</v>
      </c>
      <c r="AP5" s="1061">
        <v>12440727792502</v>
      </c>
      <c r="AQ5" s="1074">
        <v>15433239258354</v>
      </c>
      <c r="AR5" s="1075"/>
      <c r="AS5" s="1061">
        <v>4871535862972</v>
      </c>
      <c r="AT5" s="1061">
        <v>5001522201459</v>
      </c>
      <c r="AU5" s="1061">
        <v>8261589271514</v>
      </c>
      <c r="AV5" s="1061">
        <v>11467823008363</v>
      </c>
      <c r="AW5" s="1061">
        <v>15943746311374</v>
      </c>
      <c r="AX5" s="1061">
        <v>22594772765385</v>
      </c>
      <c r="AY5" s="1061">
        <v>56163952010520</v>
      </c>
      <c r="AZ5" s="1061">
        <v>46197961394871</v>
      </c>
      <c r="BA5" s="1061">
        <v>33424099820927</v>
      </c>
      <c r="BB5" s="1061">
        <v>21813519426613</v>
      </c>
      <c r="BC5" s="1061">
        <v>10708189186802</v>
      </c>
      <c r="BD5" s="1061">
        <v>27873967050856</v>
      </c>
    </row>
    <row r="6" spans="1:56">
      <c r="A6" s="1076" t="s">
        <v>1010</v>
      </c>
      <c r="B6" s="1063">
        <v>65137871742</v>
      </c>
      <c r="C6" s="1063">
        <v>118516563431</v>
      </c>
      <c r="D6" s="1063">
        <v>84351232107</v>
      </c>
      <c r="E6" s="1063">
        <v>86385725123</v>
      </c>
      <c r="F6" s="1063">
        <v>90281513806</v>
      </c>
      <c r="G6" s="1063">
        <v>113378538827</v>
      </c>
      <c r="H6" s="1063">
        <v>101131625883</v>
      </c>
      <c r="I6" s="1063">
        <v>100579812250</v>
      </c>
      <c r="J6" s="1063">
        <v>99747050164</v>
      </c>
      <c r="K6" s="1063">
        <v>111482274406</v>
      </c>
      <c r="L6" s="1063">
        <v>94660077404</v>
      </c>
      <c r="M6" s="1063">
        <v>143695611686</v>
      </c>
      <c r="N6" s="1063">
        <v>110176322832</v>
      </c>
      <c r="O6" s="1063">
        <v>114917716792</v>
      </c>
      <c r="P6" s="1063">
        <v>95335983261</v>
      </c>
      <c r="Q6" s="1063">
        <v>152667505849</v>
      </c>
      <c r="R6" s="1063">
        <v>184592197994</v>
      </c>
      <c r="S6" s="1063">
        <v>136256315024</v>
      </c>
      <c r="T6" s="1063">
        <v>136173881176</v>
      </c>
      <c r="U6" s="1063">
        <v>154281588804</v>
      </c>
      <c r="V6" s="1063">
        <v>178181150890</v>
      </c>
      <c r="W6" s="1063">
        <v>198764395609</v>
      </c>
      <c r="X6" s="1063">
        <v>170163969108</v>
      </c>
      <c r="Y6" s="1063">
        <v>178199712700</v>
      </c>
      <c r="Z6" s="1063">
        <v>167449351564</v>
      </c>
      <c r="AA6" s="1063">
        <v>203497652123</v>
      </c>
      <c r="AB6" s="1063">
        <v>139689286031</v>
      </c>
      <c r="AC6" s="1063">
        <v>109232173969</v>
      </c>
      <c r="AD6" s="1063">
        <v>111084137200</v>
      </c>
      <c r="AE6" s="1063">
        <v>158518056597</v>
      </c>
      <c r="AF6" s="1063">
        <v>162898486651</v>
      </c>
      <c r="AG6" s="1063">
        <v>109854491246</v>
      </c>
      <c r="AH6" s="1063">
        <v>122838720617</v>
      </c>
      <c r="AI6" s="1063">
        <v>168394324846</v>
      </c>
      <c r="AJ6" s="1063">
        <v>165664966874</v>
      </c>
      <c r="AK6" s="1063">
        <v>143497752615</v>
      </c>
      <c r="AL6" s="1063">
        <v>155109776054</v>
      </c>
      <c r="AM6" s="1063">
        <v>169230818135</v>
      </c>
      <c r="AN6" s="1063">
        <v>256721752833</v>
      </c>
      <c r="AO6" s="1063">
        <v>272324215703</v>
      </c>
      <c r="AP6" s="1063">
        <v>217010225175</v>
      </c>
      <c r="AQ6" s="1077">
        <v>253076513328</v>
      </c>
      <c r="AR6" s="1078"/>
      <c r="AS6" s="1063">
        <v>354391392403</v>
      </c>
      <c r="AT6" s="1063">
        <v>405371490766</v>
      </c>
      <c r="AU6" s="1063">
        <v>449585013660</v>
      </c>
      <c r="AV6" s="1063">
        <v>473097528734</v>
      </c>
      <c r="AW6" s="1063">
        <v>611303982998</v>
      </c>
      <c r="AX6" s="1063">
        <v>725309228307</v>
      </c>
      <c r="AY6" s="1063">
        <v>619868463687</v>
      </c>
      <c r="AZ6" s="1063">
        <v>542355171694</v>
      </c>
      <c r="BA6" s="1063">
        <v>600395764952</v>
      </c>
      <c r="BB6" s="1063">
        <v>853386562725</v>
      </c>
      <c r="BC6" s="1063">
        <v>324340594189</v>
      </c>
      <c r="BD6" s="1063">
        <v>470086738503</v>
      </c>
    </row>
    <row r="7" spans="1:56">
      <c r="A7" s="1079" t="s">
        <v>1011</v>
      </c>
      <c r="B7" s="1065">
        <v>17043724549</v>
      </c>
      <c r="C7" s="1065">
        <v>24685811238</v>
      </c>
      <c r="D7" s="1065">
        <v>18715476187</v>
      </c>
      <c r="E7" s="1065">
        <v>12545912638</v>
      </c>
      <c r="F7" s="1065">
        <v>14466042969</v>
      </c>
      <c r="G7" s="1065">
        <v>19291717241</v>
      </c>
      <c r="H7" s="1065">
        <v>18528675264</v>
      </c>
      <c r="I7" s="1065">
        <v>22220421095</v>
      </c>
      <c r="J7" s="1065">
        <v>30573956322</v>
      </c>
      <c r="K7" s="1065">
        <v>26328605737</v>
      </c>
      <c r="L7" s="1065">
        <v>17243480588</v>
      </c>
      <c r="M7" s="1065">
        <v>15095985086</v>
      </c>
      <c r="N7" s="1065">
        <v>16379927086</v>
      </c>
      <c r="O7" s="1065">
        <v>15259779229</v>
      </c>
      <c r="P7" s="1065">
        <v>12649892337</v>
      </c>
      <c r="Q7" s="1065">
        <v>16626199016</v>
      </c>
      <c r="R7" s="1065">
        <v>19797132050</v>
      </c>
      <c r="S7" s="1065">
        <v>25342319328</v>
      </c>
      <c r="T7" s="1065">
        <v>31990280433</v>
      </c>
      <c r="U7" s="1065">
        <v>29344250925</v>
      </c>
      <c r="V7" s="1065">
        <v>35034886967</v>
      </c>
      <c r="W7" s="1065">
        <v>30605324911</v>
      </c>
      <c r="X7" s="1065">
        <v>27799534331</v>
      </c>
      <c r="Y7" s="1065">
        <v>27469823045</v>
      </c>
      <c r="Z7" s="1065">
        <v>19394355204</v>
      </c>
      <c r="AA7" s="1065">
        <v>16944396784</v>
      </c>
      <c r="AB7" s="1065">
        <v>15795728535</v>
      </c>
      <c r="AC7" s="1065">
        <v>13678525565</v>
      </c>
      <c r="AD7" s="1065">
        <v>19689233494</v>
      </c>
      <c r="AE7" s="1065">
        <v>20156987270</v>
      </c>
      <c r="AF7" s="1065">
        <v>19219373947</v>
      </c>
      <c r="AG7" s="1065">
        <v>15241569410</v>
      </c>
      <c r="AH7" s="1065">
        <v>22186156164</v>
      </c>
      <c r="AI7" s="1065">
        <v>21152634466</v>
      </c>
      <c r="AJ7" s="1065">
        <v>18499005992</v>
      </c>
      <c r="AK7" s="1065">
        <v>15676018836</v>
      </c>
      <c r="AL7" s="1065">
        <v>18642648880</v>
      </c>
      <c r="AM7" s="1065">
        <v>21977836687</v>
      </c>
      <c r="AN7" s="1065">
        <v>27909792035</v>
      </c>
      <c r="AO7" s="1065">
        <v>34641836613</v>
      </c>
      <c r="AP7" s="1065">
        <v>55696169173</v>
      </c>
      <c r="AQ7" s="1080">
        <v>80581519847</v>
      </c>
      <c r="AR7" s="1081"/>
      <c r="AS7" s="1065">
        <v>72990924612</v>
      </c>
      <c r="AT7" s="1065">
        <v>74506856569</v>
      </c>
      <c r="AU7" s="1065">
        <v>89242027733</v>
      </c>
      <c r="AV7" s="1065">
        <v>60915797668</v>
      </c>
      <c r="AW7" s="1065">
        <v>106473982736</v>
      </c>
      <c r="AX7" s="1065">
        <v>120909569254</v>
      </c>
      <c r="AY7" s="1065">
        <v>65813006088</v>
      </c>
      <c r="AZ7" s="1065">
        <v>74307164121</v>
      </c>
      <c r="BA7" s="1065">
        <v>77513815458</v>
      </c>
      <c r="BB7" s="1065">
        <v>103172114215</v>
      </c>
      <c r="BC7" s="1065">
        <v>40620485567</v>
      </c>
      <c r="BD7" s="1065">
        <v>136277689020</v>
      </c>
    </row>
    <row r="8" spans="1:56">
      <c r="A8" s="1079" t="s">
        <v>1012</v>
      </c>
      <c r="B8" s="1065">
        <v>6735005551</v>
      </c>
      <c r="C8" s="1065">
        <v>6510820725</v>
      </c>
      <c r="D8" s="1065">
        <v>7855159168</v>
      </c>
      <c r="E8" s="1065">
        <v>8853453291</v>
      </c>
      <c r="F8" s="1065">
        <v>2790594717</v>
      </c>
      <c r="G8" s="1065">
        <v>3654962107</v>
      </c>
      <c r="H8" s="1065">
        <v>4824612074</v>
      </c>
      <c r="I8" s="1065">
        <v>5821475575</v>
      </c>
      <c r="J8" s="1065">
        <v>3603412048</v>
      </c>
      <c r="K8" s="1065">
        <v>4872099981</v>
      </c>
      <c r="L8" s="1065">
        <v>12238262461</v>
      </c>
      <c r="M8" s="1065">
        <v>2255363581</v>
      </c>
      <c r="N8" s="1065">
        <v>3511176852</v>
      </c>
      <c r="O8" s="1065">
        <v>3169426011</v>
      </c>
      <c r="P8" s="1065">
        <v>3626062391</v>
      </c>
      <c r="Q8" s="1065">
        <v>3027382385</v>
      </c>
      <c r="R8" s="1065">
        <v>3306915827</v>
      </c>
      <c r="S8" s="1065">
        <v>3644714109</v>
      </c>
      <c r="T8" s="1065">
        <v>4121153256</v>
      </c>
      <c r="U8" s="1065">
        <v>2797374127</v>
      </c>
      <c r="V8" s="1065">
        <v>2069595851</v>
      </c>
      <c r="W8" s="1065">
        <v>3611948439</v>
      </c>
      <c r="X8" s="1065">
        <v>1636822925</v>
      </c>
      <c r="Y8" s="1065">
        <v>1200545372</v>
      </c>
      <c r="Z8" s="1065">
        <v>2360500152</v>
      </c>
      <c r="AA8" s="1065">
        <v>4129043409</v>
      </c>
      <c r="AB8" s="1065">
        <v>4524475673</v>
      </c>
      <c r="AC8" s="1065">
        <v>3589240944</v>
      </c>
      <c r="AD8" s="1065">
        <v>3729154343</v>
      </c>
      <c r="AE8" s="1065">
        <v>3355579402</v>
      </c>
      <c r="AF8" s="1065">
        <v>4228741964</v>
      </c>
      <c r="AG8" s="1065">
        <v>2478926201</v>
      </c>
      <c r="AH8" s="1065">
        <v>4928817505</v>
      </c>
      <c r="AI8" s="1065">
        <v>4724212379</v>
      </c>
      <c r="AJ8" s="1065">
        <v>7367816021</v>
      </c>
      <c r="AK8" s="1065">
        <v>4339384820</v>
      </c>
      <c r="AL8" s="1065">
        <v>7281834444</v>
      </c>
      <c r="AM8" s="1065">
        <v>6211934236</v>
      </c>
      <c r="AN8" s="1065">
        <v>8393549261</v>
      </c>
      <c r="AO8" s="1065">
        <v>5771747314</v>
      </c>
      <c r="AP8" s="1065">
        <v>13283389087</v>
      </c>
      <c r="AQ8" s="1080">
        <v>12754697550</v>
      </c>
      <c r="AR8" s="1081"/>
      <c r="AS8" s="1065">
        <v>29954438735</v>
      </c>
      <c r="AT8" s="1065">
        <v>17091644473</v>
      </c>
      <c r="AU8" s="1065">
        <v>22969138071</v>
      </c>
      <c r="AV8" s="1065">
        <v>13334047639</v>
      </c>
      <c r="AW8" s="1065">
        <v>13870157319</v>
      </c>
      <c r="AX8" s="1065">
        <v>8518912587</v>
      </c>
      <c r="AY8" s="1065">
        <v>14603260178</v>
      </c>
      <c r="AZ8" s="1065">
        <v>13792401910</v>
      </c>
      <c r="BA8" s="1065">
        <v>21360230725</v>
      </c>
      <c r="BB8" s="1065">
        <v>27659065255</v>
      </c>
      <c r="BC8" s="1065">
        <v>13493768680</v>
      </c>
      <c r="BD8" s="1065">
        <v>26038086637</v>
      </c>
    </row>
    <row r="9" spans="1:56">
      <c r="A9" s="1079" t="s">
        <v>1013</v>
      </c>
      <c r="B9" s="1065">
        <v>942037451</v>
      </c>
      <c r="C9" s="1065">
        <v>933132677</v>
      </c>
      <c r="D9" s="1065">
        <v>1712766965</v>
      </c>
      <c r="E9" s="1065">
        <v>992393151</v>
      </c>
      <c r="F9" s="1065">
        <v>1111680695</v>
      </c>
      <c r="G9" s="1065">
        <v>1189897465</v>
      </c>
      <c r="H9" s="1065">
        <v>1303998436</v>
      </c>
      <c r="I9" s="1065">
        <v>1185841217</v>
      </c>
      <c r="J9" s="1065">
        <v>1282929139</v>
      </c>
      <c r="K9" s="1065">
        <v>1416523125</v>
      </c>
      <c r="L9" s="1065">
        <v>1602074365</v>
      </c>
      <c r="M9" s="1065">
        <v>1427886222</v>
      </c>
      <c r="N9" s="1065">
        <v>1619246461</v>
      </c>
      <c r="O9" s="1065">
        <v>1829689728</v>
      </c>
      <c r="P9" s="1065">
        <v>1809840302</v>
      </c>
      <c r="Q9" s="1065">
        <v>1687361701</v>
      </c>
      <c r="R9" s="1065">
        <v>1638095811</v>
      </c>
      <c r="S9" s="1065">
        <v>1358337837</v>
      </c>
      <c r="T9" s="1065">
        <v>1395715363</v>
      </c>
      <c r="U9" s="1065">
        <v>1530090219</v>
      </c>
      <c r="V9" s="1065">
        <v>1704038399</v>
      </c>
      <c r="W9" s="1065">
        <v>1711206975</v>
      </c>
      <c r="X9" s="1065">
        <v>1772767202</v>
      </c>
      <c r="Y9" s="1065">
        <v>2321741122</v>
      </c>
      <c r="Z9" s="1065">
        <v>2013565035</v>
      </c>
      <c r="AA9" s="1065">
        <v>1941687892</v>
      </c>
      <c r="AB9" s="1065">
        <v>1755891243</v>
      </c>
      <c r="AC9" s="1065">
        <v>1616983505</v>
      </c>
      <c r="AD9" s="1065">
        <v>1859191365</v>
      </c>
      <c r="AE9" s="1065">
        <v>1578944849</v>
      </c>
      <c r="AF9" s="1065">
        <v>1582499706</v>
      </c>
      <c r="AG9" s="1065">
        <v>1642211672</v>
      </c>
      <c r="AH9" s="1065">
        <v>1759764866</v>
      </c>
      <c r="AI9" s="1065">
        <v>1834990364</v>
      </c>
      <c r="AJ9" s="1065">
        <v>1865628893</v>
      </c>
      <c r="AK9" s="1065">
        <v>1894089236</v>
      </c>
      <c r="AL9" s="1065">
        <v>2056978991</v>
      </c>
      <c r="AM9" s="1065">
        <v>2266011268</v>
      </c>
      <c r="AN9" s="1065">
        <v>2612820296</v>
      </c>
      <c r="AO9" s="1065">
        <v>2726848118</v>
      </c>
      <c r="AP9" s="1065">
        <v>3220884343</v>
      </c>
      <c r="AQ9" s="1080">
        <v>3504353162</v>
      </c>
      <c r="AR9" s="1081"/>
      <c r="AS9" s="1065">
        <v>4580330244</v>
      </c>
      <c r="AT9" s="1065">
        <v>4791417813</v>
      </c>
      <c r="AU9" s="1065">
        <v>5729412851</v>
      </c>
      <c r="AV9" s="1065">
        <v>6946138192</v>
      </c>
      <c r="AW9" s="1065">
        <v>5922239230</v>
      </c>
      <c r="AX9" s="1065">
        <v>7509753698</v>
      </c>
      <c r="AY9" s="1065">
        <v>7328127675</v>
      </c>
      <c r="AZ9" s="1065">
        <v>6662847592</v>
      </c>
      <c r="BA9" s="1065">
        <v>7354473359</v>
      </c>
      <c r="BB9" s="1065">
        <v>9662658673</v>
      </c>
      <c r="BC9" s="1065">
        <v>4322990259</v>
      </c>
      <c r="BD9" s="1065">
        <v>6725237505</v>
      </c>
    </row>
    <row r="10" spans="1:56">
      <c r="A10" s="1079" t="s">
        <v>1014</v>
      </c>
      <c r="B10" s="1065">
        <v>378566990</v>
      </c>
      <c r="C10" s="1065">
        <v>338379522</v>
      </c>
      <c r="D10" s="1065">
        <v>313133087</v>
      </c>
      <c r="E10" s="1065">
        <v>327634650</v>
      </c>
      <c r="F10" s="1065">
        <v>781591363</v>
      </c>
      <c r="G10" s="1065">
        <v>476212221</v>
      </c>
      <c r="H10" s="1065">
        <v>681794398</v>
      </c>
      <c r="I10" s="1065">
        <v>801059467</v>
      </c>
      <c r="J10" s="1065">
        <v>1295341192</v>
      </c>
      <c r="K10" s="1065">
        <v>957107908</v>
      </c>
      <c r="L10" s="1065">
        <v>782110458</v>
      </c>
      <c r="M10" s="1065">
        <v>502365639</v>
      </c>
      <c r="N10" s="1065">
        <v>529778439</v>
      </c>
      <c r="O10" s="1065">
        <v>537816529</v>
      </c>
      <c r="P10" s="1065">
        <v>515714736</v>
      </c>
      <c r="Q10" s="1065">
        <v>996719372</v>
      </c>
      <c r="R10" s="1065">
        <v>782754601</v>
      </c>
      <c r="S10" s="1065">
        <v>988754021</v>
      </c>
      <c r="T10" s="1065">
        <v>1900369354</v>
      </c>
      <c r="U10" s="1065">
        <v>6512097677</v>
      </c>
      <c r="V10" s="1065">
        <v>5685813504</v>
      </c>
      <c r="W10" s="1065">
        <v>4332284248</v>
      </c>
      <c r="X10" s="1065">
        <v>3716109195</v>
      </c>
      <c r="Y10" s="1065">
        <v>4741674371</v>
      </c>
      <c r="Z10" s="1065">
        <v>3659726913</v>
      </c>
      <c r="AA10" s="1065">
        <v>2344890734</v>
      </c>
      <c r="AB10" s="1065">
        <v>1997934791</v>
      </c>
      <c r="AC10" s="1065">
        <v>1922383620</v>
      </c>
      <c r="AD10" s="1065">
        <v>2181360704</v>
      </c>
      <c r="AE10" s="1065">
        <v>2981372348</v>
      </c>
      <c r="AF10" s="1065">
        <v>3805161743</v>
      </c>
      <c r="AG10" s="1065">
        <v>4384579404</v>
      </c>
      <c r="AH10" s="1065">
        <v>3621943447</v>
      </c>
      <c r="AI10" s="1065">
        <v>5864829817</v>
      </c>
      <c r="AJ10" s="1065">
        <v>4401162502</v>
      </c>
      <c r="AK10" s="1065">
        <v>8243149303</v>
      </c>
      <c r="AL10" s="1065">
        <v>6370964791</v>
      </c>
      <c r="AM10" s="1065">
        <v>6507394645</v>
      </c>
      <c r="AN10" s="1065">
        <v>9259945049</v>
      </c>
      <c r="AO10" s="1065">
        <v>19374219795</v>
      </c>
      <c r="AP10" s="1065">
        <v>19352723980</v>
      </c>
      <c r="AQ10" s="1080">
        <v>35634358535</v>
      </c>
      <c r="AR10" s="1081"/>
      <c r="AS10" s="1065">
        <v>1357714249</v>
      </c>
      <c r="AT10" s="1065">
        <v>2740657449</v>
      </c>
      <c r="AU10" s="1065">
        <v>3536925197</v>
      </c>
      <c r="AV10" s="1065">
        <v>2580029076</v>
      </c>
      <c r="AW10" s="1065">
        <v>10183975653</v>
      </c>
      <c r="AX10" s="1065">
        <v>18475881318</v>
      </c>
      <c r="AY10" s="1065">
        <v>9924936058</v>
      </c>
      <c r="AZ10" s="1065">
        <v>13352474199</v>
      </c>
      <c r="BA10" s="1065">
        <v>22131085069</v>
      </c>
      <c r="BB10" s="1065">
        <v>41512524280</v>
      </c>
      <c r="BC10" s="1065">
        <v>12878359436</v>
      </c>
      <c r="BD10" s="1065">
        <v>54987082515</v>
      </c>
    </row>
    <row r="11" spans="1:56">
      <c r="A11" s="1079" t="s">
        <v>1015</v>
      </c>
      <c r="B11" s="1065">
        <v>23606311525</v>
      </c>
      <c r="C11" s="1065">
        <v>53550725028</v>
      </c>
      <c r="D11" s="1065">
        <v>33638385446</v>
      </c>
      <c r="E11" s="1065">
        <v>24307297763</v>
      </c>
      <c r="F11" s="1065">
        <v>45464227967</v>
      </c>
      <c r="G11" s="1065">
        <v>45528511504</v>
      </c>
      <c r="H11" s="1065">
        <v>37150022447</v>
      </c>
      <c r="I11" s="1065">
        <v>37200326669</v>
      </c>
      <c r="J11" s="1065">
        <v>34041916697</v>
      </c>
      <c r="K11" s="1065">
        <v>44833805588</v>
      </c>
      <c r="L11" s="1065">
        <v>36717530674</v>
      </c>
      <c r="M11" s="1065">
        <v>65376061655</v>
      </c>
      <c r="N11" s="1065">
        <v>40564404904</v>
      </c>
      <c r="O11" s="1065">
        <v>57333536396</v>
      </c>
      <c r="P11" s="1065">
        <v>33236530385</v>
      </c>
      <c r="Q11" s="1065">
        <v>58519344767</v>
      </c>
      <c r="R11" s="1065">
        <v>87235745277</v>
      </c>
      <c r="S11" s="1065">
        <v>44180520266</v>
      </c>
      <c r="T11" s="1065">
        <v>45012647723</v>
      </c>
      <c r="U11" s="1065">
        <v>65545765239</v>
      </c>
      <c r="V11" s="1065">
        <v>64032958935</v>
      </c>
      <c r="W11" s="1065">
        <v>89368546254</v>
      </c>
      <c r="X11" s="1065">
        <v>64639797653</v>
      </c>
      <c r="Y11" s="1065">
        <v>53525054922</v>
      </c>
      <c r="Z11" s="1065">
        <v>62399439592</v>
      </c>
      <c r="AA11" s="1065">
        <v>102345249936</v>
      </c>
      <c r="AB11" s="1065">
        <v>57005299569</v>
      </c>
      <c r="AC11" s="1065">
        <v>35229142037</v>
      </c>
      <c r="AD11" s="1065">
        <v>38434769282</v>
      </c>
      <c r="AE11" s="1065">
        <v>59272384427</v>
      </c>
      <c r="AF11" s="1065">
        <v>47146949417</v>
      </c>
      <c r="AG11" s="1065">
        <v>20104549912</v>
      </c>
      <c r="AH11" s="1065">
        <v>25990115938</v>
      </c>
      <c r="AI11" s="1065">
        <v>31114762314</v>
      </c>
      <c r="AJ11" s="1065">
        <v>50064668583</v>
      </c>
      <c r="AK11" s="1065">
        <v>34637918984</v>
      </c>
      <c r="AL11" s="1065">
        <v>38072208099</v>
      </c>
      <c r="AM11" s="1065">
        <v>46362901450</v>
      </c>
      <c r="AN11" s="1065">
        <v>49299009657</v>
      </c>
      <c r="AO11" s="1065">
        <v>40263056727</v>
      </c>
      <c r="AP11" s="1065">
        <v>33055321701</v>
      </c>
      <c r="AQ11" s="1080">
        <v>29031897962</v>
      </c>
      <c r="AR11" s="1081"/>
      <c r="AS11" s="1065">
        <v>135102719762</v>
      </c>
      <c r="AT11" s="1065">
        <v>165343088587</v>
      </c>
      <c r="AU11" s="1065">
        <v>180969314614</v>
      </c>
      <c r="AV11" s="1065">
        <v>189653816452</v>
      </c>
      <c r="AW11" s="1065">
        <v>241974678505</v>
      </c>
      <c r="AX11" s="1065">
        <v>271566357764</v>
      </c>
      <c r="AY11" s="1065">
        <v>256979131134</v>
      </c>
      <c r="AZ11" s="1065">
        <v>164958653038</v>
      </c>
      <c r="BA11" s="1065">
        <v>141807465819</v>
      </c>
      <c r="BB11" s="1065">
        <v>173997175933</v>
      </c>
      <c r="BC11" s="1065">
        <v>84435109549</v>
      </c>
      <c r="BD11" s="1065">
        <v>62087219663</v>
      </c>
    </row>
    <row r="12" spans="1:56">
      <c r="A12" s="1079" t="s">
        <v>1016</v>
      </c>
      <c r="B12" s="1065">
        <v>921998301</v>
      </c>
      <c r="C12" s="1065">
        <v>637481731</v>
      </c>
      <c r="D12" s="1065">
        <v>822472639</v>
      </c>
      <c r="E12" s="1065">
        <v>958440756</v>
      </c>
      <c r="F12" s="1065">
        <v>1029047513</v>
      </c>
      <c r="G12" s="1065">
        <v>795704678</v>
      </c>
      <c r="H12" s="1065">
        <v>1015021957</v>
      </c>
      <c r="I12" s="1065">
        <v>746436469</v>
      </c>
      <c r="J12" s="1065">
        <v>1015574745</v>
      </c>
      <c r="K12" s="1065">
        <v>794929729</v>
      </c>
      <c r="L12" s="1065">
        <v>929601890</v>
      </c>
      <c r="M12" s="1065">
        <v>784188974</v>
      </c>
      <c r="N12" s="1065">
        <v>991703960</v>
      </c>
      <c r="O12" s="1065">
        <v>431256976</v>
      </c>
      <c r="P12" s="1065">
        <v>604179380</v>
      </c>
      <c r="Q12" s="1065">
        <v>719494165</v>
      </c>
      <c r="R12" s="1065">
        <v>1008664936</v>
      </c>
      <c r="S12" s="1065">
        <v>625506020</v>
      </c>
      <c r="T12" s="1065">
        <v>875812543</v>
      </c>
      <c r="U12" s="1065">
        <v>796346361</v>
      </c>
      <c r="V12" s="1065">
        <v>1020322712</v>
      </c>
      <c r="W12" s="1065">
        <v>1138326466</v>
      </c>
      <c r="X12" s="1065">
        <v>1251334360</v>
      </c>
      <c r="Y12" s="1065">
        <v>1369107413</v>
      </c>
      <c r="Z12" s="1065">
        <v>1511341452</v>
      </c>
      <c r="AA12" s="1065">
        <v>1557698219</v>
      </c>
      <c r="AB12" s="1065">
        <v>1296856919</v>
      </c>
      <c r="AC12" s="1065">
        <v>865634101</v>
      </c>
      <c r="AD12" s="1065">
        <v>1489061064</v>
      </c>
      <c r="AE12" s="1065">
        <v>1376512372</v>
      </c>
      <c r="AF12" s="1065">
        <v>1610972423</v>
      </c>
      <c r="AG12" s="1065">
        <v>1100345533</v>
      </c>
      <c r="AH12" s="1065">
        <v>1230389614</v>
      </c>
      <c r="AI12" s="1065">
        <v>2383579545</v>
      </c>
      <c r="AJ12" s="1065">
        <v>1607265341</v>
      </c>
      <c r="AK12" s="1065">
        <v>1117518693</v>
      </c>
      <c r="AL12" s="1065">
        <v>1193538670</v>
      </c>
      <c r="AM12" s="1065">
        <v>1316617052</v>
      </c>
      <c r="AN12" s="1065">
        <v>1511407985</v>
      </c>
      <c r="AO12" s="1065">
        <v>1533005017</v>
      </c>
      <c r="AP12" s="1065">
        <v>1281046961</v>
      </c>
      <c r="AQ12" s="1080">
        <v>1282773860</v>
      </c>
      <c r="AR12" s="1081"/>
      <c r="AS12" s="1065">
        <v>3340393427</v>
      </c>
      <c r="AT12" s="1065">
        <v>3586210617</v>
      </c>
      <c r="AU12" s="1065">
        <v>3524295338</v>
      </c>
      <c r="AV12" s="1065">
        <v>2746634481</v>
      </c>
      <c r="AW12" s="1065">
        <v>3306329860</v>
      </c>
      <c r="AX12" s="1065">
        <v>4779090951</v>
      </c>
      <c r="AY12" s="1065">
        <v>5231530691</v>
      </c>
      <c r="AZ12" s="1065">
        <v>5576891392</v>
      </c>
      <c r="BA12" s="1065">
        <v>6338753193</v>
      </c>
      <c r="BB12" s="1065">
        <v>5554568724</v>
      </c>
      <c r="BC12" s="1065">
        <v>2510155722</v>
      </c>
      <c r="BD12" s="1065">
        <v>2563820821</v>
      </c>
    </row>
    <row r="13" spans="1:56">
      <c r="A13" s="1079" t="s">
        <v>1017</v>
      </c>
      <c r="B13" s="1065">
        <v>34853680</v>
      </c>
      <c r="C13" s="1065">
        <v>31636697</v>
      </c>
      <c r="D13" s="1065">
        <v>29499707</v>
      </c>
      <c r="E13" s="1065">
        <v>11910680</v>
      </c>
      <c r="F13" s="1065">
        <v>6158329</v>
      </c>
      <c r="G13" s="1065">
        <v>4979966</v>
      </c>
      <c r="H13" s="1065">
        <v>4355872</v>
      </c>
      <c r="I13" s="1065">
        <v>2472328</v>
      </c>
      <c r="J13" s="1065">
        <v>2457535</v>
      </c>
      <c r="K13" s="1065">
        <v>2493150</v>
      </c>
      <c r="L13" s="1065">
        <v>2520548</v>
      </c>
      <c r="M13" s="1065">
        <v>2520548</v>
      </c>
      <c r="N13" s="1065">
        <v>2465753</v>
      </c>
      <c r="O13" s="1065">
        <v>2312329</v>
      </c>
      <c r="P13" s="1065">
        <v>2016438</v>
      </c>
      <c r="Q13" s="1065">
        <v>1227397</v>
      </c>
      <c r="R13" s="1065">
        <v>997261</v>
      </c>
      <c r="S13" s="1065">
        <v>21917</v>
      </c>
      <c r="T13" s="1065">
        <v>0</v>
      </c>
      <c r="U13" s="1065">
        <v>0</v>
      </c>
      <c r="V13" s="1065">
        <v>0</v>
      </c>
      <c r="W13" s="1065">
        <v>0</v>
      </c>
      <c r="X13" s="1065">
        <v>0</v>
      </c>
      <c r="Y13" s="1065">
        <v>0</v>
      </c>
      <c r="Z13" s="1065">
        <v>0</v>
      </c>
      <c r="AA13" s="1065">
        <v>0</v>
      </c>
      <c r="AB13" s="1065">
        <v>0</v>
      </c>
      <c r="AC13" s="1065">
        <v>0</v>
      </c>
      <c r="AD13" s="1065">
        <v>0</v>
      </c>
      <c r="AE13" s="1065">
        <v>0</v>
      </c>
      <c r="AF13" s="1065">
        <v>0</v>
      </c>
      <c r="AG13" s="1065">
        <v>0</v>
      </c>
      <c r="AH13" s="1065">
        <v>0</v>
      </c>
      <c r="AI13" s="1065">
        <v>0</v>
      </c>
      <c r="AJ13" s="1065">
        <v>0</v>
      </c>
      <c r="AK13" s="1065">
        <v>0</v>
      </c>
      <c r="AL13" s="1065">
        <v>0</v>
      </c>
      <c r="AM13" s="1065">
        <v>0</v>
      </c>
      <c r="AN13" s="1065">
        <v>0</v>
      </c>
      <c r="AO13" s="1065">
        <v>0</v>
      </c>
      <c r="AP13" s="1065">
        <v>0</v>
      </c>
      <c r="AQ13" s="1080">
        <v>0</v>
      </c>
      <c r="AR13" s="1081"/>
      <c r="AS13" s="1065">
        <v>107900764</v>
      </c>
      <c r="AT13" s="1065">
        <v>17966495</v>
      </c>
      <c r="AU13" s="1065">
        <v>9991781</v>
      </c>
      <c r="AV13" s="1065">
        <v>8021917</v>
      </c>
      <c r="AW13" s="1065">
        <v>1019178</v>
      </c>
      <c r="AX13" s="1065">
        <v>0</v>
      </c>
      <c r="AY13" s="1065">
        <v>0</v>
      </c>
      <c r="AZ13" s="1065">
        <v>0</v>
      </c>
      <c r="BA13" s="1065">
        <v>0</v>
      </c>
      <c r="BB13" s="1065">
        <v>0</v>
      </c>
      <c r="BC13" s="1065">
        <v>0</v>
      </c>
      <c r="BD13" s="1065">
        <v>0</v>
      </c>
    </row>
    <row r="14" spans="1:56">
      <c r="A14" s="1079" t="s">
        <v>1018</v>
      </c>
      <c r="B14" s="1065">
        <v>15475373695</v>
      </c>
      <c r="C14" s="1065">
        <v>31828575813</v>
      </c>
      <c r="D14" s="1065">
        <v>21264338908</v>
      </c>
      <c r="E14" s="1065">
        <v>38388682194</v>
      </c>
      <c r="F14" s="1065">
        <v>24632170253</v>
      </c>
      <c r="G14" s="1065">
        <v>42436553645</v>
      </c>
      <c r="H14" s="1065">
        <v>37623145435</v>
      </c>
      <c r="I14" s="1065">
        <v>32601779430</v>
      </c>
      <c r="J14" s="1065">
        <v>27931462486</v>
      </c>
      <c r="K14" s="1065">
        <v>32276709188</v>
      </c>
      <c r="L14" s="1065">
        <v>25144496420</v>
      </c>
      <c r="M14" s="1065">
        <v>58251239981</v>
      </c>
      <c r="N14" s="1065">
        <v>46577619377</v>
      </c>
      <c r="O14" s="1065">
        <v>36353899594</v>
      </c>
      <c r="P14" s="1065">
        <v>42891747292</v>
      </c>
      <c r="Q14" s="1065">
        <v>71089777046</v>
      </c>
      <c r="R14" s="1065">
        <v>70821892231</v>
      </c>
      <c r="S14" s="1065">
        <v>60116141526</v>
      </c>
      <c r="T14" s="1065">
        <v>50877902504</v>
      </c>
      <c r="U14" s="1065">
        <v>47755664256</v>
      </c>
      <c r="V14" s="1065">
        <v>68633534522</v>
      </c>
      <c r="W14" s="1065">
        <v>67996758316</v>
      </c>
      <c r="X14" s="1065">
        <v>69347603442</v>
      </c>
      <c r="Y14" s="1065">
        <v>87571766455</v>
      </c>
      <c r="Z14" s="1065">
        <v>76110423216</v>
      </c>
      <c r="AA14" s="1065">
        <v>74234685149</v>
      </c>
      <c r="AB14" s="1065">
        <v>57313099301</v>
      </c>
      <c r="AC14" s="1065">
        <v>52330264197</v>
      </c>
      <c r="AD14" s="1065">
        <v>43701366948</v>
      </c>
      <c r="AE14" s="1065">
        <v>69796275929</v>
      </c>
      <c r="AF14" s="1065">
        <v>85304787451</v>
      </c>
      <c r="AG14" s="1065">
        <v>64902309114</v>
      </c>
      <c r="AH14" s="1065">
        <v>63121533083</v>
      </c>
      <c r="AI14" s="1065">
        <v>101319315961</v>
      </c>
      <c r="AJ14" s="1065">
        <v>81859419542</v>
      </c>
      <c r="AK14" s="1065">
        <v>77589672743</v>
      </c>
      <c r="AL14" s="1065">
        <v>81491602179</v>
      </c>
      <c r="AM14" s="1065">
        <v>84588122797</v>
      </c>
      <c r="AN14" s="1065">
        <v>157735228550</v>
      </c>
      <c r="AO14" s="1065">
        <v>168013502119</v>
      </c>
      <c r="AP14" s="1065">
        <v>91120689930</v>
      </c>
      <c r="AQ14" s="1080">
        <v>90286912412</v>
      </c>
      <c r="AR14" s="1081"/>
      <c r="AS14" s="1065">
        <v>106956970610</v>
      </c>
      <c r="AT14" s="1065">
        <v>137293648763</v>
      </c>
      <c r="AU14" s="1065">
        <v>143603908075</v>
      </c>
      <c r="AV14" s="1065">
        <v>196913043309</v>
      </c>
      <c r="AW14" s="1065">
        <v>229571600517</v>
      </c>
      <c r="AX14" s="1065">
        <v>293549662735</v>
      </c>
      <c r="AY14" s="1065">
        <v>259988471863</v>
      </c>
      <c r="AZ14" s="1065">
        <v>263704739442</v>
      </c>
      <c r="BA14" s="1065">
        <v>323889941329</v>
      </c>
      <c r="BB14" s="1065">
        <v>491828455645</v>
      </c>
      <c r="BC14" s="1065">
        <v>166079724976</v>
      </c>
      <c r="BD14" s="1065">
        <v>181407602342</v>
      </c>
    </row>
    <row r="15" spans="1:56">
      <c r="A15" s="1076" t="s">
        <v>1019</v>
      </c>
      <c r="B15" s="1063">
        <v>110537794465</v>
      </c>
      <c r="C15" s="1063">
        <v>104386214707</v>
      </c>
      <c r="D15" s="1063">
        <v>96476647425</v>
      </c>
      <c r="E15" s="1063">
        <v>179370993605</v>
      </c>
      <c r="F15" s="1063">
        <v>176109423656</v>
      </c>
      <c r="G15" s="1063">
        <v>173185463160</v>
      </c>
      <c r="H15" s="1063">
        <v>195985423330</v>
      </c>
      <c r="I15" s="1063">
        <v>259203194149</v>
      </c>
      <c r="J15" s="1063">
        <v>432022108337</v>
      </c>
      <c r="K15" s="1063">
        <v>312506921650</v>
      </c>
      <c r="L15" s="1063">
        <v>269462482614</v>
      </c>
      <c r="M15" s="1063">
        <v>577193035164</v>
      </c>
      <c r="N15" s="1063">
        <v>348666287779</v>
      </c>
      <c r="O15" s="1063">
        <v>300046829581</v>
      </c>
      <c r="P15" s="1063">
        <v>368144537513</v>
      </c>
      <c r="Q15" s="1063">
        <v>389272956105</v>
      </c>
      <c r="R15" s="1063">
        <v>1686769818253</v>
      </c>
      <c r="S15" s="1063">
        <v>-137946652462</v>
      </c>
      <c r="T15" s="1063">
        <v>391269581130</v>
      </c>
      <c r="U15" s="1063">
        <v>497888465873</v>
      </c>
      <c r="V15" s="1063">
        <v>786602858021</v>
      </c>
      <c r="W15" s="1063">
        <v>443666314363</v>
      </c>
      <c r="X15" s="1063">
        <v>641800511931</v>
      </c>
      <c r="Y15" s="1063">
        <v>574892042013</v>
      </c>
      <c r="Z15" s="1063">
        <v>1012437964287</v>
      </c>
      <c r="AA15" s="1063">
        <v>1119525480317</v>
      </c>
      <c r="AB15" s="1063">
        <v>1214609196725</v>
      </c>
      <c r="AC15" s="1063">
        <v>-15893679953</v>
      </c>
      <c r="AD15" s="1063">
        <v>1182534657999</v>
      </c>
      <c r="AE15" s="1063">
        <v>462637098453</v>
      </c>
      <c r="AF15" s="1063">
        <v>483136282395</v>
      </c>
      <c r="AG15" s="1063">
        <v>1267693010888</v>
      </c>
      <c r="AH15" s="1063">
        <v>937519066851</v>
      </c>
      <c r="AI15" s="1063">
        <v>785840790335</v>
      </c>
      <c r="AJ15" s="1063">
        <v>914043077725</v>
      </c>
      <c r="AK15" s="1063">
        <v>868258112214</v>
      </c>
      <c r="AL15" s="1063">
        <v>974300095530</v>
      </c>
      <c r="AM15" s="1063">
        <v>1013413359036</v>
      </c>
      <c r="AN15" s="1063">
        <v>1077457374661</v>
      </c>
      <c r="AO15" s="1063">
        <v>2167753079913</v>
      </c>
      <c r="AP15" s="1063">
        <v>3863806653058</v>
      </c>
      <c r="AQ15" s="1077">
        <v>6896149782776</v>
      </c>
      <c r="AR15" s="1078"/>
      <c r="AS15" s="1063">
        <v>490771650202</v>
      </c>
      <c r="AT15" s="1063">
        <v>804483504295</v>
      </c>
      <c r="AU15" s="1063">
        <v>1591184547765</v>
      </c>
      <c r="AV15" s="1063">
        <v>1406130610978</v>
      </c>
      <c r="AW15" s="1063">
        <v>2437981212794</v>
      </c>
      <c r="AX15" s="1063">
        <v>2446961726328</v>
      </c>
      <c r="AY15" s="1063">
        <v>3330678961376</v>
      </c>
      <c r="AZ15" s="1063">
        <v>3396001049735</v>
      </c>
      <c r="BA15" s="1063">
        <v>3505661047125</v>
      </c>
      <c r="BB15" s="1063">
        <v>5232923909140</v>
      </c>
      <c r="BC15" s="1063">
        <v>1987713454566</v>
      </c>
      <c r="BD15" s="1063">
        <v>10759956435834</v>
      </c>
    </row>
    <row r="16" spans="1:56">
      <c r="A16" s="1079" t="s">
        <v>1020</v>
      </c>
      <c r="B16" s="1065">
        <v>89786590073</v>
      </c>
      <c r="C16" s="1065">
        <v>91189221536</v>
      </c>
      <c r="D16" s="1065">
        <v>93017963401</v>
      </c>
      <c r="E16" s="1065">
        <v>161010278741</v>
      </c>
      <c r="F16" s="1065">
        <v>132120270123</v>
      </c>
      <c r="G16" s="1065">
        <v>162300913217</v>
      </c>
      <c r="H16" s="1065">
        <v>173664189506</v>
      </c>
      <c r="I16" s="1065">
        <v>248343508428</v>
      </c>
      <c r="J16" s="1065">
        <v>350270789336</v>
      </c>
      <c r="K16" s="1065">
        <v>231083133465</v>
      </c>
      <c r="L16" s="1065">
        <v>323132960609</v>
      </c>
      <c r="M16" s="1065">
        <v>356450085004</v>
      </c>
      <c r="N16" s="1065">
        <v>209675212941</v>
      </c>
      <c r="O16" s="1065">
        <v>276007388182</v>
      </c>
      <c r="P16" s="1065">
        <v>357990727761</v>
      </c>
      <c r="Q16" s="1065">
        <v>336554003266</v>
      </c>
      <c r="R16" s="1065">
        <v>698194301686</v>
      </c>
      <c r="S16" s="1065">
        <v>412105134673</v>
      </c>
      <c r="T16" s="1065">
        <v>459011136570</v>
      </c>
      <c r="U16" s="1065">
        <v>560390345697</v>
      </c>
      <c r="V16" s="1065">
        <v>617014319227</v>
      </c>
      <c r="W16" s="1065">
        <v>406785461631</v>
      </c>
      <c r="X16" s="1065">
        <v>403947715770</v>
      </c>
      <c r="Y16" s="1065">
        <v>603743384757</v>
      </c>
      <c r="Z16" s="1065">
        <v>530027299412</v>
      </c>
      <c r="AA16" s="1065">
        <v>645891933831</v>
      </c>
      <c r="AB16" s="1065">
        <v>554914428888</v>
      </c>
      <c r="AC16" s="1065">
        <v>703421223718</v>
      </c>
      <c r="AD16" s="1065">
        <v>634434562980</v>
      </c>
      <c r="AE16" s="1065">
        <v>455583059070</v>
      </c>
      <c r="AF16" s="1065">
        <v>284662198556</v>
      </c>
      <c r="AG16" s="1065">
        <v>705809200898</v>
      </c>
      <c r="AH16" s="1065">
        <v>494340592390</v>
      </c>
      <c r="AI16" s="1065">
        <v>586842718024</v>
      </c>
      <c r="AJ16" s="1065">
        <v>647551672211</v>
      </c>
      <c r="AK16" s="1065">
        <v>687173110041</v>
      </c>
      <c r="AL16" s="1065">
        <v>529654016245</v>
      </c>
      <c r="AM16" s="1065">
        <v>743949398545</v>
      </c>
      <c r="AN16" s="1065">
        <v>729589198914</v>
      </c>
      <c r="AO16" s="1065">
        <v>1845067214619</v>
      </c>
      <c r="AP16" s="1065">
        <v>3014724485159</v>
      </c>
      <c r="AQ16" s="1080">
        <v>5952665758411</v>
      </c>
      <c r="AR16" s="1081"/>
      <c r="AS16" s="1065">
        <v>435004053751</v>
      </c>
      <c r="AT16" s="1065">
        <v>716428881274</v>
      </c>
      <c r="AU16" s="1065">
        <v>1260936968414</v>
      </c>
      <c r="AV16" s="1065">
        <v>1180227332150</v>
      </c>
      <c r="AW16" s="1065">
        <v>2129700918626</v>
      </c>
      <c r="AX16" s="1065">
        <v>2031490881385</v>
      </c>
      <c r="AY16" s="1065">
        <v>2434254885849</v>
      </c>
      <c r="AZ16" s="1065">
        <v>2080489021504</v>
      </c>
      <c r="BA16" s="1065">
        <v>2415908092666</v>
      </c>
      <c r="BB16" s="1065">
        <v>3848259828323</v>
      </c>
      <c r="BC16" s="1065">
        <v>1273603414790</v>
      </c>
      <c r="BD16" s="1065">
        <v>8967390243570</v>
      </c>
    </row>
    <row r="17" spans="1:56">
      <c r="A17" s="1079" t="s">
        <v>1021</v>
      </c>
      <c r="B17" s="1065">
        <v>16050184900</v>
      </c>
      <c r="C17" s="1065">
        <v>5937461020</v>
      </c>
      <c r="D17" s="1065">
        <v>-2994637555</v>
      </c>
      <c r="E17" s="1065">
        <v>10832533567</v>
      </c>
      <c r="F17" s="1065">
        <v>35855367204</v>
      </c>
      <c r="G17" s="1065">
        <v>3072335915</v>
      </c>
      <c r="H17" s="1065">
        <v>-4891832266</v>
      </c>
      <c r="I17" s="1065">
        <v>10522324385</v>
      </c>
      <c r="J17" s="1065">
        <v>46870794281</v>
      </c>
      <c r="K17" s="1065">
        <v>77766251383</v>
      </c>
      <c r="L17" s="1065">
        <v>-30649990151</v>
      </c>
      <c r="M17" s="1065">
        <v>1616230451</v>
      </c>
      <c r="N17" s="1065">
        <v>137527133585</v>
      </c>
      <c r="O17" s="1065">
        <v>22108550298</v>
      </c>
      <c r="P17" s="1065">
        <v>5165375142</v>
      </c>
      <c r="Q17" s="1065">
        <v>46700234314</v>
      </c>
      <c r="R17" s="1065">
        <v>177050789162</v>
      </c>
      <c r="S17" s="1065">
        <v>-26939990572</v>
      </c>
      <c r="T17" s="1065">
        <v>31309214164</v>
      </c>
      <c r="U17" s="1065">
        <v>70489556902</v>
      </c>
      <c r="V17" s="1065">
        <v>167502747899</v>
      </c>
      <c r="W17" s="1065">
        <v>37953907068</v>
      </c>
      <c r="X17" s="1065">
        <v>125306273043</v>
      </c>
      <c r="Y17" s="1065">
        <v>-27836754358</v>
      </c>
      <c r="Z17" s="1065">
        <v>281537942901</v>
      </c>
      <c r="AA17" s="1065">
        <v>253234224861</v>
      </c>
      <c r="AB17" s="1065">
        <v>197911684378</v>
      </c>
      <c r="AC17" s="1065">
        <v>-321068634398</v>
      </c>
      <c r="AD17" s="1065">
        <v>532697779502</v>
      </c>
      <c r="AE17" s="1065">
        <v>-44217905602</v>
      </c>
      <c r="AF17" s="1065">
        <v>95697519292</v>
      </c>
      <c r="AG17" s="1065">
        <v>431784938441</v>
      </c>
      <c r="AH17" s="1065">
        <v>351691302635</v>
      </c>
      <c r="AI17" s="1065">
        <v>167565345878</v>
      </c>
      <c r="AJ17" s="1065">
        <v>217815538969</v>
      </c>
      <c r="AK17" s="1065">
        <v>124890405412</v>
      </c>
      <c r="AL17" s="1065">
        <v>398796595479</v>
      </c>
      <c r="AM17" s="1065">
        <v>182541387309</v>
      </c>
      <c r="AN17" s="1065">
        <v>364142619523</v>
      </c>
      <c r="AO17" s="1065">
        <v>265477621195</v>
      </c>
      <c r="AP17" s="1065">
        <v>793908925733</v>
      </c>
      <c r="AQ17" s="1080">
        <v>913166276108</v>
      </c>
      <c r="AR17" s="1081"/>
      <c r="AS17" s="1065">
        <v>29825541932</v>
      </c>
      <c r="AT17" s="1065">
        <v>44558195238</v>
      </c>
      <c r="AU17" s="1065">
        <v>95603285964</v>
      </c>
      <c r="AV17" s="1065">
        <v>211501293339</v>
      </c>
      <c r="AW17" s="1065">
        <v>251909569656</v>
      </c>
      <c r="AX17" s="1065">
        <v>302926173652</v>
      </c>
      <c r="AY17" s="1065">
        <v>411615217742</v>
      </c>
      <c r="AZ17" s="1065">
        <v>1015962331633</v>
      </c>
      <c r="BA17" s="1065">
        <v>861962592894</v>
      </c>
      <c r="BB17" s="1065">
        <v>1210958223506</v>
      </c>
      <c r="BC17" s="1065">
        <v>581337982788</v>
      </c>
      <c r="BD17" s="1065">
        <v>1707075201841</v>
      </c>
    </row>
    <row r="18" spans="1:56">
      <c r="A18" s="1079" t="s">
        <v>1022</v>
      </c>
      <c r="B18" s="1065">
        <v>39428352</v>
      </c>
      <c r="C18" s="1065">
        <v>1177722622</v>
      </c>
      <c r="D18" s="1065">
        <v>64287827</v>
      </c>
      <c r="E18" s="1065">
        <v>1215333</v>
      </c>
      <c r="F18" s="1065">
        <v>262163056</v>
      </c>
      <c r="G18" s="1065">
        <v>12155636</v>
      </c>
      <c r="H18" s="1065">
        <v>3217804688</v>
      </c>
      <c r="I18" s="1065">
        <v>1708541913</v>
      </c>
      <c r="J18" s="1065">
        <v>11270854</v>
      </c>
      <c r="K18" s="1065">
        <v>626550602</v>
      </c>
      <c r="L18" s="1065">
        <v>99102881</v>
      </c>
      <c r="M18" s="1065">
        <v>1346168111</v>
      </c>
      <c r="N18" s="1065">
        <v>364176120</v>
      </c>
      <c r="O18" s="1065">
        <v>1363630240</v>
      </c>
      <c r="P18" s="1065">
        <v>2134688826</v>
      </c>
      <c r="Q18" s="1065">
        <v>1972160123</v>
      </c>
      <c r="R18" s="1065">
        <v>16511395397</v>
      </c>
      <c r="S18" s="1065">
        <v>3914061799</v>
      </c>
      <c r="T18" s="1065">
        <v>5004349168</v>
      </c>
      <c r="U18" s="1065">
        <v>17863512280</v>
      </c>
      <c r="V18" s="1065">
        <v>367219657</v>
      </c>
      <c r="W18" s="1065">
        <v>71008393</v>
      </c>
      <c r="X18" s="1065">
        <v>718065046</v>
      </c>
      <c r="Y18" s="1065">
        <v>1051974945</v>
      </c>
      <c r="Z18" s="1065">
        <v>980626251</v>
      </c>
      <c r="AA18" s="1065">
        <v>7096539093</v>
      </c>
      <c r="AB18" s="1065">
        <v>25522175121</v>
      </c>
      <c r="AC18" s="1065">
        <v>3524030574</v>
      </c>
      <c r="AD18" s="1065">
        <v>3253784483</v>
      </c>
      <c r="AE18" s="1065">
        <v>4436328744</v>
      </c>
      <c r="AF18" s="1065">
        <v>18693407219</v>
      </c>
      <c r="AG18" s="1065">
        <v>25969206509</v>
      </c>
      <c r="AH18" s="1065">
        <v>47763495900</v>
      </c>
      <c r="AI18" s="1065">
        <v>52939917076</v>
      </c>
      <c r="AJ18" s="1065">
        <v>30254924150</v>
      </c>
      <c r="AK18" s="1065">
        <v>27474186117</v>
      </c>
      <c r="AL18" s="1065">
        <v>26870219458</v>
      </c>
      <c r="AM18" s="1065">
        <v>63056545901</v>
      </c>
      <c r="AN18" s="1065">
        <v>10803608730</v>
      </c>
      <c r="AO18" s="1065">
        <v>20559129018</v>
      </c>
      <c r="AP18" s="1065">
        <v>13368073664</v>
      </c>
      <c r="AQ18" s="1080">
        <v>47757622717</v>
      </c>
      <c r="AR18" s="1081"/>
      <c r="AS18" s="1065">
        <v>1282654134</v>
      </c>
      <c r="AT18" s="1065">
        <v>5200665293</v>
      </c>
      <c r="AU18" s="1065">
        <v>2083092448</v>
      </c>
      <c r="AV18" s="1065">
        <v>5834655309</v>
      </c>
      <c r="AW18" s="1065">
        <v>43293318644</v>
      </c>
      <c r="AX18" s="1065">
        <v>2208268041</v>
      </c>
      <c r="AY18" s="1065">
        <v>37123371039</v>
      </c>
      <c r="AZ18" s="1065">
        <v>52352726955</v>
      </c>
      <c r="BA18" s="1065">
        <v>158432523243</v>
      </c>
      <c r="BB18" s="1065">
        <v>121289503107</v>
      </c>
      <c r="BC18" s="1065">
        <v>89926765359</v>
      </c>
      <c r="BD18" s="1065">
        <v>61125696381</v>
      </c>
    </row>
    <row r="19" spans="1:56">
      <c r="A19" s="1079" t="s">
        <v>1023</v>
      </c>
      <c r="B19" s="1065">
        <v>2939832514</v>
      </c>
      <c r="C19" s="1065">
        <v>51291751</v>
      </c>
      <c r="D19" s="1065">
        <v>3220246503</v>
      </c>
      <c r="E19" s="1065">
        <v>-103160975</v>
      </c>
      <c r="F19" s="1065">
        <v>6113708228</v>
      </c>
      <c r="G19" s="1065">
        <v>5464867617</v>
      </c>
      <c r="H19" s="1065">
        <v>22975709153</v>
      </c>
      <c r="I19" s="1065">
        <v>-4185079337</v>
      </c>
      <c r="J19" s="1065">
        <v>32960880759</v>
      </c>
      <c r="K19" s="1065">
        <v>2816956362</v>
      </c>
      <c r="L19" s="1065">
        <v>-23185699100</v>
      </c>
      <c r="M19" s="1065">
        <v>215358747236</v>
      </c>
      <c r="N19" s="1065">
        <v>783094328</v>
      </c>
      <c r="O19" s="1065">
        <v>550209456</v>
      </c>
      <c r="P19" s="1065">
        <v>1716568545</v>
      </c>
      <c r="Q19" s="1065">
        <v>2680993903</v>
      </c>
      <c r="R19" s="1065">
        <v>794816447838</v>
      </c>
      <c r="S19" s="1065">
        <v>-527017018114</v>
      </c>
      <c r="T19" s="1065">
        <v>-104068649094</v>
      </c>
      <c r="U19" s="1065">
        <v>-150673504907</v>
      </c>
      <c r="V19" s="1065">
        <v>1718571238</v>
      </c>
      <c r="W19" s="1065">
        <v>-1150489939</v>
      </c>
      <c r="X19" s="1065">
        <v>111822586466</v>
      </c>
      <c r="Y19" s="1065">
        <v>-3662199938</v>
      </c>
      <c r="Z19" s="1065">
        <v>199768557018</v>
      </c>
      <c r="AA19" s="1065">
        <v>213302782532</v>
      </c>
      <c r="AB19" s="1065">
        <v>431663922697</v>
      </c>
      <c r="AC19" s="1065">
        <v>-401878882664</v>
      </c>
      <c r="AD19" s="1065">
        <v>2342766641</v>
      </c>
      <c r="AE19" s="1065">
        <v>36836511301</v>
      </c>
      <c r="AF19" s="1065">
        <v>84075101122</v>
      </c>
      <c r="AG19" s="1065">
        <v>104663958737</v>
      </c>
      <c r="AH19" s="1065">
        <v>35377962373</v>
      </c>
      <c r="AI19" s="1065">
        <v>-23205525881</v>
      </c>
      <c r="AJ19" s="1065">
        <v>-897848344</v>
      </c>
      <c r="AK19" s="1065">
        <v>24827049835</v>
      </c>
      <c r="AL19" s="1065">
        <v>17927355361</v>
      </c>
      <c r="AM19" s="1065">
        <v>24092985798</v>
      </c>
      <c r="AN19" s="1065">
        <v>-29391614493</v>
      </c>
      <c r="AO19" s="1065">
        <v>36762705852</v>
      </c>
      <c r="AP19" s="1065">
        <v>41014017364</v>
      </c>
      <c r="AQ19" s="1080">
        <v>-17510557069</v>
      </c>
      <c r="AR19" s="1081"/>
      <c r="AS19" s="1065">
        <v>6108209793</v>
      </c>
      <c r="AT19" s="1065">
        <v>30369205661</v>
      </c>
      <c r="AU19" s="1065">
        <v>227950885257</v>
      </c>
      <c r="AV19" s="1065">
        <v>5730866232</v>
      </c>
      <c r="AW19" s="1065">
        <v>13057275723</v>
      </c>
      <c r="AX19" s="1065">
        <v>108728467827</v>
      </c>
      <c r="AY19" s="1065">
        <v>442856379583</v>
      </c>
      <c r="AZ19" s="1065">
        <v>227918337801</v>
      </c>
      <c r="BA19" s="1065">
        <v>36101637983</v>
      </c>
      <c r="BB19" s="1065">
        <v>49391432518</v>
      </c>
      <c r="BC19" s="1065">
        <v>42020341159</v>
      </c>
      <c r="BD19" s="1065">
        <v>23503460295</v>
      </c>
    </row>
    <row r="20" spans="1:56">
      <c r="A20" s="1079" t="s">
        <v>1024</v>
      </c>
      <c r="B20" s="1065">
        <v>1721758626</v>
      </c>
      <c r="C20" s="1065">
        <v>6030517778</v>
      </c>
      <c r="D20" s="1065">
        <v>3168787249</v>
      </c>
      <c r="E20" s="1065">
        <v>7630126939</v>
      </c>
      <c r="F20" s="1065">
        <v>1757915045</v>
      </c>
      <c r="G20" s="1065">
        <v>2335190775</v>
      </c>
      <c r="H20" s="1065">
        <v>1019552249</v>
      </c>
      <c r="I20" s="1065">
        <v>2813898760</v>
      </c>
      <c r="J20" s="1065">
        <v>0</v>
      </c>
      <c r="K20" s="1065">
        <v>0</v>
      </c>
      <c r="L20" s="1065">
        <v>0</v>
      </c>
      <c r="M20" s="1065">
        <v>0</v>
      </c>
      <c r="N20" s="1065">
        <v>0</v>
      </c>
      <c r="O20" s="1065">
        <v>0</v>
      </c>
      <c r="P20" s="1065">
        <v>0</v>
      </c>
      <c r="Q20" s="1065">
        <v>832446</v>
      </c>
      <c r="R20" s="1065">
        <v>0</v>
      </c>
      <c r="S20" s="1065">
        <v>0</v>
      </c>
      <c r="T20" s="1065">
        <v>20130145</v>
      </c>
      <c r="U20" s="1065">
        <v>0</v>
      </c>
      <c r="V20" s="1065">
        <v>0</v>
      </c>
      <c r="W20" s="1065">
        <v>6427210</v>
      </c>
      <c r="X20" s="1065">
        <v>5871606</v>
      </c>
      <c r="Y20" s="1065">
        <v>1595636607</v>
      </c>
      <c r="Z20" s="1065">
        <v>123538705</v>
      </c>
      <c r="AA20" s="1065">
        <v>0</v>
      </c>
      <c r="AB20" s="1065">
        <v>4596985641</v>
      </c>
      <c r="AC20" s="1065">
        <v>108582817</v>
      </c>
      <c r="AD20" s="1065">
        <v>8425984836</v>
      </c>
      <c r="AE20" s="1065">
        <v>9038155448</v>
      </c>
      <c r="AF20" s="1065">
        <v>183817172</v>
      </c>
      <c r="AG20" s="1065">
        <v>166426865</v>
      </c>
      <c r="AH20" s="1065">
        <v>5025152458</v>
      </c>
      <c r="AI20" s="1065">
        <v>1725736975</v>
      </c>
      <c r="AJ20" s="1065">
        <v>18992149985</v>
      </c>
      <c r="AK20" s="1065">
        <v>4456662877</v>
      </c>
      <c r="AL20" s="1065">
        <v>810063276</v>
      </c>
      <c r="AM20" s="1065">
        <v>14887194</v>
      </c>
      <c r="AN20" s="1065">
        <v>2151930990</v>
      </c>
      <c r="AO20" s="1065">
        <v>48040226</v>
      </c>
      <c r="AP20" s="1065">
        <v>364453558</v>
      </c>
      <c r="AQ20" s="1080">
        <v>395759631</v>
      </c>
      <c r="AR20" s="1081"/>
      <c r="AS20" s="1065">
        <v>18551190592</v>
      </c>
      <c r="AT20" s="1065">
        <v>7926556829</v>
      </c>
      <c r="AU20" s="1065">
        <v>0</v>
      </c>
      <c r="AV20" s="1065">
        <v>832446</v>
      </c>
      <c r="AW20" s="1065">
        <v>20130145</v>
      </c>
      <c r="AX20" s="1065">
        <v>1607935423</v>
      </c>
      <c r="AY20" s="1065">
        <v>4829107163</v>
      </c>
      <c r="AZ20" s="1065">
        <v>17814384321</v>
      </c>
      <c r="BA20" s="1065">
        <v>30199702295</v>
      </c>
      <c r="BB20" s="1065">
        <v>3024921686</v>
      </c>
      <c r="BC20" s="1065">
        <v>824950470</v>
      </c>
      <c r="BD20" s="1065">
        <v>760213189</v>
      </c>
    </row>
    <row r="21" spans="1:56">
      <c r="A21" s="1079" t="s">
        <v>1025</v>
      </c>
      <c r="B21" s="1065">
        <v>0</v>
      </c>
      <c r="C21" s="1065">
        <v>0</v>
      </c>
      <c r="D21" s="1065">
        <v>0</v>
      </c>
      <c r="E21" s="1065">
        <v>0</v>
      </c>
      <c r="F21" s="1065">
        <v>0</v>
      </c>
      <c r="G21" s="1065">
        <v>0</v>
      </c>
      <c r="H21" s="1065">
        <v>0</v>
      </c>
      <c r="I21" s="1065">
        <v>0</v>
      </c>
      <c r="J21" s="1065">
        <v>1908373107</v>
      </c>
      <c r="K21" s="1065">
        <v>214029838</v>
      </c>
      <c r="L21" s="1065">
        <v>66108375</v>
      </c>
      <c r="M21" s="1065">
        <v>2421804362</v>
      </c>
      <c r="N21" s="1065">
        <v>316670805</v>
      </c>
      <c r="O21" s="1065">
        <v>17051405</v>
      </c>
      <c r="P21" s="1065">
        <v>1137177239</v>
      </c>
      <c r="Q21" s="1065">
        <v>1364732053</v>
      </c>
      <c r="R21" s="1065">
        <v>196884170</v>
      </c>
      <c r="S21" s="1065">
        <v>-8840248</v>
      </c>
      <c r="T21" s="1065">
        <v>-6599823</v>
      </c>
      <c r="U21" s="1065">
        <v>-181444099</v>
      </c>
      <c r="V21" s="1065">
        <v>0</v>
      </c>
      <c r="W21" s="1065">
        <v>0</v>
      </c>
      <c r="X21" s="1065">
        <v>0</v>
      </c>
      <c r="Y21" s="1065">
        <v>0</v>
      </c>
      <c r="Z21" s="1065">
        <v>0</v>
      </c>
      <c r="AA21" s="1065">
        <v>0</v>
      </c>
      <c r="AB21" s="1065">
        <v>0</v>
      </c>
      <c r="AC21" s="1065">
        <v>0</v>
      </c>
      <c r="AD21" s="1065">
        <v>1379779557</v>
      </c>
      <c r="AE21" s="1065">
        <v>960949492</v>
      </c>
      <c r="AF21" s="1065">
        <v>-175760966</v>
      </c>
      <c r="AG21" s="1065">
        <v>-700720562</v>
      </c>
      <c r="AH21" s="1065">
        <v>3320561095</v>
      </c>
      <c r="AI21" s="1065">
        <v>-27401737</v>
      </c>
      <c r="AJ21" s="1065">
        <v>326640754</v>
      </c>
      <c r="AK21" s="1065">
        <v>-563302068</v>
      </c>
      <c r="AL21" s="1065">
        <v>241845711</v>
      </c>
      <c r="AM21" s="1065">
        <v>-241845711</v>
      </c>
      <c r="AN21" s="1065">
        <v>161630997</v>
      </c>
      <c r="AO21" s="1065">
        <v>-161630997</v>
      </c>
      <c r="AP21" s="1065">
        <v>426697580</v>
      </c>
      <c r="AQ21" s="1080">
        <v>-325077022</v>
      </c>
      <c r="AR21" s="1081"/>
      <c r="AS21" s="1065">
        <v>0</v>
      </c>
      <c r="AT21" s="1065">
        <v>0</v>
      </c>
      <c r="AU21" s="1065">
        <v>4610315682</v>
      </c>
      <c r="AV21" s="1065">
        <v>2835631502</v>
      </c>
      <c r="AW21" s="1065">
        <v>0</v>
      </c>
      <c r="AX21" s="1065">
        <v>0</v>
      </c>
      <c r="AY21" s="1065">
        <v>0</v>
      </c>
      <c r="AZ21" s="1065">
        <v>1464247521</v>
      </c>
      <c r="BA21" s="1065">
        <v>3056498044</v>
      </c>
      <c r="BB21" s="1065">
        <v>0</v>
      </c>
      <c r="BC21" s="1065">
        <v>0</v>
      </c>
      <c r="BD21" s="1065">
        <v>101620558</v>
      </c>
    </row>
    <row r="22" spans="1:56">
      <c r="A22" s="1079" t="s">
        <v>1026</v>
      </c>
      <c r="B22" s="1065">
        <v>0</v>
      </c>
      <c r="C22" s="1065">
        <v>0</v>
      </c>
      <c r="D22" s="1065">
        <v>0</v>
      </c>
      <c r="E22" s="1065">
        <v>0</v>
      </c>
      <c r="F22" s="1065">
        <v>0</v>
      </c>
      <c r="G22" s="1065">
        <v>0</v>
      </c>
      <c r="H22" s="1065">
        <v>0</v>
      </c>
      <c r="I22" s="1065">
        <v>0</v>
      </c>
      <c r="J22" s="1065">
        <v>0</v>
      </c>
      <c r="K22" s="1065">
        <v>0</v>
      </c>
      <c r="L22" s="1065">
        <v>0</v>
      </c>
      <c r="M22" s="1065">
        <v>0</v>
      </c>
      <c r="N22" s="1065">
        <v>0</v>
      </c>
      <c r="O22" s="1065">
        <v>0</v>
      </c>
      <c r="P22" s="1065">
        <v>0</v>
      </c>
      <c r="Q22" s="1065">
        <v>0</v>
      </c>
      <c r="R22" s="1065">
        <v>0</v>
      </c>
      <c r="S22" s="1065">
        <v>0</v>
      </c>
      <c r="T22" s="1065">
        <v>0</v>
      </c>
      <c r="U22" s="1065">
        <v>0</v>
      </c>
      <c r="V22" s="1065">
        <v>0</v>
      </c>
      <c r="W22" s="1065">
        <v>0</v>
      </c>
      <c r="X22" s="1065">
        <v>0</v>
      </c>
      <c r="Y22" s="1065">
        <v>0</v>
      </c>
      <c r="Z22" s="1065">
        <v>0</v>
      </c>
      <c r="AA22" s="1065">
        <v>0</v>
      </c>
      <c r="AB22" s="1065">
        <v>0</v>
      </c>
      <c r="AC22" s="1065">
        <v>0</v>
      </c>
      <c r="AD22" s="1065">
        <v>0</v>
      </c>
      <c r="AE22" s="1065">
        <v>0</v>
      </c>
      <c r="AF22" s="1065">
        <v>0</v>
      </c>
      <c r="AG22" s="1065">
        <v>0</v>
      </c>
      <c r="AH22" s="1065">
        <v>0</v>
      </c>
      <c r="AI22" s="1065">
        <v>0</v>
      </c>
      <c r="AJ22" s="1065">
        <v>0</v>
      </c>
      <c r="AK22" s="1065">
        <v>0</v>
      </c>
      <c r="AL22" s="1065">
        <v>0</v>
      </c>
      <c r="AM22" s="1065">
        <v>0</v>
      </c>
      <c r="AN22" s="1065">
        <v>0</v>
      </c>
      <c r="AO22" s="1065">
        <v>0</v>
      </c>
      <c r="AP22" s="1065">
        <v>0</v>
      </c>
      <c r="AQ22" s="1080">
        <v>0</v>
      </c>
      <c r="AR22" s="1081"/>
      <c r="AS22" s="1065">
        <v>0</v>
      </c>
      <c r="AT22" s="1065">
        <v>0</v>
      </c>
      <c r="AU22" s="1065">
        <v>0</v>
      </c>
      <c r="AV22" s="1065">
        <v>0</v>
      </c>
      <c r="AW22" s="1065">
        <v>0</v>
      </c>
      <c r="AX22" s="1065">
        <v>0</v>
      </c>
      <c r="AY22" s="1065">
        <v>0</v>
      </c>
      <c r="AZ22" s="1065">
        <v>0</v>
      </c>
      <c r="BA22" s="1065">
        <v>0</v>
      </c>
      <c r="BB22" s="1065">
        <v>0</v>
      </c>
      <c r="BC22" s="1065">
        <v>0</v>
      </c>
      <c r="BD22" s="1065">
        <v>0</v>
      </c>
    </row>
    <row r="23" spans="1:56">
      <c r="A23" s="1079" t="s">
        <v>1027</v>
      </c>
      <c r="B23" s="1065">
        <v>0</v>
      </c>
      <c r="C23" s="1065">
        <v>0</v>
      </c>
      <c r="D23" s="1065">
        <v>0</v>
      </c>
      <c r="E23" s="1065">
        <v>0</v>
      </c>
      <c r="F23" s="1065">
        <v>0</v>
      </c>
      <c r="G23" s="1065">
        <v>0</v>
      </c>
      <c r="H23" s="1065">
        <v>0</v>
      </c>
      <c r="I23" s="1065">
        <v>0</v>
      </c>
      <c r="J23" s="1065">
        <v>0</v>
      </c>
      <c r="K23" s="1065">
        <v>0</v>
      </c>
      <c r="L23" s="1065">
        <v>0</v>
      </c>
      <c r="M23" s="1065">
        <v>0</v>
      </c>
      <c r="N23" s="1065">
        <v>0</v>
      </c>
      <c r="O23" s="1065">
        <v>0</v>
      </c>
      <c r="P23" s="1065">
        <v>0</v>
      </c>
      <c r="Q23" s="1065">
        <v>0</v>
      </c>
      <c r="R23" s="1065">
        <v>0</v>
      </c>
      <c r="S23" s="1065">
        <v>0</v>
      </c>
      <c r="T23" s="1065">
        <v>0</v>
      </c>
      <c r="U23" s="1065">
        <v>0</v>
      </c>
      <c r="V23" s="1065">
        <v>0</v>
      </c>
      <c r="W23" s="1065">
        <v>0</v>
      </c>
      <c r="X23" s="1065">
        <v>0</v>
      </c>
      <c r="Y23" s="1065">
        <v>0</v>
      </c>
      <c r="Z23" s="1065">
        <v>0</v>
      </c>
      <c r="AA23" s="1065">
        <v>0</v>
      </c>
      <c r="AB23" s="1065">
        <v>0</v>
      </c>
      <c r="AC23" s="1065">
        <v>0</v>
      </c>
      <c r="AD23" s="1065">
        <v>0</v>
      </c>
      <c r="AE23" s="1065">
        <v>0</v>
      </c>
      <c r="AF23" s="1065">
        <v>0</v>
      </c>
      <c r="AG23" s="1065">
        <v>0</v>
      </c>
      <c r="AH23" s="1065">
        <v>0</v>
      </c>
      <c r="AI23" s="1065">
        <v>0</v>
      </c>
      <c r="AJ23" s="1065">
        <v>0</v>
      </c>
      <c r="AK23" s="1065">
        <v>0</v>
      </c>
      <c r="AL23" s="1065">
        <v>0</v>
      </c>
      <c r="AM23" s="1065">
        <v>0</v>
      </c>
      <c r="AN23" s="1065">
        <v>0</v>
      </c>
      <c r="AO23" s="1065">
        <v>0</v>
      </c>
      <c r="AP23" s="1065">
        <v>0</v>
      </c>
      <c r="AQ23" s="1080">
        <v>0</v>
      </c>
      <c r="AR23" s="1081"/>
      <c r="AS23" s="1065">
        <v>0</v>
      </c>
      <c r="AT23" s="1065">
        <v>0</v>
      </c>
      <c r="AU23" s="1065">
        <v>0</v>
      </c>
      <c r="AV23" s="1065">
        <v>0</v>
      </c>
      <c r="AW23" s="1065">
        <v>0</v>
      </c>
      <c r="AX23" s="1065">
        <v>0</v>
      </c>
      <c r="AY23" s="1065">
        <v>0</v>
      </c>
      <c r="AZ23" s="1065">
        <v>0</v>
      </c>
      <c r="BA23" s="1065">
        <v>0</v>
      </c>
      <c r="BB23" s="1065">
        <v>0</v>
      </c>
      <c r="BC23" s="1065">
        <v>0</v>
      </c>
      <c r="BD23" s="1065">
        <v>0</v>
      </c>
    </row>
    <row r="24" spans="1:56">
      <c r="A24" s="1076" t="s">
        <v>1028</v>
      </c>
      <c r="B24" s="1063">
        <v>531956773642</v>
      </c>
      <c r="C24" s="1063">
        <v>539289077604</v>
      </c>
      <c r="D24" s="1063">
        <v>488207655103</v>
      </c>
      <c r="E24" s="1063">
        <v>1005683877759</v>
      </c>
      <c r="F24" s="1063">
        <v>623688183653</v>
      </c>
      <c r="G24" s="1063">
        <v>552192353802</v>
      </c>
      <c r="H24" s="1063">
        <v>703787706066</v>
      </c>
      <c r="I24" s="1063">
        <v>797214544261</v>
      </c>
      <c r="J24" s="1063">
        <v>973881182024</v>
      </c>
      <c r="K24" s="1063">
        <v>990611322052</v>
      </c>
      <c r="L24" s="1063">
        <v>1150114872875</v>
      </c>
      <c r="M24" s="1063">
        <v>1544669454964</v>
      </c>
      <c r="N24" s="1063">
        <v>1817922360524</v>
      </c>
      <c r="O24" s="1063">
        <v>1568304151091</v>
      </c>
      <c r="P24" s="1063">
        <v>2001778161283</v>
      </c>
      <c r="Q24" s="1063">
        <v>2041940376842</v>
      </c>
      <c r="R24" s="1063">
        <v>4206725616312</v>
      </c>
      <c r="S24" s="1063">
        <v>1978518001657</v>
      </c>
      <c r="T24" s="1063">
        <v>1986581519596</v>
      </c>
      <c r="U24" s="1063">
        <v>2357308512525</v>
      </c>
      <c r="V24" s="1063">
        <v>3052772835377</v>
      </c>
      <c r="W24" s="1063">
        <v>3339412635955</v>
      </c>
      <c r="X24" s="1063">
        <v>4166872235211</v>
      </c>
      <c r="Y24" s="1063">
        <v>6294993473323</v>
      </c>
      <c r="Z24" s="1063">
        <v>8471669648803</v>
      </c>
      <c r="AA24" s="1063">
        <v>11884199963417</v>
      </c>
      <c r="AB24" s="1063">
        <v>14628171492639</v>
      </c>
      <c r="AC24" s="1063">
        <v>12689603505269</v>
      </c>
      <c r="AD24" s="1063">
        <v>12006004819112</v>
      </c>
      <c r="AE24" s="1063">
        <v>8413122636061</v>
      </c>
      <c r="AF24" s="1063">
        <v>8138476876024</v>
      </c>
      <c r="AG24" s="1063">
        <v>10006356885656</v>
      </c>
      <c r="AH24" s="1063">
        <v>7380695396226</v>
      </c>
      <c r="AI24" s="1063">
        <v>6173296649894</v>
      </c>
      <c r="AJ24" s="1063">
        <v>5773500514929</v>
      </c>
      <c r="AK24" s="1063">
        <v>6320166349886</v>
      </c>
      <c r="AL24" s="1063">
        <v>2630246408885</v>
      </c>
      <c r="AM24" s="1063">
        <v>2614840809690</v>
      </c>
      <c r="AN24" s="1063">
        <v>1413356228674</v>
      </c>
      <c r="AO24" s="1063">
        <v>3015577832144</v>
      </c>
      <c r="AP24" s="1063">
        <v>5623625788838</v>
      </c>
      <c r="AQ24" s="1077">
        <v>5103954209617</v>
      </c>
      <c r="AR24" s="1078"/>
      <c r="AS24" s="1063">
        <v>2565137384108</v>
      </c>
      <c r="AT24" s="1063">
        <v>2676882787782</v>
      </c>
      <c r="AU24" s="1063">
        <v>4659276831915</v>
      </c>
      <c r="AV24" s="1063">
        <v>7429945049740</v>
      </c>
      <c r="AW24" s="1063">
        <v>10529133650090</v>
      </c>
      <c r="AX24" s="1063">
        <v>16854051179866</v>
      </c>
      <c r="AY24" s="1063">
        <v>47673644610128</v>
      </c>
      <c r="AZ24" s="1063">
        <v>38563961216853</v>
      </c>
      <c r="BA24" s="1063">
        <v>25647658910935</v>
      </c>
      <c r="BB24" s="1063">
        <v>9674021279393</v>
      </c>
      <c r="BC24" s="1063">
        <v>5245087218575</v>
      </c>
      <c r="BD24" s="1063">
        <v>10727579998455</v>
      </c>
    </row>
    <row r="25" spans="1:56">
      <c r="A25" s="1079" t="s">
        <v>1029</v>
      </c>
      <c r="B25" s="1065">
        <v>68674027827</v>
      </c>
      <c r="C25" s="1065">
        <v>72849356961</v>
      </c>
      <c r="D25" s="1065">
        <v>66039506584</v>
      </c>
      <c r="E25" s="1065">
        <v>122660139639</v>
      </c>
      <c r="F25" s="1065">
        <v>72796967949</v>
      </c>
      <c r="G25" s="1065">
        <v>80995140941</v>
      </c>
      <c r="H25" s="1065">
        <v>93608633345</v>
      </c>
      <c r="I25" s="1065">
        <v>111852502454</v>
      </c>
      <c r="J25" s="1065">
        <v>179488820918</v>
      </c>
      <c r="K25" s="1065">
        <v>145851014774</v>
      </c>
      <c r="L25" s="1065">
        <v>132342667645</v>
      </c>
      <c r="M25" s="1065">
        <v>283401235105</v>
      </c>
      <c r="N25" s="1065">
        <v>474262006554</v>
      </c>
      <c r="O25" s="1065">
        <v>181512822689</v>
      </c>
      <c r="P25" s="1065">
        <v>177386836465</v>
      </c>
      <c r="Q25" s="1065">
        <v>197798139404</v>
      </c>
      <c r="R25" s="1065">
        <v>692038431402</v>
      </c>
      <c r="S25" s="1065">
        <v>364878434574</v>
      </c>
      <c r="T25" s="1065">
        <v>324983848385</v>
      </c>
      <c r="U25" s="1065">
        <v>371276998104</v>
      </c>
      <c r="V25" s="1065">
        <v>513030914736</v>
      </c>
      <c r="W25" s="1065">
        <v>380156782899</v>
      </c>
      <c r="X25" s="1065">
        <v>425091951421</v>
      </c>
      <c r="Y25" s="1065">
        <v>446932601593</v>
      </c>
      <c r="Z25" s="1065">
        <v>890988479685</v>
      </c>
      <c r="AA25" s="1065">
        <v>566991158188</v>
      </c>
      <c r="AB25" s="1065">
        <v>791812166837</v>
      </c>
      <c r="AC25" s="1065">
        <v>536373070307</v>
      </c>
      <c r="AD25" s="1065">
        <v>1167080526628</v>
      </c>
      <c r="AE25" s="1065">
        <v>653420362965</v>
      </c>
      <c r="AF25" s="1065">
        <v>382518256291</v>
      </c>
      <c r="AG25" s="1065">
        <v>570082869783</v>
      </c>
      <c r="AH25" s="1065">
        <v>1249200185660</v>
      </c>
      <c r="AI25" s="1065">
        <v>513073940944</v>
      </c>
      <c r="AJ25" s="1065">
        <v>1063042637892</v>
      </c>
      <c r="AK25" s="1065">
        <v>828000962668</v>
      </c>
      <c r="AL25" s="1065">
        <v>1016562131129</v>
      </c>
      <c r="AM25" s="1065">
        <v>1706192412393</v>
      </c>
      <c r="AN25" s="1065">
        <v>929061009087</v>
      </c>
      <c r="AO25" s="1065">
        <v>1153062042951</v>
      </c>
      <c r="AP25" s="1065">
        <v>2423393962937</v>
      </c>
      <c r="AQ25" s="1080">
        <v>3125086843777</v>
      </c>
      <c r="AR25" s="1081"/>
      <c r="AS25" s="1065">
        <v>330223031011</v>
      </c>
      <c r="AT25" s="1065">
        <v>359253244689</v>
      </c>
      <c r="AU25" s="1065">
        <v>741083738442</v>
      </c>
      <c r="AV25" s="1065">
        <v>1030959805112</v>
      </c>
      <c r="AW25" s="1065">
        <v>1753177712465</v>
      </c>
      <c r="AX25" s="1065">
        <v>1765212250649</v>
      </c>
      <c r="AY25" s="1065">
        <v>2786164875017</v>
      </c>
      <c r="AZ25" s="1065">
        <v>2773102015667</v>
      </c>
      <c r="BA25" s="1065">
        <v>3653317727164</v>
      </c>
      <c r="BB25" s="1065">
        <v>4804877595560</v>
      </c>
      <c r="BC25" s="1065">
        <v>2722754543522</v>
      </c>
      <c r="BD25" s="1065">
        <v>5548480806714</v>
      </c>
    </row>
    <row r="26" spans="1:56">
      <c r="A26" s="1079" t="s">
        <v>1030</v>
      </c>
      <c r="B26" s="1065">
        <v>463282745815</v>
      </c>
      <c r="C26" s="1065">
        <v>466439720643</v>
      </c>
      <c r="D26" s="1065">
        <v>422168148519</v>
      </c>
      <c r="E26" s="1065">
        <v>883023738120</v>
      </c>
      <c r="F26" s="1065">
        <v>550891215704</v>
      </c>
      <c r="G26" s="1065">
        <v>471197212861</v>
      </c>
      <c r="H26" s="1065">
        <v>610179072721</v>
      </c>
      <c r="I26" s="1065">
        <v>685362041807</v>
      </c>
      <c r="J26" s="1065">
        <v>794392361106</v>
      </c>
      <c r="K26" s="1065">
        <v>844760307278</v>
      </c>
      <c r="L26" s="1065">
        <v>1017772205230</v>
      </c>
      <c r="M26" s="1065">
        <v>1261268219859</v>
      </c>
      <c r="N26" s="1065">
        <v>1343660353970</v>
      </c>
      <c r="O26" s="1065">
        <v>1386791328402</v>
      </c>
      <c r="P26" s="1065">
        <v>1824391324818</v>
      </c>
      <c r="Q26" s="1065">
        <v>1844142237438</v>
      </c>
      <c r="R26" s="1065">
        <v>3514687184910</v>
      </c>
      <c r="S26" s="1065">
        <v>1613639567083</v>
      </c>
      <c r="T26" s="1065">
        <v>1661597671211</v>
      </c>
      <c r="U26" s="1065">
        <v>1986031514421</v>
      </c>
      <c r="V26" s="1065">
        <v>2539741920641</v>
      </c>
      <c r="W26" s="1065">
        <v>2959255853056</v>
      </c>
      <c r="X26" s="1065">
        <v>3741780283790</v>
      </c>
      <c r="Y26" s="1065">
        <v>5848060871730</v>
      </c>
      <c r="Z26" s="1065">
        <v>7580681169118</v>
      </c>
      <c r="AA26" s="1065">
        <v>11317208805229</v>
      </c>
      <c r="AB26" s="1065">
        <v>13836359325802</v>
      </c>
      <c r="AC26" s="1065">
        <v>12153230434962</v>
      </c>
      <c r="AD26" s="1065">
        <v>10838924292484</v>
      </c>
      <c r="AE26" s="1065">
        <v>7759702273096</v>
      </c>
      <c r="AF26" s="1065">
        <v>7755958619733</v>
      </c>
      <c r="AG26" s="1065">
        <v>9436274015873</v>
      </c>
      <c r="AH26" s="1065">
        <v>6131495210566</v>
      </c>
      <c r="AI26" s="1065">
        <v>5660222708950</v>
      </c>
      <c r="AJ26" s="1065">
        <v>4710457877037</v>
      </c>
      <c r="AK26" s="1065">
        <v>5492165387218</v>
      </c>
      <c r="AL26" s="1065">
        <v>1613684277756</v>
      </c>
      <c r="AM26" s="1065">
        <v>908648397297</v>
      </c>
      <c r="AN26" s="1065">
        <v>484295219587</v>
      </c>
      <c r="AO26" s="1065">
        <v>1862515789193</v>
      </c>
      <c r="AP26" s="1065">
        <v>3200231825901</v>
      </c>
      <c r="AQ26" s="1080">
        <v>1978867365840</v>
      </c>
      <c r="AR26" s="1081"/>
      <c r="AS26" s="1065">
        <v>2234914353097</v>
      </c>
      <c r="AT26" s="1065">
        <v>2317629543093</v>
      </c>
      <c r="AU26" s="1065">
        <v>3918193093473</v>
      </c>
      <c r="AV26" s="1065">
        <v>6398985244628</v>
      </c>
      <c r="AW26" s="1065">
        <v>8775955937625</v>
      </c>
      <c r="AX26" s="1065">
        <v>15088838929217</v>
      </c>
      <c r="AY26" s="1065">
        <v>44887479735111</v>
      </c>
      <c r="AZ26" s="1065">
        <v>35790859201186</v>
      </c>
      <c r="BA26" s="1065">
        <v>21994341183771</v>
      </c>
      <c r="BB26" s="1065">
        <v>4869143683833</v>
      </c>
      <c r="BC26" s="1065">
        <v>2522332675053</v>
      </c>
      <c r="BD26" s="1065">
        <v>5179099191741</v>
      </c>
    </row>
    <row r="27" spans="1:56">
      <c r="A27" s="1076" t="s">
        <v>1031</v>
      </c>
      <c r="B27" s="1063">
        <v>91317639136</v>
      </c>
      <c r="C27" s="1063">
        <v>96337016649</v>
      </c>
      <c r="D27" s="1063">
        <v>99701824436</v>
      </c>
      <c r="E27" s="1063">
        <v>98747662644</v>
      </c>
      <c r="F27" s="1063">
        <v>105168177553</v>
      </c>
      <c r="G27" s="1063">
        <v>96931211535</v>
      </c>
      <c r="H27" s="1063">
        <v>102714291173</v>
      </c>
      <c r="I27" s="1063">
        <v>108915080864</v>
      </c>
      <c r="J27" s="1063">
        <v>120584768196</v>
      </c>
      <c r="K27" s="1063">
        <v>151605106642</v>
      </c>
      <c r="L27" s="1063">
        <v>181236230259</v>
      </c>
      <c r="M27" s="1063">
        <v>191231786799</v>
      </c>
      <c r="N27" s="1063">
        <v>193725395219</v>
      </c>
      <c r="O27" s="1063">
        <v>213015074664</v>
      </c>
      <c r="P27" s="1063">
        <v>207550601076</v>
      </c>
      <c r="Q27" s="1063">
        <v>194539922991</v>
      </c>
      <c r="R27" s="1063">
        <v>193233570368</v>
      </c>
      <c r="S27" s="1063">
        <v>176632425417</v>
      </c>
      <c r="T27" s="1063">
        <v>156995797422</v>
      </c>
      <c r="U27" s="1063">
        <v>151667662108</v>
      </c>
      <c r="V27" s="1063">
        <v>169007545266</v>
      </c>
      <c r="W27" s="1063">
        <v>180760315119</v>
      </c>
      <c r="X27" s="1063">
        <v>180146371071</v>
      </c>
      <c r="Y27" s="1063">
        <v>187979358081</v>
      </c>
      <c r="Z27" s="1063">
        <v>257518133286</v>
      </c>
      <c r="AA27" s="1063">
        <v>274804515705</v>
      </c>
      <c r="AB27" s="1063">
        <v>336080575146</v>
      </c>
      <c r="AC27" s="1063">
        <v>437725426321</v>
      </c>
      <c r="AD27" s="1063">
        <v>365314541264</v>
      </c>
      <c r="AE27" s="1063">
        <v>369668050882</v>
      </c>
      <c r="AF27" s="1063">
        <v>377602829820</v>
      </c>
      <c r="AG27" s="1063">
        <v>391494514419</v>
      </c>
      <c r="AH27" s="1063">
        <v>377517570497</v>
      </c>
      <c r="AI27" s="1063">
        <v>337085815460</v>
      </c>
      <c r="AJ27" s="1063">
        <v>380436453732</v>
      </c>
      <c r="AK27" s="1063">
        <v>411601882267</v>
      </c>
      <c r="AL27" s="1063">
        <v>419450708856</v>
      </c>
      <c r="AM27" s="1063">
        <v>421393751701</v>
      </c>
      <c r="AN27" s="1063">
        <v>383014362113</v>
      </c>
      <c r="AO27" s="1063">
        <v>422015296056</v>
      </c>
      <c r="AP27" s="1063">
        <v>446482041618</v>
      </c>
      <c r="AQ27" s="1077">
        <v>523395748184</v>
      </c>
      <c r="AR27" s="1078"/>
      <c r="AS27" s="1063">
        <v>386104142865</v>
      </c>
      <c r="AT27" s="1063">
        <v>413728761125</v>
      </c>
      <c r="AU27" s="1063">
        <v>644657891896</v>
      </c>
      <c r="AV27" s="1063">
        <v>808830993950</v>
      </c>
      <c r="AW27" s="1063">
        <v>678529455315</v>
      </c>
      <c r="AX27" s="1063">
        <v>717893589537</v>
      </c>
      <c r="AY27" s="1063">
        <v>1306128650458</v>
      </c>
      <c r="AZ27" s="1063">
        <v>1504079936385</v>
      </c>
      <c r="BA27" s="1063">
        <v>1506641721956</v>
      </c>
      <c r="BB27" s="1063">
        <v>1645874118726</v>
      </c>
      <c r="BC27" s="1063">
        <v>840844460557</v>
      </c>
      <c r="BD27" s="1063">
        <v>969877789802</v>
      </c>
    </row>
    <row r="28" spans="1:56">
      <c r="A28" s="1079" t="s">
        <v>1032</v>
      </c>
      <c r="B28" s="1065">
        <v>2864529083</v>
      </c>
      <c r="C28" s="1065">
        <v>2459015816</v>
      </c>
      <c r="D28" s="1065">
        <v>2241913934</v>
      </c>
      <c r="E28" s="1065">
        <v>2424533705</v>
      </c>
      <c r="F28" s="1065">
        <v>2171677707</v>
      </c>
      <c r="G28" s="1065">
        <v>2293582934</v>
      </c>
      <c r="H28" s="1065">
        <v>2468349995</v>
      </c>
      <c r="I28" s="1065">
        <v>2407007540</v>
      </c>
      <c r="J28" s="1065">
        <v>2524188225</v>
      </c>
      <c r="K28" s="1065">
        <v>2371869481</v>
      </c>
      <c r="L28" s="1065">
        <v>3044015044</v>
      </c>
      <c r="M28" s="1065">
        <v>4349129645</v>
      </c>
      <c r="N28" s="1065">
        <v>5074440437</v>
      </c>
      <c r="O28" s="1065">
        <v>4880590151</v>
      </c>
      <c r="P28" s="1065">
        <v>4687409670</v>
      </c>
      <c r="Q28" s="1065">
        <v>4574216341</v>
      </c>
      <c r="R28" s="1065">
        <v>5280644144</v>
      </c>
      <c r="S28" s="1065">
        <v>4243049829</v>
      </c>
      <c r="T28" s="1065">
        <v>2959186515</v>
      </c>
      <c r="U28" s="1065">
        <v>2352480790</v>
      </c>
      <c r="V28" s="1065">
        <v>2178862212</v>
      </c>
      <c r="W28" s="1065">
        <v>1920013656</v>
      </c>
      <c r="X28" s="1065">
        <v>1853105597</v>
      </c>
      <c r="Y28" s="1065">
        <v>4150260604</v>
      </c>
      <c r="Z28" s="1065">
        <v>8895285363</v>
      </c>
      <c r="AA28" s="1065">
        <v>7849682420</v>
      </c>
      <c r="AB28" s="1065">
        <v>11198659199</v>
      </c>
      <c r="AC28" s="1065">
        <v>14145834908</v>
      </c>
      <c r="AD28" s="1065">
        <v>21122102353</v>
      </c>
      <c r="AE28" s="1065">
        <v>16604153427</v>
      </c>
      <c r="AF28" s="1065">
        <v>17067366311</v>
      </c>
      <c r="AG28" s="1065">
        <v>25904288378</v>
      </c>
      <c r="AH28" s="1065">
        <v>24783566136</v>
      </c>
      <c r="AI28" s="1065">
        <v>19775823189</v>
      </c>
      <c r="AJ28" s="1065">
        <v>15558095767</v>
      </c>
      <c r="AK28" s="1065">
        <v>15763337524</v>
      </c>
      <c r="AL28" s="1065">
        <v>15762648973</v>
      </c>
      <c r="AM28" s="1065">
        <v>17400013166</v>
      </c>
      <c r="AN28" s="1065">
        <v>18742268884</v>
      </c>
      <c r="AO28" s="1065">
        <v>26888955803</v>
      </c>
      <c r="AP28" s="1065">
        <v>30083237963</v>
      </c>
      <c r="AQ28" s="1080">
        <v>24588834797</v>
      </c>
      <c r="AR28" s="1081"/>
      <c r="AS28" s="1065">
        <v>9989992538</v>
      </c>
      <c r="AT28" s="1065">
        <v>9340618176</v>
      </c>
      <c r="AU28" s="1065">
        <v>12289202395</v>
      </c>
      <c r="AV28" s="1065">
        <v>19216656599</v>
      </c>
      <c r="AW28" s="1065">
        <v>14835361278</v>
      </c>
      <c r="AX28" s="1065">
        <v>10102242069</v>
      </c>
      <c r="AY28" s="1065">
        <v>42089461890</v>
      </c>
      <c r="AZ28" s="1065">
        <v>80697910469</v>
      </c>
      <c r="BA28" s="1065">
        <v>75880822616</v>
      </c>
      <c r="BB28" s="1065">
        <v>78793886826</v>
      </c>
      <c r="BC28" s="1065">
        <v>33162662139</v>
      </c>
      <c r="BD28" s="1065">
        <v>54672072760</v>
      </c>
    </row>
    <row r="29" spans="1:56">
      <c r="A29" s="1079" t="s">
        <v>1033</v>
      </c>
      <c r="B29" s="1065">
        <v>40559473915</v>
      </c>
      <c r="C29" s="1065">
        <v>42184465460</v>
      </c>
      <c r="D29" s="1065">
        <v>42172898466</v>
      </c>
      <c r="E29" s="1065">
        <v>46152622626</v>
      </c>
      <c r="F29" s="1065">
        <v>45596052917</v>
      </c>
      <c r="G29" s="1065">
        <v>43103160799</v>
      </c>
      <c r="H29" s="1065">
        <v>43621611862</v>
      </c>
      <c r="I29" s="1065">
        <v>41190299304</v>
      </c>
      <c r="J29" s="1065">
        <v>55890866091</v>
      </c>
      <c r="K29" s="1065">
        <v>75281084316</v>
      </c>
      <c r="L29" s="1065">
        <v>86319018961</v>
      </c>
      <c r="M29" s="1065">
        <v>90472804028</v>
      </c>
      <c r="N29" s="1065">
        <v>78259048847</v>
      </c>
      <c r="O29" s="1065">
        <v>93598179890</v>
      </c>
      <c r="P29" s="1065">
        <v>95231295268</v>
      </c>
      <c r="Q29" s="1065">
        <v>97727093588</v>
      </c>
      <c r="R29" s="1065">
        <v>97444164817</v>
      </c>
      <c r="S29" s="1065">
        <v>93788755672</v>
      </c>
      <c r="T29" s="1065">
        <v>83810473155</v>
      </c>
      <c r="U29" s="1065">
        <v>88001514361</v>
      </c>
      <c r="V29" s="1065">
        <v>102002895808</v>
      </c>
      <c r="W29" s="1065">
        <v>110395641153</v>
      </c>
      <c r="X29" s="1065">
        <v>106608479843</v>
      </c>
      <c r="Y29" s="1065">
        <v>103510229274</v>
      </c>
      <c r="Z29" s="1065">
        <v>127735530618</v>
      </c>
      <c r="AA29" s="1065">
        <v>162902301078</v>
      </c>
      <c r="AB29" s="1065">
        <v>176364602857</v>
      </c>
      <c r="AC29" s="1065">
        <v>271933350567</v>
      </c>
      <c r="AD29" s="1065">
        <v>202666161331</v>
      </c>
      <c r="AE29" s="1065">
        <v>206203066305</v>
      </c>
      <c r="AF29" s="1065">
        <v>209323118876</v>
      </c>
      <c r="AG29" s="1065">
        <v>210932097575</v>
      </c>
      <c r="AH29" s="1065">
        <v>216176477356</v>
      </c>
      <c r="AI29" s="1065">
        <v>184179571211</v>
      </c>
      <c r="AJ29" s="1065">
        <v>229213722215</v>
      </c>
      <c r="AK29" s="1065">
        <v>232118554243</v>
      </c>
      <c r="AL29" s="1065">
        <v>238389719256</v>
      </c>
      <c r="AM29" s="1065">
        <v>219396998774</v>
      </c>
      <c r="AN29" s="1065">
        <v>218418111369</v>
      </c>
      <c r="AO29" s="1065">
        <v>234575320246</v>
      </c>
      <c r="AP29" s="1065">
        <v>243740395206</v>
      </c>
      <c r="AQ29" s="1080">
        <v>284895492198</v>
      </c>
      <c r="AR29" s="1081"/>
      <c r="AS29" s="1065">
        <v>171069460467</v>
      </c>
      <c r="AT29" s="1065">
        <v>173511124882</v>
      </c>
      <c r="AU29" s="1065">
        <v>307963773396</v>
      </c>
      <c r="AV29" s="1065">
        <v>364815617593</v>
      </c>
      <c r="AW29" s="1065">
        <v>363044908005</v>
      </c>
      <c r="AX29" s="1065">
        <v>422517246078</v>
      </c>
      <c r="AY29" s="1065">
        <v>738935785120</v>
      </c>
      <c r="AZ29" s="1065">
        <v>829124444087</v>
      </c>
      <c r="BA29" s="1065">
        <v>861688325025</v>
      </c>
      <c r="BB29" s="1065">
        <v>910780149645</v>
      </c>
      <c r="BC29" s="1065">
        <v>457786718030</v>
      </c>
      <c r="BD29" s="1065">
        <v>528635887404</v>
      </c>
    </row>
    <row r="30" spans="1:56">
      <c r="A30" s="1079" t="s">
        <v>1034</v>
      </c>
      <c r="B30" s="1065">
        <v>1731186277</v>
      </c>
      <c r="C30" s="1065">
        <v>2534438182</v>
      </c>
      <c r="D30" s="1065">
        <v>4334500881</v>
      </c>
      <c r="E30" s="1065">
        <v>5604454921</v>
      </c>
      <c r="F30" s="1065">
        <v>4913402506</v>
      </c>
      <c r="G30" s="1065">
        <v>3620135660</v>
      </c>
      <c r="H30" s="1065">
        <v>6446176897</v>
      </c>
      <c r="I30" s="1065">
        <v>14468540650</v>
      </c>
      <c r="J30" s="1065">
        <v>5678386098</v>
      </c>
      <c r="K30" s="1065">
        <v>4789836026</v>
      </c>
      <c r="L30" s="1065">
        <v>13945730632</v>
      </c>
      <c r="M30" s="1065">
        <v>12811719317</v>
      </c>
      <c r="N30" s="1065">
        <v>5581572808</v>
      </c>
      <c r="O30" s="1065">
        <v>7562998891</v>
      </c>
      <c r="P30" s="1065">
        <v>6820491094</v>
      </c>
      <c r="Q30" s="1065">
        <v>4559350874</v>
      </c>
      <c r="R30" s="1065">
        <v>764399332</v>
      </c>
      <c r="S30" s="1065">
        <v>586904289</v>
      </c>
      <c r="T30" s="1065">
        <v>612621956</v>
      </c>
      <c r="U30" s="1065">
        <v>1082211398</v>
      </c>
      <c r="V30" s="1065">
        <v>1461638758</v>
      </c>
      <c r="W30" s="1065">
        <v>1708894782</v>
      </c>
      <c r="X30" s="1065">
        <v>2256311201</v>
      </c>
      <c r="Y30" s="1065">
        <v>8482919867</v>
      </c>
      <c r="Z30" s="1065">
        <v>12741248529</v>
      </c>
      <c r="AA30" s="1065">
        <v>21689596503</v>
      </c>
      <c r="AB30" s="1065">
        <v>32507768549</v>
      </c>
      <c r="AC30" s="1065">
        <v>35756805721</v>
      </c>
      <c r="AD30" s="1065">
        <v>29651683349</v>
      </c>
      <c r="AE30" s="1065">
        <v>21341528959</v>
      </c>
      <c r="AF30" s="1065">
        <v>22963210523</v>
      </c>
      <c r="AG30" s="1065">
        <v>25335635170</v>
      </c>
      <c r="AH30" s="1065">
        <v>22254624655</v>
      </c>
      <c r="AI30" s="1065">
        <v>20287688467</v>
      </c>
      <c r="AJ30" s="1065">
        <v>18348441885</v>
      </c>
      <c r="AK30" s="1065">
        <v>17667895117</v>
      </c>
      <c r="AL30" s="1065">
        <v>19436961704</v>
      </c>
      <c r="AM30" s="1065">
        <v>22165887708</v>
      </c>
      <c r="AN30" s="1065">
        <v>26939763741</v>
      </c>
      <c r="AO30" s="1065">
        <v>30706258562</v>
      </c>
      <c r="AP30" s="1065">
        <v>33800603074</v>
      </c>
      <c r="AQ30" s="1080">
        <v>38244788919</v>
      </c>
      <c r="AR30" s="1081"/>
      <c r="AS30" s="1065">
        <v>14204580261</v>
      </c>
      <c r="AT30" s="1065">
        <v>29448255713</v>
      </c>
      <c r="AU30" s="1065">
        <v>37225672073</v>
      </c>
      <c r="AV30" s="1065">
        <v>24524413667</v>
      </c>
      <c r="AW30" s="1065">
        <v>3046136975</v>
      </c>
      <c r="AX30" s="1065">
        <v>13909764608</v>
      </c>
      <c r="AY30" s="1065">
        <v>102695419302</v>
      </c>
      <c r="AZ30" s="1065">
        <v>99292058001</v>
      </c>
      <c r="BA30" s="1065">
        <v>78558650124</v>
      </c>
      <c r="BB30" s="1065">
        <v>99248871715</v>
      </c>
      <c r="BC30" s="1065">
        <v>41602849412</v>
      </c>
      <c r="BD30" s="1065">
        <v>72045391993</v>
      </c>
    </row>
    <row r="31" spans="1:56">
      <c r="A31" s="1079" t="s">
        <v>1035</v>
      </c>
      <c r="B31" s="1065">
        <v>41716275051</v>
      </c>
      <c r="C31" s="1065">
        <v>45050972709</v>
      </c>
      <c r="D31" s="1065">
        <v>47574930982</v>
      </c>
      <c r="E31" s="1065">
        <v>41297763257</v>
      </c>
      <c r="F31" s="1065">
        <v>49051049733</v>
      </c>
      <c r="G31" s="1065">
        <v>44986676354</v>
      </c>
      <c r="H31" s="1065">
        <v>47209450890</v>
      </c>
      <c r="I31" s="1065">
        <v>48599977567</v>
      </c>
      <c r="J31" s="1065">
        <v>52098004346</v>
      </c>
      <c r="K31" s="1065">
        <v>63177533007</v>
      </c>
      <c r="L31" s="1065">
        <v>71902402523</v>
      </c>
      <c r="M31" s="1065">
        <v>77699662761</v>
      </c>
      <c r="N31" s="1065">
        <v>96263358968</v>
      </c>
      <c r="O31" s="1065">
        <v>98766358553</v>
      </c>
      <c r="P31" s="1065">
        <v>92684756085</v>
      </c>
      <c r="Q31" s="1065">
        <v>80503263488</v>
      </c>
      <c r="R31" s="1065">
        <v>81506105264</v>
      </c>
      <c r="S31" s="1065">
        <v>72257570393</v>
      </c>
      <c r="T31" s="1065">
        <v>64520572257</v>
      </c>
      <c r="U31" s="1065">
        <v>56184145846</v>
      </c>
      <c r="V31" s="1065">
        <v>58543238945</v>
      </c>
      <c r="W31" s="1065">
        <v>60801547264</v>
      </c>
      <c r="X31" s="1065">
        <v>60660474630</v>
      </c>
      <c r="Y31" s="1065">
        <v>58452608555</v>
      </c>
      <c r="Z31" s="1065">
        <v>91815768553</v>
      </c>
      <c r="AA31" s="1065">
        <v>54854353601</v>
      </c>
      <c r="AB31" s="1065">
        <v>73809829344</v>
      </c>
      <c r="AC31" s="1065">
        <v>63729592201</v>
      </c>
      <c r="AD31" s="1065">
        <v>75247146552</v>
      </c>
      <c r="AE31" s="1065">
        <v>83226141755</v>
      </c>
      <c r="AF31" s="1065">
        <v>84641359572</v>
      </c>
      <c r="AG31" s="1065">
        <v>91297349730</v>
      </c>
      <c r="AH31" s="1065">
        <v>85870623570</v>
      </c>
      <c r="AI31" s="1065">
        <v>82315219645</v>
      </c>
      <c r="AJ31" s="1065">
        <v>81863683426</v>
      </c>
      <c r="AK31" s="1065">
        <v>102582922593</v>
      </c>
      <c r="AL31" s="1065">
        <v>115915088784</v>
      </c>
      <c r="AM31" s="1065">
        <v>85493832208</v>
      </c>
      <c r="AN31" s="1065">
        <v>76801309322</v>
      </c>
      <c r="AO31" s="1065">
        <v>88222171740</v>
      </c>
      <c r="AP31" s="1065">
        <v>93193529537</v>
      </c>
      <c r="AQ31" s="1080">
        <v>110714669271</v>
      </c>
      <c r="AR31" s="1081"/>
      <c r="AS31" s="1065">
        <v>175639941999</v>
      </c>
      <c r="AT31" s="1065">
        <v>189847154544</v>
      </c>
      <c r="AU31" s="1065">
        <v>264877602637</v>
      </c>
      <c r="AV31" s="1065">
        <v>368217737094</v>
      </c>
      <c r="AW31" s="1065">
        <v>274468393760</v>
      </c>
      <c r="AX31" s="1065">
        <v>238457869394</v>
      </c>
      <c r="AY31" s="1065">
        <v>284209543699</v>
      </c>
      <c r="AZ31" s="1065">
        <v>334411997609</v>
      </c>
      <c r="BA31" s="1065">
        <v>352632449234</v>
      </c>
      <c r="BB31" s="1065">
        <v>366432402054</v>
      </c>
      <c r="BC31" s="1065">
        <v>201408920992</v>
      </c>
      <c r="BD31" s="1065">
        <v>203908198808</v>
      </c>
    </row>
    <row r="32" spans="1:56">
      <c r="A32" s="1079" t="s">
        <v>1036</v>
      </c>
      <c r="B32" s="1065">
        <v>389353654</v>
      </c>
      <c r="C32" s="1065">
        <v>343570627</v>
      </c>
      <c r="D32" s="1065">
        <v>293154666</v>
      </c>
      <c r="E32" s="1065">
        <v>118471914</v>
      </c>
      <c r="F32" s="1065">
        <v>61355764</v>
      </c>
      <c r="G32" s="1065">
        <v>77506132</v>
      </c>
      <c r="H32" s="1065">
        <v>13707800</v>
      </c>
      <c r="I32" s="1065">
        <v>18141371</v>
      </c>
      <c r="J32" s="1065">
        <v>19008217</v>
      </c>
      <c r="K32" s="1065">
        <v>19121919</v>
      </c>
      <c r="L32" s="1065">
        <v>20050684</v>
      </c>
      <c r="M32" s="1065">
        <v>21424657</v>
      </c>
      <c r="N32" s="1065">
        <v>20958905</v>
      </c>
      <c r="O32" s="1065">
        <v>19401643</v>
      </c>
      <c r="P32" s="1065">
        <v>16433972</v>
      </c>
      <c r="Q32" s="1065">
        <v>10003289</v>
      </c>
      <c r="R32" s="1065">
        <v>8127670</v>
      </c>
      <c r="S32" s="1065">
        <v>178631</v>
      </c>
      <c r="T32" s="1065">
        <v>0</v>
      </c>
      <c r="U32" s="1065">
        <v>0</v>
      </c>
      <c r="V32" s="1065">
        <v>0</v>
      </c>
      <c r="W32" s="1065">
        <v>0</v>
      </c>
      <c r="X32" s="1065">
        <v>0</v>
      </c>
      <c r="Y32" s="1065">
        <v>0</v>
      </c>
      <c r="Z32" s="1065">
        <v>0</v>
      </c>
      <c r="AA32" s="1065">
        <v>0</v>
      </c>
      <c r="AB32" s="1065">
        <v>0</v>
      </c>
      <c r="AC32" s="1065">
        <v>0</v>
      </c>
      <c r="AD32" s="1065">
        <v>0</v>
      </c>
      <c r="AE32" s="1065">
        <v>0</v>
      </c>
      <c r="AF32" s="1065">
        <v>0</v>
      </c>
      <c r="AG32" s="1065">
        <v>0</v>
      </c>
      <c r="AH32" s="1065">
        <v>0</v>
      </c>
      <c r="AI32" s="1065">
        <v>0</v>
      </c>
      <c r="AJ32" s="1065">
        <v>0</v>
      </c>
      <c r="AK32" s="1065">
        <v>0</v>
      </c>
      <c r="AL32" s="1065">
        <v>0</v>
      </c>
      <c r="AM32" s="1065">
        <v>0</v>
      </c>
      <c r="AN32" s="1065">
        <v>0</v>
      </c>
      <c r="AO32" s="1065">
        <v>0</v>
      </c>
      <c r="AP32" s="1065">
        <v>0</v>
      </c>
      <c r="AQ32" s="1080">
        <v>0</v>
      </c>
      <c r="AR32" s="1081"/>
      <c r="AS32" s="1065">
        <v>1144550861</v>
      </c>
      <c r="AT32" s="1065">
        <v>170711067</v>
      </c>
      <c r="AU32" s="1065">
        <v>79605477</v>
      </c>
      <c r="AV32" s="1065">
        <v>66797809</v>
      </c>
      <c r="AW32" s="1065">
        <v>8306301</v>
      </c>
      <c r="AX32" s="1065">
        <v>0</v>
      </c>
      <c r="AY32" s="1065">
        <v>0</v>
      </c>
      <c r="AZ32" s="1065">
        <v>0</v>
      </c>
      <c r="BA32" s="1065">
        <v>0</v>
      </c>
      <c r="BB32" s="1065">
        <v>0</v>
      </c>
      <c r="BC32" s="1065">
        <v>0</v>
      </c>
      <c r="BD32" s="1065">
        <v>0</v>
      </c>
    </row>
    <row r="33" spans="1:56">
      <c r="A33" s="1079" t="s">
        <v>1037</v>
      </c>
      <c r="B33" s="1065">
        <v>4056821156</v>
      </c>
      <c r="C33" s="1065">
        <v>3764553855</v>
      </c>
      <c r="D33" s="1065">
        <v>3084425507</v>
      </c>
      <c r="E33" s="1065">
        <v>3149816221</v>
      </c>
      <c r="F33" s="1065">
        <v>3374638926</v>
      </c>
      <c r="G33" s="1065">
        <v>2850149656</v>
      </c>
      <c r="H33" s="1065">
        <v>2954993729</v>
      </c>
      <c r="I33" s="1065">
        <v>2231114432</v>
      </c>
      <c r="J33" s="1065">
        <v>4374315219</v>
      </c>
      <c r="K33" s="1065">
        <v>5965661893</v>
      </c>
      <c r="L33" s="1065">
        <v>6005012415</v>
      </c>
      <c r="M33" s="1065">
        <v>5877046391</v>
      </c>
      <c r="N33" s="1065">
        <v>8526015254</v>
      </c>
      <c r="O33" s="1065">
        <v>8187545536</v>
      </c>
      <c r="P33" s="1065">
        <v>8110214987</v>
      </c>
      <c r="Q33" s="1065">
        <v>7165995411</v>
      </c>
      <c r="R33" s="1065">
        <v>8230129141</v>
      </c>
      <c r="S33" s="1065">
        <v>5755966603</v>
      </c>
      <c r="T33" s="1065">
        <v>5092943539</v>
      </c>
      <c r="U33" s="1065">
        <v>4047309713</v>
      </c>
      <c r="V33" s="1065">
        <v>4820909543</v>
      </c>
      <c r="W33" s="1065">
        <v>5934218264</v>
      </c>
      <c r="X33" s="1065">
        <v>8767999800</v>
      </c>
      <c r="Y33" s="1065">
        <v>13383339781</v>
      </c>
      <c r="Z33" s="1065">
        <v>16330300223</v>
      </c>
      <c r="AA33" s="1065">
        <v>27508582103</v>
      </c>
      <c r="AB33" s="1065">
        <v>42199715197</v>
      </c>
      <c r="AC33" s="1065">
        <v>52159842924</v>
      </c>
      <c r="AD33" s="1065">
        <v>36627447679</v>
      </c>
      <c r="AE33" s="1065">
        <v>42293160436</v>
      </c>
      <c r="AF33" s="1065">
        <v>43607774538</v>
      </c>
      <c r="AG33" s="1065">
        <v>38025143566</v>
      </c>
      <c r="AH33" s="1065">
        <v>28432278780</v>
      </c>
      <c r="AI33" s="1065">
        <v>30527512948</v>
      </c>
      <c r="AJ33" s="1065">
        <v>35452510439</v>
      </c>
      <c r="AK33" s="1065">
        <v>43469172790</v>
      </c>
      <c r="AL33" s="1065">
        <v>29946290139</v>
      </c>
      <c r="AM33" s="1065">
        <v>76937019845</v>
      </c>
      <c r="AN33" s="1065">
        <v>42112908797</v>
      </c>
      <c r="AO33" s="1065">
        <v>41622589705</v>
      </c>
      <c r="AP33" s="1065">
        <v>45664275838</v>
      </c>
      <c r="AQ33" s="1080">
        <v>64951962999</v>
      </c>
      <c r="AR33" s="1081"/>
      <c r="AS33" s="1065">
        <v>14055616739</v>
      </c>
      <c r="AT33" s="1065">
        <v>11410896743</v>
      </c>
      <c r="AU33" s="1065">
        <v>22222035918</v>
      </c>
      <c r="AV33" s="1065">
        <v>31989771188</v>
      </c>
      <c r="AW33" s="1065">
        <v>23126348996</v>
      </c>
      <c r="AX33" s="1065">
        <v>32906467388</v>
      </c>
      <c r="AY33" s="1065">
        <v>138198440447</v>
      </c>
      <c r="AZ33" s="1065">
        <v>160553526219</v>
      </c>
      <c r="BA33" s="1065">
        <v>137881474957</v>
      </c>
      <c r="BB33" s="1065">
        <v>190618808486</v>
      </c>
      <c r="BC33" s="1065">
        <v>106883309984</v>
      </c>
      <c r="BD33" s="1065">
        <v>110616238837</v>
      </c>
    </row>
    <row r="34" spans="1:56">
      <c r="A34" s="1076" t="s">
        <v>1038</v>
      </c>
      <c r="B34" s="1063">
        <v>697112912</v>
      </c>
      <c r="C34" s="1063">
        <v>1191867145</v>
      </c>
      <c r="D34" s="1063">
        <v>546210157</v>
      </c>
      <c r="E34" s="1063">
        <v>5132983888</v>
      </c>
      <c r="F34" s="1063">
        <v>2559835013</v>
      </c>
      <c r="G34" s="1063">
        <v>-725818908</v>
      </c>
      <c r="H34" s="1063">
        <v>508835848</v>
      </c>
      <c r="I34" s="1063">
        <v>533822767</v>
      </c>
      <c r="J34" s="1063">
        <v>166170123</v>
      </c>
      <c r="K34" s="1063">
        <v>1233860642</v>
      </c>
      <c r="L34" s="1063">
        <v>344525757</v>
      </c>
      <c r="M34" s="1063">
        <v>138579539</v>
      </c>
      <c r="N34" s="1063">
        <v>133762763</v>
      </c>
      <c r="O34" s="1063">
        <v>7086709209</v>
      </c>
      <c r="P34" s="1063">
        <v>1003908792</v>
      </c>
      <c r="Q34" s="1063">
        <v>5359256136</v>
      </c>
      <c r="R34" s="1063">
        <v>25529860</v>
      </c>
      <c r="S34" s="1063">
        <v>222468675</v>
      </c>
      <c r="T34" s="1063">
        <v>908604950</v>
      </c>
      <c r="U34" s="1063">
        <v>445274715</v>
      </c>
      <c r="V34" s="1063">
        <v>1432060582</v>
      </c>
      <c r="W34" s="1063">
        <v>1233164198</v>
      </c>
      <c r="X34" s="1063">
        <v>112004874</v>
      </c>
      <c r="Y34" s="1063">
        <v>-762803301</v>
      </c>
      <c r="Z34" s="1063">
        <v>35441747</v>
      </c>
      <c r="AA34" s="1063">
        <v>674268171</v>
      </c>
      <c r="AB34" s="1063">
        <v>384816143</v>
      </c>
      <c r="AC34" s="1063">
        <v>-205138543</v>
      </c>
      <c r="AD34" s="1063">
        <v>228675377</v>
      </c>
      <c r="AE34" s="1063">
        <v>90233286</v>
      </c>
      <c r="AF34" s="1063">
        <v>25112219</v>
      </c>
      <c r="AG34" s="1063">
        <v>162957702</v>
      </c>
      <c r="AH34" s="1063">
        <v>24771392</v>
      </c>
      <c r="AI34" s="1063">
        <v>2956810584</v>
      </c>
      <c r="AJ34" s="1063">
        <v>0</v>
      </c>
      <c r="AK34" s="1063">
        <v>0</v>
      </c>
      <c r="AL34" s="1063">
        <v>1300000000</v>
      </c>
      <c r="AM34" s="1063">
        <v>0</v>
      </c>
      <c r="AN34" s="1063">
        <v>0</v>
      </c>
      <c r="AO34" s="1063">
        <v>660771877</v>
      </c>
      <c r="AP34" s="1063">
        <v>9283402503</v>
      </c>
      <c r="AQ34" s="1077">
        <v>-9278332428</v>
      </c>
      <c r="AR34" s="1078"/>
      <c r="AS34" s="1063">
        <v>7568174102</v>
      </c>
      <c r="AT34" s="1063">
        <v>2876674720</v>
      </c>
      <c r="AU34" s="1063">
        <v>1883136061</v>
      </c>
      <c r="AV34" s="1063">
        <v>13583636900</v>
      </c>
      <c r="AW34" s="1063">
        <v>1601878200</v>
      </c>
      <c r="AX34" s="1063">
        <v>2014426353</v>
      </c>
      <c r="AY34" s="1063">
        <v>889387518</v>
      </c>
      <c r="AZ34" s="1063">
        <v>506978584</v>
      </c>
      <c r="BA34" s="1063">
        <v>2981581976</v>
      </c>
      <c r="BB34" s="1063">
        <v>1960771877</v>
      </c>
      <c r="BC34" s="1063">
        <v>1300000000</v>
      </c>
      <c r="BD34" s="1063">
        <v>5070075</v>
      </c>
    </row>
    <row r="35" spans="1:56">
      <c r="A35" s="1079" t="s">
        <v>1039</v>
      </c>
      <c r="B35" s="1065">
        <v>697112912</v>
      </c>
      <c r="C35" s="1065">
        <v>1191867145</v>
      </c>
      <c r="D35" s="1065">
        <v>546210157</v>
      </c>
      <c r="E35" s="1065">
        <v>5132983888</v>
      </c>
      <c r="F35" s="1065">
        <v>1537636661</v>
      </c>
      <c r="G35" s="1065">
        <v>296379444</v>
      </c>
      <c r="H35" s="1065">
        <v>508835848</v>
      </c>
      <c r="I35" s="1065">
        <v>533822767</v>
      </c>
      <c r="J35" s="1065">
        <v>166170123</v>
      </c>
      <c r="K35" s="1065">
        <v>151729981</v>
      </c>
      <c r="L35" s="1065">
        <v>1426656418</v>
      </c>
      <c r="M35" s="1065">
        <v>138579539</v>
      </c>
      <c r="N35" s="1065">
        <v>133762763</v>
      </c>
      <c r="O35" s="1065">
        <v>7086709209</v>
      </c>
      <c r="P35" s="1065">
        <v>1003908792</v>
      </c>
      <c r="Q35" s="1065">
        <v>5359256136</v>
      </c>
      <c r="R35" s="1065">
        <v>25529860</v>
      </c>
      <c r="S35" s="1065">
        <v>218540</v>
      </c>
      <c r="T35" s="1065">
        <v>747284089</v>
      </c>
      <c r="U35" s="1065">
        <v>26713726</v>
      </c>
      <c r="V35" s="1065">
        <v>27329122</v>
      </c>
      <c r="W35" s="1065">
        <v>26509381</v>
      </c>
      <c r="X35" s="1065">
        <v>18593573</v>
      </c>
      <c r="Y35" s="1065">
        <v>34971107</v>
      </c>
      <c r="Z35" s="1065">
        <v>25661636</v>
      </c>
      <c r="AA35" s="1065">
        <v>25395967</v>
      </c>
      <c r="AB35" s="1065">
        <v>25112219</v>
      </c>
      <c r="AC35" s="1065">
        <v>41762712</v>
      </c>
      <c r="AD35" s="1065">
        <v>24566301</v>
      </c>
      <c r="AE35" s="1065">
        <v>24839260</v>
      </c>
      <c r="AF35" s="1065">
        <v>25112219</v>
      </c>
      <c r="AG35" s="1065">
        <v>25112219</v>
      </c>
      <c r="AH35" s="1065">
        <v>24771392</v>
      </c>
      <c r="AI35" s="1065">
        <v>2931979141</v>
      </c>
      <c r="AJ35" s="1065">
        <v>0</v>
      </c>
      <c r="AK35" s="1065">
        <v>0</v>
      </c>
      <c r="AL35" s="1065">
        <v>0</v>
      </c>
      <c r="AM35" s="1065">
        <v>0</v>
      </c>
      <c r="AN35" s="1065">
        <v>0</v>
      </c>
      <c r="AO35" s="1065">
        <v>660771877</v>
      </c>
      <c r="AP35" s="1065">
        <v>1358081</v>
      </c>
      <c r="AQ35" s="1080">
        <v>3711994</v>
      </c>
      <c r="AR35" s="1081"/>
      <c r="AS35" s="1065">
        <v>7568174102</v>
      </c>
      <c r="AT35" s="1065">
        <v>2876674720</v>
      </c>
      <c r="AU35" s="1065">
        <v>1883136061</v>
      </c>
      <c r="AV35" s="1065">
        <v>13583636900</v>
      </c>
      <c r="AW35" s="1065">
        <v>799746215</v>
      </c>
      <c r="AX35" s="1065">
        <v>107403183</v>
      </c>
      <c r="AY35" s="1065">
        <v>117932534</v>
      </c>
      <c r="AZ35" s="1087">
        <v>2052.6645675200002</v>
      </c>
      <c r="BA35" s="1065">
        <v>2956750533</v>
      </c>
      <c r="BB35" s="1065">
        <v>660771877</v>
      </c>
      <c r="BC35" s="1065">
        <v>0</v>
      </c>
      <c r="BD35" s="1065">
        <v>5070075</v>
      </c>
    </row>
    <row r="36" spans="1:56">
      <c r="A36" s="1079" t="s">
        <v>1040</v>
      </c>
      <c r="B36" s="1065">
        <v>0</v>
      </c>
      <c r="C36" s="1065">
        <v>0</v>
      </c>
      <c r="D36" s="1065">
        <v>0</v>
      </c>
      <c r="E36" s="1065">
        <v>0</v>
      </c>
      <c r="F36" s="1065">
        <v>1022198352</v>
      </c>
      <c r="G36" s="1065">
        <v>-1022198352</v>
      </c>
      <c r="H36" s="1065">
        <v>0</v>
      </c>
      <c r="I36" s="1065">
        <v>0</v>
      </c>
      <c r="J36" s="1065">
        <v>0</v>
      </c>
      <c r="K36" s="1065">
        <v>1082130661</v>
      </c>
      <c r="L36" s="1065">
        <v>-1082130661</v>
      </c>
      <c r="M36" s="1065">
        <v>0</v>
      </c>
      <c r="N36" s="1065">
        <v>0</v>
      </c>
      <c r="O36" s="1065">
        <v>0</v>
      </c>
      <c r="P36" s="1065">
        <v>0</v>
      </c>
      <c r="Q36" s="1065">
        <v>0</v>
      </c>
      <c r="R36" s="1065">
        <v>0</v>
      </c>
      <c r="S36" s="1065">
        <v>0</v>
      </c>
      <c r="T36" s="1065">
        <v>0</v>
      </c>
      <c r="U36" s="1065">
        <v>0</v>
      </c>
      <c r="V36" s="1065">
        <v>1277654728</v>
      </c>
      <c r="W36" s="1065">
        <v>484892003</v>
      </c>
      <c r="X36" s="1065">
        <v>37411531</v>
      </c>
      <c r="Y36" s="1065">
        <v>-1412797489</v>
      </c>
      <c r="Z36" s="1065">
        <v>0</v>
      </c>
      <c r="AA36" s="1065">
        <v>0</v>
      </c>
      <c r="AB36" s="1065">
        <v>346805145</v>
      </c>
      <c r="AC36" s="1065">
        <v>-346805145</v>
      </c>
      <c r="AD36" s="1065">
        <v>0</v>
      </c>
      <c r="AE36" s="1065">
        <v>0</v>
      </c>
      <c r="AF36" s="1065">
        <v>0</v>
      </c>
      <c r="AG36" s="1065">
        <v>0</v>
      </c>
      <c r="AH36" s="1065">
        <v>0</v>
      </c>
      <c r="AI36" s="1065">
        <v>0</v>
      </c>
      <c r="AJ36" s="1065">
        <v>0</v>
      </c>
      <c r="AK36" s="1065">
        <v>0</v>
      </c>
      <c r="AL36" s="1065">
        <v>0</v>
      </c>
      <c r="AM36" s="1065">
        <v>0</v>
      </c>
      <c r="AN36" s="1065">
        <v>0</v>
      </c>
      <c r="AO36" s="1065">
        <v>0</v>
      </c>
      <c r="AP36" s="1065">
        <v>9282044422</v>
      </c>
      <c r="AQ36" s="1080">
        <v>-9282044422</v>
      </c>
      <c r="AR36" s="1081"/>
      <c r="AS36" s="1065">
        <v>0</v>
      </c>
      <c r="AT36" s="1065">
        <v>0</v>
      </c>
      <c r="AU36" s="1065">
        <v>0</v>
      </c>
      <c r="AV36" s="1065">
        <v>0</v>
      </c>
      <c r="AW36" s="1065">
        <v>0</v>
      </c>
      <c r="AX36" s="1065">
        <v>387160773</v>
      </c>
      <c r="AY36" s="1065">
        <v>0</v>
      </c>
      <c r="AZ36" s="1065">
        <v>0</v>
      </c>
      <c r="BA36" s="1065">
        <v>0</v>
      </c>
      <c r="BB36" s="1065">
        <v>0</v>
      </c>
      <c r="BC36" s="1065">
        <v>0</v>
      </c>
      <c r="BD36" s="1065">
        <v>0</v>
      </c>
    </row>
    <row r="37" spans="1:56">
      <c r="A37" s="1079" t="s">
        <v>1041</v>
      </c>
      <c r="B37" s="1065">
        <v>0</v>
      </c>
      <c r="C37" s="1065">
        <v>0</v>
      </c>
      <c r="D37" s="1065">
        <v>0</v>
      </c>
      <c r="E37" s="1065">
        <v>0</v>
      </c>
      <c r="F37" s="1065">
        <v>0</v>
      </c>
      <c r="G37" s="1065">
        <v>0</v>
      </c>
      <c r="H37" s="1065">
        <v>0</v>
      </c>
      <c r="I37" s="1065">
        <v>0</v>
      </c>
      <c r="J37" s="1065">
        <v>0</v>
      </c>
      <c r="K37" s="1065">
        <v>0</v>
      </c>
      <c r="L37" s="1065">
        <v>0</v>
      </c>
      <c r="M37" s="1065">
        <v>0</v>
      </c>
      <c r="N37" s="1065">
        <v>0</v>
      </c>
      <c r="O37" s="1065">
        <v>0</v>
      </c>
      <c r="P37" s="1065">
        <v>0</v>
      </c>
      <c r="Q37" s="1065">
        <v>0</v>
      </c>
      <c r="R37" s="1065">
        <v>0</v>
      </c>
      <c r="S37" s="1065">
        <v>222250135</v>
      </c>
      <c r="T37" s="1065">
        <v>161320861</v>
      </c>
      <c r="U37" s="1065">
        <v>418560989</v>
      </c>
      <c r="V37" s="1065">
        <v>127076732</v>
      </c>
      <c r="W37" s="1065">
        <v>721762814</v>
      </c>
      <c r="X37" s="1065">
        <v>55999770</v>
      </c>
      <c r="Y37" s="1065">
        <v>615023081</v>
      </c>
      <c r="Z37" s="1065">
        <v>9780111</v>
      </c>
      <c r="AA37" s="1065">
        <v>648872204</v>
      </c>
      <c r="AB37" s="1065">
        <v>12898779</v>
      </c>
      <c r="AC37" s="1065">
        <v>99903890</v>
      </c>
      <c r="AD37" s="1065">
        <v>204109076</v>
      </c>
      <c r="AE37" s="1065">
        <v>65394026</v>
      </c>
      <c r="AF37" s="1065">
        <v>0</v>
      </c>
      <c r="AG37" s="1065">
        <v>137845483</v>
      </c>
      <c r="AH37" s="1065">
        <v>0</v>
      </c>
      <c r="AI37" s="1065">
        <v>24831443</v>
      </c>
      <c r="AJ37" s="1065">
        <v>0</v>
      </c>
      <c r="AK37" s="1065">
        <v>0</v>
      </c>
      <c r="AL37" s="1065">
        <v>1300000000</v>
      </c>
      <c r="AM37" s="1065">
        <v>0</v>
      </c>
      <c r="AN37" s="1065">
        <v>0</v>
      </c>
      <c r="AO37" s="1065">
        <v>0</v>
      </c>
      <c r="AP37" s="1065">
        <v>0</v>
      </c>
      <c r="AQ37" s="1080">
        <v>0</v>
      </c>
      <c r="AR37" s="1081"/>
      <c r="AS37" s="1065">
        <v>0</v>
      </c>
      <c r="AT37" s="1065">
        <v>0</v>
      </c>
      <c r="AU37" s="1065">
        <v>0</v>
      </c>
      <c r="AV37" s="1065">
        <v>0</v>
      </c>
      <c r="AW37" s="1065">
        <v>802131985</v>
      </c>
      <c r="AX37" s="1065">
        <v>1519862397</v>
      </c>
      <c r="AY37" s="1065">
        <v>771454984</v>
      </c>
      <c r="AZ37" s="1065">
        <v>407348585</v>
      </c>
      <c r="BA37" s="1065">
        <v>24831443</v>
      </c>
      <c r="BB37" s="1065">
        <v>1300000000</v>
      </c>
      <c r="BC37" s="1065">
        <v>1300000000</v>
      </c>
      <c r="BD37" s="1065">
        <v>0</v>
      </c>
    </row>
    <row r="38" spans="1:56">
      <c r="A38" s="1076" t="s">
        <v>1042</v>
      </c>
      <c r="B38" s="1063">
        <v>340143746750</v>
      </c>
      <c r="C38" s="1063">
        <v>262136508714</v>
      </c>
      <c r="D38" s="1063">
        <v>206791496273</v>
      </c>
      <c r="E38" s="1063">
        <v>200710251012</v>
      </c>
      <c r="F38" s="1063">
        <v>205592218685</v>
      </c>
      <c r="G38" s="1063">
        <v>159782472618</v>
      </c>
      <c r="H38" s="1063">
        <v>143683676549</v>
      </c>
      <c r="I38" s="1063">
        <v>119610141555</v>
      </c>
      <c r="J38" s="1063">
        <v>172526832678</v>
      </c>
      <c r="K38" s="1063">
        <v>154649024405</v>
      </c>
      <c r="L38" s="1063">
        <v>177259361979</v>
      </c>
      <c r="M38" s="1063">
        <v>160970766920</v>
      </c>
      <c r="N38" s="1063">
        <v>131879161637</v>
      </c>
      <c r="O38" s="1063">
        <v>211702223501</v>
      </c>
      <c r="P38" s="1063">
        <v>277891298458</v>
      </c>
      <c r="Q38" s="1063">
        <v>245857073423</v>
      </c>
      <c r="R38" s="1063">
        <v>447262712943</v>
      </c>
      <c r="S38" s="1063">
        <v>368795804818</v>
      </c>
      <c r="T38" s="1063">
        <v>231764003658</v>
      </c>
      <c r="U38" s="1063">
        <v>317264730499</v>
      </c>
      <c r="V38" s="1063">
        <v>308320551666</v>
      </c>
      <c r="W38" s="1063">
        <v>274137418712</v>
      </c>
      <c r="X38" s="1063">
        <v>315559788649</v>
      </c>
      <c r="Y38" s="1063">
        <v>288946946260</v>
      </c>
      <c r="Z38" s="1063">
        <v>476973546524</v>
      </c>
      <c r="AA38" s="1063">
        <v>666246549513</v>
      </c>
      <c r="AB38" s="1063">
        <v>802196255712</v>
      </c>
      <c r="AC38" s="1063">
        <v>681426082951</v>
      </c>
      <c r="AD38" s="1063">
        <v>545736406150</v>
      </c>
      <c r="AE38" s="1063">
        <v>427422629584</v>
      </c>
      <c r="AF38" s="1063">
        <v>378070258076</v>
      </c>
      <c r="AG38" s="1063">
        <v>472519611710</v>
      </c>
      <c r="AH38" s="1063">
        <v>306790534921</v>
      </c>
      <c r="AI38" s="1063">
        <v>363318381569</v>
      </c>
      <c r="AJ38" s="1063">
        <v>520821022924</v>
      </c>
      <c r="AK38" s="1063">
        <v>547157831426</v>
      </c>
      <c r="AL38" s="1063">
        <v>595926660533</v>
      </c>
      <c r="AM38" s="1063">
        <v>1329899784494</v>
      </c>
      <c r="AN38" s="1063">
        <v>723212855361</v>
      </c>
      <c r="AO38" s="1063">
        <v>1049949838944</v>
      </c>
      <c r="AP38" s="1063">
        <v>2006579398693</v>
      </c>
      <c r="AQ38" s="1077">
        <v>2511586665073</v>
      </c>
      <c r="AR38" s="1078"/>
      <c r="AS38" s="1063">
        <v>1009782002749</v>
      </c>
      <c r="AT38" s="1063">
        <v>628668509407</v>
      </c>
      <c r="AU38" s="1063">
        <v>665405985982</v>
      </c>
      <c r="AV38" s="1063">
        <v>867329757019</v>
      </c>
      <c r="AW38" s="1063">
        <v>1365087251918</v>
      </c>
      <c r="AX38" s="1063">
        <v>1186964705287</v>
      </c>
      <c r="AY38" s="1063">
        <v>2626842434700</v>
      </c>
      <c r="AZ38" s="1063">
        <v>1823748905520</v>
      </c>
      <c r="BA38" s="1063">
        <v>1738087770840</v>
      </c>
      <c r="BB38" s="1063">
        <v>3698989139332</v>
      </c>
      <c r="BC38" s="1063">
        <v>1925826445027</v>
      </c>
      <c r="BD38" s="1063">
        <v>4518166063766</v>
      </c>
    </row>
    <row r="39" spans="1:56">
      <c r="A39" s="1079" t="s">
        <v>1043</v>
      </c>
      <c r="B39" s="1065">
        <v>337834008732</v>
      </c>
      <c r="C39" s="1065">
        <v>263299063896</v>
      </c>
      <c r="D39" s="1065">
        <v>207653779734</v>
      </c>
      <c r="E39" s="1065">
        <v>198358418187</v>
      </c>
      <c r="F39" s="1065">
        <v>204397543581</v>
      </c>
      <c r="G39" s="1065">
        <v>159702835182</v>
      </c>
      <c r="H39" s="1065">
        <v>141738923671</v>
      </c>
      <c r="I39" s="1065">
        <v>121754826636</v>
      </c>
      <c r="J39" s="1065">
        <v>171221011461</v>
      </c>
      <c r="K39" s="1065">
        <v>151721314690</v>
      </c>
      <c r="L39" s="1065">
        <v>176203847543</v>
      </c>
      <c r="M39" s="1065">
        <v>159278632073</v>
      </c>
      <c r="N39" s="1065">
        <v>121688566064</v>
      </c>
      <c r="O39" s="1065">
        <v>188811431323</v>
      </c>
      <c r="P39" s="1065">
        <v>272805253221</v>
      </c>
      <c r="Q39" s="1065">
        <v>249782352289</v>
      </c>
      <c r="R39" s="1065">
        <v>402283211073</v>
      </c>
      <c r="S39" s="1065">
        <v>375384632780</v>
      </c>
      <c r="T39" s="1065">
        <v>237865219885</v>
      </c>
      <c r="U39" s="1065">
        <v>297046225072</v>
      </c>
      <c r="V39" s="1065">
        <v>273121297673</v>
      </c>
      <c r="W39" s="1065">
        <v>281180068581</v>
      </c>
      <c r="X39" s="1065">
        <v>264404585643</v>
      </c>
      <c r="Y39" s="1065">
        <v>296532601933</v>
      </c>
      <c r="Z39" s="1065">
        <v>439298748951</v>
      </c>
      <c r="AA39" s="1065">
        <v>578401409937</v>
      </c>
      <c r="AB39" s="1065">
        <v>632701007875</v>
      </c>
      <c r="AC39" s="1065">
        <v>827395154986</v>
      </c>
      <c r="AD39" s="1065">
        <v>522785748857</v>
      </c>
      <c r="AE39" s="1065">
        <v>411071126604</v>
      </c>
      <c r="AF39" s="1065">
        <v>354902732331</v>
      </c>
      <c r="AG39" s="1065">
        <v>507414817381</v>
      </c>
      <c r="AH39" s="1065">
        <v>284008962679</v>
      </c>
      <c r="AI39" s="1065">
        <v>350632133891</v>
      </c>
      <c r="AJ39" s="1065">
        <v>497616432393</v>
      </c>
      <c r="AK39" s="1065">
        <v>500816242309</v>
      </c>
      <c r="AL39" s="1065">
        <v>577637473344</v>
      </c>
      <c r="AM39" s="1065">
        <v>1209297697097</v>
      </c>
      <c r="AN39" s="1065">
        <v>815079991372</v>
      </c>
      <c r="AO39" s="1065">
        <v>1053930669165</v>
      </c>
      <c r="AP39" s="1065">
        <v>1915909003177</v>
      </c>
      <c r="AQ39" s="1080">
        <v>2448084419012</v>
      </c>
      <c r="AR39" s="1081"/>
      <c r="AS39" s="1065">
        <v>1007145270549</v>
      </c>
      <c r="AT39" s="1065">
        <v>627594129070</v>
      </c>
      <c r="AU39" s="1065">
        <v>658424805767</v>
      </c>
      <c r="AV39" s="1065">
        <v>833087602897</v>
      </c>
      <c r="AW39" s="1065">
        <v>1312579288810</v>
      </c>
      <c r="AX39" s="1065">
        <v>1115238553830</v>
      </c>
      <c r="AY39" s="1065">
        <v>2477796321749</v>
      </c>
      <c r="AZ39" s="1065">
        <v>1796174425173</v>
      </c>
      <c r="BA39" s="1065">
        <v>1633073771272</v>
      </c>
      <c r="BB39" s="1065">
        <v>3655945830978</v>
      </c>
      <c r="BC39" s="1065">
        <v>1786935170441</v>
      </c>
      <c r="BD39" s="1065">
        <v>4363993422189</v>
      </c>
    </row>
    <row r="40" spans="1:56">
      <c r="A40" s="1079" t="s">
        <v>1044</v>
      </c>
      <c r="B40" s="1065">
        <v>2309738018</v>
      </c>
      <c r="C40" s="1065">
        <v>-1162555182</v>
      </c>
      <c r="D40" s="1065">
        <v>-862283461</v>
      </c>
      <c r="E40" s="1065">
        <v>2351832825</v>
      </c>
      <c r="F40" s="1065">
        <v>1194675104</v>
      </c>
      <c r="G40" s="1065">
        <v>79637436</v>
      </c>
      <c r="H40" s="1065">
        <v>1944752878</v>
      </c>
      <c r="I40" s="1065">
        <v>-2144685081</v>
      </c>
      <c r="J40" s="1065">
        <v>1305821217</v>
      </c>
      <c r="K40" s="1065">
        <v>2927709715</v>
      </c>
      <c r="L40" s="1065">
        <v>1055514436</v>
      </c>
      <c r="M40" s="1065">
        <v>1692134847</v>
      </c>
      <c r="N40" s="1065">
        <v>10190595573</v>
      </c>
      <c r="O40" s="1065">
        <v>22890792178</v>
      </c>
      <c r="P40" s="1065">
        <v>5086045237</v>
      </c>
      <c r="Q40" s="1065">
        <v>-3925278866</v>
      </c>
      <c r="R40" s="1065">
        <v>44979501870</v>
      </c>
      <c r="S40" s="1065">
        <v>-6588827962</v>
      </c>
      <c r="T40" s="1065">
        <v>-6101216227</v>
      </c>
      <c r="U40" s="1065">
        <v>20218505427</v>
      </c>
      <c r="V40" s="1065">
        <v>35199253993</v>
      </c>
      <c r="W40" s="1065">
        <v>-7042649869</v>
      </c>
      <c r="X40" s="1065">
        <v>51155203006</v>
      </c>
      <c r="Y40" s="1065">
        <v>-7585655673</v>
      </c>
      <c r="Z40" s="1065">
        <v>37674797573</v>
      </c>
      <c r="AA40" s="1065">
        <v>87845139576</v>
      </c>
      <c r="AB40" s="1065">
        <v>169495247837</v>
      </c>
      <c r="AC40" s="1065">
        <v>-145969072035</v>
      </c>
      <c r="AD40" s="1065">
        <v>22950657293</v>
      </c>
      <c r="AE40" s="1065">
        <v>16351502980</v>
      </c>
      <c r="AF40" s="1065">
        <v>23167525745</v>
      </c>
      <c r="AG40" s="1065">
        <v>-34895205671</v>
      </c>
      <c r="AH40" s="1065">
        <v>22781572242</v>
      </c>
      <c r="AI40" s="1065">
        <v>12686247678</v>
      </c>
      <c r="AJ40" s="1065">
        <v>23204590531</v>
      </c>
      <c r="AK40" s="1065">
        <v>46341589117</v>
      </c>
      <c r="AL40" s="1065">
        <v>18289187189</v>
      </c>
      <c r="AM40" s="1065">
        <v>120602087397</v>
      </c>
      <c r="AN40" s="1065">
        <v>-91867136011</v>
      </c>
      <c r="AO40" s="1065">
        <v>-3980830221</v>
      </c>
      <c r="AP40" s="1065">
        <v>90670395516</v>
      </c>
      <c r="AQ40" s="1080">
        <v>63502246061</v>
      </c>
      <c r="AR40" s="1081"/>
      <c r="AS40" s="1065">
        <v>2636732200</v>
      </c>
      <c r="AT40" s="1065">
        <v>1074380337</v>
      </c>
      <c r="AU40" s="1065">
        <v>6981180215</v>
      </c>
      <c r="AV40" s="1065">
        <v>34242154122</v>
      </c>
      <c r="AW40" s="1065">
        <v>52507963108</v>
      </c>
      <c r="AX40" s="1065">
        <v>71726151457</v>
      </c>
      <c r="AY40" s="1065">
        <v>149046112951</v>
      </c>
      <c r="AZ40" s="1065">
        <v>27574480347</v>
      </c>
      <c r="BA40" s="1065">
        <v>105013999568</v>
      </c>
      <c r="BB40" s="1065">
        <v>43043308354</v>
      </c>
      <c r="BC40" s="1065">
        <v>138891274586</v>
      </c>
      <c r="BD40" s="1065">
        <v>154172641577</v>
      </c>
    </row>
    <row r="41" spans="1:56">
      <c r="A41" s="1076" t="s">
        <v>1045</v>
      </c>
      <c r="B41" s="1063">
        <v>8773650998</v>
      </c>
      <c r="C41" s="1063">
        <v>7523287886</v>
      </c>
      <c r="D41" s="1063">
        <v>6729302906</v>
      </c>
      <c r="E41" s="1063">
        <v>4081031405</v>
      </c>
      <c r="F41" s="1063">
        <v>5336993376</v>
      </c>
      <c r="G41" s="1063">
        <v>4239874665</v>
      </c>
      <c r="H41" s="1063">
        <v>3648054173</v>
      </c>
      <c r="I41" s="1063">
        <v>3546755197</v>
      </c>
      <c r="J41" s="1063">
        <v>2940414922</v>
      </c>
      <c r="K41" s="1063">
        <v>2270383885</v>
      </c>
      <c r="L41" s="1063">
        <v>1598550599</v>
      </c>
      <c r="M41" s="1063">
        <v>1132203114</v>
      </c>
      <c r="N41" s="1063">
        <v>905179096</v>
      </c>
      <c r="O41" s="1063">
        <v>654536760</v>
      </c>
      <c r="P41" s="1063">
        <v>362204632</v>
      </c>
      <c r="Q41" s="1063">
        <v>192087288</v>
      </c>
      <c r="R41" s="1063">
        <v>84500940</v>
      </c>
      <c r="S41" s="1063">
        <v>9639230</v>
      </c>
      <c r="T41" s="1063">
        <v>378712758</v>
      </c>
      <c r="U41" s="1063">
        <v>0</v>
      </c>
      <c r="V41" s="1063">
        <v>0</v>
      </c>
      <c r="W41" s="1063">
        <v>0</v>
      </c>
      <c r="X41" s="1063">
        <v>0</v>
      </c>
      <c r="Y41" s="1063">
        <v>0</v>
      </c>
      <c r="Z41" s="1063">
        <v>0</v>
      </c>
      <c r="AA41" s="1063">
        <v>0</v>
      </c>
      <c r="AB41" s="1063">
        <v>0</v>
      </c>
      <c r="AC41" s="1063">
        <v>0</v>
      </c>
      <c r="AD41" s="1063">
        <v>0</v>
      </c>
      <c r="AE41" s="1063">
        <v>0</v>
      </c>
      <c r="AF41" s="1063">
        <v>0</v>
      </c>
      <c r="AG41" s="1063">
        <v>0</v>
      </c>
      <c r="AH41" s="1063">
        <v>0</v>
      </c>
      <c r="AI41" s="1063">
        <v>0</v>
      </c>
      <c r="AJ41" s="1063">
        <v>0</v>
      </c>
      <c r="AK41" s="1063">
        <v>0</v>
      </c>
      <c r="AL41" s="1063">
        <v>0</v>
      </c>
      <c r="AM41" s="1063">
        <v>0</v>
      </c>
      <c r="AN41" s="1063">
        <v>0</v>
      </c>
      <c r="AO41" s="1063">
        <v>0</v>
      </c>
      <c r="AP41" s="1063">
        <v>0</v>
      </c>
      <c r="AQ41" s="1077">
        <v>0</v>
      </c>
      <c r="AR41" s="1078"/>
      <c r="AS41" s="1063">
        <v>27107273195</v>
      </c>
      <c r="AT41" s="1063">
        <v>16771677411</v>
      </c>
      <c r="AU41" s="1063">
        <v>7941552520</v>
      </c>
      <c r="AV41" s="1063">
        <v>2114007776</v>
      </c>
      <c r="AW41" s="1063">
        <v>472852928</v>
      </c>
      <c r="AX41" s="1063">
        <v>0</v>
      </c>
      <c r="AY41" s="1063">
        <v>0</v>
      </c>
      <c r="AZ41" s="1063">
        <v>0</v>
      </c>
      <c r="BA41" s="1063">
        <v>0</v>
      </c>
      <c r="BB41" s="1063">
        <v>0</v>
      </c>
      <c r="BC41" s="1063">
        <v>0</v>
      </c>
      <c r="BD41" s="1063">
        <v>0</v>
      </c>
    </row>
    <row r="42" spans="1:56">
      <c r="A42" s="1079" t="s">
        <v>1046</v>
      </c>
      <c r="B42" s="1065">
        <v>7256368728</v>
      </c>
      <c r="C42" s="1065">
        <v>6545474955</v>
      </c>
      <c r="D42" s="1065">
        <v>5774539689</v>
      </c>
      <c r="E42" s="1065">
        <v>5035530972</v>
      </c>
      <c r="F42" s="1065">
        <v>4458200261</v>
      </c>
      <c r="G42" s="1065">
        <v>3764382004</v>
      </c>
      <c r="H42" s="1065">
        <v>2826193341</v>
      </c>
      <c r="I42" s="1065">
        <v>2907454920</v>
      </c>
      <c r="J42" s="1065">
        <v>2166001981</v>
      </c>
      <c r="K42" s="1065">
        <v>1693508810</v>
      </c>
      <c r="L42" s="1065">
        <v>1245075412</v>
      </c>
      <c r="M42" s="1065">
        <v>943142191</v>
      </c>
      <c r="N42" s="1065">
        <v>688751951</v>
      </c>
      <c r="O42" s="1065">
        <v>458351533</v>
      </c>
      <c r="P42" s="1065">
        <v>265671569</v>
      </c>
      <c r="Q42" s="1065">
        <v>113555932</v>
      </c>
      <c r="R42" s="1065">
        <v>51874532</v>
      </c>
      <c r="S42" s="1065">
        <v>2840833</v>
      </c>
      <c r="T42" s="1065">
        <v>-184256</v>
      </c>
      <c r="U42" s="1065">
        <v>0</v>
      </c>
      <c r="V42" s="1065">
        <v>0</v>
      </c>
      <c r="W42" s="1065">
        <v>0</v>
      </c>
      <c r="X42" s="1065">
        <v>0</v>
      </c>
      <c r="Y42" s="1065">
        <v>0</v>
      </c>
      <c r="Z42" s="1065">
        <v>0</v>
      </c>
      <c r="AA42" s="1065">
        <v>0</v>
      </c>
      <c r="AB42" s="1065">
        <v>0</v>
      </c>
      <c r="AC42" s="1065">
        <v>0</v>
      </c>
      <c r="AD42" s="1065">
        <v>0</v>
      </c>
      <c r="AE42" s="1065">
        <v>0</v>
      </c>
      <c r="AF42" s="1065">
        <v>0</v>
      </c>
      <c r="AG42" s="1065">
        <v>0</v>
      </c>
      <c r="AH42" s="1065">
        <v>0</v>
      </c>
      <c r="AI42" s="1065">
        <v>0</v>
      </c>
      <c r="AJ42" s="1065">
        <v>0</v>
      </c>
      <c r="AK42" s="1065">
        <v>0</v>
      </c>
      <c r="AL42" s="1065">
        <v>0</v>
      </c>
      <c r="AM42" s="1065">
        <v>0</v>
      </c>
      <c r="AN42" s="1065">
        <v>0</v>
      </c>
      <c r="AO42" s="1065">
        <v>0</v>
      </c>
      <c r="AP42" s="1065">
        <v>0</v>
      </c>
      <c r="AQ42" s="1080">
        <v>0</v>
      </c>
      <c r="AR42" s="1081"/>
      <c r="AS42" s="1065">
        <v>24611914344</v>
      </c>
      <c r="AT42" s="1065">
        <v>13956230526</v>
      </c>
      <c r="AU42" s="1065">
        <v>6047728394</v>
      </c>
      <c r="AV42" s="1065">
        <v>1526330985</v>
      </c>
      <c r="AW42" s="1065">
        <v>54531109</v>
      </c>
      <c r="AX42" s="1065">
        <v>0</v>
      </c>
      <c r="AY42" s="1065">
        <v>0</v>
      </c>
      <c r="AZ42" s="1065">
        <v>0</v>
      </c>
      <c r="BA42" s="1065">
        <v>0</v>
      </c>
      <c r="BB42" s="1065">
        <v>0</v>
      </c>
      <c r="BC42" s="1065">
        <v>0</v>
      </c>
      <c r="BD42" s="1065">
        <v>0</v>
      </c>
    </row>
    <row r="43" spans="1:56">
      <c r="A43" s="1079" t="s">
        <v>1047</v>
      </c>
      <c r="B43" s="1065">
        <v>244177458</v>
      </c>
      <c r="C43" s="1065">
        <v>81392526</v>
      </c>
      <c r="D43" s="1065">
        <v>0</v>
      </c>
      <c r="E43" s="1065">
        <v>0</v>
      </c>
      <c r="F43" s="1065">
        <v>0</v>
      </c>
      <c r="G43" s="1065">
        <v>0</v>
      </c>
      <c r="H43" s="1065">
        <v>0</v>
      </c>
      <c r="I43" s="1065">
        <v>0</v>
      </c>
      <c r="J43" s="1065">
        <v>0</v>
      </c>
      <c r="K43" s="1065">
        <v>0</v>
      </c>
      <c r="L43" s="1065">
        <v>0</v>
      </c>
      <c r="M43" s="1065">
        <v>0</v>
      </c>
      <c r="N43" s="1065">
        <v>0</v>
      </c>
      <c r="O43" s="1065">
        <v>0</v>
      </c>
      <c r="P43" s="1065">
        <v>0</v>
      </c>
      <c r="Q43" s="1065">
        <v>0</v>
      </c>
      <c r="R43" s="1065">
        <v>0</v>
      </c>
      <c r="S43" s="1065">
        <v>0</v>
      </c>
      <c r="T43" s="1065">
        <v>0</v>
      </c>
      <c r="U43" s="1065">
        <v>0</v>
      </c>
      <c r="V43" s="1065">
        <v>0</v>
      </c>
      <c r="W43" s="1065">
        <v>0</v>
      </c>
      <c r="X43" s="1065">
        <v>0</v>
      </c>
      <c r="Y43" s="1065">
        <v>0</v>
      </c>
      <c r="Z43" s="1065">
        <v>0</v>
      </c>
      <c r="AA43" s="1065">
        <v>0</v>
      </c>
      <c r="AB43" s="1065">
        <v>0</v>
      </c>
      <c r="AC43" s="1065">
        <v>0</v>
      </c>
      <c r="AD43" s="1065">
        <v>0</v>
      </c>
      <c r="AE43" s="1065">
        <v>0</v>
      </c>
      <c r="AF43" s="1065">
        <v>0</v>
      </c>
      <c r="AG43" s="1065">
        <v>0</v>
      </c>
      <c r="AH43" s="1065">
        <v>0</v>
      </c>
      <c r="AI43" s="1065">
        <v>0</v>
      </c>
      <c r="AJ43" s="1065">
        <v>0</v>
      </c>
      <c r="AK43" s="1065">
        <v>0</v>
      </c>
      <c r="AL43" s="1065">
        <v>0</v>
      </c>
      <c r="AM43" s="1065">
        <v>0</v>
      </c>
      <c r="AN43" s="1065">
        <v>0</v>
      </c>
      <c r="AO43" s="1065">
        <v>0</v>
      </c>
      <c r="AP43" s="1065">
        <v>0</v>
      </c>
      <c r="AQ43" s="1080">
        <v>0</v>
      </c>
      <c r="AR43" s="1081"/>
      <c r="AS43" s="1065">
        <v>325569984</v>
      </c>
      <c r="AT43" s="1065">
        <v>0</v>
      </c>
      <c r="AU43" s="1065">
        <v>0</v>
      </c>
      <c r="AV43" s="1065">
        <v>0</v>
      </c>
      <c r="AW43" s="1065">
        <v>0</v>
      </c>
      <c r="AX43" s="1065">
        <v>0</v>
      </c>
      <c r="AY43" s="1065">
        <v>0</v>
      </c>
      <c r="AZ43" s="1065">
        <v>0</v>
      </c>
      <c r="BA43" s="1065">
        <v>0</v>
      </c>
      <c r="BB43" s="1065">
        <v>0</v>
      </c>
      <c r="BC43" s="1065">
        <v>0</v>
      </c>
      <c r="BD43" s="1065">
        <v>0</v>
      </c>
    </row>
    <row r="44" spans="1:56">
      <c r="A44" s="1079" t="s">
        <v>1048</v>
      </c>
      <c r="B44" s="1065">
        <v>594648257</v>
      </c>
      <c r="C44" s="1065">
        <v>516413039</v>
      </c>
      <c r="D44" s="1065">
        <v>553222847</v>
      </c>
      <c r="E44" s="1065">
        <v>428240116</v>
      </c>
      <c r="F44" s="1065">
        <v>629952612</v>
      </c>
      <c r="G44" s="1065">
        <v>382218939</v>
      </c>
      <c r="H44" s="1065">
        <v>467447477</v>
      </c>
      <c r="I44" s="1065">
        <v>290029084</v>
      </c>
      <c r="J44" s="1065">
        <v>381234509</v>
      </c>
      <c r="K44" s="1065">
        <v>205605872</v>
      </c>
      <c r="L44" s="1065">
        <v>152211349</v>
      </c>
      <c r="M44" s="1065">
        <v>95526380</v>
      </c>
      <c r="N44" s="1065">
        <v>138830463</v>
      </c>
      <c r="O44" s="1065">
        <v>100842886</v>
      </c>
      <c r="P44" s="1065">
        <v>46815459</v>
      </c>
      <c r="Q44" s="1065">
        <v>105711381</v>
      </c>
      <c r="R44" s="1065">
        <v>32626408</v>
      </c>
      <c r="S44" s="1065">
        <v>488695</v>
      </c>
      <c r="T44" s="1065">
        <v>353426100</v>
      </c>
      <c r="U44" s="1065">
        <v>0</v>
      </c>
      <c r="V44" s="1065">
        <v>0</v>
      </c>
      <c r="W44" s="1065">
        <v>0</v>
      </c>
      <c r="X44" s="1065">
        <v>0</v>
      </c>
      <c r="Y44" s="1065">
        <v>0</v>
      </c>
      <c r="Z44" s="1065">
        <v>0</v>
      </c>
      <c r="AA44" s="1065">
        <v>0</v>
      </c>
      <c r="AB44" s="1065">
        <v>0</v>
      </c>
      <c r="AC44" s="1065">
        <v>0</v>
      </c>
      <c r="AD44" s="1065">
        <v>0</v>
      </c>
      <c r="AE44" s="1065">
        <v>0</v>
      </c>
      <c r="AF44" s="1065">
        <v>0</v>
      </c>
      <c r="AG44" s="1065">
        <v>0</v>
      </c>
      <c r="AH44" s="1065">
        <v>0</v>
      </c>
      <c r="AI44" s="1065">
        <v>0</v>
      </c>
      <c r="AJ44" s="1065">
        <v>0</v>
      </c>
      <c r="AK44" s="1065">
        <v>0</v>
      </c>
      <c r="AL44" s="1065">
        <v>0</v>
      </c>
      <c r="AM44" s="1065">
        <v>0</v>
      </c>
      <c r="AN44" s="1065">
        <v>0</v>
      </c>
      <c r="AO44" s="1065">
        <v>0</v>
      </c>
      <c r="AP44" s="1065">
        <v>0</v>
      </c>
      <c r="AQ44" s="1080">
        <v>0</v>
      </c>
      <c r="AR44" s="1081"/>
      <c r="AS44" s="1065">
        <v>2092524259</v>
      </c>
      <c r="AT44" s="1065">
        <v>1769648112</v>
      </c>
      <c r="AU44" s="1065">
        <v>834578110</v>
      </c>
      <c r="AV44" s="1065">
        <v>392200189</v>
      </c>
      <c r="AW44" s="1065">
        <v>386541203</v>
      </c>
      <c r="AX44" s="1065">
        <v>0</v>
      </c>
      <c r="AY44" s="1065">
        <v>0</v>
      </c>
      <c r="AZ44" s="1065">
        <v>0</v>
      </c>
      <c r="BA44" s="1065">
        <v>0</v>
      </c>
      <c r="BB44" s="1065">
        <v>0</v>
      </c>
      <c r="BC44" s="1065">
        <v>0</v>
      </c>
      <c r="BD44" s="1065">
        <v>0</v>
      </c>
    </row>
    <row r="45" spans="1:56">
      <c r="A45" s="1079" t="s">
        <v>1049</v>
      </c>
      <c r="B45" s="1065">
        <v>678456555</v>
      </c>
      <c r="C45" s="1065">
        <v>380007366</v>
      </c>
      <c r="D45" s="1065">
        <v>401540370</v>
      </c>
      <c r="E45" s="1065">
        <v>-1382739683</v>
      </c>
      <c r="F45" s="1065">
        <v>248840503</v>
      </c>
      <c r="G45" s="1065">
        <v>93273722</v>
      </c>
      <c r="H45" s="1065">
        <v>354413355</v>
      </c>
      <c r="I45" s="1065">
        <v>349271193</v>
      </c>
      <c r="J45" s="1065">
        <v>393178432</v>
      </c>
      <c r="K45" s="1065">
        <v>371269203</v>
      </c>
      <c r="L45" s="1065">
        <v>201263838</v>
      </c>
      <c r="M45" s="1065">
        <v>93534543</v>
      </c>
      <c r="N45" s="1065">
        <v>77596682</v>
      </c>
      <c r="O45" s="1065">
        <v>95342341</v>
      </c>
      <c r="P45" s="1065">
        <v>49717604</v>
      </c>
      <c r="Q45" s="1065">
        <v>-27180025</v>
      </c>
      <c r="R45" s="1065">
        <v>0</v>
      </c>
      <c r="S45" s="1065">
        <v>6309702</v>
      </c>
      <c r="T45" s="1065">
        <v>25470914</v>
      </c>
      <c r="U45" s="1065">
        <v>0</v>
      </c>
      <c r="V45" s="1065">
        <v>0</v>
      </c>
      <c r="W45" s="1065">
        <v>0</v>
      </c>
      <c r="X45" s="1065">
        <v>0</v>
      </c>
      <c r="Y45" s="1065">
        <v>0</v>
      </c>
      <c r="Z45" s="1065">
        <v>0</v>
      </c>
      <c r="AA45" s="1065">
        <v>0</v>
      </c>
      <c r="AB45" s="1065">
        <v>0</v>
      </c>
      <c r="AC45" s="1065">
        <v>0</v>
      </c>
      <c r="AD45" s="1065">
        <v>0</v>
      </c>
      <c r="AE45" s="1065">
        <v>0</v>
      </c>
      <c r="AF45" s="1065">
        <v>0</v>
      </c>
      <c r="AG45" s="1065">
        <v>0</v>
      </c>
      <c r="AH45" s="1065">
        <v>0</v>
      </c>
      <c r="AI45" s="1065">
        <v>0</v>
      </c>
      <c r="AJ45" s="1065">
        <v>0</v>
      </c>
      <c r="AK45" s="1065">
        <v>0</v>
      </c>
      <c r="AL45" s="1065">
        <v>0</v>
      </c>
      <c r="AM45" s="1065">
        <v>0</v>
      </c>
      <c r="AN45" s="1065">
        <v>0</v>
      </c>
      <c r="AO45" s="1065">
        <v>0</v>
      </c>
      <c r="AP45" s="1065">
        <v>0</v>
      </c>
      <c r="AQ45" s="1080">
        <v>0</v>
      </c>
      <c r="AR45" s="1081"/>
      <c r="AS45" s="1065">
        <v>77264608</v>
      </c>
      <c r="AT45" s="1065">
        <v>1045798773</v>
      </c>
      <c r="AU45" s="1065">
        <v>1059246016</v>
      </c>
      <c r="AV45" s="1065">
        <v>195476602</v>
      </c>
      <c r="AW45" s="1065">
        <v>31780616</v>
      </c>
      <c r="AX45" s="1065">
        <v>0</v>
      </c>
      <c r="AY45" s="1065">
        <v>0</v>
      </c>
      <c r="AZ45" s="1065">
        <v>0</v>
      </c>
      <c r="BA45" s="1065">
        <v>0</v>
      </c>
      <c r="BB45" s="1065">
        <v>0</v>
      </c>
      <c r="BC45" s="1065">
        <v>0</v>
      </c>
      <c r="BD45" s="1065">
        <v>0</v>
      </c>
    </row>
    <row r="46" spans="1:56">
      <c r="A46" s="1076" t="s">
        <v>1050</v>
      </c>
      <c r="B46" s="1063">
        <v>7922290427</v>
      </c>
      <c r="C46" s="1063">
        <v>12210213992</v>
      </c>
      <c r="D46" s="1063">
        <v>4967771691</v>
      </c>
      <c r="E46" s="1063">
        <v>5573567238</v>
      </c>
      <c r="F46" s="1063">
        <v>23444406610</v>
      </c>
      <c r="G46" s="1063">
        <v>9425098617</v>
      </c>
      <c r="H46" s="1063">
        <v>6509916218</v>
      </c>
      <c r="I46" s="1063">
        <v>13359374508</v>
      </c>
      <c r="J46" s="1063">
        <v>27185052150</v>
      </c>
      <c r="K46" s="1063">
        <v>83951830292</v>
      </c>
      <c r="L46" s="1063">
        <v>67910789571</v>
      </c>
      <c r="M46" s="1063">
        <v>62606639702</v>
      </c>
      <c r="N46" s="1063">
        <v>79914351239</v>
      </c>
      <c r="O46" s="1063">
        <v>227104831967</v>
      </c>
      <c r="P46" s="1063">
        <v>70517031733</v>
      </c>
      <c r="Q46" s="1063">
        <v>89255208327</v>
      </c>
      <c r="R46" s="1063">
        <v>134400913656</v>
      </c>
      <c r="S46" s="1063">
        <v>27456004456</v>
      </c>
      <c r="T46" s="1063">
        <v>80553673607</v>
      </c>
      <c r="U46" s="1063">
        <v>77225435412</v>
      </c>
      <c r="V46" s="1063">
        <v>116904214578</v>
      </c>
      <c r="W46" s="1063">
        <v>178364364006</v>
      </c>
      <c r="X46" s="1063">
        <v>162382334421</v>
      </c>
      <c r="Y46" s="1063">
        <v>203926996702</v>
      </c>
      <c r="Z46" s="1063">
        <v>152866367219</v>
      </c>
      <c r="AA46" s="1063">
        <v>82133025657</v>
      </c>
      <c r="AB46" s="1063">
        <v>76013963799</v>
      </c>
      <c r="AC46" s="1063">
        <v>294886145978</v>
      </c>
      <c r="AD46" s="1063">
        <v>109290311608</v>
      </c>
      <c r="AE46" s="1063">
        <v>109158914108</v>
      </c>
      <c r="AF46" s="1063">
        <v>61948789056</v>
      </c>
      <c r="AG46" s="1063">
        <v>86910121328</v>
      </c>
      <c r="AH46" s="1063">
        <v>232934929303</v>
      </c>
      <c r="AI46" s="1063">
        <v>67689712894</v>
      </c>
      <c r="AJ46" s="1063">
        <v>17461392062</v>
      </c>
      <c r="AK46" s="1063">
        <v>104586988884</v>
      </c>
      <c r="AL46" s="1063">
        <v>232252496880</v>
      </c>
      <c r="AM46" s="1063">
        <v>150824517008</v>
      </c>
      <c r="AN46" s="1063">
        <v>191050864032</v>
      </c>
      <c r="AO46" s="1063">
        <v>132235767500</v>
      </c>
      <c r="AP46" s="1063">
        <v>273940282617</v>
      </c>
      <c r="AQ46" s="1077">
        <v>154354671804</v>
      </c>
      <c r="AR46" s="1078"/>
      <c r="AS46" s="1063">
        <v>30673843348</v>
      </c>
      <c r="AT46" s="1063">
        <v>52738795953</v>
      </c>
      <c r="AU46" s="1063">
        <v>241654311715</v>
      </c>
      <c r="AV46" s="1063">
        <v>466791423266</v>
      </c>
      <c r="AW46" s="1063">
        <v>319636027131</v>
      </c>
      <c r="AX46" s="1063">
        <v>661577909707</v>
      </c>
      <c r="AY46" s="1063">
        <v>605899502653</v>
      </c>
      <c r="AZ46" s="1063">
        <v>367308136100</v>
      </c>
      <c r="BA46" s="1063">
        <v>422673023143</v>
      </c>
      <c r="BB46" s="1063">
        <v>706363645420</v>
      </c>
      <c r="BC46" s="1063">
        <v>383077013888</v>
      </c>
      <c r="BD46" s="1063">
        <v>428294954421</v>
      </c>
    </row>
    <row r="47" spans="1:56">
      <c r="A47" s="1079" t="s">
        <v>1051</v>
      </c>
      <c r="B47" s="1065">
        <v>5131396716</v>
      </c>
      <c r="C47" s="1065">
        <v>4923874</v>
      </c>
      <c r="D47" s="1065">
        <v>59860182</v>
      </c>
      <c r="E47" s="1065">
        <v>14154442</v>
      </c>
      <c r="F47" s="1065">
        <v>7433226935</v>
      </c>
      <c r="G47" s="1065">
        <v>-11680302</v>
      </c>
      <c r="H47" s="1065">
        <v>458073567</v>
      </c>
      <c r="I47" s="1065">
        <v>6204389945</v>
      </c>
      <c r="J47" s="1065">
        <v>9497812959</v>
      </c>
      <c r="K47" s="1065">
        <v>2732911150</v>
      </c>
      <c r="L47" s="1065">
        <v>3279897674</v>
      </c>
      <c r="M47" s="1065">
        <v>10706493897</v>
      </c>
      <c r="N47" s="1065">
        <v>16729878194</v>
      </c>
      <c r="O47" s="1065">
        <v>134399844733</v>
      </c>
      <c r="P47" s="1065">
        <v>1497092802</v>
      </c>
      <c r="Q47" s="1065">
        <v>999579814</v>
      </c>
      <c r="R47" s="1065">
        <v>13611624672</v>
      </c>
      <c r="S47" s="1065">
        <v>2057511569</v>
      </c>
      <c r="T47" s="1065">
        <v>3500017092</v>
      </c>
      <c r="U47" s="1065">
        <v>2249887015</v>
      </c>
      <c r="V47" s="1065">
        <v>20133581227</v>
      </c>
      <c r="W47" s="1065">
        <v>2028043655</v>
      </c>
      <c r="X47" s="1065">
        <v>2358558654</v>
      </c>
      <c r="Y47" s="1065">
        <v>102637321338</v>
      </c>
      <c r="Z47" s="1065">
        <v>25641111518</v>
      </c>
      <c r="AA47" s="1065">
        <v>1525523210</v>
      </c>
      <c r="AB47" s="1065">
        <v>1975125292</v>
      </c>
      <c r="AC47" s="1065">
        <v>203114256782</v>
      </c>
      <c r="AD47" s="1065">
        <v>24520832340</v>
      </c>
      <c r="AE47" s="1065">
        <v>1118480283</v>
      </c>
      <c r="AF47" s="1065">
        <v>1457041133</v>
      </c>
      <c r="AG47" s="1065">
        <v>3533332638</v>
      </c>
      <c r="AH47" s="1065">
        <v>130040162597</v>
      </c>
      <c r="AI47" s="1065">
        <v>3308672065</v>
      </c>
      <c r="AJ47" s="1065">
        <v>7204699964</v>
      </c>
      <c r="AK47" s="1065">
        <v>9717613778</v>
      </c>
      <c r="AL47" s="1065">
        <v>120954303115</v>
      </c>
      <c r="AM47" s="1065">
        <v>6748681543</v>
      </c>
      <c r="AN47" s="1065">
        <v>14476671649</v>
      </c>
      <c r="AO47" s="1065">
        <v>6567684486</v>
      </c>
      <c r="AP47" s="1065">
        <v>143418110418</v>
      </c>
      <c r="AQ47" s="1080">
        <v>4324566867</v>
      </c>
      <c r="AR47" s="1081"/>
      <c r="AS47" s="1065">
        <v>5210335214</v>
      </c>
      <c r="AT47" s="1065">
        <v>14084010145</v>
      </c>
      <c r="AU47" s="1065">
        <v>26217115680</v>
      </c>
      <c r="AV47" s="1065">
        <v>153626395543</v>
      </c>
      <c r="AW47" s="1065">
        <v>21419040348</v>
      </c>
      <c r="AX47" s="1065">
        <v>127157504874</v>
      </c>
      <c r="AY47" s="1065">
        <v>232256016802</v>
      </c>
      <c r="AZ47" s="1065">
        <v>30629686394</v>
      </c>
      <c r="BA47" s="1065">
        <v>150271148404</v>
      </c>
      <c r="BB47" s="1065">
        <v>148747340793</v>
      </c>
      <c r="BC47" s="1065">
        <v>127702984658</v>
      </c>
      <c r="BD47" s="1065">
        <v>147742677285</v>
      </c>
    </row>
    <row r="48" spans="1:56">
      <c r="A48" s="1079" t="s">
        <v>1052</v>
      </c>
      <c r="B48" s="1065">
        <v>1561167248</v>
      </c>
      <c r="C48" s="1065">
        <v>8530886357</v>
      </c>
      <c r="D48" s="1065">
        <v>3824990327</v>
      </c>
      <c r="E48" s="1065">
        <v>4700275102</v>
      </c>
      <c r="F48" s="1065">
        <v>4407351489</v>
      </c>
      <c r="G48" s="1065">
        <v>7103038234</v>
      </c>
      <c r="H48" s="1065">
        <v>3868955683</v>
      </c>
      <c r="I48" s="1065">
        <v>4867900106</v>
      </c>
      <c r="J48" s="1065">
        <v>6232899962</v>
      </c>
      <c r="K48" s="1065">
        <v>4511078950</v>
      </c>
      <c r="L48" s="1065">
        <v>12765064374</v>
      </c>
      <c r="M48" s="1065">
        <v>12535150702</v>
      </c>
      <c r="N48" s="1065">
        <v>3797366437</v>
      </c>
      <c r="O48" s="1065">
        <v>14424959051</v>
      </c>
      <c r="P48" s="1065">
        <v>6426726336</v>
      </c>
      <c r="Q48" s="1065">
        <v>6025356542</v>
      </c>
      <c r="R48" s="1065">
        <v>6963043185</v>
      </c>
      <c r="S48" s="1065">
        <v>8946651152</v>
      </c>
      <c r="T48" s="1065">
        <v>15385881591</v>
      </c>
      <c r="U48" s="1065">
        <v>10112833820</v>
      </c>
      <c r="V48" s="1065">
        <v>13826050084</v>
      </c>
      <c r="W48" s="1065">
        <v>42489121185</v>
      </c>
      <c r="X48" s="1065">
        <v>8555458444</v>
      </c>
      <c r="Y48" s="1065">
        <v>53245934280</v>
      </c>
      <c r="Z48" s="1065">
        <v>9422690374</v>
      </c>
      <c r="AA48" s="1065">
        <v>25889706939</v>
      </c>
      <c r="AB48" s="1065">
        <v>9915403533</v>
      </c>
      <c r="AC48" s="1065">
        <v>19927935709</v>
      </c>
      <c r="AD48" s="1065">
        <v>6803691327</v>
      </c>
      <c r="AE48" s="1065">
        <v>23705038120</v>
      </c>
      <c r="AF48" s="1065">
        <v>8759270623</v>
      </c>
      <c r="AG48" s="1065">
        <v>18382542817</v>
      </c>
      <c r="AH48" s="1065">
        <v>10767092583</v>
      </c>
      <c r="AI48" s="1065">
        <v>23012509591</v>
      </c>
      <c r="AJ48" s="1065">
        <v>6837669174</v>
      </c>
      <c r="AK48" s="1065">
        <v>29920539352</v>
      </c>
      <c r="AL48" s="1065">
        <v>65818104159</v>
      </c>
      <c r="AM48" s="1065">
        <v>40351878084</v>
      </c>
      <c r="AN48" s="1065">
        <v>43770185263</v>
      </c>
      <c r="AO48" s="1065">
        <v>88056323746</v>
      </c>
      <c r="AP48" s="1065">
        <v>70810440220</v>
      </c>
      <c r="AQ48" s="1080">
        <v>69434297226</v>
      </c>
      <c r="AR48" s="1081"/>
      <c r="AS48" s="1065">
        <v>18617319034</v>
      </c>
      <c r="AT48" s="1065">
        <v>20247245512</v>
      </c>
      <c r="AU48" s="1065">
        <v>36044193988</v>
      </c>
      <c r="AV48" s="1065">
        <v>30674408366</v>
      </c>
      <c r="AW48" s="1065">
        <v>41408409748</v>
      </c>
      <c r="AX48" s="1065">
        <v>118116563993</v>
      </c>
      <c r="AY48" s="1065">
        <v>65155736555</v>
      </c>
      <c r="AZ48" s="1065">
        <v>57650542887</v>
      </c>
      <c r="BA48" s="1065">
        <v>70537810700</v>
      </c>
      <c r="BB48" s="1065">
        <v>237996491252</v>
      </c>
      <c r="BC48" s="1065">
        <v>106169982243</v>
      </c>
      <c r="BD48" s="1065">
        <v>140244737446</v>
      </c>
    </row>
    <row r="49" spans="1:56">
      <c r="A49" s="1079" t="s">
        <v>1053</v>
      </c>
      <c r="B49" s="1065">
        <v>39511712</v>
      </c>
      <c r="C49" s="1065">
        <v>72820958</v>
      </c>
      <c r="D49" s="1065">
        <v>-7752094</v>
      </c>
      <c r="E49" s="1065">
        <v>-104580576</v>
      </c>
      <c r="F49" s="1065">
        <v>182462962</v>
      </c>
      <c r="G49" s="1065">
        <v>-125149162</v>
      </c>
      <c r="H49" s="1065">
        <v>4770174</v>
      </c>
      <c r="I49" s="1065">
        <v>-62083974</v>
      </c>
      <c r="J49" s="1065">
        <v>43622278</v>
      </c>
      <c r="K49" s="1065">
        <v>-12831444</v>
      </c>
      <c r="L49" s="1065">
        <v>-30790834</v>
      </c>
      <c r="M49" s="1065">
        <v>0</v>
      </c>
      <c r="N49" s="1065">
        <v>463401089</v>
      </c>
      <c r="O49" s="1065">
        <v>-332615416</v>
      </c>
      <c r="P49" s="1065">
        <v>-130785673</v>
      </c>
      <c r="Q49" s="1065">
        <v>0</v>
      </c>
      <c r="R49" s="1065">
        <v>0</v>
      </c>
      <c r="S49" s="1065">
        <v>0</v>
      </c>
      <c r="T49" s="1065">
        <v>0</v>
      </c>
      <c r="U49" s="1065">
        <v>0</v>
      </c>
      <c r="V49" s="1065">
        <v>0</v>
      </c>
      <c r="W49" s="1065">
        <v>0</v>
      </c>
      <c r="X49" s="1065">
        <v>0</v>
      </c>
      <c r="Y49" s="1065">
        <v>0</v>
      </c>
      <c r="Z49" s="1065">
        <v>143317235</v>
      </c>
      <c r="AA49" s="1065">
        <v>-143317235</v>
      </c>
      <c r="AB49" s="1065">
        <v>1205721437</v>
      </c>
      <c r="AC49" s="1065">
        <v>2870008190</v>
      </c>
      <c r="AD49" s="1065">
        <v>0</v>
      </c>
      <c r="AE49" s="1065">
        <v>0</v>
      </c>
      <c r="AF49" s="1065">
        <v>0</v>
      </c>
      <c r="AG49" s="1065">
        <v>0</v>
      </c>
      <c r="AH49" s="1065">
        <v>0</v>
      </c>
      <c r="AI49" s="1065">
        <v>0</v>
      </c>
      <c r="AJ49" s="1065">
        <v>124312498</v>
      </c>
      <c r="AK49" s="1065">
        <v>-124312498</v>
      </c>
      <c r="AL49" s="1065">
        <v>0</v>
      </c>
      <c r="AM49" s="1065">
        <v>13256119</v>
      </c>
      <c r="AN49" s="1065">
        <v>-13256119</v>
      </c>
      <c r="AO49" s="1065">
        <v>0</v>
      </c>
      <c r="AP49" s="1065">
        <v>12550681</v>
      </c>
      <c r="AQ49" s="1080">
        <v>-12550681</v>
      </c>
      <c r="AR49" s="1081"/>
      <c r="AS49" s="1065">
        <v>0</v>
      </c>
      <c r="AT49" s="1065">
        <v>0</v>
      </c>
      <c r="AU49" s="1065">
        <v>0</v>
      </c>
      <c r="AV49" s="1065">
        <v>0</v>
      </c>
      <c r="AW49" s="1065">
        <v>0</v>
      </c>
      <c r="AX49" s="1065">
        <v>0</v>
      </c>
      <c r="AY49" s="1065">
        <v>4075729627</v>
      </c>
      <c r="AZ49" s="1065">
        <v>0</v>
      </c>
      <c r="BA49" s="1065">
        <v>0</v>
      </c>
      <c r="BB49" s="1065">
        <v>0</v>
      </c>
      <c r="BC49" s="1065">
        <v>13256119</v>
      </c>
      <c r="BD49" s="1065">
        <v>0</v>
      </c>
    </row>
    <row r="50" spans="1:56">
      <c r="A50" s="1079" t="s">
        <v>1054</v>
      </c>
      <c r="B50" s="1065">
        <v>120725935</v>
      </c>
      <c r="C50" s="1065">
        <v>695192934</v>
      </c>
      <c r="D50" s="1065">
        <v>0</v>
      </c>
      <c r="E50" s="1065">
        <v>-797831674</v>
      </c>
      <c r="F50" s="1065">
        <v>7971237201</v>
      </c>
      <c r="G50" s="1065">
        <v>0</v>
      </c>
      <c r="H50" s="1065">
        <v>9607519</v>
      </c>
      <c r="I50" s="1065">
        <v>289099569</v>
      </c>
      <c r="J50" s="1065">
        <v>1771197672</v>
      </c>
      <c r="K50" s="1065">
        <v>-1771197672</v>
      </c>
      <c r="L50" s="1065">
        <v>26158361</v>
      </c>
      <c r="M50" s="1065">
        <v>0</v>
      </c>
      <c r="N50" s="1065">
        <v>205592617</v>
      </c>
      <c r="O50" s="1065">
        <v>3626595741</v>
      </c>
      <c r="P50" s="1065">
        <v>-3764899897</v>
      </c>
      <c r="Q50" s="1065">
        <v>-32500000</v>
      </c>
      <c r="R50" s="1065">
        <v>2270058124</v>
      </c>
      <c r="S50" s="1065">
        <v>-2270058124</v>
      </c>
      <c r="T50" s="1065">
        <v>0</v>
      </c>
      <c r="U50" s="1065">
        <v>1385000</v>
      </c>
      <c r="V50" s="1065">
        <v>0</v>
      </c>
      <c r="W50" s="1065">
        <v>17364102</v>
      </c>
      <c r="X50" s="1065">
        <v>302091781</v>
      </c>
      <c r="Y50" s="1065">
        <v>1418514902</v>
      </c>
      <c r="Z50" s="1065">
        <v>1592480790</v>
      </c>
      <c r="AA50" s="1065">
        <v>-1491030110</v>
      </c>
      <c r="AB50" s="1065">
        <v>0</v>
      </c>
      <c r="AC50" s="1065">
        <v>0</v>
      </c>
      <c r="AD50" s="1065">
        <v>6387013646</v>
      </c>
      <c r="AE50" s="1065">
        <v>0</v>
      </c>
      <c r="AF50" s="1065">
        <v>144639042</v>
      </c>
      <c r="AG50" s="1065">
        <v>0</v>
      </c>
      <c r="AH50" s="1065">
        <v>48410637212</v>
      </c>
      <c r="AI50" s="1065">
        <v>-9950674154</v>
      </c>
      <c r="AJ50" s="1065">
        <v>-36044403778</v>
      </c>
      <c r="AK50" s="1065">
        <v>15554950090</v>
      </c>
      <c r="AL50" s="1065">
        <v>33485358</v>
      </c>
      <c r="AM50" s="1065">
        <v>0</v>
      </c>
      <c r="AN50" s="1065">
        <v>0</v>
      </c>
      <c r="AO50" s="1065">
        <v>0</v>
      </c>
      <c r="AP50" s="1065">
        <v>3763727427</v>
      </c>
      <c r="AQ50" s="1080">
        <v>9050082108</v>
      </c>
      <c r="AR50" s="1081"/>
      <c r="AS50" s="1065">
        <v>18087195</v>
      </c>
      <c r="AT50" s="1065">
        <v>8269944289</v>
      </c>
      <c r="AU50" s="1065">
        <v>26158361</v>
      </c>
      <c r="AV50" s="1065">
        <v>34788461</v>
      </c>
      <c r="AW50" s="1065">
        <v>1385000</v>
      </c>
      <c r="AX50" s="1065">
        <v>1737970785</v>
      </c>
      <c r="AY50" s="1065">
        <v>101450680</v>
      </c>
      <c r="AZ50" s="1065">
        <v>6531652688</v>
      </c>
      <c r="BA50" s="1065">
        <v>17970509370</v>
      </c>
      <c r="BB50" s="1065">
        <v>33485358</v>
      </c>
      <c r="BC50" s="1065">
        <v>33485358</v>
      </c>
      <c r="BD50" s="1065">
        <v>12813809535</v>
      </c>
    </row>
    <row r="51" spans="1:56">
      <c r="A51" s="1079" t="s">
        <v>1055</v>
      </c>
      <c r="B51" s="1065">
        <v>873572849</v>
      </c>
      <c r="C51" s="1065">
        <v>2824490286</v>
      </c>
      <c r="D51" s="1065">
        <v>870639267</v>
      </c>
      <c r="E51" s="1065">
        <v>1452766246</v>
      </c>
      <c r="F51" s="1065">
        <v>3448366643</v>
      </c>
      <c r="G51" s="1065">
        <v>2363837392</v>
      </c>
      <c r="H51" s="1065">
        <v>2148117946</v>
      </c>
      <c r="I51" s="1065">
        <v>2057995428</v>
      </c>
      <c r="J51" s="1065">
        <v>9638632780</v>
      </c>
      <c r="K51" s="1065">
        <v>75649585823</v>
      </c>
      <c r="L51" s="1065">
        <v>51175606926</v>
      </c>
      <c r="M51" s="1065">
        <v>39364911690</v>
      </c>
      <c r="N51" s="1065">
        <v>58717738892</v>
      </c>
      <c r="O51" s="1065">
        <v>74950927449</v>
      </c>
      <c r="P51" s="1065">
        <v>64069207394</v>
      </c>
      <c r="Q51" s="1065">
        <v>82262707296</v>
      </c>
      <c r="R51" s="1065">
        <v>111555873883</v>
      </c>
      <c r="S51" s="1065">
        <v>18686604751</v>
      </c>
      <c r="T51" s="1065">
        <v>61667353352</v>
      </c>
      <c r="U51" s="1065">
        <v>64861186429</v>
      </c>
      <c r="V51" s="1065">
        <v>82943479954</v>
      </c>
      <c r="W51" s="1065">
        <v>133829170906</v>
      </c>
      <c r="X51" s="1065">
        <v>151166263059</v>
      </c>
      <c r="Y51" s="1065">
        <v>46624890046</v>
      </c>
      <c r="Z51" s="1065">
        <v>116052622801</v>
      </c>
      <c r="AA51" s="1065">
        <v>56241032061</v>
      </c>
      <c r="AB51" s="1065">
        <v>62814004267</v>
      </c>
      <c r="AC51" s="1065">
        <v>68994557999</v>
      </c>
      <c r="AD51" s="1065">
        <v>71578546199</v>
      </c>
      <c r="AE51" s="1065">
        <v>84334372111</v>
      </c>
      <c r="AF51" s="1065">
        <v>51096181670</v>
      </c>
      <c r="AG51" s="1065">
        <v>65290644819</v>
      </c>
      <c r="AH51" s="1065">
        <v>43714565071</v>
      </c>
      <c r="AI51" s="1065">
        <v>51315881409</v>
      </c>
      <c r="AJ51" s="1065">
        <v>39281885481</v>
      </c>
      <c r="AK51" s="1065">
        <v>49536863733</v>
      </c>
      <c r="AL51" s="1065">
        <v>45446515954</v>
      </c>
      <c r="AM51" s="1065">
        <v>103710481022</v>
      </c>
      <c r="AN51" s="1065">
        <v>132727679206</v>
      </c>
      <c r="AO51" s="1065">
        <v>37622029614</v>
      </c>
      <c r="AP51" s="1065">
        <v>55882431591</v>
      </c>
      <c r="AQ51" s="1080">
        <v>71557729303</v>
      </c>
      <c r="AR51" s="1081"/>
      <c r="AS51" s="1065">
        <v>6021468648</v>
      </c>
      <c r="AT51" s="1065">
        <v>10018317409</v>
      </c>
      <c r="AU51" s="1065">
        <v>175828737219</v>
      </c>
      <c r="AV51" s="1065">
        <v>280000581031</v>
      </c>
      <c r="AW51" s="1065">
        <v>256771018415</v>
      </c>
      <c r="AX51" s="1065">
        <v>414563803965</v>
      </c>
      <c r="AY51" s="1065">
        <v>304102217128</v>
      </c>
      <c r="AZ51" s="1065">
        <v>272299744799</v>
      </c>
      <c r="BA51" s="1065">
        <v>183849195694</v>
      </c>
      <c r="BB51" s="1065">
        <v>319506705796</v>
      </c>
      <c r="BC51" s="1065">
        <v>149156996976</v>
      </c>
      <c r="BD51" s="1065">
        <v>127440160894</v>
      </c>
    </row>
    <row r="52" spans="1:56">
      <c r="A52" s="1079" t="s">
        <v>1056</v>
      </c>
      <c r="B52" s="1065">
        <v>195915967</v>
      </c>
      <c r="C52" s="1065">
        <v>81899583</v>
      </c>
      <c r="D52" s="1065">
        <v>220034009</v>
      </c>
      <c r="E52" s="1065">
        <v>308783698</v>
      </c>
      <c r="F52" s="1065">
        <v>1761380</v>
      </c>
      <c r="G52" s="1065">
        <v>95052455</v>
      </c>
      <c r="H52" s="1065">
        <v>20391329</v>
      </c>
      <c r="I52" s="1065">
        <v>2073434</v>
      </c>
      <c r="J52" s="1065">
        <v>886499</v>
      </c>
      <c r="K52" s="1065">
        <v>2842283485</v>
      </c>
      <c r="L52" s="1065">
        <v>694853070</v>
      </c>
      <c r="M52" s="1065">
        <v>83413</v>
      </c>
      <c r="N52" s="1065">
        <v>374010</v>
      </c>
      <c r="O52" s="1065">
        <v>35120409</v>
      </c>
      <c r="P52" s="1065">
        <v>2419690771</v>
      </c>
      <c r="Q52" s="1065">
        <v>64675</v>
      </c>
      <c r="R52" s="1065">
        <v>313792</v>
      </c>
      <c r="S52" s="1065">
        <v>35295108</v>
      </c>
      <c r="T52" s="1065">
        <v>421572</v>
      </c>
      <c r="U52" s="1065">
        <v>143148</v>
      </c>
      <c r="V52" s="1065">
        <v>1103313</v>
      </c>
      <c r="W52" s="1065">
        <v>664158</v>
      </c>
      <c r="X52" s="1065">
        <v>-37517</v>
      </c>
      <c r="Y52" s="1065">
        <v>336136</v>
      </c>
      <c r="Z52" s="1065">
        <v>14144501</v>
      </c>
      <c r="AA52" s="1065">
        <v>111110792</v>
      </c>
      <c r="AB52" s="1065">
        <v>103709270</v>
      </c>
      <c r="AC52" s="1065">
        <v>-20612702</v>
      </c>
      <c r="AD52" s="1065">
        <v>228096</v>
      </c>
      <c r="AE52" s="1065">
        <v>1023594</v>
      </c>
      <c r="AF52" s="1065">
        <v>491656588</v>
      </c>
      <c r="AG52" s="1065">
        <v>-296398946</v>
      </c>
      <c r="AH52" s="1065">
        <v>2471840</v>
      </c>
      <c r="AI52" s="1065">
        <v>3323983</v>
      </c>
      <c r="AJ52" s="1065">
        <v>57228723</v>
      </c>
      <c r="AK52" s="1065">
        <v>-18665571</v>
      </c>
      <c r="AL52" s="1065">
        <v>88294</v>
      </c>
      <c r="AM52" s="1065">
        <v>220240</v>
      </c>
      <c r="AN52" s="1065">
        <v>89584033</v>
      </c>
      <c r="AO52" s="1065">
        <v>-10270346</v>
      </c>
      <c r="AP52" s="1065">
        <v>53022280</v>
      </c>
      <c r="AQ52" s="1080">
        <v>546981</v>
      </c>
      <c r="AR52" s="1081"/>
      <c r="AS52" s="1065">
        <v>806633257</v>
      </c>
      <c r="AT52" s="1065">
        <v>119278598</v>
      </c>
      <c r="AU52" s="1065">
        <v>3538106467</v>
      </c>
      <c r="AV52" s="1065">
        <v>2455249865</v>
      </c>
      <c r="AW52" s="1065">
        <v>36173620</v>
      </c>
      <c r="AX52" s="1065">
        <v>2066090</v>
      </c>
      <c r="AY52" s="1065">
        <v>208351861</v>
      </c>
      <c r="AZ52" s="1065">
        <v>196509332</v>
      </c>
      <c r="BA52" s="1065">
        <v>44358975</v>
      </c>
      <c r="BB52" s="1065">
        <v>79622221</v>
      </c>
      <c r="BC52" s="1065">
        <v>308534</v>
      </c>
      <c r="BD52" s="1065">
        <v>53569261</v>
      </c>
    </row>
    <row r="53" spans="1:56">
      <c r="A53" s="1073" t="s">
        <v>1057</v>
      </c>
      <c r="B53" s="1061">
        <v>1086929910666</v>
      </c>
      <c r="C53" s="1061">
        <v>1032303652398</v>
      </c>
      <c r="D53" s="1061">
        <v>904991354520</v>
      </c>
      <c r="E53" s="1061">
        <v>1518831774298</v>
      </c>
      <c r="F53" s="1061">
        <v>1131903012878</v>
      </c>
      <c r="G53" s="1061">
        <v>1005737127419</v>
      </c>
      <c r="H53" s="1061">
        <v>1162893091598</v>
      </c>
      <c r="I53" s="1061">
        <v>1310055244071</v>
      </c>
      <c r="J53" s="1061">
        <v>1715825018301</v>
      </c>
      <c r="K53" s="1061">
        <v>1701986502962</v>
      </c>
      <c r="L53" s="1061">
        <v>1810160521085</v>
      </c>
      <c r="M53" s="1061">
        <v>2562800682800</v>
      </c>
      <c r="N53" s="1061">
        <v>2530707120478</v>
      </c>
      <c r="O53" s="1061">
        <v>2374017715645</v>
      </c>
      <c r="P53" s="1061">
        <v>2922191599601</v>
      </c>
      <c r="Q53" s="1061">
        <v>2917993601743</v>
      </c>
      <c r="R53" s="1061">
        <v>6735107088797</v>
      </c>
      <c r="S53" s="1061">
        <v>2354921182966</v>
      </c>
      <c r="T53" s="1061">
        <v>2836410731826</v>
      </c>
      <c r="U53" s="1061">
        <v>3365017752332</v>
      </c>
      <c r="V53" s="1061">
        <v>4389008956841</v>
      </c>
      <c r="W53" s="1061">
        <v>4414105519323</v>
      </c>
      <c r="X53" s="1061">
        <v>5443804981399</v>
      </c>
      <c r="Y53" s="1061">
        <v>7487398333725</v>
      </c>
      <c r="Z53" s="1061">
        <v>10266999178695</v>
      </c>
      <c r="AA53" s="1061">
        <v>14048728339442</v>
      </c>
      <c r="AB53" s="1061">
        <v>17006216472608</v>
      </c>
      <c r="AC53" s="1061">
        <v>13816658434227</v>
      </c>
      <c r="AD53" s="1061">
        <v>14134109815018</v>
      </c>
      <c r="AE53" s="1061">
        <v>9798177625687</v>
      </c>
      <c r="AF53" s="1061">
        <v>9452262130561</v>
      </c>
      <c r="AG53" s="1061">
        <v>12195743914813</v>
      </c>
      <c r="AH53" s="1061">
        <v>9116313908149</v>
      </c>
      <c r="AI53" s="1061">
        <v>7644376630247</v>
      </c>
      <c r="AJ53" s="1061">
        <v>7607088265850</v>
      </c>
      <c r="AK53" s="1061">
        <v>8139819738222</v>
      </c>
      <c r="AL53" s="1061">
        <v>4726720273329</v>
      </c>
      <c r="AM53" s="1061">
        <v>5431104784876</v>
      </c>
      <c r="AN53" s="1061">
        <v>3840048066390</v>
      </c>
      <c r="AO53" s="1061">
        <v>6893066992799</v>
      </c>
      <c r="AP53" s="1061">
        <v>12078307061423</v>
      </c>
      <c r="AQ53" s="1074">
        <v>15146908800191</v>
      </c>
      <c r="AR53" s="1075"/>
      <c r="AS53" s="1061">
        <v>4543056691882</v>
      </c>
      <c r="AT53" s="1061">
        <v>4610588475966</v>
      </c>
      <c r="AU53" s="1061">
        <v>7790772725148</v>
      </c>
      <c r="AV53" s="1061">
        <v>10744910037467</v>
      </c>
      <c r="AW53" s="1061">
        <v>15291456755921</v>
      </c>
      <c r="AX53" s="1061">
        <v>21734317791288</v>
      </c>
      <c r="AY53" s="1061">
        <v>55138602424972</v>
      </c>
      <c r="AZ53" s="1061">
        <v>45580293486079</v>
      </c>
      <c r="BA53" s="1061">
        <v>32507598542468</v>
      </c>
      <c r="BB53" s="1061">
        <v>20890940117394</v>
      </c>
      <c r="BC53" s="1061">
        <v>10157825058205</v>
      </c>
      <c r="BD53" s="1061">
        <v>27225215861614</v>
      </c>
    </row>
    <row r="54" spans="1:56">
      <c r="A54" s="1076" t="s">
        <v>1058</v>
      </c>
      <c r="B54" s="1063">
        <v>6826296822</v>
      </c>
      <c r="C54" s="1063">
        <v>5474300055</v>
      </c>
      <c r="D54" s="1063">
        <v>7735937065</v>
      </c>
      <c r="E54" s="1063">
        <v>7003815451</v>
      </c>
      <c r="F54" s="1063">
        <v>6096850965</v>
      </c>
      <c r="G54" s="1063">
        <v>6977038065</v>
      </c>
      <c r="H54" s="1063">
        <v>5883183081</v>
      </c>
      <c r="I54" s="1063">
        <v>9641482846</v>
      </c>
      <c r="J54" s="1063">
        <v>9358926288</v>
      </c>
      <c r="K54" s="1063">
        <v>10524412584</v>
      </c>
      <c r="L54" s="1063">
        <v>10145204385</v>
      </c>
      <c r="M54" s="1063">
        <v>8719262074</v>
      </c>
      <c r="N54" s="1063">
        <v>9207515076</v>
      </c>
      <c r="O54" s="1063">
        <v>10426598597</v>
      </c>
      <c r="P54" s="1063">
        <v>9177366521</v>
      </c>
      <c r="Q54" s="1063">
        <v>9816001275</v>
      </c>
      <c r="R54" s="1063">
        <v>9945771899</v>
      </c>
      <c r="S54" s="1063">
        <v>11572508777</v>
      </c>
      <c r="T54" s="1063">
        <v>10371065920</v>
      </c>
      <c r="U54" s="1063">
        <v>8521260404</v>
      </c>
      <c r="V54" s="1063">
        <v>12697916655</v>
      </c>
      <c r="W54" s="1063">
        <v>20282377490</v>
      </c>
      <c r="X54" s="1063">
        <v>18337796882</v>
      </c>
      <c r="Y54" s="1063">
        <v>23172738593</v>
      </c>
      <c r="Z54" s="1063">
        <v>20593764946</v>
      </c>
      <c r="AA54" s="1063">
        <v>16043454967</v>
      </c>
      <c r="AB54" s="1063">
        <v>17861806032</v>
      </c>
      <c r="AC54" s="1063">
        <v>16363530874</v>
      </c>
      <c r="AD54" s="1063">
        <v>9862069959</v>
      </c>
      <c r="AE54" s="1063">
        <v>11920264413</v>
      </c>
      <c r="AF54" s="1063">
        <v>14928118062</v>
      </c>
      <c r="AG54" s="1063">
        <v>12564764668</v>
      </c>
      <c r="AH54" s="1063">
        <v>10008160548</v>
      </c>
      <c r="AI54" s="1063">
        <v>12407955793</v>
      </c>
      <c r="AJ54" s="1063">
        <v>9861748675</v>
      </c>
      <c r="AK54" s="1063">
        <v>11807284226</v>
      </c>
      <c r="AL54" s="1063">
        <v>18263593011</v>
      </c>
      <c r="AM54" s="1063">
        <v>22993454827</v>
      </c>
      <c r="AN54" s="1063">
        <v>28910881335</v>
      </c>
      <c r="AO54" s="1063">
        <v>38296203042</v>
      </c>
      <c r="AP54" s="1063">
        <v>44567600789</v>
      </c>
      <c r="AQ54" s="1077">
        <v>61671302860</v>
      </c>
      <c r="AR54" s="1078"/>
      <c r="AS54" s="1063">
        <v>27040349393</v>
      </c>
      <c r="AT54" s="1063">
        <v>28598554957</v>
      </c>
      <c r="AU54" s="1063">
        <v>38747805331</v>
      </c>
      <c r="AV54" s="1063">
        <v>38627481469</v>
      </c>
      <c r="AW54" s="1063">
        <v>40410607000</v>
      </c>
      <c r="AX54" s="1063">
        <v>74490829620</v>
      </c>
      <c r="AY54" s="1063">
        <v>70862556819</v>
      </c>
      <c r="AZ54" s="1063">
        <v>49275217102</v>
      </c>
      <c r="BA54" s="1063">
        <v>44085149242</v>
      </c>
      <c r="BB54" s="1063">
        <v>108464132215</v>
      </c>
      <c r="BC54" s="1063">
        <v>41257047838</v>
      </c>
      <c r="BD54" s="1063">
        <v>106238903649</v>
      </c>
    </row>
    <row r="55" spans="1:56">
      <c r="A55" s="1079" t="s">
        <v>1059</v>
      </c>
      <c r="B55" s="1065">
        <v>1488552417</v>
      </c>
      <c r="C55" s="1065">
        <v>1430757840</v>
      </c>
      <c r="D55" s="1065">
        <v>1385317845</v>
      </c>
      <c r="E55" s="1065">
        <v>1437789216</v>
      </c>
      <c r="F55" s="1065">
        <v>1488566931</v>
      </c>
      <c r="G55" s="1065">
        <v>1858830791</v>
      </c>
      <c r="H55" s="1065">
        <v>1786363856</v>
      </c>
      <c r="I55" s="1065">
        <v>1775649624</v>
      </c>
      <c r="J55" s="1065">
        <v>2653105373</v>
      </c>
      <c r="K55" s="1065">
        <v>2497679523</v>
      </c>
      <c r="L55" s="1065">
        <v>2465723967</v>
      </c>
      <c r="M55" s="1065">
        <v>2370318031</v>
      </c>
      <c r="N55" s="1065">
        <v>2293465826</v>
      </c>
      <c r="O55" s="1065">
        <v>2856332362</v>
      </c>
      <c r="P55" s="1065">
        <v>2229413315</v>
      </c>
      <c r="Q55" s="1065">
        <v>2245276683</v>
      </c>
      <c r="R55" s="1065">
        <v>3195317574</v>
      </c>
      <c r="S55" s="1065">
        <v>2611994913</v>
      </c>
      <c r="T55" s="1065">
        <v>2638991017</v>
      </c>
      <c r="U55" s="1065">
        <v>909432767</v>
      </c>
      <c r="V55" s="1065">
        <v>3498445356</v>
      </c>
      <c r="W55" s="1065">
        <v>3385764914</v>
      </c>
      <c r="X55" s="1065">
        <v>4654943580</v>
      </c>
      <c r="Y55" s="1065">
        <v>4368132876</v>
      </c>
      <c r="Z55" s="1065">
        <v>4541492826</v>
      </c>
      <c r="AA55" s="1065">
        <v>4083009761</v>
      </c>
      <c r="AB55" s="1065">
        <v>3598974093</v>
      </c>
      <c r="AC55" s="1065">
        <v>3185862707</v>
      </c>
      <c r="AD55" s="1065">
        <v>3291792759</v>
      </c>
      <c r="AE55" s="1065">
        <v>3229544754</v>
      </c>
      <c r="AF55" s="1065">
        <v>3294918093</v>
      </c>
      <c r="AG55" s="1065">
        <v>3215494673</v>
      </c>
      <c r="AH55" s="1065">
        <v>3648312419</v>
      </c>
      <c r="AI55" s="1065">
        <v>3716131313</v>
      </c>
      <c r="AJ55" s="1065">
        <v>4066665125</v>
      </c>
      <c r="AK55" s="1065">
        <v>4596144879</v>
      </c>
      <c r="AL55" s="1065">
        <v>8028456062</v>
      </c>
      <c r="AM55" s="1065">
        <v>11080022031</v>
      </c>
      <c r="AN55" s="1065">
        <v>12061596269</v>
      </c>
      <c r="AO55" s="1065">
        <v>17290252678</v>
      </c>
      <c r="AP55" s="1065">
        <v>20065087469</v>
      </c>
      <c r="AQ55" s="1080">
        <v>32858483098</v>
      </c>
      <c r="AR55" s="1081"/>
      <c r="AS55" s="1065">
        <v>5742417318</v>
      </c>
      <c r="AT55" s="1065">
        <v>6909411202</v>
      </c>
      <c r="AU55" s="1065">
        <v>9986826894</v>
      </c>
      <c r="AV55" s="1065">
        <v>9624488186</v>
      </c>
      <c r="AW55" s="1065">
        <v>9355736271</v>
      </c>
      <c r="AX55" s="1065">
        <v>15907286726</v>
      </c>
      <c r="AY55" s="1065">
        <v>15409339387</v>
      </c>
      <c r="AZ55" s="1065">
        <v>13031750279</v>
      </c>
      <c r="BA55" s="1065">
        <v>16027253736</v>
      </c>
      <c r="BB55" s="1065">
        <v>48460327040</v>
      </c>
      <c r="BC55" s="1065">
        <v>19108478093</v>
      </c>
      <c r="BD55" s="1065">
        <v>52923570567</v>
      </c>
    </row>
    <row r="56" spans="1:56">
      <c r="A56" s="1079" t="s">
        <v>1060</v>
      </c>
      <c r="B56" s="1065">
        <v>2948957092</v>
      </c>
      <c r="C56" s="1065">
        <v>2955822843</v>
      </c>
      <c r="D56" s="1065">
        <v>2489405059</v>
      </c>
      <c r="E56" s="1065">
        <v>1971716134</v>
      </c>
      <c r="F56" s="1065">
        <v>2828129491</v>
      </c>
      <c r="G56" s="1065">
        <v>2895981748</v>
      </c>
      <c r="H56" s="1065">
        <v>2420657297</v>
      </c>
      <c r="I56" s="1065">
        <v>2159711770</v>
      </c>
      <c r="J56" s="1065">
        <v>3710368337</v>
      </c>
      <c r="K56" s="1065">
        <v>5454282804</v>
      </c>
      <c r="L56" s="1065">
        <v>5258329222</v>
      </c>
      <c r="M56" s="1065">
        <v>4531676707</v>
      </c>
      <c r="N56" s="1065">
        <v>5077150039</v>
      </c>
      <c r="O56" s="1065">
        <v>5818296828</v>
      </c>
      <c r="P56" s="1065">
        <v>5099753209</v>
      </c>
      <c r="Q56" s="1065">
        <v>5139074652</v>
      </c>
      <c r="R56" s="1065">
        <v>4410574293</v>
      </c>
      <c r="S56" s="1065">
        <v>3479353192</v>
      </c>
      <c r="T56" s="1065">
        <v>3912118053</v>
      </c>
      <c r="U56" s="1065">
        <v>5530736214</v>
      </c>
      <c r="V56" s="1065">
        <v>6857687967</v>
      </c>
      <c r="W56" s="1065">
        <v>13653817328</v>
      </c>
      <c r="X56" s="1065">
        <v>12560624992</v>
      </c>
      <c r="Y56" s="1065">
        <v>11362861558</v>
      </c>
      <c r="Z56" s="1065">
        <v>10922365908</v>
      </c>
      <c r="AA56" s="1065">
        <v>10724449019</v>
      </c>
      <c r="AB56" s="1065">
        <v>11217016122</v>
      </c>
      <c r="AC56" s="1065">
        <v>10986945128</v>
      </c>
      <c r="AD56" s="1065">
        <v>6251182829</v>
      </c>
      <c r="AE56" s="1065">
        <v>8199565552</v>
      </c>
      <c r="AF56" s="1065">
        <v>9916511236</v>
      </c>
      <c r="AG56" s="1065">
        <v>7025529319</v>
      </c>
      <c r="AH56" s="1065">
        <v>6277458995</v>
      </c>
      <c r="AI56" s="1065">
        <v>8158968386</v>
      </c>
      <c r="AJ56" s="1065">
        <v>5552667854</v>
      </c>
      <c r="AK56" s="1065">
        <v>6365554221</v>
      </c>
      <c r="AL56" s="1065">
        <v>8570486401</v>
      </c>
      <c r="AM56" s="1065">
        <v>11453337899</v>
      </c>
      <c r="AN56" s="1065">
        <v>16301428531</v>
      </c>
      <c r="AO56" s="1065">
        <v>20164826566</v>
      </c>
      <c r="AP56" s="1065">
        <v>22769633587</v>
      </c>
      <c r="AQ56" s="1080">
        <v>27155015964</v>
      </c>
      <c r="AR56" s="1081"/>
      <c r="AS56" s="1065">
        <v>10365901128</v>
      </c>
      <c r="AT56" s="1065">
        <v>10304480306</v>
      </c>
      <c r="AU56" s="1065">
        <v>18954657070</v>
      </c>
      <c r="AV56" s="1065">
        <v>21134274728</v>
      </c>
      <c r="AW56" s="1065">
        <v>17332781752</v>
      </c>
      <c r="AX56" s="1065">
        <v>44434991845</v>
      </c>
      <c r="AY56" s="1065">
        <v>43850776177</v>
      </c>
      <c r="AZ56" s="1065">
        <v>31392788936</v>
      </c>
      <c r="BA56" s="1065">
        <v>26354649456</v>
      </c>
      <c r="BB56" s="1065">
        <v>56490079397</v>
      </c>
      <c r="BC56" s="1065">
        <v>20023824300</v>
      </c>
      <c r="BD56" s="1065">
        <v>49924649551</v>
      </c>
    </row>
    <row r="57" spans="1:56">
      <c r="A57" s="1079" t="s">
        <v>1061</v>
      </c>
      <c r="B57" s="1065">
        <v>2388787313</v>
      </c>
      <c r="C57" s="1065">
        <v>1087719372</v>
      </c>
      <c r="D57" s="1065">
        <v>3861214161</v>
      </c>
      <c r="E57" s="1065">
        <v>3594310101</v>
      </c>
      <c r="F57" s="1065">
        <v>1780154543</v>
      </c>
      <c r="G57" s="1065">
        <v>2222225526</v>
      </c>
      <c r="H57" s="1065">
        <v>1676161928</v>
      </c>
      <c r="I57" s="1065">
        <v>5706121452</v>
      </c>
      <c r="J57" s="1065">
        <v>2995452578</v>
      </c>
      <c r="K57" s="1065">
        <v>2572450257</v>
      </c>
      <c r="L57" s="1065">
        <v>2421151196</v>
      </c>
      <c r="M57" s="1065">
        <v>1817267336</v>
      </c>
      <c r="N57" s="1065">
        <v>1836899211</v>
      </c>
      <c r="O57" s="1065">
        <v>1751969407</v>
      </c>
      <c r="P57" s="1065">
        <v>1848199997</v>
      </c>
      <c r="Q57" s="1065">
        <v>2431649940</v>
      </c>
      <c r="R57" s="1065">
        <v>2339880032</v>
      </c>
      <c r="S57" s="1065">
        <v>5481160672</v>
      </c>
      <c r="T57" s="1065">
        <v>3819956850</v>
      </c>
      <c r="U57" s="1065">
        <v>2081091423</v>
      </c>
      <c r="V57" s="1065">
        <v>2341783332</v>
      </c>
      <c r="W57" s="1065">
        <v>3242795248</v>
      </c>
      <c r="X57" s="1065">
        <v>1122228310</v>
      </c>
      <c r="Y57" s="1065">
        <v>7441744159</v>
      </c>
      <c r="Z57" s="1065">
        <v>5129906212</v>
      </c>
      <c r="AA57" s="1065">
        <v>1235996187</v>
      </c>
      <c r="AB57" s="1065">
        <v>3045815817</v>
      </c>
      <c r="AC57" s="1065">
        <v>2190723039</v>
      </c>
      <c r="AD57" s="1065">
        <v>319094371</v>
      </c>
      <c r="AE57" s="1065">
        <v>491154107</v>
      </c>
      <c r="AF57" s="1065">
        <v>1716688733</v>
      </c>
      <c r="AG57" s="1065">
        <v>2323740676</v>
      </c>
      <c r="AH57" s="1065">
        <v>82389134</v>
      </c>
      <c r="AI57" s="1065">
        <v>532856094</v>
      </c>
      <c r="AJ57" s="1065">
        <v>242415696</v>
      </c>
      <c r="AK57" s="1065">
        <v>845585126</v>
      </c>
      <c r="AL57" s="1065">
        <v>1664650548</v>
      </c>
      <c r="AM57" s="1065">
        <v>460094897</v>
      </c>
      <c r="AN57" s="1065">
        <v>547856535</v>
      </c>
      <c r="AO57" s="1065">
        <v>841123798</v>
      </c>
      <c r="AP57" s="1065">
        <v>1732879733</v>
      </c>
      <c r="AQ57" s="1080">
        <v>1657803798</v>
      </c>
      <c r="AR57" s="1081"/>
      <c r="AS57" s="1065">
        <v>10932030947</v>
      </c>
      <c r="AT57" s="1065">
        <v>11384663449</v>
      </c>
      <c r="AU57" s="1065">
        <v>9806321367</v>
      </c>
      <c r="AV57" s="1065">
        <v>7868718555</v>
      </c>
      <c r="AW57" s="1065">
        <v>13722088977</v>
      </c>
      <c r="AX57" s="1065">
        <v>14148551049</v>
      </c>
      <c r="AY57" s="1065">
        <v>11602441255</v>
      </c>
      <c r="AZ57" s="1065">
        <v>4850677887</v>
      </c>
      <c r="BA57" s="1065">
        <v>1703246050</v>
      </c>
      <c r="BB57" s="1065">
        <v>3513725778</v>
      </c>
      <c r="BC57" s="1065">
        <v>2124745445</v>
      </c>
      <c r="BD57" s="1065">
        <v>3390683531</v>
      </c>
    </row>
    <row r="58" spans="1:56">
      <c r="A58" s="1076" t="s">
        <v>1062</v>
      </c>
      <c r="B58" s="1063">
        <v>83632612828</v>
      </c>
      <c r="C58" s="1063">
        <v>83808769409</v>
      </c>
      <c r="D58" s="1063">
        <v>101568371884</v>
      </c>
      <c r="E58" s="1063">
        <v>223684938404</v>
      </c>
      <c r="F58" s="1063">
        <v>174510784109</v>
      </c>
      <c r="G58" s="1063">
        <v>140457676447</v>
      </c>
      <c r="H58" s="1063">
        <v>179273297512</v>
      </c>
      <c r="I58" s="1063">
        <v>250470645528</v>
      </c>
      <c r="J58" s="1063">
        <v>372895517809</v>
      </c>
      <c r="K58" s="1063">
        <v>378837170072</v>
      </c>
      <c r="L58" s="1063">
        <v>421115171859</v>
      </c>
      <c r="M58" s="1063">
        <v>244079805401</v>
      </c>
      <c r="N58" s="1063">
        <v>737777209081</v>
      </c>
      <c r="O58" s="1063">
        <v>370947233097</v>
      </c>
      <c r="P58" s="1063">
        <v>481863046642</v>
      </c>
      <c r="Q58" s="1063">
        <v>562939733335</v>
      </c>
      <c r="R58" s="1063">
        <v>998455317492</v>
      </c>
      <c r="S58" s="1063">
        <v>381250164846</v>
      </c>
      <c r="T58" s="1063">
        <v>558082341386</v>
      </c>
      <c r="U58" s="1063">
        <v>887643418726</v>
      </c>
      <c r="V58" s="1063">
        <v>967523919492</v>
      </c>
      <c r="W58" s="1063">
        <v>695607623541</v>
      </c>
      <c r="X58" s="1063">
        <v>485965761410</v>
      </c>
      <c r="Y58" s="1063">
        <v>678621046682</v>
      </c>
      <c r="Z58" s="1063">
        <v>1207634906360</v>
      </c>
      <c r="AA58" s="1063">
        <v>1219424481652</v>
      </c>
      <c r="AB58" s="1063">
        <v>990743110521</v>
      </c>
      <c r="AC58" s="1063">
        <v>370658139981</v>
      </c>
      <c r="AD58" s="1063">
        <v>1299967892938</v>
      </c>
      <c r="AE58" s="1063">
        <v>713964743040</v>
      </c>
      <c r="AF58" s="1063">
        <v>615734531432</v>
      </c>
      <c r="AG58" s="1063">
        <v>766825736479</v>
      </c>
      <c r="AH58" s="1063">
        <v>1276502642090</v>
      </c>
      <c r="AI58" s="1063">
        <v>724533473321</v>
      </c>
      <c r="AJ58" s="1063">
        <v>952356551137</v>
      </c>
      <c r="AK58" s="1063">
        <v>884799312504</v>
      </c>
      <c r="AL58" s="1063">
        <v>1284334618830</v>
      </c>
      <c r="AM58" s="1063">
        <v>978201504405</v>
      </c>
      <c r="AN58" s="1063">
        <v>776645638697</v>
      </c>
      <c r="AO58" s="1063">
        <v>1985335307075</v>
      </c>
      <c r="AP58" s="1063">
        <v>3262716573013</v>
      </c>
      <c r="AQ58" s="1077">
        <v>3965675654153</v>
      </c>
      <c r="AR58" s="1078"/>
      <c r="AS58" s="1063">
        <v>492694692525</v>
      </c>
      <c r="AT58" s="1063">
        <v>744712403596</v>
      </c>
      <c r="AU58" s="1063">
        <v>1416927665141</v>
      </c>
      <c r="AV58" s="1063">
        <v>2153527222155</v>
      </c>
      <c r="AW58" s="1063">
        <v>2825431242450</v>
      </c>
      <c r="AX58" s="1063">
        <v>2827718351125</v>
      </c>
      <c r="AY58" s="1063">
        <v>3788460638514</v>
      </c>
      <c r="AZ58" s="1063">
        <v>3396492903889</v>
      </c>
      <c r="BA58" s="1063">
        <v>3838191979052</v>
      </c>
      <c r="BB58" s="1063">
        <v>5024517069007</v>
      </c>
      <c r="BC58" s="1063">
        <v>2262536123235</v>
      </c>
      <c r="BD58" s="1063">
        <v>7228392227166</v>
      </c>
    </row>
    <row r="59" spans="1:56">
      <c r="A59" s="1079" t="s">
        <v>1063</v>
      </c>
      <c r="B59" s="1065">
        <v>70731728419</v>
      </c>
      <c r="C59" s="1065">
        <v>70535781039</v>
      </c>
      <c r="D59" s="1065">
        <v>88838052423</v>
      </c>
      <c r="E59" s="1065">
        <v>183023910805</v>
      </c>
      <c r="F59" s="1065">
        <v>134407147214</v>
      </c>
      <c r="G59" s="1065">
        <v>137108560950</v>
      </c>
      <c r="H59" s="1065">
        <v>176610332043</v>
      </c>
      <c r="I59" s="1065">
        <v>236327335603</v>
      </c>
      <c r="J59" s="1065">
        <v>331304868971</v>
      </c>
      <c r="K59" s="1065">
        <v>239651930295</v>
      </c>
      <c r="L59" s="1065">
        <v>239576825685</v>
      </c>
      <c r="M59" s="1065">
        <v>303926270400</v>
      </c>
      <c r="N59" s="1065">
        <v>198304477332</v>
      </c>
      <c r="O59" s="1065">
        <v>211254668473</v>
      </c>
      <c r="P59" s="1065">
        <v>337137565406</v>
      </c>
      <c r="Q59" s="1065">
        <v>317460349110</v>
      </c>
      <c r="R59" s="1065">
        <v>768511347214</v>
      </c>
      <c r="S59" s="1065">
        <v>431761265416</v>
      </c>
      <c r="T59" s="1065">
        <v>473599776817</v>
      </c>
      <c r="U59" s="1065">
        <v>555644941235</v>
      </c>
      <c r="V59" s="1065">
        <v>573450165004</v>
      </c>
      <c r="W59" s="1065">
        <v>479977050687</v>
      </c>
      <c r="X59" s="1065">
        <v>437268722505</v>
      </c>
      <c r="Y59" s="1065">
        <v>591782482217</v>
      </c>
      <c r="Z59" s="1065">
        <v>631553189770</v>
      </c>
      <c r="AA59" s="1065">
        <v>894979786372</v>
      </c>
      <c r="AB59" s="1065">
        <v>622730996852</v>
      </c>
      <c r="AC59" s="1065">
        <v>587285398060</v>
      </c>
      <c r="AD59" s="1065">
        <v>478732386630</v>
      </c>
      <c r="AE59" s="1065">
        <v>468654118994</v>
      </c>
      <c r="AF59" s="1065">
        <v>489170476408</v>
      </c>
      <c r="AG59" s="1065">
        <v>545831755892</v>
      </c>
      <c r="AH59" s="1065">
        <v>482309107864</v>
      </c>
      <c r="AI59" s="1065">
        <v>476817494591</v>
      </c>
      <c r="AJ59" s="1065">
        <v>521018514745</v>
      </c>
      <c r="AK59" s="1065">
        <v>684945201132</v>
      </c>
      <c r="AL59" s="1065">
        <v>617521511130</v>
      </c>
      <c r="AM59" s="1065">
        <v>925327964138</v>
      </c>
      <c r="AN59" s="1065">
        <v>713140813527</v>
      </c>
      <c r="AO59" s="1065">
        <v>1635212124983</v>
      </c>
      <c r="AP59" s="1065">
        <v>2378963154855</v>
      </c>
      <c r="AQ59" s="1080">
        <v>3804215613328</v>
      </c>
      <c r="AR59" s="1081"/>
      <c r="AS59" s="1065">
        <v>413129472686</v>
      </c>
      <c r="AT59" s="1065">
        <v>684453375810</v>
      </c>
      <c r="AU59" s="1065">
        <v>1114459895351</v>
      </c>
      <c r="AV59" s="1065">
        <v>1064157060321</v>
      </c>
      <c r="AW59" s="1065">
        <v>2229517330682</v>
      </c>
      <c r="AX59" s="1065">
        <v>2082478420413</v>
      </c>
      <c r="AY59" s="1065">
        <v>2736549371054</v>
      </c>
      <c r="AZ59" s="1065">
        <v>1982388737924</v>
      </c>
      <c r="BA59" s="1065">
        <v>2165090318332</v>
      </c>
      <c r="BB59" s="1065">
        <v>3891202413778</v>
      </c>
      <c r="BC59" s="1065">
        <v>1542849475268</v>
      </c>
      <c r="BD59" s="1065">
        <v>6183178768183</v>
      </c>
    </row>
    <row r="60" spans="1:56">
      <c r="A60" s="1079" t="s">
        <v>1064</v>
      </c>
      <c r="B60" s="1065">
        <v>9308317566</v>
      </c>
      <c r="C60" s="1065">
        <v>7237856302</v>
      </c>
      <c r="D60" s="1065">
        <v>5373510301</v>
      </c>
      <c r="E60" s="1065">
        <v>28693648000</v>
      </c>
      <c r="F60" s="1065">
        <v>28722209552</v>
      </c>
      <c r="G60" s="1065">
        <v>-3026237720</v>
      </c>
      <c r="H60" s="1065">
        <v>1425166661</v>
      </c>
      <c r="I60" s="1065">
        <v>10226867846</v>
      </c>
      <c r="J60" s="1065">
        <v>33957176861</v>
      </c>
      <c r="K60" s="1065">
        <v>22156393470</v>
      </c>
      <c r="L60" s="1065">
        <v>20651392414</v>
      </c>
      <c r="M60" s="1065">
        <v>7557866345</v>
      </c>
      <c r="N60" s="1065">
        <v>45372018457</v>
      </c>
      <c r="O60" s="1065">
        <v>27964248290</v>
      </c>
      <c r="P60" s="1065">
        <v>9660759421</v>
      </c>
      <c r="Q60" s="1065">
        <v>6272958937</v>
      </c>
      <c r="R60" s="1065">
        <v>191890549047</v>
      </c>
      <c r="S60" s="1065">
        <v>-97943588504</v>
      </c>
      <c r="T60" s="1065">
        <v>14104642830</v>
      </c>
      <c r="U60" s="1065">
        <v>113656452242</v>
      </c>
      <c r="V60" s="1065">
        <v>189609108246</v>
      </c>
      <c r="W60" s="1065">
        <v>26867267047</v>
      </c>
      <c r="X60" s="1065">
        <v>61086757951</v>
      </c>
      <c r="Y60" s="1065">
        <v>-17754065447</v>
      </c>
      <c r="Z60" s="1065">
        <v>520949723913</v>
      </c>
      <c r="AA60" s="1065">
        <v>288165322151</v>
      </c>
      <c r="AB60" s="1065">
        <v>246068216202</v>
      </c>
      <c r="AC60" s="1065">
        <v>-420479086278</v>
      </c>
      <c r="AD60" s="1065">
        <v>300979670672</v>
      </c>
      <c r="AE60" s="1065">
        <v>96990421563</v>
      </c>
      <c r="AF60" s="1065">
        <v>10759322491</v>
      </c>
      <c r="AG60" s="1065">
        <v>22413888493</v>
      </c>
      <c r="AH60" s="1065">
        <v>542360737894</v>
      </c>
      <c r="AI60" s="1065">
        <v>-33888734571</v>
      </c>
      <c r="AJ60" s="1065">
        <v>272943905837</v>
      </c>
      <c r="AK60" s="1065">
        <v>-18237542132</v>
      </c>
      <c r="AL60" s="1065">
        <v>500718290419</v>
      </c>
      <c r="AM60" s="1065">
        <v>-40720183749</v>
      </c>
      <c r="AN60" s="1065">
        <v>-159029806907</v>
      </c>
      <c r="AO60" s="1065">
        <v>157873028441</v>
      </c>
      <c r="AP60" s="1065">
        <v>681636185413</v>
      </c>
      <c r="AQ60" s="1080">
        <v>-118126208935</v>
      </c>
      <c r="AR60" s="1081"/>
      <c r="AS60" s="1065">
        <v>50613332169</v>
      </c>
      <c r="AT60" s="1065">
        <v>37348006339</v>
      </c>
      <c r="AU60" s="1065">
        <v>84322829090</v>
      </c>
      <c r="AV60" s="1065">
        <v>89269985105</v>
      </c>
      <c r="AW60" s="1065">
        <v>221708055615</v>
      </c>
      <c r="AX60" s="1065">
        <v>259809067797</v>
      </c>
      <c r="AY60" s="1065">
        <v>634704175988</v>
      </c>
      <c r="AZ60" s="1065">
        <v>431143303219</v>
      </c>
      <c r="BA60" s="1065">
        <v>763178367028</v>
      </c>
      <c r="BB60" s="1065">
        <v>458841328204</v>
      </c>
      <c r="BC60" s="1065">
        <v>459998106670</v>
      </c>
      <c r="BD60" s="1065">
        <v>563509976478</v>
      </c>
    </row>
    <row r="61" spans="1:56">
      <c r="A61" s="1079" t="s">
        <v>1065</v>
      </c>
      <c r="B61" s="1065">
        <v>613119667</v>
      </c>
      <c r="C61" s="1065">
        <v>2325317323</v>
      </c>
      <c r="D61" s="1065">
        <v>993824029</v>
      </c>
      <c r="E61" s="1065">
        <v>2494356781</v>
      </c>
      <c r="F61" s="1065">
        <v>1303097100</v>
      </c>
      <c r="G61" s="1065">
        <v>1455399205</v>
      </c>
      <c r="H61" s="1065">
        <v>1932617923</v>
      </c>
      <c r="I61" s="1065">
        <v>3500464537</v>
      </c>
      <c r="J61" s="1065">
        <v>432917636</v>
      </c>
      <c r="K61" s="1065">
        <v>4581770039</v>
      </c>
      <c r="L61" s="1065">
        <v>139184747759</v>
      </c>
      <c r="M61" s="1065">
        <v>63616307950</v>
      </c>
      <c r="N61" s="1065">
        <v>218636423442</v>
      </c>
      <c r="O61" s="1065">
        <v>247696376231</v>
      </c>
      <c r="P61" s="1065">
        <v>119231664097</v>
      </c>
      <c r="Q61" s="1065">
        <v>128048484941</v>
      </c>
      <c r="R61" s="1065">
        <v>14716134175</v>
      </c>
      <c r="S61" s="1065">
        <v>30806723980</v>
      </c>
      <c r="T61" s="1065">
        <v>74173307975</v>
      </c>
      <c r="U61" s="1065">
        <v>121654603097</v>
      </c>
      <c r="V61" s="1065">
        <v>47428081946</v>
      </c>
      <c r="W61" s="1065">
        <v>98203642294</v>
      </c>
      <c r="X61" s="1065">
        <v>160702960305</v>
      </c>
      <c r="Y61" s="1065">
        <v>71220052043</v>
      </c>
      <c r="Z61" s="1065">
        <v>20670443789</v>
      </c>
      <c r="AA61" s="1065">
        <v>15215344976</v>
      </c>
      <c r="AB61" s="1065">
        <v>50626014385</v>
      </c>
      <c r="AC61" s="1065">
        <v>148154624752</v>
      </c>
      <c r="AD61" s="1065">
        <v>84394451010</v>
      </c>
      <c r="AE61" s="1065">
        <v>193964769437</v>
      </c>
      <c r="AF61" s="1065">
        <v>104625625967</v>
      </c>
      <c r="AG61" s="1065">
        <v>308569662919</v>
      </c>
      <c r="AH61" s="1065">
        <v>41971235308</v>
      </c>
      <c r="AI61" s="1065">
        <v>136108159085</v>
      </c>
      <c r="AJ61" s="1065">
        <v>164842942878</v>
      </c>
      <c r="AK61" s="1065">
        <v>150200544588</v>
      </c>
      <c r="AL61" s="1065">
        <v>38688890510</v>
      </c>
      <c r="AM61" s="1065">
        <v>26410297732</v>
      </c>
      <c r="AN61" s="1065">
        <v>60489054945</v>
      </c>
      <c r="AO61" s="1065">
        <v>227877304547</v>
      </c>
      <c r="AP61" s="1065">
        <v>64077607368</v>
      </c>
      <c r="AQ61" s="1080">
        <v>112527419357</v>
      </c>
      <c r="AR61" s="1081"/>
      <c r="AS61" s="1065">
        <v>6426617800</v>
      </c>
      <c r="AT61" s="1065">
        <v>8191578765</v>
      </c>
      <c r="AU61" s="1065">
        <v>207815743384</v>
      </c>
      <c r="AV61" s="1065">
        <v>713612948711</v>
      </c>
      <c r="AW61" s="1065">
        <v>241350769227</v>
      </c>
      <c r="AX61" s="1065">
        <v>377554736588</v>
      </c>
      <c r="AY61" s="1065">
        <v>234666427902</v>
      </c>
      <c r="AZ61" s="1065">
        <v>691554509333</v>
      </c>
      <c r="BA61" s="1065">
        <v>493122881859</v>
      </c>
      <c r="BB61" s="1065">
        <v>353465547734</v>
      </c>
      <c r="BC61" s="1065">
        <v>65099188242</v>
      </c>
      <c r="BD61" s="1065">
        <v>176605026725</v>
      </c>
    </row>
    <row r="62" spans="1:56">
      <c r="A62" s="1079" t="s">
        <v>1066</v>
      </c>
      <c r="B62" s="1065">
        <v>2689408936</v>
      </c>
      <c r="C62" s="1065">
        <v>2012298148</v>
      </c>
      <c r="D62" s="1065">
        <v>4628449664</v>
      </c>
      <c r="E62" s="1065">
        <v>5676885429</v>
      </c>
      <c r="F62" s="1065">
        <v>1385179207</v>
      </c>
      <c r="G62" s="1065">
        <v>1854825707</v>
      </c>
      <c r="H62" s="1065">
        <v>1349660116</v>
      </c>
      <c r="I62" s="1065">
        <v>-1211840931</v>
      </c>
      <c r="J62" s="1065">
        <v>7182428512</v>
      </c>
      <c r="K62" s="1065">
        <v>112465202097</v>
      </c>
      <c r="L62" s="1065">
        <v>19658295368</v>
      </c>
      <c r="M62" s="1065">
        <v>-128976728661</v>
      </c>
      <c r="N62" s="1065">
        <v>274730984422</v>
      </c>
      <c r="O62" s="1065">
        <v>-115555229440</v>
      </c>
      <c r="P62" s="1065">
        <v>15833057718</v>
      </c>
      <c r="Q62" s="1065">
        <v>110914930988</v>
      </c>
      <c r="R62" s="1065">
        <v>23320299626</v>
      </c>
      <c r="S62" s="1065">
        <v>16178834665</v>
      </c>
      <c r="T62" s="1065">
        <v>-3795386236</v>
      </c>
      <c r="U62" s="1065">
        <v>96602408666</v>
      </c>
      <c r="V62" s="1065">
        <v>156917825549</v>
      </c>
      <c r="W62" s="1065">
        <v>90546523637</v>
      </c>
      <c r="X62" s="1065">
        <v>-173458039058</v>
      </c>
      <c r="Y62" s="1065">
        <v>29762479663</v>
      </c>
      <c r="Z62" s="1065">
        <v>32096986528</v>
      </c>
      <c r="AA62" s="1065">
        <v>15367122563</v>
      </c>
      <c r="AB62" s="1065">
        <v>53963832130</v>
      </c>
      <c r="AC62" s="1065">
        <v>-6758583989</v>
      </c>
      <c r="AD62" s="1065">
        <v>434554778533</v>
      </c>
      <c r="AE62" s="1065">
        <v>-47604267821</v>
      </c>
      <c r="AF62" s="1065">
        <v>11150547121</v>
      </c>
      <c r="AG62" s="1065">
        <v>-114410772836</v>
      </c>
      <c r="AH62" s="1065">
        <v>209833952626</v>
      </c>
      <c r="AI62" s="1065">
        <v>145430734069</v>
      </c>
      <c r="AJ62" s="1065">
        <v>-6506624779</v>
      </c>
      <c r="AK62" s="1065">
        <v>67876216269</v>
      </c>
      <c r="AL62" s="1065">
        <v>127405015012</v>
      </c>
      <c r="AM62" s="1065">
        <v>67171690865</v>
      </c>
      <c r="AN62" s="1065">
        <v>161274076810</v>
      </c>
      <c r="AO62" s="1065">
        <v>-35647793408</v>
      </c>
      <c r="AP62" s="1065">
        <v>137659802133</v>
      </c>
      <c r="AQ62" s="1080">
        <v>162360121316</v>
      </c>
      <c r="AR62" s="1081"/>
      <c r="AS62" s="1065">
        <v>15007042177</v>
      </c>
      <c r="AT62" s="1065">
        <v>3377824099</v>
      </c>
      <c r="AU62" s="1065">
        <v>10329197316</v>
      </c>
      <c r="AV62" s="1065">
        <v>285923743688</v>
      </c>
      <c r="AW62" s="1065">
        <v>132306156721</v>
      </c>
      <c r="AX62" s="1065">
        <v>103768789791</v>
      </c>
      <c r="AY62" s="1065">
        <v>94669357232</v>
      </c>
      <c r="AZ62" s="1065">
        <v>283690284997</v>
      </c>
      <c r="BA62" s="1065">
        <v>416634278185</v>
      </c>
      <c r="BB62" s="1065">
        <v>320202989279</v>
      </c>
      <c r="BC62" s="1065">
        <v>194576705877</v>
      </c>
      <c r="BD62" s="1065">
        <v>300019923449</v>
      </c>
    </row>
    <row r="63" spans="1:56">
      <c r="A63" s="1079" t="s">
        <v>1067</v>
      </c>
      <c r="B63" s="1065">
        <v>200000000</v>
      </c>
      <c r="C63" s="1065">
        <v>207059788</v>
      </c>
      <c r="D63" s="1065">
        <v>1040898539</v>
      </c>
      <c r="E63" s="1065">
        <v>2987493968</v>
      </c>
      <c r="F63" s="1065">
        <v>1106589920</v>
      </c>
      <c r="G63" s="1065">
        <v>0</v>
      </c>
      <c r="H63" s="1065">
        <v>64670205</v>
      </c>
      <c r="I63" s="1065">
        <v>434256313</v>
      </c>
      <c r="J63" s="1065">
        <v>0</v>
      </c>
      <c r="K63" s="1065">
        <v>0</v>
      </c>
      <c r="L63" s="1065">
        <v>0</v>
      </c>
      <c r="M63" s="1065">
        <v>0</v>
      </c>
      <c r="N63" s="1065">
        <v>320474971</v>
      </c>
      <c r="O63" s="1065">
        <v>0</v>
      </c>
      <c r="P63" s="1065">
        <v>0</v>
      </c>
      <c r="Q63" s="1065">
        <v>243009359</v>
      </c>
      <c r="R63" s="1065">
        <v>16987430</v>
      </c>
      <c r="S63" s="1065">
        <v>0</v>
      </c>
      <c r="T63" s="1065">
        <v>0</v>
      </c>
      <c r="U63" s="1065">
        <v>0</v>
      </c>
      <c r="V63" s="1065">
        <v>0</v>
      </c>
      <c r="W63" s="1065">
        <v>0</v>
      </c>
      <c r="X63" s="1065">
        <v>0</v>
      </c>
      <c r="Y63" s="1065">
        <v>2396716215</v>
      </c>
      <c r="Z63" s="1065">
        <v>1932126724</v>
      </c>
      <c r="AA63" s="1065">
        <v>5600731647</v>
      </c>
      <c r="AB63" s="1065">
        <v>16150078738</v>
      </c>
      <c r="AC63" s="1065">
        <v>60534107061</v>
      </c>
      <c r="AD63" s="1065">
        <v>1306606093</v>
      </c>
      <c r="AE63" s="1065">
        <v>1959700867</v>
      </c>
      <c r="AF63" s="1065">
        <v>28559445</v>
      </c>
      <c r="AG63" s="1065">
        <v>4421202011</v>
      </c>
      <c r="AH63" s="1065">
        <v>27608398</v>
      </c>
      <c r="AI63" s="1065">
        <v>65820147</v>
      </c>
      <c r="AJ63" s="1065">
        <v>57812456</v>
      </c>
      <c r="AK63" s="1065">
        <v>14892647</v>
      </c>
      <c r="AL63" s="1065">
        <v>911759</v>
      </c>
      <c r="AM63" s="1065">
        <v>1</v>
      </c>
      <c r="AN63" s="1065">
        <v>0</v>
      </c>
      <c r="AO63" s="1065">
        <v>1469207</v>
      </c>
      <c r="AP63" s="1065">
        <v>379823244</v>
      </c>
      <c r="AQ63" s="1080">
        <v>4698709087</v>
      </c>
      <c r="AR63" s="1081"/>
      <c r="AS63" s="1065">
        <v>4435452295</v>
      </c>
      <c r="AT63" s="1065">
        <v>1605516438</v>
      </c>
      <c r="AU63" s="1065">
        <v>0</v>
      </c>
      <c r="AV63" s="1065">
        <v>563484330</v>
      </c>
      <c r="AW63" s="1065">
        <v>16987430</v>
      </c>
      <c r="AX63" s="1065">
        <v>2396716215</v>
      </c>
      <c r="AY63" s="1065">
        <v>84217044170</v>
      </c>
      <c r="AZ63" s="1065">
        <v>7716068416</v>
      </c>
      <c r="BA63" s="1065">
        <v>166133648</v>
      </c>
      <c r="BB63" s="1065">
        <v>2380967</v>
      </c>
      <c r="BC63" s="1065">
        <v>911760</v>
      </c>
      <c r="BD63" s="1065">
        <v>5078532331</v>
      </c>
    </row>
    <row r="64" spans="1:56">
      <c r="A64" s="1079" t="s">
        <v>1068</v>
      </c>
      <c r="B64" s="1065">
        <v>90038240</v>
      </c>
      <c r="C64" s="1065">
        <v>399011889</v>
      </c>
      <c r="D64" s="1065">
        <v>75771928</v>
      </c>
      <c r="E64" s="1065">
        <v>841368421</v>
      </c>
      <c r="F64" s="1065">
        <v>7200462811</v>
      </c>
      <c r="G64" s="1065">
        <v>0</v>
      </c>
      <c r="H64" s="1065">
        <v>0</v>
      </c>
      <c r="I64" s="1065">
        <v>1193562160</v>
      </c>
      <c r="J64" s="1065">
        <v>18125829</v>
      </c>
      <c r="K64" s="1065">
        <v>-18125829</v>
      </c>
      <c r="L64" s="1065">
        <v>2043910633</v>
      </c>
      <c r="M64" s="1065">
        <v>-2043910633</v>
      </c>
      <c r="N64" s="1065">
        <v>412830457</v>
      </c>
      <c r="O64" s="1065">
        <v>-412830457</v>
      </c>
      <c r="P64" s="1065">
        <v>0</v>
      </c>
      <c r="Q64" s="1065">
        <v>0</v>
      </c>
      <c r="R64" s="1065">
        <v>0</v>
      </c>
      <c r="S64" s="1065">
        <v>0</v>
      </c>
      <c r="T64" s="1065">
        <v>0</v>
      </c>
      <c r="U64" s="1065">
        <v>85013486</v>
      </c>
      <c r="V64" s="1065">
        <v>118738747</v>
      </c>
      <c r="W64" s="1065">
        <v>13139876</v>
      </c>
      <c r="X64" s="1065">
        <v>365359707</v>
      </c>
      <c r="Y64" s="1065">
        <v>1213381991</v>
      </c>
      <c r="Z64" s="1065">
        <v>432435636</v>
      </c>
      <c r="AA64" s="1065">
        <v>96173943</v>
      </c>
      <c r="AB64" s="1065">
        <v>1203972214</v>
      </c>
      <c r="AC64" s="1065">
        <v>1921680375</v>
      </c>
      <c r="AD64" s="1065">
        <v>0</v>
      </c>
      <c r="AE64" s="1065">
        <v>0</v>
      </c>
      <c r="AF64" s="1065">
        <v>0</v>
      </c>
      <c r="AG64" s="1065">
        <v>0</v>
      </c>
      <c r="AH64" s="1065">
        <v>0</v>
      </c>
      <c r="AI64" s="1065">
        <v>0</v>
      </c>
      <c r="AJ64" s="1065">
        <v>0</v>
      </c>
      <c r="AK64" s="1065">
        <v>0</v>
      </c>
      <c r="AL64" s="1065">
        <v>0</v>
      </c>
      <c r="AM64" s="1065">
        <v>11735418</v>
      </c>
      <c r="AN64" s="1065">
        <v>-11735418</v>
      </c>
      <c r="AO64" s="1065">
        <v>19173305</v>
      </c>
      <c r="AP64" s="1065">
        <v>0</v>
      </c>
      <c r="AQ64" s="1080">
        <v>0</v>
      </c>
      <c r="AR64" s="1081"/>
      <c r="AS64" s="1065">
        <v>1406190478</v>
      </c>
      <c r="AT64" s="1065">
        <v>8394024971</v>
      </c>
      <c r="AU64" s="1065">
        <v>0</v>
      </c>
      <c r="AV64" s="1065">
        <v>0</v>
      </c>
      <c r="AW64" s="1065">
        <v>85013486</v>
      </c>
      <c r="AX64" s="1065">
        <v>1710620321</v>
      </c>
      <c r="AY64" s="1065">
        <v>3654262168</v>
      </c>
      <c r="AZ64" s="1065">
        <v>0</v>
      </c>
      <c r="BA64" s="1065">
        <v>0</v>
      </c>
      <c r="BB64" s="1065">
        <v>19173305</v>
      </c>
      <c r="BC64" s="1065">
        <v>11735418</v>
      </c>
      <c r="BD64" s="1065">
        <v>0</v>
      </c>
    </row>
    <row r="65" spans="1:56">
      <c r="A65" s="1079" t="s">
        <v>1069</v>
      </c>
      <c r="B65" s="1065">
        <v>0</v>
      </c>
      <c r="C65" s="1065">
        <v>0</v>
      </c>
      <c r="D65" s="1065">
        <v>0</v>
      </c>
      <c r="E65" s="1065">
        <v>0</v>
      </c>
      <c r="F65" s="1065">
        <v>0</v>
      </c>
      <c r="G65" s="1065">
        <v>0</v>
      </c>
      <c r="H65" s="1065">
        <v>0</v>
      </c>
      <c r="I65" s="1065">
        <v>0</v>
      </c>
      <c r="J65" s="1065">
        <v>0</v>
      </c>
      <c r="K65" s="1065">
        <v>0</v>
      </c>
      <c r="L65" s="1065">
        <v>0</v>
      </c>
      <c r="M65" s="1065">
        <v>0</v>
      </c>
      <c r="N65" s="1065">
        <v>0</v>
      </c>
      <c r="O65" s="1065">
        <v>0</v>
      </c>
      <c r="P65" s="1065">
        <v>0</v>
      </c>
      <c r="Q65" s="1065">
        <v>0</v>
      </c>
      <c r="R65" s="1065">
        <v>0</v>
      </c>
      <c r="S65" s="1065">
        <v>0</v>
      </c>
      <c r="T65" s="1065">
        <v>0</v>
      </c>
      <c r="U65" s="1065">
        <v>0</v>
      </c>
      <c r="V65" s="1065">
        <v>0</v>
      </c>
      <c r="W65" s="1065">
        <v>0</v>
      </c>
      <c r="X65" s="1065">
        <v>0</v>
      </c>
      <c r="Y65" s="1065">
        <v>0</v>
      </c>
      <c r="Z65" s="1065">
        <v>0</v>
      </c>
      <c r="AA65" s="1065">
        <v>0</v>
      </c>
      <c r="AB65" s="1065">
        <v>0</v>
      </c>
      <c r="AC65" s="1065">
        <v>0</v>
      </c>
      <c r="AD65" s="1065">
        <v>0</v>
      </c>
      <c r="AE65" s="1065">
        <v>0</v>
      </c>
      <c r="AF65" s="1065">
        <v>0</v>
      </c>
      <c r="AG65" s="1065">
        <v>0</v>
      </c>
      <c r="AH65" s="1065">
        <v>0</v>
      </c>
      <c r="AI65" s="1065">
        <v>0</v>
      </c>
      <c r="AJ65" s="1065">
        <v>0</v>
      </c>
      <c r="AK65" s="1065">
        <v>0</v>
      </c>
      <c r="AL65" s="1065">
        <v>0</v>
      </c>
      <c r="AM65" s="1065">
        <v>0</v>
      </c>
      <c r="AN65" s="1065">
        <v>0</v>
      </c>
      <c r="AO65" s="1065">
        <v>0</v>
      </c>
      <c r="AP65" s="1065">
        <v>0</v>
      </c>
      <c r="AQ65" s="1080">
        <v>0</v>
      </c>
      <c r="AR65" s="1081"/>
      <c r="AS65" s="1065">
        <v>0</v>
      </c>
      <c r="AT65" s="1065">
        <v>0</v>
      </c>
      <c r="AU65" s="1065">
        <v>0</v>
      </c>
      <c r="AV65" s="1065">
        <v>0</v>
      </c>
      <c r="AW65" s="1065">
        <v>0</v>
      </c>
      <c r="AX65" s="1065">
        <v>0</v>
      </c>
      <c r="AY65" s="1065">
        <v>0</v>
      </c>
      <c r="AZ65" s="1065">
        <v>0</v>
      </c>
      <c r="BA65" s="1065">
        <v>0</v>
      </c>
      <c r="BB65" s="1065">
        <v>0</v>
      </c>
      <c r="BC65" s="1065">
        <v>0</v>
      </c>
      <c r="BD65" s="1065">
        <v>0</v>
      </c>
    </row>
    <row r="66" spans="1:56">
      <c r="A66" s="1079" t="s">
        <v>1070</v>
      </c>
      <c r="B66" s="1065">
        <v>0</v>
      </c>
      <c r="C66" s="1065">
        <v>1091444920</v>
      </c>
      <c r="D66" s="1065">
        <v>617865000</v>
      </c>
      <c r="E66" s="1065">
        <v>-32725000</v>
      </c>
      <c r="F66" s="1065">
        <v>386098305</v>
      </c>
      <c r="G66" s="1065">
        <v>3065128305</v>
      </c>
      <c r="H66" s="1065">
        <v>-2109149436</v>
      </c>
      <c r="I66" s="1065">
        <v>0</v>
      </c>
      <c r="J66" s="1065">
        <v>0</v>
      </c>
      <c r="K66" s="1065">
        <v>0</v>
      </c>
      <c r="L66" s="1065">
        <v>0</v>
      </c>
      <c r="M66" s="1065">
        <v>0</v>
      </c>
      <c r="N66" s="1065">
        <v>0</v>
      </c>
      <c r="O66" s="1065">
        <v>0</v>
      </c>
      <c r="P66" s="1065">
        <v>0</v>
      </c>
      <c r="Q66" s="1065">
        <v>0</v>
      </c>
      <c r="R66" s="1065">
        <v>0</v>
      </c>
      <c r="S66" s="1065">
        <v>446929289</v>
      </c>
      <c r="T66" s="1065">
        <v>0</v>
      </c>
      <c r="U66" s="1065">
        <v>0</v>
      </c>
      <c r="V66" s="1065">
        <v>0</v>
      </c>
      <c r="W66" s="1065">
        <v>0</v>
      </c>
      <c r="X66" s="1065">
        <v>0</v>
      </c>
      <c r="Y66" s="1065">
        <v>0</v>
      </c>
      <c r="Z66" s="1065">
        <v>0</v>
      </c>
      <c r="AA66" s="1065">
        <v>0</v>
      </c>
      <c r="AB66" s="1065">
        <v>0</v>
      </c>
      <c r="AC66" s="1065">
        <v>0</v>
      </c>
      <c r="AD66" s="1065">
        <v>0</v>
      </c>
      <c r="AE66" s="1065">
        <v>0</v>
      </c>
      <c r="AF66" s="1065">
        <v>0</v>
      </c>
      <c r="AG66" s="1065">
        <v>0</v>
      </c>
      <c r="AH66" s="1065">
        <v>0</v>
      </c>
      <c r="AI66" s="1065">
        <v>0</v>
      </c>
      <c r="AJ66" s="1065">
        <v>0</v>
      </c>
      <c r="AK66" s="1065">
        <v>0</v>
      </c>
      <c r="AL66" s="1065">
        <v>0</v>
      </c>
      <c r="AM66" s="1065">
        <v>0</v>
      </c>
      <c r="AN66" s="1065">
        <v>783235740</v>
      </c>
      <c r="AO66" s="1065">
        <v>0</v>
      </c>
      <c r="AP66" s="1065">
        <v>0</v>
      </c>
      <c r="AQ66" s="1080">
        <v>0</v>
      </c>
      <c r="AR66" s="1081"/>
      <c r="AS66" s="1065">
        <v>1676584920</v>
      </c>
      <c r="AT66" s="1065">
        <v>1342077174</v>
      </c>
      <c r="AU66" s="1065">
        <v>0</v>
      </c>
      <c r="AV66" s="1065">
        <v>0</v>
      </c>
      <c r="AW66" s="1065">
        <v>446929289</v>
      </c>
      <c r="AX66" s="1065">
        <v>0</v>
      </c>
      <c r="AY66" s="1065">
        <v>0</v>
      </c>
      <c r="AZ66" s="1065">
        <v>0</v>
      </c>
      <c r="BA66" s="1065">
        <v>0</v>
      </c>
      <c r="BB66" s="1065">
        <v>783235740</v>
      </c>
      <c r="BC66" s="1065">
        <v>0</v>
      </c>
      <c r="BD66" s="1065">
        <v>0</v>
      </c>
    </row>
    <row r="67" spans="1:56">
      <c r="A67" s="1076" t="s">
        <v>1071</v>
      </c>
      <c r="B67" s="1063">
        <v>546111968327</v>
      </c>
      <c r="C67" s="1063">
        <v>537926772176</v>
      </c>
      <c r="D67" s="1063">
        <v>466044064660</v>
      </c>
      <c r="E67" s="1063">
        <v>955768323796</v>
      </c>
      <c r="F67" s="1063">
        <v>622807888645</v>
      </c>
      <c r="G67" s="1063">
        <v>550468978749</v>
      </c>
      <c r="H67" s="1063">
        <v>711110524440</v>
      </c>
      <c r="I67" s="1063">
        <v>793026729743</v>
      </c>
      <c r="J67" s="1063">
        <v>1005853650417</v>
      </c>
      <c r="K67" s="1063">
        <v>924564228913</v>
      </c>
      <c r="L67" s="1063">
        <v>1007595522947</v>
      </c>
      <c r="M67" s="1063">
        <v>1915440386171</v>
      </c>
      <c r="N67" s="1063">
        <v>1442816225483</v>
      </c>
      <c r="O67" s="1063">
        <v>1516579487947</v>
      </c>
      <c r="P67" s="1063">
        <v>1896563055773</v>
      </c>
      <c r="Q67" s="1063">
        <v>1890139021945</v>
      </c>
      <c r="R67" s="1063">
        <v>4871190351160</v>
      </c>
      <c r="S67" s="1063">
        <v>1394312486793</v>
      </c>
      <c r="T67" s="1063">
        <v>1767594541272</v>
      </c>
      <c r="U67" s="1063">
        <v>1966140691149</v>
      </c>
      <c r="V67" s="1063">
        <v>2800550165686</v>
      </c>
      <c r="W67" s="1063">
        <v>3054896631441</v>
      </c>
      <c r="X67" s="1063">
        <v>4261625455757</v>
      </c>
      <c r="Y67" s="1063">
        <v>6276164326702</v>
      </c>
      <c r="Z67" s="1063">
        <v>8191116503507</v>
      </c>
      <c r="AA67" s="1063">
        <v>11852094060585</v>
      </c>
      <c r="AB67" s="1063">
        <v>14857411683602</v>
      </c>
      <c r="AC67" s="1063">
        <v>12342231293212</v>
      </c>
      <c r="AD67" s="1063">
        <v>11839123143269</v>
      </c>
      <c r="AE67" s="1063">
        <v>8192583204752</v>
      </c>
      <c r="AF67" s="1063">
        <v>8045347904589</v>
      </c>
      <c r="AG67" s="1063">
        <v>10527551715476</v>
      </c>
      <c r="AH67" s="1063">
        <v>7117828423341</v>
      </c>
      <c r="AI67" s="1063">
        <v>6114239719888</v>
      </c>
      <c r="AJ67" s="1063">
        <v>5746213994321</v>
      </c>
      <c r="AK67" s="1063">
        <v>6186800951973</v>
      </c>
      <c r="AL67" s="1063">
        <v>2400035471683</v>
      </c>
      <c r="AM67" s="1063">
        <v>2703611058675</v>
      </c>
      <c r="AN67" s="1063">
        <v>1732115266101</v>
      </c>
      <c r="AO67" s="1063">
        <v>3274105676300</v>
      </c>
      <c r="AP67" s="1063">
        <v>6084298561543</v>
      </c>
      <c r="AQ67" s="1077">
        <v>7952828763785</v>
      </c>
      <c r="AR67" s="1078"/>
      <c r="AS67" s="1063">
        <v>2505851128959</v>
      </c>
      <c r="AT67" s="1063">
        <v>2677414121577</v>
      </c>
      <c r="AU67" s="1063">
        <v>4853453788448</v>
      </c>
      <c r="AV67" s="1063">
        <v>6746097791148</v>
      </c>
      <c r="AW67" s="1063">
        <v>9999238070374</v>
      </c>
      <c r="AX67" s="1063">
        <v>16393236579586</v>
      </c>
      <c r="AY67" s="1063">
        <v>47242853540906</v>
      </c>
      <c r="AZ67" s="1063">
        <v>38604605968086</v>
      </c>
      <c r="BA67" s="1063">
        <v>25165083089523</v>
      </c>
      <c r="BB67" s="1063">
        <v>10109867472759</v>
      </c>
      <c r="BC67" s="1063">
        <v>5103646530358</v>
      </c>
      <c r="BD67" s="1063">
        <v>14037127325328</v>
      </c>
    </row>
    <row r="68" spans="1:56">
      <c r="A68" s="1079" t="s">
        <v>1072</v>
      </c>
      <c r="B68" s="1065">
        <v>83980476895</v>
      </c>
      <c r="C68" s="1065">
        <v>62985965390</v>
      </c>
      <c r="D68" s="1065">
        <v>56882330011</v>
      </c>
      <c r="E68" s="1065">
        <v>95185464504</v>
      </c>
      <c r="F68" s="1065">
        <v>75889214604</v>
      </c>
      <c r="G68" s="1065">
        <v>79149924165</v>
      </c>
      <c r="H68" s="1065">
        <v>81166618158</v>
      </c>
      <c r="I68" s="1065">
        <v>125590574865</v>
      </c>
      <c r="J68" s="1065">
        <v>176253361302</v>
      </c>
      <c r="K68" s="1065">
        <v>150596080542</v>
      </c>
      <c r="L68" s="1065">
        <v>121581753123</v>
      </c>
      <c r="M68" s="1065">
        <v>436265518373</v>
      </c>
      <c r="N68" s="1065">
        <v>408853248793</v>
      </c>
      <c r="O68" s="1065">
        <v>196778325400</v>
      </c>
      <c r="P68" s="1065">
        <v>177698176234</v>
      </c>
      <c r="Q68" s="1065">
        <v>186703875952</v>
      </c>
      <c r="R68" s="1065">
        <v>918287041416</v>
      </c>
      <c r="S68" s="1065">
        <v>171078838736</v>
      </c>
      <c r="T68" s="1065">
        <v>204689958655</v>
      </c>
      <c r="U68" s="1065">
        <v>219460125347</v>
      </c>
      <c r="V68" s="1065">
        <v>499418957118</v>
      </c>
      <c r="W68" s="1065">
        <v>261214394915</v>
      </c>
      <c r="X68" s="1065">
        <v>518857914699</v>
      </c>
      <c r="Y68" s="1065">
        <v>403953096305</v>
      </c>
      <c r="Z68" s="1065">
        <v>905116128539</v>
      </c>
      <c r="AA68" s="1065">
        <v>822915098618</v>
      </c>
      <c r="AB68" s="1065">
        <v>1030579047978</v>
      </c>
      <c r="AC68" s="1065">
        <v>420966482360</v>
      </c>
      <c r="AD68" s="1065">
        <v>926255618007</v>
      </c>
      <c r="AE68" s="1065">
        <v>452814510526</v>
      </c>
      <c r="AF68" s="1065">
        <v>321130224311</v>
      </c>
      <c r="AG68" s="1065">
        <v>798055484791</v>
      </c>
      <c r="AH68" s="1065">
        <v>1084992303172</v>
      </c>
      <c r="AI68" s="1065">
        <v>459415215733</v>
      </c>
      <c r="AJ68" s="1065">
        <v>1091847436042</v>
      </c>
      <c r="AK68" s="1065">
        <v>793800184243</v>
      </c>
      <c r="AL68" s="1065">
        <v>980546229307</v>
      </c>
      <c r="AM68" s="1065">
        <v>1428213496745</v>
      </c>
      <c r="AN68" s="1065">
        <v>859178135229</v>
      </c>
      <c r="AO68" s="1065">
        <v>1420404807991</v>
      </c>
      <c r="AP68" s="1065">
        <v>3074597760273</v>
      </c>
      <c r="AQ68" s="1080">
        <v>5069581324321</v>
      </c>
      <c r="AR68" s="1081"/>
      <c r="AS68" s="1065">
        <v>299034236800</v>
      </c>
      <c r="AT68" s="1065">
        <v>361796331792</v>
      </c>
      <c r="AU68" s="1065">
        <v>884696713340</v>
      </c>
      <c r="AV68" s="1065">
        <v>970033626379</v>
      </c>
      <c r="AW68" s="1065">
        <v>1513515964154</v>
      </c>
      <c r="AX68" s="1065">
        <v>1683444363037</v>
      </c>
      <c r="AY68" s="1065">
        <v>3179576757495</v>
      </c>
      <c r="AZ68" s="1065">
        <v>2498255837635</v>
      </c>
      <c r="BA68" s="1065">
        <v>3430055139190</v>
      </c>
      <c r="BB68" s="1065">
        <v>4688342669272</v>
      </c>
      <c r="BC68" s="1065">
        <v>2408759726052</v>
      </c>
      <c r="BD68" s="1065">
        <v>8144179084594</v>
      </c>
    </row>
    <row r="69" spans="1:56">
      <c r="A69" s="1079" t="s">
        <v>1073</v>
      </c>
      <c r="B69" s="1065">
        <v>462131491432</v>
      </c>
      <c r="C69" s="1065">
        <v>474940806786</v>
      </c>
      <c r="D69" s="1065">
        <v>409161734649</v>
      </c>
      <c r="E69" s="1065">
        <v>860582859292</v>
      </c>
      <c r="F69" s="1065">
        <v>546918674041</v>
      </c>
      <c r="G69" s="1065">
        <v>471319054584</v>
      </c>
      <c r="H69" s="1065">
        <v>629943906282</v>
      </c>
      <c r="I69" s="1065">
        <v>667436154878</v>
      </c>
      <c r="J69" s="1065">
        <v>829600289115</v>
      </c>
      <c r="K69" s="1065">
        <v>773968148371</v>
      </c>
      <c r="L69" s="1065">
        <v>886013769824</v>
      </c>
      <c r="M69" s="1065">
        <v>1479174867798</v>
      </c>
      <c r="N69" s="1065">
        <v>1033962976690</v>
      </c>
      <c r="O69" s="1065">
        <v>1319801162547</v>
      </c>
      <c r="P69" s="1065">
        <v>1718864879539</v>
      </c>
      <c r="Q69" s="1065">
        <v>1703435145993</v>
      </c>
      <c r="R69" s="1065">
        <v>3952903309744</v>
      </c>
      <c r="S69" s="1065">
        <v>1223233648057</v>
      </c>
      <c r="T69" s="1065">
        <v>1562904582617</v>
      </c>
      <c r="U69" s="1065">
        <v>1746680565802</v>
      </c>
      <c r="V69" s="1065">
        <v>2301131208568</v>
      </c>
      <c r="W69" s="1065">
        <v>2793682236526</v>
      </c>
      <c r="X69" s="1065">
        <v>3742767541058</v>
      </c>
      <c r="Y69" s="1065">
        <v>5872211230397</v>
      </c>
      <c r="Z69" s="1065">
        <v>7286000374968</v>
      </c>
      <c r="AA69" s="1065">
        <v>11029178961967</v>
      </c>
      <c r="AB69" s="1065">
        <v>13826832635624</v>
      </c>
      <c r="AC69" s="1065">
        <v>11921264810852</v>
      </c>
      <c r="AD69" s="1065">
        <v>10912867525262</v>
      </c>
      <c r="AE69" s="1065">
        <v>7739768694226</v>
      </c>
      <c r="AF69" s="1065">
        <v>7724217680278</v>
      </c>
      <c r="AG69" s="1065">
        <v>9729496230685</v>
      </c>
      <c r="AH69" s="1065">
        <v>6032836120169</v>
      </c>
      <c r="AI69" s="1065">
        <v>5654824504155</v>
      </c>
      <c r="AJ69" s="1065">
        <v>4654366558279</v>
      </c>
      <c r="AK69" s="1065">
        <v>5393000767730</v>
      </c>
      <c r="AL69" s="1065">
        <v>1419489242376</v>
      </c>
      <c r="AM69" s="1065">
        <v>1275397561930</v>
      </c>
      <c r="AN69" s="1065">
        <v>872937130872</v>
      </c>
      <c r="AO69" s="1065">
        <v>1853700868309</v>
      </c>
      <c r="AP69" s="1065">
        <v>3009700801270</v>
      </c>
      <c r="AQ69" s="1080">
        <v>2883247439464</v>
      </c>
      <c r="AR69" s="1081"/>
      <c r="AS69" s="1065">
        <v>2206816892159</v>
      </c>
      <c r="AT69" s="1065">
        <v>2315617789785</v>
      </c>
      <c r="AU69" s="1065">
        <v>3968757075108</v>
      </c>
      <c r="AV69" s="1065">
        <v>5776064164769</v>
      </c>
      <c r="AW69" s="1065">
        <v>8485722106220</v>
      </c>
      <c r="AX69" s="1065">
        <v>14709792216549</v>
      </c>
      <c r="AY69" s="1065">
        <v>44063276783411</v>
      </c>
      <c r="AZ69" s="1065">
        <v>36106350130451</v>
      </c>
      <c r="BA69" s="1065">
        <v>21735027950333</v>
      </c>
      <c r="BB69" s="1065">
        <v>5421524803487</v>
      </c>
      <c r="BC69" s="1065">
        <v>2694886804306</v>
      </c>
      <c r="BD69" s="1065">
        <v>5892948240734</v>
      </c>
    </row>
    <row r="70" spans="1:56">
      <c r="A70" s="1076" t="s">
        <v>1074</v>
      </c>
      <c r="B70" s="1063">
        <v>44323270246</v>
      </c>
      <c r="C70" s="1063">
        <v>43743530136</v>
      </c>
      <c r="D70" s="1063">
        <v>41255043020</v>
      </c>
      <c r="E70" s="1063">
        <v>42030223449</v>
      </c>
      <c r="F70" s="1063">
        <v>40353698162</v>
      </c>
      <c r="G70" s="1063">
        <v>38453993092</v>
      </c>
      <c r="H70" s="1063">
        <v>37131949475</v>
      </c>
      <c r="I70" s="1063">
        <v>40712851980</v>
      </c>
      <c r="J70" s="1063">
        <v>51104374586</v>
      </c>
      <c r="K70" s="1063">
        <v>56839815031</v>
      </c>
      <c r="L70" s="1063">
        <v>61502586703</v>
      </c>
      <c r="M70" s="1063">
        <v>62015864476</v>
      </c>
      <c r="N70" s="1063">
        <v>73809465404</v>
      </c>
      <c r="O70" s="1063">
        <v>84622954356</v>
      </c>
      <c r="P70" s="1063">
        <v>79495481569</v>
      </c>
      <c r="Q70" s="1063">
        <v>68954249848</v>
      </c>
      <c r="R70" s="1063">
        <v>70541681649</v>
      </c>
      <c r="S70" s="1063">
        <v>57967093758</v>
      </c>
      <c r="T70" s="1063">
        <v>50124601806</v>
      </c>
      <c r="U70" s="1063">
        <v>51228721315</v>
      </c>
      <c r="V70" s="1063">
        <v>53407153825</v>
      </c>
      <c r="W70" s="1063">
        <v>52861188471</v>
      </c>
      <c r="X70" s="1063">
        <v>55553119105</v>
      </c>
      <c r="Y70" s="1063">
        <v>64157105877</v>
      </c>
      <c r="Z70" s="1063">
        <v>90006552425</v>
      </c>
      <c r="AA70" s="1063">
        <v>112973630121</v>
      </c>
      <c r="AB70" s="1063">
        <v>146354318621</v>
      </c>
      <c r="AC70" s="1063">
        <v>204956715625</v>
      </c>
      <c r="AD70" s="1063">
        <v>214745883466</v>
      </c>
      <c r="AE70" s="1063">
        <v>204844207061</v>
      </c>
      <c r="AF70" s="1063">
        <v>196562840899</v>
      </c>
      <c r="AG70" s="1063">
        <v>233593072197</v>
      </c>
      <c r="AH70" s="1063">
        <v>210936534772</v>
      </c>
      <c r="AI70" s="1063">
        <v>191035616210</v>
      </c>
      <c r="AJ70" s="1063">
        <v>240692822610</v>
      </c>
      <c r="AK70" s="1063">
        <v>241398678682</v>
      </c>
      <c r="AL70" s="1063">
        <v>239262069881</v>
      </c>
      <c r="AM70" s="1063">
        <v>225518128857</v>
      </c>
      <c r="AN70" s="1063">
        <v>214941692031</v>
      </c>
      <c r="AO70" s="1063">
        <v>228257480787</v>
      </c>
      <c r="AP70" s="1063">
        <v>232606820127</v>
      </c>
      <c r="AQ70" s="1077">
        <v>267094303512</v>
      </c>
      <c r="AR70" s="1078"/>
      <c r="AS70" s="1063">
        <v>171352066851</v>
      </c>
      <c r="AT70" s="1063">
        <v>156652492709</v>
      </c>
      <c r="AU70" s="1063">
        <v>231462640796</v>
      </c>
      <c r="AV70" s="1063">
        <v>306882151177</v>
      </c>
      <c r="AW70" s="1063">
        <v>229862098528</v>
      </c>
      <c r="AX70" s="1063">
        <v>225978567278</v>
      </c>
      <c r="AY70" s="1063">
        <v>554291216792</v>
      </c>
      <c r="AZ70" s="1063">
        <v>849746003623</v>
      </c>
      <c r="BA70" s="1063">
        <v>884063652274</v>
      </c>
      <c r="BB70" s="1063">
        <v>907979371556</v>
      </c>
      <c r="BC70" s="1063">
        <v>464780198738</v>
      </c>
      <c r="BD70" s="1063">
        <v>499701123639</v>
      </c>
    </row>
    <row r="71" spans="1:56">
      <c r="A71" s="1079" t="s">
        <v>1075</v>
      </c>
      <c r="B71" s="1065">
        <v>12844924089</v>
      </c>
      <c r="C71" s="1065">
        <v>12195904183</v>
      </c>
      <c r="D71" s="1065">
        <v>10827220162</v>
      </c>
      <c r="E71" s="1065">
        <v>10169936379</v>
      </c>
      <c r="F71" s="1065">
        <v>9232613933</v>
      </c>
      <c r="G71" s="1065">
        <v>8926444626</v>
      </c>
      <c r="H71" s="1065">
        <v>9028949488</v>
      </c>
      <c r="I71" s="1065">
        <v>8907029262</v>
      </c>
      <c r="J71" s="1065">
        <v>9271986940</v>
      </c>
      <c r="K71" s="1065">
        <v>9121352518</v>
      </c>
      <c r="L71" s="1065">
        <v>8007217520</v>
      </c>
      <c r="M71" s="1065">
        <v>7402972117</v>
      </c>
      <c r="N71" s="1065">
        <v>7266388952</v>
      </c>
      <c r="O71" s="1065">
        <v>6761615448</v>
      </c>
      <c r="P71" s="1065">
        <v>5315854692</v>
      </c>
      <c r="Q71" s="1065">
        <v>4086752830</v>
      </c>
      <c r="R71" s="1065">
        <v>3123381734</v>
      </c>
      <c r="S71" s="1065">
        <v>1151739875</v>
      </c>
      <c r="T71" s="1065">
        <v>544898886</v>
      </c>
      <c r="U71" s="1065">
        <v>612528925</v>
      </c>
      <c r="V71" s="1065">
        <v>671644183</v>
      </c>
      <c r="W71" s="1065">
        <v>697413437</v>
      </c>
      <c r="X71" s="1065">
        <v>633327447</v>
      </c>
      <c r="Y71" s="1065">
        <v>778913714</v>
      </c>
      <c r="Z71" s="1065">
        <v>1010189721</v>
      </c>
      <c r="AA71" s="1065">
        <v>1050362397</v>
      </c>
      <c r="AB71" s="1065">
        <v>1256096425</v>
      </c>
      <c r="AC71" s="1065">
        <v>1526694429</v>
      </c>
      <c r="AD71" s="1065">
        <v>1879267027</v>
      </c>
      <c r="AE71" s="1065">
        <v>1557211468</v>
      </c>
      <c r="AF71" s="1065">
        <v>1970067190</v>
      </c>
      <c r="AG71" s="1065">
        <v>2411953807</v>
      </c>
      <c r="AH71" s="1065">
        <v>2771410780</v>
      </c>
      <c r="AI71" s="1065">
        <v>2974962841</v>
      </c>
      <c r="AJ71" s="1065">
        <v>2657252031</v>
      </c>
      <c r="AK71" s="1065">
        <v>2784800538</v>
      </c>
      <c r="AL71" s="1065">
        <v>2972917531</v>
      </c>
      <c r="AM71" s="1065">
        <v>2759206810</v>
      </c>
      <c r="AN71" s="1065">
        <v>2217403690</v>
      </c>
      <c r="AO71" s="1065">
        <v>2908318406</v>
      </c>
      <c r="AP71" s="1065">
        <v>3779789350</v>
      </c>
      <c r="AQ71" s="1080">
        <v>5680633627</v>
      </c>
      <c r="AR71" s="1081"/>
      <c r="AS71" s="1065">
        <v>46037984813</v>
      </c>
      <c r="AT71" s="1065">
        <v>36095037309</v>
      </c>
      <c r="AU71" s="1065">
        <v>33803529095</v>
      </c>
      <c r="AV71" s="1065">
        <v>23430611922</v>
      </c>
      <c r="AW71" s="1065">
        <v>5432549420</v>
      </c>
      <c r="AX71" s="1065">
        <v>2781298781</v>
      </c>
      <c r="AY71" s="1065">
        <v>4843342972</v>
      </c>
      <c r="AZ71" s="1065">
        <v>7818499492</v>
      </c>
      <c r="BA71" s="1065">
        <v>11188426190</v>
      </c>
      <c r="BB71" s="1065">
        <v>10857846437</v>
      </c>
      <c r="BC71" s="1065">
        <v>5732124341</v>
      </c>
      <c r="BD71" s="1065">
        <v>9460422977</v>
      </c>
    </row>
    <row r="72" spans="1:56">
      <c r="A72" s="1079" t="s">
        <v>1076</v>
      </c>
      <c r="B72" s="1065">
        <v>23168833201</v>
      </c>
      <c r="C72" s="1065">
        <v>24139955835</v>
      </c>
      <c r="D72" s="1065">
        <v>21650150663</v>
      </c>
      <c r="E72" s="1065">
        <v>24123657908</v>
      </c>
      <c r="F72" s="1065">
        <v>22950683430</v>
      </c>
      <c r="G72" s="1065">
        <v>22619042784</v>
      </c>
      <c r="H72" s="1065">
        <v>20511973607</v>
      </c>
      <c r="I72" s="1065">
        <v>22951260986</v>
      </c>
      <c r="J72" s="1065">
        <v>31487728888</v>
      </c>
      <c r="K72" s="1065">
        <v>37184525961</v>
      </c>
      <c r="L72" s="1065">
        <v>42750705458</v>
      </c>
      <c r="M72" s="1065">
        <v>41813900567</v>
      </c>
      <c r="N72" s="1065">
        <v>50774314186</v>
      </c>
      <c r="O72" s="1065">
        <v>58723107343</v>
      </c>
      <c r="P72" s="1065">
        <v>53998878316</v>
      </c>
      <c r="Q72" s="1065">
        <v>45886423338</v>
      </c>
      <c r="R72" s="1065">
        <v>44646124359</v>
      </c>
      <c r="S72" s="1065">
        <v>32341795763</v>
      </c>
      <c r="T72" s="1065">
        <v>27947536002</v>
      </c>
      <c r="U72" s="1065">
        <v>28108050926</v>
      </c>
      <c r="V72" s="1065">
        <v>28250639962</v>
      </c>
      <c r="W72" s="1065">
        <v>26624342888</v>
      </c>
      <c r="X72" s="1065">
        <v>28869886715</v>
      </c>
      <c r="Y72" s="1065">
        <v>36195806183</v>
      </c>
      <c r="Z72" s="1065">
        <v>53584792074</v>
      </c>
      <c r="AA72" s="1065">
        <v>67733252913</v>
      </c>
      <c r="AB72" s="1065">
        <v>81083555051</v>
      </c>
      <c r="AC72" s="1065">
        <v>126177851975</v>
      </c>
      <c r="AD72" s="1065">
        <v>135491442083</v>
      </c>
      <c r="AE72" s="1065">
        <v>134013167582</v>
      </c>
      <c r="AF72" s="1065">
        <v>119295846196</v>
      </c>
      <c r="AG72" s="1065">
        <v>138501632232</v>
      </c>
      <c r="AH72" s="1065">
        <v>133854712955</v>
      </c>
      <c r="AI72" s="1065">
        <v>104192446287</v>
      </c>
      <c r="AJ72" s="1065">
        <v>157960576637</v>
      </c>
      <c r="AK72" s="1065">
        <v>157213695270</v>
      </c>
      <c r="AL72" s="1065">
        <v>157923256387</v>
      </c>
      <c r="AM72" s="1065">
        <v>138288784685</v>
      </c>
      <c r="AN72" s="1065">
        <v>128681515552</v>
      </c>
      <c r="AO72" s="1065">
        <v>141328345286</v>
      </c>
      <c r="AP72" s="1065">
        <v>146360073073</v>
      </c>
      <c r="AQ72" s="1080">
        <v>163518277196</v>
      </c>
      <c r="AR72" s="1081"/>
      <c r="AS72" s="1065">
        <v>93082597607</v>
      </c>
      <c r="AT72" s="1065">
        <v>89032960807</v>
      </c>
      <c r="AU72" s="1065">
        <v>153236860874</v>
      </c>
      <c r="AV72" s="1065">
        <v>209382723183</v>
      </c>
      <c r="AW72" s="1065">
        <v>133043507050</v>
      </c>
      <c r="AX72" s="1065">
        <v>119940675748</v>
      </c>
      <c r="AY72" s="1065">
        <v>328579452013</v>
      </c>
      <c r="AZ72" s="1065">
        <v>527302088093</v>
      </c>
      <c r="BA72" s="1065">
        <v>553221431149</v>
      </c>
      <c r="BB72" s="1065">
        <v>566221901910</v>
      </c>
      <c r="BC72" s="1065">
        <v>296212041072</v>
      </c>
      <c r="BD72" s="1065">
        <v>309878350269</v>
      </c>
    </row>
    <row r="73" spans="1:56">
      <c r="A73" s="1079" t="s">
        <v>1077</v>
      </c>
      <c r="B73" s="1065">
        <v>3396594039</v>
      </c>
      <c r="C73" s="1065">
        <v>3367300595</v>
      </c>
      <c r="D73" s="1065">
        <v>3395837289</v>
      </c>
      <c r="E73" s="1065">
        <v>3423049280</v>
      </c>
      <c r="F73" s="1065">
        <v>3310456384</v>
      </c>
      <c r="G73" s="1065">
        <v>3219015304</v>
      </c>
      <c r="H73" s="1065">
        <v>3238879755</v>
      </c>
      <c r="I73" s="1065">
        <v>4880266406</v>
      </c>
      <c r="J73" s="1065">
        <v>4987092862</v>
      </c>
      <c r="K73" s="1065">
        <v>4879356893</v>
      </c>
      <c r="L73" s="1065">
        <v>6201836399</v>
      </c>
      <c r="M73" s="1065">
        <v>9511850669</v>
      </c>
      <c r="N73" s="1065">
        <v>11284473751</v>
      </c>
      <c r="O73" s="1065">
        <v>14788801094</v>
      </c>
      <c r="P73" s="1065">
        <v>15193969622</v>
      </c>
      <c r="Q73" s="1065">
        <v>14909567071</v>
      </c>
      <c r="R73" s="1065">
        <v>14439815506</v>
      </c>
      <c r="S73" s="1065">
        <v>16431548176</v>
      </c>
      <c r="T73" s="1065">
        <v>14290598317</v>
      </c>
      <c r="U73" s="1065">
        <v>15826799489</v>
      </c>
      <c r="V73" s="1065">
        <v>16381802794</v>
      </c>
      <c r="W73" s="1065">
        <v>16636362488</v>
      </c>
      <c r="X73" s="1065">
        <v>16348250909</v>
      </c>
      <c r="Y73" s="1065">
        <v>15494136939</v>
      </c>
      <c r="Z73" s="1065">
        <v>15779810896</v>
      </c>
      <c r="AA73" s="1065">
        <v>14974801329</v>
      </c>
      <c r="AB73" s="1065">
        <v>15432713144</v>
      </c>
      <c r="AC73" s="1065">
        <v>19870641177</v>
      </c>
      <c r="AD73" s="1065">
        <v>23394492027</v>
      </c>
      <c r="AE73" s="1065">
        <v>24869353401</v>
      </c>
      <c r="AF73" s="1065">
        <v>29029347626</v>
      </c>
      <c r="AG73" s="1065">
        <v>38562032496</v>
      </c>
      <c r="AH73" s="1065">
        <v>34586534917</v>
      </c>
      <c r="AI73" s="1065">
        <v>35532391723</v>
      </c>
      <c r="AJ73" s="1065">
        <v>37970142997</v>
      </c>
      <c r="AK73" s="1065">
        <v>41383445756</v>
      </c>
      <c r="AL73" s="1065">
        <v>45291584692</v>
      </c>
      <c r="AM73" s="1065">
        <v>48829929685</v>
      </c>
      <c r="AN73" s="1065">
        <v>47312349509</v>
      </c>
      <c r="AO73" s="1065">
        <v>50906888660</v>
      </c>
      <c r="AP73" s="1065">
        <v>51820494409</v>
      </c>
      <c r="AQ73" s="1080">
        <v>52237964848</v>
      </c>
      <c r="AR73" s="1081"/>
      <c r="AS73" s="1065">
        <v>13582781203</v>
      </c>
      <c r="AT73" s="1065">
        <v>14648617849</v>
      </c>
      <c r="AU73" s="1065">
        <v>25580136823</v>
      </c>
      <c r="AV73" s="1065">
        <v>56176811538</v>
      </c>
      <c r="AW73" s="1065">
        <v>60988761488</v>
      </c>
      <c r="AX73" s="1065">
        <v>64860553130</v>
      </c>
      <c r="AY73" s="1065">
        <v>66057966546</v>
      </c>
      <c r="AZ73" s="1065">
        <v>115855225550</v>
      </c>
      <c r="BA73" s="1065">
        <v>149472515393</v>
      </c>
      <c r="BB73" s="1065">
        <v>192340752546</v>
      </c>
      <c r="BC73" s="1065">
        <v>94121514377</v>
      </c>
      <c r="BD73" s="1065">
        <v>104058459257</v>
      </c>
    </row>
    <row r="74" spans="1:56">
      <c r="A74" s="1079" t="s">
        <v>1078</v>
      </c>
      <c r="B74" s="1065">
        <v>4912918917</v>
      </c>
      <c r="C74" s="1065">
        <v>4040369523</v>
      </c>
      <c r="D74" s="1065">
        <v>5381834906</v>
      </c>
      <c r="E74" s="1065">
        <v>4313579882</v>
      </c>
      <c r="F74" s="1065">
        <v>4859944415</v>
      </c>
      <c r="G74" s="1065">
        <v>3689490378</v>
      </c>
      <c r="H74" s="1065">
        <v>4352146625</v>
      </c>
      <c r="I74" s="1065">
        <v>3974295326</v>
      </c>
      <c r="J74" s="1065">
        <v>5357565896</v>
      </c>
      <c r="K74" s="1065">
        <v>5654579659</v>
      </c>
      <c r="L74" s="1065">
        <v>4542827326</v>
      </c>
      <c r="M74" s="1065">
        <v>3287141123</v>
      </c>
      <c r="N74" s="1065">
        <v>4484288515</v>
      </c>
      <c r="O74" s="1065">
        <v>4349430471</v>
      </c>
      <c r="P74" s="1065">
        <v>4986778939</v>
      </c>
      <c r="Q74" s="1065">
        <v>4071506609</v>
      </c>
      <c r="R74" s="1065">
        <v>8332360050</v>
      </c>
      <c r="S74" s="1065">
        <v>8042009944</v>
      </c>
      <c r="T74" s="1065">
        <v>7341568601</v>
      </c>
      <c r="U74" s="1065">
        <v>6681341975</v>
      </c>
      <c r="V74" s="1065">
        <v>8103066886</v>
      </c>
      <c r="W74" s="1065">
        <v>8903069658</v>
      </c>
      <c r="X74" s="1065">
        <v>9701654034</v>
      </c>
      <c r="Y74" s="1065">
        <v>11688249041</v>
      </c>
      <c r="Z74" s="1065">
        <v>19631759734</v>
      </c>
      <c r="AA74" s="1065">
        <v>29215213482</v>
      </c>
      <c r="AB74" s="1065">
        <v>48581954001</v>
      </c>
      <c r="AC74" s="1065">
        <v>57381528044</v>
      </c>
      <c r="AD74" s="1065">
        <v>53980682329</v>
      </c>
      <c r="AE74" s="1065">
        <v>44404474610</v>
      </c>
      <c r="AF74" s="1065">
        <v>46267579887</v>
      </c>
      <c r="AG74" s="1065">
        <v>54117453662</v>
      </c>
      <c r="AH74" s="1065">
        <v>39723876120</v>
      </c>
      <c r="AI74" s="1065">
        <v>48335815359</v>
      </c>
      <c r="AJ74" s="1065">
        <v>42104850945</v>
      </c>
      <c r="AK74" s="1065">
        <v>40016737118</v>
      </c>
      <c r="AL74" s="1065">
        <v>33074311271</v>
      </c>
      <c r="AM74" s="1065">
        <v>35640207677</v>
      </c>
      <c r="AN74" s="1065">
        <v>36730423280</v>
      </c>
      <c r="AO74" s="1065">
        <v>33113928435</v>
      </c>
      <c r="AP74" s="1065">
        <v>30646463295</v>
      </c>
      <c r="AQ74" s="1080">
        <v>45657427841</v>
      </c>
      <c r="AR74" s="1081"/>
      <c r="AS74" s="1065">
        <v>18648703228</v>
      </c>
      <c r="AT74" s="1065">
        <v>16875876744</v>
      </c>
      <c r="AU74" s="1065">
        <v>18842114004</v>
      </c>
      <c r="AV74" s="1065">
        <v>17892004534</v>
      </c>
      <c r="AW74" s="1065">
        <v>30397280570</v>
      </c>
      <c r="AX74" s="1065">
        <v>38396039619</v>
      </c>
      <c r="AY74" s="1065">
        <v>154810455261</v>
      </c>
      <c r="AZ74" s="1065">
        <v>198770190488</v>
      </c>
      <c r="BA74" s="1065">
        <v>170181279542</v>
      </c>
      <c r="BB74" s="1065">
        <v>138558870663</v>
      </c>
      <c r="BC74" s="1065">
        <v>68714518948</v>
      </c>
      <c r="BD74" s="1065">
        <v>76303891136</v>
      </c>
    </row>
    <row r="75" spans="1:56">
      <c r="A75" s="1076" t="s">
        <v>1079</v>
      </c>
      <c r="B75" s="1063">
        <v>999749019</v>
      </c>
      <c r="C75" s="1063">
        <v>4798891813</v>
      </c>
      <c r="D75" s="1063">
        <v>-3182252627</v>
      </c>
      <c r="E75" s="1063">
        <v>9062549184</v>
      </c>
      <c r="F75" s="1063">
        <v>0</v>
      </c>
      <c r="G75" s="1063">
        <v>2007003152</v>
      </c>
      <c r="H75" s="1063">
        <v>1767382292</v>
      </c>
      <c r="I75" s="1063">
        <v>4286770950</v>
      </c>
      <c r="J75" s="1063">
        <v>1931895218</v>
      </c>
      <c r="K75" s="1063">
        <v>-1931895218</v>
      </c>
      <c r="L75" s="1063">
        <v>709810699</v>
      </c>
      <c r="M75" s="1063">
        <v>13536760459</v>
      </c>
      <c r="N75" s="1063">
        <v>1015995820</v>
      </c>
      <c r="O75" s="1063">
        <v>4866939776</v>
      </c>
      <c r="P75" s="1063">
        <v>11852232585</v>
      </c>
      <c r="Q75" s="1063">
        <v>-3316341513</v>
      </c>
      <c r="R75" s="1063">
        <v>17687926512</v>
      </c>
      <c r="S75" s="1063">
        <v>3707104641</v>
      </c>
      <c r="T75" s="1063">
        <v>18127469354</v>
      </c>
      <c r="U75" s="1063">
        <v>-21703341488</v>
      </c>
      <c r="V75" s="1063">
        <v>80000000</v>
      </c>
      <c r="W75" s="1063">
        <v>0</v>
      </c>
      <c r="X75" s="1063">
        <v>0</v>
      </c>
      <c r="Y75" s="1063">
        <v>0</v>
      </c>
      <c r="Z75" s="1063">
        <v>6902326060</v>
      </c>
      <c r="AA75" s="1063">
        <v>708233636</v>
      </c>
      <c r="AB75" s="1063">
        <v>-7610559696</v>
      </c>
      <c r="AC75" s="1063">
        <v>12094465754</v>
      </c>
      <c r="AD75" s="1063">
        <v>11225352331</v>
      </c>
      <c r="AE75" s="1063">
        <v>3620185144</v>
      </c>
      <c r="AF75" s="1063">
        <v>34627670695</v>
      </c>
      <c r="AG75" s="1063">
        <v>68670104336</v>
      </c>
      <c r="AH75" s="1063">
        <v>10829007354</v>
      </c>
      <c r="AI75" s="1063">
        <v>5942604367</v>
      </c>
      <c r="AJ75" s="1063">
        <v>3489896843</v>
      </c>
      <c r="AK75" s="1063">
        <v>28721114903</v>
      </c>
      <c r="AL75" s="1063">
        <v>9191494236</v>
      </c>
      <c r="AM75" s="1063">
        <v>5751239614</v>
      </c>
      <c r="AN75" s="1063">
        <v>-14746712372</v>
      </c>
      <c r="AO75" s="1063">
        <v>47205269995</v>
      </c>
      <c r="AP75" s="1063">
        <v>0</v>
      </c>
      <c r="AQ75" s="1077">
        <v>32508725440</v>
      </c>
      <c r="AR75" s="1078"/>
      <c r="AS75" s="1063">
        <v>11678937389</v>
      </c>
      <c r="AT75" s="1063">
        <v>8061156394</v>
      </c>
      <c r="AU75" s="1063">
        <v>14246571158</v>
      </c>
      <c r="AV75" s="1063">
        <v>14418826668</v>
      </c>
      <c r="AW75" s="1063">
        <v>17819159019</v>
      </c>
      <c r="AX75" s="1063">
        <v>80000000</v>
      </c>
      <c r="AY75" s="1063">
        <v>12094465754</v>
      </c>
      <c r="AZ75" s="1063">
        <v>118143312506</v>
      </c>
      <c r="BA75" s="1063">
        <v>48982623467</v>
      </c>
      <c r="BB75" s="1063">
        <v>47401291473</v>
      </c>
      <c r="BC75" s="1063">
        <v>14942733850</v>
      </c>
      <c r="BD75" s="1063">
        <v>32508725440</v>
      </c>
    </row>
    <row r="76" spans="1:56">
      <c r="A76" s="1079" t="s">
        <v>1080</v>
      </c>
      <c r="B76" s="1065">
        <v>302032628</v>
      </c>
      <c r="C76" s="1065">
        <v>0</v>
      </c>
      <c r="D76" s="1065">
        <v>460499900</v>
      </c>
      <c r="E76" s="1065">
        <v>20000000</v>
      </c>
      <c r="F76" s="1065">
        <v>0</v>
      </c>
      <c r="G76" s="1065">
        <v>816874090</v>
      </c>
      <c r="H76" s="1065">
        <v>0</v>
      </c>
      <c r="I76" s="1065">
        <v>26438533</v>
      </c>
      <c r="J76" s="1065">
        <v>0</v>
      </c>
      <c r="K76" s="1065">
        <v>0</v>
      </c>
      <c r="L76" s="1065">
        <v>0</v>
      </c>
      <c r="M76" s="1065">
        <v>0</v>
      </c>
      <c r="N76" s="1065">
        <v>0</v>
      </c>
      <c r="O76" s="1065">
        <v>0</v>
      </c>
      <c r="P76" s="1065">
        <v>0</v>
      </c>
      <c r="Q76" s="1065">
        <v>0</v>
      </c>
      <c r="R76" s="1065">
        <v>0</v>
      </c>
      <c r="S76" s="1065">
        <v>0</v>
      </c>
      <c r="T76" s="1065">
        <v>0</v>
      </c>
      <c r="U76" s="1065">
        <v>5871605951</v>
      </c>
      <c r="V76" s="1065">
        <v>80000000</v>
      </c>
      <c r="W76" s="1065">
        <v>0</v>
      </c>
      <c r="X76" s="1065">
        <v>0</v>
      </c>
      <c r="Y76" s="1065">
        <v>0</v>
      </c>
      <c r="Z76" s="1065">
        <v>0</v>
      </c>
      <c r="AA76" s="1065">
        <v>0</v>
      </c>
      <c r="AB76" s="1065">
        <v>0</v>
      </c>
      <c r="AC76" s="1065">
        <v>0</v>
      </c>
      <c r="AD76" s="1065">
        <v>0</v>
      </c>
      <c r="AE76" s="1065">
        <v>0</v>
      </c>
      <c r="AF76" s="1065">
        <v>0</v>
      </c>
      <c r="AG76" s="1065">
        <v>0</v>
      </c>
      <c r="AH76" s="1065">
        <v>0</v>
      </c>
      <c r="AI76" s="1065">
        <v>0</v>
      </c>
      <c r="AJ76" s="1065">
        <v>0</v>
      </c>
      <c r="AK76" s="1065">
        <v>940980000</v>
      </c>
      <c r="AL76" s="1065">
        <v>0</v>
      </c>
      <c r="AM76" s="1065">
        <v>0</v>
      </c>
      <c r="AN76" s="1065">
        <v>0</v>
      </c>
      <c r="AO76" s="1065">
        <v>0</v>
      </c>
      <c r="AP76" s="1065">
        <v>0</v>
      </c>
      <c r="AQ76" s="1080">
        <v>0</v>
      </c>
      <c r="AR76" s="1081"/>
      <c r="AS76" s="1065">
        <v>782532528</v>
      </c>
      <c r="AT76" s="1065">
        <v>843312623</v>
      </c>
      <c r="AU76" s="1065">
        <v>0</v>
      </c>
      <c r="AV76" s="1065">
        <v>0</v>
      </c>
      <c r="AW76" s="1065">
        <v>5871605951</v>
      </c>
      <c r="AX76" s="1065">
        <v>80000000</v>
      </c>
      <c r="AY76" s="1065">
        <v>0</v>
      </c>
      <c r="AZ76" s="1065">
        <v>0</v>
      </c>
      <c r="BA76" s="1065">
        <v>940980000</v>
      </c>
      <c r="BB76" s="1065">
        <v>0</v>
      </c>
      <c r="BC76" s="1065">
        <v>0</v>
      </c>
      <c r="BD76" s="1065">
        <v>0</v>
      </c>
    </row>
    <row r="77" spans="1:56">
      <c r="A77" s="1079" t="s">
        <v>1081</v>
      </c>
      <c r="B77" s="1065">
        <v>697716391</v>
      </c>
      <c r="C77" s="1065">
        <v>4798891813</v>
      </c>
      <c r="D77" s="1065">
        <v>-3642752527</v>
      </c>
      <c r="E77" s="1065">
        <v>9042549184</v>
      </c>
      <c r="F77" s="1065">
        <v>0</v>
      </c>
      <c r="G77" s="1065">
        <v>1190129062</v>
      </c>
      <c r="H77" s="1065">
        <v>1767382292</v>
      </c>
      <c r="I77" s="1065">
        <v>4260332417</v>
      </c>
      <c r="J77" s="1065">
        <v>1931895218</v>
      </c>
      <c r="K77" s="1065">
        <v>-1931895218</v>
      </c>
      <c r="L77" s="1065">
        <v>709810699</v>
      </c>
      <c r="M77" s="1065">
        <v>13536760459</v>
      </c>
      <c r="N77" s="1065">
        <v>1015995820</v>
      </c>
      <c r="O77" s="1065">
        <v>4866939776</v>
      </c>
      <c r="P77" s="1065">
        <v>11852232585</v>
      </c>
      <c r="Q77" s="1065">
        <v>-3316341513</v>
      </c>
      <c r="R77" s="1065">
        <v>17687926512</v>
      </c>
      <c r="S77" s="1065">
        <v>3707104641</v>
      </c>
      <c r="T77" s="1065">
        <v>18127469354</v>
      </c>
      <c r="U77" s="1065">
        <v>-27574947439</v>
      </c>
      <c r="V77" s="1065">
        <v>0</v>
      </c>
      <c r="W77" s="1065">
        <v>0</v>
      </c>
      <c r="X77" s="1065">
        <v>0</v>
      </c>
      <c r="Y77" s="1065">
        <v>0</v>
      </c>
      <c r="Z77" s="1065">
        <v>6902326060</v>
      </c>
      <c r="AA77" s="1065">
        <v>708233636</v>
      </c>
      <c r="AB77" s="1065">
        <v>-7610559696</v>
      </c>
      <c r="AC77" s="1065">
        <v>12094465754</v>
      </c>
      <c r="AD77" s="1065">
        <v>11225352331</v>
      </c>
      <c r="AE77" s="1065">
        <v>3620185144</v>
      </c>
      <c r="AF77" s="1065">
        <v>34627670695</v>
      </c>
      <c r="AG77" s="1065">
        <v>68670104336</v>
      </c>
      <c r="AH77" s="1065">
        <v>10829007354</v>
      </c>
      <c r="AI77" s="1065">
        <v>5942604367</v>
      </c>
      <c r="AJ77" s="1065">
        <v>3489896843</v>
      </c>
      <c r="AK77" s="1065">
        <v>27780134903</v>
      </c>
      <c r="AL77" s="1065">
        <v>9191494236</v>
      </c>
      <c r="AM77" s="1065">
        <v>5751239614</v>
      </c>
      <c r="AN77" s="1065">
        <v>-14746712372</v>
      </c>
      <c r="AO77" s="1065">
        <v>47205269995</v>
      </c>
      <c r="AP77" s="1065">
        <v>0</v>
      </c>
      <c r="AQ77" s="1080">
        <v>32508725440</v>
      </c>
      <c r="AR77" s="1081"/>
      <c r="AS77" s="1065">
        <v>10896404861</v>
      </c>
      <c r="AT77" s="1065">
        <v>7217843771</v>
      </c>
      <c r="AU77" s="1065">
        <v>14246571158</v>
      </c>
      <c r="AV77" s="1065">
        <v>14418826668</v>
      </c>
      <c r="AW77" s="1065">
        <v>11947553068</v>
      </c>
      <c r="AX77" s="1065">
        <v>0</v>
      </c>
      <c r="AY77" s="1065">
        <v>12094465754</v>
      </c>
      <c r="AZ77" s="1065">
        <v>118143312506</v>
      </c>
      <c r="BA77" s="1065">
        <v>48041643467</v>
      </c>
      <c r="BB77" s="1065">
        <v>47401291473</v>
      </c>
      <c r="BC77" s="1065">
        <v>14942733850</v>
      </c>
      <c r="BD77" s="1065">
        <v>32508725440</v>
      </c>
    </row>
    <row r="78" spans="1:56">
      <c r="A78" s="1079" t="s">
        <v>1082</v>
      </c>
      <c r="B78" s="1065">
        <v>0</v>
      </c>
      <c r="C78" s="1065">
        <v>0</v>
      </c>
      <c r="D78" s="1065">
        <v>0</v>
      </c>
      <c r="E78" s="1065">
        <v>0</v>
      </c>
      <c r="F78" s="1065">
        <v>0</v>
      </c>
      <c r="G78" s="1065">
        <v>0</v>
      </c>
      <c r="H78" s="1065">
        <v>0</v>
      </c>
      <c r="I78" s="1065">
        <v>0</v>
      </c>
      <c r="J78" s="1065">
        <v>0</v>
      </c>
      <c r="K78" s="1065">
        <v>0</v>
      </c>
      <c r="L78" s="1065">
        <v>0</v>
      </c>
      <c r="M78" s="1065">
        <v>0</v>
      </c>
      <c r="N78" s="1065">
        <v>0</v>
      </c>
      <c r="O78" s="1065">
        <v>0</v>
      </c>
      <c r="P78" s="1065">
        <v>0</v>
      </c>
      <c r="Q78" s="1065">
        <v>0</v>
      </c>
      <c r="R78" s="1065">
        <v>0</v>
      </c>
      <c r="S78" s="1065">
        <v>0</v>
      </c>
      <c r="T78" s="1065">
        <v>0</v>
      </c>
      <c r="U78" s="1065">
        <v>0</v>
      </c>
      <c r="V78" s="1065">
        <v>0</v>
      </c>
      <c r="W78" s="1065">
        <v>0</v>
      </c>
      <c r="X78" s="1065">
        <v>0</v>
      </c>
      <c r="Y78" s="1065">
        <v>0</v>
      </c>
      <c r="Z78" s="1065">
        <v>0</v>
      </c>
      <c r="AA78" s="1065">
        <v>0</v>
      </c>
      <c r="AB78" s="1065">
        <v>0</v>
      </c>
      <c r="AC78" s="1065">
        <v>0</v>
      </c>
      <c r="AD78" s="1065">
        <v>0</v>
      </c>
      <c r="AE78" s="1065">
        <v>0</v>
      </c>
      <c r="AF78" s="1065">
        <v>0</v>
      </c>
      <c r="AG78" s="1065">
        <v>0</v>
      </c>
      <c r="AH78" s="1065">
        <v>0</v>
      </c>
      <c r="AI78" s="1065">
        <v>0</v>
      </c>
      <c r="AJ78" s="1065">
        <v>0</v>
      </c>
      <c r="AK78" s="1065">
        <v>0</v>
      </c>
      <c r="AL78" s="1065">
        <v>0</v>
      </c>
      <c r="AM78" s="1065">
        <v>0</v>
      </c>
      <c r="AN78" s="1065">
        <v>0</v>
      </c>
      <c r="AO78" s="1065">
        <v>0</v>
      </c>
      <c r="AP78" s="1065">
        <v>0</v>
      </c>
      <c r="AQ78" s="1080">
        <v>0</v>
      </c>
      <c r="AR78" s="1081"/>
      <c r="AS78" s="1065">
        <v>0</v>
      </c>
      <c r="AT78" s="1065">
        <v>0</v>
      </c>
      <c r="AU78" s="1065">
        <v>0</v>
      </c>
      <c r="AV78" s="1065">
        <v>0</v>
      </c>
      <c r="AW78" s="1065">
        <v>0</v>
      </c>
      <c r="AX78" s="1065">
        <v>0</v>
      </c>
      <c r="AY78" s="1065">
        <v>0</v>
      </c>
      <c r="AZ78" s="1065">
        <v>0</v>
      </c>
      <c r="BA78" s="1065">
        <v>0</v>
      </c>
      <c r="BB78" s="1065">
        <v>0</v>
      </c>
      <c r="BC78" s="1065">
        <v>0</v>
      </c>
      <c r="BD78" s="1065">
        <v>0</v>
      </c>
    </row>
    <row r="79" spans="1:56">
      <c r="A79" s="1076" t="s">
        <v>1083</v>
      </c>
      <c r="B79" s="1063">
        <v>340439715445</v>
      </c>
      <c r="C79" s="1063">
        <v>261096943950</v>
      </c>
      <c r="D79" s="1063">
        <v>211392838423</v>
      </c>
      <c r="E79" s="1063">
        <v>196646112758</v>
      </c>
      <c r="F79" s="1063">
        <v>200124269979</v>
      </c>
      <c r="G79" s="1063">
        <v>155612818454</v>
      </c>
      <c r="H79" s="1063">
        <v>144752210981</v>
      </c>
      <c r="I79" s="1063">
        <v>120386373693</v>
      </c>
      <c r="J79" s="1063">
        <v>177821259419</v>
      </c>
      <c r="K79" s="1063">
        <v>181429432852</v>
      </c>
      <c r="L79" s="1063">
        <v>151253009097</v>
      </c>
      <c r="M79" s="1063">
        <v>158763375934</v>
      </c>
      <c r="N79" s="1063">
        <v>128670457283</v>
      </c>
      <c r="O79" s="1063">
        <v>197060789389</v>
      </c>
      <c r="P79" s="1063">
        <v>290505733075</v>
      </c>
      <c r="Q79" s="1063">
        <v>212508410509</v>
      </c>
      <c r="R79" s="1063">
        <v>511653231986</v>
      </c>
      <c r="S79" s="1063">
        <v>355719686539</v>
      </c>
      <c r="T79" s="1063">
        <v>221145864068</v>
      </c>
      <c r="U79" s="1063">
        <v>300887467782</v>
      </c>
      <c r="V79" s="1063">
        <v>320494819890</v>
      </c>
      <c r="W79" s="1063">
        <v>273654854522</v>
      </c>
      <c r="X79" s="1063">
        <v>340393824405</v>
      </c>
      <c r="Y79" s="1063">
        <v>273273802657</v>
      </c>
      <c r="Z79" s="1063">
        <v>484699423807</v>
      </c>
      <c r="AA79" s="1063">
        <v>680710021799</v>
      </c>
      <c r="AB79" s="1063">
        <v>774982965078</v>
      </c>
      <c r="AC79" s="1063">
        <v>677089337814</v>
      </c>
      <c r="AD79" s="1063">
        <v>554120141309</v>
      </c>
      <c r="AE79" s="1063">
        <v>444742659194</v>
      </c>
      <c r="AF79" s="1063">
        <v>375061234918</v>
      </c>
      <c r="AG79" s="1063">
        <v>454819788635</v>
      </c>
      <c r="AH79" s="1063">
        <v>318636748669</v>
      </c>
      <c r="AI79" s="1063">
        <v>399817806896</v>
      </c>
      <c r="AJ79" s="1063">
        <v>468273440315</v>
      </c>
      <c r="AK79" s="1063">
        <v>678398705907</v>
      </c>
      <c r="AL79" s="1063">
        <v>589772018123</v>
      </c>
      <c r="AM79" s="1063">
        <v>1228386475786</v>
      </c>
      <c r="AN79" s="1063">
        <v>835426924485</v>
      </c>
      <c r="AO79" s="1063">
        <v>1061238703527</v>
      </c>
      <c r="AP79" s="1063">
        <v>2166114110088</v>
      </c>
      <c r="AQ79" s="1077">
        <v>2558958578320</v>
      </c>
      <c r="AR79" s="1078"/>
      <c r="AS79" s="1063">
        <v>1009575610576</v>
      </c>
      <c r="AT79" s="1063">
        <v>620875673107</v>
      </c>
      <c r="AU79" s="1063">
        <v>669267077302</v>
      </c>
      <c r="AV79" s="1063">
        <v>828745390256</v>
      </c>
      <c r="AW79" s="1063">
        <v>1389406250375</v>
      </c>
      <c r="AX79" s="1063">
        <v>1207817301474</v>
      </c>
      <c r="AY79" s="1063">
        <v>2617481748498</v>
      </c>
      <c r="AZ79" s="1063">
        <v>1828743824056</v>
      </c>
      <c r="BA79" s="1063">
        <v>1865126701787</v>
      </c>
      <c r="BB79" s="1063">
        <v>3714824121921</v>
      </c>
      <c r="BC79" s="1063">
        <v>1818158493909</v>
      </c>
      <c r="BD79" s="1063">
        <v>4725072688408</v>
      </c>
    </row>
    <row r="80" spans="1:56">
      <c r="A80" s="1079" t="s">
        <v>1084</v>
      </c>
      <c r="B80" s="1065">
        <v>338438509446</v>
      </c>
      <c r="C80" s="1065">
        <v>261543995709</v>
      </c>
      <c r="D80" s="1065">
        <v>212020511314</v>
      </c>
      <c r="E80" s="1065">
        <v>197246358217</v>
      </c>
      <c r="F80" s="1065">
        <v>197494734689</v>
      </c>
      <c r="G80" s="1065">
        <v>156193874732</v>
      </c>
      <c r="H80" s="1065">
        <v>142094578006</v>
      </c>
      <c r="I80" s="1065">
        <v>120904601164</v>
      </c>
      <c r="J80" s="1065">
        <v>170486223955</v>
      </c>
      <c r="K80" s="1065">
        <v>147866077534</v>
      </c>
      <c r="L80" s="1065">
        <v>180912265347</v>
      </c>
      <c r="M80" s="1065">
        <v>164728825537</v>
      </c>
      <c r="N80" s="1065">
        <v>119988557765</v>
      </c>
      <c r="O80" s="1065">
        <v>195682702679</v>
      </c>
      <c r="P80" s="1065">
        <v>286987787896</v>
      </c>
      <c r="Q80" s="1065">
        <v>222522682365</v>
      </c>
      <c r="R80" s="1065">
        <v>483034642300</v>
      </c>
      <c r="S80" s="1065">
        <v>381800607756</v>
      </c>
      <c r="T80" s="1065">
        <v>218558984694</v>
      </c>
      <c r="U80" s="1065">
        <v>251056103616</v>
      </c>
      <c r="V80" s="1065">
        <v>289378363589</v>
      </c>
      <c r="W80" s="1065">
        <v>284241327642</v>
      </c>
      <c r="X80" s="1065">
        <v>316363575460</v>
      </c>
      <c r="Y80" s="1065">
        <v>295493923017</v>
      </c>
      <c r="Z80" s="1065">
        <v>465271695872</v>
      </c>
      <c r="AA80" s="1065">
        <v>638718782401</v>
      </c>
      <c r="AB80" s="1065">
        <v>721474522658</v>
      </c>
      <c r="AC80" s="1065">
        <v>770978625436</v>
      </c>
      <c r="AD80" s="1065">
        <v>530580133688</v>
      </c>
      <c r="AE80" s="1065">
        <v>438955494134</v>
      </c>
      <c r="AF80" s="1065">
        <v>349075362430</v>
      </c>
      <c r="AG80" s="1065">
        <v>495042506754</v>
      </c>
      <c r="AH80" s="1065">
        <v>282389152298</v>
      </c>
      <c r="AI80" s="1065">
        <v>379598106277</v>
      </c>
      <c r="AJ80" s="1065">
        <v>494040814605</v>
      </c>
      <c r="AK80" s="1065">
        <v>553849243845</v>
      </c>
      <c r="AL80" s="1065">
        <v>478121548822</v>
      </c>
      <c r="AM80" s="1065">
        <v>1207218721242</v>
      </c>
      <c r="AN80" s="1065">
        <v>830195125825</v>
      </c>
      <c r="AO80" s="1065">
        <v>1124946500534</v>
      </c>
      <c r="AP80" s="1065">
        <v>2056846718262</v>
      </c>
      <c r="AQ80" s="1080">
        <v>2518334608553</v>
      </c>
      <c r="AR80" s="1081"/>
      <c r="AS80" s="1065">
        <v>1009249374686</v>
      </c>
      <c r="AT80" s="1065">
        <v>616687788591</v>
      </c>
      <c r="AU80" s="1065">
        <v>663993392373</v>
      </c>
      <c r="AV80" s="1065">
        <v>825181730705</v>
      </c>
      <c r="AW80" s="1065">
        <v>1334450338366</v>
      </c>
      <c r="AX80" s="1065">
        <v>1185477189708</v>
      </c>
      <c r="AY80" s="1065">
        <v>2596443626367</v>
      </c>
      <c r="AZ80" s="1065">
        <v>1813653497006</v>
      </c>
      <c r="BA80" s="1065">
        <v>1709877317025</v>
      </c>
      <c r="BB80" s="1065">
        <v>3640481896423</v>
      </c>
      <c r="BC80" s="1065">
        <v>1685340270064</v>
      </c>
      <c r="BD80" s="1065">
        <v>4575181326815</v>
      </c>
    </row>
    <row r="81" spans="1:56">
      <c r="A81" s="1079" t="s">
        <v>1085</v>
      </c>
      <c r="B81" s="1065">
        <v>2001205999</v>
      </c>
      <c r="C81" s="1065">
        <v>-447051759</v>
      </c>
      <c r="D81" s="1065">
        <v>-627672891</v>
      </c>
      <c r="E81" s="1065">
        <v>-600245459</v>
      </c>
      <c r="F81" s="1065">
        <v>2629535290</v>
      </c>
      <c r="G81" s="1065">
        <v>-581056278</v>
      </c>
      <c r="H81" s="1065">
        <v>2657632975</v>
      </c>
      <c r="I81" s="1065">
        <v>-518227471</v>
      </c>
      <c r="J81" s="1065">
        <v>7335035464</v>
      </c>
      <c r="K81" s="1065">
        <v>33563355318</v>
      </c>
      <c r="L81" s="1065">
        <v>-29659256250</v>
      </c>
      <c r="M81" s="1065">
        <v>-5965449603</v>
      </c>
      <c r="N81" s="1065">
        <v>8681899518</v>
      </c>
      <c r="O81" s="1065">
        <v>1378086710</v>
      </c>
      <c r="P81" s="1065">
        <v>3517945179</v>
      </c>
      <c r="Q81" s="1065">
        <v>-10014271856</v>
      </c>
      <c r="R81" s="1065">
        <v>28618589686</v>
      </c>
      <c r="S81" s="1065">
        <v>-26080921217</v>
      </c>
      <c r="T81" s="1065">
        <v>2586879374</v>
      </c>
      <c r="U81" s="1065">
        <v>49831364166</v>
      </c>
      <c r="V81" s="1065">
        <v>31116456301</v>
      </c>
      <c r="W81" s="1065">
        <v>-10586473120</v>
      </c>
      <c r="X81" s="1065">
        <v>24030248945</v>
      </c>
      <c r="Y81" s="1065">
        <v>-22220120360</v>
      </c>
      <c r="Z81" s="1065">
        <v>19427727935</v>
      </c>
      <c r="AA81" s="1065">
        <v>41991239398</v>
      </c>
      <c r="AB81" s="1065">
        <v>53508442420</v>
      </c>
      <c r="AC81" s="1065">
        <v>-93889287622</v>
      </c>
      <c r="AD81" s="1065">
        <v>23540007621</v>
      </c>
      <c r="AE81" s="1065">
        <v>5787165060</v>
      </c>
      <c r="AF81" s="1065">
        <v>25985872488</v>
      </c>
      <c r="AG81" s="1065">
        <v>-40222718119</v>
      </c>
      <c r="AH81" s="1065">
        <v>36247596371</v>
      </c>
      <c r="AI81" s="1065">
        <v>20219700619</v>
      </c>
      <c r="AJ81" s="1065">
        <v>-25767374290</v>
      </c>
      <c r="AK81" s="1065">
        <v>124549462062</v>
      </c>
      <c r="AL81" s="1065">
        <v>111650469301</v>
      </c>
      <c r="AM81" s="1065">
        <v>21167754544</v>
      </c>
      <c r="AN81" s="1065">
        <v>5231798660</v>
      </c>
      <c r="AO81" s="1065">
        <v>-63707797007</v>
      </c>
      <c r="AP81" s="1065">
        <v>109267391826</v>
      </c>
      <c r="AQ81" s="1080">
        <v>40623969767</v>
      </c>
      <c r="AR81" s="1081"/>
      <c r="AS81" s="1065">
        <v>326235890</v>
      </c>
      <c r="AT81" s="1065">
        <v>4187884516</v>
      </c>
      <c r="AU81" s="1065">
        <v>5273684929</v>
      </c>
      <c r="AV81" s="1065">
        <v>3563659551</v>
      </c>
      <c r="AW81" s="1065">
        <v>54955912009</v>
      </c>
      <c r="AX81" s="1065">
        <v>22340111766</v>
      </c>
      <c r="AY81" s="1065">
        <v>21038122131</v>
      </c>
      <c r="AZ81" s="1065">
        <v>15090327050</v>
      </c>
      <c r="BA81" s="1065">
        <v>155249384762</v>
      </c>
      <c r="BB81" s="1065">
        <v>74342225498</v>
      </c>
      <c r="BC81" s="1065">
        <v>132818223845</v>
      </c>
      <c r="BD81" s="1065">
        <v>149891361593</v>
      </c>
    </row>
    <row r="82" spans="1:56">
      <c r="A82" s="1076" t="s">
        <v>1086</v>
      </c>
      <c r="B82" s="1063">
        <v>63794335526</v>
      </c>
      <c r="C82" s="1063">
        <v>94847279179</v>
      </c>
      <c r="D82" s="1063">
        <v>79697133887</v>
      </c>
      <c r="E82" s="1063">
        <v>80136116702</v>
      </c>
      <c r="F82" s="1063">
        <v>87146271004</v>
      </c>
      <c r="G82" s="1063">
        <v>111532507144</v>
      </c>
      <c r="H82" s="1063">
        <v>82091889807</v>
      </c>
      <c r="I82" s="1063">
        <v>91064135662</v>
      </c>
      <c r="J82" s="1063">
        <v>94756864860</v>
      </c>
      <c r="K82" s="1063">
        <v>97365709858</v>
      </c>
      <c r="L82" s="1063">
        <v>114766219305</v>
      </c>
      <c r="M82" s="1063">
        <v>130343162309</v>
      </c>
      <c r="N82" s="1063">
        <v>96272504713</v>
      </c>
      <c r="O82" s="1063">
        <v>127096256241</v>
      </c>
      <c r="P82" s="1063">
        <v>94939051362</v>
      </c>
      <c r="Q82" s="1063">
        <v>104713366492</v>
      </c>
      <c r="R82" s="1063">
        <v>145253016921</v>
      </c>
      <c r="S82" s="1063">
        <v>138240925346</v>
      </c>
      <c r="T82" s="1063">
        <v>142483097970</v>
      </c>
      <c r="U82" s="1063">
        <v>111777606343</v>
      </c>
      <c r="V82" s="1063">
        <v>165148354462</v>
      </c>
      <c r="W82" s="1063">
        <v>218429583156</v>
      </c>
      <c r="X82" s="1063">
        <v>176989269697</v>
      </c>
      <c r="Y82" s="1063">
        <v>132063305816</v>
      </c>
      <c r="Z82" s="1063">
        <v>214462610984</v>
      </c>
      <c r="AA82" s="1063">
        <v>126243030216</v>
      </c>
      <c r="AB82" s="1063">
        <v>179732228701</v>
      </c>
      <c r="AC82" s="1063">
        <v>133446293128</v>
      </c>
      <c r="AD82" s="1063">
        <v>127492232925</v>
      </c>
      <c r="AE82" s="1063">
        <v>175927094175</v>
      </c>
      <c r="AF82" s="1063">
        <v>138688569371</v>
      </c>
      <c r="AG82" s="1063">
        <v>56683996598</v>
      </c>
      <c r="AH82" s="1063">
        <v>145972981346</v>
      </c>
      <c r="AI82" s="1063">
        <v>171866123159</v>
      </c>
      <c r="AJ82" s="1063">
        <v>175842049306</v>
      </c>
      <c r="AK82" s="1063">
        <v>100098753640</v>
      </c>
      <c r="AL82" s="1063">
        <v>171492277052</v>
      </c>
      <c r="AM82" s="1063">
        <v>212583164340</v>
      </c>
      <c r="AN82" s="1063">
        <v>194577174531</v>
      </c>
      <c r="AO82" s="1063">
        <v>249161494071</v>
      </c>
      <c r="AP82" s="1063">
        <v>250586130484</v>
      </c>
      <c r="AQ82" s="1077">
        <v>272326855663</v>
      </c>
      <c r="AR82" s="1078"/>
      <c r="AS82" s="1063">
        <v>318474865294</v>
      </c>
      <c r="AT82" s="1063">
        <v>371834803617</v>
      </c>
      <c r="AU82" s="1063">
        <v>437231956332</v>
      </c>
      <c r="AV82" s="1063">
        <v>423021178808</v>
      </c>
      <c r="AW82" s="1063">
        <v>537754646580</v>
      </c>
      <c r="AX82" s="1063">
        <v>692630513131</v>
      </c>
      <c r="AY82" s="1063">
        <v>653884163029</v>
      </c>
      <c r="AZ82" s="1063">
        <v>498791893069</v>
      </c>
      <c r="BA82" s="1063">
        <v>593779907451</v>
      </c>
      <c r="BB82" s="1063">
        <v>827814109994</v>
      </c>
      <c r="BC82" s="1063">
        <v>384075441392</v>
      </c>
      <c r="BD82" s="1063">
        <v>522912986147</v>
      </c>
    </row>
    <row r="83" spans="1:56">
      <c r="A83" s="1079" t="s">
        <v>1087</v>
      </c>
      <c r="B83" s="1065">
        <v>37295610549</v>
      </c>
      <c r="C83" s="1065">
        <v>62840517026</v>
      </c>
      <c r="D83" s="1065">
        <v>52721639748</v>
      </c>
      <c r="E83" s="1065">
        <v>52356287356</v>
      </c>
      <c r="F83" s="1065">
        <v>57878600636</v>
      </c>
      <c r="G83" s="1065">
        <v>80920230374</v>
      </c>
      <c r="H83" s="1065">
        <v>51161511214</v>
      </c>
      <c r="I83" s="1065">
        <v>59480287346</v>
      </c>
      <c r="J83" s="1065">
        <v>64435784472</v>
      </c>
      <c r="K83" s="1065">
        <v>63090923334</v>
      </c>
      <c r="L83" s="1065">
        <v>83056861574</v>
      </c>
      <c r="M83" s="1065">
        <v>89771882933</v>
      </c>
      <c r="N83" s="1065">
        <v>61874260633</v>
      </c>
      <c r="O83" s="1065">
        <v>87441438077</v>
      </c>
      <c r="P83" s="1065">
        <v>60152680074</v>
      </c>
      <c r="Q83" s="1065">
        <v>62960797627</v>
      </c>
      <c r="R83" s="1065">
        <v>104888672120</v>
      </c>
      <c r="S83" s="1065">
        <v>94820497719</v>
      </c>
      <c r="T83" s="1065">
        <v>100731421676</v>
      </c>
      <c r="U83" s="1065">
        <v>58468376655</v>
      </c>
      <c r="V83" s="1065">
        <v>120803223588</v>
      </c>
      <c r="W83" s="1065">
        <v>166847031474</v>
      </c>
      <c r="X83" s="1065">
        <v>127685037648</v>
      </c>
      <c r="Y83" s="1065">
        <v>77808190182</v>
      </c>
      <c r="Z83" s="1065">
        <v>166853481132</v>
      </c>
      <c r="AA83" s="1065">
        <v>71538949408</v>
      </c>
      <c r="AB83" s="1065">
        <v>127185624816</v>
      </c>
      <c r="AC83" s="1065">
        <v>71865426998</v>
      </c>
      <c r="AD83" s="1065">
        <v>74311961177</v>
      </c>
      <c r="AE83" s="1065">
        <v>119885657577</v>
      </c>
      <c r="AF83" s="1065">
        <v>83305359757</v>
      </c>
      <c r="AG83" s="1065">
        <v>-6167611512</v>
      </c>
      <c r="AH83" s="1065">
        <v>93279054782</v>
      </c>
      <c r="AI83" s="1065">
        <v>119357145322</v>
      </c>
      <c r="AJ83" s="1065">
        <v>120781179337</v>
      </c>
      <c r="AK83" s="1065">
        <v>24777786142</v>
      </c>
      <c r="AL83" s="1065">
        <v>111083308757</v>
      </c>
      <c r="AM83" s="1065">
        <v>150163749238</v>
      </c>
      <c r="AN83" s="1065">
        <v>126437298777</v>
      </c>
      <c r="AO83" s="1065">
        <v>154359289588</v>
      </c>
      <c r="AP83" s="1065">
        <v>152962692896</v>
      </c>
      <c r="AQ83" s="1080">
        <v>149718316051</v>
      </c>
      <c r="AR83" s="1081"/>
      <c r="AS83" s="1065">
        <v>205214054679</v>
      </c>
      <c r="AT83" s="1065">
        <v>249440629570</v>
      </c>
      <c r="AU83" s="1065">
        <v>300355452313</v>
      </c>
      <c r="AV83" s="1065">
        <v>272429176411</v>
      </c>
      <c r="AW83" s="1065">
        <v>358908968170</v>
      </c>
      <c r="AX83" s="1065">
        <v>493143482892</v>
      </c>
      <c r="AY83" s="1065">
        <v>437443482354</v>
      </c>
      <c r="AZ83" s="1065">
        <v>271335366999</v>
      </c>
      <c r="BA83" s="1065">
        <v>358195165583</v>
      </c>
      <c r="BB83" s="1065">
        <v>542043646360</v>
      </c>
      <c r="BC83" s="1065">
        <v>261247057995</v>
      </c>
      <c r="BD83" s="1065">
        <v>302681008947</v>
      </c>
    </row>
    <row r="84" spans="1:56">
      <c r="A84" s="1079" t="s">
        <v>1088</v>
      </c>
      <c r="B84" s="1065">
        <v>26498724977</v>
      </c>
      <c r="C84" s="1065">
        <v>32006762153</v>
      </c>
      <c r="D84" s="1065">
        <v>26975494139</v>
      </c>
      <c r="E84" s="1065">
        <v>27779829346</v>
      </c>
      <c r="F84" s="1065">
        <v>29267670368</v>
      </c>
      <c r="G84" s="1065">
        <v>30612276770</v>
      </c>
      <c r="H84" s="1065">
        <v>30930378593</v>
      </c>
      <c r="I84" s="1065">
        <v>31583848316</v>
      </c>
      <c r="J84" s="1065">
        <v>30321080388</v>
      </c>
      <c r="K84" s="1065">
        <v>34274786524</v>
      </c>
      <c r="L84" s="1065">
        <v>31709357731</v>
      </c>
      <c r="M84" s="1065">
        <v>40571279376</v>
      </c>
      <c r="N84" s="1065">
        <v>34398244080</v>
      </c>
      <c r="O84" s="1065">
        <v>39654818164</v>
      </c>
      <c r="P84" s="1065">
        <v>34786371288</v>
      </c>
      <c r="Q84" s="1065">
        <v>41752568865</v>
      </c>
      <c r="R84" s="1065">
        <v>40364344801</v>
      </c>
      <c r="S84" s="1065">
        <v>43420427627</v>
      </c>
      <c r="T84" s="1065">
        <v>41751676294</v>
      </c>
      <c r="U84" s="1065">
        <v>53309229688</v>
      </c>
      <c r="V84" s="1065">
        <v>44345130874</v>
      </c>
      <c r="W84" s="1065">
        <v>51582551682</v>
      </c>
      <c r="X84" s="1065">
        <v>49304232049</v>
      </c>
      <c r="Y84" s="1065">
        <v>54255115634</v>
      </c>
      <c r="Z84" s="1065">
        <v>47609129852</v>
      </c>
      <c r="AA84" s="1065">
        <v>54704080808</v>
      </c>
      <c r="AB84" s="1065">
        <v>52546603885</v>
      </c>
      <c r="AC84" s="1065">
        <v>61580866130</v>
      </c>
      <c r="AD84" s="1065">
        <v>53180271748</v>
      </c>
      <c r="AE84" s="1065">
        <v>56041436598</v>
      </c>
      <c r="AF84" s="1065">
        <v>55383209614</v>
      </c>
      <c r="AG84" s="1065">
        <v>62851608110</v>
      </c>
      <c r="AH84" s="1065">
        <v>52693926564</v>
      </c>
      <c r="AI84" s="1065">
        <v>52508977837</v>
      </c>
      <c r="AJ84" s="1065">
        <v>55060869969</v>
      </c>
      <c r="AK84" s="1065">
        <v>75320967498</v>
      </c>
      <c r="AL84" s="1065">
        <v>60408968295</v>
      </c>
      <c r="AM84" s="1065">
        <v>62419415102</v>
      </c>
      <c r="AN84" s="1065">
        <v>68139875754</v>
      </c>
      <c r="AO84" s="1065">
        <v>94802204483</v>
      </c>
      <c r="AP84" s="1065">
        <v>97623437588</v>
      </c>
      <c r="AQ84" s="1080">
        <v>122608539612</v>
      </c>
      <c r="AR84" s="1081"/>
      <c r="AS84" s="1065">
        <v>113260810615</v>
      </c>
      <c r="AT84" s="1065">
        <v>122394174047</v>
      </c>
      <c r="AU84" s="1065">
        <v>136876504019</v>
      </c>
      <c r="AV84" s="1065">
        <v>150592002397</v>
      </c>
      <c r="AW84" s="1065">
        <v>178845678410</v>
      </c>
      <c r="AX84" s="1065">
        <v>199487030239</v>
      </c>
      <c r="AY84" s="1065">
        <v>216440680675</v>
      </c>
      <c r="AZ84" s="1065">
        <v>227456526070</v>
      </c>
      <c r="BA84" s="1065">
        <v>235584741868</v>
      </c>
      <c r="BB84" s="1065">
        <v>285770463634</v>
      </c>
      <c r="BC84" s="1065">
        <v>122828383397</v>
      </c>
      <c r="BD84" s="1065">
        <v>220231977200</v>
      </c>
    </row>
    <row r="85" spans="1:56">
      <c r="A85" s="1076" t="s">
        <v>1089</v>
      </c>
      <c r="B85" s="1063">
        <v>401545578</v>
      </c>
      <c r="C85" s="1063">
        <v>339846221</v>
      </c>
      <c r="D85" s="1063">
        <v>184216132</v>
      </c>
      <c r="E85" s="1063">
        <v>126665013</v>
      </c>
      <c r="F85" s="1063">
        <v>306877036</v>
      </c>
      <c r="G85" s="1063">
        <v>165820410</v>
      </c>
      <c r="H85" s="1063">
        <v>159289414</v>
      </c>
      <c r="I85" s="1063">
        <v>87418760</v>
      </c>
      <c r="J85" s="1063">
        <v>166741990</v>
      </c>
      <c r="K85" s="1063">
        <v>95653056</v>
      </c>
      <c r="L85" s="1063">
        <v>85906651</v>
      </c>
      <c r="M85" s="1063">
        <v>43254060</v>
      </c>
      <c r="N85" s="1063">
        <v>67940580</v>
      </c>
      <c r="O85" s="1063">
        <v>34683060</v>
      </c>
      <c r="P85" s="1063">
        <v>12454090</v>
      </c>
      <c r="Q85" s="1063">
        <v>9215600</v>
      </c>
      <c r="R85" s="1063">
        <v>41327410</v>
      </c>
      <c r="S85" s="1063">
        <v>-27902367</v>
      </c>
      <c r="T85" s="1063">
        <v>101224960</v>
      </c>
      <c r="U85" s="1063">
        <v>30100330</v>
      </c>
      <c r="V85" s="1063">
        <v>0</v>
      </c>
      <c r="W85" s="1063">
        <v>0</v>
      </c>
      <c r="X85" s="1063">
        <v>0</v>
      </c>
      <c r="Y85" s="1063">
        <v>0</v>
      </c>
      <c r="Z85" s="1063">
        <v>0</v>
      </c>
      <c r="AA85" s="1063">
        <v>0</v>
      </c>
      <c r="AB85" s="1063">
        <v>0</v>
      </c>
      <c r="AC85" s="1063">
        <v>0</v>
      </c>
      <c r="AD85" s="1063">
        <v>0</v>
      </c>
      <c r="AE85" s="1063">
        <v>0</v>
      </c>
      <c r="AF85" s="1063">
        <v>0</v>
      </c>
      <c r="AG85" s="1063">
        <v>0</v>
      </c>
      <c r="AH85" s="1063">
        <v>0</v>
      </c>
      <c r="AI85" s="1063">
        <v>0</v>
      </c>
      <c r="AJ85" s="1063">
        <v>0</v>
      </c>
      <c r="AK85" s="1063">
        <v>0</v>
      </c>
      <c r="AL85" s="1063">
        <v>0</v>
      </c>
      <c r="AM85" s="1063">
        <v>0</v>
      </c>
      <c r="AN85" s="1063">
        <v>0</v>
      </c>
      <c r="AO85" s="1063">
        <v>0</v>
      </c>
      <c r="AP85" s="1063">
        <v>0</v>
      </c>
      <c r="AQ85" s="1077">
        <v>0</v>
      </c>
      <c r="AR85" s="1078"/>
      <c r="AS85" s="1063">
        <v>1052272944</v>
      </c>
      <c r="AT85" s="1063">
        <v>719405620</v>
      </c>
      <c r="AU85" s="1063">
        <v>391555757</v>
      </c>
      <c r="AV85" s="1063">
        <v>124293330</v>
      </c>
      <c r="AW85" s="1063">
        <v>144750333</v>
      </c>
      <c r="AX85" s="1063">
        <v>0</v>
      </c>
      <c r="AY85" s="1063">
        <v>0</v>
      </c>
      <c r="AZ85" s="1063">
        <v>0</v>
      </c>
      <c r="BA85" s="1063">
        <v>0</v>
      </c>
      <c r="BB85" s="1063">
        <v>0</v>
      </c>
      <c r="BC85" s="1063">
        <v>0</v>
      </c>
      <c r="BD85" s="1063">
        <v>0</v>
      </c>
    </row>
    <row r="86" spans="1:56">
      <c r="A86" s="1079" t="s">
        <v>1090</v>
      </c>
      <c r="B86" s="1065">
        <v>181939770</v>
      </c>
      <c r="C86" s="1065">
        <v>60646598</v>
      </c>
      <c r="D86" s="1065">
        <v>0</v>
      </c>
      <c r="E86" s="1065">
        <v>0</v>
      </c>
      <c r="F86" s="1065">
        <v>0</v>
      </c>
      <c r="G86" s="1065">
        <v>0</v>
      </c>
      <c r="H86" s="1065">
        <v>0</v>
      </c>
      <c r="I86" s="1065">
        <v>0</v>
      </c>
      <c r="J86" s="1065">
        <v>0</v>
      </c>
      <c r="K86" s="1065">
        <v>0</v>
      </c>
      <c r="L86" s="1065">
        <v>0</v>
      </c>
      <c r="M86" s="1065">
        <v>0</v>
      </c>
      <c r="N86" s="1065">
        <v>0</v>
      </c>
      <c r="O86" s="1065">
        <v>0</v>
      </c>
      <c r="P86" s="1065">
        <v>0</v>
      </c>
      <c r="Q86" s="1065">
        <v>0</v>
      </c>
      <c r="R86" s="1065">
        <v>0</v>
      </c>
      <c r="S86" s="1065">
        <v>0</v>
      </c>
      <c r="T86" s="1065">
        <v>0</v>
      </c>
      <c r="U86" s="1065">
        <v>0</v>
      </c>
      <c r="V86" s="1065">
        <v>0</v>
      </c>
      <c r="W86" s="1065">
        <v>0</v>
      </c>
      <c r="X86" s="1065">
        <v>0</v>
      </c>
      <c r="Y86" s="1065">
        <v>0</v>
      </c>
      <c r="Z86" s="1065">
        <v>0</v>
      </c>
      <c r="AA86" s="1065">
        <v>0</v>
      </c>
      <c r="AB86" s="1065">
        <v>0</v>
      </c>
      <c r="AC86" s="1065">
        <v>0</v>
      </c>
      <c r="AD86" s="1065">
        <v>0</v>
      </c>
      <c r="AE86" s="1065">
        <v>0</v>
      </c>
      <c r="AF86" s="1065">
        <v>0</v>
      </c>
      <c r="AG86" s="1065">
        <v>0</v>
      </c>
      <c r="AH86" s="1065">
        <v>0</v>
      </c>
      <c r="AI86" s="1065">
        <v>0</v>
      </c>
      <c r="AJ86" s="1065">
        <v>0</v>
      </c>
      <c r="AK86" s="1065">
        <v>0</v>
      </c>
      <c r="AL86" s="1065">
        <v>0</v>
      </c>
      <c r="AM86" s="1065">
        <v>0</v>
      </c>
      <c r="AN86" s="1065">
        <v>0</v>
      </c>
      <c r="AO86" s="1065">
        <v>0</v>
      </c>
      <c r="AP86" s="1065">
        <v>0</v>
      </c>
      <c r="AQ86" s="1080">
        <v>0</v>
      </c>
      <c r="AR86" s="1081"/>
      <c r="AS86" s="1065">
        <v>242586368</v>
      </c>
      <c r="AT86" s="1065">
        <v>0</v>
      </c>
      <c r="AU86" s="1065">
        <v>0</v>
      </c>
      <c r="AV86" s="1065">
        <v>0</v>
      </c>
      <c r="AW86" s="1065">
        <v>0</v>
      </c>
      <c r="AX86" s="1065">
        <v>0</v>
      </c>
      <c r="AY86" s="1065">
        <v>0</v>
      </c>
      <c r="AZ86" s="1065">
        <v>0</v>
      </c>
      <c r="BA86" s="1065">
        <v>0</v>
      </c>
      <c r="BB86" s="1065">
        <v>0</v>
      </c>
      <c r="BC86" s="1065">
        <v>0</v>
      </c>
      <c r="BD86" s="1065">
        <v>0</v>
      </c>
    </row>
    <row r="87" spans="1:56">
      <c r="A87" s="1079" t="s">
        <v>1091</v>
      </c>
      <c r="B87" s="1065">
        <v>47727260</v>
      </c>
      <c r="C87" s="1065">
        <v>53514790</v>
      </c>
      <c r="D87" s="1065">
        <v>47054710</v>
      </c>
      <c r="E87" s="1065">
        <v>46015450</v>
      </c>
      <c r="F87" s="1065">
        <v>47214365</v>
      </c>
      <c r="G87" s="1065">
        <v>45553200</v>
      </c>
      <c r="H87" s="1065">
        <v>35182850</v>
      </c>
      <c r="I87" s="1065">
        <v>32103260</v>
      </c>
      <c r="J87" s="1065">
        <v>27588280</v>
      </c>
      <c r="K87" s="1065">
        <v>29920732</v>
      </c>
      <c r="L87" s="1065">
        <v>19776160</v>
      </c>
      <c r="M87" s="1065">
        <v>17392330</v>
      </c>
      <c r="N87" s="1065">
        <v>15360520</v>
      </c>
      <c r="O87" s="1065">
        <v>14128000</v>
      </c>
      <c r="P87" s="1065">
        <v>8290660</v>
      </c>
      <c r="Q87" s="1065">
        <v>8215000</v>
      </c>
      <c r="R87" s="1065">
        <v>2815963</v>
      </c>
      <c r="S87" s="1065">
        <v>24000</v>
      </c>
      <c r="T87" s="1065">
        <v>240350</v>
      </c>
      <c r="U87" s="1065">
        <v>0</v>
      </c>
      <c r="V87" s="1065">
        <v>0</v>
      </c>
      <c r="W87" s="1065">
        <v>0</v>
      </c>
      <c r="X87" s="1065">
        <v>0</v>
      </c>
      <c r="Y87" s="1065">
        <v>0</v>
      </c>
      <c r="Z87" s="1065">
        <v>0</v>
      </c>
      <c r="AA87" s="1065">
        <v>0</v>
      </c>
      <c r="AB87" s="1065">
        <v>0</v>
      </c>
      <c r="AC87" s="1065">
        <v>0</v>
      </c>
      <c r="AD87" s="1065">
        <v>0</v>
      </c>
      <c r="AE87" s="1065">
        <v>0</v>
      </c>
      <c r="AF87" s="1065">
        <v>0</v>
      </c>
      <c r="AG87" s="1065">
        <v>0</v>
      </c>
      <c r="AH87" s="1065">
        <v>0</v>
      </c>
      <c r="AI87" s="1065">
        <v>0</v>
      </c>
      <c r="AJ87" s="1065">
        <v>0</v>
      </c>
      <c r="AK87" s="1065">
        <v>0</v>
      </c>
      <c r="AL87" s="1065">
        <v>0</v>
      </c>
      <c r="AM87" s="1065">
        <v>0</v>
      </c>
      <c r="AN87" s="1065">
        <v>0</v>
      </c>
      <c r="AO87" s="1065">
        <v>0</v>
      </c>
      <c r="AP87" s="1065">
        <v>0</v>
      </c>
      <c r="AQ87" s="1080">
        <v>0</v>
      </c>
      <c r="AR87" s="1081"/>
      <c r="AS87" s="1065">
        <v>194312210</v>
      </c>
      <c r="AT87" s="1065">
        <v>160053675</v>
      </c>
      <c r="AU87" s="1065">
        <v>94677502</v>
      </c>
      <c r="AV87" s="1065">
        <v>45994180</v>
      </c>
      <c r="AW87" s="1065">
        <v>3080313</v>
      </c>
      <c r="AX87" s="1065">
        <v>0</v>
      </c>
      <c r="AY87" s="1065">
        <v>0</v>
      </c>
      <c r="AZ87" s="1065">
        <v>0</v>
      </c>
      <c r="BA87" s="1065">
        <v>0</v>
      </c>
      <c r="BB87" s="1065">
        <v>0</v>
      </c>
      <c r="BC87" s="1065">
        <v>0</v>
      </c>
      <c r="BD87" s="1065">
        <v>0</v>
      </c>
    </row>
    <row r="88" spans="1:56">
      <c r="A88" s="1079" t="s">
        <v>1092</v>
      </c>
      <c r="B88" s="1065">
        <v>168223702</v>
      </c>
      <c r="C88" s="1065">
        <v>220333303</v>
      </c>
      <c r="D88" s="1065">
        <v>132733400</v>
      </c>
      <c r="E88" s="1065">
        <v>77958823</v>
      </c>
      <c r="F88" s="1065">
        <v>258311921</v>
      </c>
      <c r="G88" s="1065">
        <v>118318200</v>
      </c>
      <c r="H88" s="1065">
        <v>122954014</v>
      </c>
      <c r="I88" s="1065">
        <v>54625000</v>
      </c>
      <c r="J88" s="1065">
        <v>137791000</v>
      </c>
      <c r="K88" s="1065">
        <v>63997494</v>
      </c>
      <c r="L88" s="1065">
        <v>65595491</v>
      </c>
      <c r="M88" s="1065">
        <v>25532310</v>
      </c>
      <c r="N88" s="1065">
        <v>52000000</v>
      </c>
      <c r="O88" s="1065">
        <v>20282000</v>
      </c>
      <c r="P88" s="1065">
        <v>3630000</v>
      </c>
      <c r="Q88" s="1065">
        <v>706000</v>
      </c>
      <c r="R88" s="1065">
        <v>10573000</v>
      </c>
      <c r="S88" s="1065">
        <v>0</v>
      </c>
      <c r="T88" s="1065">
        <v>0</v>
      </c>
      <c r="U88" s="1065">
        <v>0</v>
      </c>
      <c r="V88" s="1065">
        <v>0</v>
      </c>
      <c r="W88" s="1065">
        <v>0</v>
      </c>
      <c r="X88" s="1065">
        <v>0</v>
      </c>
      <c r="Y88" s="1065">
        <v>0</v>
      </c>
      <c r="Z88" s="1065">
        <v>0</v>
      </c>
      <c r="AA88" s="1065">
        <v>0</v>
      </c>
      <c r="AB88" s="1065">
        <v>0</v>
      </c>
      <c r="AC88" s="1065">
        <v>0</v>
      </c>
      <c r="AD88" s="1065">
        <v>0</v>
      </c>
      <c r="AE88" s="1065">
        <v>0</v>
      </c>
      <c r="AF88" s="1065">
        <v>0</v>
      </c>
      <c r="AG88" s="1065">
        <v>0</v>
      </c>
      <c r="AH88" s="1065">
        <v>0</v>
      </c>
      <c r="AI88" s="1065">
        <v>0</v>
      </c>
      <c r="AJ88" s="1065">
        <v>0</v>
      </c>
      <c r="AK88" s="1065">
        <v>0</v>
      </c>
      <c r="AL88" s="1065">
        <v>0</v>
      </c>
      <c r="AM88" s="1065">
        <v>0</v>
      </c>
      <c r="AN88" s="1065">
        <v>0</v>
      </c>
      <c r="AO88" s="1065">
        <v>0</v>
      </c>
      <c r="AP88" s="1065">
        <v>0</v>
      </c>
      <c r="AQ88" s="1080">
        <v>0</v>
      </c>
      <c r="AR88" s="1081"/>
      <c r="AS88" s="1065">
        <v>599249228</v>
      </c>
      <c r="AT88" s="1065">
        <v>554209135</v>
      </c>
      <c r="AU88" s="1065">
        <v>292916295</v>
      </c>
      <c r="AV88" s="1065">
        <v>76618000</v>
      </c>
      <c r="AW88" s="1065">
        <v>10573000</v>
      </c>
      <c r="AX88" s="1065">
        <v>0</v>
      </c>
      <c r="AY88" s="1065">
        <v>0</v>
      </c>
      <c r="AZ88" s="1065">
        <v>0</v>
      </c>
      <c r="BA88" s="1065">
        <v>0</v>
      </c>
      <c r="BB88" s="1065">
        <v>0</v>
      </c>
      <c r="BC88" s="1065">
        <v>0</v>
      </c>
      <c r="BD88" s="1065">
        <v>0</v>
      </c>
    </row>
    <row r="89" spans="1:56">
      <c r="A89" s="1079" t="s">
        <v>1093</v>
      </c>
      <c r="B89" s="1065">
        <v>3654846</v>
      </c>
      <c r="C89" s="1065">
        <v>5351530</v>
      </c>
      <c r="D89" s="1065">
        <v>4428022</v>
      </c>
      <c r="E89" s="1065">
        <v>2690740</v>
      </c>
      <c r="F89" s="1065">
        <v>1350750</v>
      </c>
      <c r="G89" s="1065">
        <v>1949010</v>
      </c>
      <c r="H89" s="1065">
        <v>1152550</v>
      </c>
      <c r="I89" s="1065">
        <v>690500</v>
      </c>
      <c r="J89" s="1065">
        <v>1362710</v>
      </c>
      <c r="K89" s="1065">
        <v>1734830</v>
      </c>
      <c r="L89" s="1065">
        <v>535000</v>
      </c>
      <c r="M89" s="1065">
        <v>329420</v>
      </c>
      <c r="N89" s="1065">
        <v>580060</v>
      </c>
      <c r="O89" s="1065">
        <v>273060</v>
      </c>
      <c r="P89" s="1065">
        <v>533430</v>
      </c>
      <c r="Q89" s="1065">
        <v>294600</v>
      </c>
      <c r="R89" s="1065">
        <v>27938447</v>
      </c>
      <c r="S89" s="1065">
        <v>-27926367</v>
      </c>
      <c r="T89" s="1065">
        <v>100984610</v>
      </c>
      <c r="U89" s="1065">
        <v>30100330</v>
      </c>
      <c r="V89" s="1065">
        <v>0</v>
      </c>
      <c r="W89" s="1065">
        <v>0</v>
      </c>
      <c r="X89" s="1065">
        <v>0</v>
      </c>
      <c r="Y89" s="1065">
        <v>0</v>
      </c>
      <c r="Z89" s="1065">
        <v>0</v>
      </c>
      <c r="AA89" s="1065">
        <v>0</v>
      </c>
      <c r="AB89" s="1065">
        <v>0</v>
      </c>
      <c r="AC89" s="1065">
        <v>0</v>
      </c>
      <c r="AD89" s="1065">
        <v>0</v>
      </c>
      <c r="AE89" s="1065">
        <v>0</v>
      </c>
      <c r="AF89" s="1065">
        <v>0</v>
      </c>
      <c r="AG89" s="1065">
        <v>0</v>
      </c>
      <c r="AH89" s="1065">
        <v>0</v>
      </c>
      <c r="AI89" s="1065">
        <v>0</v>
      </c>
      <c r="AJ89" s="1065">
        <v>0</v>
      </c>
      <c r="AK89" s="1065">
        <v>0</v>
      </c>
      <c r="AL89" s="1065">
        <v>0</v>
      </c>
      <c r="AM89" s="1065">
        <v>0</v>
      </c>
      <c r="AN89" s="1065">
        <v>0</v>
      </c>
      <c r="AO89" s="1065">
        <v>0</v>
      </c>
      <c r="AP89" s="1065">
        <v>0</v>
      </c>
      <c r="AQ89" s="1080">
        <v>0</v>
      </c>
      <c r="AR89" s="1081"/>
      <c r="AS89" s="1065">
        <v>16125138</v>
      </c>
      <c r="AT89" s="1065">
        <v>5142810</v>
      </c>
      <c r="AU89" s="1065">
        <v>3961960</v>
      </c>
      <c r="AV89" s="1065">
        <v>1681150</v>
      </c>
      <c r="AW89" s="1065">
        <v>131097020</v>
      </c>
      <c r="AX89" s="1065">
        <v>0</v>
      </c>
      <c r="AY89" s="1065">
        <v>0</v>
      </c>
      <c r="AZ89" s="1065">
        <v>0</v>
      </c>
      <c r="BA89" s="1065">
        <v>0</v>
      </c>
      <c r="BB89" s="1065">
        <v>0</v>
      </c>
      <c r="BC89" s="1065">
        <v>0</v>
      </c>
      <c r="BD89" s="1065">
        <v>0</v>
      </c>
    </row>
    <row r="90" spans="1:56">
      <c r="A90" s="1076" t="s">
        <v>1094</v>
      </c>
      <c r="B90" s="1063">
        <v>400416875</v>
      </c>
      <c r="C90" s="1063">
        <v>267319459</v>
      </c>
      <c r="D90" s="1063">
        <v>296002076</v>
      </c>
      <c r="E90" s="1063">
        <v>4373029541</v>
      </c>
      <c r="F90" s="1063">
        <v>556372978</v>
      </c>
      <c r="G90" s="1063">
        <v>61291906</v>
      </c>
      <c r="H90" s="1063">
        <v>723364596</v>
      </c>
      <c r="I90" s="1063">
        <v>378834909</v>
      </c>
      <c r="J90" s="1063">
        <v>1935787714</v>
      </c>
      <c r="K90" s="1063">
        <v>54261975814</v>
      </c>
      <c r="L90" s="1063">
        <v>42987089439</v>
      </c>
      <c r="M90" s="1063">
        <v>29858811916</v>
      </c>
      <c r="N90" s="1063">
        <v>41069807038</v>
      </c>
      <c r="O90" s="1063">
        <v>62382773182</v>
      </c>
      <c r="P90" s="1063">
        <v>57783177984</v>
      </c>
      <c r="Q90" s="1063">
        <v>72229944252</v>
      </c>
      <c r="R90" s="1063">
        <v>110338463768</v>
      </c>
      <c r="S90" s="1063">
        <v>12179114633</v>
      </c>
      <c r="T90" s="1063">
        <v>68380525090</v>
      </c>
      <c r="U90" s="1063">
        <v>60491827771</v>
      </c>
      <c r="V90" s="1063">
        <v>69106626831</v>
      </c>
      <c r="W90" s="1063">
        <v>98373260702</v>
      </c>
      <c r="X90" s="1063">
        <v>104939754143</v>
      </c>
      <c r="Y90" s="1063">
        <v>39946007398</v>
      </c>
      <c r="Z90" s="1063">
        <v>51583090606</v>
      </c>
      <c r="AA90" s="1063">
        <v>40531426466</v>
      </c>
      <c r="AB90" s="1063">
        <v>46740919749</v>
      </c>
      <c r="AC90" s="1063">
        <v>59818657839</v>
      </c>
      <c r="AD90" s="1063">
        <v>77573098821</v>
      </c>
      <c r="AE90" s="1063">
        <v>50575267908</v>
      </c>
      <c r="AF90" s="1063">
        <v>31311260595</v>
      </c>
      <c r="AG90" s="1063">
        <v>75034736424</v>
      </c>
      <c r="AH90" s="1063">
        <v>25599410029</v>
      </c>
      <c r="AI90" s="1063">
        <v>24533330613</v>
      </c>
      <c r="AJ90" s="1063">
        <v>10357762643</v>
      </c>
      <c r="AK90" s="1063">
        <v>7794936387</v>
      </c>
      <c r="AL90" s="1063">
        <v>14368730513</v>
      </c>
      <c r="AM90" s="1063">
        <v>54059758372</v>
      </c>
      <c r="AN90" s="1063">
        <v>72177201582</v>
      </c>
      <c r="AO90" s="1063">
        <v>9466858002</v>
      </c>
      <c r="AP90" s="1063">
        <v>37417265379</v>
      </c>
      <c r="AQ90" s="1077">
        <v>35844616458</v>
      </c>
      <c r="AR90" s="1078"/>
      <c r="AS90" s="1063">
        <v>5336767951</v>
      </c>
      <c r="AT90" s="1063">
        <v>1719864389</v>
      </c>
      <c r="AU90" s="1063">
        <v>129043664883</v>
      </c>
      <c r="AV90" s="1063">
        <v>233465702456</v>
      </c>
      <c r="AW90" s="1063">
        <v>251389931262</v>
      </c>
      <c r="AX90" s="1063">
        <v>312365649074</v>
      </c>
      <c r="AY90" s="1063">
        <v>198674094660</v>
      </c>
      <c r="AZ90" s="1063">
        <v>234494363748</v>
      </c>
      <c r="BA90" s="1063">
        <v>68285439672</v>
      </c>
      <c r="BB90" s="1063">
        <v>150072548469</v>
      </c>
      <c r="BC90" s="1063">
        <v>68428488885</v>
      </c>
      <c r="BD90" s="1063">
        <v>73261881837</v>
      </c>
    </row>
    <row r="91" spans="1:56">
      <c r="A91" s="1079" t="s">
        <v>1095</v>
      </c>
      <c r="B91" s="1065">
        <v>21656109</v>
      </c>
      <c r="C91" s="1065">
        <v>-21656109</v>
      </c>
      <c r="D91" s="1065">
        <v>0</v>
      </c>
      <c r="E91" s="1065">
        <v>197499627</v>
      </c>
      <c r="F91" s="1065">
        <v>0</v>
      </c>
      <c r="G91" s="1065">
        <v>0</v>
      </c>
      <c r="H91" s="1065">
        <v>0</v>
      </c>
      <c r="I91" s="1065">
        <v>250939915</v>
      </c>
      <c r="J91" s="1065">
        <v>0</v>
      </c>
      <c r="K91" s="1065">
        <v>0</v>
      </c>
      <c r="L91" s="1065">
        <v>55722007</v>
      </c>
      <c r="M91" s="1065">
        <v>983142602</v>
      </c>
      <c r="N91" s="1065">
        <v>0</v>
      </c>
      <c r="O91" s="1065">
        <v>0</v>
      </c>
      <c r="P91" s="1065">
        <v>622573711</v>
      </c>
      <c r="Q91" s="1065">
        <v>-87802277</v>
      </c>
      <c r="R91" s="1065">
        <v>2768824693</v>
      </c>
      <c r="S91" s="1065">
        <v>-115657410</v>
      </c>
      <c r="T91" s="1065">
        <v>1443412930</v>
      </c>
      <c r="U91" s="1065">
        <v>-73834915</v>
      </c>
      <c r="V91" s="1065">
        <v>780845671</v>
      </c>
      <c r="W91" s="1065">
        <v>1332780383</v>
      </c>
      <c r="X91" s="1065">
        <v>-262235522</v>
      </c>
      <c r="Y91" s="1065">
        <v>3018301825</v>
      </c>
      <c r="Z91" s="1065">
        <v>0</v>
      </c>
      <c r="AA91" s="1065">
        <v>938112991</v>
      </c>
      <c r="AB91" s="1065">
        <v>-938112991</v>
      </c>
      <c r="AC91" s="1065">
        <v>0</v>
      </c>
      <c r="AD91" s="1065">
        <v>1704242110</v>
      </c>
      <c r="AE91" s="1065">
        <v>1695253784</v>
      </c>
      <c r="AF91" s="1065">
        <v>1029293279</v>
      </c>
      <c r="AG91" s="1065">
        <v>412605358</v>
      </c>
      <c r="AH91" s="1065">
        <v>562072595</v>
      </c>
      <c r="AI91" s="1065">
        <v>150880176</v>
      </c>
      <c r="AJ91" s="1065">
        <v>-712952771</v>
      </c>
      <c r="AK91" s="1065">
        <v>483059609</v>
      </c>
      <c r="AL91" s="1065">
        <v>1125688226</v>
      </c>
      <c r="AM91" s="1065">
        <v>-1125688226</v>
      </c>
      <c r="AN91" s="1065">
        <v>1315674004</v>
      </c>
      <c r="AO91" s="1065">
        <v>-519498349</v>
      </c>
      <c r="AP91" s="1065">
        <v>0</v>
      </c>
      <c r="AQ91" s="1080">
        <v>46955689</v>
      </c>
      <c r="AR91" s="1081"/>
      <c r="AS91" s="1065">
        <v>197499627</v>
      </c>
      <c r="AT91" s="1065">
        <v>250939915</v>
      </c>
      <c r="AU91" s="1065">
        <v>1038864609</v>
      </c>
      <c r="AV91" s="1065">
        <v>534771434</v>
      </c>
      <c r="AW91" s="1065">
        <v>4022745298</v>
      </c>
      <c r="AX91" s="1065">
        <v>4869692357</v>
      </c>
      <c r="AY91" s="1065">
        <v>0</v>
      </c>
      <c r="AZ91" s="1065">
        <v>4841394531</v>
      </c>
      <c r="BA91" s="1065">
        <v>483059609</v>
      </c>
      <c r="BB91" s="1065">
        <v>796175655</v>
      </c>
      <c r="BC91" s="1065">
        <v>0</v>
      </c>
      <c r="BD91" s="1065">
        <v>46955689</v>
      </c>
    </row>
    <row r="92" spans="1:56">
      <c r="A92" s="1079" t="s">
        <v>1096</v>
      </c>
      <c r="B92" s="1065">
        <v>35000000</v>
      </c>
      <c r="C92" s="1065">
        <v>-35000000</v>
      </c>
      <c r="D92" s="1065">
        <v>0</v>
      </c>
      <c r="E92" s="1065">
        <v>3711331843</v>
      </c>
      <c r="F92" s="1065">
        <v>0</v>
      </c>
      <c r="G92" s="1065">
        <v>63000000</v>
      </c>
      <c r="H92" s="1065">
        <v>0</v>
      </c>
      <c r="I92" s="1065">
        <v>0</v>
      </c>
      <c r="J92" s="1065">
        <v>0</v>
      </c>
      <c r="K92" s="1065">
        <v>5391258185</v>
      </c>
      <c r="L92" s="1065">
        <v>4368249388</v>
      </c>
      <c r="M92" s="1065">
        <v>-763423692</v>
      </c>
      <c r="N92" s="1065">
        <v>0</v>
      </c>
      <c r="O92" s="1065">
        <v>0</v>
      </c>
      <c r="P92" s="1065">
        <v>649497698</v>
      </c>
      <c r="Q92" s="1065">
        <v>-162355256</v>
      </c>
      <c r="R92" s="1065">
        <v>0</v>
      </c>
      <c r="S92" s="1065">
        <v>1912824695</v>
      </c>
      <c r="T92" s="1065">
        <v>14413171602</v>
      </c>
      <c r="U92" s="1065">
        <v>15724832833</v>
      </c>
      <c r="V92" s="1065">
        <v>5816163846</v>
      </c>
      <c r="W92" s="1065">
        <v>597212389</v>
      </c>
      <c r="X92" s="1065">
        <v>-3755666366</v>
      </c>
      <c r="Y92" s="1065">
        <v>1048127031</v>
      </c>
      <c r="Z92" s="1065">
        <v>0</v>
      </c>
      <c r="AA92" s="1065">
        <v>1500306570</v>
      </c>
      <c r="AB92" s="1065">
        <v>5064712511</v>
      </c>
      <c r="AC92" s="1065">
        <v>15487215547</v>
      </c>
      <c r="AD92" s="1065">
        <v>23155305902</v>
      </c>
      <c r="AE92" s="1065">
        <v>-454643842</v>
      </c>
      <c r="AF92" s="1065">
        <v>-2964149314</v>
      </c>
      <c r="AG92" s="1065">
        <v>43141204780</v>
      </c>
      <c r="AH92" s="1065">
        <v>0</v>
      </c>
      <c r="AI92" s="1065">
        <v>0</v>
      </c>
      <c r="AJ92" s="1065">
        <v>0</v>
      </c>
      <c r="AK92" s="1065">
        <v>269293507</v>
      </c>
      <c r="AL92" s="1065">
        <v>4460205671</v>
      </c>
      <c r="AM92" s="1065">
        <v>9781743277</v>
      </c>
      <c r="AN92" s="1065">
        <v>55154020452</v>
      </c>
      <c r="AO92" s="1065">
        <v>-6976014062</v>
      </c>
      <c r="AP92" s="1065">
        <v>12500000</v>
      </c>
      <c r="AQ92" s="1080">
        <v>12089110531</v>
      </c>
      <c r="AR92" s="1081"/>
      <c r="AS92" s="1065">
        <v>3711331843</v>
      </c>
      <c r="AT92" s="1065">
        <v>63000000</v>
      </c>
      <c r="AU92" s="1065">
        <v>8996083881</v>
      </c>
      <c r="AV92" s="1065">
        <v>487142442</v>
      </c>
      <c r="AW92" s="1065">
        <v>32050829130</v>
      </c>
      <c r="AX92" s="1065">
        <v>3705836900</v>
      </c>
      <c r="AY92" s="1065">
        <v>22052234628</v>
      </c>
      <c r="AZ92" s="1065">
        <v>62877717526</v>
      </c>
      <c r="BA92" s="1065">
        <v>269293507</v>
      </c>
      <c r="BB92" s="1065">
        <v>62419955338</v>
      </c>
      <c r="BC92" s="1065">
        <v>14241948948</v>
      </c>
      <c r="BD92" s="1065">
        <v>12101610531</v>
      </c>
    </row>
    <row r="93" spans="1:56">
      <c r="A93" s="1079" t="s">
        <v>1097</v>
      </c>
      <c r="B93" s="1065">
        <v>343760766</v>
      </c>
      <c r="C93" s="1065">
        <v>323975568</v>
      </c>
      <c r="D93" s="1065">
        <v>296002076</v>
      </c>
      <c r="E93" s="1065">
        <v>464198071</v>
      </c>
      <c r="F93" s="1065">
        <v>532585188</v>
      </c>
      <c r="G93" s="1065">
        <v>-1708094</v>
      </c>
      <c r="H93" s="1065">
        <v>383864596</v>
      </c>
      <c r="I93" s="1065">
        <v>127894994</v>
      </c>
      <c r="J93" s="1065">
        <v>1935787714</v>
      </c>
      <c r="K93" s="1065">
        <v>48870717629</v>
      </c>
      <c r="L93" s="1065">
        <v>38563118044</v>
      </c>
      <c r="M93" s="1065">
        <v>29639093006</v>
      </c>
      <c r="N93" s="1065">
        <v>41069807038</v>
      </c>
      <c r="O93" s="1065">
        <v>62382773182</v>
      </c>
      <c r="P93" s="1065">
        <v>56511106575</v>
      </c>
      <c r="Q93" s="1065">
        <v>72480101785</v>
      </c>
      <c r="R93" s="1065">
        <v>107569639075</v>
      </c>
      <c r="S93" s="1065">
        <v>10380747348</v>
      </c>
      <c r="T93" s="1065">
        <v>52523940558</v>
      </c>
      <c r="U93" s="1065">
        <v>44840829853</v>
      </c>
      <c r="V93" s="1065">
        <v>62509617314</v>
      </c>
      <c r="W93" s="1065">
        <v>96443267930</v>
      </c>
      <c r="X93" s="1065">
        <v>108957656031</v>
      </c>
      <c r="Y93" s="1065">
        <v>35879578542</v>
      </c>
      <c r="Z93" s="1065">
        <v>51583090606</v>
      </c>
      <c r="AA93" s="1065">
        <v>38092882071</v>
      </c>
      <c r="AB93" s="1065">
        <v>42608351899</v>
      </c>
      <c r="AC93" s="1065">
        <v>44181773908</v>
      </c>
      <c r="AD93" s="1065">
        <v>52638142749</v>
      </c>
      <c r="AE93" s="1065">
        <v>49093456018</v>
      </c>
      <c r="AF93" s="1065">
        <v>33166352410</v>
      </c>
      <c r="AG93" s="1065">
        <v>31480926229</v>
      </c>
      <c r="AH93" s="1065">
        <v>24988031384</v>
      </c>
      <c r="AI93" s="1065">
        <v>24425392836</v>
      </c>
      <c r="AJ93" s="1065">
        <v>11070764363</v>
      </c>
      <c r="AK93" s="1065">
        <v>7042583265</v>
      </c>
      <c r="AL93" s="1065">
        <v>8762069781</v>
      </c>
      <c r="AM93" s="1065">
        <v>45388673281</v>
      </c>
      <c r="AN93" s="1065">
        <v>15713059947</v>
      </c>
      <c r="AO93" s="1065">
        <v>16962370413</v>
      </c>
      <c r="AP93" s="1065">
        <v>37404765379</v>
      </c>
      <c r="AQ93" s="1080">
        <v>23708550238</v>
      </c>
      <c r="AR93" s="1081"/>
      <c r="AS93" s="1065">
        <v>1427936481</v>
      </c>
      <c r="AT93" s="1065">
        <v>1042636684</v>
      </c>
      <c r="AU93" s="1065">
        <v>119008716393</v>
      </c>
      <c r="AV93" s="1065">
        <v>232443788580</v>
      </c>
      <c r="AW93" s="1065">
        <v>215315156834</v>
      </c>
      <c r="AX93" s="1065">
        <v>303790119817</v>
      </c>
      <c r="AY93" s="1065">
        <v>176466098484</v>
      </c>
      <c r="AZ93" s="1065">
        <v>166378877406</v>
      </c>
      <c r="BA93" s="1065">
        <v>67526771848</v>
      </c>
      <c r="BB93" s="1065">
        <v>86826173422</v>
      </c>
      <c r="BC93" s="1065">
        <v>54150743062</v>
      </c>
      <c r="BD93" s="1065">
        <v>61113315617</v>
      </c>
    </row>
    <row r="94" spans="1:56">
      <c r="A94" s="1079" t="s">
        <v>1098</v>
      </c>
      <c r="B94" s="1065">
        <v>0</v>
      </c>
      <c r="C94" s="1065">
        <v>0</v>
      </c>
      <c r="D94" s="1065">
        <v>0</v>
      </c>
      <c r="E94" s="1065">
        <v>0</v>
      </c>
      <c r="F94" s="1065">
        <v>23787790</v>
      </c>
      <c r="G94" s="1065">
        <v>0</v>
      </c>
      <c r="H94" s="1065">
        <v>339500000</v>
      </c>
      <c r="I94" s="1065">
        <v>0</v>
      </c>
      <c r="J94" s="1065">
        <v>0</v>
      </c>
      <c r="K94" s="1065">
        <v>0</v>
      </c>
      <c r="L94" s="1065">
        <v>0</v>
      </c>
      <c r="M94" s="1065">
        <v>0</v>
      </c>
      <c r="N94" s="1065">
        <v>0</v>
      </c>
      <c r="O94" s="1065">
        <v>0</v>
      </c>
      <c r="P94" s="1065">
        <v>0</v>
      </c>
      <c r="Q94" s="1065">
        <v>0</v>
      </c>
      <c r="R94" s="1065">
        <v>0</v>
      </c>
      <c r="S94" s="1065">
        <v>1200000</v>
      </c>
      <c r="T94" s="1065">
        <v>0</v>
      </c>
      <c r="U94" s="1065">
        <v>0</v>
      </c>
      <c r="V94" s="1065">
        <v>0</v>
      </c>
      <c r="W94" s="1065">
        <v>0</v>
      </c>
      <c r="X94" s="1065">
        <v>0</v>
      </c>
      <c r="Y94" s="1065">
        <v>0</v>
      </c>
      <c r="Z94" s="1065">
        <v>0</v>
      </c>
      <c r="AA94" s="1065">
        <v>124834</v>
      </c>
      <c r="AB94" s="1065">
        <v>5968330</v>
      </c>
      <c r="AC94" s="1065">
        <v>149668384</v>
      </c>
      <c r="AD94" s="1065">
        <v>75408060</v>
      </c>
      <c r="AE94" s="1065">
        <v>241201948</v>
      </c>
      <c r="AF94" s="1065">
        <v>79764220</v>
      </c>
      <c r="AG94" s="1065">
        <v>57</v>
      </c>
      <c r="AH94" s="1065">
        <v>49306050</v>
      </c>
      <c r="AI94" s="1065">
        <v>-42942399</v>
      </c>
      <c r="AJ94" s="1065">
        <v>-48949</v>
      </c>
      <c r="AK94" s="1065">
        <v>6</v>
      </c>
      <c r="AL94" s="1065">
        <v>20766835</v>
      </c>
      <c r="AM94" s="1065">
        <v>15030040</v>
      </c>
      <c r="AN94" s="1065">
        <v>-5552821</v>
      </c>
      <c r="AO94" s="1065">
        <v>0</v>
      </c>
      <c r="AP94" s="1065">
        <v>0</v>
      </c>
      <c r="AQ94" s="1080">
        <v>0</v>
      </c>
      <c r="AR94" s="1081"/>
      <c r="AS94" s="1065">
        <v>0</v>
      </c>
      <c r="AT94" s="1065">
        <v>363287790</v>
      </c>
      <c r="AU94" s="1065">
        <v>0</v>
      </c>
      <c r="AV94" s="1065">
        <v>0</v>
      </c>
      <c r="AW94" s="1065">
        <v>1200000</v>
      </c>
      <c r="AX94" s="1065">
        <v>0</v>
      </c>
      <c r="AY94" s="1065">
        <v>155761548</v>
      </c>
      <c r="AZ94" s="1065">
        <v>396374285</v>
      </c>
      <c r="BA94" s="1065">
        <v>6314708</v>
      </c>
      <c r="BB94" s="1065">
        <v>30244054</v>
      </c>
      <c r="BC94" s="1065">
        <v>35796875</v>
      </c>
      <c r="BD94" s="1065">
        <v>0</v>
      </c>
    </row>
    <row r="95" spans="1:56">
      <c r="A95" s="1073" t="s">
        <v>281</v>
      </c>
      <c r="B95" s="1061">
        <v>69556969406</v>
      </c>
      <c r="C95" s="1061">
        <v>109287097730</v>
      </c>
      <c r="D95" s="1061">
        <v>82780785578</v>
      </c>
      <c r="E95" s="1061">
        <v>66854318376</v>
      </c>
      <c r="F95" s="1061">
        <v>100277739474</v>
      </c>
      <c r="G95" s="1061">
        <v>102672066897</v>
      </c>
      <c r="H95" s="1061">
        <v>95076437642</v>
      </c>
      <c r="I95" s="1061">
        <v>92907481480</v>
      </c>
      <c r="J95" s="1061">
        <v>113228560293</v>
      </c>
      <c r="K95" s="1061">
        <v>106324221012</v>
      </c>
      <c r="L95" s="1061">
        <v>132426369973</v>
      </c>
      <c r="M95" s="1061">
        <v>118837395088</v>
      </c>
      <c r="N95" s="1061">
        <v>152615700611</v>
      </c>
      <c r="O95" s="1061">
        <v>268814357920</v>
      </c>
      <c r="P95" s="1061">
        <v>100392127147</v>
      </c>
      <c r="Q95" s="1061">
        <v>201090785218</v>
      </c>
      <c r="R95" s="1061">
        <v>117987771529</v>
      </c>
      <c r="S95" s="1061">
        <v>195022823849</v>
      </c>
      <c r="T95" s="1061">
        <v>148215042471</v>
      </c>
      <c r="U95" s="1061">
        <v>191063917604</v>
      </c>
      <c r="V95" s="1061">
        <v>224212259539</v>
      </c>
      <c r="W95" s="1061">
        <v>202233088639</v>
      </c>
      <c r="X95" s="1061">
        <v>193232233866</v>
      </c>
      <c r="Y95" s="1061">
        <v>240777392053</v>
      </c>
      <c r="Z95" s="1061">
        <v>271951274735</v>
      </c>
      <c r="AA95" s="1061">
        <v>182353115461</v>
      </c>
      <c r="AB95" s="1061">
        <v>190929113587</v>
      </c>
      <c r="AC95" s="1061">
        <v>380116081765</v>
      </c>
      <c r="AD95" s="1061">
        <v>186083733692</v>
      </c>
      <c r="AE95" s="1061">
        <v>142439993284</v>
      </c>
      <c r="AF95" s="1061">
        <v>149896503680</v>
      </c>
      <c r="AG95" s="1061">
        <v>139247678136</v>
      </c>
      <c r="AH95" s="1061">
        <v>242007081658</v>
      </c>
      <c r="AI95" s="1061">
        <v>254205855335</v>
      </c>
      <c r="AJ95" s="1061">
        <v>164839162396</v>
      </c>
      <c r="AK95" s="1061">
        <v>255449179070</v>
      </c>
      <c r="AL95" s="1061">
        <v>281865873409</v>
      </c>
      <c r="AM95" s="1061">
        <v>268498255188</v>
      </c>
      <c r="AN95" s="1061">
        <v>204765371284</v>
      </c>
      <c r="AO95" s="1061">
        <v>167449809338</v>
      </c>
      <c r="AP95" s="1061">
        <v>362420731079</v>
      </c>
      <c r="AQ95" s="1074">
        <v>286330458163</v>
      </c>
      <c r="AR95" s="1075"/>
      <c r="AS95" s="1061">
        <v>328479171090</v>
      </c>
      <c r="AT95" s="1061">
        <v>390933725493</v>
      </c>
      <c r="AU95" s="1061">
        <v>470816546366</v>
      </c>
      <c r="AV95" s="1061">
        <v>722912970896</v>
      </c>
      <c r="AW95" s="1061">
        <v>652289555453</v>
      </c>
      <c r="AX95" s="1061">
        <v>860454974097</v>
      </c>
      <c r="AY95" s="1061">
        <v>1025349585548</v>
      </c>
      <c r="AZ95" s="1061">
        <v>617667908792</v>
      </c>
      <c r="BA95" s="1061">
        <v>916501278459</v>
      </c>
      <c r="BB95" s="1061">
        <v>922579309219</v>
      </c>
      <c r="BC95" s="1061">
        <v>550364128597</v>
      </c>
      <c r="BD95" s="1061">
        <v>648751189242</v>
      </c>
    </row>
    <row r="96" spans="1:56">
      <c r="A96" s="1073" t="s">
        <v>1099</v>
      </c>
      <c r="B96" s="1061">
        <v>713665027</v>
      </c>
      <c r="C96" s="1061">
        <v>1404099944</v>
      </c>
      <c r="D96" s="1061">
        <v>814781872</v>
      </c>
      <c r="E96" s="1061">
        <v>1324562945</v>
      </c>
      <c r="F96" s="1061">
        <v>4139372259</v>
      </c>
      <c r="G96" s="1061">
        <v>1613268738</v>
      </c>
      <c r="H96" s="1061">
        <v>1003451329</v>
      </c>
      <c r="I96" s="1061">
        <v>595930862</v>
      </c>
      <c r="J96" s="1061">
        <v>318719438</v>
      </c>
      <c r="K96" s="1061">
        <v>401539820</v>
      </c>
      <c r="L96" s="1061">
        <v>2405653480</v>
      </c>
      <c r="M96" s="1061">
        <v>19273571428</v>
      </c>
      <c r="N96" s="1061">
        <v>13850427288</v>
      </c>
      <c r="O96" s="1061">
        <v>28678098687</v>
      </c>
      <c r="P96" s="1061">
        <v>19884533844</v>
      </c>
      <c r="Q96" s="1061">
        <v>2067470445</v>
      </c>
      <c r="R96" s="1061">
        <v>2803948621</v>
      </c>
      <c r="S96" s="1061">
        <v>2234102897</v>
      </c>
      <c r="T96" s="1061">
        <v>11261593089</v>
      </c>
      <c r="U96" s="1061">
        <v>6779811473</v>
      </c>
      <c r="V96" s="1061">
        <v>7809948402</v>
      </c>
      <c r="W96" s="1061">
        <v>4205866769</v>
      </c>
      <c r="X96" s="1061">
        <v>5892437008</v>
      </c>
      <c r="Y96" s="1061">
        <v>31616517008</v>
      </c>
      <c r="Z96" s="1061">
        <v>13200986481</v>
      </c>
      <c r="AA96" s="1061">
        <v>1377568882</v>
      </c>
      <c r="AB96" s="1061">
        <v>4105521615</v>
      </c>
      <c r="AC96" s="1061">
        <v>1106934221</v>
      </c>
      <c r="AD96" s="1061">
        <v>4291032722</v>
      </c>
      <c r="AE96" s="1061">
        <v>8350407059</v>
      </c>
      <c r="AF96" s="1061">
        <v>3770272127</v>
      </c>
      <c r="AG96" s="1061">
        <v>23437678857</v>
      </c>
      <c r="AH96" s="1061">
        <v>267108383</v>
      </c>
      <c r="AI96" s="1061">
        <v>4181339029</v>
      </c>
      <c r="AJ96" s="1061">
        <v>892984802</v>
      </c>
      <c r="AK96" s="1061">
        <v>1382793889</v>
      </c>
      <c r="AL96" s="1061">
        <v>792680983</v>
      </c>
      <c r="AM96" s="1061">
        <v>2536384507</v>
      </c>
      <c r="AN96" s="1061">
        <v>5088181417</v>
      </c>
      <c r="AO96" s="1061">
        <v>28139984069</v>
      </c>
      <c r="AP96" s="1061">
        <v>9075164995</v>
      </c>
      <c r="AQ96" s="1074">
        <v>5940055332</v>
      </c>
      <c r="AR96" s="1075"/>
      <c r="AS96" s="1061">
        <v>4257109788</v>
      </c>
      <c r="AT96" s="1061">
        <v>7352023188</v>
      </c>
      <c r="AU96" s="1061">
        <v>22399484166</v>
      </c>
      <c r="AV96" s="1061">
        <v>64480530264</v>
      </c>
      <c r="AW96" s="1061">
        <v>23079456080</v>
      </c>
      <c r="AX96" s="1061">
        <v>49524769187</v>
      </c>
      <c r="AY96" s="1061">
        <v>19791011199</v>
      </c>
      <c r="AZ96" s="1061">
        <v>39849390765</v>
      </c>
      <c r="BA96" s="1061">
        <v>6724226103</v>
      </c>
      <c r="BB96" s="1061">
        <v>36557230976</v>
      </c>
      <c r="BC96" s="1061">
        <v>3329065490</v>
      </c>
      <c r="BD96" s="1061">
        <v>15015220327</v>
      </c>
    </row>
    <row r="97" spans="1:56">
      <c r="A97" s="1079" t="s">
        <v>1100</v>
      </c>
      <c r="B97" s="1065">
        <v>7393449</v>
      </c>
      <c r="C97" s="1065">
        <v>44146816</v>
      </c>
      <c r="D97" s="1065">
        <v>0</v>
      </c>
      <c r="E97" s="1065">
        <v>13447259</v>
      </c>
      <c r="F97" s="1065">
        <v>815551475</v>
      </c>
      <c r="G97" s="1065">
        <v>0</v>
      </c>
      <c r="H97" s="1065">
        <v>432834743</v>
      </c>
      <c r="I97" s="1065">
        <v>344000</v>
      </c>
      <c r="J97" s="1065">
        <v>0</v>
      </c>
      <c r="K97" s="1065">
        <v>0</v>
      </c>
      <c r="L97" s="1065">
        <v>0</v>
      </c>
      <c r="M97" s="1065">
        <v>0</v>
      </c>
      <c r="N97" s="1065">
        <v>0</v>
      </c>
      <c r="O97" s="1065">
        <v>25942245044</v>
      </c>
      <c r="P97" s="1065">
        <v>1923924</v>
      </c>
      <c r="Q97" s="1065">
        <v>2216182</v>
      </c>
      <c r="R97" s="1065">
        <v>0</v>
      </c>
      <c r="S97" s="1065">
        <v>9819728</v>
      </c>
      <c r="T97" s="1065">
        <v>873000</v>
      </c>
      <c r="U97" s="1065">
        <v>0</v>
      </c>
      <c r="V97" s="1065">
        <v>0</v>
      </c>
      <c r="W97" s="1065">
        <v>444394984</v>
      </c>
      <c r="X97" s="1065">
        <v>0</v>
      </c>
      <c r="Y97" s="1065">
        <v>18202176</v>
      </c>
      <c r="Z97" s="1065">
        <v>0</v>
      </c>
      <c r="AA97" s="1065">
        <v>2517000</v>
      </c>
      <c r="AB97" s="1065">
        <v>0</v>
      </c>
      <c r="AC97" s="1065">
        <v>9250016</v>
      </c>
      <c r="AD97" s="1065">
        <v>0</v>
      </c>
      <c r="AE97" s="1065">
        <v>0</v>
      </c>
      <c r="AF97" s="1065">
        <v>0</v>
      </c>
      <c r="AG97" s="1065">
        <v>29268756</v>
      </c>
      <c r="AH97" s="1065">
        <v>0</v>
      </c>
      <c r="AI97" s="1065">
        <v>0</v>
      </c>
      <c r="AJ97" s="1065">
        <v>0</v>
      </c>
      <c r="AK97" s="1065">
        <v>1976000</v>
      </c>
      <c r="AL97" s="1065">
        <v>0</v>
      </c>
      <c r="AM97" s="1065">
        <v>2188383</v>
      </c>
      <c r="AN97" s="1065">
        <v>0</v>
      </c>
      <c r="AO97" s="1065">
        <v>32407273</v>
      </c>
      <c r="AP97" s="1065">
        <v>0</v>
      </c>
      <c r="AQ97" s="1080">
        <v>578000</v>
      </c>
      <c r="AR97" s="1081"/>
      <c r="AS97" s="1065">
        <v>64987524</v>
      </c>
      <c r="AT97" s="1065">
        <v>1248730218</v>
      </c>
      <c r="AU97" s="1065">
        <v>0</v>
      </c>
      <c r="AV97" s="1065">
        <v>25946385150</v>
      </c>
      <c r="AW97" s="1065">
        <v>10692728</v>
      </c>
      <c r="AX97" s="1065">
        <v>462597160</v>
      </c>
      <c r="AY97" s="1065">
        <v>11767016</v>
      </c>
      <c r="AZ97" s="1065">
        <v>29268756</v>
      </c>
      <c r="BA97" s="1065">
        <v>1976000</v>
      </c>
      <c r="BB97" s="1065">
        <v>34595656</v>
      </c>
      <c r="BC97" s="1065">
        <v>2188383</v>
      </c>
      <c r="BD97" s="1065">
        <v>578000</v>
      </c>
    </row>
    <row r="98" spans="1:56">
      <c r="A98" s="1079" t="s">
        <v>1101</v>
      </c>
      <c r="B98" s="1065">
        <v>0</v>
      </c>
      <c r="C98" s="1065">
        <v>0</v>
      </c>
      <c r="D98" s="1065">
        <v>0</v>
      </c>
      <c r="E98" s="1065">
        <v>0</v>
      </c>
      <c r="F98" s="1065">
        <v>2155918525</v>
      </c>
      <c r="G98" s="1065">
        <v>0</v>
      </c>
      <c r="H98" s="1065">
        <v>0</v>
      </c>
      <c r="I98" s="1065">
        <v>0</v>
      </c>
      <c r="J98" s="1065">
        <v>0</v>
      </c>
      <c r="K98" s="1065">
        <v>0</v>
      </c>
      <c r="L98" s="1065">
        <v>0</v>
      </c>
      <c r="M98" s="1065">
        <v>0</v>
      </c>
      <c r="N98" s="1065">
        <v>0</v>
      </c>
      <c r="O98" s="1065">
        <v>1888839864</v>
      </c>
      <c r="P98" s="1065">
        <v>0</v>
      </c>
      <c r="Q98" s="1065">
        <v>0</v>
      </c>
      <c r="R98" s="1065">
        <v>0</v>
      </c>
      <c r="S98" s="1065">
        <v>0</v>
      </c>
      <c r="T98" s="1065">
        <v>0</v>
      </c>
      <c r="U98" s="1065">
        <v>1562867120</v>
      </c>
      <c r="V98" s="1065">
        <v>0</v>
      </c>
      <c r="W98" s="1065">
        <v>1173900825</v>
      </c>
      <c r="X98" s="1065">
        <v>3521050696</v>
      </c>
      <c r="Y98" s="1065">
        <v>0</v>
      </c>
      <c r="Z98" s="1065">
        <v>0</v>
      </c>
      <c r="AA98" s="1065">
        <v>0</v>
      </c>
      <c r="AB98" s="1065">
        <v>0</v>
      </c>
      <c r="AC98" s="1065">
        <v>0</v>
      </c>
      <c r="AD98" s="1065">
        <v>0</v>
      </c>
      <c r="AE98" s="1065">
        <v>79143216</v>
      </c>
      <c r="AF98" s="1065">
        <v>0</v>
      </c>
      <c r="AG98" s="1065">
        <v>0</v>
      </c>
      <c r="AH98" s="1065">
        <v>0</v>
      </c>
      <c r="AI98" s="1065">
        <v>0</v>
      </c>
      <c r="AJ98" s="1065">
        <v>0</v>
      </c>
      <c r="AK98" s="1065">
        <v>0</v>
      </c>
      <c r="AL98" s="1065">
        <v>0</v>
      </c>
      <c r="AM98" s="1065">
        <v>0</v>
      </c>
      <c r="AN98" s="1065">
        <v>0</v>
      </c>
      <c r="AO98" s="1065">
        <v>0</v>
      </c>
      <c r="AP98" s="1065">
        <v>0</v>
      </c>
      <c r="AQ98" s="1080">
        <v>0</v>
      </c>
      <c r="AR98" s="1081"/>
      <c r="AS98" s="1065">
        <v>0</v>
      </c>
      <c r="AT98" s="1065">
        <v>2155918525</v>
      </c>
      <c r="AU98" s="1065">
        <v>0</v>
      </c>
      <c r="AV98" s="1065">
        <v>1888839864</v>
      </c>
      <c r="AW98" s="1065">
        <v>1562867120</v>
      </c>
      <c r="AX98" s="1065">
        <v>4694951521</v>
      </c>
      <c r="AY98" s="1065">
        <v>0</v>
      </c>
      <c r="AZ98" s="1065">
        <v>79143216</v>
      </c>
      <c r="BA98" s="1065">
        <v>0</v>
      </c>
      <c r="BB98" s="1065">
        <v>0</v>
      </c>
      <c r="BC98" s="1065">
        <v>0</v>
      </c>
      <c r="BD98" s="1065">
        <v>0</v>
      </c>
    </row>
    <row r="99" spans="1:56">
      <c r="A99" s="1079" t="s">
        <v>1102</v>
      </c>
      <c r="B99" s="1065">
        <v>365078272</v>
      </c>
      <c r="C99" s="1065">
        <v>379944883</v>
      </c>
      <c r="D99" s="1065">
        <v>402648067</v>
      </c>
      <c r="E99" s="1065">
        <v>377487010</v>
      </c>
      <c r="F99" s="1065">
        <v>251791155</v>
      </c>
      <c r="G99" s="1065">
        <v>216538015</v>
      </c>
      <c r="H99" s="1065">
        <v>216707140</v>
      </c>
      <c r="I99" s="1065">
        <v>207896946</v>
      </c>
      <c r="J99" s="1065">
        <v>205233661</v>
      </c>
      <c r="K99" s="1065">
        <v>204760365</v>
      </c>
      <c r="L99" s="1065">
        <v>212204139</v>
      </c>
      <c r="M99" s="1065">
        <v>207011445</v>
      </c>
      <c r="N99" s="1065">
        <v>210385569</v>
      </c>
      <c r="O99" s="1065">
        <v>155126816</v>
      </c>
      <c r="P99" s="1065">
        <v>93657540</v>
      </c>
      <c r="Q99" s="1065">
        <v>93657540</v>
      </c>
      <c r="R99" s="1065">
        <v>90407540</v>
      </c>
      <c r="S99" s="1065">
        <v>84177500</v>
      </c>
      <c r="T99" s="1065">
        <v>91217420</v>
      </c>
      <c r="U99" s="1065">
        <v>74790008</v>
      </c>
      <c r="V99" s="1065">
        <v>73848520</v>
      </c>
      <c r="W99" s="1065">
        <v>65671780</v>
      </c>
      <c r="X99" s="1065">
        <v>30538200</v>
      </c>
      <c r="Y99" s="1065">
        <v>8400000</v>
      </c>
      <c r="Z99" s="1065">
        <v>8400000</v>
      </c>
      <c r="AA99" s="1065">
        <v>8482132</v>
      </c>
      <c r="AB99" s="1065">
        <v>8862000</v>
      </c>
      <c r="AC99" s="1065">
        <v>8862000</v>
      </c>
      <c r="AD99" s="1065">
        <v>8862000</v>
      </c>
      <c r="AE99" s="1065">
        <v>5240968</v>
      </c>
      <c r="AF99" s="1065">
        <v>0</v>
      </c>
      <c r="AG99" s="1065">
        <v>0</v>
      </c>
      <c r="AH99" s="1065">
        <v>0</v>
      </c>
      <c r="AI99" s="1065">
        <v>0</v>
      </c>
      <c r="AJ99" s="1065">
        <v>0</v>
      </c>
      <c r="AK99" s="1065">
        <v>0</v>
      </c>
      <c r="AL99" s="1065">
        <v>0</v>
      </c>
      <c r="AM99" s="1065">
        <v>0</v>
      </c>
      <c r="AN99" s="1065">
        <v>0</v>
      </c>
      <c r="AO99" s="1065">
        <v>0</v>
      </c>
      <c r="AP99" s="1065">
        <v>0</v>
      </c>
      <c r="AQ99" s="1080">
        <v>0</v>
      </c>
      <c r="AR99" s="1081"/>
      <c r="AS99" s="1065">
        <v>1525158232</v>
      </c>
      <c r="AT99" s="1065">
        <v>892933256</v>
      </c>
      <c r="AU99" s="1065">
        <v>829209610</v>
      </c>
      <c r="AV99" s="1065">
        <v>552827465</v>
      </c>
      <c r="AW99" s="1065">
        <v>340592468</v>
      </c>
      <c r="AX99" s="1065">
        <v>178458500</v>
      </c>
      <c r="AY99" s="1065">
        <v>34606132</v>
      </c>
      <c r="AZ99" s="1065">
        <v>14102968</v>
      </c>
      <c r="BA99" s="1065">
        <v>0</v>
      </c>
      <c r="BB99" s="1065">
        <v>0</v>
      </c>
      <c r="BC99" s="1065">
        <v>0</v>
      </c>
      <c r="BD99" s="1065">
        <v>0</v>
      </c>
    </row>
    <row r="100" spans="1:56">
      <c r="A100" s="1079" t="s">
        <v>1103</v>
      </c>
      <c r="B100" s="1065">
        <v>237987297</v>
      </c>
      <c r="C100" s="1065">
        <v>295721500</v>
      </c>
      <c r="D100" s="1065">
        <v>334991884</v>
      </c>
      <c r="E100" s="1065">
        <v>883831379</v>
      </c>
      <c r="F100" s="1065">
        <v>520597379</v>
      </c>
      <c r="G100" s="1065">
        <v>1328149843</v>
      </c>
      <c r="H100" s="1065">
        <v>19200361</v>
      </c>
      <c r="I100" s="1065">
        <v>299346640</v>
      </c>
      <c r="J100" s="1065">
        <v>694616</v>
      </c>
      <c r="K100" s="1065">
        <v>68320364</v>
      </c>
      <c r="L100" s="1065">
        <v>1950840381</v>
      </c>
      <c r="M100" s="1065">
        <v>18839016938</v>
      </c>
      <c r="N100" s="1065">
        <v>13406999885</v>
      </c>
      <c r="O100" s="1065">
        <v>292486097</v>
      </c>
      <c r="P100" s="1065">
        <v>17042032439</v>
      </c>
      <c r="Q100" s="1065">
        <v>1626360318</v>
      </c>
      <c r="R100" s="1065">
        <v>2438464162</v>
      </c>
      <c r="S100" s="1065">
        <v>1619775109</v>
      </c>
      <c r="T100" s="1065">
        <v>8301821618</v>
      </c>
      <c r="U100" s="1065">
        <v>4677719051</v>
      </c>
      <c r="V100" s="1065">
        <v>7404326856</v>
      </c>
      <c r="W100" s="1065">
        <v>1992300844</v>
      </c>
      <c r="X100" s="1065">
        <v>1928744627</v>
      </c>
      <c r="Y100" s="1065">
        <v>31259723264</v>
      </c>
      <c r="Z100" s="1065">
        <v>11552725099</v>
      </c>
      <c r="AA100" s="1065">
        <v>765761528</v>
      </c>
      <c r="AB100" s="1065">
        <v>3873696164</v>
      </c>
      <c r="AC100" s="1065">
        <v>934231878</v>
      </c>
      <c r="AD100" s="1065">
        <v>4213062411</v>
      </c>
      <c r="AE100" s="1065">
        <v>4602268334</v>
      </c>
      <c r="AF100" s="1065">
        <v>3686552458</v>
      </c>
      <c r="AG100" s="1065">
        <v>23344000631</v>
      </c>
      <c r="AH100" s="1065">
        <v>203547940</v>
      </c>
      <c r="AI100" s="1065">
        <v>3672734633</v>
      </c>
      <c r="AJ100" s="1065">
        <v>454864961</v>
      </c>
      <c r="AK100" s="1065">
        <v>1143358222</v>
      </c>
      <c r="AL100" s="1065">
        <v>354007328</v>
      </c>
      <c r="AM100" s="1065">
        <v>2272470542</v>
      </c>
      <c r="AN100" s="1065">
        <v>3458181272</v>
      </c>
      <c r="AO100" s="1065">
        <v>27759588786</v>
      </c>
      <c r="AP100" s="1065">
        <v>8392464434</v>
      </c>
      <c r="AQ100" s="1080">
        <v>5576453596</v>
      </c>
      <c r="AR100" s="1081"/>
      <c r="AS100" s="1065">
        <v>1752532060</v>
      </c>
      <c r="AT100" s="1065">
        <v>2167294223</v>
      </c>
      <c r="AU100" s="1065">
        <v>20858872299</v>
      </c>
      <c r="AV100" s="1065">
        <v>32367878739</v>
      </c>
      <c r="AW100" s="1065">
        <v>17037779940</v>
      </c>
      <c r="AX100" s="1065">
        <v>42585095591</v>
      </c>
      <c r="AY100" s="1065">
        <v>17126414669</v>
      </c>
      <c r="AZ100" s="1065">
        <v>35845883834</v>
      </c>
      <c r="BA100" s="1065">
        <v>5474505756</v>
      </c>
      <c r="BB100" s="1065">
        <v>33844247928</v>
      </c>
      <c r="BC100" s="1065">
        <v>2626477870</v>
      </c>
      <c r="BD100" s="1065">
        <v>13968918030</v>
      </c>
    </row>
    <row r="101" spans="1:56">
      <c r="A101" s="1079" t="s">
        <v>1104</v>
      </c>
      <c r="B101" s="1065">
        <v>0</v>
      </c>
      <c r="C101" s="1065">
        <v>0</v>
      </c>
      <c r="D101" s="1065">
        <v>0</v>
      </c>
      <c r="E101" s="1065">
        <v>0</v>
      </c>
      <c r="F101" s="1065">
        <v>0</v>
      </c>
      <c r="G101" s="1065">
        <v>0</v>
      </c>
      <c r="H101" s="1065">
        <v>0</v>
      </c>
      <c r="I101" s="1065">
        <v>0</v>
      </c>
      <c r="J101" s="1065">
        <v>0</v>
      </c>
      <c r="K101" s="1065">
        <v>0</v>
      </c>
      <c r="L101" s="1065">
        <v>0</v>
      </c>
      <c r="M101" s="1065">
        <v>0</v>
      </c>
      <c r="N101" s="1065">
        <v>0</v>
      </c>
      <c r="O101" s="1065">
        <v>0</v>
      </c>
      <c r="P101" s="1065">
        <v>0</v>
      </c>
      <c r="Q101" s="1065">
        <v>0</v>
      </c>
      <c r="R101" s="1065">
        <v>0</v>
      </c>
      <c r="S101" s="1065">
        <v>0</v>
      </c>
      <c r="T101" s="1065">
        <v>2066000000</v>
      </c>
      <c r="U101" s="1065">
        <v>0</v>
      </c>
      <c r="V101" s="1065">
        <v>0</v>
      </c>
      <c r="W101" s="1065">
        <v>0</v>
      </c>
      <c r="X101" s="1065">
        <v>0</v>
      </c>
      <c r="Y101" s="1065">
        <v>0</v>
      </c>
      <c r="Z101" s="1065">
        <v>626261770</v>
      </c>
      <c r="AA101" s="1065">
        <v>0</v>
      </c>
      <c r="AB101" s="1065">
        <v>0</v>
      </c>
      <c r="AC101" s="1065">
        <v>8000000</v>
      </c>
      <c r="AD101" s="1065">
        <v>0</v>
      </c>
      <c r="AE101" s="1065">
        <v>0</v>
      </c>
      <c r="AF101" s="1065">
        <v>0</v>
      </c>
      <c r="AG101" s="1065">
        <v>0</v>
      </c>
      <c r="AH101" s="1065">
        <v>0</v>
      </c>
      <c r="AI101" s="1065">
        <v>0</v>
      </c>
      <c r="AJ101" s="1065">
        <v>0</v>
      </c>
      <c r="AK101" s="1065">
        <v>0</v>
      </c>
      <c r="AL101" s="1065">
        <v>0</v>
      </c>
      <c r="AM101" s="1065">
        <v>0</v>
      </c>
      <c r="AN101" s="1065">
        <v>0</v>
      </c>
      <c r="AO101" s="1065">
        <v>0</v>
      </c>
      <c r="AP101" s="1065">
        <v>0</v>
      </c>
      <c r="AQ101" s="1080">
        <v>0</v>
      </c>
      <c r="AR101" s="1081"/>
      <c r="AS101" s="1065">
        <v>0</v>
      </c>
      <c r="AT101" s="1065">
        <v>0</v>
      </c>
      <c r="AU101" s="1065">
        <v>0</v>
      </c>
      <c r="AV101" s="1065">
        <v>0</v>
      </c>
      <c r="AW101" s="1065">
        <v>2066000000</v>
      </c>
      <c r="AX101" s="1065">
        <v>0</v>
      </c>
      <c r="AY101" s="1065">
        <v>634261770</v>
      </c>
      <c r="AZ101" s="1065">
        <v>0</v>
      </c>
      <c r="BA101" s="1065">
        <v>0</v>
      </c>
      <c r="BB101" s="1065">
        <v>0</v>
      </c>
      <c r="BC101" s="1065">
        <v>0</v>
      </c>
      <c r="BD101" s="1065">
        <v>0</v>
      </c>
    </row>
    <row r="102" spans="1:56">
      <c r="A102" s="1079" t="s">
        <v>1105</v>
      </c>
      <c r="B102" s="1065">
        <v>103206009</v>
      </c>
      <c r="C102" s="1065">
        <v>684286745</v>
      </c>
      <c r="D102" s="1065">
        <v>77141921</v>
      </c>
      <c r="E102" s="1065">
        <v>49797297</v>
      </c>
      <c r="F102" s="1065">
        <v>395513725</v>
      </c>
      <c r="G102" s="1065">
        <v>68580880</v>
      </c>
      <c r="H102" s="1065">
        <v>334709085</v>
      </c>
      <c r="I102" s="1065">
        <v>88343276</v>
      </c>
      <c r="J102" s="1065">
        <v>112791161</v>
      </c>
      <c r="K102" s="1065">
        <v>128459091</v>
      </c>
      <c r="L102" s="1065">
        <v>242608960</v>
      </c>
      <c r="M102" s="1065">
        <v>227543045</v>
      </c>
      <c r="N102" s="1065">
        <v>233041834</v>
      </c>
      <c r="O102" s="1065">
        <v>399400866</v>
      </c>
      <c r="P102" s="1065">
        <v>2746919941</v>
      </c>
      <c r="Q102" s="1065">
        <v>345236405</v>
      </c>
      <c r="R102" s="1065">
        <v>275076919</v>
      </c>
      <c r="S102" s="1065">
        <v>520330560</v>
      </c>
      <c r="T102" s="1065">
        <v>801681051</v>
      </c>
      <c r="U102" s="1065">
        <v>464435294</v>
      </c>
      <c r="V102" s="1065">
        <v>331773026</v>
      </c>
      <c r="W102" s="1065">
        <v>529598336</v>
      </c>
      <c r="X102" s="1065">
        <v>412103485</v>
      </c>
      <c r="Y102" s="1065">
        <v>330191568</v>
      </c>
      <c r="Z102" s="1065">
        <v>1013599612</v>
      </c>
      <c r="AA102" s="1065">
        <v>600808222</v>
      </c>
      <c r="AB102" s="1065">
        <v>222963451</v>
      </c>
      <c r="AC102" s="1065">
        <v>146590327</v>
      </c>
      <c r="AD102" s="1065">
        <v>69108311</v>
      </c>
      <c r="AE102" s="1065">
        <v>3663754541</v>
      </c>
      <c r="AF102" s="1065">
        <v>83719669</v>
      </c>
      <c r="AG102" s="1065">
        <v>64409470</v>
      </c>
      <c r="AH102" s="1065">
        <v>63560443</v>
      </c>
      <c r="AI102" s="1065">
        <v>508604396</v>
      </c>
      <c r="AJ102" s="1065">
        <v>438119841</v>
      </c>
      <c r="AK102" s="1065">
        <v>237459667</v>
      </c>
      <c r="AL102" s="1065">
        <v>438673655</v>
      </c>
      <c r="AM102" s="1065">
        <v>261725582</v>
      </c>
      <c r="AN102" s="1065">
        <v>1630000145</v>
      </c>
      <c r="AO102" s="1065">
        <v>347988010</v>
      </c>
      <c r="AP102" s="1065">
        <v>682700561</v>
      </c>
      <c r="AQ102" s="1080">
        <v>363023736</v>
      </c>
      <c r="AR102" s="1081"/>
      <c r="AS102" s="1065">
        <v>914431972</v>
      </c>
      <c r="AT102" s="1065">
        <v>887146966</v>
      </c>
      <c r="AU102" s="1065">
        <v>711402257</v>
      </c>
      <c r="AV102" s="1065">
        <v>3724599046</v>
      </c>
      <c r="AW102" s="1065">
        <v>2061523824</v>
      </c>
      <c r="AX102" s="1065">
        <v>1603666415</v>
      </c>
      <c r="AY102" s="1065">
        <v>1983961612</v>
      </c>
      <c r="AZ102" s="1065">
        <v>3880991991</v>
      </c>
      <c r="BA102" s="1065">
        <v>1247744347</v>
      </c>
      <c r="BB102" s="1065">
        <v>2678387392</v>
      </c>
      <c r="BC102" s="1065">
        <v>700399237</v>
      </c>
      <c r="BD102" s="1065">
        <v>1045724297</v>
      </c>
    </row>
    <row r="103" spans="1:56">
      <c r="A103" s="1073" t="s">
        <v>1106</v>
      </c>
      <c r="B103" s="1061">
        <v>362093674</v>
      </c>
      <c r="C103" s="1061">
        <v>423128450</v>
      </c>
      <c r="D103" s="1061">
        <v>339114353</v>
      </c>
      <c r="E103" s="1061">
        <v>116136917</v>
      </c>
      <c r="F103" s="1061">
        <v>992628689</v>
      </c>
      <c r="G103" s="1061">
        <v>145158711</v>
      </c>
      <c r="H103" s="1061">
        <v>185400917</v>
      </c>
      <c r="I103" s="1061">
        <v>1375348770</v>
      </c>
      <c r="J103" s="1061">
        <v>452555433</v>
      </c>
      <c r="K103" s="1061">
        <v>353842392</v>
      </c>
      <c r="L103" s="1061">
        <v>2653350982</v>
      </c>
      <c r="M103" s="1061">
        <v>12659652414</v>
      </c>
      <c r="N103" s="1061">
        <v>117309420</v>
      </c>
      <c r="O103" s="1061">
        <v>2082573391</v>
      </c>
      <c r="P103" s="1061">
        <v>326899535</v>
      </c>
      <c r="Q103" s="1061">
        <v>7801788720</v>
      </c>
      <c r="R103" s="1061">
        <v>21078071966</v>
      </c>
      <c r="S103" s="1061">
        <v>20605107252</v>
      </c>
      <c r="T103" s="1061">
        <v>558094329</v>
      </c>
      <c r="U103" s="1061">
        <v>57028750188</v>
      </c>
      <c r="V103" s="1061">
        <v>79715358</v>
      </c>
      <c r="W103" s="1061">
        <v>1222038369</v>
      </c>
      <c r="X103" s="1061">
        <v>273930051</v>
      </c>
      <c r="Y103" s="1061">
        <v>8644905097</v>
      </c>
      <c r="Z103" s="1061">
        <v>23510634810</v>
      </c>
      <c r="AA103" s="1061">
        <v>549205389</v>
      </c>
      <c r="AB103" s="1061">
        <v>1331307291</v>
      </c>
      <c r="AC103" s="1061">
        <v>31101545873</v>
      </c>
      <c r="AD103" s="1061">
        <v>1571670799</v>
      </c>
      <c r="AE103" s="1061">
        <v>18332801114</v>
      </c>
      <c r="AF103" s="1061">
        <v>52763495258</v>
      </c>
      <c r="AG103" s="1061">
        <v>32624562626</v>
      </c>
      <c r="AH103" s="1061">
        <v>2133811010</v>
      </c>
      <c r="AI103" s="1061">
        <v>437782440</v>
      </c>
      <c r="AJ103" s="1061">
        <v>1077645891</v>
      </c>
      <c r="AK103" s="1061">
        <v>118209472715</v>
      </c>
      <c r="AL103" s="1061">
        <v>2507357353</v>
      </c>
      <c r="AM103" s="1061">
        <v>2442939332</v>
      </c>
      <c r="AN103" s="1061">
        <v>115027711</v>
      </c>
      <c r="AO103" s="1061">
        <v>92966040861</v>
      </c>
      <c r="AP103" s="1061">
        <v>179596896</v>
      </c>
      <c r="AQ103" s="1074">
        <v>5758521072</v>
      </c>
      <c r="AR103" s="1075"/>
      <c r="AS103" s="1061">
        <v>1240473394</v>
      </c>
      <c r="AT103" s="1061">
        <v>2698537087</v>
      </c>
      <c r="AU103" s="1061">
        <v>16119401221</v>
      </c>
      <c r="AV103" s="1061">
        <v>10328571066</v>
      </c>
      <c r="AW103" s="1061">
        <v>99270023735</v>
      </c>
      <c r="AX103" s="1061">
        <v>10220588875</v>
      </c>
      <c r="AY103" s="1061">
        <v>56492693363</v>
      </c>
      <c r="AZ103" s="1061">
        <v>105292529797</v>
      </c>
      <c r="BA103" s="1061">
        <v>121858712056</v>
      </c>
      <c r="BB103" s="1061">
        <v>98031365257</v>
      </c>
      <c r="BC103" s="1061">
        <v>4950296685</v>
      </c>
      <c r="BD103" s="1061">
        <v>5938117968</v>
      </c>
    </row>
    <row r="104" spans="1:56">
      <c r="A104" s="1079" t="s">
        <v>1107</v>
      </c>
      <c r="B104" s="1065">
        <v>22064719</v>
      </c>
      <c r="C104" s="1065">
        <v>232138777</v>
      </c>
      <c r="D104" s="1065">
        <v>0</v>
      </c>
      <c r="E104" s="1065">
        <v>46032944</v>
      </c>
      <c r="F104" s="1065">
        <v>214418701</v>
      </c>
      <c r="G104" s="1065">
        <v>276000</v>
      </c>
      <c r="H104" s="1065">
        <v>5709835</v>
      </c>
      <c r="I104" s="1065">
        <v>11</v>
      </c>
      <c r="J104" s="1065">
        <v>7000</v>
      </c>
      <c r="K104" s="1065">
        <v>0</v>
      </c>
      <c r="L104" s="1065">
        <v>0</v>
      </c>
      <c r="M104" s="1065">
        <v>0</v>
      </c>
      <c r="N104" s="1065">
        <v>0</v>
      </c>
      <c r="O104" s="1065">
        <v>1189110655</v>
      </c>
      <c r="P104" s="1065">
        <v>-163355526</v>
      </c>
      <c r="Q104" s="1065">
        <v>450938</v>
      </c>
      <c r="R104" s="1065">
        <v>6789938</v>
      </c>
      <c r="S104" s="1065">
        <v>1378690</v>
      </c>
      <c r="T104" s="1065">
        <v>0</v>
      </c>
      <c r="U104" s="1065">
        <v>1000</v>
      </c>
      <c r="V104" s="1065">
        <v>323000</v>
      </c>
      <c r="W104" s="1065">
        <v>524034499</v>
      </c>
      <c r="X104" s="1065">
        <v>15000</v>
      </c>
      <c r="Y104" s="1065">
        <v>6087822</v>
      </c>
      <c r="Z104" s="1065">
        <v>1000</v>
      </c>
      <c r="AA104" s="1065">
        <v>170000</v>
      </c>
      <c r="AB104" s="1065">
        <v>0</v>
      </c>
      <c r="AC104" s="1065">
        <v>112016</v>
      </c>
      <c r="AD104" s="1065">
        <v>182874</v>
      </c>
      <c r="AE104" s="1065">
        <v>0</v>
      </c>
      <c r="AF104" s="1065">
        <v>0</v>
      </c>
      <c r="AG104" s="1065">
        <v>168458</v>
      </c>
      <c r="AH104" s="1065">
        <v>0</v>
      </c>
      <c r="AI104" s="1065">
        <v>2000</v>
      </c>
      <c r="AJ104" s="1065">
        <v>0</v>
      </c>
      <c r="AK104" s="1065">
        <v>860000</v>
      </c>
      <c r="AL104" s="1065">
        <v>0</v>
      </c>
      <c r="AM104" s="1065">
        <v>2000</v>
      </c>
      <c r="AN104" s="1065">
        <v>0</v>
      </c>
      <c r="AO104" s="1065">
        <v>1117353</v>
      </c>
      <c r="AP104" s="1065">
        <v>68000</v>
      </c>
      <c r="AQ104" s="1080">
        <v>0</v>
      </c>
      <c r="AR104" s="1081"/>
      <c r="AS104" s="1065">
        <v>300236440</v>
      </c>
      <c r="AT104" s="1065">
        <v>220404547</v>
      </c>
      <c r="AU104" s="1065">
        <v>7000</v>
      </c>
      <c r="AV104" s="1065">
        <v>1026206067</v>
      </c>
      <c r="AW104" s="1065">
        <v>8169628</v>
      </c>
      <c r="AX104" s="1065">
        <v>530460321</v>
      </c>
      <c r="AY104" s="1065">
        <v>283016</v>
      </c>
      <c r="AZ104" s="1065">
        <v>351332</v>
      </c>
      <c r="BA104" s="1065">
        <v>862000</v>
      </c>
      <c r="BB104" s="1065">
        <v>1119353</v>
      </c>
      <c r="BC104" s="1065">
        <v>2000</v>
      </c>
      <c r="BD104" s="1065">
        <v>68000</v>
      </c>
    </row>
    <row r="105" spans="1:56">
      <c r="A105" s="1079" t="s">
        <v>1108</v>
      </c>
      <c r="B105" s="1065">
        <v>85597112</v>
      </c>
      <c r="C105" s="1065">
        <v>0</v>
      </c>
      <c r="D105" s="1065">
        <v>0</v>
      </c>
      <c r="E105" s="1065">
        <v>0</v>
      </c>
      <c r="F105" s="1065">
        <v>566848421</v>
      </c>
      <c r="G105" s="1065">
        <v>0</v>
      </c>
      <c r="H105" s="1065">
        <v>0</v>
      </c>
      <c r="I105" s="1065">
        <v>0</v>
      </c>
      <c r="J105" s="1065">
        <v>0</v>
      </c>
      <c r="K105" s="1065">
        <v>0</v>
      </c>
      <c r="L105" s="1065">
        <v>0</v>
      </c>
      <c r="M105" s="1065">
        <v>0</v>
      </c>
      <c r="N105" s="1065">
        <v>0</v>
      </c>
      <c r="O105" s="1065">
        <v>0</v>
      </c>
      <c r="P105" s="1065">
        <v>0</v>
      </c>
      <c r="Q105" s="1065">
        <v>0</v>
      </c>
      <c r="R105" s="1065">
        <v>0</v>
      </c>
      <c r="S105" s="1065">
        <v>0</v>
      </c>
      <c r="T105" s="1065">
        <v>0</v>
      </c>
      <c r="U105" s="1065">
        <v>0</v>
      </c>
      <c r="V105" s="1065">
        <v>0</v>
      </c>
      <c r="W105" s="1065">
        <v>444215501</v>
      </c>
      <c r="X105" s="1065">
        <v>0</v>
      </c>
      <c r="Y105" s="1065">
        <v>0</v>
      </c>
      <c r="Z105" s="1065">
        <v>0</v>
      </c>
      <c r="AA105" s="1065">
        <v>0</v>
      </c>
      <c r="AB105" s="1065">
        <v>0</v>
      </c>
      <c r="AC105" s="1065">
        <v>0</v>
      </c>
      <c r="AD105" s="1065">
        <v>0</v>
      </c>
      <c r="AE105" s="1065">
        <v>0</v>
      </c>
      <c r="AF105" s="1065">
        <v>0</v>
      </c>
      <c r="AG105" s="1065">
        <v>0</v>
      </c>
      <c r="AH105" s="1065">
        <v>0</v>
      </c>
      <c r="AI105" s="1065">
        <v>0</v>
      </c>
      <c r="AJ105" s="1065">
        <v>0</v>
      </c>
      <c r="AK105" s="1065">
        <v>0</v>
      </c>
      <c r="AL105" s="1065">
        <v>0</v>
      </c>
      <c r="AM105" s="1065">
        <v>0</v>
      </c>
      <c r="AN105" s="1065">
        <v>0</v>
      </c>
      <c r="AO105" s="1065">
        <v>0</v>
      </c>
      <c r="AP105" s="1065">
        <v>0</v>
      </c>
      <c r="AQ105" s="1080">
        <v>0</v>
      </c>
      <c r="AR105" s="1081"/>
      <c r="AS105" s="1065">
        <v>85597112</v>
      </c>
      <c r="AT105" s="1065">
        <v>566848421</v>
      </c>
      <c r="AU105" s="1065">
        <v>0</v>
      </c>
      <c r="AV105" s="1065">
        <v>0</v>
      </c>
      <c r="AW105" s="1065">
        <v>0</v>
      </c>
      <c r="AX105" s="1065">
        <v>444215501</v>
      </c>
      <c r="AY105" s="1065">
        <v>0</v>
      </c>
      <c r="AZ105" s="1065">
        <v>0</v>
      </c>
      <c r="BA105" s="1065">
        <v>0</v>
      </c>
      <c r="BB105" s="1065">
        <v>0</v>
      </c>
      <c r="BC105" s="1065">
        <v>0</v>
      </c>
      <c r="BD105" s="1065">
        <v>0</v>
      </c>
    </row>
    <row r="106" spans="1:56">
      <c r="A106" s="1079" t="s">
        <v>1109</v>
      </c>
      <c r="B106" s="1065">
        <v>0</v>
      </c>
      <c r="C106" s="1065">
        <v>4962402</v>
      </c>
      <c r="D106" s="1065">
        <v>227687374</v>
      </c>
      <c r="E106" s="1065">
        <v>51535609</v>
      </c>
      <c r="F106" s="1065">
        <v>0</v>
      </c>
      <c r="G106" s="1065">
        <v>130000000</v>
      </c>
      <c r="H106" s="1065">
        <v>79552953</v>
      </c>
      <c r="I106" s="1065">
        <v>969157923</v>
      </c>
      <c r="J106" s="1065">
        <v>33858</v>
      </c>
      <c r="K106" s="1065">
        <v>290661110</v>
      </c>
      <c r="L106" s="1065">
        <v>2500000000</v>
      </c>
      <c r="M106" s="1065">
        <v>6259343721</v>
      </c>
      <c r="N106" s="1065">
        <v>108000000</v>
      </c>
      <c r="O106" s="1065">
        <v>217894950</v>
      </c>
      <c r="P106" s="1065">
        <v>381883337</v>
      </c>
      <c r="Q106" s="1065">
        <v>7768273870</v>
      </c>
      <c r="R106" s="1065">
        <v>20903538416</v>
      </c>
      <c r="S106" s="1065">
        <v>20501437686</v>
      </c>
      <c r="T106" s="1065">
        <v>439714158</v>
      </c>
      <c r="U106" s="1065">
        <v>56999966652</v>
      </c>
      <c r="V106" s="1065">
        <v>76353027</v>
      </c>
      <c r="W106" s="1065">
        <v>183339228</v>
      </c>
      <c r="X106" s="1065">
        <v>265572893</v>
      </c>
      <c r="Y106" s="1065">
        <v>8057755635</v>
      </c>
      <c r="Z106" s="1065">
        <v>23345538252</v>
      </c>
      <c r="AA106" s="1065">
        <v>208743597</v>
      </c>
      <c r="AB106" s="1065">
        <v>1229866928</v>
      </c>
      <c r="AC106" s="1065">
        <v>29274280458</v>
      </c>
      <c r="AD106" s="1065">
        <v>589382222</v>
      </c>
      <c r="AE106" s="1065">
        <v>18321465688</v>
      </c>
      <c r="AF106" s="1065">
        <v>52758248390</v>
      </c>
      <c r="AG106" s="1065">
        <v>32305126334</v>
      </c>
      <c r="AH106" s="1065">
        <v>2120589257</v>
      </c>
      <c r="AI106" s="1065">
        <v>296274895</v>
      </c>
      <c r="AJ106" s="1065">
        <v>1062119351</v>
      </c>
      <c r="AK106" s="1065">
        <v>118171009119</v>
      </c>
      <c r="AL106" s="1065">
        <v>2039556930</v>
      </c>
      <c r="AM106" s="1065">
        <v>2261365801</v>
      </c>
      <c r="AN106" s="1065">
        <v>101784600</v>
      </c>
      <c r="AO106" s="1065">
        <v>92954727270</v>
      </c>
      <c r="AP106" s="1065">
        <v>82500021</v>
      </c>
      <c r="AQ106" s="1080">
        <v>5626440377</v>
      </c>
      <c r="AR106" s="1081"/>
      <c r="AS106" s="1065">
        <v>284185385</v>
      </c>
      <c r="AT106" s="1065">
        <v>1178710876</v>
      </c>
      <c r="AU106" s="1065">
        <v>9050038689</v>
      </c>
      <c r="AV106" s="1065">
        <v>8476052157</v>
      </c>
      <c r="AW106" s="1065">
        <v>98844656912</v>
      </c>
      <c r="AX106" s="1065">
        <v>8583020783</v>
      </c>
      <c r="AY106" s="1065">
        <v>54058429235</v>
      </c>
      <c r="AZ106" s="1065">
        <v>103974222634</v>
      </c>
      <c r="BA106" s="1065">
        <v>121649992622</v>
      </c>
      <c r="BB106" s="1065">
        <v>97357434601</v>
      </c>
      <c r="BC106" s="1065">
        <v>4300922731</v>
      </c>
      <c r="BD106" s="1065">
        <v>5708940398</v>
      </c>
    </row>
    <row r="107" spans="1:56">
      <c r="A107" s="1079" t="s">
        <v>1110</v>
      </c>
      <c r="B107" s="1065">
        <v>194000000</v>
      </c>
      <c r="C107" s="1065">
        <v>3000000</v>
      </c>
      <c r="D107" s="1065">
        <v>94000000</v>
      </c>
      <c r="E107" s="1065">
        <v>1500000</v>
      </c>
      <c r="F107" s="1065">
        <v>94000000</v>
      </c>
      <c r="G107" s="1065">
        <v>0</v>
      </c>
      <c r="H107" s="1065">
        <v>94000000</v>
      </c>
      <c r="I107" s="1065">
        <v>401500000</v>
      </c>
      <c r="J107" s="1065">
        <v>94000000</v>
      </c>
      <c r="K107" s="1065">
        <v>0</v>
      </c>
      <c r="L107" s="1065">
        <v>94000000</v>
      </c>
      <c r="M107" s="1065">
        <v>3500000</v>
      </c>
      <c r="N107" s="1065">
        <v>0</v>
      </c>
      <c r="O107" s="1065">
        <v>94000000</v>
      </c>
      <c r="P107" s="1065">
        <v>94000000</v>
      </c>
      <c r="Q107" s="1065">
        <v>6500000</v>
      </c>
      <c r="R107" s="1065">
        <v>149000260</v>
      </c>
      <c r="S107" s="1065">
        <v>0</v>
      </c>
      <c r="T107" s="1065">
        <v>94000000</v>
      </c>
      <c r="U107" s="1065">
        <v>1500000</v>
      </c>
      <c r="V107" s="1065">
        <v>0</v>
      </c>
      <c r="W107" s="1065">
        <v>10000000</v>
      </c>
      <c r="X107" s="1065">
        <v>0</v>
      </c>
      <c r="Y107" s="1065">
        <v>2040000</v>
      </c>
      <c r="Z107" s="1065">
        <v>0</v>
      </c>
      <c r="AA107" s="1065">
        <v>10000000</v>
      </c>
      <c r="AB107" s="1065">
        <v>0</v>
      </c>
      <c r="AC107" s="1065">
        <v>2000000</v>
      </c>
      <c r="AD107" s="1065">
        <v>0</v>
      </c>
      <c r="AE107" s="1065">
        <v>0</v>
      </c>
      <c r="AF107" s="1065">
        <v>0</v>
      </c>
      <c r="AG107" s="1065">
        <v>102000000</v>
      </c>
      <c r="AH107" s="1065">
        <v>0</v>
      </c>
      <c r="AI107" s="1065">
        <v>0</v>
      </c>
      <c r="AJ107" s="1065">
        <v>0</v>
      </c>
      <c r="AK107" s="1065">
        <v>3000000</v>
      </c>
      <c r="AL107" s="1065">
        <v>0</v>
      </c>
      <c r="AM107" s="1065">
        <v>36000000</v>
      </c>
      <c r="AN107" s="1065">
        <v>3000000</v>
      </c>
      <c r="AO107" s="1065">
        <v>0</v>
      </c>
      <c r="AP107" s="1065">
        <v>0</v>
      </c>
      <c r="AQ107" s="1080">
        <v>72000000</v>
      </c>
      <c r="AR107" s="1081"/>
      <c r="AS107" s="1065">
        <v>292500000</v>
      </c>
      <c r="AT107" s="1065">
        <v>589500000</v>
      </c>
      <c r="AU107" s="1065">
        <v>191500000</v>
      </c>
      <c r="AV107" s="1065">
        <v>194500000</v>
      </c>
      <c r="AW107" s="1065">
        <v>244500260</v>
      </c>
      <c r="AX107" s="1065">
        <v>12040000</v>
      </c>
      <c r="AY107" s="1065">
        <v>12000000</v>
      </c>
      <c r="AZ107" s="1065">
        <v>102000000</v>
      </c>
      <c r="BA107" s="1065">
        <v>3000000</v>
      </c>
      <c r="BB107" s="1065">
        <v>39000000</v>
      </c>
      <c r="BC107" s="1065">
        <v>36000000</v>
      </c>
      <c r="BD107" s="1065">
        <v>72000000</v>
      </c>
    </row>
    <row r="108" spans="1:56">
      <c r="A108" s="1079" t="s">
        <v>1111</v>
      </c>
      <c r="B108" s="1065">
        <v>0</v>
      </c>
      <c r="C108" s="1065">
        <v>0</v>
      </c>
      <c r="D108" s="1065">
        <v>0</v>
      </c>
      <c r="E108" s="1065">
        <v>0</v>
      </c>
      <c r="F108" s="1065">
        <v>0</v>
      </c>
      <c r="G108" s="1065">
        <v>0</v>
      </c>
      <c r="H108" s="1065">
        <v>0</v>
      </c>
      <c r="I108" s="1065">
        <v>0</v>
      </c>
      <c r="J108" s="1065">
        <v>0</v>
      </c>
      <c r="K108" s="1065">
        <v>0</v>
      </c>
      <c r="L108" s="1065">
        <v>0</v>
      </c>
      <c r="M108" s="1065">
        <v>0</v>
      </c>
      <c r="N108" s="1065">
        <v>0</v>
      </c>
      <c r="O108" s="1065">
        <v>0</v>
      </c>
      <c r="P108" s="1065">
        <v>0</v>
      </c>
      <c r="Q108" s="1065">
        <v>0</v>
      </c>
      <c r="R108" s="1065">
        <v>0</v>
      </c>
      <c r="S108" s="1065">
        <v>0</v>
      </c>
      <c r="T108" s="1065">
        <v>0</v>
      </c>
      <c r="U108" s="1065">
        <v>0</v>
      </c>
      <c r="V108" s="1065">
        <v>0</v>
      </c>
      <c r="W108" s="1065">
        <v>0</v>
      </c>
      <c r="X108" s="1065">
        <v>0</v>
      </c>
      <c r="Y108" s="1065">
        <v>421884104</v>
      </c>
      <c r="Z108" s="1065">
        <v>0</v>
      </c>
      <c r="AA108" s="1065">
        <v>0</v>
      </c>
      <c r="AB108" s="1065">
        <v>0</v>
      </c>
      <c r="AC108" s="1065">
        <v>0</v>
      </c>
      <c r="AD108" s="1065">
        <v>0</v>
      </c>
      <c r="AE108" s="1065">
        <v>0</v>
      </c>
      <c r="AF108" s="1065">
        <v>0</v>
      </c>
      <c r="AG108" s="1065">
        <v>0</v>
      </c>
      <c r="AH108" s="1065">
        <v>0</v>
      </c>
      <c r="AI108" s="1065">
        <v>0</v>
      </c>
      <c r="AJ108" s="1065">
        <v>0</v>
      </c>
      <c r="AK108" s="1065">
        <v>0</v>
      </c>
      <c r="AL108" s="1065">
        <v>0</v>
      </c>
      <c r="AM108" s="1065">
        <v>0</v>
      </c>
      <c r="AN108" s="1065">
        <v>0</v>
      </c>
      <c r="AO108" s="1065">
        <v>0</v>
      </c>
      <c r="AP108" s="1065">
        <v>0</v>
      </c>
      <c r="AQ108" s="1080">
        <v>0</v>
      </c>
      <c r="AR108" s="1081"/>
      <c r="AS108" s="1065">
        <v>0</v>
      </c>
      <c r="AT108" s="1065">
        <v>0</v>
      </c>
      <c r="AU108" s="1065">
        <v>0</v>
      </c>
      <c r="AV108" s="1065">
        <v>0</v>
      </c>
      <c r="AW108" s="1065">
        <v>0</v>
      </c>
      <c r="AX108" s="1065">
        <v>421884104</v>
      </c>
      <c r="AY108" s="1065">
        <v>0</v>
      </c>
      <c r="AZ108" s="1065">
        <v>0</v>
      </c>
      <c r="BA108" s="1065">
        <v>0</v>
      </c>
      <c r="BB108" s="1065">
        <v>0</v>
      </c>
      <c r="BC108" s="1065">
        <v>0</v>
      </c>
      <c r="BD108" s="1065">
        <v>0</v>
      </c>
    </row>
    <row r="109" spans="1:56">
      <c r="A109" s="1079" t="s">
        <v>1112</v>
      </c>
      <c r="B109" s="1065">
        <v>60431843</v>
      </c>
      <c r="C109" s="1065">
        <v>183027271</v>
      </c>
      <c r="D109" s="1065">
        <v>17426979</v>
      </c>
      <c r="E109" s="1065">
        <v>17068364</v>
      </c>
      <c r="F109" s="1065">
        <v>117361567</v>
      </c>
      <c r="G109" s="1065">
        <v>14882711</v>
      </c>
      <c r="H109" s="1065">
        <v>6138129</v>
      </c>
      <c r="I109" s="1065">
        <v>4690836</v>
      </c>
      <c r="J109" s="1065">
        <v>358514575</v>
      </c>
      <c r="K109" s="1065">
        <v>63181282</v>
      </c>
      <c r="L109" s="1065">
        <v>59350982</v>
      </c>
      <c r="M109" s="1065">
        <v>6396808693</v>
      </c>
      <c r="N109" s="1065">
        <v>9309420</v>
      </c>
      <c r="O109" s="1065">
        <v>581567786</v>
      </c>
      <c r="P109" s="1065">
        <v>14371724</v>
      </c>
      <c r="Q109" s="1065">
        <v>26563912</v>
      </c>
      <c r="R109" s="1065">
        <v>18743352</v>
      </c>
      <c r="S109" s="1065">
        <v>102290876</v>
      </c>
      <c r="T109" s="1065">
        <v>24380171</v>
      </c>
      <c r="U109" s="1065">
        <v>27282536</v>
      </c>
      <c r="V109" s="1065">
        <v>3039331</v>
      </c>
      <c r="W109" s="1065">
        <v>60449141</v>
      </c>
      <c r="X109" s="1065">
        <v>8342158</v>
      </c>
      <c r="Y109" s="1065">
        <v>157137536</v>
      </c>
      <c r="Z109" s="1065">
        <v>165095558</v>
      </c>
      <c r="AA109" s="1065">
        <v>330291792</v>
      </c>
      <c r="AB109" s="1065">
        <v>101440363</v>
      </c>
      <c r="AC109" s="1065">
        <v>1825153399</v>
      </c>
      <c r="AD109" s="1065">
        <v>982105703</v>
      </c>
      <c r="AE109" s="1065">
        <v>11335426</v>
      </c>
      <c r="AF109" s="1065">
        <v>5246868</v>
      </c>
      <c r="AG109" s="1065">
        <v>217267834</v>
      </c>
      <c r="AH109" s="1065">
        <v>13221753</v>
      </c>
      <c r="AI109" s="1065">
        <v>141505545</v>
      </c>
      <c r="AJ109" s="1065">
        <v>15526540</v>
      </c>
      <c r="AK109" s="1065">
        <v>34603596</v>
      </c>
      <c r="AL109" s="1065">
        <v>467800423</v>
      </c>
      <c r="AM109" s="1065">
        <v>145571531</v>
      </c>
      <c r="AN109" s="1065">
        <v>10243111</v>
      </c>
      <c r="AO109" s="1065">
        <v>10196238</v>
      </c>
      <c r="AP109" s="1065">
        <v>97028875</v>
      </c>
      <c r="AQ109" s="1080">
        <v>60080695</v>
      </c>
      <c r="AR109" s="1081"/>
      <c r="AS109" s="1065">
        <v>277954457</v>
      </c>
      <c r="AT109" s="1065">
        <v>143073243</v>
      </c>
      <c r="AU109" s="1065">
        <v>6877855532</v>
      </c>
      <c r="AV109" s="1065">
        <v>631812842</v>
      </c>
      <c r="AW109" s="1065">
        <v>172696935</v>
      </c>
      <c r="AX109" s="1065">
        <v>228968166</v>
      </c>
      <c r="AY109" s="1065">
        <v>2421981112</v>
      </c>
      <c r="AZ109" s="1065">
        <v>1215955831</v>
      </c>
      <c r="BA109" s="1065">
        <v>204857434</v>
      </c>
      <c r="BB109" s="1065">
        <v>633811303</v>
      </c>
      <c r="BC109" s="1065">
        <v>613371954</v>
      </c>
      <c r="BD109" s="1065">
        <v>157109570</v>
      </c>
    </row>
    <row r="110" spans="1:56">
      <c r="A110" s="1073" t="s">
        <v>1113</v>
      </c>
      <c r="B110" s="1061">
        <v>69908540759</v>
      </c>
      <c r="C110" s="1061">
        <v>110268069224</v>
      </c>
      <c r="D110" s="1061">
        <v>83256453097</v>
      </c>
      <c r="E110" s="1061">
        <v>68062744404</v>
      </c>
      <c r="F110" s="1061">
        <v>103424483044</v>
      </c>
      <c r="G110" s="1061">
        <v>104140176924</v>
      </c>
      <c r="H110" s="1061">
        <v>95894488054</v>
      </c>
      <c r="I110" s="1061">
        <v>92128063572</v>
      </c>
      <c r="J110" s="1061">
        <v>113094724298</v>
      </c>
      <c r="K110" s="1061">
        <v>106371918440</v>
      </c>
      <c r="L110" s="1061">
        <v>132178672471</v>
      </c>
      <c r="M110" s="1061">
        <v>125451314102</v>
      </c>
      <c r="N110" s="1061">
        <v>166348818479</v>
      </c>
      <c r="O110" s="1061">
        <v>295409883216</v>
      </c>
      <c r="P110" s="1061">
        <v>119949761456</v>
      </c>
      <c r="Q110" s="1061">
        <v>195356466943</v>
      </c>
      <c r="R110" s="1061">
        <v>99713648184</v>
      </c>
      <c r="S110" s="1061">
        <v>176651819494</v>
      </c>
      <c r="T110" s="1061">
        <v>158918541231</v>
      </c>
      <c r="U110" s="1061">
        <v>140814978889</v>
      </c>
      <c r="V110" s="1061">
        <v>231942492583</v>
      </c>
      <c r="W110" s="1061">
        <v>205216917039</v>
      </c>
      <c r="X110" s="1061">
        <v>198850740823</v>
      </c>
      <c r="Y110" s="1061">
        <v>263749003964</v>
      </c>
      <c r="Z110" s="1061">
        <v>261641626406</v>
      </c>
      <c r="AA110" s="1061">
        <v>183181478954</v>
      </c>
      <c r="AB110" s="1061">
        <v>193703327911</v>
      </c>
      <c r="AC110" s="1061">
        <v>350121470113</v>
      </c>
      <c r="AD110" s="1061">
        <v>188803095615</v>
      </c>
      <c r="AE110" s="1061">
        <v>132457599229</v>
      </c>
      <c r="AF110" s="1061">
        <v>100903280549</v>
      </c>
      <c r="AG110" s="1061">
        <v>130060794367</v>
      </c>
      <c r="AH110" s="1061">
        <v>240140379031</v>
      </c>
      <c r="AI110" s="1061">
        <v>257949411924</v>
      </c>
      <c r="AJ110" s="1061">
        <v>164654501307</v>
      </c>
      <c r="AK110" s="1061">
        <v>138622500244</v>
      </c>
      <c r="AL110" s="1061">
        <v>280151197039</v>
      </c>
      <c r="AM110" s="1061">
        <v>268591700363</v>
      </c>
      <c r="AN110" s="1061">
        <v>209738524990</v>
      </c>
      <c r="AO110" s="1061">
        <v>102623752546</v>
      </c>
      <c r="AP110" s="1061">
        <v>371316299178</v>
      </c>
      <c r="AQ110" s="1074">
        <v>286511992423</v>
      </c>
      <c r="AR110" s="1075"/>
      <c r="AS110" s="1061">
        <v>331495807484</v>
      </c>
      <c r="AT110" s="1061">
        <v>395587211594</v>
      </c>
      <c r="AU110" s="1061">
        <v>477096629311</v>
      </c>
      <c r="AV110" s="1061">
        <v>777064930094</v>
      </c>
      <c r="AW110" s="1061">
        <v>576098987798</v>
      </c>
      <c r="AX110" s="1061">
        <v>899759154409</v>
      </c>
      <c r="AY110" s="1061">
        <v>988647903384</v>
      </c>
      <c r="AZ110" s="1061">
        <v>552224769760</v>
      </c>
      <c r="BA110" s="1061">
        <v>801366792506</v>
      </c>
      <c r="BB110" s="1061">
        <v>861105174938</v>
      </c>
      <c r="BC110" s="1061">
        <v>548742897402</v>
      </c>
      <c r="BD110" s="1061">
        <v>657828291601</v>
      </c>
    </row>
    <row r="111" spans="1:56">
      <c r="A111" s="1073" t="s">
        <v>1114</v>
      </c>
      <c r="B111" s="1061">
        <v>19197013584</v>
      </c>
      <c r="C111" s="1061">
        <v>26917702311</v>
      </c>
      <c r="D111" s="1061">
        <v>20627907545</v>
      </c>
      <c r="E111" s="1061">
        <v>11719237722</v>
      </c>
      <c r="F111" s="1061">
        <v>24490953022</v>
      </c>
      <c r="G111" s="1061">
        <v>25569613945</v>
      </c>
      <c r="H111" s="1061">
        <v>23622526636</v>
      </c>
      <c r="I111" s="1061">
        <v>21780304495</v>
      </c>
      <c r="J111" s="1061">
        <v>30692129327</v>
      </c>
      <c r="K111" s="1061">
        <v>27794209974</v>
      </c>
      <c r="L111" s="1061">
        <v>37745802612</v>
      </c>
      <c r="M111" s="1061">
        <v>31914577890</v>
      </c>
      <c r="N111" s="1061">
        <v>47184674469</v>
      </c>
      <c r="O111" s="1061">
        <v>49426263008</v>
      </c>
      <c r="P111" s="1061">
        <v>33328573717</v>
      </c>
      <c r="Q111" s="1061">
        <v>51426977065</v>
      </c>
      <c r="R111" s="1061">
        <v>25171844252</v>
      </c>
      <c r="S111" s="1061">
        <v>48031674997</v>
      </c>
      <c r="T111" s="1061">
        <v>44172493726</v>
      </c>
      <c r="U111" s="1061">
        <v>34871103029</v>
      </c>
      <c r="V111" s="1061">
        <v>62510787703</v>
      </c>
      <c r="W111" s="1061">
        <v>56608210576</v>
      </c>
      <c r="X111" s="1061">
        <v>53788576834</v>
      </c>
      <c r="Y111" s="1061">
        <v>45241476450</v>
      </c>
      <c r="Z111" s="1061">
        <v>68997159379</v>
      </c>
      <c r="AA111" s="1061">
        <v>49100632125</v>
      </c>
      <c r="AB111" s="1061">
        <v>51669877722</v>
      </c>
      <c r="AC111" s="1061">
        <v>49834455143</v>
      </c>
      <c r="AD111" s="1061">
        <v>45484578700</v>
      </c>
      <c r="AE111" s="1061">
        <v>29654294954</v>
      </c>
      <c r="AF111" s="1061">
        <v>22411320388</v>
      </c>
      <c r="AG111" s="1061">
        <v>30442037632</v>
      </c>
      <c r="AH111" s="1061">
        <v>40388389376</v>
      </c>
      <c r="AI111" s="1061">
        <v>65922080714</v>
      </c>
      <c r="AJ111" s="1061">
        <v>35035963318</v>
      </c>
      <c r="AK111" s="1061">
        <v>29873248674</v>
      </c>
      <c r="AL111" s="1061">
        <v>49450393740</v>
      </c>
      <c r="AM111" s="1061">
        <v>63325243611</v>
      </c>
      <c r="AN111" s="1061">
        <v>52083673832</v>
      </c>
      <c r="AO111" s="1061">
        <v>-5311352684</v>
      </c>
      <c r="AP111" s="1061">
        <v>70941767871</v>
      </c>
      <c r="AQ111" s="1074">
        <v>64894003690</v>
      </c>
      <c r="AR111" s="1075"/>
      <c r="AS111" s="1061">
        <v>78461861162</v>
      </c>
      <c r="AT111" s="1061">
        <v>95463398098</v>
      </c>
      <c r="AU111" s="1061">
        <v>128146719803</v>
      </c>
      <c r="AV111" s="1061">
        <v>181366488259</v>
      </c>
      <c r="AW111" s="1061">
        <v>152247116004</v>
      </c>
      <c r="AX111" s="1061">
        <v>218149051563</v>
      </c>
      <c r="AY111" s="1061">
        <v>219602124369</v>
      </c>
      <c r="AZ111" s="1061">
        <v>127992231674</v>
      </c>
      <c r="BA111" s="1061">
        <v>171219682082</v>
      </c>
      <c r="BB111" s="1061">
        <v>159547958499</v>
      </c>
      <c r="BC111" s="1061">
        <v>112775637351</v>
      </c>
      <c r="BD111" s="1061">
        <v>135835771561</v>
      </c>
    </row>
    <row r="112" spans="1:56">
      <c r="A112" s="1073" t="s">
        <v>284</v>
      </c>
      <c r="B112" s="1061">
        <v>50711527175</v>
      </c>
      <c r="C112" s="1061">
        <v>83350366913</v>
      </c>
      <c r="D112" s="1061">
        <v>62628545552</v>
      </c>
      <c r="E112" s="1061">
        <v>56343506682</v>
      </c>
      <c r="F112" s="1061">
        <v>78933530022</v>
      </c>
      <c r="G112" s="1061">
        <v>78570562979</v>
      </c>
      <c r="H112" s="1061">
        <v>72271961418</v>
      </c>
      <c r="I112" s="1061">
        <v>70347759077</v>
      </c>
      <c r="J112" s="1061">
        <v>82402594971</v>
      </c>
      <c r="K112" s="1061">
        <v>78577708466</v>
      </c>
      <c r="L112" s="1061">
        <v>94432869859</v>
      </c>
      <c r="M112" s="1061">
        <v>93536736212</v>
      </c>
      <c r="N112" s="1061">
        <v>119164144010</v>
      </c>
      <c r="O112" s="1061">
        <v>245983620208</v>
      </c>
      <c r="P112" s="1061">
        <v>86621187739</v>
      </c>
      <c r="Q112" s="1061">
        <v>143929489878</v>
      </c>
      <c r="R112" s="1061">
        <v>74541803932</v>
      </c>
      <c r="S112" s="1061">
        <v>128620144497</v>
      </c>
      <c r="T112" s="1061">
        <v>114746047505</v>
      </c>
      <c r="U112" s="1061">
        <v>105943875860</v>
      </c>
      <c r="V112" s="1061">
        <v>169431704880</v>
      </c>
      <c r="W112" s="1061">
        <v>148608706463</v>
      </c>
      <c r="X112" s="1061">
        <v>145062163989</v>
      </c>
      <c r="Y112" s="1061">
        <v>218507527514</v>
      </c>
      <c r="Z112" s="1061">
        <v>192644467027</v>
      </c>
      <c r="AA112" s="1061">
        <v>134080846829</v>
      </c>
      <c r="AB112" s="1061">
        <v>142033450189</v>
      </c>
      <c r="AC112" s="1061">
        <v>300287014970</v>
      </c>
      <c r="AD112" s="1061">
        <v>143318516915</v>
      </c>
      <c r="AE112" s="1061">
        <v>102803304275</v>
      </c>
      <c r="AF112" s="1061">
        <v>78491960161</v>
      </c>
      <c r="AG112" s="1061">
        <v>99618756735</v>
      </c>
      <c r="AH112" s="1061">
        <v>199751989655</v>
      </c>
      <c r="AI112" s="1061">
        <v>192027331210</v>
      </c>
      <c r="AJ112" s="1061">
        <v>129618537989</v>
      </c>
      <c r="AK112" s="1061">
        <v>108749251570</v>
      </c>
      <c r="AL112" s="1061">
        <v>230700803299</v>
      </c>
      <c r="AM112" s="1061">
        <v>205266456752</v>
      </c>
      <c r="AN112" s="1061">
        <v>157654851158</v>
      </c>
      <c r="AO112" s="1061">
        <v>107935105230</v>
      </c>
      <c r="AP112" s="1061">
        <v>300374531307</v>
      </c>
      <c r="AQ112" s="1074">
        <v>221617988733</v>
      </c>
      <c r="AR112" s="1075"/>
      <c r="AS112" s="1061">
        <v>253033946322</v>
      </c>
      <c r="AT112" s="1061">
        <v>300123813496</v>
      </c>
      <c r="AU112" s="1061">
        <v>348949909508</v>
      </c>
      <c r="AV112" s="1061">
        <v>595698441835</v>
      </c>
      <c r="AW112" s="1061">
        <v>423851871794</v>
      </c>
      <c r="AX112" s="1061">
        <v>681610102846</v>
      </c>
      <c r="AY112" s="1061">
        <v>769045779015</v>
      </c>
      <c r="AZ112" s="1061">
        <v>424232538086</v>
      </c>
      <c r="BA112" s="1061">
        <v>630147110424</v>
      </c>
      <c r="BB112" s="1061">
        <v>701557216439</v>
      </c>
      <c r="BC112" s="1061">
        <v>435967260051</v>
      </c>
      <c r="BD112" s="1061">
        <v>521992520040</v>
      </c>
    </row>
    <row r="113" spans="2:56">
      <c r="B113" s="1082"/>
      <c r="C113" s="1082"/>
      <c r="D113" s="1082"/>
      <c r="E113" s="1082"/>
      <c r="F113" s="1082"/>
      <c r="G113" s="1082"/>
      <c r="H113" s="1082"/>
      <c r="I113" s="1082"/>
      <c r="J113" s="1082"/>
      <c r="K113" s="1082"/>
      <c r="L113" s="1082"/>
      <c r="M113" s="1082"/>
      <c r="N113" s="1082"/>
      <c r="O113" s="1082"/>
      <c r="P113" s="1082"/>
      <c r="Q113" s="1082"/>
      <c r="R113" s="1082"/>
      <c r="S113" s="1082"/>
      <c r="T113" s="1082"/>
      <c r="U113" s="1082"/>
      <c r="V113" s="1082"/>
      <c r="W113" s="1082"/>
      <c r="X113" s="1082"/>
      <c r="Y113" s="1082"/>
      <c r="Z113" s="1082"/>
      <c r="AA113" s="1082"/>
      <c r="AB113" s="1083"/>
      <c r="AC113" s="1083"/>
      <c r="AD113" s="1083"/>
      <c r="AE113" s="1083"/>
      <c r="AF113" s="1083"/>
      <c r="AG113" s="1083"/>
      <c r="AH113" s="1083"/>
      <c r="AI113" s="1083"/>
      <c r="AJ113" s="1083"/>
      <c r="AK113" s="1083"/>
      <c r="AL113" s="1083"/>
      <c r="AM113" s="1083"/>
      <c r="AN113" s="1083"/>
      <c r="AO113" s="1083"/>
      <c r="AP113" s="1083"/>
      <c r="AQ113" s="1083"/>
      <c r="AR113" s="1082"/>
      <c r="AS113" s="1082"/>
      <c r="AT113" s="1082"/>
      <c r="AU113" s="1082"/>
      <c r="AV113" s="1082"/>
      <c r="AW113" s="1082"/>
      <c r="AX113" s="1082"/>
      <c r="AY113" s="1083"/>
      <c r="AZ113" s="1083"/>
      <c r="BA113" s="1083"/>
      <c r="BB113" s="1083"/>
      <c r="BC113" s="1083"/>
      <c r="BD113" s="1083"/>
    </row>
    <row r="114" spans="2:56">
      <c r="B114" s="1084"/>
      <c r="C114" s="1084"/>
      <c r="D114" s="1084"/>
      <c r="E114" s="1084"/>
      <c r="F114" s="1084"/>
      <c r="G114" s="1084"/>
      <c r="H114" s="1084"/>
      <c r="I114" s="1084"/>
      <c r="J114" s="1084"/>
      <c r="K114" s="1084"/>
      <c r="L114" s="1084"/>
      <c r="M114" s="1084"/>
      <c r="N114" s="1084"/>
      <c r="O114" s="1084"/>
      <c r="P114" s="1084"/>
      <c r="Q114" s="1084"/>
      <c r="R114" s="1084"/>
      <c r="S114" s="1084"/>
      <c r="T114" s="1084"/>
      <c r="U114" s="1084"/>
      <c r="V114" s="1084"/>
      <c r="W114" s="1084"/>
      <c r="X114" s="1084"/>
      <c r="Y114" s="1084"/>
      <c r="Z114" s="1084"/>
      <c r="AA114" s="1084"/>
      <c r="AB114" s="1085"/>
      <c r="AC114" s="1085"/>
      <c r="AD114" s="1085"/>
      <c r="AE114" s="1085"/>
      <c r="AF114" s="1085"/>
      <c r="AG114" s="1085"/>
      <c r="AH114" s="1085"/>
      <c r="AI114" s="1085"/>
      <c r="AJ114" s="1085"/>
      <c r="AK114" s="1085"/>
      <c r="AL114" s="1085"/>
      <c r="AM114" s="1085"/>
      <c r="AN114" s="1085"/>
      <c r="AO114" s="1085"/>
      <c r="AP114" s="1085"/>
      <c r="AQ114" s="1085"/>
      <c r="AR114" s="1084"/>
      <c r="AS114" s="1084"/>
      <c r="AT114" s="1084"/>
      <c r="AU114" s="1084"/>
      <c r="AV114" s="1084"/>
      <c r="AW114" s="1084"/>
      <c r="AX114" s="1084"/>
      <c r="AY114" s="1085"/>
      <c r="AZ114" s="1085"/>
      <c r="BA114" s="1085"/>
      <c r="BB114" s="1085"/>
      <c r="BC114" s="1085"/>
      <c r="BD114" s="1085"/>
    </row>
    <row r="115" spans="2:56">
      <c r="B115" s="1084"/>
      <c r="C115" s="1084"/>
      <c r="D115" s="1084"/>
      <c r="E115" s="1084"/>
      <c r="F115" s="1084"/>
      <c r="G115" s="1084"/>
      <c r="H115" s="1084"/>
      <c r="I115" s="1084"/>
      <c r="J115" s="1084"/>
      <c r="K115" s="1084"/>
      <c r="L115" s="1084"/>
      <c r="M115" s="1084"/>
      <c r="N115" s="1084"/>
      <c r="O115" s="1084"/>
      <c r="P115" s="1084"/>
      <c r="Q115" s="1084"/>
      <c r="R115" s="1084"/>
      <c r="S115" s="1084"/>
      <c r="T115" s="1084"/>
      <c r="U115" s="1084"/>
      <c r="V115" s="1084"/>
      <c r="W115" s="1084"/>
      <c r="X115" s="1084"/>
      <c r="Y115" s="1084"/>
      <c r="Z115" s="1084"/>
      <c r="AA115" s="1084"/>
      <c r="AB115" s="1085"/>
      <c r="AC115" s="1085"/>
      <c r="AD115" s="1085"/>
      <c r="AE115" s="1085"/>
      <c r="AF115" s="1085"/>
      <c r="AG115" s="1085"/>
      <c r="AH115" s="1085"/>
      <c r="AI115" s="1085"/>
      <c r="AJ115" s="1085"/>
      <c r="AK115" s="1085"/>
      <c r="AL115" s="1085"/>
      <c r="AM115" s="1085"/>
      <c r="AN115" s="1085"/>
      <c r="AO115" s="1085"/>
      <c r="AP115" s="1085"/>
      <c r="AQ115" s="1085"/>
      <c r="AR115" s="1084"/>
      <c r="AS115" s="1084"/>
      <c r="AT115" s="1084"/>
      <c r="AU115" s="1084"/>
      <c r="AV115" s="1084"/>
      <c r="AW115" s="1084"/>
      <c r="AX115" s="1084"/>
      <c r="AY115" s="1085"/>
      <c r="AZ115" s="1085"/>
      <c r="BA115" s="1085"/>
      <c r="BB115" s="1085"/>
      <c r="BC115" s="1085"/>
      <c r="BD115" s="1085"/>
    </row>
    <row r="116" spans="2:56">
      <c r="B116" s="1084"/>
      <c r="C116" s="1084"/>
      <c r="D116" s="1084"/>
      <c r="E116" s="1084"/>
      <c r="F116" s="1084"/>
      <c r="G116" s="1084"/>
      <c r="H116" s="1084"/>
      <c r="I116" s="1084"/>
      <c r="J116" s="1084"/>
      <c r="K116" s="1084"/>
      <c r="L116" s="1084"/>
      <c r="M116" s="1084"/>
      <c r="N116" s="1084"/>
      <c r="O116" s="1084"/>
      <c r="P116" s="1084"/>
      <c r="Q116" s="1084"/>
      <c r="R116" s="1084"/>
      <c r="S116" s="1084"/>
      <c r="T116" s="1084"/>
      <c r="U116" s="1084"/>
      <c r="V116" s="1084"/>
      <c r="W116" s="1084"/>
      <c r="X116" s="1084"/>
      <c r="Y116" s="1084"/>
      <c r="Z116" s="1084"/>
      <c r="AA116" s="1084"/>
      <c r="AB116" s="1085"/>
      <c r="AC116" s="1085"/>
      <c r="AD116" s="1085"/>
      <c r="AE116" s="1085"/>
      <c r="AF116" s="1085"/>
      <c r="AG116" s="1085"/>
      <c r="AH116" s="1085"/>
      <c r="AI116" s="1085"/>
      <c r="AJ116" s="1085"/>
      <c r="AK116" s="1085"/>
      <c r="AL116" s="1085"/>
      <c r="AM116" s="1085"/>
      <c r="AN116" s="1085"/>
      <c r="AO116" s="1085"/>
      <c r="AP116" s="1085"/>
      <c r="AQ116" s="1085"/>
      <c r="AR116" s="1084"/>
      <c r="AS116" s="1084"/>
      <c r="AT116" s="1084"/>
      <c r="AU116" s="1084"/>
      <c r="AV116" s="1084"/>
      <c r="AW116" s="1084"/>
      <c r="AX116" s="1084"/>
      <c r="AY116" s="1085"/>
      <c r="AZ116" s="1085"/>
      <c r="BA116" s="1085"/>
      <c r="BB116" s="1085"/>
      <c r="BC116" s="1085"/>
      <c r="BD116" s="1085"/>
    </row>
    <row r="117" spans="2:56" ht="16.5">
      <c r="B117" s="1084"/>
      <c r="C117" s="1084"/>
      <c r="D117" s="1084"/>
      <c r="E117" s="1084"/>
      <c r="F117" s="1084"/>
      <c r="G117" s="1084"/>
      <c r="H117" s="1084"/>
      <c r="I117" s="1084"/>
      <c r="J117" s="1084"/>
      <c r="K117" s="1084"/>
      <c r="L117" s="1084"/>
      <c r="M117" s="1084"/>
      <c r="N117" s="1084"/>
      <c r="O117" s="1084"/>
      <c r="P117" s="1084"/>
      <c r="Q117" s="1084"/>
      <c r="R117" s="1084"/>
      <c r="S117" s="1084"/>
      <c r="T117" s="1084"/>
      <c r="U117" s="1084"/>
      <c r="V117" s="1084"/>
      <c r="W117" s="1084"/>
      <c r="X117" s="1084"/>
      <c r="Y117" s="1084"/>
      <c r="Z117" s="1084"/>
      <c r="AA117" s="1084"/>
      <c r="AB117" s="1088"/>
      <c r="AC117" s="1088"/>
      <c r="AD117" s="1088"/>
      <c r="AE117" s="1088"/>
      <c r="AF117" s="1088"/>
      <c r="AG117" s="1088"/>
      <c r="AH117" s="1088"/>
      <c r="AI117" s="1088"/>
      <c r="AJ117" s="1088"/>
      <c r="AK117" s="1088"/>
      <c r="AL117" s="1088"/>
      <c r="AM117" s="1088"/>
      <c r="AN117" s="1088"/>
      <c r="AO117" s="1088"/>
      <c r="AP117" s="1088"/>
      <c r="AQ117" s="1088"/>
      <c r="AR117" s="1088"/>
      <c r="AS117" s="1088"/>
      <c r="AT117" s="1088"/>
      <c r="AU117" s="1088"/>
      <c r="AV117" s="1088"/>
      <c r="AW117" s="1088"/>
      <c r="AX117" s="1088"/>
      <c r="AY117" s="1088"/>
      <c r="AZ117" s="1088"/>
      <c r="BA117" s="1088"/>
      <c r="BB117" s="1088"/>
      <c r="BC117" s="1088"/>
      <c r="BD117" s="1088"/>
    </row>
  </sheetData>
  <phoneticPr fontId="21" type="noConversion"/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14</vt:i4>
      </vt:variant>
    </vt:vector>
  </HeadingPairs>
  <TitlesOfParts>
    <vt:vector size="33" baseType="lpstr">
      <vt:lpstr>Cover</vt:lpstr>
      <vt:lpstr>Group highlight</vt:lpstr>
      <vt:lpstr>Group_PL</vt:lpstr>
      <vt:lpstr>Group_BS</vt:lpstr>
      <vt:lpstr>Insurance_Condensed PL</vt:lpstr>
      <vt:lpstr>CSM</vt:lpstr>
      <vt:lpstr>Insurance_Condensed BS</vt:lpstr>
      <vt:lpstr>Insurance_Efficiency</vt:lpstr>
      <vt:lpstr>Insurance_Asset</vt:lpstr>
      <vt:lpstr>Insurance_NewP</vt:lpstr>
      <vt:lpstr>Insurance_ALM</vt:lpstr>
      <vt:lpstr>Insurance_BS</vt:lpstr>
      <vt:lpstr>Insurance_PL</vt:lpstr>
      <vt:lpstr>Securities_Key Figures</vt:lpstr>
      <vt:lpstr>Securities_Condensesd FS</vt:lpstr>
      <vt:lpstr>Securities_BS(Consolidated)</vt:lpstr>
      <vt:lpstr>Securities_BS(Standalone)</vt:lpstr>
      <vt:lpstr>Securities_PL(Consolidated)</vt:lpstr>
      <vt:lpstr>Securities_PL(Standalone)</vt:lpstr>
      <vt:lpstr>Cover!Print_Area</vt:lpstr>
      <vt:lpstr>CSM!Print_Area</vt:lpstr>
      <vt:lpstr>'Group highlight'!Print_Area</vt:lpstr>
      <vt:lpstr>Group_BS!Print_Area</vt:lpstr>
      <vt:lpstr>Group_PL!Print_Area</vt:lpstr>
      <vt:lpstr>Insurance_ALM!Print_Area</vt:lpstr>
      <vt:lpstr>Insurance_Asset!Print_Area</vt:lpstr>
      <vt:lpstr>Insurance_BS!Print_Area</vt:lpstr>
      <vt:lpstr>'Insurance_Condensed BS'!Print_Area</vt:lpstr>
      <vt:lpstr>'Insurance_Condensed PL'!Print_Area</vt:lpstr>
      <vt:lpstr>Insurance_Efficiency!Print_Area</vt:lpstr>
      <vt:lpstr>Insurance_NewP!Print_Area</vt:lpstr>
      <vt:lpstr>Insurance_PL!Print_Area</vt:lpstr>
      <vt:lpstr>'Securities_BS(Standalone)'!Print_Area</vt:lpstr>
    </vt:vector>
  </TitlesOfParts>
  <Company>메리츠화재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메리츠화재</dc:creator>
  <cp:lastModifiedBy>user</cp:lastModifiedBy>
  <cp:lastPrinted>2026-05-11T09:06:40Z</cp:lastPrinted>
  <dcterms:created xsi:type="dcterms:W3CDTF">2005-12-02T01:20:22Z</dcterms:created>
  <dcterms:modified xsi:type="dcterms:W3CDTF">2026-08-11T11:35:48Z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pid="4" name="Fasoo_Trace_ID">
    <vt:lpwstr>eyJub2RlMSI6eyJkc2QiOiIwMTAwMDAwMDAwMDAyNzYzIiwibG9nVGltZSI6IjIwMjMtMDItMDNUMTA6NTk6MzFaIiwicElEIjoxLCJ0cmFjZUlkIjoiMTQwNkI4NEJCODEyNDQwQzlBREY0Q0NGRjE1MzVENTUiLCJ1c2VyQ29kZSI6IjEwNzIwNDUzMSJ9LCJub2RlMiI6eyJkc2QiOiIwMTAwMDAwMDAwMDAyNzYzIiwibG9nVGltZSI6IjI</vt:lpwstr>
  </property>
</Properties>
</file>