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700.IR,Rating\10.IR\20_실적관리\22_Fact Sheet\발송용\FY'25\"/>
    </mc:Choice>
  </mc:AlternateContent>
  <xr:revisionPtr revIDLastSave="0" documentId="13_ncr:1_{64A0DBC0-3F84-4704-8D07-868C8B51C5EB}" xr6:coauthVersionLast="36" xr6:coauthVersionMax="36" xr10:uidLastSave="{00000000-0000-0000-0000-000000000000}"/>
  <bookViews>
    <workbookView xWindow="90" yWindow="120" windowWidth="14670" windowHeight="3840" tabRatio="870" xr2:uid="{00000000-000D-0000-FFFF-FFFF00000000}"/>
  </bookViews>
  <sheets>
    <sheet name="표지" sheetId="1" r:id="rId1"/>
    <sheet name="요약대차" sheetId="10" r:id="rId2"/>
    <sheet name="요약손익" sheetId="12" r:id="rId3"/>
    <sheet name="보험손익" sheetId="8" r:id="rId4"/>
    <sheet name="투자손익" sheetId="13" r:id="rId5"/>
    <sheet name="BEL,CSM변동" sheetId="21" r:id="rId6"/>
    <sheet name="원수보험료" sheetId="4" r:id="rId7"/>
    <sheet name="신규월납" sheetId="20" r:id="rId8"/>
    <sheet name="BS_Mar'25" sheetId="15" r:id="rId9"/>
    <sheet name="PL_'25.1Q" sheetId="1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 localSheetId="5">#REF!</definedName>
    <definedName name="_">#REF!</definedName>
    <definedName name="_.4" localSheetId="5">#REF!</definedName>
    <definedName name="_.4">#REF!</definedName>
    <definedName name="_?">[1]손익합산!$L$5:$L$92</definedName>
    <definedName name="_?__C" localSheetId="5">#REF!</definedName>
    <definedName name="_?__C">#REF!</definedName>
    <definedName name="____?">[1]손익합산!$L$5:$L$92</definedName>
    <definedName name="____?__C" localSheetId="5">#REF!</definedName>
    <definedName name="____?__C">#REF!</definedName>
    <definedName name="____a1">'[2]97년추정손익계산서'!$I$6:$I$8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18">'[3]sap`04.7.14'!#REF!</definedName>
    <definedName name="____DAT19">'[3]sap`04.7.14'!#REF!</definedName>
    <definedName name="____DAT2" localSheetId="5">#REF!</definedName>
    <definedName name="____DAT2">#REF!</definedName>
    <definedName name="____DAT20">'[3]sap`04.7.14'!#REF!</definedName>
    <definedName name="____DAT21">'[3]sap`04.7.14'!#REF!</definedName>
    <definedName name="____DAT24">'[3]sap`04.7.14'!#REF!</definedName>
    <definedName name="____DAT25">[4]임차보증금현황04.6.30!#REF!</definedName>
    <definedName name="____DAT26">'[3]sap`04.7.14'!#REF!</definedName>
    <definedName name="____DAT27">'[3]sap`04.7.14'!#REF!</definedName>
    <definedName name="____DAT29">'[3]sap`04.7.14'!#REF!</definedName>
    <definedName name="____DAT3">'[5]신전산소항목시산표(5월)'!#REF!</definedName>
    <definedName name="____DAT30">'[3]sap`04.7.14'!#REF!</definedName>
    <definedName name="____DAT31">'[3]sap`04.7.14'!#REF!</definedName>
    <definedName name="____DAT4">'[5]신전산소항목시산표(5월)'!#REF!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'[5]신전산소항목시산표(5월)'!#REF!</definedName>
    <definedName name="____DAT7">'[5]신전산소항목시산표(5월)'!#REF!</definedName>
    <definedName name="____DAT8" localSheetId="5">'[5]신전산소항목시산표(5월)'!#REF!</definedName>
    <definedName name="____DAT8">'[5]신전산소항목시산표(5월)'!#REF!</definedName>
    <definedName name="____DAT9" localSheetId="5">#REF!</definedName>
    <definedName name="____DAT9">#REF!</definedName>
    <definedName name="____pc1">'[6]2담당0113'!$F$427</definedName>
    <definedName name="___AH0001" localSheetId="5">#REF!</definedName>
    <definedName name="___AH0001">#REF!</definedName>
    <definedName name="___P3" localSheetId="5">'[7]10K4'!#REF!</definedName>
    <definedName name="___P3">'[7]10K4'!#REF!</definedName>
    <definedName name="___RES1" localSheetId="5">#REF!</definedName>
    <definedName name="___RES1">#REF!</definedName>
    <definedName name="___RES10" localSheetId="5">#REF!</definedName>
    <definedName name="___RES10">#REF!</definedName>
    <definedName name="___RES11" localSheetId="5">#REF!</definedName>
    <definedName name="___RES11">#REF!</definedName>
    <definedName name="___RES12" localSheetId="5">#REF!</definedName>
    <definedName name="___RES12">#REF!</definedName>
    <definedName name="___RES13" localSheetId="5">#REF!</definedName>
    <definedName name="___RES13">#REF!</definedName>
    <definedName name="___RES14" localSheetId="5">#REF!</definedName>
    <definedName name="___RES14">#REF!</definedName>
    <definedName name="___RES2" localSheetId="5">#REF!</definedName>
    <definedName name="___RES2">#REF!</definedName>
    <definedName name="___RES3" localSheetId="5">#REF!</definedName>
    <definedName name="___RES3">#REF!</definedName>
    <definedName name="___RES4" localSheetId="5">#REF!</definedName>
    <definedName name="___RES4">#REF!</definedName>
    <definedName name="___RES5" localSheetId="5">#REF!</definedName>
    <definedName name="___RES5">#REF!</definedName>
    <definedName name="___RES6" localSheetId="5">#REF!</definedName>
    <definedName name="___RES6">#REF!</definedName>
    <definedName name="___RES7" localSheetId="5">#REF!</definedName>
    <definedName name="___RES7">#REF!</definedName>
    <definedName name="___RES8" localSheetId="5">#REF!</definedName>
    <definedName name="___RES8">#REF!</definedName>
    <definedName name="___RES9" localSheetId="5">#REF!</definedName>
    <definedName name="___RES9">#REF!</definedName>
    <definedName name="__Description">[8]COMBINED!#REF!</definedName>
    <definedName name="__Group">[8]COMBINED!#REF!</definedName>
    <definedName name="__LongDescrip">[8]COMBINED!#REF!</definedName>
    <definedName name="__RES1" localSheetId="5">#REF!</definedName>
    <definedName name="__RES1">#REF!</definedName>
    <definedName name="__RES10" localSheetId="5">#REF!</definedName>
    <definedName name="__RES10">#REF!</definedName>
    <definedName name="__RES11" localSheetId="5">#REF!</definedName>
    <definedName name="__RES11">#REF!</definedName>
    <definedName name="__RES12" localSheetId="5">#REF!</definedName>
    <definedName name="__RES12">#REF!</definedName>
    <definedName name="__RES13" localSheetId="5">#REF!</definedName>
    <definedName name="__RES13">#REF!</definedName>
    <definedName name="__RES14" localSheetId="5">#REF!</definedName>
    <definedName name="__RES14">#REF!</definedName>
    <definedName name="__RES2" localSheetId="5">#REF!</definedName>
    <definedName name="__RES2">#REF!</definedName>
    <definedName name="__RES3" localSheetId="5">#REF!</definedName>
    <definedName name="__RES3">#REF!</definedName>
    <definedName name="__RES4" localSheetId="5">#REF!</definedName>
    <definedName name="__RES4">#REF!</definedName>
    <definedName name="__RES5" localSheetId="5">#REF!</definedName>
    <definedName name="__RES5">#REF!</definedName>
    <definedName name="__RES6" localSheetId="5">#REF!</definedName>
    <definedName name="__RES6">#REF!</definedName>
    <definedName name="__RES7" localSheetId="5">#REF!</definedName>
    <definedName name="__RES7">#REF!</definedName>
    <definedName name="__RES8" localSheetId="5">#REF!</definedName>
    <definedName name="__RES8">#REF!</definedName>
    <definedName name="__RES9" localSheetId="5">#REF!</definedName>
    <definedName name="__RES9">#REF!</definedName>
    <definedName name="__Rev">[8]COMBINED!#REF!</definedName>
    <definedName name="__Type">[8]COMBINED!#REF!</definedName>
    <definedName name="_1.매출채권" localSheetId="5">#REF!</definedName>
    <definedName name="_1.매출채권">#REF!</definedName>
    <definedName name="_1AH0001_" localSheetId="5">#REF!</definedName>
    <definedName name="_1AH0001_">#REF!</definedName>
    <definedName name="_2252526" localSheetId="5">{0;0;0;0;1;#N/A;0;0;0.3;0.3;2;FALSE;FALSE;FALSE;FALSE;FALSE;#N/A;1;96;#N/A;#N/A;"";""}</definedName>
    <definedName name="_2252526">{0;0;0;0;1;#N/A;0;0;0.3;0.3;2;FALSE;FALSE;FALSE;FALSE;FALSE;#N/A;1;96;#N/A;#N/A;"";""}</definedName>
    <definedName name="_4분기" localSheetId="5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AH0001" localSheetId="5">#REF!</definedName>
    <definedName name="_AH0001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8">'[4]sap`04.7.14'!#REF!</definedName>
    <definedName name="_DAT19">'[4]sap`04.7.14'!#REF!</definedName>
    <definedName name="_DAT2" localSheetId="5">#REF!</definedName>
    <definedName name="_DAT2">#REF!</definedName>
    <definedName name="_DAT20">'[4]sap`04.7.14'!#REF!</definedName>
    <definedName name="_DAT21">'[4]sap`04.7.14'!#REF!</definedName>
    <definedName name="_DAT24">'[4]sap`04.7.14'!#REF!</definedName>
    <definedName name="_DAT25">[5]임차보증금현황04.6.30!#REF!</definedName>
    <definedName name="_DAT26">'[4]sap`04.7.14'!#REF!</definedName>
    <definedName name="_DAT27">'[4]sap`04.7.14'!#REF!</definedName>
    <definedName name="_DAT29">'[4]sap`04.7.14'!#REF!</definedName>
    <definedName name="_DAT3">'[10]신전산소항목시산표(5월)'!#REF!</definedName>
    <definedName name="_DAT30">'[4]sap`04.7.14'!#REF!</definedName>
    <definedName name="_DAT31">'[4]sap`04.7.14'!#REF!</definedName>
    <definedName name="_DAT4">'[10]신전산소항목시산표(5월)'!#REF!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'[10]신전산소항목시산표(5월)'!#REF!</definedName>
    <definedName name="_DAT7">'[10]신전산소항목시산표(5월)'!#REF!</definedName>
    <definedName name="_DAT8" localSheetId="5">'[10]신전산소항목시산표(5월)'!#REF!</definedName>
    <definedName name="_DAT8">'[10]신전산소항목시산표(5월)'!#REF!</definedName>
    <definedName name="_DAT9" localSheetId="5">#REF!</definedName>
    <definedName name="_DAT9">#REF!</definedName>
    <definedName name="_Fill" localSheetId="5" hidden="1">[11]LIST!#REF!</definedName>
    <definedName name="_Fill" hidden="1">[11]LIST!#REF!</definedName>
    <definedName name="_xlnm._FilterDatabase" localSheetId="5">#REF!</definedName>
    <definedName name="_xlnm._FilterDatabase">#REF!</definedName>
    <definedName name="_I071_First_Page" localSheetId="5">[8]COMBINED!#REF!</definedName>
    <definedName name="_I071_First_Page">[8]COMBINED!#REF!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MatInverse_Out" localSheetId="5" hidden="1">[12]Sheet3!#REF!</definedName>
    <definedName name="_MatInverse_Out" hidden="1">[12]Sheet3!#REF!</definedName>
    <definedName name="_MatMult_B" localSheetId="5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>[8]COMBINED!#REF!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c1">'[6]2담당0113'!$F$427</definedName>
    <definedName name="_Report">0</definedName>
    <definedName name="_RES1" localSheetId="5">#REF!</definedName>
    <definedName name="_RES1">#REF!</definedName>
    <definedName name="_RES10" localSheetId="5">#REF!</definedName>
    <definedName name="_RES10">#REF!</definedName>
    <definedName name="_RES11" localSheetId="5">#REF!</definedName>
    <definedName name="_RES11">#REF!</definedName>
    <definedName name="_RES12" localSheetId="5">#REF!</definedName>
    <definedName name="_RES12">#REF!</definedName>
    <definedName name="_RES13" localSheetId="5">#REF!</definedName>
    <definedName name="_RES13">#REF!</definedName>
    <definedName name="_RES14" localSheetId="5">#REF!</definedName>
    <definedName name="_RES14">#REF!</definedName>
    <definedName name="_RES2" localSheetId="5">#REF!</definedName>
    <definedName name="_RES2">#REF!</definedName>
    <definedName name="_RES3" localSheetId="5">#REF!</definedName>
    <definedName name="_RES3">#REF!</definedName>
    <definedName name="_RES4" localSheetId="5">#REF!</definedName>
    <definedName name="_RES4">#REF!</definedName>
    <definedName name="_RES5" localSheetId="5">#REF!</definedName>
    <definedName name="_RES5">#REF!</definedName>
    <definedName name="_RES6" localSheetId="5">#REF!</definedName>
    <definedName name="_RES6">#REF!</definedName>
    <definedName name="_RES7" localSheetId="5">#REF!</definedName>
    <definedName name="_RES7">#REF!</definedName>
    <definedName name="_RES8" localSheetId="5">#REF!</definedName>
    <definedName name="_RES8">#REF!</definedName>
    <definedName name="_RES9" localSheetId="5">#REF!</definedName>
    <definedName name="_RES9">#REF!</definedName>
    <definedName name="_S_Base" localSheetId="5">{0.1;0;0.382758620689655;0;0;0;0.258620689655172;0;0.258620689655172}</definedName>
    <definedName name="_S_Base">{0.1;0;0.382758620689655;0;0;0;0.258620689655172;0;0.258620689655172}</definedName>
    <definedName name="_S_new_case" localSheetId="5">{0.1;0;0.45;0;0;0;0;0;0.45}</definedName>
    <definedName name="_S_new_case">{0.1;0;0.45;0;0;0;0;0;0.45}</definedName>
    <definedName name="_Sort" localSheetId="5" hidden="1">#REF!</definedName>
    <definedName name="_Sort" hidden="1">#REF!</definedName>
    <definedName name="_Z5.5_Discounted_Cash_Flow_2" localSheetId="5">{0;0;0;0;1;#N/A;0;0;0.3;0.3;2;FALSE;FALSE;FALSE;FALSE;FALSE;#N/A;1;#N/A;1;1;"";""}</definedName>
    <definedName name="_Z5.5_Discounted_Cash_Flow_2">{0;0;0;0;1;#N/A;0;0;0.3;0.3;2;FALSE;FALSE;FALSE;FALSE;FALSE;#N/A;1;#N/A;1;1;"";""}</definedName>
    <definedName name="_Zprint_all" localSheetId="5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5">{0;0;0;0;1;#N/A;0;0;0.3;0.3;2;FALSE;FALSE;FALSE;FALSE;FALSE;#N/A;1;100;#N/A;#N/A;"";""}</definedName>
    <definedName name="_Zprint_area">{0;0;0;0;1;#N/A;0;0;0.3;0.3;2;FALSE;FALSE;FALSE;FALSE;FALSE;#N/A;1;100;#N/A;#N/A;"";""}</definedName>
    <definedName name="¸AAa¿ø°¡" localSheetId="5">#REF!</definedName>
    <definedName name="¸AAa¿ø°¡">#REF!</definedName>
    <definedName name="\a" localSheetId="5">[13]WACC!#REF!</definedName>
    <definedName name="\a">[13]WACC!#REF!</definedName>
    <definedName name="\b" localSheetId="5">#REF!</definedName>
    <definedName name="\b">#REF!</definedName>
    <definedName name="\c" localSheetId="5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P">'[14]10K4'!#REF!</definedName>
    <definedName name="\q" localSheetId="5">#REF!</definedName>
    <definedName name="\q">#REF!</definedName>
    <definedName name="\t">#N/A</definedName>
    <definedName name="\z" localSheetId="5">#REF!</definedName>
    <definedName name="\z">#REF!</definedName>
    <definedName name="A" localSheetId="5">#REF!</definedName>
    <definedName name="A">#REF!</definedName>
    <definedName name="aa" localSheetId="5">#REF!</definedName>
    <definedName name="aa">#REF!</definedName>
    <definedName name="aaa" localSheetId="5">#REF!</definedName>
    <definedName name="aaa">#REF!</definedName>
    <definedName name="AB">[15]!PRT6BN5BT41</definedName>
    <definedName name="ABC" localSheetId="5">#REF!</definedName>
    <definedName name="ABC">#REF!</definedName>
    <definedName name="AC">[15]!prt6bv7cc30</definedName>
    <definedName name="adfghsdfgsd">[9]대환취급!$A$1:$N$3416</definedName>
    <definedName name="Adj1998E" localSheetId="5">'[16]합병분개 Adj'!#REF!</definedName>
    <definedName name="Adj1998E">'[16]합병분개 Adj'!#REF!</definedName>
    <definedName name="Adj1998N" localSheetId="5">'[16]합병분개 Adj'!#REF!</definedName>
    <definedName name="Adj1998N">'[16]합병분개 Adj'!#REF!</definedName>
    <definedName name="Adj1999C" localSheetId="5">#REF!</definedName>
    <definedName name="Adj1999C">#REF!</definedName>
    <definedName name="Adj1999E" localSheetId="5">#REF!</definedName>
    <definedName name="Adj1999E">#REF!</definedName>
    <definedName name="Adj1999N" localSheetId="5">#REF!</definedName>
    <definedName name="Adj1999N">#REF!</definedName>
    <definedName name="Adj2000C" localSheetId="5">#REF!</definedName>
    <definedName name="Adj2000C">#REF!</definedName>
    <definedName name="Adj2000E" localSheetId="5">#REF!</definedName>
    <definedName name="Adj2000E">#REF!</definedName>
    <definedName name="Adj2000N" localSheetId="5">#REF!</definedName>
    <definedName name="Adj2000N">#REF!</definedName>
    <definedName name="afasdfasd" localSheetId="5">{0;0;0;0;1;#N/A;0;0;0.3;0.3;2;FALSE;FALSE;FALSE;FALSE;FALSE;#N/A;1;#N/A;1;1;"";""}</definedName>
    <definedName name="afasdfasd">{0;0;0;0;1;#N/A;0;0;0.3;0.3;2;FALSE;FALSE;FALSE;FALSE;FALSE;#N/A;1;#N/A;1;1;"";""}</definedName>
    <definedName name="AftPL" localSheetId="5">#REF!</definedName>
    <definedName name="AftPL">#REF!</definedName>
    <definedName name="agdump" localSheetId="5">#REF!</definedName>
    <definedName name="agdump">#REF!</definedName>
    <definedName name="agedump" localSheetId="5">#REF!</definedName>
    <definedName name="agedump">#REF!</definedName>
    <definedName name="agencydump" localSheetId="5">#REF!</definedName>
    <definedName name="agencydump">#REF!</definedName>
    <definedName name="AGENCYLY" localSheetId="5">#REF!</definedName>
    <definedName name="AGENCYLY">#REF!</definedName>
    <definedName name="AGENCYPLAN" localSheetId="5">#REF!</definedName>
    <definedName name="AGENCYPLAN">#REF!</definedName>
    <definedName name="AS2DocOpenMode" hidden="1">"AS2DocumentEdit"</definedName>
    <definedName name="asfwefwf">[17]f_BS!$A$4:$E$43</definedName>
    <definedName name="az" localSheetId="5">{0.1;0;0.382758620689655;0;0;0;0.258620689655172;0;0.258620689655172}</definedName>
    <definedName name="az">{0.1;0;0.382758620689655;0;0;0;0.258620689655172;0;0.258620689655172}</definedName>
    <definedName name="B">'[2]97년추정손익계산서'!$I$6:$I$8</definedName>
    <definedName name="BALANCE" localSheetId="5">[13]WACC!#REF!</definedName>
    <definedName name="BALANCE">[13]WACC!#REF!</definedName>
    <definedName name="bancs_co1">"bancs'!$B$3:$H$2183"</definedName>
    <definedName name="bb" localSheetId="5">#REF!</definedName>
    <definedName name="bb">#REF!</definedName>
    <definedName name="bbb" localSheetId="5">#REF!</definedName>
    <definedName name="bbb">#REF!</definedName>
    <definedName name="BETA" localSheetId="5">[13]WACC!#REF!</definedName>
    <definedName name="BETA">[13]WACC!#REF!</definedName>
    <definedName name="bk" localSheetId="5">#REF!</definedName>
    <definedName name="bk">#REF!</definedName>
    <definedName name="BO">'[2]97년추정손익계산서'!$I$6:$I$86</definedName>
    <definedName name="BP" localSheetId="5">#REF!</definedName>
    <definedName name="BP">#REF!</definedName>
    <definedName name="BS계정" localSheetId="5">#REF!</definedName>
    <definedName name="BS계정">#REF!</definedName>
    <definedName name="BS추정" localSheetId="5" hidden="1">{"'보고양식'!$A$58:$K$111"}</definedName>
    <definedName name="BS추정" hidden="1">{"'보고양식'!$A$58:$K$111"}</definedName>
    <definedName name="CalcAgencyPrice" localSheetId="5">#REF!</definedName>
    <definedName name="CalcAgencyPrice">#REF!</definedName>
    <definedName name="CANADA">[18]COMPS!#REF!</definedName>
    <definedName name="cd" localSheetId="5">{0;0;0;0;1;#N/A;0;0;0.3;0.3;2;FALSE;FALSE;FALSE;FALSE;FALSE;#N/A;1;96;#N/A;#N/A;"";""}</definedName>
    <definedName name="cd">{0;0;0;0;1;#N/A;0;0;0.3;0.3;2;FALSE;FALSE;FALSE;FALSE;FALSE;#N/A;1;96;#N/A;#N/A;"";""}</definedName>
    <definedName name="COBS_HIS">'[19]00.08계정'!$F$5:$K$769</definedName>
    <definedName name="Commission" localSheetId="5">#REF!</definedName>
    <definedName name="Commission">#REF!</definedName>
    <definedName name="CRITE">[20]보고!$B$40</definedName>
    <definedName name="_xlnm.Criteria" localSheetId="5">'[21]폐토수익화 '!#REF!</definedName>
    <definedName name="_xlnm.Criteria">'[21]폐토수익화 '!#REF!</definedName>
    <definedName name="Criteria_MI" localSheetId="5">'[21]폐토수익화 '!#REF!</definedName>
    <definedName name="Criteria_MI">'[21]폐토수익화 '!#REF!</definedName>
    <definedName name="csdcdsc" localSheetId="5" hidden="1">{"'보고양식'!$A$58:$K$111"}</definedName>
    <definedName name="csdcdsc" hidden="1">{"'보고양식'!$A$58:$K$111"}</definedName>
    <definedName name="csdcz" localSheetId="5" hidden="1">{#N/A,#N/A,FALSE,"Aging Summary";#N/A,#N/A,FALSE,"Ratio Analysis";#N/A,#N/A,FALSE,"Test 120 Day Accts";#N/A,#N/A,FALSE,"Tickmarks"}</definedName>
    <definedName name="csdcz" hidden="1">{#N/A,#N/A,FALSE,"Aging Summary";#N/A,#N/A,FALSE,"Ratio Analysis";#N/A,#N/A,FALSE,"Test 120 Day Accts";#N/A,#N/A,FALSE,"Tickmarks"}</definedName>
    <definedName name="CURRENT">[13]WACC!#REF!</definedName>
    <definedName name="CY_Cash_Div_Dec">[22]손익계산서!#REF!</definedName>
    <definedName name="CY_Depreciation">[22]손익계산서!#REF!</definedName>
    <definedName name="CY_Market_Value_of_Equity">[22]손익계산서!#REF!</definedName>
    <definedName name="CY_Other">[22]손익계산서!#REF!</definedName>
    <definedName name="CY_Other_Curr_Assets">[22]대차대조표!#REF!</definedName>
    <definedName name="CY_Other_LT_Assets">[22]대차대조표!#REF!</definedName>
    <definedName name="CY_Other_LT_Liabilities">[22]대차대조표!#REF!</definedName>
    <definedName name="CY_Selling">[22]손익계산서!#REF!</definedName>
    <definedName name="CY_Tangible_Net_Worth">[22]손익계산서!#REF!</definedName>
    <definedName name="CY_Weighted_Average">[22]손익계산서!#REF!</definedName>
    <definedName name="CY_Working_Capital">[22]손익계산서!#REF!</definedName>
    <definedName name="d" localSheetId="5">{0.1;0;0.382758620689655;0;0;0;0.258620689655172;0;0.258620689655172}</definedName>
    <definedName name="d">{0.1;0;0.382758620689655;0;0;0;0.258620689655172;0;0.258620689655172}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 localSheetId="5">#REF!</definedName>
    <definedName name="DaRWk12">#REF!</definedName>
    <definedName name="DaRWk2" localSheetId="5">#REF!</definedName>
    <definedName name="DaRWk2">#REF!</definedName>
    <definedName name="DaRWk3" localSheetId="5">#REF!</definedName>
    <definedName name="DaRWk3">#REF!</definedName>
    <definedName name="DaRWk4" localSheetId="5">#REF!</definedName>
    <definedName name="DaRWk4">#REF!</definedName>
    <definedName name="DaRWk5" localSheetId="5">#REF!</definedName>
    <definedName name="DaRWk5">#REF!</definedName>
    <definedName name="DaRWk6" localSheetId="5">#REF!</definedName>
    <definedName name="DaRWk6">#REF!</definedName>
    <definedName name="DaRWk8" localSheetId="5">#REF!</definedName>
    <definedName name="DaRWk8">#REF!</definedName>
    <definedName name="DaRwk9" localSheetId="5">#REF!</definedName>
    <definedName name="DaRwk9">#REF!</definedName>
    <definedName name="_xlnm.Database" localSheetId="5">#REF!</definedName>
    <definedName name="_xlnm.Database">#REF!</definedName>
    <definedName name="Database_MI">'[21]폐토수익화 '!#REF!</definedName>
    <definedName name="date" localSheetId="5">#REF!</definedName>
    <definedName name="date">#REF!</definedName>
    <definedName name="DaWk7" localSheetId="5">#REF!</definedName>
    <definedName name="DaWk7">#REF!</definedName>
    <definedName name="dbrwk1" localSheetId="5">#REF!</definedName>
    <definedName name="dbrwk1">#REF!</definedName>
    <definedName name="dbrwk10" localSheetId="5">#REF!</definedName>
    <definedName name="dbrwk10">#REF!</definedName>
    <definedName name="dbrwk11" localSheetId="5">#REF!</definedName>
    <definedName name="dbrwk11">#REF!</definedName>
    <definedName name="dbrwk12" localSheetId="5">#REF!</definedName>
    <definedName name="dbrwk12">#REF!</definedName>
    <definedName name="dbrwk2" localSheetId="5">#REF!</definedName>
    <definedName name="dbrwk2">#REF!</definedName>
    <definedName name="dbrwk3" localSheetId="5">#REF!</definedName>
    <definedName name="dbrwk3">#REF!</definedName>
    <definedName name="dbrwk4" localSheetId="5">#REF!</definedName>
    <definedName name="dbrwk4">#REF!</definedName>
    <definedName name="dbrwk5" localSheetId="5">#REF!</definedName>
    <definedName name="dbrwk5">#REF!</definedName>
    <definedName name="dbrwk6" localSheetId="5">#REF!</definedName>
    <definedName name="dbrwk6">#REF!</definedName>
    <definedName name="dbrwk7" localSheetId="5">#REF!</definedName>
    <definedName name="dbrwk7">#REF!</definedName>
    <definedName name="dbrwk8" localSheetId="5">#REF!</definedName>
    <definedName name="dbrwk8">#REF!</definedName>
    <definedName name="dbrwk9" localSheetId="5">#REF!</definedName>
    <definedName name="dbrwk9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 localSheetId="5">#REF!</definedName>
    <definedName name="dcrwk11">#REF!</definedName>
    <definedName name="dcrwk12" localSheetId="5">#REF!</definedName>
    <definedName name="dcrwk12">#REF!</definedName>
    <definedName name="dcrwk2" localSheetId="5">#REF!</definedName>
    <definedName name="dcrwk2">#REF!</definedName>
    <definedName name="dcrwk3" localSheetId="5">#REF!</definedName>
    <definedName name="dcrwk3">#REF!</definedName>
    <definedName name="dcrwk4" localSheetId="5">#REF!</definedName>
    <definedName name="dcrwk4">#REF!</definedName>
    <definedName name="dcrwk5" localSheetId="5">#REF!</definedName>
    <definedName name="dcrwk5">#REF!</definedName>
    <definedName name="dcrwk6" localSheetId="5">#REF!</definedName>
    <definedName name="dcrwk6">#REF!</definedName>
    <definedName name="dcrwk7" localSheetId="5">#REF!</definedName>
    <definedName name="dcrwk7">#REF!</definedName>
    <definedName name="dcrwk8" localSheetId="5">#REF!</definedName>
    <definedName name="dcrwk8">#REF!</definedName>
    <definedName name="dcrwk9" localSheetId="5">#REF!</definedName>
    <definedName name="dcrwk9">#REF!</definedName>
    <definedName name="dd" hidden="1">[23]계속!#REF!</definedName>
    <definedName name="DEBT">[8]COMBINED!#REF!</definedName>
    <definedName name="DelDC" localSheetId="5">#REF!</definedName>
    <definedName name="DelDC">#REF!</definedName>
    <definedName name="DelDm" localSheetId="5">#REF!</definedName>
    <definedName name="DelDm">#REF!</definedName>
    <definedName name="Delivery" localSheetId="5">#REF!</definedName>
    <definedName name="Delivery">#REF!</definedName>
    <definedName name="DelType" localSheetId="5">#REF!</definedName>
    <definedName name="DelType">#REF!</definedName>
    <definedName name="deptLookup" localSheetId="5">#REF!</definedName>
    <definedName name="deptLookup">#REF!</definedName>
    <definedName name="ds" localSheetId="5">{0;0;0;0;1;#N/A;0;0;0.3;0.3;2;FALSE;FALSE;FALSE;FALSE;FALSE;#N/A;1;100;#N/A;#N/A;"";""}</definedName>
    <definedName name="ds">{0;0;0;0;1;#N/A;0;0;0.3;0.3;2;FALSE;FALSE;FALSE;FALSE;FALSE;#N/A;1;100;#N/A;#N/A;"";""}</definedName>
    <definedName name="dsdddsfdfdgdfg">[24]forecasted_BS!$A$1:$E$41</definedName>
    <definedName name="dumppr" localSheetId="5">#REF!</definedName>
    <definedName name="dumppr">#REF!</definedName>
    <definedName name="e">'[7]10K4'!#REF!</definedName>
    <definedName name="ecscse" localSheetId="5" hidden="1">{"'보고양식'!$A$58:$K$111"}</definedName>
    <definedName name="ecscse" hidden="1">{"'보고양식'!$A$58:$K$111"}</definedName>
    <definedName name="ed" localSheetId="5" hidden="1">{"'보고양식'!$A$58:$K$111"}</definedName>
    <definedName name="ed" hidden="1">{"'보고양식'!$A$58:$K$111"}</definedName>
    <definedName name="er" localSheetId="5">{0;0;0;0;1;#N/A;0;0;0.3;0.3;2;FALSE;FALSE;FALSE;FALSE;FALSE;#N/A;1;96;#N/A;#N/A;"";""}</definedName>
    <definedName name="er">{0;0;0;0;1;#N/A;0;0;0.3;0.3;2;FALSE;FALSE;FALSE;FALSE;FALSE;#N/A;1;96;#N/A;#N/A;"";""}</definedName>
    <definedName name="ew" localSheetId="5">{0.1;0;0.382758620689655;0;0;0;0.258620689655172;0;0.258620689655172}</definedName>
    <definedName name="ew">{0.1;0;0.382758620689655;0;0;0;0.258620689655172;0;0.258620689655172}</definedName>
    <definedName name="_xlnm.Extract">'[21]폐토수익화 '!#REF!</definedName>
    <definedName name="Extract_MI">'[21]폐토수익화 '!#REF!</definedName>
    <definedName name="fewf" localSheetId="5" hidden="1">{#N/A,#N/A,FALSE,"Sheet1";#N/A,#N/A,FALSE,"기평9607"}</definedName>
    <definedName name="fewf" hidden="1">{#N/A,#N/A,FALSE,"Sheet1";#N/A,#N/A,FALSE,"기평9607"}</definedName>
    <definedName name="FILL" localSheetId="5" hidden="1">#REF!</definedName>
    <definedName name="FILL" hidden="1">#REF!</definedName>
    <definedName name="FootnoteAnchor" localSheetId="5">#REF!</definedName>
    <definedName name="FootnoteAnchor">#REF!</definedName>
    <definedName name="FootnoteRange" localSheetId="5">#REF!</definedName>
    <definedName name="FootnoteRange">#REF!</definedName>
    <definedName name="fw" localSheetId="5">{0;0;0;0;1;#N/A;0;0;0.3;0.3;2;FALSE;FALSE;FALSE;FALSE;FALSE;#N/A;1;#N/A;1;1;"";""}</definedName>
    <definedName name="fw">{0;0;0;0;1;#N/A;0;0;0.3;0.3;2;FALSE;FALSE;FALSE;FALSE;FALSE;#N/A;1;#N/A;1;1;"";""}</definedName>
    <definedName name="gfdgfdgfdgfdg">[24]forecasted_IS!$A$1:$D$53</definedName>
    <definedName name="gfs" localSheetId="5">{0.1;0;0.382758620689655;0;0;0;0.258620689655172;0;0.258620689655172}</definedName>
    <definedName name="gfs">{0.1;0;0.382758620689655;0;0;0;0.258620689655172;0;0.258620689655172}</definedName>
    <definedName name="GRADE45A" localSheetId="5">#REF!</definedName>
    <definedName name="GRADE45A">#REF!</definedName>
    <definedName name="GrphActSales" localSheetId="5">#REF!</definedName>
    <definedName name="GrphActSales">#REF!</definedName>
    <definedName name="GrphActStk" localSheetId="5">#REF!</definedName>
    <definedName name="GrphActStk">#REF!</definedName>
    <definedName name="GrphPlanSales" localSheetId="5">#REF!</definedName>
    <definedName name="GrphPlanSales">#REF!</definedName>
    <definedName name="GrphTgtStk" localSheetId="5">#REF!</definedName>
    <definedName name="GrphTgtStk">#REF!</definedName>
    <definedName name="GUSINASSETNA" localSheetId="5">#REF!</definedName>
    <definedName name="GUSINASSETNA">#REF!</definedName>
    <definedName name="GUSINBSCO" localSheetId="5">#REF!</definedName>
    <definedName name="GUSINBSCO">#REF!</definedName>
    <definedName name="GUSINISCO" localSheetId="5">#REF!</definedName>
    <definedName name="GUSINISCO">#REF!</definedName>
    <definedName name="GUSINISNA" localSheetId="5">#REF!</definedName>
    <definedName name="GUSINISNA">#REF!</definedName>
    <definedName name="GUSINLIABNA" localSheetId="5">#REF!</definedName>
    <definedName name="GUSINLIABNA">#REF!</definedName>
    <definedName name="GUSINNA" localSheetId="5">#REF!</definedName>
    <definedName name="GUSINNA">#REF!</definedName>
    <definedName name="HEADER" localSheetId="5">#REF!</definedName>
    <definedName name="HEADER">#REF!</definedName>
    <definedName name="HTML_CodePage" hidden="1">949</definedName>
    <definedName name="HTML_Control" localSheetId="5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5">#REF!</definedName>
    <definedName name="i">#REF!</definedName>
    <definedName name="i_?3" localSheetId="5">#REF!</definedName>
    <definedName name="i_?3">#REF!</definedName>
    <definedName name="i_E" localSheetId="5">#REF!</definedName>
    <definedName name="i_E">#REF!</definedName>
    <definedName name="i_E__.3" localSheetId="5">#REF!</definedName>
    <definedName name="i_E__.3">#REF!</definedName>
    <definedName name="i_E_O" localSheetId="5">#REF!</definedName>
    <definedName name="i_E_O">#REF!</definedName>
    <definedName name="i_E_O__.3" localSheetId="5">#REF!</definedName>
    <definedName name="i_E_O__.3">#REF!</definedName>
    <definedName name="IELWSALES" localSheetId="5">#REF!</definedName>
    <definedName name="IELWSALES">#REF!</definedName>
    <definedName name="IELYSALES" localSheetId="5">#REF!</definedName>
    <definedName name="IELYSALES">#REF!</definedName>
    <definedName name="IEPLANSALES" localSheetId="5">#REF!</definedName>
    <definedName name="IEPLANSALES">#REF!</definedName>
    <definedName name="IESP" localSheetId="5">#REF!</definedName>
    <definedName name="IESP">#REF!</definedName>
    <definedName name="INDIRECT" localSheetId="5">[8]VALSTAT!#REF!</definedName>
    <definedName name="INDIRECT">[8]VALSTAT!#REF!</definedName>
    <definedName name="INDUSTRY">[25]Cover!$F$6</definedName>
    <definedName name="INPUT" localSheetId="5">#REF!</definedName>
    <definedName name="INPUT">#REF!</definedName>
    <definedName name="IntFreeCred" localSheetId="5">#REF!</definedName>
    <definedName name="IntFreeCred">#REF!</definedName>
    <definedName name="KHN" localSheetId="5" hidden="1">{"'보고양식'!$A$58:$K$111"}</definedName>
    <definedName name="KHN" hidden="1">{"'보고양식'!$A$58:$K$111"}</definedName>
    <definedName name="L_Adjust">[26]Links!$H:$H</definedName>
    <definedName name="L_AJE_Tot">[26]Links!$G:$G</definedName>
    <definedName name="L_CY_Beg">[26]Links!$F:$F</definedName>
    <definedName name="L_CY_End">[26]Links!$J:$J</definedName>
    <definedName name="L_PY_End">[26]Links!$K:$K</definedName>
    <definedName name="L_RJE_Tot">[26]Links!$I:$I</definedName>
    <definedName name="Language">[27]basic_info!$C$3</definedName>
    <definedName name="LWSALES" localSheetId="5">#REF!</definedName>
    <definedName name="LWSALES">#REF!</definedName>
    <definedName name="LYBin" localSheetId="5">#REF!</definedName>
    <definedName name="LYBin">#REF!</definedName>
    <definedName name="LYHolds" localSheetId="5">#REF!</definedName>
    <definedName name="LYHolds">#REF!</definedName>
    <definedName name="LYNet" localSheetId="5">#REF!</definedName>
    <definedName name="LYNet">#REF!</definedName>
    <definedName name="LYoos" localSheetId="5">#REF!</definedName>
    <definedName name="LYoos">#REF!</definedName>
    <definedName name="LYReselects" localSheetId="5">#REF!</definedName>
    <definedName name="LYReselects">#REF!</definedName>
    <definedName name="LYReturns" localSheetId="5">#REF!</definedName>
    <definedName name="LYReturns">#REF!</definedName>
    <definedName name="LYSales" localSheetId="5">#REF!</definedName>
    <definedName name="LYSales">#REF!</definedName>
    <definedName name="LYTotal" localSheetId="5">#REF!</definedName>
    <definedName name="LYTotal">#REF!</definedName>
    <definedName name="MARGINPLAN" localSheetId="5">#REF!</definedName>
    <definedName name="MARGINPLAN">#REF!</definedName>
    <definedName name="MARGINPROJ" localSheetId="5">#REF!</definedName>
    <definedName name="MARGINPROJ">#REF!</definedName>
    <definedName name="MODEMS">[18]COMPS!#REF!</definedName>
    <definedName name="n">'[14]10K4'!#REF!</definedName>
    <definedName name="NAME01" localSheetId="5">#REF!</definedName>
    <definedName name="NAME01">#REF!</definedName>
    <definedName name="NAMES">[18]COMPS!#REF!</definedName>
    <definedName name="New" localSheetId="5">{0;0;0;0;1;#N/A;0;0;0.3;0.3;2;FALSE;FALSE;FALSE;FALSE;FALSE;#N/A;1;96;#N/A;#N/A;"";""}</definedName>
    <definedName name="New">{0;0;0;0;1;#N/A;0;0;0.3;0.3;2;FALSE;FALSE;FALSE;FALSE;FALSE;#N/A;1;96;#N/A;#N/A;"";""}</definedName>
    <definedName name="NOTES">[18]COMPS!#REF!</definedName>
    <definedName name="O">[28]인건비!$D$7:$X$65</definedName>
    <definedName name="OUTPUT" localSheetId="5">#REF!</definedName>
    <definedName name="OUTPUT">#REF!</definedName>
    <definedName name="P" localSheetId="5">#REF!</definedName>
    <definedName name="P">#REF!</definedName>
    <definedName name="P_?">'[2]97년추정손익계산서'!$G$6:$G$86</definedName>
    <definedName name="PAGE5" localSheetId="5">[8]COMBINED!#REF!</definedName>
    <definedName name="PAGE5">[8]COMBINED!#REF!</definedName>
    <definedName name="PART">[29]Sheet1!$A$1:$C$83</definedName>
    <definedName name="pc">'[6]1담당0113'!$F$260</definedName>
    <definedName name="PERIOD_END" localSheetId="5">[30]반기_유가증권!#REF!</definedName>
    <definedName name="PERIOD_END">[30]반기_유가증권!#REF!</definedName>
    <definedName name="PL" localSheetId="5">#REF!</definedName>
    <definedName name="PL">#REF!</definedName>
    <definedName name="PRDump" localSheetId="5">#REF!</definedName>
    <definedName name="PRDump">#REF!</definedName>
    <definedName name="premium" localSheetId="5">#REF!</definedName>
    <definedName name="premium">#REF!</definedName>
    <definedName name="PRICE" localSheetId="5">[8]COMBINED!#REF!</definedName>
    <definedName name="PRICE">[8]COMBINED!#REF!</definedName>
    <definedName name="_xlnm.Print_Area" localSheetId="5">#REF!</definedName>
    <definedName name="_xlnm.Print_Area" localSheetId="3">보험손익!$A$1:$I$26</definedName>
    <definedName name="_xlnm.Print_Area" localSheetId="2">요약손익!$A$1:$H$26</definedName>
    <definedName name="_xlnm.Print_Area" localSheetId="6">원수보험료!$A$1:$K$16</definedName>
    <definedName name="_xlnm.Print_Area" localSheetId="4">투자손익!$A$1:$I$38</definedName>
    <definedName name="_xlnm.Print_Area" localSheetId="0">표지!$A$1:$F$23</definedName>
    <definedName name="_xlnm.Print_Area">#REF!</definedName>
    <definedName name="PRINT_AREA_MI" localSheetId="5">#REF!</definedName>
    <definedName name="PRINT_AREA_MI">#REF!</definedName>
    <definedName name="_xlnm.Print_Titles" localSheetId="5">#REF!</definedName>
    <definedName name="_xlnm.Print_Titles">#REF!</definedName>
    <definedName name="print2" localSheetId="5">#REF!</definedName>
    <definedName name="print2">#REF!</definedName>
    <definedName name="printall" localSheetId="5">#REF!</definedName>
    <definedName name="printall">#REF!</definedName>
    <definedName name="print모두">[31]국외감가상각내역0103!$A$1:$J$82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5">[22]손익계산서!#REF!</definedName>
    <definedName name="PY_Cash_Div_Dec">[22]손익계산서!#REF!</definedName>
    <definedName name="PY_Depreciation" localSheetId="5">[22]손익계산서!#REF!</definedName>
    <definedName name="PY_Depreciation">[22]손익계산서!#REF!</definedName>
    <definedName name="PY_Market_Value_of_Equity" localSheetId="5">[22]손익계산서!#REF!</definedName>
    <definedName name="PY_Market_Value_of_Equity">[22]손익계산서!#REF!</definedName>
    <definedName name="PY_Operating_Inc" localSheetId="5">[22]손익계산서!#REF!</definedName>
    <definedName name="PY_Operating_Inc">[22]손익계산서!#REF!</definedName>
    <definedName name="PY_Other_Curr_Assets" localSheetId="5">[22]대차대조표!#REF!</definedName>
    <definedName name="PY_Other_Curr_Assets">[22]대차대조표!#REF!</definedName>
    <definedName name="PY_Other_Exp">[22]손익계산서!#REF!</definedName>
    <definedName name="PY_Other_LT_Assets">[22]대차대조표!#REF!</definedName>
    <definedName name="PY_Other_LT_Liabilities">[22]대차대조표!#REF!</definedName>
    <definedName name="PY_Selling">[22]손익계산서!#REF!</definedName>
    <definedName name="PY_Tangible_Net_Worth">[22]손익계산서!#REF!</definedName>
    <definedName name="PY_Weighted_Average">[22]손익계산서!#REF!</definedName>
    <definedName name="PY_Working_Capital">[22]손익계산서!#REF!</definedName>
    <definedName name="PY2_Cash_Div_Dec">[22]손익계산서!#REF!</definedName>
    <definedName name="PY2_Depreciation">[22]손익계산서!#REF!</definedName>
    <definedName name="PY2_Operating_Inc">[22]손익계산서!#REF!</definedName>
    <definedName name="PY2_Other_Curr_Assets">[22]대차대조표!#REF!</definedName>
    <definedName name="PY2_Other_Exp.">[22]손익계산서!#REF!</definedName>
    <definedName name="PY2_Other_LT_Assets">[22]대차대조표!#REF!</definedName>
    <definedName name="PY2_Other_LT_Liabilities">[22]대차대조표!#REF!</definedName>
    <definedName name="PY2_Selling">[22]손익계산서!#REF!</definedName>
    <definedName name="PY2_Tangible_Net_Worth">[22]손익계산서!#REF!</definedName>
    <definedName name="PY2_Weighted_Average">[22]손익계산서!#REF!</definedName>
    <definedName name="PY2_Working_Capital">[22]손익계산서!#REF!</definedName>
    <definedName name="qw" localSheetId="5">{0;0;0;0;1;#N/A;0;0;0.3;0.3;2;FALSE;FALSE;FALSE;FALSE;FALSE;#N/A;1;100;#N/A;#N/A;"";""}</definedName>
    <definedName name="qw">{0;0;0;0;1;#N/A;0;0;0.3;0.3;2;FALSE;FALSE;FALSE;FALSE;FALSE;#N/A;1;100;#N/A;#N/A;"";""}</definedName>
    <definedName name="qwq" localSheetId="5" hidden="1">{#N/A,#N/A,FALSE,"Aging Summary";#N/A,#N/A,FALSE,"Ratio Analysis";#N/A,#N/A,FALSE,"Test 120 Day Accts";#N/A,#N/A,FALSE,"Tickmarks"}</definedName>
    <definedName name="qwq" hidden="1">{#N/A,#N/A,FALSE,"Aging Summary";#N/A,#N/A,FALSE,"Ratio Analysis";#N/A,#N/A,FALSE,"Test 120 Day Accts";#N/A,#N/A,FALSE,"Tickmarks"}</definedName>
    <definedName name="RA" localSheetId="5">#REF!</definedName>
    <definedName name="RA">#REF!</definedName>
    <definedName name="RATIO" localSheetId="5">[13]WACC!#REF!</definedName>
    <definedName name="RATIO">[13]WACC!#REF!</definedName>
    <definedName name="RawAgencyPrice" localSheetId="5">#REF!</definedName>
    <definedName name="RawAgencyPrice">#REF!</definedName>
    <definedName name="RBData" localSheetId="5">#REF!</definedName>
    <definedName name="RBData">#REF!</definedName>
    <definedName name="_xlnm.Recorder" localSheetId="5">#REF!</definedName>
    <definedName name="_xlnm.Recorder">#REF!</definedName>
    <definedName name="red" localSheetId="5">{0.1;0;0.45;0;0;0;0;0;0.45}</definedName>
    <definedName name="red">{0.1;0;0.45;0;0;0;0;0;0.45}</definedName>
    <definedName name="Reselects" localSheetId="5">#REF!</definedName>
    <definedName name="Reselects">#REF!</definedName>
    <definedName name="reserve" localSheetId="5">#REF!</definedName>
    <definedName name="reserve">#REF!</definedName>
    <definedName name="RESV" localSheetId="5">#REF!</definedName>
    <definedName name="RESV">#REF!</definedName>
    <definedName name="RRRRR">[15]!RRRRR</definedName>
    <definedName name="S_Adjust_Data">[26]Lead!$I$1:$I$5</definedName>
    <definedName name="S_AJE_Tot_Data">[26]Lead!$H$1:$H$5</definedName>
    <definedName name="S_CY_Beg_Data">[26]Lead!$F$1:$F$5</definedName>
    <definedName name="S_CY_End_Data">[26]Lead!$K$1:$K$5</definedName>
    <definedName name="S_PY_End_Data">[26]Lead!$M$1:$M$5</definedName>
    <definedName name="S_RJE_Tot_Data">[26]Lead!$J$1:$J$5</definedName>
    <definedName name="SALESPLAN" localSheetId="5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localSheetId="5" hidden="1">{"'보고양식'!$A$58:$K$111"}</definedName>
    <definedName name="sds" hidden="1">{"'보고양식'!$A$58:$K$111"}</definedName>
    <definedName name="sincode">[32]YHCODE!$B$3:$F$2087</definedName>
    <definedName name="ST">[33]Manual!$B$2</definedName>
    <definedName name="sx" localSheetId="5">{0.1;0;0.382758620689655;0;0;0;0.258620689655172;0;0.258620689655172}</definedName>
    <definedName name="sx">{0.1;0;0.382758620689655;0;0;0;0.258620689655172;0;0.258620689655172}</definedName>
    <definedName name="t">[34]준비금_과거지급율이용!#REF!</definedName>
    <definedName name="Table" localSheetId="5">#REF!</definedName>
    <definedName name="Table">#REF!</definedName>
    <definedName name="Table1" localSheetId="5">#REF!</definedName>
    <definedName name="Table1">#REF!</definedName>
    <definedName name="TAX" localSheetId="5">[8]VALSTAT!#REF!</definedName>
    <definedName name="TAX">[8]VALSTAT!#REF!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xtRefCopyRangeCount" hidden="1">5</definedName>
    <definedName name="Tl">[15]!PRT6BN5BT41</definedName>
    <definedName name="unearn" localSheetId="5">#REF!</definedName>
    <definedName name="unearn">#REF!</definedName>
    <definedName name="USBS">'[35]US Codes'!$A$6:$B$639</definedName>
    <definedName name="USIS">'[35]US Codes'!$D$6:$E$795</definedName>
    <definedName name="usis1">'[36]US Codes'!$D$6:$E$795</definedName>
    <definedName name="vfdgvfdgdf">[17]f_IS!$A$4:$D$55</definedName>
    <definedName name="vsv" localSheetId="5" hidden="1">{"'보고양식'!$A$58:$K$111"}</definedName>
    <definedName name="vsv" hidden="1">{"'보고양식'!$A$58:$K$111"}</definedName>
    <definedName name="wcwc" localSheetId="5" hidden="1">{"'보고양식'!$A$58:$K$111"}</definedName>
    <definedName name="wcwc" hidden="1">{"'보고양식'!$A$58:$K$111"}</definedName>
    <definedName name="wedfg" localSheetId="5">{0;0;0;0;1;#N/A;0;0;0.3;0.3;2;FALSE;FALSE;FALSE;FALSE;FALSE;#N/A;1;100;#N/A;#N/A;"";""}</definedName>
    <definedName name="wedfg">{0;0;0;0;1;#N/A;0;0;0.3;0.3;2;FALSE;FALSE;FALSE;FALSE;FALSE;#N/A;1;100;#N/A;#N/A;"";""}</definedName>
    <definedName name="wefsdgf4" localSheetId="5">{0.1;0;0.382758620689655;0;0;0;0.258620689655172;0;0.258620689655172}</definedName>
    <definedName name="wefsdgf4">{0.1;0;0.382758620689655;0;0;0;0.258620689655172;0;0.258620689655172}</definedName>
    <definedName name="werdf" localSheetId="5">{0;0;0;0;1;#N/A;0;0;0.3;0.3;2;FALSE;FALSE;FALSE;FALSE;FALSE;#N/A;1;96;#N/A;#N/A;"";""}</definedName>
    <definedName name="werdf">{0;0;0;0;1;#N/A;0;0;0.3;0.3;2;FALSE;FALSE;FALSE;FALSE;FALSE;#N/A;1;96;#N/A;#N/A;"";""}</definedName>
    <definedName name="worksheet">[37]!worksheet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5" hidden="1">{#N/A,#N/A,FALSE,"Sheet1";#N/A,#N/A,FALSE,"기평9607"}</definedName>
    <definedName name="wrn.보고서." hidden="1">{#N/A,#N/A,FALSE,"Sheet1";#N/A,#N/A,FALSE,"기평9607"}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5" hidden="1">{"'보고양식'!$A$58:$K$111"}</definedName>
    <definedName name="ws" hidden="1">{"'보고양식'!$A$58:$K$111"}</definedName>
    <definedName name="xaaz" localSheetId="5" hidden="1">{"'보고양식'!$A$58:$K$111"}</definedName>
    <definedName name="xaaz" hidden="1">{"'보고양식'!$A$58:$K$111"}</definedName>
    <definedName name="xaxc" localSheetId="5" hidden="1">{#N/A,#N/A,FALSE,"Aging Summary";#N/A,#N/A,FALSE,"Ratio Analysis";#N/A,#N/A,FALSE,"Test 120 Day Accts";#N/A,#N/A,FALSE,"Tickmarks"}</definedName>
    <definedName name="xaxc" hidden="1">{#N/A,#N/A,FALSE,"Aging Summary";#N/A,#N/A,FALSE,"Ratio Analysis";#N/A,#N/A,FALSE,"Test 120 Day Accts";#N/A,#N/A,FALSE,"Tickmarks"}</definedName>
    <definedName name="xsaxsa" localSheetId="5" hidden="1">{#N/A,#N/A,FALSE,"Aging Summary";#N/A,#N/A,FALSE,"Ratio Analysis";#N/A,#N/A,FALSE,"Test 120 Day Accts";#N/A,#N/A,FALSE,"Tickmarks"}</definedName>
    <definedName name="xsaxsa" hidden="1">{#N/A,#N/A,FALSE,"Aging Summary";#N/A,#N/A,FALSE,"Ratio Analysis";#N/A,#N/A,FALSE,"Test 120 Day Accts";#N/A,#N/A,FALSE,"Tickmarks"}</definedName>
    <definedName name="xssx" localSheetId="5" hidden="1">{"'보고양식'!$A$58:$K$111"}</definedName>
    <definedName name="xssx" hidden="1">{"'보고양식'!$A$58:$K$111"}</definedName>
    <definedName name="xwqq" localSheetId="5" hidden="1">{#N/A,#N/A,FALSE,"Aging Summary";#N/A,#N/A,FALSE,"Ratio Analysis";#N/A,#N/A,FALSE,"Test 120 Day Accts";#N/A,#N/A,FALSE,"Tickmarks"}</definedName>
    <definedName name="xwqq" hidden="1">{#N/A,#N/A,FALSE,"Aging Summary";#N/A,#N/A,FALSE,"Ratio Analysis";#N/A,#N/A,FALSE,"Test 120 Day Accts";#N/A,#N/A,FALSE,"Tickmarks"}</definedName>
    <definedName name="xwqxsax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yhbscode">[32]YHCODE!$A$5:$F$1022</definedName>
    <definedName name="yhplcode">[32]YHCODE!$A$1023:$F$2089</definedName>
    <definedName name="z" localSheetId="5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c" localSheetId="5">{0;0;0;0;1;#N/A;0;0;0.3;0.3;2;FALSE;FALSE;FALSE;FALSE;FALSE;#N/A;1;#N/A;1;1;"";""}</definedName>
    <definedName name="zxc">{0;0;0;0;1;#N/A;0;0;0.3;0.3;2;FALSE;FALSE;FALSE;FALSE;FALSE;#N/A;1;#N/A;1;1;"";""}</definedName>
    <definedName name="Ε_샥dⅨ" localSheetId="5">#REF!</definedName>
    <definedName name="Ε_샥dⅨ">#REF!</definedName>
    <definedName name="ㄱ1" localSheetId="5">#REF!</definedName>
    <definedName name="ㄱ1">#REF!</definedName>
    <definedName name="가" localSheetId="5">[38]이익처분!#REF!</definedName>
    <definedName name="가">[38]이익처분!#REF!</definedName>
    <definedName name="가9504" localSheetId="5">[39]성적표96!#REF!</definedName>
    <definedName name="가9504">[39]성적표96!#REF!</definedName>
    <definedName name="가계대변">'[40]합동별(기표용)'!$Z:$Z</definedName>
    <definedName name="가계차변">'[40]합동별(기표용)'!$E:$E</definedName>
    <definedName name="가구">'[6]1담당0113'!$F$134</definedName>
    <definedName name="가구1">'[6]2담당0113'!$F$267</definedName>
    <definedName name="가나다" localSheetId="5">#REF!</definedName>
    <definedName name="가나다">#REF!</definedName>
    <definedName name="가맹점" localSheetId="5">#REF!</definedName>
    <definedName name="가맹점">#REF!</definedName>
    <definedName name="감가상각OT">[15]!감가상각OT</definedName>
    <definedName name="갑지자동">[41]갑지!$B$15,[41]갑지!$J$6,[41]갑지!$R$6,[41]갑지!$Z$6,[41]갑지!$AH$6,[41]갑지!$AP$6,[41]갑지!$AX$6</definedName>
    <definedName name="개발대변">'[40]합동별(기표용)'!$AA:$AA</definedName>
    <definedName name="개발차변">'[40]합동별(기표용)'!$F:$F</definedName>
    <definedName name="개인대변">'[40]합동별(기표용)'!$AF:$AF</definedName>
    <definedName name="개인차변">'[40]합동별(기표용)'!$K:$K</definedName>
    <definedName name="거래처명1" localSheetId="5">#REF!</definedName>
    <definedName name="거래처명1">#REF!</definedName>
    <definedName name="건전성" hidden="1">[42]연체대출!$A$9:$A$92</definedName>
    <definedName name="결산일">[43]정의!$B$4</definedName>
    <definedName name="경과회차">[44]INSTRUMENT!$B$27</definedName>
    <definedName name="경험위험보험금지급율" localSheetId="5">[45]INSTRUMENT!#REF!</definedName>
    <definedName name="경험위험보험금지급율">[45]INSTRUMENT!#REF!</definedName>
    <definedName name="계정1" localSheetId="5">#REF!</definedName>
    <definedName name="계정1">#REF!</definedName>
    <definedName name="계정11" localSheetId="5">#REF!</definedName>
    <definedName name="계정11">#REF!</definedName>
    <definedName name="계정2" localSheetId="5">#REF!</definedName>
    <definedName name="계정2">#REF!</definedName>
    <definedName name="계정3" localSheetId="5">#REF!</definedName>
    <definedName name="계정3">#REF!</definedName>
    <definedName name="계정4" localSheetId="5">#REF!</definedName>
    <definedName name="계정4">#REF!</definedName>
    <definedName name="고1" localSheetId="5">#REF!</definedName>
    <definedName name="고1">#REF!</definedName>
    <definedName name="고2" localSheetId="5">#REF!</definedName>
    <definedName name="고2">#REF!</definedName>
    <definedName name="고3" localSheetId="5">#REF!</definedName>
    <definedName name="고3">#REF!</definedName>
    <definedName name="고4" localSheetId="5">#REF!</definedName>
    <definedName name="고4">#REF!</definedName>
    <definedName name="고5" localSheetId="5">#REF!</definedName>
    <definedName name="고5">#REF!</definedName>
    <definedName name="고6" localSheetId="5">#REF!</definedName>
    <definedName name="고6">#REF!</definedName>
    <definedName name="구분" localSheetId="5">#REF!:#REF!</definedName>
    <definedName name="구분">#REF!:#REF!</definedName>
    <definedName name="국가별" localSheetId="5">#REF!</definedName>
    <definedName name="국가별">#REF!</definedName>
    <definedName name="국민주대변">'[40]합동별(기표용)'!$AO:$AO</definedName>
    <definedName name="국민주차변">'[40]합동별(기표용)'!$T:$T</definedName>
    <definedName name="국산차">'[6]1담당0113'!$F$78</definedName>
    <definedName name="국산차1">'[6]2담당0113'!$F$119</definedName>
    <definedName name="군" localSheetId="5">#REF!</definedName>
    <definedName name="군">#REF!</definedName>
    <definedName name="군2" localSheetId="5">#REF!</definedName>
    <definedName name="군2">#REF!</definedName>
    <definedName name="근로대변">'[40]합동별(기표용)'!$AH:$AH</definedName>
    <definedName name="근로차변">'[40]합동별(기표용)'!$M:$M</definedName>
    <definedName name="금액단위" localSheetId="5">#REF!</definedName>
    <definedName name="금액단위">#REF!</definedName>
    <definedName name="금채단대변">'[40]합동별(기표용)'!$AR:$AR</definedName>
    <definedName name="금채단차변">'[40]합동별(기표용)'!$W:$W</definedName>
    <definedName name="급여10" localSheetId="5">'[46]Sheet1 (2)'!#REF!</definedName>
    <definedName name="급여10">'[46]Sheet1 (2)'!#REF!</definedName>
    <definedName name="급여11" localSheetId="5">'[46]Sheet1 (2)'!#REF!</definedName>
    <definedName name="급여11">'[46]Sheet1 (2)'!#REF!</definedName>
    <definedName name="기업대변">'[40]합동별(기표용)'!$AC:$AC</definedName>
    <definedName name="기업분류1" localSheetId="5">#REF!</definedName>
    <definedName name="기업분류1">#REF!</definedName>
    <definedName name="기업분류2" localSheetId="5">#REF!</definedName>
    <definedName name="기업분류2">#REF!</definedName>
    <definedName name="기업분류3" localSheetId="5">#REF!</definedName>
    <definedName name="기업분류3">#REF!</definedName>
    <definedName name="기업분류4" localSheetId="5">#REF!</definedName>
    <definedName name="기업분류4">#REF!</definedName>
    <definedName name="기업차변">'[40]합동별(기표용)'!$H:$H</definedName>
    <definedName name="기준일" localSheetId="5">'[47]대지급금(외화)'!#REF!</definedName>
    <definedName name="기준일">'[47]대지급금(외화)'!#REF!</definedName>
    <definedName name="기타">'[6]1담당0113'!$F$265</definedName>
    <definedName name="기타1">'[6]2담당0113'!$F$475</definedName>
    <definedName name="ㄴㄴ" localSheetId="5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5">[39]성적표96!#REF!</definedName>
    <definedName name="나9504">[39]성적표96!#REF!</definedName>
    <definedName name="남석" localSheetId="5">#REF!</definedName>
    <definedName name="남석">#REF!</definedName>
    <definedName name="남양" localSheetId="5">#REF!</definedName>
    <definedName name="남양">#REF!</definedName>
    <definedName name="남채" localSheetId="5">#REF!</definedName>
    <definedName name="남채">#REF!</definedName>
    <definedName name="냉난방">'[6]1담당0113'!$F$181</definedName>
    <definedName name="냉난방1">'[6]2담당0113'!$F$323</definedName>
    <definedName name="노후대변">'[40]합동별(기표용)'!$AB:$AB</definedName>
    <definedName name="노후차변">'[40]합동별(기표용)'!$G:$G</definedName>
    <definedName name="ㄷㄴ밈" localSheetId="5">{0;0;0;0;1;#N/A;0;0;0.3;0.3;2;FALSE;FALSE;FALSE;FALSE;FALSE;#N/A;1;96;#N/A;#N/A;"";""}</definedName>
    <definedName name="ㄷㄴ밈">{0;0;0;0;1;#N/A;0;0;0.3;0.3;2;FALSE;FALSE;FALSE;FALSE;FALSE;#N/A;1;96;#N/A;#N/A;"";""}</definedName>
    <definedName name="다9504">[39]성적표96!#REF!</definedName>
    <definedName name="단위대변">'[40]합동별(기표용)'!$AJ:$AJ</definedName>
    <definedName name="단위차변">'[40]합동별(기표용)'!$O:$O</definedName>
    <definedName name="담보" localSheetId="5">#REF!</definedName>
    <definedName name="담보">#REF!</definedName>
    <definedName name="대미환율" localSheetId="5">#REF!</definedName>
    <definedName name="대미환율">#REF!</definedName>
    <definedName name="대변합계">'[40]합동별(기표용)'!$AU:$AU</definedName>
    <definedName name="대손상각회수실적" localSheetId="5">{0;0;0;0;1;#N/A;0;0;0.3;0.3;2;FALSE;FALSE;FALSE;FALSE;FALSE;#N/A;1;96;#N/A;#N/A;"";""}</definedName>
    <definedName name="대손상각회수실적">{0;0;0;0;1;#N/A;0;0;0.3;0.3;2;FALSE;FALSE;FALSE;FALSE;FALSE;#N/A;1;96;#N/A;#N/A;"";""}</definedName>
    <definedName name="대손준비금">[48]종합일지!#REF!</definedName>
    <definedName name="대열기계" localSheetId="5">#REF!</definedName>
    <definedName name="대열기계">#REF!</definedName>
    <definedName name="대출분류1" localSheetId="5">#REF!</definedName>
    <definedName name="대출분류1">#REF!</definedName>
    <definedName name="대출분류2" localSheetId="5">#REF!</definedName>
    <definedName name="대출분류2">#REF!</definedName>
    <definedName name="대출분류3" localSheetId="5">#REF!</definedName>
    <definedName name="대출분류3">#REF!</definedName>
    <definedName name="대출분류4" localSheetId="5">#REF!</definedName>
    <definedName name="대출분류4">#REF!</definedName>
    <definedName name="라마바" localSheetId="5">#REF!</definedName>
    <definedName name="라마바">#REF!</definedName>
    <definedName name="ㅁ1" localSheetId="5">#REF!</definedName>
    <definedName name="ㅁ1">#REF!</definedName>
    <definedName name="ㅁㅁ" localSheetId="5">#REF!</definedName>
    <definedName name="ㅁㅁ">#REF!</definedName>
    <definedName name="ㅁㅁㅁ" hidden="1">[11]LIST!#REF!</definedName>
    <definedName name="만기구조1" localSheetId="5">#REF!</definedName>
    <definedName name="만기구조1">#REF!</definedName>
    <definedName name="만기구조3" localSheetId="5">#REF!</definedName>
    <definedName name="만기구조3">#REF!</definedName>
    <definedName name="매각일자" localSheetId="5">#REF!</definedName>
    <definedName name="매각일자">#REF!</definedName>
    <definedName name="매출원가" localSheetId="5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5">#REF!</definedName>
    <definedName name="문의처">#REF!</definedName>
    <definedName name="미ㅣ" localSheetId="5">{0;0;0;0;1;#N/A;0;0;0.3;0.3;2;FALSE;FALSE;FALSE;FALSE;FALSE;#N/A;1;96;#N/A;#N/A;"";""}</definedName>
    <definedName name="미ㅣ">{0;0;0;0;1;#N/A;0;0;0.3;0.3;2;FALSE;FALSE;FALSE;FALSE;FALSE;#N/A;1;96;#N/A;#N/A;"";""}</definedName>
    <definedName name="ㅂㅂ" hidden="1">[49]계속!#REF!</definedName>
    <definedName name="박광호">[50]LIST!#REF!</definedName>
    <definedName name="박스">[51]분당임차변경!#REF!</definedName>
    <definedName name="밤">[52]basic_info!$C$3</definedName>
    <definedName name="배당율1" localSheetId="5">#REF!</definedName>
    <definedName name="배당율1">#REF!</definedName>
    <definedName name="배당율2" localSheetId="5">#REF!</definedName>
    <definedName name="배당율2">#REF!</definedName>
    <definedName name="범위" localSheetId="5">#REF!</definedName>
    <definedName name="범위">#REF!</definedName>
    <definedName name="변경전" localSheetId="5" hidden="1">{"'보고양식'!$A$58:$K$111"}</definedName>
    <definedName name="변경전" hidden="1">{"'보고양식'!$A$58:$K$111"}</definedName>
    <definedName name="보증분류2" localSheetId="5">#REF!</definedName>
    <definedName name="보증분류2">#REF!</definedName>
    <definedName name="보증분류3" localSheetId="5">#REF!</definedName>
    <definedName name="보증분류3">#REF!</definedName>
    <definedName name="보증분류4" localSheetId="5">#REF!</definedName>
    <definedName name="보증분류4">#REF!</definedName>
    <definedName name="보험기간">[44]INSTRUMENT!$B$22</definedName>
    <definedName name="복사기">'[6]1담당0113'!$F$268</definedName>
    <definedName name="복사기1">'[6]2담당0113'!$F$433</definedName>
    <definedName name="봉석" localSheetId="5">#REF!</definedName>
    <definedName name="봉석">#REF!</definedName>
    <definedName name="부동산대변">'[40]합동별(기표용)'!$AP:$AP</definedName>
    <definedName name="부동산차변">'[40]합동별(기표용)'!$U:$U</definedName>
    <definedName name="부분별수지1" localSheetId="5">#REF!</definedName>
    <definedName name="부분별수지1">#REF!</definedName>
    <definedName name="부분별수지2" localSheetId="5">#REF!</definedName>
    <definedName name="부분별수지2">#REF!</definedName>
    <definedName name="부분별수지3" localSheetId="5">#REF!</definedName>
    <definedName name="부분별수지3">#REF!</definedName>
    <definedName name="부분별수지4" localSheetId="5">#REF!</definedName>
    <definedName name="부분별수지4">#REF!</definedName>
    <definedName name="부분별수지5" localSheetId="5">#REF!</definedName>
    <definedName name="부분별수지5">#REF!</definedName>
    <definedName name="부분별수지6" localSheetId="5">#REF!</definedName>
    <definedName name="부분별수지6">#REF!</definedName>
    <definedName name="부분별수지7" localSheetId="5">#REF!</definedName>
    <definedName name="부분별수지7">#REF!</definedName>
    <definedName name="부분별수지8" localSheetId="5">#REF!</definedName>
    <definedName name="부분별수지8">#REF!</definedName>
    <definedName name="북채" localSheetId="5">#REF!</definedName>
    <definedName name="북채">#REF!</definedName>
    <definedName name="분개" localSheetId="5">#REF!</definedName>
    <definedName name="분개">#REF!</definedName>
    <definedName name="분석" localSheetId="5">#REF!</definedName>
    <definedName name="분석">#REF!</definedName>
    <definedName name="불특대변">'[40]합동별(기표용)'!$Y:$Y</definedName>
    <definedName name="불특차변">'[40]합동별(기표용)'!$D:$D</definedName>
    <definedName name="비교대차대조표" localSheetId="5">#REF!</definedName>
    <definedName name="비교대차대조표">#REF!</definedName>
    <definedName name="사모분류1" localSheetId="5">#REF!</definedName>
    <definedName name="사모분류1">#REF!</definedName>
    <definedName name="사모분류2" localSheetId="5">#REF!</definedName>
    <definedName name="사모분류2">#REF!</definedName>
    <definedName name="사모분류3" localSheetId="5">#REF!</definedName>
    <definedName name="사모분류3">#REF!</definedName>
    <definedName name="사모분류4" localSheetId="5">#REF!</definedName>
    <definedName name="사모분류4">#REF!</definedName>
    <definedName name="사업계획">[53]대환취급!$A$1:$N$3416</definedName>
    <definedName name="상계표" localSheetId="5">#REF!</definedName>
    <definedName name="상계표">#REF!</definedName>
    <definedName name="샘플">'[46]Sheet1 (2)'!$D$240:$D$244</definedName>
    <definedName name="샘플2">'[46]Sheet1 (2)'!$D$246:$D$248</definedName>
    <definedName name="세율" localSheetId="5">#REF!</definedName>
    <definedName name="세율">#REF!</definedName>
    <definedName name="손익개정">'[15]신용_주식세부명세표 (2)'!손익개정</definedName>
    <definedName name="수보누계" localSheetId="5">#REF!</definedName>
    <definedName name="수보누계">#REF!</definedName>
    <definedName name="수익증권1" localSheetId="5">#REF!</definedName>
    <definedName name="수익증권1">#REF!</definedName>
    <definedName name="수익증권2" localSheetId="5">#REF!</definedName>
    <definedName name="수익증권2">#REF!</definedName>
    <definedName name="수익증권3" localSheetId="5">#REF!</definedName>
    <definedName name="수익증권3">#REF!</definedName>
    <definedName name="수익증권4" localSheetId="5">#REF!</definedName>
    <definedName name="수익증권4">#REF!</definedName>
    <definedName name="수익증권5" localSheetId="5">#REF!</definedName>
    <definedName name="수익증권5">#REF!</definedName>
    <definedName name="수익증권6" localSheetId="5">#REF!</definedName>
    <definedName name="수익증권6">#REF!</definedName>
    <definedName name="수익증권7" localSheetId="5">#REF!</definedName>
    <definedName name="수익증권7">#REF!</definedName>
    <definedName name="수익증권8" localSheetId="5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5">#REF!</definedName>
    <definedName name="수탁만기1">#REF!</definedName>
    <definedName name="수탁만기2" localSheetId="5">#REF!</definedName>
    <definedName name="수탁만기2">#REF!</definedName>
    <definedName name="수탁만기3" localSheetId="5">#REF!</definedName>
    <definedName name="수탁만기3">#REF!</definedName>
    <definedName name="수탁만기4" localSheetId="5">#REF!</definedName>
    <definedName name="수탁만기4">#REF!</definedName>
    <definedName name="승부">'[46]Sheet1 (2)'!$F$2:$F$676</definedName>
    <definedName name="승부2">'[46]Sheet1 (2)'!$G$2:$G$649</definedName>
    <definedName name="신개인대변">'[40]합동별(기표용)'!$AM:$AM</definedName>
    <definedName name="신개인차변">'[40]합동별(기표용)'!$R:$R</definedName>
    <definedName name="신노후대변">'[40]합동별(기표용)'!$AN:$AN</definedName>
    <definedName name="신노후차변">'[40]합동별(기표용)'!$S:$S</definedName>
    <definedName name="신종대변">'[40]합동별(기표용)'!$AI:$AI</definedName>
    <definedName name="신종차변">'[40]합동별(기표용)'!$N:$N</definedName>
    <definedName name="ㅇ" localSheetId="5" hidden="1">[49]계속!#REF!</definedName>
    <definedName name="ㅇ" hidden="1">[49]계속!#REF!</definedName>
    <definedName name="ㅇㄴㄻ">[54]대환취급!$A$1:$N$3416</definedName>
    <definedName name="ㅇㅀㄴㅇㅀ">[54]대환취급!$A$1:$N$3416</definedName>
    <definedName name="ㅇㅁㅇㄻㅇㅁㄴㄹㅇ">[55]합병BS!$B$1:$E$337</definedName>
    <definedName name="ㅇㅇㅇ">[56]f_BS!$A$4:$E$43</definedName>
    <definedName name="아러닐" localSheetId="5">#REF!</definedName>
    <definedName name="아러닐">#REF!</definedName>
    <definedName name="악기">'[6]1담당0113'!$F$175</definedName>
    <definedName name="악기1">'[6]2담당0113'!$F$300</definedName>
    <definedName name="여신" localSheetId="5">#REF!</definedName>
    <definedName name="여신">#REF!</definedName>
    <definedName name="연금대변">'[40]합동별(기표용)'!$AE:$AE</definedName>
    <definedName name="연금차변">'[40]합동별(기표용)'!$J:$J</definedName>
    <definedName name="연체" localSheetId="5">{0.1;0;0.382758620689655;0;0;0;0.258620689655172;0;0.258620689655172}</definedName>
    <definedName name="연체">{0.1;0;0.382758620689655;0;0;0;0.258620689655172;0;0.258620689655172}</definedName>
    <definedName name="연체조회">[37]!연체조회</definedName>
    <definedName name="영업외비용">#N/A</definedName>
    <definedName name="요1" localSheetId="5">#REF!</definedName>
    <definedName name="요1">#REF!</definedName>
    <definedName name="요2" localSheetId="5">#REF!</definedName>
    <definedName name="요2">#REF!</definedName>
    <definedName name="요3" localSheetId="5">#REF!</definedName>
    <definedName name="요3">#REF!</definedName>
    <definedName name="요4" localSheetId="5">#REF!</definedName>
    <definedName name="요4">#REF!</definedName>
    <definedName name="웃겨">[15]!prt6bv7cc30</definedName>
    <definedName name="유가분류1" localSheetId="5">#REF!</definedName>
    <definedName name="유가분류1">#REF!</definedName>
    <definedName name="유가분류2" localSheetId="5">#REF!</definedName>
    <definedName name="유가분류2">#REF!</definedName>
    <definedName name="유가분류3" localSheetId="5">#REF!</definedName>
    <definedName name="유가분류3">#REF!</definedName>
    <definedName name="유가분류4" localSheetId="5">#REF!</definedName>
    <definedName name="유가분류4">#REF!</definedName>
    <definedName name="을지자동">[41]실행!$B$6,[41]실행!$J$6,[41]실행!$R$6,[41]실행!$Z$6,[41]실행!$AH$6,[41]실행!$AP$6,[41]실행!$AX$6</definedName>
    <definedName name="이륜차1">'[6]2담당0113'!$F$257</definedName>
    <definedName name="이자수익OVERALL">#N/A</definedName>
    <definedName name="일산100" localSheetId="5">#REF!</definedName>
    <definedName name="일산100">#REF!</definedName>
    <definedName name="임시" localSheetId="5">[39]성적표96!#REF!</definedName>
    <definedName name="임시">[39]성적표96!#REF!</definedName>
    <definedName name="자산건전성" localSheetId="5">#REF!</definedName>
    <definedName name="자산건전성">#REF!</definedName>
    <definedName name="잔존만기" localSheetId="5">#REF!</definedName>
    <definedName name="잔존만기">#REF!</definedName>
    <definedName name="장기대변">'[40]합동별(기표용)'!$AG:$AG</definedName>
    <definedName name="장기조정" localSheetId="5" hidden="1">{"'보고양식'!$A$58:$K$111"}</definedName>
    <definedName name="장기조정" hidden="1">{"'보고양식'!$A$58:$K$111"}</definedName>
    <definedName name="장기차변">'[40]합동별(기표용)'!$L:$L</definedName>
    <definedName name="재분류">'[40]합동별(기표용)'!$A:$A</definedName>
    <definedName name="적립대변">'[40]합동별(기표용)'!$AD:$AD</definedName>
    <definedName name="적립차변">'[40]합동별(기표용)'!$I:$I</definedName>
    <definedName name="전기" localSheetId="5">#REF!</definedName>
    <definedName name="전기">#REF!</definedName>
    <definedName name="정산일자" localSheetId="5">#REF!</definedName>
    <definedName name="정산일자">#REF!</definedName>
    <definedName name="정상" localSheetId="5">#REF!</definedName>
    <definedName name="정상">#REF!</definedName>
    <definedName name="제조" localSheetId="5" hidden="1">#REF!</definedName>
    <definedName name="제조" hidden="1">#REF!</definedName>
    <definedName name="조달운용1" localSheetId="5">#REF!</definedName>
    <definedName name="조달운용1">#REF!</definedName>
    <definedName name="조달운용10" localSheetId="5">#REF!</definedName>
    <definedName name="조달운용10">#REF!</definedName>
    <definedName name="조달운용11" localSheetId="5">#REF!</definedName>
    <definedName name="조달운용11">#REF!</definedName>
    <definedName name="조달운용12" localSheetId="5">#REF!</definedName>
    <definedName name="조달운용12">#REF!</definedName>
    <definedName name="조달운용2" localSheetId="5">#REF!</definedName>
    <definedName name="조달운용2">#REF!</definedName>
    <definedName name="조달운용3" localSheetId="5">#REF!</definedName>
    <definedName name="조달운용3">#REF!</definedName>
    <definedName name="조달운용4" localSheetId="5">#REF!</definedName>
    <definedName name="조달운용4">#REF!</definedName>
    <definedName name="조달운용5" localSheetId="5">#REF!</definedName>
    <definedName name="조달운용5">#REF!</definedName>
    <definedName name="조달운용6" localSheetId="5">#REF!</definedName>
    <definedName name="조달운용6">#REF!</definedName>
    <definedName name="조달운용7" localSheetId="5">#REF!</definedName>
    <definedName name="조달운용7">#REF!</definedName>
    <definedName name="조달운용8" localSheetId="5">#REF!</definedName>
    <definedName name="조달운용8">#REF!</definedName>
    <definedName name="조달운용9" localSheetId="5">#REF!</definedName>
    <definedName name="조달운용9">#REF!</definedName>
    <definedName name="조회금액" localSheetId="5">#REF!</definedName>
    <definedName name="조회금액">#REF!</definedName>
    <definedName name="조회인" localSheetId="5">#REF!</definedName>
    <definedName name="조회인">#REF!</definedName>
    <definedName name="조회일자" localSheetId="5">#REF!</definedName>
    <definedName name="조회일자">#REF!</definedName>
    <definedName name="종합수지1" localSheetId="5">#REF!</definedName>
    <definedName name="종합수지1">#REF!</definedName>
    <definedName name="종합수지2" localSheetId="5">#REF!</definedName>
    <definedName name="종합수지2">#REF!</definedName>
    <definedName name="종합수지3" localSheetId="5">#REF!</definedName>
    <definedName name="종합수지3">#REF!</definedName>
    <definedName name="종합수지4" localSheetId="5">#REF!</definedName>
    <definedName name="종합수지4">#REF!</definedName>
    <definedName name="주식1" localSheetId="5">#REF!</definedName>
    <definedName name="주식1">#REF!</definedName>
    <definedName name="주식2" localSheetId="5">#REF!</definedName>
    <definedName name="주식2">#REF!</definedName>
    <definedName name="주식3" localSheetId="5">#REF!</definedName>
    <definedName name="주식3">#REF!</definedName>
    <definedName name="주식4" localSheetId="5">#REF!</definedName>
    <definedName name="주식4">#REF!</definedName>
    <definedName name="주식5" localSheetId="5">#REF!</definedName>
    <definedName name="주식5">#REF!</definedName>
    <definedName name="주식6" localSheetId="5">#REF!</definedName>
    <definedName name="주식6">#REF!</definedName>
    <definedName name="주식7" localSheetId="5">#REF!</definedName>
    <definedName name="주식7">#REF!</definedName>
    <definedName name="주식8" localSheetId="5">#REF!</definedName>
    <definedName name="주식8">#REF!</definedName>
    <definedName name="주식한도1" localSheetId="5">#REF!</definedName>
    <definedName name="주식한도1">#REF!</definedName>
    <definedName name="주식한도2" localSheetId="5">#REF!</definedName>
    <definedName name="주식한도2">#REF!</definedName>
    <definedName name="주식한도3" localSheetId="5">#REF!</definedName>
    <definedName name="주식한도3">#REF!</definedName>
    <definedName name="주식한도4" localSheetId="5">#REF!</definedName>
    <definedName name="주식한도4">#REF!</definedName>
    <definedName name="주식한도5" localSheetId="5">#REF!</definedName>
    <definedName name="주식한도5">#REF!</definedName>
    <definedName name="주식한도6" localSheetId="5">#REF!</definedName>
    <definedName name="주식한도6">#REF!</definedName>
    <definedName name="주식한도7" localSheetId="5">#REF!</definedName>
    <definedName name="주식한도7">#REF!</definedName>
    <definedName name="주식한도8" localSheetId="5">#REF!</definedName>
    <definedName name="주식한도8">#REF!</definedName>
    <definedName name="중고차">'[6]1담당0113'!$F$129</definedName>
    <definedName name="중고차1">'[6]2담당0113'!$F$255</definedName>
    <definedName name="증권사" localSheetId="5">#REF!</definedName>
    <definedName name="증권사">#REF!</definedName>
    <definedName name="증권사1" localSheetId="5">#REF!</definedName>
    <definedName name="증권사1">#REF!</definedName>
    <definedName name="증권사12" localSheetId="5">#REF!</definedName>
    <definedName name="증권사12">#REF!</definedName>
    <definedName name="지급1" localSheetId="5">[57]보험금!#REF!</definedName>
    <definedName name="지급1">[57]보험금!#REF!</definedName>
    <definedName name="지급10" localSheetId="5">[57]보험금!#REF!</definedName>
    <definedName name="지급10">[57]보험금!#REF!</definedName>
    <definedName name="지급2" localSheetId="5">[57]보험금!#REF!</definedName>
    <definedName name="지급2">[57]보험금!#REF!</definedName>
    <definedName name="지급3" localSheetId="5">[57]보험금!#REF!</definedName>
    <definedName name="지급3">[57]보험금!#REF!</definedName>
    <definedName name="지급4">[57]보험금!#REF!</definedName>
    <definedName name="지급5">[57]보험금!#REF!</definedName>
    <definedName name="지급6">[57]보험금!#REF!</definedName>
    <definedName name="지급7">[57]보험금!#REF!</definedName>
    <definedName name="지급8">[57]보험금!#REF!</definedName>
    <definedName name="지급9">[57]보험금!#REF!</definedName>
    <definedName name="지보7" localSheetId="5">#REF!</definedName>
    <definedName name="지보7">#REF!</definedName>
    <definedName name="지보약" localSheetId="5">#REF!</definedName>
    <definedName name="지보약">#REF!</definedName>
    <definedName name="지점장이름" localSheetId="5">#REF!</definedName>
    <definedName name="지점장이름">#REF!</definedName>
    <definedName name="ㅊㅊ" localSheetId="5">#REF!</definedName>
    <definedName name="ㅊㅊ">#REF!</definedName>
    <definedName name="차변합계">'[40]합동별(기표용)'!$AT:$AT</definedName>
    <definedName name="채권상각1" localSheetId="5">#REF!</definedName>
    <definedName name="채권상각1">#REF!</definedName>
    <definedName name="채권상각10" localSheetId="5">#REF!</definedName>
    <definedName name="채권상각10">#REF!</definedName>
    <definedName name="채권상각11" localSheetId="5">#REF!</definedName>
    <definedName name="채권상각11">#REF!</definedName>
    <definedName name="채권상각2" localSheetId="5">#REF!</definedName>
    <definedName name="채권상각2">#REF!</definedName>
    <definedName name="채권상각3" localSheetId="5">#REF!</definedName>
    <definedName name="채권상각3">#REF!</definedName>
    <definedName name="채권상각4" localSheetId="5">#REF!</definedName>
    <definedName name="채권상각4">#REF!</definedName>
    <definedName name="채권상각5" localSheetId="5">#REF!</definedName>
    <definedName name="채권상각5">#REF!</definedName>
    <definedName name="채권상각6" localSheetId="5">#REF!</definedName>
    <definedName name="채권상각6">#REF!</definedName>
    <definedName name="채권상각7" localSheetId="5">#REF!</definedName>
    <definedName name="채권상각7">#REF!</definedName>
    <definedName name="채권상각8" localSheetId="5">#REF!</definedName>
    <definedName name="채권상각8">#REF!</definedName>
    <definedName name="채권상각9" localSheetId="5">#REF!</definedName>
    <definedName name="채권상각9">#REF!</definedName>
    <definedName name="책임분담" localSheetId="5">{0.1;0;0.45;0;0;0;0;0;0.45}</definedName>
    <definedName name="책임분담">{0.1;0;0.45;0;0;0;0;0;0.45}</definedName>
    <definedName name="추가대변">'[40]합동별(기표용)'!$AK:$AK</definedName>
    <definedName name="추가차변">'[40]합동별(기표용)'!$P:$P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5">#REF!</definedName>
    <definedName name="취급액">#REF!</definedName>
    <definedName name="취득가액" localSheetId="5">#REF!</definedName>
    <definedName name="취득가액">#REF!</definedName>
    <definedName name="토지단대변">'[40]합동별(기표용)'!$AS:$AS</definedName>
    <definedName name="토지단차변">'[40]합동별(기표용)'!$X:$X</definedName>
    <definedName name="퇴직대변">'[40]합동별(기표용)'!$AL:$AL</definedName>
    <definedName name="퇴직차변">'[40]합동별(기표용)'!$Q:$Q</definedName>
    <definedName name="특정대변">'[40]합동별(기표용)'!$AQ:$AQ</definedName>
    <definedName name="특정차변">'[40]합동별(기표용)'!$V:$V</definedName>
    <definedName name="편출1" localSheetId="5">#REF!</definedName>
    <definedName name="편출1">#REF!</definedName>
    <definedName name="편출2" localSheetId="5">#REF!</definedName>
    <definedName name="편출2">#REF!</definedName>
    <definedName name="편출3" localSheetId="5">#REF!</definedName>
    <definedName name="편출3">#REF!</definedName>
    <definedName name="편출4" localSheetId="5">#REF!</definedName>
    <definedName name="편출4">#REF!</definedName>
    <definedName name="허정">'[46]10월 급여'!$A$2:$B$676</definedName>
    <definedName name="현금회수..." localSheetId="5">#REF!</definedName>
    <definedName name="현금회수...">#REF!</definedName>
    <definedName name="현재단계" localSheetId="5">#REF!</definedName>
    <definedName name="현재단계">#REF!</definedName>
    <definedName name="회1" localSheetId="5">#REF!</definedName>
    <definedName name="회1">#REF!</definedName>
    <definedName name="회10" localSheetId="5">#REF!</definedName>
    <definedName name="회10">#REF!</definedName>
    <definedName name="회2" localSheetId="5">#REF!</definedName>
    <definedName name="회2">#REF!</definedName>
    <definedName name="회3" localSheetId="5">#REF!</definedName>
    <definedName name="회3">#REF!</definedName>
    <definedName name="회4" localSheetId="5">#REF!</definedName>
    <definedName name="회4">#REF!</definedName>
    <definedName name="회5" localSheetId="5">#REF!</definedName>
    <definedName name="회5">#REF!</definedName>
    <definedName name="회6" localSheetId="5">#REF!</definedName>
    <definedName name="회6">#REF!</definedName>
    <definedName name="회7" localSheetId="5">#REF!</definedName>
    <definedName name="회7">#REF!</definedName>
    <definedName name="회8" localSheetId="5">#REF!</definedName>
    <definedName name="회8">#REF!</definedName>
    <definedName name="회9" localSheetId="5">#REF!</definedName>
    <definedName name="회9">#REF!</definedName>
    <definedName name="회사">[43]정의!$B$3</definedName>
    <definedName name="ㅏㅏ" localSheetId="5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ㅐ24" localSheetId="5">#REF!</definedName>
    <definedName name="ㅐ24">#REF!</definedName>
    <definedName name="ㅗ1015" localSheetId="5">#REF!</definedName>
    <definedName name="ㅗ1015">#REF!</definedName>
    <definedName name="ㅗ1018" localSheetId="5">#REF!</definedName>
    <definedName name="ㅗ1018">#REF!</definedName>
    <definedName name="ㅗ6" localSheetId="5">#REF!</definedName>
    <definedName name="ㅗ6">#REF!</definedName>
  </definedNames>
  <calcPr calcId="191029"/>
</workbook>
</file>

<file path=xl/calcChain.xml><?xml version="1.0" encoding="utf-8"?>
<calcChain xmlns="http://schemas.openxmlformats.org/spreadsheetml/2006/main">
  <c r="O47" i="20" l="1"/>
  <c r="N47" i="20"/>
  <c r="M47" i="20"/>
  <c r="L47" i="20"/>
  <c r="K47" i="20"/>
  <c r="J47" i="20"/>
  <c r="I47" i="20"/>
  <c r="H47" i="20"/>
  <c r="G47" i="20"/>
  <c r="F47" i="20"/>
  <c r="E47" i="20"/>
  <c r="D47" i="20"/>
  <c r="P46" i="20"/>
  <c r="P45" i="20"/>
  <c r="P44" i="20"/>
  <c r="P43" i="20"/>
  <c r="P42" i="20"/>
  <c r="P41" i="20"/>
  <c r="P40" i="20"/>
  <c r="P39" i="20"/>
  <c r="P47" i="20" s="1"/>
  <c r="P38" i="20"/>
  <c r="P37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P36" i="20" s="1"/>
  <c r="O32" i="20"/>
  <c r="N32" i="20"/>
  <c r="M32" i="20"/>
  <c r="L32" i="20"/>
  <c r="K32" i="20"/>
  <c r="J32" i="20"/>
  <c r="I32" i="20"/>
  <c r="H32" i="20"/>
  <c r="G32" i="20"/>
  <c r="F32" i="20"/>
  <c r="E32" i="20"/>
  <c r="D32" i="20"/>
  <c r="P31" i="20"/>
  <c r="P30" i="20"/>
  <c r="P29" i="20"/>
  <c r="P28" i="20"/>
  <c r="P27" i="20"/>
  <c r="P26" i="20"/>
  <c r="P25" i="20"/>
  <c r="P24" i="20"/>
  <c r="P32" i="20" s="1"/>
  <c r="P23" i="20"/>
  <c r="P22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P21" i="20" s="1"/>
  <c r="O17" i="20"/>
  <c r="N17" i="20"/>
  <c r="M17" i="20"/>
  <c r="L17" i="20"/>
  <c r="K17" i="20"/>
  <c r="J17" i="20"/>
  <c r="I17" i="20"/>
  <c r="H17" i="20"/>
  <c r="G17" i="20"/>
  <c r="F17" i="20"/>
  <c r="E17" i="20"/>
  <c r="D17" i="20"/>
  <c r="P16" i="20"/>
  <c r="P15" i="20"/>
  <c r="P14" i="20"/>
  <c r="P13" i="20"/>
  <c r="P12" i="20"/>
  <c r="P11" i="20"/>
  <c r="P10" i="20"/>
  <c r="P9" i="20"/>
  <c r="P17" i="20" s="1"/>
  <c r="P8" i="20"/>
  <c r="P7" i="20"/>
  <c r="O6" i="20"/>
  <c r="N6" i="20"/>
  <c r="M6" i="20"/>
  <c r="L6" i="20"/>
  <c r="K6" i="20"/>
  <c r="J6" i="20"/>
  <c r="I6" i="20"/>
  <c r="H6" i="20"/>
  <c r="G6" i="20"/>
  <c r="F6" i="20"/>
  <c r="E6" i="20"/>
  <c r="D6" i="20"/>
  <c r="P6" i="20" s="1"/>
</calcChain>
</file>

<file path=xl/sharedStrings.xml><?xml version="1.0" encoding="utf-8"?>
<sst xmlns="http://schemas.openxmlformats.org/spreadsheetml/2006/main" count="757" uniqueCount="463">
  <si>
    <t xml:space="preserve"> </t>
    <phoneticPr fontId="3" type="noConversion"/>
  </si>
  <si>
    <t>Fact Sheet</t>
    <phoneticPr fontId="3" type="noConversion"/>
  </si>
  <si>
    <t>요약 재무상태표</t>
    <phoneticPr fontId="3" type="noConversion"/>
  </si>
  <si>
    <t>요약 손익계산서</t>
    <phoneticPr fontId="3" type="noConversion"/>
  </si>
  <si>
    <t>원수보험료 현황</t>
    <phoneticPr fontId="3" type="noConversion"/>
  </si>
  <si>
    <t>투자이익</t>
    <phoneticPr fontId="3" type="noConversion"/>
  </si>
  <si>
    <t>신규월납보험료 현황</t>
    <phoneticPr fontId="3" type="noConversion"/>
  </si>
  <si>
    <t>총     자     산</t>
  </si>
  <si>
    <t>부  채  총  계</t>
  </si>
  <si>
    <t>자본잉여금</t>
  </si>
  <si>
    <t>이익잉여금</t>
  </si>
  <si>
    <t>자  본  총  계</t>
  </si>
  <si>
    <t>2. 요약 손익계산서</t>
  </si>
  <si>
    <t>총  영  업  이  익</t>
  </si>
  <si>
    <t>영업외/특별 손익</t>
  </si>
  <si>
    <t>당 기  순 이 익</t>
  </si>
  <si>
    <t>구       분</t>
  </si>
  <si>
    <t>일      반</t>
  </si>
  <si>
    <t>합       계</t>
  </si>
  <si>
    <t>구    분</t>
  </si>
  <si>
    <t>대   출   금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</si>
  <si>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</si>
  <si>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</si>
  <si>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</si>
  <si>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</si>
  <si>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</si>
  <si>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</si>
  <si>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</si>
  <si>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</si>
  <si>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</si>
  <si>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   해</t>
  </si>
  <si>
    <t>운전자</t>
  </si>
  <si>
    <t>질   병</t>
  </si>
  <si>
    <t>통합형</t>
  </si>
  <si>
    <t>재   물</t>
  </si>
  <si>
    <t>1. 요약 재무상태표</t>
    <phoneticPr fontId="3" type="noConversion"/>
  </si>
  <si>
    <t>(단위: 백만원, %)</t>
    <phoneticPr fontId="3" type="noConversion"/>
  </si>
  <si>
    <t>구           분</t>
    <phoneticPr fontId="3" type="noConversion"/>
  </si>
  <si>
    <t>운  용  자  산</t>
    <phoneticPr fontId="3" type="noConversion"/>
  </si>
  <si>
    <t xml:space="preserve">   ○ 현·예금 및 예치금</t>
    <phoneticPr fontId="3" type="noConversion"/>
  </si>
  <si>
    <t xml:space="preserve">   ○ 관계·종속기업투자주식</t>
    <phoneticPr fontId="3" type="noConversion"/>
  </si>
  <si>
    <t xml:space="preserve">   ○ 부     동    산</t>
    <phoneticPr fontId="3" type="noConversion"/>
  </si>
  <si>
    <t>비 운 용 자 산</t>
    <phoneticPr fontId="3" type="noConversion"/>
  </si>
  <si>
    <t>책임준비금</t>
    <phoneticPr fontId="3" type="noConversion"/>
  </si>
  <si>
    <t>기 타 부 채</t>
    <phoneticPr fontId="3" type="noConversion"/>
  </si>
  <si>
    <t>(특별계정부채)</t>
    <phoneticPr fontId="3" type="noConversion"/>
  </si>
  <si>
    <t>자 본  조 정</t>
    <phoneticPr fontId="3" type="noConversion"/>
  </si>
  <si>
    <t xml:space="preserve">                       (단위: 백만원, %)</t>
    <phoneticPr fontId="3" type="noConversion"/>
  </si>
  <si>
    <t xml:space="preserve">     (단위: 백만원, %)</t>
    <phoneticPr fontId="3" type="noConversion"/>
  </si>
  <si>
    <t>자  동  차</t>
    <phoneticPr fontId="3" type="noConversion"/>
  </si>
  <si>
    <t>장       기</t>
    <phoneticPr fontId="3" type="noConversion"/>
  </si>
  <si>
    <t xml:space="preserve">  - 기존장기</t>
    <phoneticPr fontId="3" type="noConversion"/>
  </si>
  <si>
    <t xml:space="preserve">  - 개인연금</t>
    <phoneticPr fontId="3" type="noConversion"/>
  </si>
  <si>
    <t>퇴직보험</t>
    <phoneticPr fontId="3" type="noConversion"/>
  </si>
  <si>
    <t>퇴직연금</t>
    <phoneticPr fontId="3" type="noConversion"/>
  </si>
  <si>
    <t xml:space="preserve">              </t>
    <phoneticPr fontId="3" type="noConversion"/>
  </si>
  <si>
    <t>운용자산계</t>
    <phoneticPr fontId="3" type="noConversion"/>
  </si>
  <si>
    <t>현예금 및 예치금</t>
    <phoneticPr fontId="3" type="noConversion"/>
  </si>
  <si>
    <t>부   동   산</t>
    <phoneticPr fontId="3" type="noConversion"/>
  </si>
  <si>
    <t>투자수익</t>
    <phoneticPr fontId="3" type="noConversion"/>
  </si>
  <si>
    <t xml:space="preserve">    - 기타수익</t>
    <phoneticPr fontId="3" type="noConversion"/>
  </si>
  <si>
    <t>투자비용</t>
    <phoneticPr fontId="3" type="noConversion"/>
  </si>
  <si>
    <t xml:space="preserve">    - 재산관리비</t>
    <phoneticPr fontId="3" type="noConversion"/>
  </si>
  <si>
    <t xml:space="preserve">    - 기타비용</t>
    <phoneticPr fontId="3" type="noConversion"/>
  </si>
  <si>
    <t>(기타) 신규 월납보험료 현황</t>
    <phoneticPr fontId="3" type="noConversion"/>
  </si>
  <si>
    <t>FY2020</t>
    <phoneticPr fontId="3" type="noConversion"/>
  </si>
  <si>
    <t>1월</t>
    <phoneticPr fontId="17" type="noConversion"/>
  </si>
  <si>
    <t>2월</t>
    <phoneticPr fontId="17" type="noConversion"/>
  </si>
  <si>
    <t>3월</t>
    <phoneticPr fontId="17" type="noConversion"/>
  </si>
  <si>
    <t>합계</t>
    <phoneticPr fontId="3" type="noConversion"/>
  </si>
  <si>
    <t>월납신규</t>
    <phoneticPr fontId="17" type="noConversion"/>
  </si>
  <si>
    <t>보장성</t>
    <phoneticPr fontId="17" type="noConversion"/>
  </si>
  <si>
    <t>저축성</t>
    <phoneticPr fontId="17" type="noConversion"/>
  </si>
  <si>
    <t>연   금</t>
    <phoneticPr fontId="17" type="noConversion"/>
  </si>
  <si>
    <t>건수</t>
    <phoneticPr fontId="17" type="noConversion"/>
  </si>
  <si>
    <t>비월납</t>
    <phoneticPr fontId="17" type="noConversion"/>
  </si>
  <si>
    <t>일시납</t>
    <phoneticPr fontId="17" type="noConversion"/>
  </si>
  <si>
    <t>신규 전체</t>
    <phoneticPr fontId="17" type="noConversion"/>
  </si>
  <si>
    <t>FY2019</t>
    <phoneticPr fontId="17" type="noConversion"/>
  </si>
  <si>
    <t/>
  </si>
  <si>
    <t>Full 대차대조표</t>
    <phoneticPr fontId="3" type="noConversion"/>
  </si>
  <si>
    <t>Full 손익계산서</t>
    <phoneticPr fontId="3" type="noConversion"/>
  </si>
  <si>
    <t>(단위:억원)</t>
    <phoneticPr fontId="17" type="noConversion"/>
  </si>
  <si>
    <r>
      <t>1</t>
    </r>
    <r>
      <rPr>
        <sz val="12"/>
        <rFont val="돋움"/>
        <family val="3"/>
        <charset val="129"/>
      </rPr>
      <t>월</t>
    </r>
    <phoneticPr fontId="17" type="noConversion"/>
  </si>
  <si>
    <r>
      <t>2</t>
    </r>
    <r>
      <rPr>
        <sz val="12"/>
        <rFont val="돋움"/>
        <family val="3"/>
        <charset val="129"/>
      </rPr>
      <t>월</t>
    </r>
    <phoneticPr fontId="17" type="noConversion"/>
  </si>
  <si>
    <r>
      <t>3</t>
    </r>
    <r>
      <rPr>
        <sz val="12"/>
        <rFont val="돋움"/>
        <family val="3"/>
        <charset val="129"/>
      </rPr>
      <t>월</t>
    </r>
    <phoneticPr fontId="17" type="noConversion"/>
  </si>
  <si>
    <t xml:space="preserve">   ○ 당기손익-공정가치측정</t>
    <phoneticPr fontId="21" type="noConversion"/>
  </si>
  <si>
    <t xml:space="preserve">   ○ 기타포괄손익-공정가치측정</t>
    <phoneticPr fontId="21" type="noConversion"/>
  </si>
  <si>
    <t xml:space="preserve">   ○ 상각후원가측정</t>
    <phoneticPr fontId="21" type="noConversion"/>
  </si>
  <si>
    <t xml:space="preserve">   ○ 보험계약자산</t>
  </si>
  <si>
    <t xml:space="preserve">      -  잔여보장요소</t>
  </si>
  <si>
    <t xml:space="preserve">           · 최선추정</t>
  </si>
  <si>
    <t xml:space="preserve">           · 위험조정</t>
  </si>
  <si>
    <t xml:space="preserve">           · 보험계약마진</t>
  </si>
  <si>
    <t xml:space="preserve">           · 보험료배분접근법적용</t>
  </si>
  <si>
    <t xml:space="preserve">      -  발생사고요소</t>
  </si>
  <si>
    <t xml:space="preserve">      -  사전인식 보험취득현금흐름</t>
  </si>
  <si>
    <t xml:space="preserve">   ○ 재보험계약자산</t>
  </si>
  <si>
    <t xml:space="preserve">   ○ 보험계약부채</t>
  </si>
  <si>
    <t xml:space="preserve">   ○ 재보험계약부채</t>
    <phoneticPr fontId="21" type="noConversion"/>
  </si>
  <si>
    <t xml:space="preserve">   ○ 투자계약부채</t>
    <phoneticPr fontId="21" type="noConversion"/>
  </si>
  <si>
    <t>계약자지분조정</t>
    <phoneticPr fontId="3" type="noConversion"/>
  </si>
  <si>
    <t>자   본   금</t>
    <phoneticPr fontId="3" type="noConversion"/>
  </si>
  <si>
    <t>(특별계정자산)</t>
    <phoneticPr fontId="3" type="noConversion"/>
  </si>
  <si>
    <t xml:space="preserve">   ○ 해약환급금준비금</t>
    <phoneticPr fontId="3" type="noConversion"/>
  </si>
  <si>
    <t>YTD</t>
    <phoneticPr fontId="21" type="noConversion"/>
  </si>
  <si>
    <t>YoY</t>
  </si>
  <si>
    <t>YoY</t>
    <phoneticPr fontId="21" type="noConversion"/>
  </si>
  <si>
    <t>보  험  손  익</t>
    <phoneticPr fontId="21" type="noConversion"/>
  </si>
  <si>
    <t xml:space="preserve"> ○ 보험수익</t>
    <phoneticPr fontId="21" type="noConversion"/>
  </si>
  <si>
    <t xml:space="preserve"> ○ 보험서비스비용</t>
    <phoneticPr fontId="21" type="noConversion"/>
  </si>
  <si>
    <t xml:space="preserve">   - 일반모형 보험수익</t>
    <phoneticPr fontId="3" type="noConversion"/>
  </si>
  <si>
    <t xml:space="preserve">   - 보험료배분접근법 보험수익</t>
    <phoneticPr fontId="21" type="noConversion"/>
  </si>
  <si>
    <t xml:space="preserve">   - 일반모형 보험서비스비용</t>
    <phoneticPr fontId="3" type="noConversion"/>
  </si>
  <si>
    <t xml:space="preserve">   - 보험료배분접근법 보험서비스비용</t>
    <phoneticPr fontId="21" type="noConversion"/>
  </si>
  <si>
    <t xml:space="preserve"> ○ 기타사업비용</t>
    <phoneticPr fontId="21" type="noConversion"/>
  </si>
  <si>
    <t>투  자  손  익</t>
    <phoneticPr fontId="3" type="noConversion"/>
  </si>
  <si>
    <t xml:space="preserve"> ○ 투자수익</t>
    <phoneticPr fontId="21" type="noConversion"/>
  </si>
  <si>
    <t xml:space="preserve"> ○ 투자비용</t>
    <phoneticPr fontId="21" type="noConversion"/>
  </si>
  <si>
    <t xml:space="preserve"> ○ 재보험수익</t>
    <phoneticPr fontId="21" type="noConversion"/>
  </si>
  <si>
    <t xml:space="preserve">   - 일반모형 재보험수익</t>
    <phoneticPr fontId="3" type="noConversion"/>
  </si>
  <si>
    <t xml:space="preserve">   - 보험료배분접근법 재보험수익</t>
    <phoneticPr fontId="21" type="noConversion"/>
  </si>
  <si>
    <t xml:space="preserve"> ○ 재보험서비스비용</t>
    <phoneticPr fontId="21" type="noConversion"/>
  </si>
  <si>
    <t xml:space="preserve">   - 일반모형 재보험서비스비용</t>
    <phoneticPr fontId="3" type="noConversion"/>
  </si>
  <si>
    <t xml:space="preserve">   - 보험료배분접근법 재보험서비스비용</t>
    <phoneticPr fontId="21" type="noConversion"/>
  </si>
  <si>
    <t>장기</t>
    <phoneticPr fontId="22" type="noConversion"/>
  </si>
  <si>
    <t>CSM상각</t>
    <phoneticPr fontId="22" type="noConversion"/>
  </si>
  <si>
    <t>RA변동</t>
    <phoneticPr fontId="22" type="noConversion"/>
  </si>
  <si>
    <t>사업비 예실차</t>
    <phoneticPr fontId="22" type="noConversion"/>
  </si>
  <si>
    <t>자동차</t>
    <phoneticPr fontId="22" type="noConversion"/>
  </si>
  <si>
    <t>일반</t>
    <phoneticPr fontId="22" type="noConversion"/>
  </si>
  <si>
    <t>기타</t>
    <phoneticPr fontId="1" type="noConversion"/>
  </si>
  <si>
    <t>주  식</t>
    <phoneticPr fontId="3" type="noConversion"/>
  </si>
  <si>
    <t>채  권</t>
    <phoneticPr fontId="3" type="noConversion"/>
  </si>
  <si>
    <t>수익증권</t>
    <phoneticPr fontId="3" type="noConversion"/>
  </si>
  <si>
    <t>외화유가증권</t>
    <phoneticPr fontId="3" type="noConversion"/>
  </si>
  <si>
    <t xml:space="preserve">     - 국공채</t>
    <phoneticPr fontId="3" type="noConversion"/>
  </si>
  <si>
    <t xml:space="preserve">     - 특수채 및 금융채</t>
    <phoneticPr fontId="3" type="noConversion"/>
  </si>
  <si>
    <t xml:space="preserve">     - 회사채</t>
    <phoneticPr fontId="3" type="noConversion"/>
  </si>
  <si>
    <t xml:space="preserve">     - 채권 외</t>
    <phoneticPr fontId="3" type="noConversion"/>
  </si>
  <si>
    <t xml:space="preserve">     - 채   권</t>
    <phoneticPr fontId="3" type="noConversion"/>
  </si>
  <si>
    <t xml:space="preserve">    - 유가증권평가/처분 등</t>
    <phoneticPr fontId="3" type="noConversion"/>
  </si>
  <si>
    <t xml:space="preserve">    - 파생/외환</t>
    <phoneticPr fontId="3" type="noConversion"/>
  </si>
  <si>
    <t xml:space="preserve">    - 보험금융비용</t>
    <phoneticPr fontId="3" type="noConversion"/>
  </si>
  <si>
    <t xml:space="preserve">    - 보험금융수익</t>
    <phoneticPr fontId="3" type="noConversion"/>
  </si>
  <si>
    <t>구          분</t>
  </si>
  <si>
    <t>YoY</t>
    <phoneticPr fontId="1" type="noConversion"/>
  </si>
  <si>
    <t>YoY</t>
    <phoneticPr fontId="3" type="noConversion"/>
  </si>
  <si>
    <t>기타포괄손익누계액</t>
    <phoneticPr fontId="3" type="noConversion"/>
  </si>
  <si>
    <t>보험료배분접근법 수익</t>
  </si>
  <si>
    <t>손실부담계약비용</t>
    <phoneticPr fontId="1" type="noConversion"/>
  </si>
  <si>
    <t>보험손익</t>
    <phoneticPr fontId="22" type="noConversion"/>
  </si>
  <si>
    <t>보험금 예실차(발생사고요소조정 포함)</t>
    <phoneticPr fontId="22" type="noConversion"/>
  </si>
  <si>
    <t>발생손해액</t>
    <phoneticPr fontId="1" type="noConversion"/>
  </si>
  <si>
    <t>사업비</t>
    <phoneticPr fontId="1" type="noConversion"/>
  </si>
  <si>
    <t>투자손익</t>
    <phoneticPr fontId="3" type="noConversion"/>
  </si>
  <si>
    <t xml:space="preserve">    - 이자/배당수익</t>
    <phoneticPr fontId="3" type="noConversion"/>
  </si>
  <si>
    <r>
      <t>관계</t>
    </r>
    <r>
      <rPr>
        <sz val="11"/>
        <rFont val="맑은 고딕"/>
        <family val="3"/>
        <charset val="129"/>
      </rPr>
      <t>·</t>
    </r>
    <r>
      <rPr>
        <sz val="11"/>
        <rFont val="맑은 고딕"/>
        <family val="3"/>
        <charset val="129"/>
      </rPr>
      <t>종속기업투자주식</t>
    </r>
    <phoneticPr fontId="3" type="noConversion"/>
  </si>
  <si>
    <t xml:space="preserve"> 출자금 등</t>
    <phoneticPr fontId="23" type="noConversion"/>
  </si>
  <si>
    <t>계정코드</t>
  </si>
  <si>
    <t>가. 현금과예금</t>
  </si>
  <si>
    <t>나. 금전신탁</t>
  </si>
  <si>
    <t>다. 선물거래예치금</t>
  </si>
  <si>
    <t>라. 기타예치금</t>
  </si>
  <si>
    <t>(현재가치할인차금)</t>
  </si>
  <si>
    <t>(대손충당금)</t>
  </si>
  <si>
    <t>(이연대출부대손익)</t>
  </si>
  <si>
    <t>1. 보험계약부채</t>
  </si>
  <si>
    <t>2. 재보험계약부채</t>
  </si>
  <si>
    <t>3. 투자계약부채</t>
  </si>
  <si>
    <t>4. 기타자본잉여금</t>
  </si>
  <si>
    <t>2. 관계·종속기업투자주식평가손익</t>
  </si>
  <si>
    <t>1-1. 일반모형/변동수수료접근법 보험수익</t>
  </si>
  <si>
    <t>3-1. 일반모형 재보험수익</t>
  </si>
  <si>
    <t>아. 당기손익-공정가치측정금융상품평가이익</t>
  </si>
  <si>
    <t>(3) 기타</t>
  </si>
  <si>
    <t>6. 해외사업환산손익</t>
  </si>
  <si>
    <t>7. 위험회피파생상품평가손익</t>
  </si>
  <si>
    <t>8. 재평가잉여금</t>
  </si>
  <si>
    <t>9. 보험수리적손익</t>
  </si>
  <si>
    <t>10. 기타</t>
  </si>
  <si>
    <t>[당기손익-공정가치측정지정금융자산]</t>
  </si>
  <si>
    <t>2-2. 기타포괄손익-공정가치측정유가증권</t>
  </si>
  <si>
    <t>가. 주식</t>
  </si>
  <si>
    <r>
      <t>기타(재)보험영업수익</t>
    </r>
    <r>
      <rPr>
        <sz val="11"/>
        <color indexed="8"/>
        <rFont val="맑은 고딕"/>
        <family val="3"/>
        <charset val="129"/>
      </rPr>
      <t>·</t>
    </r>
    <r>
      <rPr>
        <sz val="12.65"/>
        <color indexed="8"/>
        <rFont val="맑은 고딕"/>
        <family val="3"/>
        <charset val="129"/>
      </rPr>
      <t>비용 등</t>
    </r>
    <phoneticPr fontId="1" type="noConversion"/>
  </si>
  <si>
    <t xml:space="preserve">   ○ 대 출 채 권*</t>
    <phoneticPr fontId="3" type="noConversion"/>
  </si>
  <si>
    <t>3. 보종별 보험손익</t>
    <phoneticPr fontId="3" type="noConversion"/>
  </si>
  <si>
    <t>4. 투자손익</t>
    <phoneticPr fontId="3" type="noConversion"/>
  </si>
  <si>
    <t>5. 원수보험료</t>
    <phoneticPr fontId="1" type="noConversion"/>
  </si>
  <si>
    <t>* 대출채권: 상각후원가측정</t>
    <phoneticPr fontId="21" type="noConversion"/>
  </si>
  <si>
    <t>'24.1Q</t>
    <phoneticPr fontId="1" type="noConversion"/>
  </si>
  <si>
    <t>YTD</t>
    <phoneticPr fontId="3" type="noConversion"/>
  </si>
  <si>
    <t>'24.1Q
YTD</t>
    <phoneticPr fontId="1" type="noConversion"/>
  </si>
  <si>
    <t>보험손익</t>
    <phoneticPr fontId="3" type="noConversion"/>
  </si>
  <si>
    <t>BEL, CSM 변동</t>
    <phoneticPr fontId="3" type="noConversion"/>
  </si>
  <si>
    <t>5. 최선추정(BEL), 보험계약마진(CSM) 변동</t>
    <phoneticPr fontId="1" type="noConversion"/>
  </si>
  <si>
    <t>(1) BEL</t>
    <phoneticPr fontId="1" type="noConversion"/>
  </si>
  <si>
    <t>(단위 : 백만원)</t>
    <phoneticPr fontId="1" type="noConversion"/>
  </si>
  <si>
    <t>구분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</si>
  <si>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</si>
  <si>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</si>
  <si>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</si>
  <si>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BEL(기시)</t>
    <phoneticPr fontId="1" type="noConversion"/>
  </si>
  <si>
    <t>신계약 유입</t>
    <phoneticPr fontId="1" type="noConversion"/>
  </si>
  <si>
    <t>이자부리</t>
    <phoneticPr fontId="1" type="noConversion"/>
  </si>
  <si>
    <t>변동(물량, 가정 등)</t>
    <phoneticPr fontId="1" type="noConversion"/>
  </si>
  <si>
    <t>할인율 변경(OCI)</t>
    <phoneticPr fontId="1" type="noConversion"/>
  </si>
  <si>
    <t>BEL(기말)</t>
    <phoneticPr fontId="1" type="noConversion"/>
  </si>
  <si>
    <t>* 잔여보장부채 기준, 보험계약자산 포함, 재보험 제외</t>
    <phoneticPr fontId="1" type="noConversion"/>
  </si>
  <si>
    <t>(2) CSM</t>
    <phoneticPr fontId="1" type="noConversion"/>
  </si>
  <si>
    <t>CSM(기시)</t>
    <phoneticPr fontId="1" type="noConversion"/>
  </si>
  <si>
    <t>신계약 유입</t>
  </si>
  <si>
    <t>상각</t>
    <phoneticPr fontId="1" type="noConversion"/>
  </si>
  <si>
    <t>CSM 조정</t>
    <phoneticPr fontId="1" type="noConversion"/>
  </si>
  <si>
    <t>CSM(기말)</t>
    <phoneticPr fontId="1" type="noConversion"/>
  </si>
  <si>
    <t>* 보험계약자산 포함, 재보험 제외</t>
    <phoneticPr fontId="1" type="noConversion"/>
  </si>
  <si>
    <t>(단위 : 원)</t>
    <phoneticPr fontId="1" type="noConversion"/>
  </si>
  <si>
    <t>계정과목</t>
    <phoneticPr fontId="1" type="noConversion"/>
  </si>
  <si>
    <t>자산총계</t>
  </si>
  <si>
    <t>Ⅰ. 운용자산</t>
  </si>
  <si>
    <t>1. 현금및예치금</t>
  </si>
  <si>
    <t>2. 유가증권</t>
  </si>
  <si>
    <t>2-1. 당기손익-공정가치측정유가증권</t>
  </si>
  <si>
    <t>나. 출자금</t>
  </si>
  <si>
    <t>다. 국공채</t>
  </si>
  <si>
    <t>라. 특수채</t>
  </si>
  <si>
    <t>마. 금융채</t>
  </si>
  <si>
    <t>바. 회사채</t>
  </si>
  <si>
    <t>사. 수익증권</t>
  </si>
  <si>
    <t>아. 외화표시유가증권</t>
  </si>
  <si>
    <t>자. 기타</t>
  </si>
  <si>
    <t>2-3. 상각후원가측정유가증권</t>
  </si>
  <si>
    <t>가. 국공채</t>
  </si>
  <si>
    <t>나. 특수채</t>
  </si>
  <si>
    <t>다. 금융채</t>
  </si>
  <si>
    <t>라. 회사채</t>
  </si>
  <si>
    <t>마. 수익증권</t>
  </si>
  <si>
    <t>바. 외화표시유가증권</t>
  </si>
  <si>
    <t>사. 기타유가증권</t>
  </si>
  <si>
    <t>2-4. 관계∙종속기업투자주식</t>
  </si>
  <si>
    <t>다. 기타</t>
  </si>
  <si>
    <t>3. 대출채권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</si>
  <si>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</si>
  <si>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</si>
  <si>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</si>
  <si>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</si>
  <si>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</si>
  <si>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</si>
  <si>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</si>
  <si>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</si>
  <si>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>(손상차손누계액)</t>
  </si>
  <si>
    <t>가. 토지</t>
  </si>
  <si>
    <t>나. 건물</t>
  </si>
  <si>
    <t>(감가상각누계액)</t>
  </si>
  <si>
    <t>다. 구축물</t>
  </si>
  <si>
    <t>라. 해외부동산</t>
  </si>
  <si>
    <t>마. 건설중인자산</t>
  </si>
  <si>
    <t>바. 기타부동산</t>
  </si>
  <si>
    <t>Ⅱ.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</si>
  <si>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</si>
  <si>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</si>
  <si>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</si>
  <si>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</si>
  <si>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</si>
  <si>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</si>
  <si>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</si>
  <si>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</si>
  <si>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</si>
  <si>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</si>
  <si>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</si>
  <si>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</si>
  <si>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</si>
  <si>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</si>
  <si>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</si>
  <si>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</si>
  <si>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</si>
  <si>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</si>
  <si>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</si>
  <si>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</si>
  <si>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</si>
  <si>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</si>
  <si>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</si>
  <si>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</si>
  <si>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</si>
  <si>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19. 무형자산</t>
  </si>
  <si>
    <t>20. 어음</t>
  </si>
  <si>
    <t>21. 순확정급여자산</t>
  </si>
  <si>
    <t>22. 기타의비운용자산</t>
  </si>
  <si>
    <t>Ⅲ. 특별계정자산</t>
  </si>
  <si>
    <t>부채총계</t>
  </si>
  <si>
    <t>Ⅰ. 책임준비금</t>
  </si>
  <si>
    <t>Ⅱ.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</si>
  <si>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</si>
  <si>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</si>
  <si>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</si>
  <si>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</si>
  <si>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</si>
  <si>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</si>
  <si>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</si>
  <si>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</si>
  <si>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</si>
  <si>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</si>
  <si>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</si>
  <si>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</si>
  <si>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</si>
  <si>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</si>
  <si>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</si>
  <si>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퇴직급여채무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</si>
  <si>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</si>
  <si>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</si>
  <si>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</si>
  <si>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</si>
  <si>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</si>
  <si>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</si>
  <si>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자산재평가계약자지분</t>
  </si>
  <si>
    <t>24. 그밖의기타부채</t>
  </si>
  <si>
    <t>Ⅲ. 특별계정부채</t>
  </si>
  <si>
    <t>자본총계</t>
  </si>
  <si>
    <t>Ⅰ. 자본금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</si>
  <si>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</si>
  <si>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</si>
  <si>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</si>
  <si>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</si>
  <si>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</si>
  <si>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</si>
  <si>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Ⅲ. 신종자본증권</t>
  </si>
  <si>
    <t>(할인발행차금)(-)</t>
  </si>
  <si>
    <t>(할증발행차금)(+)</t>
  </si>
  <si>
    <t>Ⅳ. 계약자지분조정</t>
  </si>
  <si>
    <t>1. 공정가치측정금융상품평가손익</t>
  </si>
  <si>
    <t>3. 재평가잉여금</t>
  </si>
  <si>
    <t>Ⅴ. 이익잉여금</t>
  </si>
  <si>
    <t>1. 이익준비금</t>
  </si>
  <si>
    <t>2. 기타법정적립금</t>
  </si>
  <si>
    <t>3. 대손준비금</t>
  </si>
  <si>
    <t>4. 임의적립금</t>
  </si>
  <si>
    <t>5. 처분전이익잉여금(처리전결손금)</t>
  </si>
  <si>
    <t>6. 해약환급금준비금</t>
  </si>
  <si>
    <t>7. 보증준비금</t>
  </si>
  <si>
    <t>8. 비상위험준비금</t>
  </si>
  <si>
    <t>Ⅵ. 자본조정</t>
  </si>
  <si>
    <t>1. 주식할인발행차금</t>
  </si>
  <si>
    <t>2. 자기주식</t>
  </si>
  <si>
    <t>3. 기타자본조정</t>
  </si>
  <si>
    <t>Ⅶ. 기타포괄손익누계액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</si>
  <si>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</si>
  <si>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</si>
  <si>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</si>
  <si>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</si>
  <si>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부채와자본총계</t>
  </si>
  <si>
    <t>Ⅰ. 보험손익</t>
  </si>
  <si>
    <t>1. 보험영업수익</t>
  </si>
  <si>
    <t>가. 예상 발생보험금</t>
  </si>
  <si>
    <t>나. 예상 손해조사비</t>
  </si>
  <si>
    <t>다. 예상 계약유지비</t>
  </si>
  <si>
    <t>라. 예상 투자관리비</t>
  </si>
  <si>
    <t>마. 위험조정 변동</t>
  </si>
  <si>
    <t>바. 보험계약마진 상각</t>
  </si>
  <si>
    <t>사. 보험취득현금흐름 상각</t>
  </si>
  <si>
    <t>아. 손실요소 배분액</t>
  </si>
  <si>
    <t>(1) 최선추정부채 수익인식 배분</t>
  </si>
  <si>
    <t>(2) 위험조정 수익인식 배분</t>
  </si>
  <si>
    <t>자. 기타보험영업수익</t>
  </si>
  <si>
    <t>(1) 보험취득현금흐름 경험조정</t>
  </si>
  <si>
    <t>(2) 수취보험료</t>
  </si>
  <si>
    <t>1-2. 보험료배분접근법 보험수익</t>
  </si>
  <si>
    <t>2. 보험영업비용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</si>
  <si>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</si>
  <si>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</si>
  <si>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</si>
  <si>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</si>
  <si>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</si>
  <si>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>마. 손실부담계약 관련비용(환입)</t>
  </si>
  <si>
    <t>바. 발생사고요소 조정</t>
  </si>
  <si>
    <t>자. 기타보험서비스비용</t>
  </si>
  <si>
    <t>2-2. 보험료배분접근법 보험서비스비용</t>
  </si>
  <si>
    <t>다. 손실부담계약 관련비용(환입)</t>
  </si>
  <si>
    <t>라. 발생사고요소 조정</t>
  </si>
  <si>
    <t>마. 보험취득현금흐름 즉시인식액</t>
  </si>
  <si>
    <t>바. 보험취득현금흐름 상각</t>
  </si>
  <si>
    <t>사. 기타보험영업비용</t>
  </si>
  <si>
    <t>3. 재보험수익</t>
  </si>
  <si>
    <t>가. 발생재보험금</t>
  </si>
  <si>
    <t>다. 손실회수요소 관련 수익</t>
  </si>
  <si>
    <t>마. 손실회수요소 배분액</t>
  </si>
  <si>
    <t>바. 기타재보험수익</t>
  </si>
  <si>
    <t>3-2. 보험료배분접근법 재보험수익</t>
  </si>
  <si>
    <t>마. 기타재보험수익</t>
  </si>
  <si>
    <t>4. 재보험비용</t>
  </si>
  <si>
    <t>4-1. 일반모형 재보험서비스비용</t>
  </si>
  <si>
    <t>가. 예상 발생재보험금</t>
  </si>
  <si>
    <t>나. 예상 발생손해조사비</t>
  </si>
  <si>
    <t>다. 위험조정 변동</t>
  </si>
  <si>
    <t>라. 보험계약마진 상각</t>
  </si>
  <si>
    <t>마. 손실회수요소 배분 재보험비용 차감액</t>
  </si>
  <si>
    <t>바. 기타재보험비용</t>
  </si>
  <si>
    <t>4-2. 보험료배분접근법 재보험서비스비용</t>
  </si>
  <si>
    <t>5. 기타사업비용</t>
  </si>
  <si>
    <t>Ⅱ. 투자손익</t>
  </si>
  <si>
    <t>1. 투자영업수익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</si>
  <si>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</si>
  <si>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</si>
  <si>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</si>
  <si>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</si>
  <si>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</si>
  <si>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</si>
  <si>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</si>
  <si>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자. 금전신탁이익</t>
  </si>
  <si>
    <t>차. 금융자산손상차손환입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</si>
  <si>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</si>
  <si>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</si>
  <si>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</si>
  <si>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</si>
  <si>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</si>
  <si>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</si>
  <si>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</si>
  <si>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</si>
  <si>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</si>
  <si>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</si>
  <si>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</si>
  <si>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</si>
  <si>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</si>
  <si>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투자영업비용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</si>
  <si>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</si>
  <si>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</si>
  <si>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</si>
  <si>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</si>
  <si>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</si>
  <si>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</si>
  <si>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</si>
  <si>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당기손익인식금융상품평가손실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</si>
  <si>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</si>
  <si>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</si>
  <si>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</si>
  <si>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</si>
  <si>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</si>
  <si>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</si>
  <si>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</si>
  <si>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</si>
  <si>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</si>
  <si>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</si>
  <si>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</si>
  <si>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</si>
  <si>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</si>
  <si>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</si>
  <si>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</si>
  <si>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 xml:space="preserve">Ⅲ. 영업이익(또는영업손실) </t>
  </si>
  <si>
    <t>Ⅳ. 영업외손익</t>
  </si>
  <si>
    <t>1. 영업외수익</t>
  </si>
  <si>
    <t>2. 영업외비용</t>
  </si>
  <si>
    <t>Ⅴ. 법인세차감전순이익</t>
  </si>
  <si>
    <t>Ⅵ. 법인세비용</t>
  </si>
  <si>
    <t>Ⅶ. 당기순이익(또는당기순손실)</t>
  </si>
  <si>
    <t>2025.1Q</t>
    <phoneticPr fontId="3" type="noConversion"/>
  </si>
  <si>
    <t>'25.3월말</t>
    <phoneticPr fontId="1" type="noConversion"/>
  </si>
  <si>
    <t>'24.12월말</t>
    <phoneticPr fontId="1" type="noConversion"/>
  </si>
  <si>
    <t>%</t>
    <phoneticPr fontId="1" type="noConversion"/>
  </si>
  <si>
    <t>'25.1Q</t>
    <phoneticPr fontId="1" type="noConversion"/>
  </si>
  <si>
    <t>'25.1Q
YTD</t>
    <phoneticPr fontId="1" type="noConversion"/>
  </si>
  <si>
    <t>25.1Q</t>
    <phoneticPr fontId="1" type="noConversion"/>
  </si>
  <si>
    <t>'2025.3월</t>
    <phoneticPr fontId="1" type="noConversion"/>
  </si>
  <si>
    <t>N/A</t>
    <phoneticPr fontId="2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</si>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</sst>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\ ;[Red]&quot;△&quot;#,##0\ "/>
    <numFmt numFmtId="177" formatCode="#,##0_ "/>
    <numFmt numFmtId="178" formatCode="#,##0.0_ "/>
    <numFmt numFmtId="179" formatCode="#,##0.000\ ;[Red]&quot;△&quot;#,##0.000\ "/>
    <numFmt numFmtId="180" formatCode="#,##0.0\ ;[Red]&quot;△&quot;#,##0.0\ "/>
    <numFmt numFmtId="181" formatCode="#,##0;&quot;△&quot;#,##0"/>
    <numFmt numFmtId="182" formatCode="#,##0.0;[Red]&quot;△&quot;#,##0.0"/>
    <numFmt numFmtId="183" formatCode="#,##0;[Red]&quot;△&quot;#,##0"/>
    <numFmt numFmtId="184" formatCode="#,##0\ \ ;[Red]&quot;△&quot;#,##0\ \ "/>
    <numFmt numFmtId="185" formatCode="0_ ;[Red]\-0\ "/>
    <numFmt numFmtId="186" formatCode="0.0_ "/>
    <numFmt numFmtId="187" formatCode="#,##0;&quot;△&quot;#,##0\ "/>
    <numFmt numFmtId="188" formatCode="#,##0.0;&quot;△&quot;#,##0.0\ "/>
    <numFmt numFmtId="189" formatCode="#,##0_);\(#,##0\)"/>
    <numFmt numFmtId="190" formatCode="_-* #,##0.000_-;\-* #,##0.000_-;_-* &quot;-&quot;_-;_-@_-"/>
    <numFmt numFmtId="191" formatCode="0.0"/>
    <numFmt numFmtId="192" formatCode="#,##0;[Red]\△#,##0"/>
  </numFmts>
  <fonts count="64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Book Antiqua"/>
      <family val="1"/>
    </font>
    <font>
      <sz val="8"/>
      <name val="돋움"/>
      <family val="3"/>
      <charset val="129"/>
    </font>
    <font>
      <sz val="10"/>
      <name val="Book Antiqua"/>
      <family val="1"/>
    </font>
    <font>
      <b/>
      <i/>
      <sz val="52"/>
      <name val="Times New Roman"/>
      <family val="1"/>
    </font>
    <font>
      <b/>
      <sz val="11"/>
      <name val="Book Antiqua"/>
      <family val="1"/>
    </font>
    <font>
      <b/>
      <sz val="25"/>
      <name val="Book Antiqua"/>
      <family val="1"/>
    </font>
    <font>
      <sz val="11"/>
      <name val="바탕"/>
      <family val="1"/>
      <charset val="129"/>
    </font>
    <font>
      <u/>
      <sz val="10"/>
      <color indexed="12"/>
      <name val="돋움체"/>
      <family val="3"/>
      <charset val="129"/>
    </font>
    <font>
      <u/>
      <sz val="12"/>
      <name val="돋움체"/>
      <family val="3"/>
      <charset val="129"/>
    </font>
    <font>
      <b/>
      <sz val="24"/>
      <name val="Book Antiqua"/>
      <family val="1"/>
    </font>
    <font>
      <sz val="9"/>
      <color indexed="8"/>
      <name val="Book Antiqua"/>
      <family val="1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1"/>
      <name val="Century Gothic"/>
      <family val="2"/>
    </font>
    <font>
      <sz val="8"/>
      <name val="바탕"/>
      <family val="1"/>
      <charset val="129"/>
    </font>
    <font>
      <sz val="10"/>
      <name val="arial"/>
      <family val="2"/>
    </font>
    <font>
      <sz val="12"/>
      <name val="Century Gothic"/>
      <family val="2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1"/>
      <color indexed="8"/>
      <name val="맑은 고딕"/>
      <family val="3"/>
      <charset val="129"/>
    </font>
    <font>
      <sz val="12.65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2"/>
      <color indexed="4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18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Tahoma"/>
      <family val="2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F5F5"/>
        <bgColor indexed="64"/>
      </patternFill>
    </fill>
  </fills>
  <borders count="1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ck">
        <color rgb="FF00CC99"/>
      </top>
      <bottom style="thick">
        <color rgb="FF00CC9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8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3" fillId="0" borderId="0"/>
    <xf numFmtId="0" fontId="29" fillId="0" borderId="0">
      <alignment vertical="center"/>
    </xf>
    <xf numFmtId="0" fontId="13" fillId="0" borderId="0">
      <alignment vertical="center"/>
    </xf>
    <xf numFmtId="0" fontId="15" fillId="0" borderId="0"/>
    <xf numFmtId="0" fontId="13" fillId="0" borderId="0"/>
    <xf numFmtId="0" fontId="13" fillId="0" borderId="0"/>
    <xf numFmtId="0" fontId="9" fillId="0" borderId="0" applyNumberFormat="0" applyFill="0" applyBorder="0" applyAlignment="0" applyProtection="0"/>
  </cellStyleXfs>
  <cellXfs count="599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/>
    <xf numFmtId="0" fontId="2" fillId="0" borderId="0" xfId="0" applyFont="1" applyBorder="1" applyAlignment="1"/>
    <xf numFmtId="38" fontId="7" fillId="0" borderId="0" xfId="0" applyNumberFormat="1" applyFont="1" applyFill="1" applyBorder="1" applyAlignment="1">
      <alignment horizontal="centerContinuous" vertical="center"/>
    </xf>
    <xf numFmtId="38" fontId="4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1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41" fontId="32" fillId="0" borderId="0" xfId="2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3" fillId="0" borderId="0" xfId="0" applyFont="1" applyAlignment="1">
      <alignment vertical="center"/>
    </xf>
    <xf numFmtId="176" fontId="32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/>
    </xf>
    <xf numFmtId="177" fontId="32" fillId="3" borderId="6" xfId="2" applyNumberFormat="1" applyFont="1" applyFill="1" applyBorder="1" applyAlignment="1">
      <alignment vertical="center"/>
    </xf>
    <xf numFmtId="178" fontId="32" fillId="3" borderId="7" xfId="2" applyNumberFormat="1" applyFont="1" applyFill="1" applyBorder="1" applyAlignment="1">
      <alignment vertical="center"/>
    </xf>
    <xf numFmtId="178" fontId="32" fillId="3" borderId="8" xfId="2" applyNumberFormat="1" applyFont="1" applyFill="1" applyBorder="1" applyAlignment="1">
      <alignment vertical="center"/>
    </xf>
    <xf numFmtId="177" fontId="32" fillId="0" borderId="6" xfId="2" applyNumberFormat="1" applyFont="1" applyFill="1" applyBorder="1" applyAlignment="1">
      <alignment vertical="center"/>
    </xf>
    <xf numFmtId="178" fontId="32" fillId="0" borderId="8" xfId="2" applyNumberFormat="1" applyFont="1" applyFill="1" applyBorder="1" applyAlignment="1">
      <alignment vertical="center"/>
    </xf>
    <xf numFmtId="176" fontId="35" fillId="0" borderId="0" xfId="2" applyNumberFormat="1" applyFont="1" applyBorder="1" applyAlignment="1">
      <alignment vertical="center"/>
    </xf>
    <xf numFmtId="176" fontId="32" fillId="0" borderId="0" xfId="0" applyNumberFormat="1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9" xfId="0" applyFont="1" applyBorder="1" applyAlignment="1">
      <alignment vertical="center"/>
    </xf>
    <xf numFmtId="176" fontId="36" fillId="0" borderId="0" xfId="2" applyNumberFormat="1" applyFont="1" applyBorder="1" applyAlignment="1">
      <alignment vertical="center"/>
    </xf>
    <xf numFmtId="179" fontId="32" fillId="0" borderId="0" xfId="0" applyNumberFormat="1" applyFont="1" applyBorder="1" applyAlignment="1">
      <alignment vertical="center"/>
    </xf>
    <xf numFmtId="177" fontId="32" fillId="3" borderId="10" xfId="2" applyNumberFormat="1" applyFont="1" applyFill="1" applyBorder="1" applyAlignment="1">
      <alignment vertical="center"/>
    </xf>
    <xf numFmtId="178" fontId="32" fillId="3" borderId="11" xfId="2" applyNumberFormat="1" applyFont="1" applyFill="1" applyBorder="1" applyAlignment="1">
      <alignment vertical="center"/>
    </xf>
    <xf numFmtId="178" fontId="32" fillId="3" borderId="12" xfId="2" applyNumberFormat="1" applyFont="1" applyFill="1" applyBorder="1" applyAlignment="1">
      <alignment vertical="center"/>
    </xf>
    <xf numFmtId="177" fontId="32" fillId="0" borderId="10" xfId="2" applyNumberFormat="1" applyFont="1" applyFill="1" applyBorder="1" applyAlignment="1">
      <alignment vertical="center"/>
    </xf>
    <xf numFmtId="178" fontId="32" fillId="0" borderId="12" xfId="2" applyNumberFormat="1" applyFont="1" applyFill="1" applyBorder="1" applyAlignment="1">
      <alignment vertical="center"/>
    </xf>
    <xf numFmtId="176" fontId="37" fillId="0" borderId="0" xfId="2" applyNumberFormat="1" applyFont="1" applyBorder="1" applyAlignment="1">
      <alignment vertical="center"/>
    </xf>
    <xf numFmtId="177" fontId="32" fillId="3" borderId="13" xfId="2" applyNumberFormat="1" applyFont="1" applyFill="1" applyBorder="1" applyAlignment="1">
      <alignment vertical="center"/>
    </xf>
    <xf numFmtId="178" fontId="32" fillId="3" borderId="14" xfId="2" applyNumberFormat="1" applyFont="1" applyFill="1" applyBorder="1" applyAlignment="1">
      <alignment vertical="center"/>
    </xf>
    <xf numFmtId="178" fontId="32" fillId="3" borderId="15" xfId="2" applyNumberFormat="1" applyFont="1" applyFill="1" applyBorder="1" applyAlignment="1">
      <alignment vertical="center"/>
    </xf>
    <xf numFmtId="177" fontId="32" fillId="0" borderId="13" xfId="2" applyNumberFormat="1" applyFont="1" applyFill="1" applyBorder="1" applyAlignment="1">
      <alignment vertical="center"/>
    </xf>
    <xf numFmtId="178" fontId="32" fillId="0" borderId="15" xfId="2" applyNumberFormat="1" applyFont="1" applyFill="1" applyBorder="1" applyAlignment="1">
      <alignment vertical="center"/>
    </xf>
    <xf numFmtId="177" fontId="32" fillId="3" borderId="1" xfId="2" applyNumberFormat="1" applyFont="1" applyFill="1" applyBorder="1" applyAlignment="1">
      <alignment vertical="center"/>
    </xf>
    <xf numFmtId="178" fontId="32" fillId="3" borderId="16" xfId="2" applyNumberFormat="1" applyFont="1" applyFill="1" applyBorder="1" applyAlignment="1">
      <alignment vertical="center"/>
    </xf>
    <xf numFmtId="178" fontId="32" fillId="3" borderId="17" xfId="2" applyNumberFormat="1" applyFont="1" applyFill="1" applyBorder="1" applyAlignment="1">
      <alignment vertical="center"/>
    </xf>
    <xf numFmtId="177" fontId="32" fillId="0" borderId="18" xfId="2" applyNumberFormat="1" applyFont="1" applyFill="1" applyBorder="1" applyAlignment="1">
      <alignment vertical="center"/>
    </xf>
    <xf numFmtId="178" fontId="32" fillId="0" borderId="17" xfId="2" applyNumberFormat="1" applyFont="1" applyFill="1" applyBorder="1" applyAlignment="1">
      <alignment vertical="center"/>
    </xf>
    <xf numFmtId="177" fontId="32" fillId="3" borderId="0" xfId="2" applyNumberFormat="1" applyFont="1" applyFill="1" applyBorder="1" applyAlignment="1">
      <alignment vertical="center"/>
    </xf>
    <xf numFmtId="177" fontId="32" fillId="3" borderId="19" xfId="2" applyNumberFormat="1" applyFont="1" applyFill="1" applyBorder="1" applyAlignment="1">
      <alignment vertical="center"/>
    </xf>
    <xf numFmtId="178" fontId="32" fillId="3" borderId="20" xfId="2" applyNumberFormat="1" applyFont="1" applyFill="1" applyBorder="1" applyAlignment="1">
      <alignment vertical="center"/>
    </xf>
    <xf numFmtId="178" fontId="32" fillId="3" borderId="21" xfId="2" applyNumberFormat="1" applyFont="1" applyFill="1" applyBorder="1" applyAlignment="1">
      <alignment vertical="center"/>
    </xf>
    <xf numFmtId="177" fontId="32" fillId="0" borderId="22" xfId="2" applyNumberFormat="1" applyFont="1" applyFill="1" applyBorder="1" applyAlignment="1">
      <alignment vertical="center"/>
    </xf>
    <xf numFmtId="178" fontId="32" fillId="0" borderId="21" xfId="2" applyNumberFormat="1" applyFont="1" applyFill="1" applyBorder="1" applyAlignment="1">
      <alignment vertical="center"/>
    </xf>
    <xf numFmtId="177" fontId="32" fillId="3" borderId="18" xfId="2" applyNumberFormat="1" applyFont="1" applyFill="1" applyBorder="1" applyAlignment="1">
      <alignment vertical="center"/>
    </xf>
    <xf numFmtId="177" fontId="32" fillId="3" borderId="22" xfId="2" applyNumberFormat="1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180" fontId="32" fillId="0" borderId="0" xfId="0" applyNumberFormat="1" applyFont="1" applyFill="1" applyAlignment="1">
      <alignment vertical="center"/>
    </xf>
    <xf numFmtId="41" fontId="32" fillId="0" borderId="0" xfId="2" applyFont="1" applyFill="1" applyBorder="1" applyAlignment="1">
      <alignment vertical="center"/>
    </xf>
    <xf numFmtId="181" fontId="32" fillId="0" borderId="0" xfId="0" applyNumberFormat="1" applyFont="1" applyFill="1" applyAlignment="1">
      <alignment vertical="center"/>
    </xf>
    <xf numFmtId="180" fontId="32" fillId="0" borderId="0" xfId="0" applyNumberFormat="1" applyFont="1" applyAlignment="1">
      <alignment vertical="center"/>
    </xf>
    <xf numFmtId="0" fontId="32" fillId="0" borderId="0" xfId="0" quotePrefix="1" applyFont="1" applyBorder="1" applyAlignment="1"/>
    <xf numFmtId="0" fontId="32" fillId="0" borderId="0" xfId="0" applyFont="1" applyBorder="1" applyAlignment="1"/>
    <xf numFmtId="0" fontId="32" fillId="0" borderId="0" xfId="0" quotePrefix="1" applyFont="1" applyFill="1" applyBorder="1" applyAlignment="1"/>
    <xf numFmtId="0" fontId="37" fillId="0" borderId="0" xfId="0" applyFont="1" applyBorder="1" applyAlignment="1">
      <alignment horizontal="left" vertical="center" wrapText="1"/>
    </xf>
    <xf numFmtId="1" fontId="32" fillId="0" borderId="0" xfId="0" applyNumberFormat="1" applyFont="1" applyBorder="1" applyAlignment="1"/>
    <xf numFmtId="37" fontId="38" fillId="0" borderId="0" xfId="0" applyNumberFormat="1" applyFont="1" applyFill="1" applyBorder="1" applyAlignment="1">
      <alignment vertical="center"/>
    </xf>
    <xf numFmtId="37" fontId="32" fillId="0" borderId="0" xfId="0" applyNumberFormat="1" applyFont="1" applyBorder="1" applyAlignment="1"/>
    <xf numFmtId="39" fontId="32" fillId="0" borderId="0" xfId="0" applyNumberFormat="1" applyFont="1" applyAlignment="1">
      <alignment vertical="center"/>
    </xf>
    <xf numFmtId="0" fontId="32" fillId="0" borderId="0" xfId="9" applyFont="1" applyAlignment="1">
      <alignment vertical="center"/>
    </xf>
    <xf numFmtId="0" fontId="32" fillId="0" borderId="0" xfId="9" applyFont="1" applyFill="1" applyBorder="1" applyAlignment="1">
      <alignment vertical="center"/>
    </xf>
    <xf numFmtId="0" fontId="32" fillId="0" borderId="0" xfId="9" applyFont="1" applyFill="1" applyAlignment="1">
      <alignment vertical="center"/>
    </xf>
    <xf numFmtId="0" fontId="33" fillId="0" borderId="0" xfId="9" applyFont="1" applyAlignment="1">
      <alignment vertical="center"/>
    </xf>
    <xf numFmtId="182" fontId="39" fillId="0" borderId="0" xfId="9" applyNumberFormat="1" applyFont="1" applyAlignment="1">
      <alignment vertical="center"/>
    </xf>
    <xf numFmtId="0" fontId="39" fillId="0" borderId="0" xfId="9" applyFont="1" applyAlignment="1">
      <alignment vertical="center"/>
    </xf>
    <xf numFmtId="182" fontId="32" fillId="0" borderId="0" xfId="9" applyNumberFormat="1" applyFont="1" applyAlignment="1">
      <alignment vertical="center"/>
    </xf>
    <xf numFmtId="182" fontId="39" fillId="0" borderId="0" xfId="9" applyNumberFormat="1" applyFont="1" applyFill="1" applyBorder="1" applyAlignment="1">
      <alignment vertical="center"/>
    </xf>
    <xf numFmtId="0" fontId="34" fillId="0" borderId="1" xfId="9" quotePrefix="1" applyFont="1" applyFill="1" applyBorder="1" applyAlignment="1">
      <alignment horizontal="center" vertical="center"/>
    </xf>
    <xf numFmtId="0" fontId="34" fillId="0" borderId="3" xfId="9" quotePrefix="1" applyFont="1" applyFill="1" applyBorder="1" applyAlignment="1">
      <alignment horizontal="center" vertical="center"/>
    </xf>
    <xf numFmtId="0" fontId="34" fillId="0" borderId="5" xfId="9" applyFont="1" applyFill="1" applyBorder="1" applyAlignment="1">
      <alignment horizontal="center" vertical="center"/>
    </xf>
    <xf numFmtId="0" fontId="32" fillId="0" borderId="0" xfId="9" quotePrefix="1" applyFont="1" applyFill="1" applyBorder="1" applyAlignment="1">
      <alignment horizontal="center" vertical="center"/>
    </xf>
    <xf numFmtId="0" fontId="32" fillId="0" borderId="0" xfId="9" quotePrefix="1" applyFont="1" applyFill="1" applyAlignment="1">
      <alignment vertical="center"/>
    </xf>
    <xf numFmtId="177" fontId="32" fillId="0" borderId="7" xfId="2" applyNumberFormat="1" applyFont="1" applyFill="1" applyBorder="1" applyAlignment="1">
      <alignment vertical="center"/>
    </xf>
    <xf numFmtId="183" fontId="32" fillId="0" borderId="0" xfId="9" applyNumberFormat="1" applyFont="1" applyFill="1" applyAlignment="1">
      <alignment vertical="center"/>
    </xf>
    <xf numFmtId="183" fontId="37" fillId="0" borderId="0" xfId="2" applyNumberFormat="1" applyFont="1" applyFill="1" applyBorder="1" applyAlignment="1">
      <alignment vertical="center"/>
    </xf>
    <xf numFmtId="177" fontId="32" fillId="0" borderId="0" xfId="9" applyNumberFormat="1" applyFont="1" applyFill="1" applyBorder="1" applyAlignment="1">
      <alignment vertical="center"/>
    </xf>
    <xf numFmtId="177" fontId="32" fillId="0" borderId="0" xfId="9" applyNumberFormat="1" applyFont="1" applyFill="1" applyAlignment="1">
      <alignment vertical="center"/>
    </xf>
    <xf numFmtId="183" fontId="36" fillId="0" borderId="0" xfId="2" applyNumberFormat="1" applyFont="1" applyFill="1" applyBorder="1" applyAlignment="1">
      <alignment vertical="center"/>
    </xf>
    <xf numFmtId="178" fontId="32" fillId="0" borderId="23" xfId="2" applyNumberFormat="1" applyFont="1" applyFill="1" applyBorder="1" applyAlignment="1">
      <alignment vertical="center"/>
    </xf>
    <xf numFmtId="177" fontId="32" fillId="0" borderId="11" xfId="2" applyNumberFormat="1" applyFont="1" applyFill="1" applyBorder="1" applyAlignment="1">
      <alignment vertical="center"/>
    </xf>
    <xf numFmtId="177" fontId="32" fillId="3" borderId="24" xfId="2" applyNumberFormat="1" applyFont="1" applyFill="1" applyBorder="1" applyAlignment="1">
      <alignment vertical="center"/>
    </xf>
    <xf numFmtId="177" fontId="32" fillId="3" borderId="25" xfId="2" applyNumberFormat="1" applyFont="1" applyFill="1" applyBorder="1" applyAlignment="1">
      <alignment vertical="center"/>
    </xf>
    <xf numFmtId="177" fontId="32" fillId="0" borderId="26" xfId="2" applyNumberFormat="1" applyFont="1" applyFill="1" applyBorder="1" applyAlignment="1">
      <alignment vertical="center"/>
    </xf>
    <xf numFmtId="178" fontId="32" fillId="0" borderId="27" xfId="2" applyNumberFormat="1" applyFont="1" applyFill="1" applyBorder="1" applyAlignment="1">
      <alignment vertical="center"/>
    </xf>
    <xf numFmtId="183" fontId="40" fillId="0" borderId="0" xfId="2" applyNumberFormat="1" applyFont="1" applyFill="1" applyBorder="1" applyAlignment="1">
      <alignment vertical="center"/>
    </xf>
    <xf numFmtId="177" fontId="32" fillId="0" borderId="20" xfId="2" applyNumberFormat="1" applyFont="1" applyFill="1" applyBorder="1" applyAlignment="1">
      <alignment vertical="center"/>
    </xf>
    <xf numFmtId="0" fontId="32" fillId="0" borderId="0" xfId="9" applyFont="1" applyBorder="1" applyAlignment="1">
      <alignment vertical="center"/>
    </xf>
    <xf numFmtId="177" fontId="34" fillId="3" borderId="19" xfId="2" applyNumberFormat="1" applyFont="1" applyFill="1" applyBorder="1" applyAlignment="1">
      <alignment vertical="center"/>
    </xf>
    <xf numFmtId="177" fontId="34" fillId="0" borderId="20" xfId="2" applyNumberFormat="1" applyFont="1" applyFill="1" applyBorder="1" applyAlignment="1">
      <alignment vertical="center"/>
    </xf>
    <xf numFmtId="178" fontId="34" fillId="0" borderId="21" xfId="2" applyNumberFormat="1" applyFont="1" applyFill="1" applyBorder="1" applyAlignment="1">
      <alignment vertical="center"/>
    </xf>
    <xf numFmtId="178" fontId="32" fillId="0" borderId="20" xfId="2" applyNumberFormat="1" applyFont="1" applyFill="1" applyBorder="1" applyAlignment="1">
      <alignment vertical="center"/>
    </xf>
    <xf numFmtId="0" fontId="36" fillId="0" borderId="0" xfId="9" applyFont="1" applyAlignment="1">
      <alignment vertical="center"/>
    </xf>
    <xf numFmtId="0" fontId="32" fillId="0" borderId="0" xfId="9" applyFont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1" fillId="0" borderId="0" xfId="0" applyFont="1" applyFill="1" applyBorder="1" applyAlignment="1">
      <alignment vertical="center"/>
    </xf>
    <xf numFmtId="0" fontId="44" fillId="0" borderId="19" xfId="0" applyFont="1" applyFill="1" applyBorder="1" applyAlignment="1">
      <alignment horizontal="right" vertical="center"/>
    </xf>
    <xf numFmtId="0" fontId="45" fillId="0" borderId="19" xfId="0" applyFont="1" applyFill="1" applyBorder="1" applyAlignment="1">
      <alignment horizontal="right" vertical="center"/>
    </xf>
    <xf numFmtId="177" fontId="41" fillId="3" borderId="0" xfId="2" applyNumberFormat="1" applyFont="1" applyFill="1" applyBorder="1" applyAlignment="1">
      <alignment vertical="center"/>
    </xf>
    <xf numFmtId="184" fontId="44" fillId="0" borderId="0" xfId="2" applyNumberFormat="1" applyFont="1" applyFill="1" applyBorder="1" applyAlignment="1">
      <alignment vertical="center"/>
    </xf>
    <xf numFmtId="177" fontId="41" fillId="3" borderId="18" xfId="2" applyNumberFormat="1" applyFont="1" applyFill="1" applyBorder="1" applyAlignment="1">
      <alignment vertical="center"/>
    </xf>
    <xf numFmtId="177" fontId="41" fillId="3" borderId="6" xfId="2" applyNumberFormat="1" applyFont="1" applyFill="1" applyBorder="1" applyAlignment="1">
      <alignment vertical="center"/>
    </xf>
    <xf numFmtId="177" fontId="41" fillId="3" borderId="22" xfId="2" applyNumberFormat="1" applyFont="1" applyFill="1" applyBorder="1" applyAlignment="1">
      <alignment vertical="center"/>
    </xf>
    <xf numFmtId="184" fontId="44" fillId="0" borderId="6" xfId="2" applyNumberFormat="1" applyFont="1" applyFill="1" applyBorder="1" applyAlignment="1">
      <alignment vertical="center"/>
    </xf>
    <xf numFmtId="41" fontId="41" fillId="0" borderId="28" xfId="2" applyFont="1" applyFill="1" applyBorder="1" applyAlignment="1">
      <alignment horizontal="center" vertical="center"/>
    </xf>
    <xf numFmtId="177" fontId="41" fillId="0" borderId="28" xfId="2" applyNumberFormat="1" applyFont="1" applyFill="1" applyBorder="1" applyAlignment="1">
      <alignment vertical="center"/>
    </xf>
    <xf numFmtId="177" fontId="41" fillId="0" borderId="1" xfId="2" applyNumberFormat="1" applyFont="1" applyFill="1" applyBorder="1" applyAlignment="1">
      <alignment vertical="center"/>
    </xf>
    <xf numFmtId="177" fontId="41" fillId="3" borderId="24" xfId="2" applyNumberFormat="1" applyFont="1" applyFill="1" applyBorder="1" applyAlignment="1">
      <alignment vertical="center"/>
    </xf>
    <xf numFmtId="177" fontId="41" fillId="3" borderId="30" xfId="2" applyNumberFormat="1" applyFont="1" applyFill="1" applyBorder="1" applyAlignment="1">
      <alignment vertical="center"/>
    </xf>
    <xf numFmtId="177" fontId="41" fillId="3" borderId="31" xfId="2" applyNumberFormat="1" applyFont="1" applyFill="1" applyBorder="1" applyAlignment="1">
      <alignment vertical="center"/>
    </xf>
    <xf numFmtId="177" fontId="41" fillId="3" borderId="32" xfId="2" applyNumberFormat="1" applyFont="1" applyFill="1" applyBorder="1" applyAlignment="1">
      <alignment vertical="center"/>
    </xf>
    <xf numFmtId="0" fontId="45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185" fontId="46" fillId="0" borderId="0" xfId="6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186" fontId="41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32" fillId="0" borderId="0" xfId="0" applyFont="1" applyFill="1" applyBorder="1" applyAlignment="1">
      <alignment vertical="center"/>
    </xf>
    <xf numFmtId="176" fontId="37" fillId="0" borderId="0" xfId="2" applyNumberFormat="1" applyFont="1" applyFill="1" applyBorder="1" applyAlignment="1">
      <alignment vertical="center"/>
    </xf>
    <xf numFmtId="176" fontId="36" fillId="0" borderId="0" xfId="2" applyNumberFormat="1" applyFont="1" applyFill="1" applyBorder="1" applyAlignment="1">
      <alignment vertical="center"/>
    </xf>
    <xf numFmtId="177" fontId="32" fillId="0" borderId="19" xfId="2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4" fillId="0" borderId="33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center" vertical="center"/>
    </xf>
    <xf numFmtId="177" fontId="36" fillId="0" borderId="0" xfId="0" applyNumberFormat="1" applyFont="1" applyFill="1" applyAlignment="1">
      <alignment vertical="center"/>
    </xf>
    <xf numFmtId="178" fontId="32" fillId="0" borderId="16" xfId="2" applyNumberFormat="1" applyFont="1" applyFill="1" applyBorder="1" applyAlignment="1">
      <alignment vertical="center"/>
    </xf>
    <xf numFmtId="177" fontId="32" fillId="0" borderId="1" xfId="2" applyNumberFormat="1" applyFont="1" applyFill="1" applyBorder="1" applyAlignment="1">
      <alignment vertical="center"/>
    </xf>
    <xf numFmtId="0" fontId="32" fillId="0" borderId="9" xfId="0" applyFont="1" applyBorder="1" applyAlignment="1">
      <alignment horizontal="left" vertical="center"/>
    </xf>
    <xf numFmtId="178" fontId="32" fillId="0" borderId="7" xfId="2" applyNumberFormat="1" applyFont="1" applyFill="1" applyBorder="1" applyAlignment="1">
      <alignment vertical="center"/>
    </xf>
    <xf numFmtId="177" fontId="32" fillId="0" borderId="0" xfId="0" applyNumberFormat="1" applyFont="1" applyFill="1" applyBorder="1" applyAlignment="1">
      <alignment vertical="center"/>
    </xf>
    <xf numFmtId="177" fontId="32" fillId="3" borderId="34" xfId="2" applyNumberFormat="1" applyFont="1" applyFill="1" applyBorder="1" applyAlignment="1">
      <alignment vertical="center"/>
    </xf>
    <xf numFmtId="178" fontId="32" fillId="0" borderId="0" xfId="2" applyNumberFormat="1" applyFont="1" applyFill="1" applyBorder="1" applyAlignment="1">
      <alignment vertical="center"/>
    </xf>
    <xf numFmtId="177" fontId="32" fillId="0" borderId="34" xfId="0" applyNumberFormat="1" applyFont="1" applyFill="1" applyBorder="1" applyAlignment="1">
      <alignment vertical="center"/>
    </xf>
    <xf numFmtId="177" fontId="32" fillId="3" borderId="28" xfId="2" applyNumberFormat="1" applyFont="1" applyFill="1" applyBorder="1" applyAlignment="1">
      <alignment vertical="center"/>
    </xf>
    <xf numFmtId="178" fontId="32" fillId="0" borderId="14" xfId="2" applyNumberFormat="1" applyFont="1" applyFill="1" applyBorder="1" applyAlignment="1">
      <alignment vertical="center"/>
    </xf>
    <xf numFmtId="177" fontId="32" fillId="0" borderId="14" xfId="2" applyNumberFormat="1" applyFont="1" applyFill="1" applyBorder="1" applyAlignment="1">
      <alignment vertical="center"/>
    </xf>
    <xf numFmtId="177" fontId="32" fillId="0" borderId="28" xfId="0" applyNumberFormat="1" applyFont="1" applyFill="1" applyBorder="1" applyAlignment="1">
      <alignment vertical="center"/>
    </xf>
    <xf numFmtId="177" fontId="32" fillId="0" borderId="28" xfId="2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34" fillId="0" borderId="33" xfId="0" quotePrefix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vertical="center"/>
    </xf>
    <xf numFmtId="0" fontId="36" fillId="0" borderId="0" xfId="0" quotePrefix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176" fontId="37" fillId="0" borderId="0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47" fillId="0" borderId="0" xfId="0" applyFont="1" applyFill="1" applyAlignment="1">
      <alignment vertical="center"/>
    </xf>
    <xf numFmtId="0" fontId="38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vertical="center"/>
    </xf>
    <xf numFmtId="41" fontId="34" fillId="0" borderId="0" xfId="2" applyFont="1" applyFill="1" applyBorder="1" applyAlignment="1">
      <alignment vertical="center"/>
    </xf>
    <xf numFmtId="0" fontId="32" fillId="0" borderId="0" xfId="0" quotePrefix="1" applyFont="1" applyFill="1" applyBorder="1" applyAlignment="1">
      <alignment vertical="center"/>
    </xf>
    <xf numFmtId="41" fontId="32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Border="1" applyAlignment="1">
      <alignment vertical="center"/>
    </xf>
    <xf numFmtId="3" fontId="47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Alignment="1">
      <alignment vertical="center"/>
    </xf>
    <xf numFmtId="3" fontId="47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right" vertical="center"/>
    </xf>
    <xf numFmtId="0" fontId="16" fillId="0" borderId="0" xfId="7" applyFont="1" applyAlignment="1">
      <alignment vertical="center"/>
    </xf>
    <xf numFmtId="0" fontId="32" fillId="2" borderId="35" xfId="7" applyFont="1" applyFill="1" applyBorder="1" applyAlignment="1" applyProtection="1">
      <alignment horizontal="center" vertical="center"/>
    </xf>
    <xf numFmtId="0" fontId="32" fillId="2" borderId="14" xfId="7" applyFont="1" applyFill="1" applyBorder="1" applyAlignment="1" applyProtection="1">
      <alignment horizontal="center" vertical="center"/>
    </xf>
    <xf numFmtId="0" fontId="32" fillId="2" borderId="36" xfId="7" applyFont="1" applyFill="1" applyBorder="1" applyAlignment="1" applyProtection="1">
      <alignment horizontal="center" vertical="center"/>
    </xf>
    <xf numFmtId="0" fontId="32" fillId="2" borderId="37" xfId="7" applyNumberFormat="1" applyFont="1" applyFill="1" applyBorder="1" applyAlignment="1">
      <alignment horizontal="center" vertical="center" wrapText="1"/>
    </xf>
    <xf numFmtId="0" fontId="16" fillId="0" borderId="9" xfId="7" applyFont="1" applyBorder="1" applyAlignment="1">
      <alignment vertical="center"/>
    </xf>
    <xf numFmtId="177" fontId="32" fillId="0" borderId="38" xfId="7" applyNumberFormat="1" applyFont="1" applyFill="1" applyBorder="1" applyAlignment="1" applyProtection="1">
      <alignment vertical="center"/>
    </xf>
    <xf numFmtId="177" fontId="32" fillId="0" borderId="16" xfId="7" applyNumberFormat="1" applyFont="1" applyFill="1" applyBorder="1" applyAlignment="1" applyProtection="1">
      <alignment vertical="center"/>
    </xf>
    <xf numFmtId="177" fontId="32" fillId="0" borderId="16" xfId="7" quotePrefix="1" applyNumberFormat="1" applyFont="1" applyFill="1" applyBorder="1" applyAlignment="1" applyProtection="1">
      <alignment vertical="center"/>
    </xf>
    <xf numFmtId="177" fontId="32" fillId="0" borderId="39" xfId="7" applyNumberFormat="1" applyFont="1" applyBorder="1" applyAlignment="1" applyProtection="1">
      <alignment vertical="center"/>
    </xf>
    <xf numFmtId="187" fontId="0" fillId="0" borderId="0" xfId="0" applyNumberFormat="1" applyFont="1" applyAlignment="1"/>
    <xf numFmtId="188" fontId="16" fillId="0" borderId="9" xfId="7" applyNumberFormat="1" applyFont="1" applyBorder="1" applyAlignment="1" applyProtection="1">
      <alignment vertical="center"/>
    </xf>
    <xf numFmtId="0" fontId="32" fillId="2" borderId="40" xfId="7" applyFont="1" applyFill="1" applyBorder="1" applyAlignment="1" applyProtection="1">
      <alignment horizontal="center" vertical="center"/>
    </xf>
    <xf numFmtId="177" fontId="32" fillId="0" borderId="30" xfId="7" applyNumberFormat="1" applyFont="1" applyFill="1" applyBorder="1" applyAlignment="1" applyProtection="1">
      <alignment vertical="center"/>
    </xf>
    <xf numFmtId="177" fontId="32" fillId="0" borderId="11" xfId="7" applyNumberFormat="1" applyFont="1" applyBorder="1" applyAlignment="1" applyProtection="1">
      <alignment vertical="center"/>
    </xf>
    <xf numFmtId="177" fontId="32" fillId="0" borderId="11" xfId="2" applyNumberFormat="1" applyFont="1" applyBorder="1" applyAlignment="1" applyProtection="1">
      <alignment vertical="center"/>
    </xf>
    <xf numFmtId="177" fontId="32" fillId="0" borderId="11" xfId="7" applyNumberFormat="1" applyFont="1" applyFill="1" applyBorder="1" applyAlignment="1" applyProtection="1">
      <alignment vertical="center"/>
    </xf>
    <xf numFmtId="177" fontId="32" fillId="0" borderId="12" xfId="7" applyNumberFormat="1" applyFont="1" applyBorder="1" applyAlignment="1" applyProtection="1">
      <alignment vertical="center"/>
    </xf>
    <xf numFmtId="177" fontId="32" fillId="0" borderId="41" xfId="7" applyNumberFormat="1" applyFont="1" applyBorder="1" applyAlignment="1" applyProtection="1">
      <alignment vertical="center"/>
    </xf>
    <xf numFmtId="0" fontId="32" fillId="2" borderId="42" xfId="7" applyFont="1" applyFill="1" applyBorder="1" applyAlignment="1" applyProtection="1">
      <alignment horizontal="center" vertical="center"/>
    </xf>
    <xf numFmtId="177" fontId="32" fillId="0" borderId="34" xfId="7" applyNumberFormat="1" applyFont="1" applyFill="1" applyBorder="1" applyAlignment="1" applyProtection="1">
      <alignment vertical="center"/>
    </xf>
    <xf numFmtId="177" fontId="32" fillId="0" borderId="7" xfId="7" applyNumberFormat="1" applyFont="1" applyBorder="1" applyAlignment="1" applyProtection="1">
      <alignment vertical="center"/>
    </xf>
    <xf numFmtId="177" fontId="32" fillId="0" borderId="7" xfId="2" applyNumberFormat="1" applyFont="1" applyBorder="1" applyAlignment="1" applyProtection="1">
      <alignment vertical="center"/>
    </xf>
    <xf numFmtId="177" fontId="32" fillId="0" borderId="7" xfId="7" applyNumberFormat="1" applyFont="1" applyFill="1" applyBorder="1" applyAlignment="1" applyProtection="1">
      <alignment vertical="center"/>
    </xf>
    <xf numFmtId="177" fontId="32" fillId="0" borderId="8" xfId="7" applyNumberFormat="1" applyFont="1" applyBorder="1" applyAlignment="1" applyProtection="1">
      <alignment vertical="center"/>
    </xf>
    <xf numFmtId="0" fontId="32" fillId="2" borderId="12" xfId="7" applyFont="1" applyFill="1" applyBorder="1" applyAlignment="1" applyProtection="1">
      <alignment horizontal="center" vertical="center"/>
    </xf>
    <xf numFmtId="0" fontId="32" fillId="2" borderId="8" xfId="7" applyFont="1" applyFill="1" applyBorder="1" applyAlignment="1" applyProtection="1">
      <alignment horizontal="center" vertical="center"/>
    </xf>
    <xf numFmtId="0" fontId="32" fillId="2" borderId="23" xfId="7" applyFont="1" applyFill="1" applyBorder="1" applyAlignment="1" applyProtection="1">
      <alignment horizontal="center" vertical="center"/>
    </xf>
    <xf numFmtId="188" fontId="16" fillId="0" borderId="0" xfId="7" applyNumberFormat="1" applyFont="1" applyBorder="1" applyAlignment="1" applyProtection="1">
      <alignment vertical="center"/>
    </xf>
    <xf numFmtId="0" fontId="32" fillId="2" borderId="32" xfId="7" applyFont="1" applyFill="1" applyBorder="1" applyAlignment="1" applyProtection="1">
      <alignment horizontal="center" vertical="center"/>
    </xf>
    <xf numFmtId="0" fontId="32" fillId="2" borderId="43" xfId="7" applyFont="1" applyFill="1" applyBorder="1" applyAlignment="1" applyProtection="1">
      <alignment horizontal="center" vertical="center"/>
    </xf>
    <xf numFmtId="177" fontId="32" fillId="0" borderId="32" xfId="7" applyNumberFormat="1" applyFont="1" applyFill="1" applyBorder="1" applyAlignment="1" applyProtection="1">
      <alignment vertical="center"/>
    </xf>
    <xf numFmtId="177" fontId="32" fillId="0" borderId="43" xfId="7" applyNumberFormat="1" applyFont="1" applyBorder="1" applyAlignment="1" applyProtection="1">
      <alignment vertical="center"/>
    </xf>
    <xf numFmtId="177" fontId="32" fillId="0" borderId="44" xfId="7" applyNumberFormat="1" applyFont="1" applyBorder="1" applyAlignment="1">
      <alignment vertical="center"/>
    </xf>
    <xf numFmtId="177" fontId="32" fillId="0" borderId="43" xfId="7" applyNumberFormat="1" applyFont="1" applyBorder="1" applyAlignment="1">
      <alignment vertical="center"/>
    </xf>
    <xf numFmtId="177" fontId="32" fillId="0" borderId="43" xfId="7" applyNumberFormat="1" applyFont="1" applyFill="1" applyBorder="1" applyAlignment="1">
      <alignment vertical="center"/>
    </xf>
    <xf numFmtId="177" fontId="32" fillId="0" borderId="45" xfId="7" applyNumberFormat="1" applyFont="1" applyFill="1" applyBorder="1" applyAlignment="1" applyProtection="1">
      <alignment vertical="center"/>
    </xf>
    <xf numFmtId="177" fontId="32" fillId="0" borderId="46" xfId="7" applyNumberFormat="1" applyFont="1" applyBorder="1" applyAlignment="1">
      <alignment vertical="center"/>
    </xf>
    <xf numFmtId="0" fontId="32" fillId="2" borderId="47" xfId="7" applyFont="1" applyFill="1" applyBorder="1" applyAlignment="1" applyProtection="1">
      <alignment horizontal="center" vertical="center"/>
    </xf>
    <xf numFmtId="177" fontId="32" fillId="0" borderId="29" xfId="7" applyNumberFormat="1" applyFont="1" applyFill="1" applyBorder="1" applyAlignment="1" applyProtection="1">
      <alignment vertical="center"/>
    </xf>
    <xf numFmtId="177" fontId="32" fillId="0" borderId="48" xfId="7" applyNumberFormat="1" applyFont="1" applyBorder="1" applyAlignment="1" applyProtection="1">
      <alignment vertical="center"/>
    </xf>
    <xf numFmtId="177" fontId="32" fillId="0" borderId="49" xfId="7" applyNumberFormat="1" applyFont="1" applyBorder="1" applyAlignment="1">
      <alignment vertical="center"/>
    </xf>
    <xf numFmtId="177" fontId="32" fillId="0" borderId="48" xfId="7" applyNumberFormat="1" applyFont="1" applyBorder="1" applyAlignment="1">
      <alignment vertical="center"/>
    </xf>
    <xf numFmtId="177" fontId="32" fillId="0" borderId="48" xfId="7" applyNumberFormat="1" applyFont="1" applyFill="1" applyBorder="1" applyAlignment="1">
      <alignment vertical="center"/>
    </xf>
    <xf numFmtId="177" fontId="32" fillId="0" borderId="50" xfId="7" applyNumberFormat="1" applyFont="1" applyFill="1" applyBorder="1" applyAlignment="1" applyProtection="1">
      <alignment vertical="center"/>
    </xf>
    <xf numFmtId="177" fontId="32" fillId="0" borderId="51" xfId="7" applyNumberFormat="1" applyFont="1" applyBorder="1" applyAlignment="1">
      <alignment vertical="center"/>
    </xf>
    <xf numFmtId="0" fontId="32" fillId="2" borderId="10" xfId="7" applyFont="1" applyFill="1" applyBorder="1" applyAlignment="1" applyProtection="1">
      <alignment horizontal="center" vertical="center"/>
    </xf>
    <xf numFmtId="0" fontId="32" fillId="2" borderId="52" xfId="7" applyFont="1" applyFill="1" applyBorder="1" applyAlignment="1" applyProtection="1">
      <alignment horizontal="center" vertical="center"/>
    </xf>
    <xf numFmtId="177" fontId="32" fillId="0" borderId="24" xfId="7" applyNumberFormat="1" applyFont="1" applyBorder="1" applyAlignment="1">
      <alignment vertical="center"/>
    </xf>
    <xf numFmtId="177" fontId="32" fillId="0" borderId="11" xfId="7" applyNumberFormat="1" applyFont="1" applyBorder="1" applyAlignment="1">
      <alignment vertical="center"/>
    </xf>
    <xf numFmtId="177" fontId="32" fillId="0" borderId="11" xfId="7" applyNumberFormat="1" applyFont="1" applyFill="1" applyBorder="1" applyAlignment="1">
      <alignment vertical="center"/>
    </xf>
    <xf numFmtId="177" fontId="32" fillId="0" borderId="40" xfId="7" applyNumberFormat="1" applyFont="1" applyFill="1" applyBorder="1" applyAlignment="1" applyProtection="1">
      <alignment vertical="center"/>
    </xf>
    <xf numFmtId="177" fontId="32" fillId="0" borderId="41" xfId="7" applyNumberFormat="1" applyFont="1" applyBorder="1" applyAlignment="1">
      <alignment vertical="center"/>
    </xf>
    <xf numFmtId="177" fontId="32" fillId="0" borderId="53" xfId="7" applyNumberFormat="1" applyFont="1" applyFill="1" applyBorder="1" applyAlignment="1" applyProtection="1">
      <alignment vertical="center"/>
    </xf>
    <xf numFmtId="177" fontId="32" fillId="0" borderId="14" xfId="7" applyNumberFormat="1" applyFont="1" applyBorder="1" applyAlignment="1" applyProtection="1">
      <alignment vertical="center"/>
    </xf>
    <xf numFmtId="177" fontId="32" fillId="0" borderId="14" xfId="7" applyNumberFormat="1" applyFont="1" applyBorder="1" applyAlignment="1">
      <alignment vertical="center"/>
    </xf>
    <xf numFmtId="177" fontId="32" fillId="0" borderId="28" xfId="7" applyNumberFormat="1" applyFont="1" applyBorder="1" applyAlignment="1">
      <alignment vertical="center"/>
    </xf>
    <xf numFmtId="177" fontId="32" fillId="0" borderId="14" xfId="7" applyNumberFormat="1" applyFont="1" applyFill="1" applyBorder="1" applyAlignment="1">
      <alignment vertical="center"/>
    </xf>
    <xf numFmtId="177" fontId="32" fillId="0" borderId="36" xfId="7" applyNumberFormat="1" applyFont="1" applyFill="1" applyBorder="1" applyAlignment="1" applyProtection="1">
      <alignment vertical="center"/>
    </xf>
    <xf numFmtId="177" fontId="32" fillId="0" borderId="37" xfId="7" applyNumberFormat="1" applyFont="1" applyBorder="1" applyAlignment="1">
      <alignment vertical="center"/>
    </xf>
    <xf numFmtId="0" fontId="32" fillId="0" borderId="0" xfId="7" applyFont="1" applyAlignment="1">
      <alignment vertical="center"/>
    </xf>
    <xf numFmtId="41" fontId="32" fillId="0" borderId="0" xfId="7" applyNumberFormat="1" applyFont="1" applyAlignment="1">
      <alignment vertical="center"/>
    </xf>
    <xf numFmtId="0" fontId="32" fillId="0" borderId="0" xfId="7" applyFont="1" applyAlignment="1">
      <alignment horizontal="right" vertical="center"/>
    </xf>
    <xf numFmtId="0" fontId="32" fillId="0" borderId="0" xfId="0" applyFont="1" applyAlignment="1"/>
    <xf numFmtId="49" fontId="45" fillId="0" borderId="0" xfId="0" applyNumberFormat="1" applyFont="1" applyFill="1" applyAlignment="1">
      <alignment horizontal="left" vertical="center"/>
    </xf>
    <xf numFmtId="0" fontId="19" fillId="0" borderId="0" xfId="7" applyFont="1" applyAlignment="1">
      <alignment vertical="center"/>
    </xf>
    <xf numFmtId="3" fontId="19" fillId="0" borderId="0" xfId="7" applyNumberFormat="1" applyFont="1" applyAlignment="1">
      <alignment vertical="center"/>
    </xf>
    <xf numFmtId="41" fontId="19" fillId="0" borderId="0" xfId="7" applyNumberFormat="1" applyFont="1" applyAlignment="1">
      <alignment vertical="center"/>
    </xf>
    <xf numFmtId="0" fontId="19" fillId="0" borderId="0" xfId="7" applyFont="1" applyAlignment="1">
      <alignment horizontal="right" vertical="center"/>
    </xf>
    <xf numFmtId="187" fontId="19" fillId="0" borderId="0" xfId="7" applyNumberFormat="1" applyFont="1" applyFill="1" applyBorder="1" applyAlignment="1" applyProtection="1">
      <alignment vertical="center"/>
    </xf>
    <xf numFmtId="187" fontId="19" fillId="0" borderId="0" xfId="7" applyNumberFormat="1" applyFont="1" applyBorder="1" applyAlignment="1" applyProtection="1">
      <alignment vertical="center"/>
    </xf>
    <xf numFmtId="187" fontId="19" fillId="0" borderId="0" xfId="7" applyNumberFormat="1" applyFont="1" applyBorder="1" applyAlignment="1">
      <alignment vertical="center"/>
    </xf>
    <xf numFmtId="187" fontId="19" fillId="0" borderId="0" xfId="7" applyNumberFormat="1" applyFont="1" applyFill="1" applyBorder="1" applyAlignment="1">
      <alignment vertical="center"/>
    </xf>
    <xf numFmtId="0" fontId="19" fillId="0" borderId="0" xfId="7" applyFont="1" applyFill="1" applyBorder="1" applyAlignment="1" applyProtection="1">
      <alignment horizontal="center" vertical="center"/>
    </xf>
    <xf numFmtId="0" fontId="20" fillId="0" borderId="0" xfId="7" applyFont="1" applyFill="1" applyBorder="1" applyAlignment="1" applyProtection="1">
      <alignment horizontal="center" vertical="center"/>
    </xf>
    <xf numFmtId="0" fontId="38" fillId="0" borderId="19" xfId="9" applyFont="1" applyBorder="1" applyAlignment="1">
      <alignment horizontal="right"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177" fontId="32" fillId="3" borderId="60" xfId="2" applyNumberFormat="1" applyFont="1" applyFill="1" applyBorder="1" applyAlignment="1">
      <alignment vertical="center"/>
    </xf>
    <xf numFmtId="178" fontId="32" fillId="3" borderId="55" xfId="2" applyNumberFormat="1" applyFont="1" applyFill="1" applyBorder="1" applyAlignment="1">
      <alignment vertical="center"/>
    </xf>
    <xf numFmtId="178" fontId="32" fillId="3" borderId="23" xfId="2" applyNumberFormat="1" applyFont="1" applyFill="1" applyBorder="1" applyAlignment="1">
      <alignment vertical="center"/>
    </xf>
    <xf numFmtId="177" fontId="32" fillId="0" borderId="60" xfId="2" applyNumberFormat="1" applyFont="1" applyFill="1" applyBorder="1" applyAlignment="1">
      <alignment vertical="center"/>
    </xf>
    <xf numFmtId="178" fontId="32" fillId="3" borderId="26" xfId="2" applyNumberFormat="1" applyFont="1" applyFill="1" applyBorder="1" applyAlignment="1">
      <alignment vertical="center"/>
    </xf>
    <xf numFmtId="178" fontId="32" fillId="3" borderId="27" xfId="2" applyNumberFormat="1" applyFont="1" applyFill="1" applyBorder="1" applyAlignment="1">
      <alignment vertical="center"/>
    </xf>
    <xf numFmtId="177" fontId="32" fillId="0" borderId="62" xfId="2" applyNumberFormat="1" applyFont="1" applyFill="1" applyBorder="1" applyAlignment="1">
      <alignment vertical="center"/>
    </xf>
    <xf numFmtId="177" fontId="32" fillId="3" borderId="44" xfId="2" applyNumberFormat="1" applyFont="1" applyFill="1" applyBorder="1" applyAlignment="1">
      <alignment vertical="center"/>
    </xf>
    <xf numFmtId="178" fontId="32" fillId="3" borderId="43" xfId="2" applyNumberFormat="1" applyFont="1" applyFill="1" applyBorder="1" applyAlignment="1">
      <alignment vertical="center"/>
    </xf>
    <xf numFmtId="178" fontId="32" fillId="3" borderId="63" xfId="2" applyNumberFormat="1" applyFont="1" applyFill="1" applyBorder="1" applyAlignment="1">
      <alignment vertical="center"/>
    </xf>
    <xf numFmtId="177" fontId="32" fillId="0" borderId="31" xfId="2" applyNumberFormat="1" applyFont="1" applyFill="1" applyBorder="1" applyAlignment="1">
      <alignment vertical="center"/>
    </xf>
    <xf numFmtId="178" fontId="32" fillId="0" borderId="63" xfId="2" applyNumberFormat="1" applyFont="1" applyFill="1" applyBorder="1" applyAlignment="1">
      <alignment vertical="center"/>
    </xf>
    <xf numFmtId="177" fontId="32" fillId="3" borderId="64" xfId="2" applyNumberFormat="1" applyFont="1" applyFill="1" applyBorder="1" applyAlignment="1">
      <alignment vertical="center"/>
    </xf>
    <xf numFmtId="178" fontId="32" fillId="3" borderId="65" xfId="2" applyNumberFormat="1" applyFont="1" applyFill="1" applyBorder="1" applyAlignment="1">
      <alignment vertical="center"/>
    </xf>
    <xf numFmtId="178" fontId="32" fillId="3" borderId="66" xfId="2" applyNumberFormat="1" applyFont="1" applyFill="1" applyBorder="1" applyAlignment="1">
      <alignment vertical="center"/>
    </xf>
    <xf numFmtId="177" fontId="32" fillId="0" borderId="64" xfId="2" applyNumberFormat="1" applyFont="1" applyFill="1" applyBorder="1" applyAlignment="1">
      <alignment vertical="center"/>
    </xf>
    <xf numFmtId="178" fontId="32" fillId="0" borderId="66" xfId="2" applyNumberFormat="1" applyFont="1" applyFill="1" applyBorder="1" applyAlignment="1">
      <alignment vertical="center"/>
    </xf>
    <xf numFmtId="177" fontId="32" fillId="3" borderId="57" xfId="2" applyNumberFormat="1" applyFont="1" applyFill="1" applyBorder="1" applyAlignment="1">
      <alignment vertical="center"/>
    </xf>
    <xf numFmtId="178" fontId="32" fillId="3" borderId="48" xfId="2" applyNumberFormat="1" applyFont="1" applyFill="1" applyBorder="1" applyAlignment="1">
      <alignment vertical="center"/>
    </xf>
    <xf numFmtId="178" fontId="32" fillId="3" borderId="67" xfId="2" applyNumberFormat="1" applyFont="1" applyFill="1" applyBorder="1" applyAlignment="1">
      <alignment vertical="center"/>
    </xf>
    <xf numFmtId="177" fontId="32" fillId="0" borderId="57" xfId="2" applyNumberFormat="1" applyFont="1" applyFill="1" applyBorder="1" applyAlignment="1">
      <alignment vertical="center"/>
    </xf>
    <xf numFmtId="178" fontId="32" fillId="0" borderId="67" xfId="2" applyNumberFormat="1" applyFont="1" applyFill="1" applyBorder="1" applyAlignment="1">
      <alignment vertical="center"/>
    </xf>
    <xf numFmtId="177" fontId="32" fillId="3" borderId="62" xfId="2" applyNumberFormat="1" applyFont="1" applyFill="1" applyBorder="1" applyAlignment="1">
      <alignment vertical="center"/>
    </xf>
    <xf numFmtId="0" fontId="38" fillId="0" borderId="0" xfId="9" applyFont="1" applyBorder="1" applyAlignment="1">
      <alignment horizontal="right" vertical="center"/>
    </xf>
    <xf numFmtId="177" fontId="32" fillId="0" borderId="8" xfId="2" applyNumberFormat="1" applyFont="1" applyFill="1" applyBorder="1" applyAlignment="1">
      <alignment vertical="center"/>
    </xf>
    <xf numFmtId="177" fontId="32" fillId="0" borderId="12" xfId="2" applyNumberFormat="1" applyFont="1" applyFill="1" applyBorder="1" applyAlignment="1">
      <alignment vertical="center"/>
    </xf>
    <xf numFmtId="177" fontId="32" fillId="0" borderId="27" xfId="2" applyNumberFormat="1" applyFont="1" applyFill="1" applyBorder="1" applyAlignment="1">
      <alignment vertical="center"/>
    </xf>
    <xf numFmtId="177" fontId="32" fillId="0" borderId="21" xfId="2" applyNumberFormat="1" applyFont="1" applyFill="1" applyBorder="1" applyAlignment="1">
      <alignment vertical="center"/>
    </xf>
    <xf numFmtId="177" fontId="34" fillId="0" borderId="21" xfId="2" applyNumberFormat="1" applyFont="1" applyFill="1" applyBorder="1" applyAlignment="1">
      <alignment vertical="center"/>
    </xf>
    <xf numFmtId="0" fontId="34" fillId="3" borderId="33" xfId="9" applyFont="1" applyFill="1" applyBorder="1" applyAlignment="1">
      <alignment horizontal="center" vertical="center"/>
    </xf>
    <xf numFmtId="41" fontId="32" fillId="0" borderId="39" xfId="2" applyFont="1" applyBorder="1" applyAlignment="1">
      <alignment vertical="center"/>
    </xf>
    <xf numFmtId="41" fontId="32" fillId="0" borderId="56" xfId="2" applyFont="1" applyBorder="1" applyAlignment="1">
      <alignment vertical="center"/>
    </xf>
    <xf numFmtId="41" fontId="32" fillId="0" borderId="41" xfId="2" applyFont="1" applyBorder="1" applyAlignment="1">
      <alignment vertical="center"/>
    </xf>
    <xf numFmtId="41" fontId="32" fillId="0" borderId="68" xfId="2" applyFont="1" applyBorder="1" applyAlignment="1">
      <alignment vertical="center"/>
    </xf>
    <xf numFmtId="41" fontId="32" fillId="0" borderId="69" xfId="2" applyFont="1" applyBorder="1" applyAlignment="1">
      <alignment vertical="center"/>
    </xf>
    <xf numFmtId="41" fontId="34" fillId="0" borderId="37" xfId="2" applyFont="1" applyBorder="1" applyAlignment="1">
      <alignment vertical="center"/>
    </xf>
    <xf numFmtId="177" fontId="32" fillId="3" borderId="70" xfId="2" applyNumberFormat="1" applyFont="1" applyFill="1" applyBorder="1" applyAlignment="1">
      <alignment vertical="center"/>
    </xf>
    <xf numFmtId="177" fontId="32" fillId="0" borderId="55" xfId="2" applyNumberFormat="1" applyFont="1" applyFill="1" applyBorder="1" applyAlignment="1">
      <alignment vertical="center"/>
    </xf>
    <xf numFmtId="177" fontId="32" fillId="0" borderId="23" xfId="2" applyNumberFormat="1" applyFont="1" applyFill="1" applyBorder="1" applyAlignment="1">
      <alignment vertical="center"/>
    </xf>
    <xf numFmtId="41" fontId="32" fillId="0" borderId="37" xfId="2" applyFont="1" applyBorder="1" applyAlignment="1">
      <alignment vertical="center"/>
    </xf>
    <xf numFmtId="177" fontId="32" fillId="0" borderId="15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8" fillId="0" borderId="0" xfId="7" applyFont="1" applyFill="1" applyAlignment="1">
      <alignment horizontal="left" vertical="center"/>
    </xf>
    <xf numFmtId="0" fontId="0" fillId="4" borderId="94" xfId="0" applyFill="1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97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31" fillId="5" borderId="98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41" fontId="32" fillId="0" borderId="0" xfId="2" applyFont="1" applyBorder="1" applyAlignment="1">
      <alignment horizontal="left" vertical="center"/>
    </xf>
    <xf numFmtId="177" fontId="32" fillId="0" borderId="39" xfId="2" applyNumberFormat="1" applyFont="1" applyFill="1" applyBorder="1" applyAlignment="1">
      <alignment vertical="center"/>
    </xf>
    <xf numFmtId="177" fontId="32" fillId="0" borderId="69" xfId="2" applyNumberFormat="1" applyFont="1" applyFill="1" applyBorder="1" applyAlignment="1">
      <alignment vertical="center"/>
    </xf>
    <xf numFmtId="177" fontId="32" fillId="0" borderId="71" xfId="2" applyNumberFormat="1" applyFont="1" applyFill="1" applyBorder="1" applyAlignment="1">
      <alignment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60" xfId="0" applyFont="1" applyFill="1" applyBorder="1" applyAlignment="1">
      <alignment horizontal="left" vertical="center"/>
    </xf>
    <xf numFmtId="0" fontId="32" fillId="0" borderId="61" xfId="0" applyFont="1" applyFill="1" applyBorder="1" applyAlignment="1">
      <alignment vertical="center"/>
    </xf>
    <xf numFmtId="3" fontId="32" fillId="0" borderId="0" xfId="0" applyNumberFormat="1" applyFont="1" applyBorder="1" applyAlignment="1">
      <alignment vertical="center"/>
    </xf>
    <xf numFmtId="41" fontId="32" fillId="0" borderId="0" xfId="2" applyFont="1" applyAlignment="1">
      <alignment vertical="center"/>
    </xf>
    <xf numFmtId="0" fontId="50" fillId="0" borderId="0" xfId="0" applyFont="1" applyFill="1" applyBorder="1" applyAlignment="1">
      <alignment vertical="center"/>
    </xf>
    <xf numFmtId="190" fontId="32" fillId="0" borderId="0" xfId="2" applyNumberFormat="1" applyFont="1" applyAlignment="1">
      <alignment vertical="center"/>
    </xf>
    <xf numFmtId="191" fontId="32" fillId="0" borderId="9" xfId="0" applyNumberFormat="1" applyFont="1" applyBorder="1" applyAlignment="1">
      <alignment vertical="center"/>
    </xf>
    <xf numFmtId="191" fontId="32" fillId="4" borderId="2" xfId="0" applyNumberFormat="1" applyFont="1" applyFill="1" applyBorder="1" applyAlignment="1">
      <alignment vertical="center"/>
    </xf>
    <xf numFmtId="191" fontId="32" fillId="4" borderId="66" xfId="0" applyNumberFormat="1" applyFont="1" applyFill="1" applyBorder="1" applyAlignment="1">
      <alignment vertical="center"/>
    </xf>
    <xf numFmtId="0" fontId="32" fillId="0" borderId="13" xfId="0" applyFont="1" applyBorder="1" applyAlignment="1">
      <alignment horizontal="left" vertical="center"/>
    </xf>
    <xf numFmtId="0" fontId="32" fillId="0" borderId="72" xfId="0" applyFont="1" applyBorder="1" applyAlignment="1">
      <alignment horizontal="left" vertical="center"/>
    </xf>
    <xf numFmtId="0" fontId="51" fillId="6" borderId="99" xfId="0" applyFont="1" applyFill="1" applyBorder="1" applyAlignment="1">
      <alignment horizontal="center" vertical="center"/>
    </xf>
    <xf numFmtId="0" fontId="52" fillId="7" borderId="100" xfId="0" applyFont="1" applyFill="1" applyBorder="1">
      <alignment vertical="center"/>
    </xf>
    <xf numFmtId="0" fontId="52" fillId="7" borderId="101" xfId="0" applyFont="1" applyFill="1" applyBorder="1" applyAlignment="1">
      <alignment horizontal="center" vertical="center"/>
    </xf>
    <xf numFmtId="0" fontId="53" fillId="7" borderId="103" xfId="0" applyFont="1" applyFill="1" applyBorder="1">
      <alignment vertical="center"/>
    </xf>
    <xf numFmtId="0" fontId="53" fillId="7" borderId="104" xfId="0" applyFont="1" applyFill="1" applyBorder="1">
      <alignment vertical="center"/>
    </xf>
    <xf numFmtId="0" fontId="53" fillId="7" borderId="105" xfId="0" applyFont="1" applyFill="1" applyBorder="1" applyAlignment="1">
      <alignment horizontal="center" vertical="center"/>
    </xf>
    <xf numFmtId="0" fontId="51" fillId="6" borderId="106" xfId="0" quotePrefix="1" applyFont="1" applyFill="1" applyBorder="1" applyAlignment="1">
      <alignment horizontal="center" vertical="center"/>
    </xf>
    <xf numFmtId="189" fontId="54" fillId="7" borderId="107" xfId="0" applyNumberFormat="1" applyFont="1" applyFill="1" applyBorder="1">
      <alignment vertical="center"/>
    </xf>
    <xf numFmtId="189" fontId="54" fillId="7" borderId="108" xfId="0" applyNumberFormat="1" applyFont="1" applyFill="1" applyBorder="1">
      <alignment vertical="center"/>
    </xf>
    <xf numFmtId="0" fontId="53" fillId="7" borderId="103" xfId="0" applyFont="1" applyFill="1" applyBorder="1" applyAlignment="1">
      <alignment vertical="center"/>
    </xf>
    <xf numFmtId="0" fontId="34" fillId="7" borderId="104" xfId="8" applyFont="1" applyFill="1" applyBorder="1" applyAlignment="1">
      <alignment vertical="center"/>
    </xf>
    <xf numFmtId="0" fontId="53" fillId="7" borderId="104" xfId="0" applyFont="1" applyFill="1" applyBorder="1" applyAlignment="1">
      <alignment vertical="center"/>
    </xf>
    <xf numFmtId="189" fontId="54" fillId="7" borderId="102" xfId="0" applyNumberFormat="1" applyFont="1" applyFill="1" applyBorder="1">
      <alignment vertical="center"/>
    </xf>
    <xf numFmtId="0" fontId="31" fillId="7" borderId="103" xfId="0" applyFont="1" applyFill="1" applyBorder="1">
      <alignment vertical="center"/>
    </xf>
    <xf numFmtId="0" fontId="31" fillId="7" borderId="104" xfId="0" applyFont="1" applyFill="1" applyBorder="1">
      <alignment vertical="center"/>
    </xf>
    <xf numFmtId="0" fontId="0" fillId="7" borderId="105" xfId="0" applyFill="1" applyBorder="1" applyAlignment="1">
      <alignment horizontal="center" vertical="center"/>
    </xf>
    <xf numFmtId="0" fontId="53" fillId="7" borderId="105" xfId="0" applyFont="1" applyFill="1" applyBorder="1">
      <alignment vertical="center"/>
    </xf>
    <xf numFmtId="0" fontId="53" fillId="7" borderId="109" xfId="0" applyFont="1" applyFill="1" applyBorder="1">
      <alignment vertical="center"/>
    </xf>
    <xf numFmtId="0" fontId="53" fillId="7" borderId="100" xfId="0" applyFont="1" applyFill="1" applyBorder="1">
      <alignment vertical="center"/>
    </xf>
    <xf numFmtId="0" fontId="53" fillId="7" borderId="101" xfId="0" applyFont="1" applyFill="1" applyBorder="1" applyAlignment="1">
      <alignment horizontal="center" vertical="center"/>
    </xf>
    <xf numFmtId="0" fontId="34" fillId="7" borderId="104" xfId="0" applyFont="1" applyFill="1" applyBorder="1">
      <alignment vertical="center"/>
    </xf>
    <xf numFmtId="0" fontId="53" fillId="7" borderId="110" xfId="0" applyFont="1" applyFill="1" applyBorder="1">
      <alignment vertical="center"/>
    </xf>
    <xf numFmtId="0" fontId="53" fillId="7" borderId="111" xfId="0" applyFont="1" applyFill="1" applyBorder="1">
      <alignment vertical="center"/>
    </xf>
    <xf numFmtId="0" fontId="53" fillId="7" borderId="112" xfId="0" applyFont="1" applyFill="1" applyBorder="1" applyAlignment="1">
      <alignment horizontal="center" vertical="center"/>
    </xf>
    <xf numFmtId="189" fontId="54" fillId="7" borderId="113" xfId="0" applyNumberFormat="1" applyFont="1" applyFill="1" applyBorder="1">
      <alignment vertical="center"/>
    </xf>
    <xf numFmtId="0" fontId="52" fillId="7" borderId="105" xfId="0" applyFont="1" applyFill="1" applyBorder="1">
      <alignment vertical="center"/>
    </xf>
    <xf numFmtId="0" fontId="52" fillId="7" borderId="105" xfId="0" applyFont="1" applyFill="1" applyBorder="1" applyAlignment="1">
      <alignment horizontal="center" vertical="center"/>
    </xf>
    <xf numFmtId="0" fontId="34" fillId="7" borderId="103" xfId="0" applyFont="1" applyFill="1" applyBorder="1">
      <alignment vertical="center"/>
    </xf>
    <xf numFmtId="0" fontId="32" fillId="7" borderId="105" xfId="0" applyFont="1" applyFill="1" applyBorder="1" applyAlignment="1">
      <alignment horizontal="center" vertical="center"/>
    </xf>
    <xf numFmtId="0" fontId="53" fillId="7" borderId="114" xfId="0" applyFont="1" applyFill="1" applyBorder="1">
      <alignment vertical="center"/>
    </xf>
    <xf numFmtId="0" fontId="53" fillId="7" borderId="115" xfId="0" applyFont="1" applyFill="1" applyBorder="1">
      <alignment vertical="center"/>
    </xf>
    <xf numFmtId="0" fontId="53" fillId="7" borderId="116" xfId="0" applyFont="1" applyFill="1" applyBorder="1" applyAlignment="1">
      <alignment horizontal="center" vertical="center"/>
    </xf>
    <xf numFmtId="41" fontId="36" fillId="0" borderId="0" xfId="2" applyFont="1" applyAlignment="1">
      <alignment vertical="center"/>
    </xf>
    <xf numFmtId="0" fontId="30" fillId="6" borderId="99" xfId="0" applyFont="1" applyFill="1" applyBorder="1" applyAlignment="1">
      <alignment horizontal="center" vertical="center"/>
    </xf>
    <xf numFmtId="0" fontId="55" fillId="7" borderId="100" xfId="0" applyFont="1" applyFill="1" applyBorder="1">
      <alignment vertical="center"/>
    </xf>
    <xf numFmtId="0" fontId="48" fillId="7" borderId="101" xfId="0" applyFont="1" applyFill="1" applyBorder="1" applyAlignment="1">
      <alignment horizontal="center" vertical="center"/>
    </xf>
    <xf numFmtId="0" fontId="55" fillId="7" borderId="109" xfId="0" applyFont="1" applyFill="1" applyBorder="1">
      <alignment vertical="center"/>
    </xf>
    <xf numFmtId="189" fontId="54" fillId="7" borderId="101" xfId="0" applyNumberFormat="1" applyFont="1" applyFill="1" applyBorder="1" applyAlignment="1">
      <alignment vertical="center"/>
    </xf>
    <xf numFmtId="0" fontId="55" fillId="7" borderId="103" xfId="0" applyFont="1" applyFill="1" applyBorder="1">
      <alignment vertical="center"/>
    </xf>
    <xf numFmtId="0" fontId="55" fillId="7" borderId="104" xfId="0" applyFont="1" applyFill="1" applyBorder="1">
      <alignment vertical="center"/>
    </xf>
    <xf numFmtId="189" fontId="54" fillId="7" borderId="105" xfId="0" applyNumberFormat="1" applyFont="1" applyFill="1" applyBorder="1" applyAlignment="1">
      <alignment vertical="center"/>
    </xf>
    <xf numFmtId="189" fontId="26" fillId="7" borderId="105" xfId="0" applyNumberFormat="1" applyFont="1" applyFill="1" applyBorder="1" applyAlignment="1">
      <alignment vertical="center"/>
    </xf>
    <xf numFmtId="189" fontId="26" fillId="7" borderId="101" xfId="0" applyNumberFormat="1" applyFont="1" applyFill="1" applyBorder="1" applyAlignment="1">
      <alignment vertical="center"/>
    </xf>
    <xf numFmtId="0" fontId="31" fillId="7" borderId="109" xfId="0" applyFont="1" applyFill="1" applyBorder="1">
      <alignment vertical="center"/>
    </xf>
    <xf numFmtId="0" fontId="31" fillId="7" borderId="100" xfId="0" applyFont="1" applyFill="1" applyBorder="1">
      <alignment vertical="center"/>
    </xf>
    <xf numFmtId="0" fontId="0" fillId="7" borderId="101" xfId="0" applyFill="1" applyBorder="1" applyAlignment="1">
      <alignment horizontal="center" vertical="center"/>
    </xf>
    <xf numFmtId="0" fontId="0" fillId="7" borderId="105" xfId="0" quotePrefix="1" applyFill="1" applyBorder="1" applyAlignment="1">
      <alignment horizontal="center" vertical="center"/>
    </xf>
    <xf numFmtId="189" fontId="54" fillId="7" borderId="105" xfId="0" quotePrefix="1" applyNumberFormat="1" applyFont="1" applyFill="1" applyBorder="1" applyAlignment="1">
      <alignment vertical="center"/>
    </xf>
    <xf numFmtId="0" fontId="31" fillId="7" borderId="114" xfId="0" applyFont="1" applyFill="1" applyBorder="1">
      <alignment vertical="center"/>
    </xf>
    <xf numFmtId="0" fontId="31" fillId="7" borderId="115" xfId="0" applyFont="1" applyFill="1" applyBorder="1">
      <alignment vertical="center"/>
    </xf>
    <xf numFmtId="0" fontId="0" fillId="7" borderId="116" xfId="0" applyFill="1" applyBorder="1" applyAlignment="1">
      <alignment horizontal="center" vertical="center"/>
    </xf>
    <xf numFmtId="0" fontId="56" fillId="7" borderId="110" xfId="0" applyFont="1" applyFill="1" applyBorder="1">
      <alignment vertical="center"/>
    </xf>
    <xf numFmtId="0" fontId="31" fillId="7" borderId="111" xfId="0" applyFont="1" applyFill="1" applyBorder="1">
      <alignment vertical="center"/>
    </xf>
    <xf numFmtId="0" fontId="0" fillId="7" borderId="112" xfId="0" applyFill="1" applyBorder="1" applyAlignment="1">
      <alignment horizontal="center" vertical="center"/>
    </xf>
    <xf numFmtId="189" fontId="54" fillId="7" borderId="116" xfId="0" applyNumberFormat="1" applyFont="1" applyFill="1" applyBorder="1" applyAlignment="1">
      <alignment vertical="center"/>
    </xf>
    <xf numFmtId="189" fontId="54" fillId="7" borderId="112" xfId="0" applyNumberFormat="1" applyFont="1" applyFill="1" applyBorder="1" applyAlignment="1">
      <alignment vertical="center"/>
    </xf>
    <xf numFmtId="0" fontId="48" fillId="7" borderId="105" xfId="0" applyFont="1" applyFill="1" applyBorder="1" applyAlignment="1">
      <alignment horizontal="center" vertical="center"/>
    </xf>
    <xf numFmtId="177" fontId="41" fillId="0" borderId="75" xfId="0" quotePrefix="1" applyNumberFormat="1" applyFont="1" applyFill="1" applyBorder="1" applyAlignment="1">
      <alignment horizontal="right" vertical="center"/>
    </xf>
    <xf numFmtId="177" fontId="41" fillId="0" borderId="76" xfId="2" applyNumberFormat="1" applyFont="1" applyFill="1" applyBorder="1" applyAlignment="1">
      <alignment vertical="center"/>
    </xf>
    <xf numFmtId="177" fontId="41" fillId="0" borderId="74" xfId="2" applyNumberFormat="1" applyFont="1" applyFill="1" applyBorder="1" applyAlignment="1">
      <alignment vertical="center"/>
    </xf>
    <xf numFmtId="177" fontId="41" fillId="0" borderId="77" xfId="2" applyNumberFormat="1" applyFont="1" applyFill="1" applyBorder="1" applyAlignment="1">
      <alignment vertical="center"/>
    </xf>
    <xf numFmtId="177" fontId="41" fillId="0" borderId="35" xfId="2" applyNumberFormat="1" applyFont="1" applyFill="1" applyBorder="1" applyAlignment="1">
      <alignment vertical="center"/>
    </xf>
    <xf numFmtId="177" fontId="41" fillId="0" borderId="8" xfId="2" applyNumberFormat="1" applyFont="1" applyFill="1" applyBorder="1" applyAlignment="1">
      <alignment vertical="center"/>
    </xf>
    <xf numFmtId="177" fontId="41" fillId="0" borderId="17" xfId="2" applyNumberFormat="1" applyFont="1" applyFill="1" applyBorder="1" applyAlignment="1">
      <alignment vertical="center"/>
    </xf>
    <xf numFmtId="177" fontId="41" fillId="0" borderId="21" xfId="2" applyNumberFormat="1" applyFont="1" applyFill="1" applyBorder="1" applyAlignment="1">
      <alignment vertical="center"/>
    </xf>
    <xf numFmtId="177" fontId="41" fillId="0" borderId="15" xfId="2" applyNumberFormat="1" applyFont="1" applyFill="1" applyBorder="1" applyAlignment="1">
      <alignment vertical="center"/>
    </xf>
    <xf numFmtId="178" fontId="41" fillId="0" borderId="78" xfId="2" applyNumberFormat="1" applyFont="1" applyFill="1" applyBorder="1" applyAlignment="1">
      <alignment vertical="center"/>
    </xf>
    <xf numFmtId="178" fontId="41" fillId="0" borderId="42" xfId="2" applyNumberFormat="1" applyFont="1" applyFill="1" applyBorder="1" applyAlignment="1">
      <alignment vertical="center"/>
    </xf>
    <xf numFmtId="178" fontId="41" fillId="0" borderId="79" xfId="2" applyNumberFormat="1" applyFont="1" applyFill="1" applyBorder="1" applyAlignment="1">
      <alignment vertical="center"/>
    </xf>
    <xf numFmtId="178" fontId="41" fillId="0" borderId="36" xfId="2" applyNumberFormat="1" applyFont="1" applyFill="1" applyBorder="1" applyAlignment="1">
      <alignment vertical="center"/>
    </xf>
    <xf numFmtId="178" fontId="41" fillId="0" borderId="40" xfId="2" applyNumberFormat="1" applyFont="1" applyFill="1" applyBorder="1" applyAlignment="1">
      <alignment vertical="center"/>
    </xf>
    <xf numFmtId="178" fontId="41" fillId="0" borderId="45" xfId="2" applyNumberFormat="1" applyFont="1" applyFill="1" applyBorder="1" applyAlignment="1">
      <alignment vertical="center"/>
    </xf>
    <xf numFmtId="177" fontId="41" fillId="0" borderId="12" xfId="2" applyNumberFormat="1" applyFont="1" applyFill="1" applyBorder="1" applyAlignment="1">
      <alignment horizontal="right" vertical="center"/>
    </xf>
    <xf numFmtId="177" fontId="41" fillId="0" borderId="63" xfId="0" quotePrefix="1" applyNumberFormat="1" applyFont="1" applyFill="1" applyBorder="1" applyAlignment="1">
      <alignment horizontal="right" vertical="center"/>
    </xf>
    <xf numFmtId="177" fontId="41" fillId="3" borderId="34" xfId="2" applyNumberFormat="1" applyFont="1" applyFill="1" applyBorder="1" applyAlignment="1">
      <alignment vertical="center"/>
    </xf>
    <xf numFmtId="177" fontId="41" fillId="3" borderId="38" xfId="2" applyNumberFormat="1" applyFont="1" applyFill="1" applyBorder="1" applyAlignment="1">
      <alignment vertical="center"/>
    </xf>
    <xf numFmtId="177" fontId="41" fillId="3" borderId="80" xfId="2" applyNumberFormat="1" applyFont="1" applyFill="1" applyBorder="1" applyAlignment="1">
      <alignment vertical="center"/>
    </xf>
    <xf numFmtId="177" fontId="41" fillId="3" borderId="53" xfId="2" applyNumberFormat="1" applyFont="1" applyFill="1" applyBorder="1" applyAlignment="1">
      <alignment vertical="center"/>
    </xf>
    <xf numFmtId="178" fontId="32" fillId="0" borderId="61" xfId="2" applyNumberFormat="1" applyFont="1" applyFill="1" applyBorder="1" applyAlignment="1">
      <alignment vertical="center"/>
    </xf>
    <xf numFmtId="178" fontId="41" fillId="0" borderId="33" xfId="2" applyNumberFormat="1" applyFont="1" applyFill="1" applyBorder="1" applyAlignment="1">
      <alignment vertical="center"/>
    </xf>
    <xf numFmtId="178" fontId="41" fillId="0" borderId="9" xfId="2" applyNumberFormat="1" applyFont="1" applyFill="1" applyBorder="1" applyAlignment="1">
      <alignment vertical="center"/>
    </xf>
    <xf numFmtId="178" fontId="41" fillId="0" borderId="81" xfId="2" applyNumberFormat="1" applyFont="1" applyFill="1" applyBorder="1" applyAlignment="1">
      <alignment vertical="center"/>
    </xf>
    <xf numFmtId="178" fontId="41" fillId="0" borderId="72" xfId="2" applyNumberFormat="1" applyFont="1" applyFill="1" applyBorder="1" applyAlignment="1">
      <alignment vertical="center"/>
    </xf>
    <xf numFmtId="178" fontId="41" fillId="0" borderId="82" xfId="2" applyNumberFormat="1" applyFont="1" applyFill="1" applyBorder="1" applyAlignment="1">
      <alignment vertical="center"/>
    </xf>
    <xf numFmtId="3" fontId="41" fillId="0" borderId="0" xfId="0" applyNumberFormat="1" applyFont="1" applyFill="1" applyAlignment="1">
      <alignment horizontal="center" vertical="center"/>
    </xf>
    <xf numFmtId="189" fontId="26" fillId="7" borderId="102" xfId="0" applyNumberFormat="1" applyFont="1" applyFill="1" applyBorder="1">
      <alignment vertical="center"/>
    </xf>
    <xf numFmtId="0" fontId="31" fillId="7" borderId="105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91" fontId="31" fillId="5" borderId="118" xfId="0" applyNumberFormat="1" applyFont="1" applyFill="1" applyBorder="1" applyAlignment="1">
      <alignment vertical="center"/>
    </xf>
    <xf numFmtId="177" fontId="32" fillId="3" borderId="13" xfId="0" applyNumberFormat="1" applyFont="1" applyFill="1" applyBorder="1" applyAlignment="1">
      <alignment vertical="center"/>
    </xf>
    <xf numFmtId="178" fontId="32" fillId="0" borderId="15" xfId="0" applyNumberFormat="1" applyFont="1" applyFill="1" applyBorder="1" applyAlignment="1">
      <alignment vertical="center"/>
    </xf>
    <xf numFmtId="177" fontId="32" fillId="0" borderId="13" xfId="0" applyNumberFormat="1" applyFont="1" applyFill="1" applyBorder="1" applyAlignment="1">
      <alignment vertical="center"/>
    </xf>
    <xf numFmtId="177" fontId="32" fillId="0" borderId="37" xfId="0" applyNumberFormat="1" applyFont="1" applyFill="1" applyBorder="1" applyAlignment="1">
      <alignment vertical="center"/>
    </xf>
    <xf numFmtId="177" fontId="32" fillId="0" borderId="0" xfId="0" applyNumberFormat="1" applyFont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91" fontId="32" fillId="4" borderId="73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24" xfId="0" applyBorder="1" applyAlignment="1">
      <alignment vertical="center"/>
    </xf>
    <xf numFmtId="0" fontId="0" fillId="0" borderId="125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6" xfId="0" applyBorder="1" applyAlignment="1">
      <alignment vertical="center"/>
    </xf>
    <xf numFmtId="0" fontId="0" fillId="0" borderId="127" xfId="0" applyFill="1" applyBorder="1" applyAlignment="1">
      <alignment vertical="center"/>
    </xf>
    <xf numFmtId="0" fontId="31" fillId="4" borderId="128" xfId="0" applyFont="1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31" fillId="4" borderId="18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1" fillId="5" borderId="129" xfId="0" applyFont="1" applyFill="1" applyBorder="1" applyAlignment="1">
      <alignment vertical="center"/>
    </xf>
    <xf numFmtId="0" fontId="31" fillId="5" borderId="118" xfId="0" applyFont="1" applyFill="1" applyBorder="1" applyAlignment="1">
      <alignment vertical="center"/>
    </xf>
    <xf numFmtId="178" fontId="41" fillId="0" borderId="67" xfId="2" applyNumberFormat="1" applyFont="1" applyFill="1" applyBorder="1" applyAlignment="1">
      <alignment vertical="center"/>
    </xf>
    <xf numFmtId="177" fontId="41" fillId="0" borderId="47" xfId="2" applyNumberFormat="1" applyFont="1" applyFill="1" applyBorder="1" applyAlignment="1">
      <alignment vertical="center"/>
    </xf>
    <xf numFmtId="0" fontId="60" fillId="0" borderId="0" xfId="0" applyFont="1" applyFill="1" applyAlignment="1">
      <alignment vertical="center"/>
    </xf>
    <xf numFmtId="0" fontId="6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62" fillId="4" borderId="28" xfId="0" applyFont="1" applyFill="1" applyBorder="1" applyAlignment="1">
      <alignment horizontal="center" vertical="center" wrapText="1" readingOrder="1"/>
    </xf>
    <xf numFmtId="0" fontId="31" fillId="4" borderId="53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36" xfId="0" applyFont="1" applyFill="1" applyBorder="1" applyAlignment="1">
      <alignment horizontal="center" vertical="center"/>
    </xf>
    <xf numFmtId="0" fontId="31" fillId="0" borderId="72" xfId="0" applyFont="1" applyFill="1" applyBorder="1" applyAlignment="1">
      <alignment horizontal="center" vertical="center"/>
    </xf>
    <xf numFmtId="192" fontId="31" fillId="0" borderId="53" xfId="0" applyNumberFormat="1" applyFont="1" applyFill="1" applyBorder="1">
      <alignment vertical="center"/>
    </xf>
    <xf numFmtId="192" fontId="31" fillId="0" borderId="14" xfId="0" applyNumberFormat="1" applyFont="1" applyFill="1" applyBorder="1">
      <alignment vertical="center"/>
    </xf>
    <xf numFmtId="192" fontId="31" fillId="0" borderId="35" xfId="0" applyNumberFormat="1" applyFont="1" applyFill="1" applyBorder="1">
      <alignment vertical="center"/>
    </xf>
    <xf numFmtId="192" fontId="31" fillId="0" borderId="36" xfId="0" applyNumberFormat="1" applyFont="1" applyFill="1" applyBorder="1">
      <alignment vertical="center"/>
    </xf>
    <xf numFmtId="0" fontId="0" fillId="0" borderId="33" xfId="0" applyFont="1" applyFill="1" applyBorder="1" applyAlignment="1">
      <alignment horizontal="center" vertical="center"/>
    </xf>
    <xf numFmtId="192" fontId="0" fillId="0" borderId="38" xfId="0" applyNumberFormat="1" applyFont="1" applyFill="1" applyBorder="1">
      <alignment vertical="center"/>
    </xf>
    <xf numFmtId="192" fontId="0" fillId="0" borderId="16" xfId="0" applyNumberFormat="1" applyFont="1" applyFill="1" applyBorder="1">
      <alignment vertical="center"/>
    </xf>
    <xf numFmtId="192" fontId="0" fillId="0" borderId="74" xfId="0" applyNumberFormat="1" applyFont="1" applyFill="1" applyBorder="1">
      <alignment vertical="center"/>
    </xf>
    <xf numFmtId="192" fontId="0" fillId="0" borderId="78" xfId="0" applyNumberFormat="1" applyFont="1" applyFill="1" applyBorder="1">
      <alignment vertical="center"/>
    </xf>
    <xf numFmtId="0" fontId="0" fillId="0" borderId="9" xfId="0" applyFont="1" applyFill="1" applyBorder="1" applyAlignment="1">
      <alignment horizontal="center" vertical="center"/>
    </xf>
    <xf numFmtId="192" fontId="0" fillId="0" borderId="34" xfId="0" applyNumberFormat="1" applyFont="1" applyFill="1" applyBorder="1">
      <alignment vertical="center"/>
    </xf>
    <xf numFmtId="192" fontId="0" fillId="0" borderId="7" xfId="0" applyNumberFormat="1" applyFont="1" applyFill="1" applyBorder="1">
      <alignment vertical="center"/>
    </xf>
    <xf numFmtId="192" fontId="0" fillId="0" borderId="76" xfId="0" applyNumberFormat="1" applyFont="1" applyFill="1" applyBorder="1">
      <alignment vertical="center"/>
    </xf>
    <xf numFmtId="192" fontId="0" fillId="0" borderId="42" xfId="0" applyNumberFormat="1" applyFont="1" applyFill="1" applyBorder="1">
      <alignment vertical="center"/>
    </xf>
    <xf numFmtId="0" fontId="0" fillId="0" borderId="81" xfId="0" applyFont="1" applyFill="1" applyBorder="1" applyAlignment="1">
      <alignment horizontal="center" vertical="center"/>
    </xf>
    <xf numFmtId="192" fontId="0" fillId="0" borderId="80" xfId="0" applyNumberFormat="1" applyFont="1" applyFill="1" applyBorder="1">
      <alignment vertical="center"/>
    </xf>
    <xf numFmtId="192" fontId="0" fillId="0" borderId="20" xfId="0" applyNumberFormat="1" applyFont="1" applyFill="1" applyBorder="1">
      <alignment vertical="center"/>
    </xf>
    <xf numFmtId="192" fontId="0" fillId="0" borderId="77" xfId="0" applyNumberFormat="1" applyFont="1" applyFill="1" applyBorder="1">
      <alignment vertical="center"/>
    </xf>
    <xf numFmtId="192" fontId="0" fillId="0" borderId="7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34" fillId="7" borderId="103" xfId="8" applyFont="1" applyFill="1" applyBorder="1" applyAlignment="1">
      <alignment vertical="center"/>
    </xf>
    <xf numFmtId="189" fontId="54" fillId="7" borderId="102" xfId="2" applyNumberFormat="1" applyFont="1" applyFill="1" applyBorder="1">
      <alignment vertical="center"/>
    </xf>
    <xf numFmtId="189" fontId="54" fillId="7" borderId="106" xfId="0" applyNumberFormat="1" applyFont="1" applyFill="1" applyBorder="1">
      <alignment vertical="center"/>
    </xf>
    <xf numFmtId="0" fontId="24" fillId="7" borderId="109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191" fontId="32" fillId="0" borderId="9" xfId="0" applyNumberFormat="1" applyFont="1" applyBorder="1" applyAlignment="1">
      <alignment horizontal="right" vertical="center"/>
    </xf>
    <xf numFmtId="177" fontId="34" fillId="4" borderId="64" xfId="2" applyNumberFormat="1" applyFont="1" applyFill="1" applyBorder="1" applyAlignment="1">
      <alignment vertical="center"/>
    </xf>
    <xf numFmtId="177" fontId="32" fillId="3" borderId="30" xfId="2" applyNumberFormat="1" applyFont="1" applyFill="1" applyBorder="1" applyAlignment="1">
      <alignment vertical="center"/>
    </xf>
    <xf numFmtId="177" fontId="34" fillId="4" borderId="29" xfId="2" applyNumberFormat="1" applyFont="1" applyFill="1" applyBorder="1" applyAlignment="1">
      <alignment vertical="center"/>
    </xf>
    <xf numFmtId="177" fontId="31" fillId="5" borderId="119" xfId="0" applyNumberFormat="1" applyFont="1" applyFill="1" applyBorder="1" applyAlignment="1">
      <alignment vertical="center"/>
    </xf>
    <xf numFmtId="177" fontId="34" fillId="4" borderId="83" xfId="2" applyNumberFormat="1" applyFont="1" applyFill="1" applyBorder="1" applyAlignment="1">
      <alignment vertical="center"/>
    </xf>
    <xf numFmtId="177" fontId="31" fillId="5" borderId="119" xfId="2" applyNumberFormat="1" applyFont="1" applyFill="1" applyBorder="1" applyAlignment="1">
      <alignment vertical="center"/>
    </xf>
    <xf numFmtId="177" fontId="32" fillId="4" borderId="83" xfId="2" applyNumberFormat="1" applyFont="1" applyFill="1" applyBorder="1" applyAlignment="1">
      <alignment vertical="center"/>
    </xf>
    <xf numFmtId="177" fontId="32" fillId="4" borderId="66" xfId="2" applyNumberFormat="1" applyFont="1" applyFill="1" applyBorder="1" applyAlignment="1">
      <alignment vertical="center"/>
    </xf>
    <xf numFmtId="177" fontId="32" fillId="0" borderId="34" xfId="2" applyNumberFormat="1" applyFont="1" applyBorder="1" applyAlignment="1">
      <alignment vertical="center"/>
    </xf>
    <xf numFmtId="177" fontId="32" fillId="0" borderId="8" xfId="2" applyNumberFormat="1" applyFont="1" applyBorder="1" applyAlignment="1">
      <alignment vertical="center"/>
    </xf>
    <xf numFmtId="177" fontId="32" fillId="4" borderId="29" xfId="2" applyNumberFormat="1" applyFont="1" applyFill="1" applyBorder="1" applyAlignment="1">
      <alignment vertical="center"/>
    </xf>
    <xf numFmtId="177" fontId="32" fillId="4" borderId="67" xfId="2" applyNumberFormat="1" applyFont="1" applyFill="1" applyBorder="1" applyAlignment="1">
      <alignment vertical="center"/>
    </xf>
    <xf numFmtId="177" fontId="31" fillId="5" borderId="130" xfId="2" applyNumberFormat="1" applyFont="1" applyFill="1" applyBorder="1" applyAlignment="1">
      <alignment vertical="center"/>
    </xf>
    <xf numFmtId="0" fontId="34" fillId="0" borderId="33" xfId="0" applyFont="1" applyFill="1" applyBorder="1" applyAlignment="1">
      <alignment horizontal="center" vertical="center"/>
    </xf>
    <xf numFmtId="0" fontId="34" fillId="3" borderId="18" xfId="9" quotePrefix="1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178" fontId="32" fillId="3" borderId="8" xfId="2" applyNumberFormat="1" applyFont="1" applyFill="1" applyBorder="1" applyAlignment="1">
      <alignment horizontal="right" vertical="center"/>
    </xf>
    <xf numFmtId="178" fontId="32" fillId="0" borderId="8" xfId="2" applyNumberFormat="1" applyFont="1" applyFill="1" applyBorder="1" applyAlignment="1">
      <alignment horizontal="right" vertical="center"/>
    </xf>
    <xf numFmtId="191" fontId="32" fillId="4" borderId="2" xfId="0" applyNumberFormat="1" applyFont="1" applyFill="1" applyBorder="1" applyAlignment="1">
      <alignment horizontal="right" vertical="center"/>
    </xf>
    <xf numFmtId="0" fontId="5" fillId="0" borderId="120" xfId="0" applyFont="1" applyBorder="1" applyAlignment="1">
      <alignment horizontal="center" vertical="center"/>
    </xf>
    <xf numFmtId="38" fontId="57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34" fillId="0" borderId="10" xfId="0" applyFont="1" applyBorder="1" applyAlignment="1">
      <alignment horizontal="left" vertical="center"/>
    </xf>
    <xf numFmtId="0" fontId="34" fillId="0" borderId="59" xfId="0" applyFont="1" applyBorder="1" applyAlignment="1">
      <alignment horizontal="left" vertical="center"/>
    </xf>
    <xf numFmtId="0" fontId="38" fillId="0" borderId="19" xfId="0" applyFont="1" applyBorder="1" applyAlignment="1">
      <alignment horizontal="right" vertical="center"/>
    </xf>
    <xf numFmtId="0" fontId="34" fillId="0" borderId="18" xfId="0" applyFont="1" applyFill="1" applyBorder="1" applyAlignment="1">
      <alignment horizontal="center" vertical="center"/>
    </xf>
    <xf numFmtId="0" fontId="34" fillId="0" borderId="33" xfId="0" applyFont="1" applyFill="1" applyBorder="1" applyAlignment="1">
      <alignment horizontal="center" vertical="center"/>
    </xf>
    <xf numFmtId="0" fontId="34" fillId="0" borderId="58" xfId="0" applyFont="1" applyFill="1" applyBorder="1" applyAlignment="1">
      <alignment horizontal="center" vertical="center"/>
    </xf>
    <xf numFmtId="0" fontId="34" fillId="0" borderId="85" xfId="0" applyFont="1" applyFill="1" applyBorder="1" applyAlignment="1">
      <alignment horizontal="center" vertical="center"/>
    </xf>
    <xf numFmtId="0" fontId="34" fillId="3" borderId="18" xfId="0" quotePrefix="1" applyFont="1" applyFill="1" applyBorder="1" applyAlignment="1">
      <alignment horizontal="center" vertical="center"/>
    </xf>
    <xf numFmtId="0" fontId="34" fillId="3" borderId="58" xfId="0" quotePrefix="1" applyFont="1" applyFill="1" applyBorder="1" applyAlignment="1">
      <alignment horizontal="center" vertical="center"/>
    </xf>
    <xf numFmtId="0" fontId="34" fillId="0" borderId="18" xfId="0" quotePrefix="1" applyFont="1" applyFill="1" applyBorder="1" applyAlignment="1">
      <alignment horizontal="center" vertical="center"/>
    </xf>
    <xf numFmtId="0" fontId="34" fillId="0" borderId="58" xfId="0" quotePrefix="1" applyFont="1" applyFill="1" applyBorder="1" applyAlignment="1">
      <alignment horizontal="center" vertical="center"/>
    </xf>
    <xf numFmtId="0" fontId="34" fillId="0" borderId="64" xfId="0" applyFont="1" applyBorder="1" applyAlignment="1">
      <alignment horizontal="left" vertical="center"/>
    </xf>
    <xf numFmtId="0" fontId="34" fillId="0" borderId="73" xfId="0" applyFont="1" applyBorder="1" applyAlignment="1">
      <alignment horizontal="left" vertical="center"/>
    </xf>
    <xf numFmtId="0" fontId="34" fillId="0" borderId="13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34" fillId="0" borderId="22" xfId="0" applyFont="1" applyBorder="1" applyAlignment="1">
      <alignment horizontal="left" vertical="center"/>
    </xf>
    <xf numFmtId="0" fontId="34" fillId="0" borderId="81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34" fillId="0" borderId="84" xfId="0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0" fontId="34" fillId="0" borderId="82" xfId="0" applyFont="1" applyBorder="1" applyAlignment="1">
      <alignment horizontal="left" vertical="center"/>
    </xf>
    <xf numFmtId="0" fontId="34" fillId="0" borderId="37" xfId="0" applyFont="1" applyBorder="1" applyAlignment="1">
      <alignment horizontal="center" vertical="center"/>
    </xf>
    <xf numFmtId="0" fontId="34" fillId="0" borderId="57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4" fillId="3" borderId="18" xfId="9" quotePrefix="1" applyFont="1" applyFill="1" applyBorder="1" applyAlignment="1">
      <alignment horizontal="center" vertical="center"/>
    </xf>
    <xf numFmtId="0" fontId="34" fillId="3" borderId="58" xfId="9" quotePrefix="1" applyFont="1" applyFill="1" applyBorder="1" applyAlignment="1">
      <alignment horizontal="center" vertical="center"/>
    </xf>
    <xf numFmtId="0" fontId="34" fillId="0" borderId="18" xfId="9" quotePrefix="1" applyFont="1" applyFill="1" applyBorder="1" applyAlignment="1">
      <alignment horizontal="center" vertical="center"/>
    </xf>
    <xf numFmtId="0" fontId="34" fillId="0" borderId="58" xfId="9" quotePrefix="1" applyFont="1" applyFill="1" applyBorder="1" applyAlignment="1">
      <alignment horizontal="center" vertical="center"/>
    </xf>
    <xf numFmtId="0" fontId="34" fillId="0" borderId="17" xfId="9" quotePrefix="1" applyFont="1" applyFill="1" applyBorder="1" applyAlignment="1">
      <alignment horizontal="center" vertical="center" wrapText="1"/>
    </xf>
    <xf numFmtId="0" fontId="34" fillId="0" borderId="4" xfId="9" quotePrefix="1" applyFont="1" applyFill="1" applyBorder="1" applyAlignment="1">
      <alignment horizontal="center" vertical="center"/>
    </xf>
    <xf numFmtId="0" fontId="34" fillId="0" borderId="71" xfId="9" applyFont="1" applyFill="1" applyBorder="1" applyAlignment="1">
      <alignment horizontal="center" vertical="center"/>
    </xf>
    <xf numFmtId="0" fontId="34" fillId="0" borderId="86" xfId="9" applyFont="1" applyFill="1" applyBorder="1" applyAlignment="1">
      <alignment horizontal="center" vertical="center"/>
    </xf>
    <xf numFmtId="0" fontId="34" fillId="0" borderId="18" xfId="9" applyFont="1" applyFill="1" applyBorder="1" applyAlignment="1">
      <alignment horizontal="center" vertical="center"/>
    </xf>
    <xf numFmtId="0" fontId="34" fillId="0" borderId="1" xfId="9" applyFont="1" applyFill="1" applyBorder="1" applyAlignment="1">
      <alignment horizontal="center" vertical="center"/>
    </xf>
    <xf numFmtId="0" fontId="34" fillId="0" borderId="33" xfId="9" applyFont="1" applyFill="1" applyBorder="1" applyAlignment="1">
      <alignment horizontal="center" vertical="center"/>
    </xf>
    <xf numFmtId="0" fontId="34" fillId="0" borderId="58" xfId="9" applyFont="1" applyFill="1" applyBorder="1" applyAlignment="1">
      <alignment horizontal="center" vertical="center"/>
    </xf>
    <xf numFmtId="0" fontId="34" fillId="0" borderId="87" xfId="9" applyFont="1" applyFill="1" applyBorder="1" applyAlignment="1">
      <alignment horizontal="center" vertical="center"/>
    </xf>
    <xf numFmtId="0" fontId="34" fillId="0" borderId="85" xfId="9" applyFont="1" applyFill="1" applyBorder="1" applyAlignment="1">
      <alignment horizontal="center" vertical="center"/>
    </xf>
    <xf numFmtId="0" fontId="34" fillId="0" borderId="38" xfId="9" quotePrefix="1" applyFont="1" applyFill="1" applyBorder="1" applyAlignment="1">
      <alignment horizontal="center" vertical="center"/>
    </xf>
    <xf numFmtId="0" fontId="34" fillId="0" borderId="88" xfId="9" quotePrefix="1" applyFont="1" applyFill="1" applyBorder="1" applyAlignment="1">
      <alignment horizontal="center" vertical="center"/>
    </xf>
    <xf numFmtId="41" fontId="32" fillId="0" borderId="13" xfId="2" applyFont="1" applyBorder="1" applyAlignment="1">
      <alignment horizontal="left" vertical="center"/>
    </xf>
    <xf numFmtId="41" fontId="32" fillId="0" borderId="72" xfId="2" applyFont="1" applyBorder="1" applyAlignment="1">
      <alignment horizontal="left" vertical="center"/>
    </xf>
    <xf numFmtId="41" fontId="32" fillId="0" borderId="18" xfId="2" applyFont="1" applyBorder="1" applyAlignment="1">
      <alignment horizontal="left" vertical="center"/>
    </xf>
    <xf numFmtId="41" fontId="32" fillId="0" borderId="33" xfId="2" applyFont="1" applyBorder="1" applyAlignment="1">
      <alignment horizontal="left" vertical="center"/>
    </xf>
    <xf numFmtId="0" fontId="34" fillId="3" borderId="18" xfId="9" quotePrefix="1" applyFont="1" applyFill="1" applyBorder="1" applyAlignment="1">
      <alignment horizontal="center" vertical="center" wrapText="1"/>
    </xf>
    <xf numFmtId="41" fontId="32" fillId="0" borderId="91" xfId="2" applyFont="1" applyBorder="1" applyAlignment="1">
      <alignment horizontal="left" vertical="center"/>
    </xf>
    <xf numFmtId="41" fontId="32" fillId="0" borderId="92" xfId="2" applyFont="1" applyBorder="1" applyAlignment="1">
      <alignment horizontal="left" vertical="center"/>
    </xf>
    <xf numFmtId="41" fontId="32" fillId="0" borderId="89" xfId="2" applyFont="1" applyBorder="1" applyAlignment="1">
      <alignment horizontal="left" vertical="center"/>
    </xf>
    <xf numFmtId="41" fontId="32" fillId="0" borderId="90" xfId="2" applyFont="1" applyBorder="1" applyAlignment="1">
      <alignment horizontal="left" vertical="center"/>
    </xf>
    <xf numFmtId="0" fontId="34" fillId="0" borderId="71" xfId="9" quotePrefix="1" applyFont="1" applyFill="1" applyBorder="1" applyAlignment="1">
      <alignment horizontal="center" vertical="center" wrapText="1"/>
    </xf>
    <xf numFmtId="0" fontId="34" fillId="0" borderId="86" xfId="9" quotePrefix="1" applyFont="1" applyFill="1" applyBorder="1" applyAlignment="1">
      <alignment horizontal="center" vertical="center"/>
    </xf>
    <xf numFmtId="0" fontId="58" fillId="0" borderId="18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58" fillId="0" borderId="33" xfId="0" applyFont="1" applyFill="1" applyBorder="1" applyAlignment="1">
      <alignment horizontal="center" vertical="center"/>
    </xf>
    <xf numFmtId="0" fontId="58" fillId="0" borderId="58" xfId="0" applyFont="1" applyFill="1" applyBorder="1" applyAlignment="1">
      <alignment horizontal="center" vertical="center"/>
    </xf>
    <xf numFmtId="0" fontId="58" fillId="0" borderId="87" xfId="0" applyFont="1" applyFill="1" applyBorder="1" applyAlignment="1">
      <alignment horizontal="center" vertical="center"/>
    </xf>
    <xf numFmtId="0" fontId="58" fillId="0" borderId="85" xfId="0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left" vertical="center"/>
    </xf>
    <xf numFmtId="41" fontId="41" fillId="0" borderId="13" xfId="2" applyFont="1" applyFill="1" applyBorder="1" applyAlignment="1">
      <alignment horizontal="center" vertical="center"/>
    </xf>
    <xf numFmtId="41" fontId="41" fillId="0" borderId="28" xfId="2" applyFont="1" applyFill="1" applyBorder="1" applyAlignment="1">
      <alignment horizontal="center" vertical="center"/>
    </xf>
    <xf numFmtId="41" fontId="41" fillId="0" borderId="72" xfId="2" applyFont="1" applyFill="1" applyBorder="1" applyAlignment="1">
      <alignment horizontal="center" vertical="center"/>
    </xf>
    <xf numFmtId="41" fontId="41" fillId="0" borderId="62" xfId="2" applyFont="1" applyFill="1" applyBorder="1" applyAlignment="1">
      <alignment horizontal="center" vertical="center"/>
    </xf>
    <xf numFmtId="41" fontId="41" fillId="0" borderId="25" xfId="2" applyFont="1" applyFill="1" applyBorder="1" applyAlignment="1">
      <alignment horizontal="center" vertical="center"/>
    </xf>
    <xf numFmtId="41" fontId="41" fillId="0" borderId="84" xfId="2" applyFont="1" applyFill="1" applyBorder="1" applyAlignment="1">
      <alignment horizontal="center" vertical="center"/>
    </xf>
    <xf numFmtId="0" fontId="41" fillId="0" borderId="31" xfId="0" applyFont="1" applyFill="1" applyBorder="1" applyAlignment="1">
      <alignment horizontal="center" vertical="center"/>
    </xf>
    <xf numFmtId="0" fontId="41" fillId="0" borderId="44" xfId="0" applyFont="1" applyFill="1" applyBorder="1" applyAlignment="1">
      <alignment horizontal="center" vertical="center"/>
    </xf>
    <xf numFmtId="0" fontId="41" fillId="0" borderId="82" xfId="0" applyFont="1" applyFill="1" applyBorder="1" applyAlignment="1">
      <alignment horizontal="center" vertical="center"/>
    </xf>
    <xf numFmtId="41" fontId="41" fillId="0" borderId="18" xfId="2" applyFont="1" applyFill="1" applyBorder="1" applyAlignment="1">
      <alignment horizontal="center" vertical="center"/>
    </xf>
    <xf numFmtId="41" fontId="41" fillId="0" borderId="1" xfId="2" applyFont="1" applyFill="1" applyBorder="1" applyAlignment="1">
      <alignment horizontal="center" vertical="center"/>
    </xf>
    <xf numFmtId="41" fontId="41" fillId="0" borderId="33" xfId="2" applyFont="1" applyFill="1" applyBorder="1" applyAlignment="1">
      <alignment horizontal="center" vertical="center"/>
    </xf>
    <xf numFmtId="41" fontId="41" fillId="0" borderId="6" xfId="2" applyFont="1" applyFill="1" applyBorder="1" applyAlignment="1">
      <alignment horizontal="center" vertical="center"/>
    </xf>
    <xf numFmtId="41" fontId="41" fillId="0" borderId="0" xfId="2" applyFont="1" applyFill="1" applyBorder="1" applyAlignment="1">
      <alignment horizontal="center" vertical="center"/>
    </xf>
    <xf numFmtId="41" fontId="41" fillId="0" borderId="9" xfId="2" applyFont="1" applyFill="1" applyBorder="1" applyAlignment="1">
      <alignment horizontal="center" vertical="center"/>
    </xf>
    <xf numFmtId="41" fontId="41" fillId="0" borderId="22" xfId="2" applyFont="1" applyFill="1" applyBorder="1" applyAlignment="1">
      <alignment horizontal="center" vertical="center"/>
    </xf>
    <xf numFmtId="41" fontId="41" fillId="0" borderId="19" xfId="2" applyFont="1" applyFill="1" applyBorder="1" applyAlignment="1">
      <alignment horizontal="center" vertical="center"/>
    </xf>
    <xf numFmtId="41" fontId="41" fillId="0" borderId="81" xfId="2" applyFont="1" applyFill="1" applyBorder="1" applyAlignment="1">
      <alignment horizontal="center" vertical="center"/>
    </xf>
    <xf numFmtId="41" fontId="32" fillId="0" borderId="89" xfId="2" applyFont="1" applyFill="1" applyBorder="1" applyAlignment="1">
      <alignment horizontal="center" vertical="center"/>
    </xf>
    <xf numFmtId="41" fontId="32" fillId="0" borderId="93" xfId="2" applyFont="1" applyFill="1" applyBorder="1" applyAlignment="1">
      <alignment horizontal="center" vertical="center"/>
    </xf>
    <xf numFmtId="41" fontId="32" fillId="0" borderId="90" xfId="2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72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0" fontId="32" fillId="2" borderId="2" xfId="7" applyFont="1" applyFill="1" applyBorder="1" applyAlignment="1" applyProtection="1">
      <alignment horizontal="center" vertical="center"/>
    </xf>
    <xf numFmtId="0" fontId="32" fillId="2" borderId="30" xfId="7" applyFont="1" applyFill="1" applyBorder="1" applyAlignment="1" applyProtection="1">
      <alignment horizontal="center" vertical="center" wrapText="1"/>
    </xf>
    <xf numFmtId="0" fontId="32" fillId="2" borderId="34" xfId="7" applyFont="1" applyFill="1" applyBorder="1" applyAlignment="1" applyProtection="1">
      <alignment horizontal="center" vertical="center" wrapText="1"/>
    </xf>
    <xf numFmtId="0" fontId="32" fillId="2" borderId="54" xfId="7" applyFont="1" applyFill="1" applyBorder="1" applyAlignment="1" applyProtection="1">
      <alignment horizontal="center" vertical="center" wrapText="1"/>
    </xf>
    <xf numFmtId="0" fontId="51" fillId="6" borderId="117" xfId="0" applyFont="1" applyFill="1" applyBorder="1" applyAlignment="1">
      <alignment horizontal="center" vertical="center"/>
    </xf>
    <xf numFmtId="0" fontId="51" fillId="6" borderId="121" xfId="0" applyFont="1" applyFill="1" applyBorder="1" applyAlignment="1">
      <alignment horizontal="center" vertical="center"/>
    </xf>
    <xf numFmtId="0" fontId="51" fillId="6" borderId="106" xfId="0" applyFont="1" applyFill="1" applyBorder="1" applyAlignment="1">
      <alignment horizontal="center" vertical="center"/>
    </xf>
    <xf numFmtId="0" fontId="30" fillId="6" borderId="122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0" fontId="30" fillId="6" borderId="123" xfId="0" applyFont="1" applyFill="1" applyBorder="1" applyAlignment="1">
      <alignment horizontal="center" vertical="center"/>
    </xf>
  </cellXfs>
  <cellStyles count="11">
    <cellStyle name="Normal_Cost Summ" xfId="1" xr:uid="{00000000-0005-0000-0000-000000000000}"/>
    <cellStyle name="쉼표 [0]" xfId="2" builtinId="6"/>
    <cellStyle name="쉼표 [0] 2" xfId="3" xr:uid="{00000000-0005-0000-0000-000002000000}"/>
    <cellStyle name="표준" xfId="0" builtinId="0"/>
    <cellStyle name="표준 2" xfId="4" xr:uid="{00000000-0005-0000-0000-000004000000}"/>
    <cellStyle name="표준 6" xfId="5" xr:uid="{00000000-0005-0000-0000-000005000000}"/>
    <cellStyle name="표준 7" xfId="6" xr:uid="{00000000-0005-0000-0000-000006000000}"/>
    <cellStyle name="표준_7월(전망)" xfId="7" xr:uid="{00000000-0005-0000-0000-000008000000}"/>
    <cellStyle name="표준_별지제26호_생보 2.재무현황_가.재무제표 2" xfId="8" xr:uid="{00000000-0005-0000-0000-000009000000}"/>
    <cellStyle name="표준_작업중_1105 FactSheet" xfId="9" xr:uid="{00000000-0005-0000-0000-00000C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723045</xdr:colOff>
      <xdr:row>16</xdr:row>
      <xdr:rowOff>91582</xdr:rowOff>
    </xdr:from>
    <xdr:to>
      <xdr:col>5</xdr:col>
      <xdr:colOff>848762</xdr:colOff>
      <xdr:row>21</xdr:row>
      <xdr:rowOff>55476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17E87FA-AA34-40C7-BC5D-956911DE57DB}"/>
            </a:ext>
          </a:extLst>
        </xdr:cNvPr>
        <xdr:cNvSpPr txBox="1">
          <a:spLocks noChangeArrowheads="1"/>
        </xdr:cNvSpPr>
      </xdr:nvSpPr>
      <xdr:spPr bwMode="auto">
        <a:xfrm>
          <a:off x="929420" y="6711457"/>
          <a:ext cx="5205717" cy="1868894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prstDash val="sysDot"/>
          <a:miter lim="800000"/>
          <a:headEnd/>
          <a:tailEnd/>
        </a:ln>
      </xdr:spPr>
      <xdr:txBody>
        <a:bodyPr vertOverflow="clip" wrap="square" lIns="180000" tIns="36000" rIns="144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FY2011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도입에 따라 재무제표 등 모든 자료는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기준으로 작성되었습니다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이에 따라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손해조사비 항목이 기존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사업비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항목에서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손해액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항목으로 이동하고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장래손해조사비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지급준비금에 포함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)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 추가적으로 장부에 계상됩니다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또한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FY2014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회계기간이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~12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월로 변경되었습니다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잠정치이며 외부감사인의 감사 결과에 따라 변경될 수 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2</xdr:col>
      <xdr:colOff>1104900</xdr:colOff>
      <xdr:row>21</xdr:row>
      <xdr:rowOff>501650</xdr:rowOff>
    </xdr:from>
    <xdr:to>
      <xdr:col>4</xdr:col>
      <xdr:colOff>0</xdr:colOff>
      <xdr:row>22</xdr:row>
      <xdr:rowOff>168275</xdr:rowOff>
    </xdr:to>
    <xdr:pic>
      <xdr:nvPicPr>
        <xdr:cNvPr id="1558" name="그림 3">
          <a:extLst>
            <a:ext uri="{FF2B5EF4-FFF2-40B4-BE49-F238E27FC236}">
              <a16:creationId xmlns:a16="http://schemas.microsoft.com/office/drawing/2014/main" id="{E3E293B1-AE12-4B63-AA30-EF3748E0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9026525"/>
          <a:ext cx="14351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572;&#49888;&#49457;\30.%20K-ICS%204.0%20&#51089;&#50629;\&#53596;&#54540;&#47551;%20&#51089;&#50629;\K-ICS%204.0%20QIS%20&#49464;&#48512;&#51088;&#47308;_v0.1_210503_&#54620;&#49440;&#51076;&#45784;%20&#54924;&#51032;&#5498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.68\Fss_Cfp\F\5.&#51089;&#50629;&#48152;\2009\11-&#44508;&#51221;&#44060;&#51221;&#50504;_Update\&#48120;&#44208;&#44284;&#51228;\&#48372;&#54744;&#50629;&#44048;&#46021;&#50629;&#47924;&#49884;&#54665;&#49464;&#52825;_20080326_&#52392;&#48512;_26_&#50629;&#47924;&#48372;&#44256;&#49436;&#49436;&#49885;\&#49552;&#48372;&#50629;&#47924;&#48372;&#44256;&#49436;\&#51456;&#48708;&#44552;&#52628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대출잔액수정계획"/>
      <sheetName val="평가예상(200308)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Home"/>
      <sheetName val="R1_Actuarial Assumptions"/>
      <sheetName val="(참고) 유효데이터"/>
      <sheetName val="AH266-업종별자산건전성분류현황"/>
      <sheetName val="$J$715`801)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Sheet3"/>
      <sheetName val="월중평잔"/>
      <sheetName val="기중평잔"/>
      <sheetName val="일일0113"/>
      <sheetName val="코드"/>
      <sheetName val="code"/>
      <sheetName val="성적표96"/>
      <sheetName val="COMBINED"/>
      <sheetName val="VALSTAT"/>
      <sheetName val="#REF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BACKDATA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RUL2"/>
      <sheetName val="DATA"/>
      <sheetName val="Configuration"/>
      <sheetName val="JournalSummary"/>
      <sheetName val="WorkFile"/>
      <sheetName val="R&amp;D"/>
      <sheetName val="1_MDF1공장8"/>
      <sheetName val="Index"/>
      <sheetName val="IMPROVED (3)"/>
      <sheetName val="LS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19">
          <cell r="F119">
            <v>767.404</v>
          </cell>
        </row>
      </sheetData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인건비"/>
      <sheetName val="합병분개 Adj"/>
      <sheetName val="손익계산서"/>
      <sheetName val="대차대조표"/>
      <sheetName val="Links"/>
      <sheetName val="Lead"/>
      <sheetName val="US Codes"/>
      <sheetName val="sap`04.7.14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97yr-end-usgaap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양식3"/>
      <sheetName val="유림골조"/>
      <sheetName val="BM_NEW2"/>
      <sheetName val="Sheet (2)"/>
      <sheetName val="이자수익보조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처리99누"/>
      <sheetName val="포장99누"/>
      <sheetName val="가동99누"/>
      <sheetName val="재처99누"/>
      <sheetName val="Parm"/>
      <sheetName val="ControlNoLinks"/>
      <sheetName val="DE"/>
      <sheetName val="지급이자와할인료(직매각)"/>
      <sheetName val="경영비율 "/>
      <sheetName val="수정시산표"/>
      <sheetName val="영업본부"/>
      <sheetName val="dongia (2)"/>
      <sheetName val="CHITIET"/>
      <sheetName val="Prjt_Tbl4"/>
      <sheetName val="Prjt_excl_GI4"/>
      <sheetName val="7_5_재질별_수율4"/>
      <sheetName val="원단위_1계_2계2"/>
      <sheetName val="full_(2)2"/>
      <sheetName val="PRESS_DATA2"/>
      <sheetName val="seat-sdn_only2"/>
      <sheetName val="2_대외공문2"/>
      <sheetName val="임차보증금현황04_6_304"/>
      <sheetName val="경영비율_"/>
      <sheetName val="2_카드채권(대출포함)2"/>
      <sheetName val="3_Loan_Mix2"/>
      <sheetName val="sap`04_7_141"/>
      <sheetName val="Master_Sheet"/>
      <sheetName val="Sheet_(2)"/>
      <sheetName val="WACC_(INCOMPLETE!!)"/>
      <sheetName val="dongia_(2)"/>
      <sheetName val="카드채권(대출포함)"/>
      <sheetName val="참조"/>
      <sheetName val="환율추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YHCODE"/>
      <sheetName val="산업구조"/>
      <sheetName val="Parameters"/>
      <sheetName val="수입"/>
      <sheetName val="Input_Sing_Life"/>
      <sheetName val="품목코드"/>
      <sheetName val="OTHER_INFO"/>
      <sheetName val="sap`04.7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5월전산시산표L4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고정자산원본"/>
      <sheetName val="총원명부"/>
      <sheetName val="9703"/>
      <sheetName val="00.08계정"/>
      <sheetName val="20040630USDKRWPositionReport"/>
      <sheetName val="200301(9)"/>
      <sheetName val="200206(2)"/>
      <sheetName val="200211(7)"/>
      <sheetName val="to Carlyle 0825"/>
      <sheetName val="실적"/>
      <sheetName val="신구계정대사표"/>
      <sheetName val="DBS"/>
      <sheetName val="보정전"/>
      <sheetName val="당행Data"/>
      <sheetName val="Parm"/>
      <sheetName val="평점별 등급별 연대현황"/>
      <sheetName val="From.DW"/>
      <sheetName val="Basic_Inform"/>
      <sheetName val="97년추정손익계산서"/>
      <sheetName val="midas"/>
      <sheetName val="기간별잔액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WP_Hist ABC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1-2. 예산부서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일류화 추진 과제"/>
      <sheetName val="24년 1월 일정계획"/>
      <sheetName val="(시트3)_금융회사코드_등"/>
      <sheetName val="1-2__예산부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코드표"/>
      <sheetName val="종합일지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BOK PL2003-12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14.12월말 해외 익스포져"/>
      <sheetName val="COMBO목록"/>
      <sheetName val="1_raw"/>
      <sheetName val="손익합산"/>
      <sheetName val="2. 11년 이전 신용위험평가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/>
      <sheetData sheetId="328" refreshError="1"/>
      <sheetData sheetId="329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/>
      <sheetData sheetId="361"/>
      <sheetData sheetId="362">
        <row r="30">
          <cell r="F30">
            <v>126829286</v>
          </cell>
        </row>
      </sheetData>
      <sheetData sheetId="363"/>
      <sheetData sheetId="364"/>
      <sheetData sheetId="365"/>
      <sheetData sheetId="366">
        <row r="30">
          <cell r="F30">
            <v>126829286</v>
          </cell>
        </row>
      </sheetData>
      <sheetData sheetId="367"/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322">
          <cell r="C322" t="str">
            <v>Quality 1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/>
      <sheetData sheetId="550"/>
      <sheetData sheetId="55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322">
          <cell r="C322" t="str">
            <v>Quality 1</v>
          </cell>
        </row>
      </sheetData>
      <sheetData sheetId="666">
        <row r="322">
          <cell r="C322" t="str">
            <v>Quality 1</v>
          </cell>
        </row>
      </sheetData>
      <sheetData sheetId="667">
        <row r="322">
          <cell r="C322" t="str">
            <v>Quality 1</v>
          </cell>
        </row>
      </sheetData>
      <sheetData sheetId="668">
        <row r="322">
          <cell r="C322" t="str">
            <v>Quality 1</v>
          </cell>
        </row>
      </sheetData>
      <sheetData sheetId="669">
        <row r="322">
          <cell r="C322" t="str">
            <v>Quality 1</v>
          </cell>
        </row>
      </sheetData>
      <sheetData sheetId="670">
        <row r="322">
          <cell r="C322" t="str">
            <v>Quality 1</v>
          </cell>
        </row>
      </sheetData>
      <sheetData sheetId="671">
        <row r="322">
          <cell r="C322" t="str">
            <v>Quality 1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/>
      <sheetData sheetId="2718"/>
      <sheetData sheetId="2719" refreshError="1"/>
      <sheetData sheetId="2720"/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2">
          <cell r="A2" t="str">
            <v>Product RFPs</v>
          </cell>
        </row>
      </sheetData>
      <sheetData sheetId="2728">
        <row r="2">
          <cell r="A2" t="str">
            <v>Product RFPs</v>
          </cell>
        </row>
      </sheetData>
      <sheetData sheetId="2729">
        <row r="2">
          <cell r="A2" t="str">
            <v>Product RFPs</v>
          </cell>
        </row>
      </sheetData>
      <sheetData sheetId="2730"/>
      <sheetData sheetId="2731"/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/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/>
      <sheetData sheetId="2928"/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>
        <row r="19">
          <cell r="C19" t="str">
            <v>VEHICLES</v>
          </cell>
        </row>
      </sheetData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9">
          <cell r="C19" t="str">
            <v>VEHICLES</v>
          </cell>
        </row>
      </sheetData>
      <sheetData sheetId="3404">
        <row r="19">
          <cell r="C19" t="str">
            <v>VEHICLES</v>
          </cell>
        </row>
      </sheetData>
      <sheetData sheetId="3405">
        <row r="19">
          <cell r="C19" t="str">
            <v>VEHICLES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>
        <row r="19">
          <cell r="C19" t="str">
            <v>VEHICLES</v>
          </cell>
        </row>
      </sheetData>
      <sheetData sheetId="3449"/>
      <sheetData sheetId="3450"/>
      <sheetData sheetId="3451"/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9">
          <cell r="C19" t="str">
            <v>VEHICLES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>
        <row r="1">
          <cell r="A1" t="str">
            <v>242901300011</v>
          </cell>
        </row>
      </sheetData>
      <sheetData sheetId="3609"/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/>
      <sheetData sheetId="3620">
        <row r="19">
          <cell r="C19" t="str">
            <v>VEHICLES</v>
          </cell>
        </row>
      </sheetData>
      <sheetData sheetId="3621">
        <row r="19">
          <cell r="C19" t="str">
            <v>VEHICLES</v>
          </cell>
        </row>
      </sheetData>
      <sheetData sheetId="3622">
        <row r="19">
          <cell r="C19" t="str">
            <v>VEHICLES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>
        <row r="19">
          <cell r="C19" t="str">
            <v>VEHICLES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>
        <row r="19">
          <cell r="C19" t="str">
            <v>VEHICLES</v>
          </cell>
        </row>
      </sheetData>
      <sheetData sheetId="3699">
        <row r="19">
          <cell r="C19" t="str">
            <v>VEHICLES</v>
          </cell>
        </row>
      </sheetData>
      <sheetData sheetId="3700">
        <row r="19">
          <cell r="C19" t="str">
            <v>VEHICLES</v>
          </cell>
        </row>
      </sheetData>
      <sheetData sheetId="3701">
        <row r="19">
          <cell r="C19" t="str">
            <v>VEHICLES</v>
          </cell>
        </row>
      </sheetData>
      <sheetData sheetId="3702">
        <row r="19">
          <cell r="C19" t="str">
            <v>VEHICLES</v>
          </cell>
        </row>
      </sheetData>
      <sheetData sheetId="3703">
        <row r="19">
          <cell r="C19" t="str">
            <v>VEHICLES</v>
          </cell>
        </row>
      </sheetData>
      <sheetData sheetId="3704">
        <row r="19">
          <cell r="C19" t="str">
            <v>VEHICLES</v>
          </cell>
        </row>
      </sheetData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>
        <row r="1">
          <cell r="A1" t="str">
            <v>242901300011</v>
          </cell>
        </row>
      </sheetData>
      <sheetData sheetId="3719"/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9">
          <cell r="C19" t="str">
            <v>VEHICLES</v>
          </cell>
        </row>
      </sheetData>
      <sheetData sheetId="3744">
        <row r="19">
          <cell r="C19" t="str">
            <v>VEHICLES</v>
          </cell>
        </row>
      </sheetData>
      <sheetData sheetId="3745">
        <row r="19">
          <cell r="C19" t="str">
            <v>VEHICLES</v>
          </cell>
        </row>
      </sheetData>
      <sheetData sheetId="3746">
        <row r="19">
          <cell r="C19" t="str">
            <v>VEHICLES</v>
          </cell>
        </row>
      </sheetData>
      <sheetData sheetId="3747">
        <row r="19">
          <cell r="C19" t="str">
            <v>VEHICLES</v>
          </cell>
        </row>
      </sheetData>
      <sheetData sheetId="3748">
        <row r="19">
          <cell r="C19" t="str">
            <v>VEHICLES</v>
          </cell>
        </row>
      </sheetData>
      <sheetData sheetId="3749">
        <row r="19">
          <cell r="C19" t="str">
            <v>VEHICLES</v>
          </cell>
        </row>
      </sheetData>
      <sheetData sheetId="3750">
        <row r="19">
          <cell r="C19" t="str">
            <v>VEHICLES</v>
          </cell>
        </row>
      </sheetData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>
        <row r="1">
          <cell r="A1" t="str">
            <v>242901300011</v>
          </cell>
        </row>
      </sheetData>
      <sheetData sheetId="3777"/>
      <sheetData sheetId="3778"/>
      <sheetData sheetId="3779"/>
      <sheetData sheetId="3780"/>
      <sheetData sheetId="3781"/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/>
      <sheetData sheetId="3854"/>
      <sheetData sheetId="3855"/>
      <sheetData sheetId="3856"/>
      <sheetData sheetId="3857"/>
      <sheetData sheetId="3858">
        <row r="1">
          <cell r="A1" t="str">
            <v>FAUJI CEMENT COMPANY LIMITED</v>
          </cell>
        </row>
      </sheetData>
      <sheetData sheetId="3859"/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9">
          <cell r="C19" t="str">
            <v>VEHICLES</v>
          </cell>
        </row>
      </sheetData>
      <sheetData sheetId="3870">
        <row r="19">
          <cell r="C19" t="str">
            <v>VEHICLES</v>
          </cell>
        </row>
      </sheetData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/>
      <sheetData sheetId="3886"/>
      <sheetData sheetId="3887"/>
      <sheetData sheetId="3888"/>
      <sheetData sheetId="3889"/>
      <sheetData sheetId="3890"/>
      <sheetData sheetId="3891"/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/>
      <sheetData sheetId="3960"/>
      <sheetData sheetId="3961"/>
      <sheetData sheetId="3962"/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>
        <row r="1">
          <cell r="A1" t="str">
            <v>242901300011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FAUJI CEMENT COMPANY LIMITED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/>
      <sheetData sheetId="4130" refreshError="1"/>
      <sheetData sheetId="4131"/>
      <sheetData sheetId="4132" refreshError="1"/>
      <sheetData sheetId="4133" refreshError="1"/>
      <sheetData sheetId="4134" refreshError="1"/>
      <sheetData sheetId="4135"/>
      <sheetData sheetId="4136" refreshError="1"/>
      <sheetData sheetId="4137"/>
      <sheetData sheetId="4138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/>
      <sheetData sheetId="4158"/>
      <sheetData sheetId="4159"/>
      <sheetData sheetId="4160"/>
      <sheetData sheetId="4161"/>
      <sheetData sheetId="4162"/>
      <sheetData sheetId="4163"/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/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/>
      <sheetData sheetId="4294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322">
          <cell r="C322" t="str">
            <v>Quality 1</v>
          </cell>
        </row>
      </sheetData>
      <sheetData sheetId="4487">
        <row r="322">
          <cell r="C322" t="str">
            <v>Quality 1</v>
          </cell>
        </row>
      </sheetData>
      <sheetData sheetId="4488">
        <row r="322">
          <cell r="C322" t="str">
            <v>Quality 1</v>
          </cell>
        </row>
      </sheetData>
      <sheetData sheetId="4489">
        <row r="322">
          <cell r="C322" t="str">
            <v>Quality 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/>
      <sheetData sheetId="4495"/>
      <sheetData sheetId="4496"/>
      <sheetData sheetId="4497"/>
      <sheetData sheetId="4498"/>
      <sheetData sheetId="4499"/>
      <sheetData sheetId="4500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/>
      <sheetData sheetId="4582"/>
      <sheetData sheetId="4583"/>
      <sheetData sheetId="4584"/>
      <sheetData sheetId="4585"/>
      <sheetData sheetId="4586">
        <row r="2">
          <cell r="A2" t="str">
            <v>Product RFPs</v>
          </cell>
        </row>
      </sheetData>
      <sheetData sheetId="4587"/>
      <sheetData sheetId="4588">
        <row r="2">
          <cell r="A2" t="str">
            <v>Product RFPs</v>
          </cell>
        </row>
      </sheetData>
      <sheetData sheetId="4589">
        <row r="322">
          <cell r="C322" t="str">
            <v>Quality 1</v>
          </cell>
        </row>
      </sheetData>
      <sheetData sheetId="4590">
        <row r="2">
          <cell r="A2" t="str">
            <v>Product RFPs</v>
          </cell>
        </row>
      </sheetData>
      <sheetData sheetId="4591">
        <row r="2">
          <cell r="A2" t="str">
            <v>Product RFPs</v>
          </cell>
        </row>
      </sheetData>
      <sheetData sheetId="4592">
        <row r="2">
          <cell r="A2" t="str">
            <v>Product RFPs</v>
          </cell>
        </row>
      </sheetData>
      <sheetData sheetId="4593">
        <row r="2">
          <cell r="A2" t="str">
            <v>Product RFPs</v>
          </cell>
        </row>
      </sheetData>
      <sheetData sheetId="4594">
        <row r="2">
          <cell r="A2" t="str">
            <v>Product RFPs</v>
          </cell>
        </row>
      </sheetData>
      <sheetData sheetId="4595">
        <row r="322">
          <cell r="C322" t="str">
            <v>Quality 1</v>
          </cell>
        </row>
      </sheetData>
      <sheetData sheetId="4596">
        <row r="322">
          <cell r="C322" t="str">
            <v>Quality 1</v>
          </cell>
        </row>
      </sheetData>
      <sheetData sheetId="4597">
        <row r="322">
          <cell r="C322" t="str">
            <v>Quality 1</v>
          </cell>
        </row>
      </sheetData>
      <sheetData sheetId="4598">
        <row r="322">
          <cell r="C322" t="str">
            <v>Quality 1</v>
          </cell>
        </row>
      </sheetData>
      <sheetData sheetId="4599"/>
      <sheetData sheetId="4600">
        <row r="322">
          <cell r="C322" t="str">
            <v>Quality 1</v>
          </cell>
        </row>
      </sheetData>
      <sheetData sheetId="4601">
        <row r="322">
          <cell r="C322" t="str">
            <v>Quality 1</v>
          </cell>
        </row>
      </sheetData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/>
      <sheetData sheetId="4875" refreshError="1"/>
      <sheetData sheetId="4876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>
        <row r="2">
          <cell r="A2" t="str">
            <v>EPC</v>
          </cell>
        </row>
      </sheetData>
      <sheetData sheetId="4916"/>
      <sheetData sheetId="4917"/>
      <sheetData sheetId="4918"/>
      <sheetData sheetId="4919">
        <row r="1">
          <cell r="F1" t="str">
            <v>Proyectos</v>
          </cell>
        </row>
      </sheetData>
      <sheetData sheetId="4920"/>
      <sheetData sheetId="4921">
        <row r="1">
          <cell r="A1" t="str">
            <v>Key</v>
          </cell>
        </row>
      </sheetData>
      <sheetData sheetId="4922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322">
          <cell r="C322" t="str">
            <v>Quality 1</v>
          </cell>
        </row>
      </sheetData>
      <sheetData sheetId="5000">
        <row r="22">
          <cell r="D22" t="str">
            <v>VALOR</v>
          </cell>
        </row>
      </sheetData>
      <sheetData sheetId="5001">
        <row r="322">
          <cell r="C322" t="str">
            <v>Quality 1</v>
          </cell>
        </row>
      </sheetData>
      <sheetData sheetId="5002"/>
      <sheetData sheetId="5003">
        <row r="322">
          <cell r="C322" t="str">
            <v>Quality 1</v>
          </cell>
        </row>
      </sheetData>
      <sheetData sheetId="5004"/>
      <sheetData sheetId="5005"/>
      <sheetData sheetId="5006"/>
      <sheetData sheetId="5007"/>
      <sheetData sheetId="5008"/>
      <sheetData sheetId="5009"/>
      <sheetData sheetId="5010"/>
      <sheetData sheetId="5011">
        <row r="2">
          <cell r="A2" t="str">
            <v>Product RFPs</v>
          </cell>
        </row>
      </sheetData>
      <sheetData sheetId="5012">
        <row r="2">
          <cell r="A2" t="str">
            <v>Product RFPs</v>
          </cell>
        </row>
      </sheetData>
      <sheetData sheetId="5013">
        <row r="322">
          <cell r="C322" t="str">
            <v>Quality 1</v>
          </cell>
        </row>
      </sheetData>
      <sheetData sheetId="5014">
        <row r="1">
          <cell r="A1" t="str">
            <v>Key</v>
          </cell>
        </row>
      </sheetData>
      <sheetData sheetId="5015"/>
      <sheetData sheetId="5016">
        <row r="2">
          <cell r="A2" t="str">
            <v>Product RFPs</v>
          </cell>
        </row>
      </sheetData>
      <sheetData sheetId="5017"/>
      <sheetData sheetId="5018">
        <row r="2">
          <cell r="A2" t="str">
            <v>Product RFPs</v>
          </cell>
        </row>
      </sheetData>
      <sheetData sheetId="5019">
        <row r="2">
          <cell r="A2" t="str">
            <v>Product RFPs</v>
          </cell>
        </row>
      </sheetData>
      <sheetData sheetId="5020">
        <row r="322">
          <cell r="C322" t="str">
            <v>Quality 1</v>
          </cell>
        </row>
      </sheetData>
      <sheetData sheetId="5021">
        <row r="22">
          <cell r="D22" t="str">
            <v>VALOR</v>
          </cell>
        </row>
      </sheetData>
      <sheetData sheetId="5022">
        <row r="22">
          <cell r="D22" t="str">
            <v>VALOR</v>
          </cell>
        </row>
      </sheetData>
      <sheetData sheetId="5023">
        <row r="22">
          <cell r="D22" t="str">
            <v>VALOR</v>
          </cell>
        </row>
      </sheetData>
      <sheetData sheetId="5024">
        <row r="22">
          <cell r="D22" t="str">
            <v>VALOR</v>
          </cell>
        </row>
      </sheetData>
      <sheetData sheetId="5025" refreshError="1"/>
      <sheetData sheetId="5026">
        <row r="2">
          <cell r="A2" t="str">
            <v>Product RFPs</v>
          </cell>
        </row>
      </sheetData>
      <sheetData sheetId="5027">
        <row r="2">
          <cell r="A2" t="str">
            <v>Product RFPs</v>
          </cell>
        </row>
      </sheetData>
      <sheetData sheetId="5028">
        <row r="2">
          <cell r="A2" t="str">
            <v>Product RFPs</v>
          </cell>
        </row>
      </sheetData>
      <sheetData sheetId="5029">
        <row r="2">
          <cell r="A2" t="str">
            <v>Product RFPs</v>
          </cell>
        </row>
      </sheetData>
      <sheetData sheetId="5030">
        <row r="2">
          <cell r="A2" t="str">
            <v>Product RFPs</v>
          </cell>
        </row>
      </sheetData>
      <sheetData sheetId="5031">
        <row r="2">
          <cell r="A2" t="str">
            <v>Product RFPs</v>
          </cell>
        </row>
      </sheetData>
      <sheetData sheetId="5032">
        <row r="2">
          <cell r="A2" t="str">
            <v>Product RFPs</v>
          </cell>
        </row>
      </sheetData>
      <sheetData sheetId="5033">
        <row r="2">
          <cell r="A2" t="str">
            <v>Product RFPs</v>
          </cell>
        </row>
      </sheetData>
      <sheetData sheetId="5034">
        <row r="22">
          <cell r="D22" t="str">
            <v>VALOR</v>
          </cell>
        </row>
      </sheetData>
      <sheetData sheetId="5035">
        <row r="2">
          <cell r="A2" t="str">
            <v>Product RFPs</v>
          </cell>
        </row>
      </sheetData>
      <sheetData sheetId="5036">
        <row r="322">
          <cell r="C322" t="str">
            <v>Quality 1</v>
          </cell>
        </row>
      </sheetData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>
        <row r="9">
          <cell r="B9" t="str">
            <v>GOLDEN HILLS WIND, LLC</v>
          </cell>
        </row>
      </sheetData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 refreshError="1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>
        <row r="2">
          <cell r="A2" t="str">
            <v>Product RFPs</v>
          </cell>
        </row>
      </sheetData>
      <sheetData sheetId="5066">
        <row r="2">
          <cell r="A2" t="str">
            <v>Product RFPs</v>
          </cell>
        </row>
      </sheetData>
      <sheetData sheetId="5067">
        <row r="2">
          <cell r="A2" t="str">
            <v>Product RFPs</v>
          </cell>
        </row>
      </sheetData>
      <sheetData sheetId="5068">
        <row r="2">
          <cell r="A2" t="str">
            <v>Product RFPs</v>
          </cell>
        </row>
      </sheetData>
      <sheetData sheetId="5069">
        <row r="2">
          <cell r="A2" t="str">
            <v>Product RFPs</v>
          </cell>
        </row>
      </sheetData>
      <sheetData sheetId="5070">
        <row r="2">
          <cell r="A2" t="str">
            <v>Product RFPs</v>
          </cell>
        </row>
      </sheetData>
      <sheetData sheetId="5071">
        <row r="2">
          <cell r="A2" t="str">
            <v>Product RFPs</v>
          </cell>
        </row>
      </sheetData>
      <sheetData sheetId="5072">
        <row r="2">
          <cell r="A2" t="str">
            <v>Product RFPs</v>
          </cell>
        </row>
      </sheetData>
      <sheetData sheetId="5073">
        <row r="22">
          <cell r="D22" t="str">
            <v>VALOR</v>
          </cell>
        </row>
      </sheetData>
      <sheetData sheetId="5074">
        <row r="2">
          <cell r="A2" t="str">
            <v>Product RFPs</v>
          </cell>
        </row>
      </sheetData>
      <sheetData sheetId="5075">
        <row r="322">
          <cell r="C322" t="str">
            <v>Quality 1</v>
          </cell>
        </row>
      </sheetData>
      <sheetData sheetId="5076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/>
      <sheetData sheetId="5084">
        <row r="9">
          <cell r="B9" t="str">
            <v>GOLDEN HILLS WIND, LLC</v>
          </cell>
        </row>
      </sheetData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/>
      <sheetData sheetId="5158"/>
      <sheetData sheetId="5159"/>
      <sheetData sheetId="5160"/>
      <sheetData sheetId="5161" refreshError="1"/>
      <sheetData sheetId="5162" refreshError="1"/>
      <sheetData sheetId="5163" refreshError="1"/>
      <sheetData sheetId="5164"/>
      <sheetData sheetId="5165"/>
      <sheetData sheetId="5166" refreshError="1"/>
      <sheetData sheetId="5167" refreshError="1"/>
      <sheetData sheetId="5168"/>
      <sheetData sheetId="5169" refreshError="1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>
        <row r="4">
          <cell r="A4" t="str">
            <v>1 GL-TR May 31</v>
          </cell>
        </row>
      </sheetData>
      <sheetData sheetId="5217"/>
      <sheetData sheetId="5218"/>
      <sheetData sheetId="5219"/>
      <sheetData sheetId="5220"/>
      <sheetData sheetId="5221">
        <row r="322">
          <cell r="C322" t="str">
            <v>Quality 1</v>
          </cell>
        </row>
      </sheetData>
      <sheetData sheetId="5222">
        <row r="322">
          <cell r="C322" t="str">
            <v>Quality 1</v>
          </cell>
        </row>
      </sheetData>
      <sheetData sheetId="5223">
        <row r="322">
          <cell r="C322" t="str">
            <v>Quality 1</v>
          </cell>
        </row>
      </sheetData>
      <sheetData sheetId="5224">
        <row r="322">
          <cell r="C322" t="str">
            <v>Quality 1</v>
          </cell>
        </row>
      </sheetData>
      <sheetData sheetId="5225">
        <row r="322">
          <cell r="C322" t="str">
            <v>Quality 1</v>
          </cell>
        </row>
      </sheetData>
      <sheetData sheetId="5226">
        <row r="322">
          <cell r="C322" t="str">
            <v>Quality 1</v>
          </cell>
        </row>
      </sheetData>
      <sheetData sheetId="5227">
        <row r="322">
          <cell r="C322" t="str">
            <v>Quality 1</v>
          </cell>
        </row>
      </sheetData>
      <sheetData sheetId="5228">
        <row r="322">
          <cell r="C322" t="str">
            <v>Quality 1</v>
          </cell>
        </row>
      </sheetData>
      <sheetData sheetId="5229">
        <row r="322">
          <cell r="C322" t="str">
            <v>Quality 1</v>
          </cell>
        </row>
      </sheetData>
      <sheetData sheetId="5230">
        <row r="322">
          <cell r="C322" t="str">
            <v>Quality 1</v>
          </cell>
        </row>
      </sheetData>
      <sheetData sheetId="5231">
        <row r="322">
          <cell r="C322" t="str">
            <v>Quality 1</v>
          </cell>
        </row>
      </sheetData>
      <sheetData sheetId="5232">
        <row r="322">
          <cell r="C322" t="str">
            <v>Quality 1</v>
          </cell>
        </row>
      </sheetData>
      <sheetData sheetId="5233">
        <row r="322">
          <cell r="C322" t="str">
            <v>Quality 1</v>
          </cell>
        </row>
      </sheetData>
      <sheetData sheetId="5234">
        <row r="322">
          <cell r="C322" t="str">
            <v>Quality 1</v>
          </cell>
        </row>
      </sheetData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>
        <row r="2">
          <cell r="A2" t="str">
            <v>FM1</v>
          </cell>
        </row>
      </sheetData>
      <sheetData sheetId="5244">
        <row r="2">
          <cell r="A2" t="str">
            <v>FM1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22">
          <cell r="D22" t="str">
            <v>VALOR</v>
          </cell>
        </row>
      </sheetData>
      <sheetData sheetId="5248">
        <row r="22">
          <cell r="D22" t="str">
            <v>VALOR</v>
          </cell>
        </row>
      </sheetData>
      <sheetData sheetId="5249">
        <row r="22">
          <cell r="D22" t="str">
            <v>VALOR</v>
          </cell>
        </row>
      </sheetData>
      <sheetData sheetId="5250">
        <row r="22">
          <cell r="D22" t="str">
            <v>VALOR</v>
          </cell>
        </row>
      </sheetData>
      <sheetData sheetId="5251">
        <row r="22">
          <cell r="D22" t="str">
            <v>VALOR</v>
          </cell>
        </row>
      </sheetData>
      <sheetData sheetId="5252">
        <row r="22">
          <cell r="D22" t="str">
            <v>VALOR</v>
          </cell>
        </row>
      </sheetData>
      <sheetData sheetId="5253">
        <row r="22">
          <cell r="D22" t="str">
            <v>VALOR</v>
          </cell>
        </row>
      </sheetData>
      <sheetData sheetId="5254">
        <row r="22">
          <cell r="D22" t="str">
            <v>VALOR</v>
          </cell>
        </row>
      </sheetData>
      <sheetData sheetId="5255">
        <row r="22">
          <cell r="D22" t="str">
            <v>VALOR</v>
          </cell>
        </row>
      </sheetData>
      <sheetData sheetId="5256">
        <row r="22">
          <cell r="D22" t="str">
            <v>VALOR</v>
          </cell>
        </row>
      </sheetData>
      <sheetData sheetId="5257">
        <row r="22">
          <cell r="D22" t="str">
            <v>VALOR</v>
          </cell>
        </row>
      </sheetData>
      <sheetData sheetId="5258">
        <row r="22">
          <cell r="D22" t="str">
            <v>VALOR</v>
          </cell>
        </row>
      </sheetData>
      <sheetData sheetId="5259">
        <row r="22">
          <cell r="D22" t="str">
            <v>VALOR</v>
          </cell>
        </row>
      </sheetData>
      <sheetData sheetId="5260">
        <row r="22">
          <cell r="D22" t="str">
            <v>VALOR</v>
          </cell>
        </row>
      </sheetData>
      <sheetData sheetId="5261">
        <row r="22">
          <cell r="D22" t="str">
            <v>VALOR</v>
          </cell>
        </row>
      </sheetData>
      <sheetData sheetId="5262">
        <row r="22">
          <cell r="D22" t="str">
            <v>VALOR</v>
          </cell>
        </row>
      </sheetData>
      <sheetData sheetId="5263">
        <row r="22">
          <cell r="D22" t="str">
            <v>VALOR</v>
          </cell>
        </row>
      </sheetData>
      <sheetData sheetId="5264">
        <row r="22">
          <cell r="D22" t="str">
            <v>VALOR</v>
          </cell>
        </row>
      </sheetData>
      <sheetData sheetId="5265">
        <row r="22">
          <cell r="D22" t="str">
            <v>VALOR</v>
          </cell>
        </row>
      </sheetData>
      <sheetData sheetId="5266">
        <row r="22">
          <cell r="D22" t="str">
            <v>VALOR</v>
          </cell>
        </row>
      </sheetData>
      <sheetData sheetId="5267"/>
      <sheetData sheetId="5268">
        <row r="322">
          <cell r="C322" t="str">
            <v>Quality 1</v>
          </cell>
        </row>
      </sheetData>
      <sheetData sheetId="5269">
        <row r="322">
          <cell r="C322" t="str">
            <v>Quality 1</v>
          </cell>
        </row>
      </sheetData>
      <sheetData sheetId="5270">
        <row r="322">
          <cell r="C322" t="str">
            <v>Quality 1</v>
          </cell>
        </row>
      </sheetData>
      <sheetData sheetId="5271">
        <row r="322">
          <cell r="C322" t="str">
            <v>Quality 1</v>
          </cell>
        </row>
      </sheetData>
      <sheetData sheetId="5272">
        <row r="322">
          <cell r="C322" t="str">
            <v>Quality 1</v>
          </cell>
        </row>
      </sheetData>
      <sheetData sheetId="5273">
        <row r="322">
          <cell r="C322" t="str">
            <v>Quality 1</v>
          </cell>
        </row>
      </sheetData>
      <sheetData sheetId="5274">
        <row r="322">
          <cell r="C322" t="str">
            <v>Quality 1</v>
          </cell>
        </row>
      </sheetData>
      <sheetData sheetId="5275">
        <row r="322">
          <cell r="C322" t="str">
            <v>Quality 1</v>
          </cell>
        </row>
      </sheetData>
      <sheetData sheetId="5276">
        <row r="322">
          <cell r="C322" t="str">
            <v>Quality 1</v>
          </cell>
        </row>
      </sheetData>
      <sheetData sheetId="5277">
        <row r="322">
          <cell r="C322" t="str">
            <v>Quality 1</v>
          </cell>
        </row>
      </sheetData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>
        <row r="2">
          <cell r="A2" t="str">
            <v>FM1</v>
          </cell>
        </row>
      </sheetData>
      <sheetData sheetId="5291"/>
      <sheetData sheetId="5292">
        <row r="1">
          <cell r="A1" t="str">
            <v>Key</v>
          </cell>
        </row>
      </sheetData>
      <sheetData sheetId="5293">
        <row r="22">
          <cell r="D22" t="str">
            <v>VALOR</v>
          </cell>
        </row>
      </sheetData>
      <sheetData sheetId="5294">
        <row r="2">
          <cell r="A2" t="str">
            <v>Product RFPs</v>
          </cell>
        </row>
      </sheetData>
      <sheetData sheetId="5295">
        <row r="2">
          <cell r="A2" t="str">
            <v>Product RFPs</v>
          </cell>
        </row>
      </sheetData>
      <sheetData sheetId="5296">
        <row r="2">
          <cell r="A2" t="str">
            <v>Product RFPs</v>
          </cell>
        </row>
      </sheetData>
      <sheetData sheetId="5297">
        <row r="2">
          <cell r="A2" t="str">
            <v>Product RFPs</v>
          </cell>
        </row>
      </sheetData>
      <sheetData sheetId="5298">
        <row r="2">
          <cell r="A2" t="str">
            <v>Product RFPs</v>
          </cell>
        </row>
      </sheetData>
      <sheetData sheetId="5299">
        <row r="2">
          <cell r="A2" t="str">
            <v>Product RFPs</v>
          </cell>
        </row>
      </sheetData>
      <sheetData sheetId="5300">
        <row r="2">
          <cell r="A2" t="str">
            <v>Product RFPs</v>
          </cell>
        </row>
      </sheetData>
      <sheetData sheetId="5301">
        <row r="2">
          <cell r="A2" t="str">
            <v>Product RFPs</v>
          </cell>
        </row>
      </sheetData>
      <sheetData sheetId="5302">
        <row r="2">
          <cell r="A2" t="str">
            <v>Product RFPs</v>
          </cell>
        </row>
      </sheetData>
      <sheetData sheetId="5303">
        <row r="2">
          <cell r="A2" t="str">
            <v>Product RFPs</v>
          </cell>
        </row>
      </sheetData>
      <sheetData sheetId="5304">
        <row r="2">
          <cell r="A2" t="str">
            <v>Product RFPs</v>
          </cell>
        </row>
      </sheetData>
      <sheetData sheetId="5305">
        <row r="2">
          <cell r="A2" t="str">
            <v>Product RFPs</v>
          </cell>
        </row>
      </sheetData>
      <sheetData sheetId="5306">
        <row r="2">
          <cell r="A2" t="str">
            <v>Product RFPs</v>
          </cell>
        </row>
      </sheetData>
      <sheetData sheetId="5307">
        <row r="2">
          <cell r="A2" t="str">
            <v>Product RFPs</v>
          </cell>
        </row>
      </sheetData>
      <sheetData sheetId="5308">
        <row r="22">
          <cell r="D22" t="str">
            <v>VALOR</v>
          </cell>
        </row>
      </sheetData>
      <sheetData sheetId="5309">
        <row r="22">
          <cell r="D22" t="str">
            <v>VALOR</v>
          </cell>
        </row>
      </sheetData>
      <sheetData sheetId="5310">
        <row r="22">
          <cell r="D22" t="str">
            <v>VALOR</v>
          </cell>
        </row>
      </sheetData>
      <sheetData sheetId="5311">
        <row r="22">
          <cell r="D22" t="str">
            <v>VALOR</v>
          </cell>
        </row>
      </sheetData>
      <sheetData sheetId="5312"/>
      <sheetData sheetId="5313"/>
      <sheetData sheetId="5314"/>
      <sheetData sheetId="5315"/>
      <sheetData sheetId="5316"/>
      <sheetData sheetId="5317"/>
      <sheetData sheetId="5318">
        <row r="322">
          <cell r="C322" t="str">
            <v>Quality 1</v>
          </cell>
        </row>
      </sheetData>
      <sheetData sheetId="5319"/>
      <sheetData sheetId="5320">
        <row r="1">
          <cell r="A1" t="str">
            <v>Import ID (Owned Entity)</v>
          </cell>
        </row>
      </sheetData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>
        <row r="2">
          <cell r="A2" t="str">
            <v>Product RFPs</v>
          </cell>
        </row>
      </sheetData>
      <sheetData sheetId="5342">
        <row r="2">
          <cell r="A2" t="str">
            <v>Product RFPs</v>
          </cell>
        </row>
      </sheetData>
      <sheetData sheetId="5343">
        <row r="2">
          <cell r="A2" t="str">
            <v>Product RFPs</v>
          </cell>
        </row>
      </sheetData>
      <sheetData sheetId="5344">
        <row r="2">
          <cell r="A2" t="str">
            <v>Product RFPs</v>
          </cell>
        </row>
      </sheetData>
      <sheetData sheetId="5345">
        <row r="2">
          <cell r="A2" t="str">
            <v>Product RFPs</v>
          </cell>
        </row>
      </sheetData>
      <sheetData sheetId="5346">
        <row r="2">
          <cell r="A2" t="str">
            <v>Product RFPs</v>
          </cell>
        </row>
      </sheetData>
      <sheetData sheetId="5347">
        <row r="2">
          <cell r="A2" t="str">
            <v>Product RFPs</v>
          </cell>
        </row>
      </sheetData>
      <sheetData sheetId="5348">
        <row r="2">
          <cell r="A2" t="str">
            <v>Product RFPs</v>
          </cell>
        </row>
      </sheetData>
      <sheetData sheetId="5349">
        <row r="2">
          <cell r="A2" t="str">
            <v>Product RFPs</v>
          </cell>
        </row>
      </sheetData>
      <sheetData sheetId="5350">
        <row r="22">
          <cell r="D22" t="str">
            <v>VALOR</v>
          </cell>
        </row>
      </sheetData>
      <sheetData sheetId="5351">
        <row r="22">
          <cell r="D22" t="str">
            <v>VALOR</v>
          </cell>
        </row>
      </sheetData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2">
          <cell r="A2" t="str">
            <v>Product RFPs</v>
          </cell>
        </row>
      </sheetData>
      <sheetData sheetId="5366">
        <row r="2">
          <cell r="A2" t="str">
            <v>Product RFPs</v>
          </cell>
        </row>
      </sheetData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/>
      <sheetData sheetId="5385"/>
      <sheetData sheetId="5386"/>
      <sheetData sheetId="5387"/>
      <sheetData sheetId="5388"/>
      <sheetData sheetId="5389">
        <row r="2">
          <cell r="A2" t="str">
            <v>Product RFPs</v>
          </cell>
        </row>
      </sheetData>
      <sheetData sheetId="5390">
        <row r="322">
          <cell r="C322" t="str">
            <v>Quality 1</v>
          </cell>
        </row>
      </sheetData>
      <sheetData sheetId="5391">
        <row r="2">
          <cell r="A2" t="str">
            <v>Product RFPs</v>
          </cell>
        </row>
      </sheetData>
      <sheetData sheetId="5392">
        <row r="322">
          <cell r="C322" t="str">
            <v>Quality 1</v>
          </cell>
        </row>
      </sheetData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>
        <row r="322">
          <cell r="C322" t="str">
            <v>Quality 1</v>
          </cell>
        </row>
      </sheetData>
      <sheetData sheetId="5503">
        <row r="322">
          <cell r="C322" t="str">
            <v>Quality 1</v>
          </cell>
        </row>
      </sheetData>
      <sheetData sheetId="5504">
        <row r="322">
          <cell r="C322" t="str">
            <v>Quality 1</v>
          </cell>
        </row>
      </sheetData>
      <sheetData sheetId="5505">
        <row r="322">
          <cell r="C322" t="str">
            <v>Quality 1</v>
          </cell>
        </row>
      </sheetData>
      <sheetData sheetId="5506">
        <row r="322">
          <cell r="C322" t="str">
            <v>Quality 1</v>
          </cell>
        </row>
      </sheetData>
      <sheetData sheetId="5507">
        <row r="322">
          <cell r="C322" t="str">
            <v>Quality 1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>
        <row r="22">
          <cell r="D22" t="str">
            <v>VALOR</v>
          </cell>
        </row>
      </sheetData>
      <sheetData sheetId="5530">
        <row r="22">
          <cell r="D22" t="str">
            <v>VALOR</v>
          </cell>
        </row>
      </sheetData>
      <sheetData sheetId="5531">
        <row r="22">
          <cell r="D22" t="str">
            <v>VALOR</v>
          </cell>
        </row>
      </sheetData>
      <sheetData sheetId="5532">
        <row r="22">
          <cell r="D22" t="str">
            <v>VALOR</v>
          </cell>
        </row>
      </sheetData>
      <sheetData sheetId="5533">
        <row r="22">
          <cell r="D22" t="str">
            <v>VALOR</v>
          </cell>
        </row>
      </sheetData>
      <sheetData sheetId="5534">
        <row r="22">
          <cell r="D22" t="str">
            <v>VALOR</v>
          </cell>
        </row>
      </sheetData>
      <sheetData sheetId="5535">
        <row r="22">
          <cell r="D22" t="str">
            <v>VALOR</v>
          </cell>
        </row>
      </sheetData>
      <sheetData sheetId="5536">
        <row r="22">
          <cell r="D22" t="str">
            <v>VALOR</v>
          </cell>
        </row>
      </sheetData>
      <sheetData sheetId="5537">
        <row r="22">
          <cell r="D22" t="str">
            <v>VALOR</v>
          </cell>
        </row>
      </sheetData>
      <sheetData sheetId="5538">
        <row r="22">
          <cell r="D22" t="str">
            <v>VALOR</v>
          </cell>
        </row>
      </sheetData>
      <sheetData sheetId="5539">
        <row r="22">
          <cell r="D22" t="str">
            <v>VALOR</v>
          </cell>
        </row>
      </sheetData>
      <sheetData sheetId="5540">
        <row r="22">
          <cell r="D22" t="str">
            <v>VALOR</v>
          </cell>
        </row>
      </sheetData>
      <sheetData sheetId="5541">
        <row r="22">
          <cell r="D22" t="str">
            <v>VALOR</v>
          </cell>
        </row>
      </sheetData>
      <sheetData sheetId="5542">
        <row r="22">
          <cell r="D22" t="str">
            <v>VALOR</v>
          </cell>
        </row>
      </sheetData>
      <sheetData sheetId="5543">
        <row r="22">
          <cell r="D22" t="str">
            <v>VALOR</v>
          </cell>
        </row>
      </sheetData>
      <sheetData sheetId="5544">
        <row r="22">
          <cell r="D22" t="str">
            <v>VALOR</v>
          </cell>
        </row>
      </sheetData>
      <sheetData sheetId="5545"/>
      <sheetData sheetId="5546"/>
      <sheetData sheetId="5547"/>
      <sheetData sheetId="5548">
        <row r="322">
          <cell r="C322" t="str">
            <v>Quality 1</v>
          </cell>
        </row>
      </sheetData>
      <sheetData sheetId="5549">
        <row r="322">
          <cell r="C322" t="str">
            <v>Quality 1</v>
          </cell>
        </row>
      </sheetData>
      <sheetData sheetId="5550">
        <row r="322">
          <cell r="C322" t="str">
            <v>Quality 1</v>
          </cell>
        </row>
      </sheetData>
      <sheetData sheetId="5551">
        <row r="322">
          <cell r="C322" t="str">
            <v>Quality 1</v>
          </cell>
        </row>
      </sheetData>
      <sheetData sheetId="5552">
        <row r="322">
          <cell r="C322" t="str">
            <v>Quality 1</v>
          </cell>
        </row>
      </sheetData>
      <sheetData sheetId="5553">
        <row r="322">
          <cell r="C322" t="str">
            <v>Quality 1</v>
          </cell>
        </row>
      </sheetData>
      <sheetData sheetId="5554">
        <row r="322">
          <cell r="C322" t="str">
            <v>Quality 1</v>
          </cell>
        </row>
      </sheetData>
      <sheetData sheetId="5555">
        <row r="322">
          <cell r="C322" t="str">
            <v>Quality 1</v>
          </cell>
        </row>
      </sheetData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>
        <row r="7">
          <cell r="D7">
            <v>336622.46</v>
          </cell>
        </row>
      </sheetData>
      <sheetData sheetId="5575">
        <row r="2">
          <cell r="A2" t="str">
            <v>Product RFPs</v>
          </cell>
        </row>
      </sheetData>
      <sheetData sheetId="5576">
        <row r="2">
          <cell r="A2" t="str">
            <v>Product RFPs</v>
          </cell>
        </row>
      </sheetData>
      <sheetData sheetId="5577">
        <row r="2">
          <cell r="A2" t="str">
            <v>Product RFPs</v>
          </cell>
        </row>
      </sheetData>
      <sheetData sheetId="5578">
        <row r="2">
          <cell r="A2" t="str">
            <v>Product RFPs</v>
          </cell>
        </row>
      </sheetData>
      <sheetData sheetId="5579">
        <row r="2">
          <cell r="A2" t="str">
            <v>Product RFPs</v>
          </cell>
        </row>
      </sheetData>
      <sheetData sheetId="5580">
        <row r="2">
          <cell r="A2" t="str">
            <v>Product RFPs</v>
          </cell>
        </row>
      </sheetData>
      <sheetData sheetId="5581">
        <row r="2">
          <cell r="A2" t="str">
            <v>Product RFPs</v>
          </cell>
        </row>
      </sheetData>
      <sheetData sheetId="5582">
        <row r="2">
          <cell r="A2" t="str">
            <v>Product RFPs</v>
          </cell>
        </row>
      </sheetData>
      <sheetData sheetId="5583">
        <row r="22">
          <cell r="D22" t="str">
            <v>VALOR</v>
          </cell>
        </row>
      </sheetData>
      <sheetData sheetId="5584">
        <row r="22">
          <cell r="D22" t="str">
            <v>VALOR</v>
          </cell>
        </row>
      </sheetData>
      <sheetData sheetId="5585">
        <row r="22">
          <cell r="D22" t="str">
            <v>VALOR</v>
          </cell>
        </row>
      </sheetData>
      <sheetData sheetId="5586">
        <row r="22">
          <cell r="D22" t="str">
            <v>VALOR</v>
          </cell>
        </row>
      </sheetData>
      <sheetData sheetId="5587">
        <row r="22">
          <cell r="D22" t="str">
            <v>VALOR</v>
          </cell>
        </row>
      </sheetData>
      <sheetData sheetId="5588"/>
      <sheetData sheetId="5589"/>
      <sheetData sheetId="5590"/>
      <sheetData sheetId="5591"/>
      <sheetData sheetId="5592"/>
      <sheetData sheetId="5593"/>
      <sheetData sheetId="5594">
        <row r="2">
          <cell r="A2" t="str">
            <v>Product RFPs</v>
          </cell>
        </row>
      </sheetData>
      <sheetData sheetId="5595">
        <row r="2">
          <cell r="A2" t="str">
            <v>Product RFPs</v>
          </cell>
        </row>
      </sheetData>
      <sheetData sheetId="5596">
        <row r="2">
          <cell r="A2" t="str">
            <v>Product RFPs</v>
          </cell>
        </row>
      </sheetData>
      <sheetData sheetId="5597">
        <row r="2">
          <cell r="A2" t="str">
            <v>Product RFPs</v>
          </cell>
        </row>
      </sheetData>
      <sheetData sheetId="5598">
        <row r="2">
          <cell r="A2" t="str">
            <v>Product RFPs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2">
          <cell r="A2" t="str">
            <v>Product RFPs</v>
          </cell>
        </row>
      </sheetData>
      <sheetData sheetId="5604"/>
      <sheetData sheetId="5605"/>
      <sheetData sheetId="5606"/>
      <sheetData sheetId="5607"/>
      <sheetData sheetId="5608"/>
      <sheetData sheetId="5609"/>
      <sheetData sheetId="5610"/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2">
          <cell r="A2" t="str">
            <v>Product RFPs</v>
          </cell>
        </row>
      </sheetData>
      <sheetData sheetId="5622">
        <row r="2">
          <cell r="A2" t="str">
            <v>Product RFPs</v>
          </cell>
        </row>
      </sheetData>
      <sheetData sheetId="5623">
        <row r="2">
          <cell r="A2" t="str">
            <v>Product RFPs</v>
          </cell>
        </row>
      </sheetData>
      <sheetData sheetId="5624">
        <row r="2">
          <cell r="A2" t="str">
            <v>Product RFPs</v>
          </cell>
        </row>
      </sheetData>
      <sheetData sheetId="5625">
        <row r="2">
          <cell r="A2" t="str">
            <v>Product RFPs</v>
          </cell>
        </row>
      </sheetData>
      <sheetData sheetId="5626">
        <row r="2">
          <cell r="A2" t="str">
            <v>Product RFPs</v>
          </cell>
        </row>
      </sheetData>
      <sheetData sheetId="5627">
        <row r="2">
          <cell r="A2" t="str">
            <v>Product RFPs</v>
          </cell>
        </row>
      </sheetData>
      <sheetData sheetId="5628">
        <row r="2">
          <cell r="A2" t="str">
            <v>Product RFPs</v>
          </cell>
        </row>
      </sheetData>
      <sheetData sheetId="5629">
        <row r="22">
          <cell r="D22" t="str">
            <v>VALOR</v>
          </cell>
        </row>
      </sheetData>
      <sheetData sheetId="5630">
        <row r="22">
          <cell r="D22" t="str">
            <v>VALOR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/>
      <sheetData sheetId="5638"/>
      <sheetData sheetId="5639"/>
      <sheetData sheetId="5640"/>
      <sheetData sheetId="5641">
        <row r="2">
          <cell r="A2" t="str">
            <v>Product RFPs</v>
          </cell>
        </row>
      </sheetData>
      <sheetData sheetId="5642">
        <row r="2">
          <cell r="A2" t="str">
            <v>Product RFPs</v>
          </cell>
        </row>
      </sheetData>
      <sheetData sheetId="5643">
        <row r="2">
          <cell r="A2" t="str">
            <v>Product RFPs</v>
          </cell>
        </row>
      </sheetData>
      <sheetData sheetId="5644">
        <row r="2">
          <cell r="A2" t="str">
            <v>Product RFPs</v>
          </cell>
        </row>
      </sheetData>
      <sheetData sheetId="5645">
        <row r="2">
          <cell r="A2" t="str">
            <v>Product RFPs</v>
          </cell>
        </row>
      </sheetData>
      <sheetData sheetId="5646">
        <row r="2">
          <cell r="A2" t="str">
            <v>Product RFPs</v>
          </cell>
        </row>
      </sheetData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>
        <row r="1">
          <cell r="J1" t="str">
            <v>K:\CLIENTS\W\WONDERWA.CRP\1996\WRKPAPER\STATES\[BOOK1.XLS]APPORT</v>
          </cell>
        </row>
      </sheetData>
      <sheetData sheetId="5659">
        <row r="1">
          <cell r="J1" t="str">
            <v>K:\CLIENTS\W\WONDERWA.CRP\1996\WRKPAPER\STATES\[BOOK1.XLS]APPORT</v>
          </cell>
        </row>
      </sheetData>
      <sheetData sheetId="5660">
        <row r="1">
          <cell r="J1" t="str">
            <v>K:\CLIENTS\W\WONDERWA.CRP\1996\WRKPAPER\STATES\[BOOK1.XLS]APPORT</v>
          </cell>
        </row>
      </sheetData>
      <sheetData sheetId="5661">
        <row r="1">
          <cell r="J1" t="str">
            <v>K:\CLIENTS\W\WONDERWA.CRP\1996\WRKPAPER\STATES\[BOOK1.XLS]APPORT</v>
          </cell>
        </row>
      </sheetData>
      <sheetData sheetId="5662">
        <row r="1">
          <cell r="J1" t="str">
            <v>K:\CLIENTS\W\WONDERWA.CRP\1996\WRKPAPER\STATES\[BOOK1.XLS]APPORT</v>
          </cell>
        </row>
      </sheetData>
      <sheetData sheetId="5663">
        <row r="1">
          <cell r="J1" t="str">
            <v>K:\CLIENTS\W\WONDERWA.CRP\1996\WRKPAPER\STATES\[BOOK1.XLS]APPORT</v>
          </cell>
        </row>
      </sheetData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>
        <row r="19">
          <cell r="D19">
            <v>1.1499999999999999</v>
          </cell>
        </row>
      </sheetData>
      <sheetData sheetId="5683">
        <row r="19">
          <cell r="D19">
            <v>1.1499999999999999</v>
          </cell>
        </row>
      </sheetData>
      <sheetData sheetId="5684">
        <row r="19">
          <cell r="D19">
            <v>1.1499999999999999</v>
          </cell>
        </row>
      </sheetData>
      <sheetData sheetId="5685">
        <row r="19">
          <cell r="D19">
            <v>1.1499999999999999</v>
          </cell>
        </row>
      </sheetData>
      <sheetData sheetId="5686">
        <row r="19">
          <cell r="D19">
            <v>1.1499999999999999</v>
          </cell>
        </row>
      </sheetData>
      <sheetData sheetId="5687">
        <row r="19">
          <cell r="D19">
            <v>1.1499999999999999</v>
          </cell>
        </row>
      </sheetData>
      <sheetData sheetId="5688">
        <row r="19">
          <cell r="D19">
            <v>1.1499999999999999</v>
          </cell>
        </row>
      </sheetData>
      <sheetData sheetId="5689">
        <row r="19">
          <cell r="D19">
            <v>1.1499999999999999</v>
          </cell>
        </row>
      </sheetData>
      <sheetData sheetId="5690">
        <row r="19">
          <cell r="D19">
            <v>1.1499999999999999</v>
          </cell>
        </row>
      </sheetData>
      <sheetData sheetId="5691">
        <row r="19">
          <cell r="D19">
            <v>1.1499999999999999</v>
          </cell>
        </row>
      </sheetData>
      <sheetData sheetId="5692">
        <row r="19">
          <cell r="D19">
            <v>1.1499999999999999</v>
          </cell>
        </row>
      </sheetData>
      <sheetData sheetId="5693">
        <row r="19">
          <cell r="D19">
            <v>1.1499999999999999</v>
          </cell>
        </row>
      </sheetData>
      <sheetData sheetId="5694">
        <row r="19">
          <cell r="D19">
            <v>1.1499999999999999</v>
          </cell>
        </row>
      </sheetData>
      <sheetData sheetId="5695">
        <row r="19">
          <cell r="D19">
            <v>1.1499999999999999</v>
          </cell>
        </row>
      </sheetData>
      <sheetData sheetId="5696">
        <row r="19">
          <cell r="D19">
            <v>1.1499999999999999</v>
          </cell>
        </row>
      </sheetData>
      <sheetData sheetId="5697">
        <row r="45">
          <cell r="H45">
            <v>1</v>
          </cell>
        </row>
      </sheetData>
      <sheetData sheetId="5698">
        <row r="45">
          <cell r="H45">
            <v>1</v>
          </cell>
        </row>
      </sheetData>
      <sheetData sheetId="5699">
        <row r="19">
          <cell r="D19">
            <v>1.1499999999999999</v>
          </cell>
        </row>
      </sheetData>
      <sheetData sheetId="5700">
        <row r="19">
          <cell r="D19">
            <v>1.1499999999999999</v>
          </cell>
        </row>
      </sheetData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>
        <row r="4">
          <cell r="B4" t="str">
            <v>0</v>
          </cell>
        </row>
      </sheetData>
      <sheetData sheetId="5787">
        <row r="4">
          <cell r="B4" t="str">
            <v>0</v>
          </cell>
        </row>
      </sheetData>
      <sheetData sheetId="5788">
        <row r="4">
          <cell r="B4" t="str">
            <v>0</v>
          </cell>
        </row>
      </sheetData>
      <sheetData sheetId="5789">
        <row r="4">
          <cell r="B4" t="str">
            <v>0</v>
          </cell>
        </row>
      </sheetData>
      <sheetData sheetId="5790">
        <row r="4">
          <cell r="B4" t="str">
            <v>0</v>
          </cell>
        </row>
      </sheetData>
      <sheetData sheetId="5791">
        <row r="4">
          <cell r="B4" t="str">
            <v>0</v>
          </cell>
        </row>
      </sheetData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>
        <row r="7">
          <cell r="D7">
            <v>336622.46</v>
          </cell>
        </row>
      </sheetData>
      <sheetData sheetId="5804">
        <row r="7">
          <cell r="D7">
            <v>336622.46</v>
          </cell>
        </row>
      </sheetData>
      <sheetData sheetId="5805">
        <row r="7">
          <cell r="D7">
            <v>336622.46</v>
          </cell>
        </row>
      </sheetData>
      <sheetData sheetId="5806">
        <row r="7">
          <cell r="D7">
            <v>336622.46</v>
          </cell>
        </row>
      </sheetData>
      <sheetData sheetId="5807">
        <row r="7">
          <cell r="D7">
            <v>336622.46</v>
          </cell>
        </row>
      </sheetData>
      <sheetData sheetId="5808">
        <row r="7">
          <cell r="D7">
            <v>336622.46</v>
          </cell>
        </row>
      </sheetData>
      <sheetData sheetId="5809">
        <row r="7">
          <cell r="D7">
            <v>336622.46</v>
          </cell>
        </row>
      </sheetData>
      <sheetData sheetId="5810">
        <row r="7">
          <cell r="D7">
            <v>336622.46</v>
          </cell>
        </row>
      </sheetData>
      <sheetData sheetId="5811">
        <row r="7">
          <cell r="D7">
            <v>336622.46</v>
          </cell>
        </row>
      </sheetData>
      <sheetData sheetId="5812">
        <row r="7">
          <cell r="D7">
            <v>336622.46</v>
          </cell>
        </row>
      </sheetData>
      <sheetData sheetId="5813">
        <row r="7">
          <cell r="D7">
            <v>336622.46</v>
          </cell>
        </row>
      </sheetData>
      <sheetData sheetId="5814">
        <row r="7">
          <cell r="D7">
            <v>336622.46</v>
          </cell>
        </row>
      </sheetData>
      <sheetData sheetId="5815">
        <row r="7">
          <cell r="D7">
            <v>336622.46</v>
          </cell>
        </row>
      </sheetData>
      <sheetData sheetId="5816">
        <row r="7">
          <cell r="D7">
            <v>336622.46</v>
          </cell>
        </row>
      </sheetData>
      <sheetData sheetId="5817">
        <row r="7">
          <cell r="D7">
            <v>336622.46</v>
          </cell>
        </row>
      </sheetData>
      <sheetData sheetId="5818">
        <row r="7">
          <cell r="D7">
            <v>336622.46</v>
          </cell>
        </row>
      </sheetData>
      <sheetData sheetId="5819">
        <row r="7">
          <cell r="D7">
            <v>336622.46</v>
          </cell>
        </row>
      </sheetData>
      <sheetData sheetId="5820"/>
      <sheetData sheetId="5821"/>
      <sheetData sheetId="5822"/>
      <sheetData sheetId="5823">
        <row r="2">
          <cell r="A2" t="str">
            <v>Product RFPs</v>
          </cell>
        </row>
      </sheetData>
      <sheetData sheetId="5824">
        <row r="2">
          <cell r="A2" t="str">
            <v>Product RFPs</v>
          </cell>
        </row>
      </sheetData>
      <sheetData sheetId="5825">
        <row r="2">
          <cell r="A2" t="str">
            <v>Product RFPs</v>
          </cell>
        </row>
      </sheetData>
      <sheetData sheetId="5826">
        <row r="2">
          <cell r="A2" t="str">
            <v>Product RFPs</v>
          </cell>
        </row>
      </sheetData>
      <sheetData sheetId="5827">
        <row r="2">
          <cell r="A2" t="str">
            <v>Product RFPs</v>
          </cell>
        </row>
      </sheetData>
      <sheetData sheetId="5828">
        <row r="2">
          <cell r="A2" t="str">
            <v>Product RFPs</v>
          </cell>
        </row>
      </sheetData>
      <sheetData sheetId="5829">
        <row r="2">
          <cell r="A2" t="str">
            <v>Product RFPs</v>
          </cell>
        </row>
      </sheetData>
      <sheetData sheetId="5830">
        <row r="2">
          <cell r="A2" t="str">
            <v>Product RFPs</v>
          </cell>
        </row>
      </sheetData>
      <sheetData sheetId="5831">
        <row r="2">
          <cell r="A2" t="str">
            <v>Product RFPs</v>
          </cell>
        </row>
      </sheetData>
      <sheetData sheetId="5832">
        <row r="2">
          <cell r="A2" t="str">
            <v>Product RFPs</v>
          </cell>
        </row>
      </sheetData>
      <sheetData sheetId="5833">
        <row r="2">
          <cell r="A2" t="str">
            <v>Product RFPs</v>
          </cell>
        </row>
      </sheetData>
      <sheetData sheetId="5834">
        <row r="2">
          <cell r="A2" t="str">
            <v>Product RFPs</v>
          </cell>
        </row>
      </sheetData>
      <sheetData sheetId="5835">
        <row r="2">
          <cell r="A2" t="str">
            <v>Product RFPs</v>
          </cell>
        </row>
      </sheetData>
      <sheetData sheetId="5836">
        <row r="2">
          <cell r="A2" t="str">
            <v>Product RFPs</v>
          </cell>
        </row>
      </sheetData>
      <sheetData sheetId="5837">
        <row r="2">
          <cell r="A2" t="str">
            <v>Product RFPs</v>
          </cell>
        </row>
      </sheetData>
      <sheetData sheetId="5838">
        <row r="2">
          <cell r="A2" t="str">
            <v>Product RFPs</v>
          </cell>
        </row>
      </sheetData>
      <sheetData sheetId="5839">
        <row r="2">
          <cell r="A2" t="str">
            <v>Product RFPs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J1" t="str">
            <v>K:\CLIENTS\W\WONDERWA.CRP\1996\WRKPAPER\STATES\[BOOK1.XLS]APPORT</v>
          </cell>
        </row>
      </sheetData>
      <sheetData sheetId="5855">
        <row r="1">
          <cell r="J1" t="str">
            <v>K:\CLIENTS\W\WONDERWA.CRP\1996\WRKPAPER\STATES\[BOOK1.XLS]APPORT</v>
          </cell>
        </row>
      </sheetData>
      <sheetData sheetId="5856">
        <row r="1">
          <cell r="J1" t="str">
            <v>K:\CLIENTS\W\WONDERWA.CRP\1996\WRKPAPER\STATES\[BOOK1.XLS]APPORT</v>
          </cell>
        </row>
      </sheetData>
      <sheetData sheetId="5857">
        <row r="1">
          <cell r="J1" t="str">
            <v>K:\CLIENTS\W\WONDERWA.CRP\1996\WRKPAPER\STATES\[BOOK1.XLS]APPORT</v>
          </cell>
        </row>
      </sheetData>
      <sheetData sheetId="5858">
        <row r="7">
          <cell r="D7">
            <v>336622.46</v>
          </cell>
        </row>
      </sheetData>
      <sheetData sheetId="5859">
        <row r="7">
          <cell r="D7">
            <v>336622.46</v>
          </cell>
        </row>
      </sheetData>
      <sheetData sheetId="5860">
        <row r="7">
          <cell r="D7">
            <v>336622.46</v>
          </cell>
        </row>
      </sheetData>
      <sheetData sheetId="5861">
        <row r="7">
          <cell r="D7">
            <v>336622.46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2">
          <cell r="A2" t="str">
            <v>Product RFPs</v>
          </cell>
        </row>
      </sheetData>
      <sheetData sheetId="5875">
        <row r="2">
          <cell r="A2" t="str">
            <v>Product RFPs</v>
          </cell>
        </row>
      </sheetData>
      <sheetData sheetId="5876">
        <row r="2">
          <cell r="A2" t="str">
            <v>Product RFPs</v>
          </cell>
        </row>
      </sheetData>
      <sheetData sheetId="5877">
        <row r="2">
          <cell r="A2" t="str">
            <v>Product RFPs</v>
          </cell>
        </row>
      </sheetData>
      <sheetData sheetId="5878">
        <row r="2">
          <cell r="A2" t="str">
            <v>Product RFPs</v>
          </cell>
        </row>
      </sheetData>
      <sheetData sheetId="5879">
        <row r="2">
          <cell r="A2" t="str">
            <v>Product RFPs</v>
          </cell>
        </row>
      </sheetData>
      <sheetData sheetId="5880">
        <row r="2">
          <cell r="A2" t="str">
            <v>Product RFPs</v>
          </cell>
        </row>
      </sheetData>
      <sheetData sheetId="5881">
        <row r="2">
          <cell r="A2" t="str">
            <v>Product RFPs</v>
          </cell>
        </row>
      </sheetData>
      <sheetData sheetId="5882">
        <row r="2">
          <cell r="A2" t="str">
            <v>Product RFPs</v>
          </cell>
        </row>
      </sheetData>
      <sheetData sheetId="5883">
        <row r="2">
          <cell r="A2" t="str">
            <v>Product RFPs</v>
          </cell>
        </row>
      </sheetData>
      <sheetData sheetId="5884">
        <row r="2">
          <cell r="A2" t="str">
            <v>Product RFPs</v>
          </cell>
        </row>
      </sheetData>
      <sheetData sheetId="5885">
        <row r="2">
          <cell r="A2" t="str">
            <v>Product RFPs</v>
          </cell>
        </row>
      </sheetData>
      <sheetData sheetId="5886">
        <row r="1">
          <cell r="J1" t="str">
            <v>K:\CLIENTS\W\WONDERWA.CRP\1996\WRKPAPER\STATES\[BOOK1.XLS]APPORT</v>
          </cell>
        </row>
      </sheetData>
      <sheetData sheetId="5887">
        <row r="1">
          <cell r="J1" t="str">
            <v>K:\CLIENTS\W\WONDERWA.CRP\1996\WRKPAPER\STATES\[BOOK1.XLS]APPORT</v>
          </cell>
        </row>
      </sheetData>
      <sheetData sheetId="5888">
        <row r="1">
          <cell r="J1" t="str">
            <v>K:\CLIENTS\W\WONDERWA.CRP\1996\WRKPAPER\STATES\[BOOK1.XLS]APPORT</v>
          </cell>
        </row>
      </sheetData>
      <sheetData sheetId="5889">
        <row r="1">
          <cell r="J1" t="str">
            <v>K:\CLIENTS\W\WONDERWA.CRP\1996\WRKPAPER\STATES\[BOOK1.XLS]APPORT</v>
          </cell>
        </row>
      </sheetData>
      <sheetData sheetId="5890">
        <row r="1">
          <cell r="J1" t="str">
            <v>K:\CLIENTS\W\WONDERWA.CRP\1996\WRKPAPER\STATES\[BOOK1.XLS]APPORT</v>
          </cell>
        </row>
      </sheetData>
      <sheetData sheetId="5891">
        <row r="1">
          <cell r="J1" t="str">
            <v>K:\CLIENTS\W\WONDERWA.CRP\1996\WRKPAPER\STATES\[BOOK1.XLS]APPORT</v>
          </cell>
        </row>
      </sheetData>
      <sheetData sheetId="5892">
        <row r="1">
          <cell r="J1" t="str">
            <v>K:\CLIENTS\W\WONDERWA.CRP\1996\WRKPAPER\STATES\[BOOK1.XLS]APPORT</v>
          </cell>
        </row>
      </sheetData>
      <sheetData sheetId="5893">
        <row r="1">
          <cell r="J1" t="str">
            <v>K:\CLIENTS\W\WONDERWA.CRP\1996\WRKPAPER\STATES\[BOOK1.XLS]APPORT</v>
          </cell>
        </row>
      </sheetData>
      <sheetData sheetId="5894">
        <row r="1">
          <cell r="J1" t="str">
            <v>K:\CLIENTS\W\WONDERWA.CRP\1996\WRKPAPER\STATES\[BOOK1.XLS]APPORT</v>
          </cell>
        </row>
      </sheetData>
      <sheetData sheetId="5895">
        <row r="1">
          <cell r="J1" t="str">
            <v>K:\CLIENTS\W\WONDERWA.CRP\1996\WRKPAPER\STATES\[BOOK1.XLS]APPORT</v>
          </cell>
        </row>
      </sheetData>
      <sheetData sheetId="5896">
        <row r="1">
          <cell r="J1" t="str">
            <v>K:\CLIENTS\W\WONDERWA.CRP\1996\WRKPAPER\STATES\[BOOK1.XLS]APPORT</v>
          </cell>
        </row>
      </sheetData>
      <sheetData sheetId="5897">
        <row r="1">
          <cell r="J1" t="str">
            <v>K:\CLIENTS\W\WONDERWA.CRP\1996\WRKPAPER\STATES\[BOOK1.XLS]APPORT</v>
          </cell>
        </row>
      </sheetData>
      <sheetData sheetId="5898">
        <row r="1">
          <cell r="J1" t="str">
            <v>K:\CLIENTS\W\WONDERWA.CRP\1996\WRKPAPER\STATES\[BOOK1.XLS]APPORT</v>
          </cell>
        </row>
      </sheetData>
      <sheetData sheetId="5899">
        <row r="1">
          <cell r="J1" t="str">
            <v>K:\CLIENTS\W\WONDERWA.CRP\1996\WRKPAPER\STATES\[BOOK1.XLS]APPORT</v>
          </cell>
        </row>
      </sheetData>
      <sheetData sheetId="5900">
        <row r="1">
          <cell r="J1" t="str">
            <v>K:\CLIENTS\W\WONDERWA.CRP\1996\WRKPAPER\STATES\[BOOK1.XLS]APPORT</v>
          </cell>
        </row>
      </sheetData>
      <sheetData sheetId="5901">
        <row r="1">
          <cell r="J1" t="str">
            <v>K:\CLIENTS\W\WONDERWA.CRP\1996\WRKPAPER\STATES\[BOOK1.XLS]APPORT</v>
          </cell>
        </row>
      </sheetData>
      <sheetData sheetId="5902">
        <row r="1">
          <cell r="J1" t="str">
            <v>K:\CLIENTS\W\WONDERWA.CRP\1996\WRKPAPER\STATES\[BOOK1.XLS]APPORT</v>
          </cell>
        </row>
      </sheetData>
      <sheetData sheetId="5903">
        <row r="7">
          <cell r="D7">
            <v>336622.46</v>
          </cell>
        </row>
      </sheetData>
      <sheetData sheetId="5904">
        <row r="7">
          <cell r="D7">
            <v>336622.46</v>
          </cell>
        </row>
      </sheetData>
      <sheetData sheetId="5905">
        <row r="7">
          <cell r="D7">
            <v>336622.46</v>
          </cell>
        </row>
      </sheetData>
      <sheetData sheetId="5906"/>
      <sheetData sheetId="5907"/>
      <sheetData sheetId="5908"/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/>
      <sheetData sheetId="5918"/>
      <sheetData sheetId="5919"/>
      <sheetData sheetId="5920">
        <row r="2">
          <cell r="A2" t="str">
            <v>Product RFPs</v>
          </cell>
        </row>
      </sheetData>
      <sheetData sheetId="5921">
        <row r="2">
          <cell r="A2" t="str">
            <v>Product RFPs</v>
          </cell>
        </row>
      </sheetData>
      <sheetData sheetId="5922">
        <row r="2">
          <cell r="A2" t="str">
            <v>Product RFPs</v>
          </cell>
        </row>
      </sheetData>
      <sheetData sheetId="5923">
        <row r="2">
          <cell r="A2" t="str">
            <v>Product RFPs</v>
          </cell>
        </row>
      </sheetData>
      <sheetData sheetId="5924">
        <row r="2">
          <cell r="A2" t="str">
            <v>Product RFPs</v>
          </cell>
        </row>
      </sheetData>
      <sheetData sheetId="5925">
        <row r="2">
          <cell r="A2" t="str">
            <v>Product RFPs</v>
          </cell>
        </row>
      </sheetData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>
        <row r="1">
          <cell r="J1" t="str">
            <v>K:\CLIENTS\W\WONDERWA.CRP\1996\WRKPAPER\STATES\[BOOK1.XLS]APPORT</v>
          </cell>
        </row>
      </sheetData>
      <sheetData sheetId="5938">
        <row r="1">
          <cell r="J1" t="str">
            <v>K:\CLIENTS\W\WONDERWA.CRP\1996\WRKPAPER\STATES\[BOOK1.XLS]APPORT</v>
          </cell>
        </row>
      </sheetData>
      <sheetData sheetId="5939">
        <row r="1">
          <cell r="J1" t="str">
            <v>K:\CLIENTS\W\WONDERWA.CRP\1996\WRKPAPER\STATES\[BOOK1.XLS]APPORT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>
        <row r="4">
          <cell r="B4" t="str">
            <v>0</v>
          </cell>
        </row>
      </sheetData>
      <sheetData sheetId="5969">
        <row r="4">
          <cell r="B4" t="str">
            <v>0</v>
          </cell>
        </row>
      </sheetData>
      <sheetData sheetId="5970">
        <row r="4">
          <cell r="B4" t="str">
            <v>0</v>
          </cell>
        </row>
      </sheetData>
      <sheetData sheetId="5971">
        <row r="4">
          <cell r="B4" t="str">
            <v>0</v>
          </cell>
        </row>
      </sheetData>
      <sheetData sheetId="5972">
        <row r="4">
          <cell r="B4" t="str">
            <v>0</v>
          </cell>
        </row>
      </sheetData>
      <sheetData sheetId="5973">
        <row r="4">
          <cell r="B4" t="str">
            <v>0</v>
          </cell>
        </row>
      </sheetData>
      <sheetData sheetId="5974">
        <row r="4">
          <cell r="B4" t="str">
            <v>0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4">
          <cell r="B4" t="str">
            <v>0</v>
          </cell>
        </row>
      </sheetData>
      <sheetData sheetId="5979">
        <row r="4">
          <cell r="B4" t="str">
            <v>0</v>
          </cell>
        </row>
      </sheetData>
      <sheetData sheetId="5980">
        <row r="4">
          <cell r="B4" t="str">
            <v>0</v>
          </cell>
        </row>
      </sheetData>
      <sheetData sheetId="5981">
        <row r="4">
          <cell r="B4" t="str">
            <v>0</v>
          </cell>
        </row>
      </sheetData>
      <sheetData sheetId="5982">
        <row r="4">
          <cell r="B4" t="str">
            <v>0</v>
          </cell>
        </row>
      </sheetData>
      <sheetData sheetId="5983">
        <row r="4">
          <cell r="B4" t="str">
            <v>0</v>
          </cell>
        </row>
      </sheetData>
      <sheetData sheetId="5984">
        <row r="4">
          <cell r="B4" t="str">
            <v>0</v>
          </cell>
        </row>
      </sheetData>
      <sheetData sheetId="5985">
        <row r="4">
          <cell r="B4" t="str">
            <v>0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4">
          <cell r="B4" t="str">
            <v>0</v>
          </cell>
        </row>
      </sheetData>
      <sheetData sheetId="6018">
        <row r="4">
          <cell r="B4" t="str">
            <v>0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4">
          <cell r="B4" t="str">
            <v>0</v>
          </cell>
        </row>
      </sheetData>
      <sheetData sheetId="6022">
        <row r="4">
          <cell r="B4" t="str">
            <v>0</v>
          </cell>
        </row>
      </sheetData>
      <sheetData sheetId="6023">
        <row r="4">
          <cell r="B4" t="str">
            <v>0</v>
          </cell>
        </row>
      </sheetData>
      <sheetData sheetId="6024">
        <row r="4">
          <cell r="B4" t="str">
            <v>0</v>
          </cell>
        </row>
      </sheetData>
      <sheetData sheetId="6025">
        <row r="4">
          <cell r="B4" t="str">
            <v>0</v>
          </cell>
        </row>
      </sheetData>
      <sheetData sheetId="6026">
        <row r="4">
          <cell r="B4" t="str">
            <v>0</v>
          </cell>
        </row>
      </sheetData>
      <sheetData sheetId="6027">
        <row r="4">
          <cell r="B4" t="str">
            <v>0</v>
          </cell>
        </row>
      </sheetData>
      <sheetData sheetId="6028">
        <row r="4">
          <cell r="B4" t="str">
            <v>0</v>
          </cell>
        </row>
      </sheetData>
      <sheetData sheetId="6029">
        <row r="4">
          <cell r="B4" t="str">
            <v>0</v>
          </cell>
        </row>
      </sheetData>
      <sheetData sheetId="6030">
        <row r="4">
          <cell r="B4" t="str">
            <v>0</v>
          </cell>
        </row>
      </sheetData>
      <sheetData sheetId="6031"/>
      <sheetData sheetId="6032"/>
      <sheetData sheetId="6033"/>
      <sheetData sheetId="6034"/>
      <sheetData sheetId="6035"/>
      <sheetData sheetId="6036"/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/>
      <sheetData sheetId="6046"/>
      <sheetData sheetId="6047"/>
      <sheetData sheetId="6048"/>
      <sheetData sheetId="6049"/>
      <sheetData sheetId="605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7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9"/>
      <sheetData sheetId="6060"/>
      <sheetData sheetId="6061"/>
      <sheetData sheetId="6062"/>
      <sheetData sheetId="6063"/>
      <sheetData sheetId="6064"/>
      <sheetData sheetId="6065">
        <row r="4">
          <cell r="B4" t="str">
            <v>0</v>
          </cell>
        </row>
      </sheetData>
      <sheetData sheetId="6066">
        <row r="4">
          <cell r="B4" t="str">
            <v>0</v>
          </cell>
        </row>
      </sheetData>
      <sheetData sheetId="6067">
        <row r="4">
          <cell r="B4" t="str">
            <v>0</v>
          </cell>
        </row>
      </sheetData>
      <sheetData sheetId="6068">
        <row r="4">
          <cell r="B4" t="str">
            <v>0</v>
          </cell>
        </row>
      </sheetData>
      <sheetData sheetId="6069">
        <row r="4">
          <cell r="B4" t="str">
            <v>0</v>
          </cell>
        </row>
      </sheetData>
      <sheetData sheetId="6070">
        <row r="4">
          <cell r="B4" t="str">
            <v>0</v>
          </cell>
        </row>
      </sheetData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>
        <row r="7">
          <cell r="D7">
            <v>336622.46</v>
          </cell>
        </row>
      </sheetData>
      <sheetData sheetId="6086">
        <row r="7">
          <cell r="D7">
            <v>336622.46</v>
          </cell>
        </row>
      </sheetData>
      <sheetData sheetId="6087">
        <row r="7">
          <cell r="D7">
            <v>336622.46</v>
          </cell>
        </row>
      </sheetData>
      <sheetData sheetId="6088">
        <row r="7">
          <cell r="D7">
            <v>336622.46</v>
          </cell>
        </row>
      </sheetData>
      <sheetData sheetId="6089">
        <row r="7">
          <cell r="D7">
            <v>336622.46</v>
          </cell>
        </row>
      </sheetData>
      <sheetData sheetId="6090">
        <row r="7">
          <cell r="D7">
            <v>336622.46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2">
          <cell r="A2" t="str">
            <v>Product RFPs</v>
          </cell>
        </row>
      </sheetData>
      <sheetData sheetId="6113">
        <row r="2">
          <cell r="A2" t="str">
            <v>Product RFPs</v>
          </cell>
        </row>
      </sheetData>
      <sheetData sheetId="6114">
        <row r="2">
          <cell r="A2" t="str">
            <v>Product RFPs</v>
          </cell>
        </row>
      </sheetData>
      <sheetData sheetId="6115">
        <row r="2">
          <cell r="A2" t="str">
            <v>Product RFPs</v>
          </cell>
        </row>
      </sheetData>
      <sheetData sheetId="6116">
        <row r="2">
          <cell r="A2" t="str">
            <v>Product RFPs</v>
          </cell>
        </row>
      </sheetData>
      <sheetData sheetId="6117">
        <row r="2">
          <cell r="A2" t="str">
            <v>Product RFPs</v>
          </cell>
        </row>
      </sheetData>
      <sheetData sheetId="6118">
        <row r="2">
          <cell r="A2" t="str">
            <v>Product RFPs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J1" t="str">
            <v>K:\CLIENTS\W\WONDERWA.CRP\1996\WRKPAPER\STATES\[BOOK1.XLS]APPORT</v>
          </cell>
        </row>
      </sheetData>
      <sheetData sheetId="6129">
        <row r="1">
          <cell r="J1" t="str">
            <v>K:\CLIENTS\W\WONDERWA.CRP\1996\WRKPAPER\STATES\[BOOK1.XLS]APPORT</v>
          </cell>
        </row>
      </sheetData>
      <sheetData sheetId="6130">
        <row r="1">
          <cell r="J1" t="str">
            <v>K:\CLIENTS\W\WONDERWA.CRP\1996\WRKPAPER\STATES\[BOOK1.XLS]APPORT</v>
          </cell>
        </row>
      </sheetData>
      <sheetData sheetId="6131">
        <row r="1">
          <cell r="J1" t="str">
            <v>K:\CLIENTS\W\WONDERWA.CRP\1996\WRKPAPER\STATES\[BOOK1.XLS]APPORT</v>
          </cell>
        </row>
      </sheetData>
      <sheetData sheetId="6132">
        <row r="1">
          <cell r="J1" t="str">
            <v>K:\CLIENTS\W\WONDERWA.CRP\1996\WRKPAPER\STATES\[BOOK1.XLS]APPORT</v>
          </cell>
        </row>
      </sheetData>
      <sheetData sheetId="6133">
        <row r="1">
          <cell r="J1" t="str">
            <v>K:\CLIENTS\W\WONDERWA.CRP\1996\WRKPAPER\STATES\[BOOK1.XLS]APPORT</v>
          </cell>
        </row>
      </sheetData>
      <sheetData sheetId="6134">
        <row r="1">
          <cell r="J1" t="str">
            <v>K:\CLIENTS\W\WONDERWA.CRP\1996\WRKPAPER\STATES\[BOOK1.XLS]APPORT</v>
          </cell>
        </row>
      </sheetData>
      <sheetData sheetId="6135">
        <row r="1">
          <cell r="J1" t="str">
            <v>K:\CLIENTS\W\WONDERWA.CRP\1996\WRKPAPER\STATES\[BOOK1.XLS]APPORT</v>
          </cell>
        </row>
      </sheetData>
      <sheetData sheetId="6136">
        <row r="7">
          <cell r="D7">
            <v>336622.46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Directions: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2">
          <cell r="A2" t="str">
            <v>Product RFPs</v>
          </cell>
        </row>
      </sheetData>
      <sheetData sheetId="6157">
        <row r="2">
          <cell r="A2" t="str">
            <v>Product RFPs</v>
          </cell>
        </row>
      </sheetData>
      <sheetData sheetId="6158">
        <row r="2">
          <cell r="A2" t="str">
            <v>Product RFPs</v>
          </cell>
        </row>
      </sheetData>
      <sheetData sheetId="6159">
        <row r="2">
          <cell r="A2" t="str">
            <v>Product RFPs</v>
          </cell>
        </row>
      </sheetData>
      <sheetData sheetId="6160">
        <row r="2">
          <cell r="A2" t="str">
            <v>Product RFPs</v>
          </cell>
        </row>
      </sheetData>
      <sheetData sheetId="6161">
        <row r="2">
          <cell r="A2" t="str">
            <v>Product RFPs</v>
          </cell>
        </row>
      </sheetData>
      <sheetData sheetId="6162"/>
      <sheetData sheetId="6163">
        <row r="1">
          <cell r="A1" t="str">
            <v>OBL</v>
          </cell>
        </row>
      </sheetData>
      <sheetData sheetId="6164"/>
      <sheetData sheetId="6165"/>
      <sheetData sheetId="6166"/>
      <sheetData sheetId="6167"/>
      <sheetData sheetId="6168"/>
      <sheetData sheetId="6169">
        <row r="1">
          <cell r="J1" t="str">
            <v>K:\CLIENTS\W\WONDERWA.CRP\1996\WRKPAPER\STATES\[BOOK1.XLS]APPORT</v>
          </cell>
        </row>
      </sheetData>
      <sheetData sheetId="6170">
        <row r="1">
          <cell r="J1" t="str">
            <v>K:\CLIENTS\W\WONDERWA.CRP\1996\WRKPAPER\STATES\[BOOK1.XLS]APPORT</v>
          </cell>
        </row>
      </sheetData>
      <sheetData sheetId="6171">
        <row r="1">
          <cell r="J1" t="str">
            <v>K:\CLIENTS\W\WONDERWA.CRP\1996\WRKPAPER\STATES\[BOOK1.XLS]APPORT</v>
          </cell>
        </row>
      </sheetData>
      <sheetData sheetId="6172">
        <row r="1">
          <cell r="J1" t="str">
            <v>K:\CLIENTS\W\WONDERWA.CRP\1996\WRKPAPER\STATES\[BOOK1.XLS]APPORT</v>
          </cell>
        </row>
      </sheetData>
      <sheetData sheetId="6173">
        <row r="1">
          <cell r="J1" t="str">
            <v>K:\CLIENTS\W\WONDERWA.CRP\1996\WRKPAPER\STATES\[BOOK1.XLS]APPORT</v>
          </cell>
        </row>
      </sheetData>
      <sheetData sheetId="6174">
        <row r="1">
          <cell r="J1" t="str">
            <v>K:\CLIENTS\W\WONDERWA.CRP\1996\WRKPAPER\STATES\[BOOK1.XLS]APPORT</v>
          </cell>
        </row>
      </sheetData>
      <sheetData sheetId="6175">
        <row r="1">
          <cell r="J1" t="str">
            <v>K:\CLIENTS\W\WONDERWA.CRP\1996\WRKPAPER\STATES\[BOOK1.XLS]APPORT</v>
          </cell>
        </row>
      </sheetData>
      <sheetData sheetId="6176">
        <row r="1">
          <cell r="J1" t="str">
            <v>K:\CLIENTS\W\WONDERWA.CRP\1996\WRKPAPER\STATES\[BOOK1.XLS]APPORT</v>
          </cell>
        </row>
      </sheetData>
      <sheetData sheetId="6177">
        <row r="1">
          <cell r="J1" t="str">
            <v>K:\CLIENTS\W\WONDERWA.CRP\1996\WRKPAPER\STATES\[BOOK1.XLS]APPORT</v>
          </cell>
        </row>
      </sheetData>
      <sheetData sheetId="6178">
        <row r="1">
          <cell r="J1" t="str">
            <v>K:\CLIENTS\W\WONDERWA.CRP\1996\WRKPAPER\STATES\[BOOK1.XLS]APPORT</v>
          </cell>
        </row>
      </sheetData>
      <sheetData sheetId="6179"/>
      <sheetData sheetId="6180">
        <row r="7">
          <cell r="D7">
            <v>336622.46</v>
          </cell>
        </row>
      </sheetData>
      <sheetData sheetId="6181">
        <row r="7">
          <cell r="D7">
            <v>336622.46</v>
          </cell>
        </row>
      </sheetData>
      <sheetData sheetId="6182">
        <row r="7">
          <cell r="D7">
            <v>336622.46</v>
          </cell>
        </row>
      </sheetData>
      <sheetData sheetId="6183">
        <row r="7">
          <cell r="D7">
            <v>336622.46</v>
          </cell>
        </row>
      </sheetData>
      <sheetData sheetId="6184">
        <row r="7">
          <cell r="D7">
            <v>336622.46</v>
          </cell>
        </row>
      </sheetData>
      <sheetData sheetId="6185"/>
      <sheetData sheetId="6186"/>
      <sheetData sheetId="6187"/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2">
          <cell r="A2">
            <v>38995</v>
          </cell>
        </row>
      </sheetData>
      <sheetData sheetId="6197"/>
      <sheetData sheetId="6198"/>
      <sheetData sheetId="619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00">
        <row r="2">
          <cell r="A2" t="str">
            <v>Product RFPs</v>
          </cell>
        </row>
      </sheetData>
      <sheetData sheetId="6201">
        <row r="2">
          <cell r="A2" t="str">
            <v>Product RFPs</v>
          </cell>
        </row>
      </sheetData>
      <sheetData sheetId="6202">
        <row r="2">
          <cell r="A2" t="str">
            <v>Product RFPs</v>
          </cell>
        </row>
      </sheetData>
      <sheetData sheetId="6203">
        <row r="2">
          <cell r="A2" t="str">
            <v>Product RFPs</v>
          </cell>
        </row>
      </sheetData>
      <sheetData sheetId="6204">
        <row r="2">
          <cell r="A2" t="str">
            <v>Product RFPs</v>
          </cell>
        </row>
      </sheetData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>
        <row r="1">
          <cell r="J1" t="str">
            <v>K:\CLIENTS\W\WONDERWA.CRP\1996\WRKPAPER\STATES\[BOOK1.XLS]APPORT</v>
          </cell>
        </row>
      </sheetData>
      <sheetData sheetId="6218">
        <row r="1">
          <cell r="J1" t="str">
            <v>K:\CLIENTS\W\WONDERWA.CRP\1996\WRKPAPER\STATES\[BOOK1.XLS]APPORT</v>
          </cell>
        </row>
      </sheetData>
      <sheetData sheetId="6219">
        <row r="1">
          <cell r="J1" t="str">
            <v>K:\CLIENTS\W\WONDERWA.CRP\1996\WRKPAPER\STATES\[BOOK1.XLS]APPORT</v>
          </cell>
        </row>
      </sheetData>
      <sheetData sheetId="6220">
        <row r="1">
          <cell r="J1" t="str">
            <v>K:\CLIENTS\W\WONDERWA.CRP\1996\WRKPAPER\STATES\[BOOK1.XLS]APPORT</v>
          </cell>
        </row>
      </sheetData>
      <sheetData sheetId="6221">
        <row r="1">
          <cell r="J1" t="str">
            <v>K:\CLIENTS\W\WONDERWA.CRP\1996\WRKPAPER\STATES\[BOOK1.XLS]APPORT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>
        <row r="4">
          <cell r="B4" t="str">
            <v>0</v>
          </cell>
        </row>
      </sheetData>
      <sheetData sheetId="6251">
        <row r="4">
          <cell r="B4" t="str">
            <v>0</v>
          </cell>
        </row>
      </sheetData>
      <sheetData sheetId="6252">
        <row r="4">
          <cell r="B4" t="str">
            <v>0</v>
          </cell>
        </row>
      </sheetData>
      <sheetData sheetId="6253">
        <row r="4">
          <cell r="B4" t="str">
            <v>0</v>
          </cell>
        </row>
      </sheetData>
      <sheetData sheetId="6254">
        <row r="4">
          <cell r="B4" t="str">
            <v>0</v>
          </cell>
        </row>
      </sheetData>
      <sheetData sheetId="6255">
        <row r="4">
          <cell r="B4" t="str">
            <v>0</v>
          </cell>
        </row>
      </sheetData>
      <sheetData sheetId="6256">
        <row r="4">
          <cell r="B4" t="str">
            <v>0</v>
          </cell>
        </row>
      </sheetData>
      <sheetData sheetId="6257">
        <row r="4">
          <cell r="B4" t="str">
            <v>0</v>
          </cell>
        </row>
      </sheetData>
      <sheetData sheetId="6258">
        <row r="4">
          <cell r="B4" t="str">
            <v>0</v>
          </cell>
        </row>
      </sheetData>
      <sheetData sheetId="6259">
        <row r="4">
          <cell r="B4" t="str">
            <v>0</v>
          </cell>
        </row>
      </sheetData>
      <sheetData sheetId="6260">
        <row r="4">
          <cell r="B4" t="str">
            <v>0</v>
          </cell>
        </row>
      </sheetData>
      <sheetData sheetId="6261">
        <row r="4">
          <cell r="B4" t="str">
            <v>0</v>
          </cell>
        </row>
      </sheetData>
      <sheetData sheetId="6262">
        <row r="4">
          <cell r="B4" t="str">
            <v>0</v>
          </cell>
        </row>
      </sheetData>
      <sheetData sheetId="6263">
        <row r="4">
          <cell r="B4" t="str">
            <v>0</v>
          </cell>
        </row>
      </sheetData>
      <sheetData sheetId="6264">
        <row r="9">
          <cell r="B9" t="str">
            <v>GOLDEN HILLS WIND, LLC</v>
          </cell>
        </row>
      </sheetData>
      <sheetData sheetId="6265"/>
      <sheetData sheetId="6266"/>
      <sheetData sheetId="6267"/>
      <sheetData sheetId="6268"/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4">
          <cell r="A4" t="str">
            <v>1 GL-TR May 31</v>
          </cell>
        </row>
      </sheetData>
      <sheetData sheetId="6281">
        <row r="4">
          <cell r="A4" t="str">
            <v>1 GL-TR May 31</v>
          </cell>
        </row>
      </sheetData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>
        <row r="4">
          <cell r="B4" t="str">
            <v>0</v>
          </cell>
        </row>
      </sheetData>
      <sheetData sheetId="6298">
        <row r="4">
          <cell r="B4" t="str">
            <v>0</v>
          </cell>
        </row>
      </sheetData>
      <sheetData sheetId="6299">
        <row r="4">
          <cell r="B4" t="str">
            <v>0</v>
          </cell>
        </row>
      </sheetData>
      <sheetData sheetId="6300">
        <row r="4">
          <cell r="B4" t="str">
            <v>0</v>
          </cell>
        </row>
      </sheetData>
      <sheetData sheetId="6301">
        <row r="4">
          <cell r="B4" t="str">
            <v>0</v>
          </cell>
        </row>
      </sheetData>
      <sheetData sheetId="6302">
        <row r="4">
          <cell r="B4" t="str">
            <v>0</v>
          </cell>
        </row>
      </sheetData>
      <sheetData sheetId="6303">
        <row r="4">
          <cell r="B4" t="str">
            <v>0</v>
          </cell>
        </row>
      </sheetData>
      <sheetData sheetId="6304">
        <row r="4">
          <cell r="B4" t="str">
            <v>0</v>
          </cell>
        </row>
      </sheetData>
      <sheetData sheetId="6305">
        <row r="4">
          <cell r="B4" t="str">
            <v>0</v>
          </cell>
        </row>
      </sheetData>
      <sheetData sheetId="6306">
        <row r="4">
          <cell r="B4" t="str">
            <v>0</v>
          </cell>
        </row>
      </sheetData>
      <sheetData sheetId="6307"/>
      <sheetData sheetId="6308">
        <row r="9">
          <cell r="B9" t="str">
            <v>GOLDEN HILLS WIND, LLC</v>
          </cell>
        </row>
      </sheetData>
      <sheetData sheetId="6309">
        <row r="9">
          <cell r="B9" t="str">
            <v>GOLDEN HILLS WIND, LLC</v>
          </cell>
        </row>
      </sheetData>
      <sheetData sheetId="6310"/>
      <sheetData sheetId="6311"/>
      <sheetData sheetId="6312"/>
      <sheetData sheetId="6313"/>
      <sheetData sheetId="6314"/>
      <sheetData sheetId="6315"/>
      <sheetData sheetId="6316"/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2">
          <cell r="A2" t="str">
            <v>FM1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7">
          <cell r="D7">
            <v>336622.46</v>
          </cell>
        </row>
      </sheetData>
      <sheetData sheetId="6371">
        <row r="7">
          <cell r="D7">
            <v>336622.46</v>
          </cell>
        </row>
      </sheetData>
      <sheetData sheetId="6372">
        <row r="7">
          <cell r="D7">
            <v>336622.46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OXFORD UNIVERSITY PRESS INDIAN BRANCH</v>
          </cell>
        </row>
      </sheetData>
      <sheetData sheetId="6387">
        <row r="1">
          <cell r="A1" t="str">
            <v>OXFORD UNIVERSITY PRESS INDIAN BRANCH</v>
          </cell>
        </row>
      </sheetData>
      <sheetData sheetId="6388">
        <row r="1">
          <cell r="A1" t="str">
            <v>OXFORD UNIVERSITY PRESS INDIAN BRANCH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2">
          <cell r="A2" t="str">
            <v>Product RFPs</v>
          </cell>
        </row>
      </sheetData>
      <sheetData sheetId="6392">
        <row r="2">
          <cell r="A2" t="str">
            <v>Product RFPs</v>
          </cell>
        </row>
      </sheetData>
      <sheetData sheetId="6393">
        <row r="2">
          <cell r="A2" t="str">
            <v>Product RFPs</v>
          </cell>
        </row>
      </sheetData>
      <sheetData sheetId="6394"/>
      <sheetData sheetId="6395"/>
      <sheetData sheetId="6396"/>
      <sheetData sheetId="6397"/>
      <sheetData sheetId="6398"/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J1" t="str">
            <v>K:\CLIENTS\W\WONDERWA.CRP\1996\WRKPAPER\STATES\[BOOK1.XLS]APPORT</v>
          </cell>
        </row>
      </sheetData>
      <sheetData sheetId="6408">
        <row r="1">
          <cell r="J1" t="str">
            <v>K:\CLIENTS\W\WONDERWA.CRP\1996\WRKPAPER\STATES\[BOOK1.XLS]APPORT</v>
          </cell>
        </row>
      </sheetData>
      <sheetData sheetId="6409">
        <row r="1">
          <cell r="J1" t="str">
            <v>K:\CLIENTS\W\WONDERWA.CRP\1996\WRKPAPER\STATES\[BOOK1.XLS]APPORT</v>
          </cell>
        </row>
      </sheetData>
      <sheetData sheetId="6410">
        <row r="1">
          <cell r="J1" t="str">
            <v>K:\CLIENTS\W\WONDERWA.CRP\1996\WRKPAPER\STATES\[BOOK1.XLS]APPORT</v>
          </cell>
        </row>
      </sheetData>
      <sheetData sheetId="6411"/>
      <sheetData sheetId="6412">
        <row r="7">
          <cell r="D7">
            <v>336622.46</v>
          </cell>
        </row>
      </sheetData>
      <sheetData sheetId="6413">
        <row r="7">
          <cell r="D7">
            <v>336622.46</v>
          </cell>
        </row>
      </sheetData>
      <sheetData sheetId="6414">
        <row r="7">
          <cell r="D7">
            <v>336622.46</v>
          </cell>
        </row>
      </sheetData>
      <sheetData sheetId="6415">
        <row r="7">
          <cell r="D7">
            <v>336622.46</v>
          </cell>
        </row>
      </sheetData>
      <sheetData sheetId="6416">
        <row r="7">
          <cell r="D7">
            <v>336622.46</v>
          </cell>
        </row>
      </sheetData>
      <sheetData sheetId="6417">
        <row r="7">
          <cell r="D7">
            <v>336622.46</v>
          </cell>
        </row>
      </sheetData>
      <sheetData sheetId="6418">
        <row r="7">
          <cell r="D7">
            <v>336622.46</v>
          </cell>
        </row>
      </sheetData>
      <sheetData sheetId="6419">
        <row r="7">
          <cell r="D7">
            <v>336622.46</v>
          </cell>
        </row>
      </sheetData>
      <sheetData sheetId="6420"/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2">
          <cell r="A2" t="str">
            <v>Product RFPs</v>
          </cell>
        </row>
      </sheetData>
      <sheetData sheetId="6433">
        <row r="2">
          <cell r="A2" t="str">
            <v>Product RFPs</v>
          </cell>
        </row>
      </sheetData>
      <sheetData sheetId="6434">
        <row r="2">
          <cell r="A2" t="str">
            <v>Product RFPs</v>
          </cell>
        </row>
      </sheetData>
      <sheetData sheetId="6435">
        <row r="2">
          <cell r="A2" t="str">
            <v>Product RFPs</v>
          </cell>
        </row>
      </sheetData>
      <sheetData sheetId="6436">
        <row r="2">
          <cell r="A2" t="str">
            <v>Product RFPs</v>
          </cell>
        </row>
      </sheetData>
      <sheetData sheetId="6437">
        <row r="2">
          <cell r="A2" t="str">
            <v>Product RFPs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>
        <row r="1">
          <cell r="J1" t="str">
            <v>K:\CLIENTS\W\WONDERWA.CRP\1996\WRKPAPER\STATES\[BOOK1.XLS]APPORT</v>
          </cell>
        </row>
      </sheetData>
      <sheetData sheetId="6450">
        <row r="1">
          <cell r="J1" t="str">
            <v>K:\CLIENTS\W\WONDERWA.CRP\1996\WRKPAPER\STATES\[BOOK1.XLS]APPORT</v>
          </cell>
        </row>
      </sheetData>
      <sheetData sheetId="6451">
        <row r="1">
          <cell r="J1" t="str">
            <v>K:\CLIENTS\W\WONDERWA.CRP\1996\WRKPAPER\STATES\[BOOK1.XLS]APPORT</v>
          </cell>
        </row>
      </sheetData>
      <sheetData sheetId="6452">
        <row r="1">
          <cell r="J1" t="str">
            <v>K:\CLIENTS\W\WONDERWA.CRP\1996\WRKPAPER\STATES\[BOOK1.XLS]APPORT</v>
          </cell>
        </row>
      </sheetData>
      <sheetData sheetId="6453">
        <row r="1">
          <cell r="J1" t="str">
            <v>K:\CLIENTS\W\WONDERWA.CRP\1996\WRKPAPER\STATES\[BOOK1.XLS]APPORT</v>
          </cell>
        </row>
      </sheetData>
      <sheetData sheetId="6454">
        <row r="1">
          <cell r="J1" t="str">
            <v>K:\CLIENTS\W\WONDERWA.CRP\1996\WRKPAPER\STATES\[BOOK1.XLS]APPORT</v>
          </cell>
        </row>
      </sheetData>
      <sheetData sheetId="6455">
        <row r="1">
          <cell r="J1" t="str">
            <v>K:\CLIENTS\W\WONDERWA.CRP\1996\WRKPAPER\STATES\[BOOK1.XLS]APPORT</v>
          </cell>
        </row>
      </sheetData>
      <sheetData sheetId="6456">
        <row r="1">
          <cell r="J1" t="str">
            <v>K:\CLIENTS\W\WONDERWA.CRP\1996\WRKPAPER\STATES\[BOOK1.XLS]APPORT</v>
          </cell>
        </row>
      </sheetData>
      <sheetData sheetId="6457"/>
      <sheetData sheetId="6458"/>
      <sheetData sheetId="6459"/>
      <sheetData sheetId="6460">
        <row r="4">
          <cell r="A4" t="str">
            <v>1 GL-TR May 31</v>
          </cell>
        </row>
      </sheetData>
      <sheetData sheetId="6461">
        <row r="4">
          <cell r="A4" t="str">
            <v>1 GL-TR May 31</v>
          </cell>
        </row>
      </sheetData>
      <sheetData sheetId="6462">
        <row r="4">
          <cell r="A4" t="str">
            <v>1 GL-TR May 31</v>
          </cell>
        </row>
      </sheetData>
      <sheetData sheetId="6463">
        <row r="4">
          <cell r="A4" t="str">
            <v>1 GL-TR May 31</v>
          </cell>
        </row>
      </sheetData>
      <sheetData sheetId="6464">
        <row r="4">
          <cell r="A4" t="str">
            <v>1 GL-TR May 31</v>
          </cell>
        </row>
      </sheetData>
      <sheetData sheetId="6465">
        <row r="2">
          <cell r="A2" t="str">
            <v>Product RFPs</v>
          </cell>
        </row>
      </sheetData>
      <sheetData sheetId="6466">
        <row r="2">
          <cell r="A2" t="str">
            <v>Product RFPs</v>
          </cell>
        </row>
      </sheetData>
      <sheetData sheetId="6467">
        <row r="2">
          <cell r="A2" t="str">
            <v>Product RFPs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4">
          <cell r="A4" t="str">
            <v>1 GL-TR May 31</v>
          </cell>
        </row>
      </sheetData>
      <sheetData sheetId="6476">
        <row r="4">
          <cell r="A4" t="str">
            <v>1 GL-TR May 31</v>
          </cell>
        </row>
      </sheetData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>
        <row r="9">
          <cell r="B9" t="str">
            <v>GOLDEN HILLS WIND, LLC</v>
          </cell>
        </row>
      </sheetData>
      <sheetData sheetId="6490">
        <row r="9">
          <cell r="B9" t="str">
            <v>GOLDEN HILLS WIND, LLC</v>
          </cell>
        </row>
      </sheetData>
      <sheetData sheetId="6491">
        <row r="9">
          <cell r="B9" t="str">
            <v>GOLDEN HILLS WIND, LLC</v>
          </cell>
        </row>
      </sheetData>
      <sheetData sheetId="6492">
        <row r="9">
          <cell r="B9" t="str">
            <v>GOLDEN HILLS WIND, LLC</v>
          </cell>
        </row>
      </sheetData>
      <sheetData sheetId="6493">
        <row r="9">
          <cell r="B9" t="str">
            <v>GOLDEN HILLS WIND, LLC</v>
          </cell>
        </row>
      </sheetData>
      <sheetData sheetId="6494">
        <row r="9">
          <cell r="B9" t="str">
            <v>GOLDEN HILLS WIND, LLC</v>
          </cell>
        </row>
      </sheetData>
      <sheetData sheetId="6495">
        <row r="9">
          <cell r="B9" t="str">
            <v>GOLDEN HILLS WIND, LLC</v>
          </cell>
        </row>
      </sheetData>
      <sheetData sheetId="6496">
        <row r="9">
          <cell r="B9" t="str">
            <v>GOLDEN HILLS WIND, LLC</v>
          </cell>
        </row>
      </sheetData>
      <sheetData sheetId="6497">
        <row r="9">
          <cell r="B9" t="str">
            <v>GOLDEN HILLS WIND, LLC</v>
          </cell>
        </row>
      </sheetData>
      <sheetData sheetId="6498">
        <row r="9">
          <cell r="B9" t="str">
            <v>GOLDEN HILLS WIND, LLC</v>
          </cell>
        </row>
      </sheetData>
      <sheetData sheetId="6499">
        <row r="9">
          <cell r="B9" t="str">
            <v>GOLDEN HILLS WIND, LLC</v>
          </cell>
        </row>
      </sheetData>
      <sheetData sheetId="6500">
        <row r="9">
          <cell r="B9" t="str">
            <v>GOLDEN HILLS WIND, LLC</v>
          </cell>
        </row>
      </sheetData>
      <sheetData sheetId="6501">
        <row r="9">
          <cell r="B9" t="str">
            <v>GOLDEN HILLS WIND, LLC</v>
          </cell>
        </row>
      </sheetData>
      <sheetData sheetId="6502">
        <row r="9">
          <cell r="B9" t="str">
            <v>GOLDEN HILLS WIND, LLC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2">
          <cell r="A2" t="str">
            <v>Product RFPs</v>
          </cell>
        </row>
      </sheetData>
      <sheetData sheetId="6514">
        <row r="2">
          <cell r="A2" t="str">
            <v>Product RFPs</v>
          </cell>
        </row>
      </sheetData>
      <sheetData sheetId="6515">
        <row r="2">
          <cell r="A2" t="str">
            <v>Product RFPs</v>
          </cell>
        </row>
      </sheetData>
      <sheetData sheetId="6516">
        <row r="4">
          <cell r="A4" t="str">
            <v>1 GL-TR May 31</v>
          </cell>
        </row>
      </sheetData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4">
          <cell r="B4" t="str">
            <v>0</v>
          </cell>
        </row>
      </sheetData>
      <sheetData sheetId="6536">
        <row r="4">
          <cell r="B4" t="str">
            <v>0</v>
          </cell>
        </row>
      </sheetData>
      <sheetData sheetId="6537">
        <row r="4">
          <cell r="B4" t="str">
            <v>0</v>
          </cell>
        </row>
      </sheetData>
      <sheetData sheetId="6538">
        <row r="4">
          <cell r="B4" t="str">
            <v>0</v>
          </cell>
        </row>
      </sheetData>
      <sheetData sheetId="6539">
        <row r="9">
          <cell r="B9" t="str">
            <v>GOLDEN HILLS WIND, LLC</v>
          </cell>
        </row>
      </sheetData>
      <sheetData sheetId="6540">
        <row r="9">
          <cell r="B9" t="str">
            <v>GOLDEN HILLS WIND, LLC</v>
          </cell>
        </row>
      </sheetData>
      <sheetData sheetId="6541">
        <row r="9">
          <cell r="B9" t="str">
            <v>GOLDEN HILLS WIND, LLC</v>
          </cell>
        </row>
      </sheetData>
      <sheetData sheetId="6542">
        <row r="9">
          <cell r="B9" t="str">
            <v>GOLDEN HILLS WIND, LLC</v>
          </cell>
        </row>
      </sheetData>
      <sheetData sheetId="6543">
        <row r="2">
          <cell r="A2" t="str">
            <v>Product RFPs</v>
          </cell>
        </row>
      </sheetData>
      <sheetData sheetId="6544">
        <row r="2">
          <cell r="A2" t="str">
            <v>Product RFPs</v>
          </cell>
        </row>
      </sheetData>
      <sheetData sheetId="6545">
        <row r="2">
          <cell r="A2" t="str">
            <v>Product RFPs</v>
          </cell>
        </row>
      </sheetData>
      <sheetData sheetId="6546">
        <row r="322">
          <cell r="C322" t="str">
            <v>Quality 1</v>
          </cell>
        </row>
      </sheetData>
      <sheetData sheetId="6547"/>
      <sheetData sheetId="6548">
        <row r="2">
          <cell r="A2" t="str">
            <v>Product RFPs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/>
      <sheetData sheetId="6563"/>
      <sheetData sheetId="6564"/>
      <sheetData sheetId="6565"/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/>
      <sheetData sheetId="6622"/>
      <sheetData sheetId="6623"/>
      <sheetData sheetId="6624"/>
      <sheetData sheetId="6625"/>
      <sheetData sheetId="6626"/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4">
          <cell r="A4" t="str">
            <v>1 GL-TR May 31</v>
          </cell>
        </row>
      </sheetData>
      <sheetData sheetId="6741" refreshError="1"/>
      <sheetData sheetId="6742"/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9">
          <cell r="B9" t="str">
            <v>GOLDEN HILLS WIND, LLC</v>
          </cell>
        </row>
      </sheetData>
      <sheetData sheetId="6770">
        <row r="9">
          <cell r="B9" t="str">
            <v>GOLDEN HILLS WIND, LLC</v>
          </cell>
        </row>
      </sheetData>
      <sheetData sheetId="6771">
        <row r="9">
          <cell r="B9" t="str">
            <v>GOLDEN HILLS WIND, LLC</v>
          </cell>
        </row>
      </sheetData>
      <sheetData sheetId="6772">
        <row r="9">
          <cell r="B9" t="str">
            <v>GOLDEN HILLS WIND, LLC</v>
          </cell>
        </row>
      </sheetData>
      <sheetData sheetId="6773">
        <row r="9">
          <cell r="B9" t="str">
            <v>GOLDEN HILLS WIND, LLC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9">
          <cell r="F9" t="str">
            <v>JUMLAH HARGA (Rp)</v>
          </cell>
        </row>
      </sheetData>
      <sheetData sheetId="7115">
        <row r="9">
          <cell r="F9" t="str">
            <v>JUMLAH HARGA (Rp)</v>
          </cell>
        </row>
      </sheetData>
      <sheetData sheetId="7116"/>
      <sheetData sheetId="7117"/>
      <sheetData sheetId="7118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19">
          <cell r="D19">
            <v>1.1499999999999999</v>
          </cell>
        </row>
      </sheetData>
      <sheetData sheetId="7240">
        <row r="19">
          <cell r="D19">
            <v>1.1499999999999999</v>
          </cell>
        </row>
      </sheetData>
      <sheetData sheetId="7241">
        <row r="19">
          <cell r="D19">
            <v>1.1499999999999999</v>
          </cell>
        </row>
      </sheetData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9">
          <cell r="F9" t="str">
            <v>JUMLAH HARGA (Rp)</v>
          </cell>
        </row>
      </sheetData>
      <sheetData sheetId="7262">
        <row r="9">
          <cell r="F9" t="str">
            <v>JUMLAH HARGA (Rp)</v>
          </cell>
        </row>
      </sheetData>
      <sheetData sheetId="7263"/>
      <sheetData sheetId="7264"/>
      <sheetData sheetId="7265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45">
          <cell r="H45">
            <v>1</v>
          </cell>
        </row>
      </sheetData>
      <sheetData sheetId="7291">
        <row r="19">
          <cell r="D19">
            <v>1.1499999999999999</v>
          </cell>
        </row>
      </sheetData>
      <sheetData sheetId="7292">
        <row r="45">
          <cell r="H45">
            <v>1</v>
          </cell>
        </row>
      </sheetData>
      <sheetData sheetId="7293">
        <row r="45">
          <cell r="H45">
            <v>1</v>
          </cell>
        </row>
      </sheetData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19">
          <cell r="D19">
            <v>1.1499999999999999</v>
          </cell>
        </row>
      </sheetData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/>
      <sheetData sheetId="7347"/>
      <sheetData sheetId="7348"/>
      <sheetData sheetId="7349">
        <row r="7">
          <cell r="AQ7">
            <v>2.8771</v>
          </cell>
        </row>
      </sheetData>
      <sheetData sheetId="7350"/>
      <sheetData sheetId="7351" refreshError="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52">
          <cell r="F52">
            <v>40658</v>
          </cell>
        </row>
      </sheetData>
      <sheetData sheetId="7376">
        <row r="52">
          <cell r="F52">
            <v>40658</v>
          </cell>
        </row>
      </sheetData>
      <sheetData sheetId="7377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7">
          <cell r="AQ7">
            <v>2.8771</v>
          </cell>
        </row>
      </sheetData>
      <sheetData sheetId="7391">
        <row r="7">
          <cell r="AQ7">
            <v>2.8771</v>
          </cell>
        </row>
      </sheetData>
      <sheetData sheetId="7392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/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7"/>
      <sheetData sheetId="7448"/>
      <sheetData sheetId="7449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/>
      <sheetData sheetId="7473"/>
      <sheetData sheetId="7474">
        <row r="52">
          <cell r="F52">
            <v>40658</v>
          </cell>
        </row>
      </sheetData>
      <sheetData sheetId="7475">
        <row r="52">
          <cell r="F52">
            <v>40658</v>
          </cell>
        </row>
      </sheetData>
      <sheetData sheetId="7476"/>
      <sheetData sheetId="7477"/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3"/>
      <sheetData sheetId="754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5"/>
      <sheetData sheetId="7546"/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/>
      <sheetData sheetId="7554"/>
      <sheetData sheetId="7555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/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/>
      <sheetData sheetId="7580" refreshError="1"/>
      <sheetData sheetId="7581"/>
      <sheetData sheetId="7582"/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/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>
        <row r="1">
          <cell r="A1" t="str">
            <v>key</v>
          </cell>
        </row>
      </sheetData>
      <sheetData sheetId="7976"/>
      <sheetData sheetId="7977"/>
      <sheetData sheetId="7978"/>
      <sheetData sheetId="7979" refreshError="1"/>
      <sheetData sheetId="7980">
        <row r="28">
          <cell r="J28" t="str">
            <v>Not yet processed</v>
          </cell>
        </row>
      </sheetData>
      <sheetData sheetId="7981">
        <row r="1">
          <cell r="B1" t="str">
            <v>Acc_PersonnelID</v>
          </cell>
        </row>
      </sheetData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/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/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Sheet"/>
      <sheetName val="PL"/>
      <sheetName val="적용환율"/>
      <sheetName val="신탁계정-상각보정명세"/>
      <sheetName val="1995년 섹터별 매출"/>
      <sheetName val="합병분개 Adj"/>
      <sheetName val="1998 P &amp; L"/>
      <sheetName val="Balance sheet"/>
      <sheetName val="Data"/>
      <sheetName val="손익1월"/>
      <sheetName val="보고"/>
      <sheetName val="정산표"/>
      <sheetName val="97년추정손익계산서"/>
      <sheetName val="f_BS"/>
      <sheetName val="f_IS"/>
      <sheetName val="재고자산"/>
      <sheetName val="결손금"/>
      <sheetName val="X-3 ENG"/>
      <sheetName val="Sheet3"/>
      <sheetName val="Basic_Inform"/>
      <sheetName val="공문(본지점간)"/>
      <sheetName val="외화자금현황"/>
      <sheetName val="Asset9809CAK"/>
      <sheetName val="9-1차이내역"/>
      <sheetName val="Publishing Plan(Edit)"/>
      <sheetName val="3620SE"/>
      <sheetName val="RATE"/>
      <sheetName val="ST_INVEST"/>
      <sheetName val="Bank charge"/>
      <sheetName val="권리분석"/>
      <sheetName val="별제권_정리담보권"/>
      <sheetName val="2담당0113"/>
      <sheetName val="1담당0113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2002PL"/>
      <sheetName val="99선급비용"/>
      <sheetName val="LU"/>
      <sheetName val="종합일지"/>
      <sheetName val="보험금"/>
      <sheetName val="조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BSHO Report"/>
      <sheetName val="Front"/>
      <sheetName val="Check Sheet"/>
      <sheetName val="PLHO Report"/>
      <sheetName val="PLHOENG"/>
      <sheetName val="총수신_속보"/>
      <sheetName val="서울(안)"/>
      <sheetName val="10K4"/>
      <sheetName val="Assumption"/>
      <sheetName val="Ⅱ1-0타"/>
      <sheetName val="공통"/>
      <sheetName val="Assumptions"/>
      <sheetName val="?????????(5?)"/>
      <sheetName val="2.대외공문"/>
      <sheetName val="수율생산"/>
      <sheetName val="Table"/>
      <sheetName val="Asset adj"/>
      <sheetName val="수보제한 (2)"/>
      <sheetName val="Reinsurance_월보"/>
      <sheetName val="4. Data 요약"/>
      <sheetName val="전행순위"/>
      <sheetName val="Projections 2"/>
      <sheetName val="SMSTemp"/>
      <sheetName val="초회"/>
      <sheetName val="8월"/>
      <sheetName val="7월"/>
      <sheetName val="6월"/>
      <sheetName val="9월"/>
      <sheetName val="시산표"/>
      <sheetName val="상반기손익차2총괄"/>
      <sheetName val="NORMAL"/>
      <sheetName val="점별(추정)"/>
      <sheetName val="제조경비"/>
      <sheetName val="계정code"/>
      <sheetName val="GOE Budget"/>
      <sheetName val="Sheet1"/>
      <sheetName val="세부PL"/>
      <sheetName val="CapMult"/>
      <sheetName val="Industry Indices"/>
      <sheetName val="폐토수익화 "/>
      <sheetName val="보고서"/>
      <sheetName val="Links"/>
      <sheetName val="손익계산서"/>
      <sheetName val="대차대조표"/>
      <sheetName val="Comments"/>
      <sheetName val="BA (2)"/>
      <sheetName val="CP (2)"/>
      <sheetName val="전사 (2)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LIST"/>
      <sheetName val="IMPORT"/>
      <sheetName val="importhead"/>
      <sheetName val="TEMPLATE"/>
      <sheetName val="Settings"/>
      <sheetName val="9-1차이내역."/>
      <sheetName val="Index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계획"/>
      <sheetName val="F라인"/>
      <sheetName val="수정시산표"/>
      <sheetName val="제조원가명세서"/>
      <sheetName val="이자율"/>
      <sheetName val="IFRS 9规定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BOJUNGGM"/>
      <sheetName val="Usd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0096판보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WACC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table"/>
      <sheetName val="Sheet3"/>
      <sheetName val="LIST"/>
      <sheetName val="YHCODE"/>
      <sheetName val="6월가격"/>
      <sheetName val="Usd"/>
      <sheetName val="sap`04.7.14"/>
      <sheetName val="COMBINED"/>
      <sheetName val="VALSTAT"/>
      <sheetName val="전행순위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TaxCalc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Act"/>
      <sheetName val="FYP"/>
      <sheetName val="Per"/>
      <sheetName val="TM명단"/>
      <sheetName val="97년추정손익계산서"/>
      <sheetName val="3. 합병FS Tool (통합)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configure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시산표"/>
      <sheetName val="com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LIST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LG-DCT"/>
      <sheetName val="LG-DCMTh"/>
      <sheetName val="MShape(482)"/>
      <sheetName val="신용_주식세부명세표 (2)"/>
      <sheetName val="합병분개_Adj2"/>
      <sheetName val="내부거래제거_Adj2"/>
      <sheetName val="추가정보_입력2"/>
      <sheetName val="3__합병FS_Tool_(통합)2"/>
      <sheetName val="CoA_map2"/>
      <sheetName val="임차보증금현황04_6_302"/>
      <sheetName val="THREE_VARIABLES1"/>
      <sheetName val="sap`04_7_141"/>
      <sheetName val="US_Codes1"/>
      <sheetName val="인스탄스_정의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10K4"/>
      <sheetName val="총괄집계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현금&amp;현금등가(K)"/>
      <sheetName val="퇴충(K)"/>
      <sheetName val="LIST"/>
      <sheetName val="Sheet4"/>
      <sheetName val="중요성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Storage"/>
      <sheetName val="NTA adjustment calc"/>
      <sheetName val="DT"/>
      <sheetName val="Title Page"/>
      <sheetName val="PL Down"/>
      <sheetName val="Summary"/>
      <sheetName val="Sch9  Guarantees and lawsuits"/>
      <sheetName val="특정상품(비소매)"/>
      <sheetName val="소매_신용"/>
      <sheetName val="Backup"/>
      <sheetName val="조건"/>
      <sheetName val="f_BS"/>
      <sheetName val="보고"/>
      <sheetName val="#REF"/>
      <sheetName val="Pricing"/>
      <sheetName val="CB Forecast"/>
      <sheetName val="Repayment Summary"/>
      <sheetName val="Borrower Summary"/>
      <sheetName val="f_IS"/>
      <sheetName val="정산표"/>
      <sheetName val="15_bs_raw"/>
      <sheetName val="Lead"/>
      <sheetName val="Links"/>
      <sheetName val="BS"/>
      <sheetName val="Leasing"/>
      <sheetName val="환율시트"/>
      <sheetName val="영업일보"/>
      <sheetName val="HBSS WACC 11-97"/>
      <sheetName val="국민연금"/>
      <sheetName val="건강보험"/>
      <sheetName val="장기대여금"/>
      <sheetName val="B2814"/>
      <sheetName val="PivotTable $"/>
      <sheetName val="Variable"/>
      <sheetName val="Supporting Tool"/>
      <sheetName val="유효성검사"/>
      <sheetName val="9-1차이내역"/>
      <sheetName val="입력자료"/>
      <sheetName val="00.08계정"/>
      <sheetName val="년도손익"/>
      <sheetName val="갑지"/>
      <sheetName val="실행"/>
      <sheetName val="YHCODE"/>
      <sheetName val="CHECKSHEET"/>
      <sheetName val="CODE TABLES"/>
      <sheetName val="AC(Jan)"/>
      <sheetName val="XL4Poppy"/>
      <sheetName val="H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전체현황"/>
      <sheetName val="자산기초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pricer"/>
      <sheetName val="Request"/>
      <sheetName val="Data"/>
      <sheetName val="P&amp;L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자산번호"/>
      <sheetName val="ROOT "/>
      <sheetName val="합동별(기표용)"/>
      <sheetName val="수입기본부"/>
      <sheetName val="보정전BS(세분류)"/>
      <sheetName val="BS_2017"/>
      <sheetName val="IS_2017"/>
      <sheetName val="YA_2017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Language"/>
      <sheetName val="bancs"/>
      <sheetName val="is_raw"/>
      <sheetName val="sap`04_7_14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보고"/>
      <sheetName val="T6-6(2)"/>
      <sheetName val="정산표"/>
      <sheetName val="출장소"/>
      <sheetName val="Sheet1 (2)"/>
      <sheetName val="10월 급여"/>
      <sheetName val="현재적용이율"/>
      <sheetName val="BS"/>
      <sheetName val="쿼리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00.08계정"/>
      <sheetName val="COMPS"/>
      <sheetName val="97년추정손익계산서"/>
      <sheetName val="대환취급"/>
      <sheetName val="code"/>
      <sheetName val="소매_신용"/>
      <sheetName val="특정상품(비소매)"/>
      <sheetName val="비소매신용"/>
      <sheetName val="종합일지"/>
      <sheetName val="WBS"/>
      <sheetName val="Sheet1"/>
      <sheetName val="원시"/>
      <sheetName val="Variables"/>
      <sheetName val="US Codes"/>
      <sheetName val="BS Prior"/>
      <sheetName val="Threshold Table"/>
      <sheetName val="Assumptions"/>
      <sheetName val="Sheet2"/>
      <sheetName val="손익1월"/>
      <sheetName val="WACC"/>
      <sheetName val="임차보증금현황04.6.30"/>
      <sheetName val="MIS cost unit code"/>
      <sheetName val="신전산소항목시산표(5월)"/>
      <sheetName val="7월등급별"/>
      <sheetName val="0-Basics"/>
      <sheetName val="Input Screen"/>
      <sheetName val="Control"/>
      <sheetName val="완성차 미수금"/>
      <sheetName val="Corrected Misstatements"/>
      <sheetName val="MetaData"/>
      <sheetName val="control sheet"/>
      <sheetName val="적용환율"/>
      <sheetName val="카드분사(론분개)"/>
      <sheetName val="Parms"/>
      <sheetName val="대미환산"/>
      <sheetName val="확인서"/>
      <sheetName val="Menu"/>
      <sheetName val="sap`04.7.14"/>
      <sheetName val="TEXT"/>
      <sheetName val="Start"/>
      <sheetName val="코드"/>
      <sheetName val="DB"/>
      <sheetName val="보험금"/>
      <sheetName val="조건"/>
      <sheetName val="대차총괄"/>
      <sheetName val="Assumption"/>
      <sheetName val="3월"/>
      <sheetName val="원화평가-2001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LU"/>
      <sheetName val="합병분개 Adj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Master Sheet"/>
      <sheetName val="C_Sum(2)"/>
      <sheetName val="P1 Br Overall KPI"/>
      <sheetName val="Kong"/>
      <sheetName val="Borrower"/>
      <sheetName val="Data"/>
      <sheetName val="Master (2)"/>
      <sheetName val="YHCODE"/>
      <sheetName val="GCMD"/>
      <sheetName val="compare2"/>
      <sheetName val="유효성검사"/>
      <sheetName val="SUB MAIN"/>
      <sheetName val="DW SEC"/>
      <sheetName val="LG SEC"/>
      <sheetName val="Income_adj by 지은 "/>
      <sheetName val="Basic_Information"/>
      <sheetName val="#REF"/>
      <sheetName val="IncStmt"/>
      <sheetName val="CBeng(HP11)"/>
      <sheetName val="CF"/>
      <sheetName val="IS"/>
      <sheetName val="Table"/>
      <sheetName val="카드채권(대출포함)"/>
      <sheetName val="Pricing"/>
      <sheetName val="countries"/>
      <sheetName val="ref"/>
      <sheetName val="other"/>
      <sheetName val="결정단가"/>
      <sheetName val="Oct"/>
      <sheetName val="SALE&amp;COST"/>
      <sheetName val="Operations"/>
      <sheetName val="LIST"/>
      <sheetName val="ABS benefit chk"/>
      <sheetName val="defaults"/>
      <sheetName val="Scenario"/>
      <sheetName val="claim"/>
      <sheetName val="expenses"/>
      <sheetName val="admin"/>
      <sheetName val="Ass"/>
      <sheetName val="Sheet3"/>
      <sheetName val="Model"/>
      <sheetName val="Basic_Inform"/>
      <sheetName val="해외출자현황(원본틀)"/>
      <sheetName val="control_sheet"/>
      <sheetName val="완성차_미수금"/>
      <sheetName val="sap`04_7_14"/>
      <sheetName val="FRC"/>
      <sheetName val="ProfitLoss"/>
      <sheetName val="Database"/>
      <sheetName val="Inputs"/>
      <sheetName val="수입기본부"/>
      <sheetName val="자금매트릭스"/>
      <sheetName val="일별예수금기일도래표"/>
      <sheetName val="자산번호"/>
      <sheetName val="Center"/>
      <sheetName val="Company"/>
      <sheetName val="Account"/>
      <sheetName val="Tables"/>
      <sheetName val="xlSVH_T"/>
      <sheetName val="xlSVH_A"/>
      <sheetName val="1999-"/>
      <sheetName val="Comments"/>
      <sheetName val="FY0201"/>
      <sheetName val="1월"/>
      <sheetName val="1_當期시산표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tmpexcel (2)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Index"/>
      <sheetName val="Leasing"/>
      <sheetName val="기준환율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4b Consolidated PL"/>
      <sheetName val="양행"/>
      <sheetName val="PRT_BS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00.08계정"/>
      <sheetName val="krsec08"/>
      <sheetName val="controll"/>
      <sheetName val="#REF"/>
      <sheetName val="분석적검토(대차)"/>
      <sheetName val="5300"/>
      <sheetName val="연장집계 (2)"/>
      <sheetName val="97년추정손익계산서"/>
      <sheetName val="종합일지"/>
      <sheetName val="T6-6(2)"/>
      <sheetName val="적용환율"/>
      <sheetName val="Assumptions"/>
      <sheetName val="1.총괄표"/>
      <sheetName val="기타계열"/>
      <sheetName val="COMPS"/>
      <sheetName val="Comments"/>
      <sheetName val="Sheet1 (2)"/>
      <sheetName val="대차대조표-공시형"/>
      <sheetName val="25"/>
      <sheetName val="1995년 섹터별 매출"/>
      <sheetName val="Controlsheet"/>
      <sheetName val="code"/>
      <sheetName val="수율생산"/>
      <sheetName val="Calcs for Sensitivy"/>
      <sheetName val="DCF Inputs"/>
      <sheetName val="기초자료"/>
      <sheetName val="대차대조표"/>
      <sheetName val="손익계산서"/>
      <sheetName val="main_map"/>
      <sheetName val="완성차 미수금"/>
      <sheetName val="차입금"/>
      <sheetName val="임차보증금현황04.6.30"/>
      <sheetName val="고정자산원본"/>
      <sheetName val="Variables"/>
      <sheetName val="2420,2421직전단계2"/>
      <sheetName val="Table"/>
      <sheetName val="환율"/>
      <sheetName val="양식"/>
      <sheetName val="성화"/>
      <sheetName val="소매_신용"/>
      <sheetName val="특정상품(비소매)"/>
      <sheetName val="비소매신용"/>
      <sheetName val="건물"/>
      <sheetName val="A000070(4)"/>
      <sheetName val="SALE&amp;COST"/>
      <sheetName val="개별자료"/>
      <sheetName val="1_當期시산표"/>
      <sheetName val="결손금"/>
      <sheetName val="0-Basics"/>
      <sheetName val="AKL"/>
      <sheetName val="명원분석"/>
      <sheetName val="기본정보"/>
      <sheetName val="1"/>
      <sheetName val="대차총괄"/>
      <sheetName val="RE"/>
      <sheetName val="WACC"/>
      <sheetName val="대환취급"/>
      <sheetName val="보험금"/>
      <sheetName val="WBS"/>
      <sheetName val="IMCI-Assumptions (Mgt.)"/>
      <sheetName val="BA"/>
      <sheetName val="01_tool"/>
      <sheetName val="BS"/>
      <sheetName val="tax1"/>
      <sheetName val="Sheet2"/>
      <sheetName val="Sheet1"/>
      <sheetName val="3월"/>
      <sheetName val="가정"/>
      <sheetName val="I"/>
      <sheetName val="백암비스타내역"/>
      <sheetName val="AP"/>
      <sheetName val="MKI TB"/>
      <sheetName val="노무비"/>
      <sheetName val="급여지급"/>
      <sheetName val="환율021231"/>
      <sheetName val="Master Sheet"/>
      <sheetName val="C_Sum(2)"/>
      <sheetName val="P1 Br Overall KPI"/>
      <sheetName val="기본데이터"/>
      <sheetName val="10.1.청산가치"/>
      <sheetName val="FRC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ver"/>
      <sheetName val="Ⅱ1-0타"/>
      <sheetName val="신전산소항목시산표(5월)"/>
      <sheetName val="Borrower"/>
      <sheetName val="5월전산시산표L4"/>
      <sheetName val="Code Design"/>
      <sheetName val="확인서"/>
      <sheetName val="control sheet"/>
      <sheetName val="DW SEC"/>
      <sheetName val="LG SEC"/>
      <sheetName val="Model"/>
      <sheetName val="別紙２"/>
      <sheetName val="외화월급"/>
      <sheetName val="YHCODE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Setup"/>
      <sheetName val="TABLES"/>
      <sheetName val="comparables"/>
      <sheetName val="Deduction"/>
      <sheetName val="other"/>
      <sheetName val="conclusion"/>
      <sheetName val="결정단가"/>
      <sheetName val="Consolidated"/>
      <sheetName val="historical"/>
      <sheetName val="Scenario"/>
      <sheetName val="RATE"/>
      <sheetName val="대미환산"/>
      <sheetName val="BS Prior"/>
      <sheetName val="Threshold Table"/>
      <sheetName val="CHECKSHEET"/>
      <sheetName val="f_BS"/>
      <sheetName val="LIST"/>
      <sheetName val="해외출자현황(원본틀)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f_IS"/>
      <sheetName val="합병분개 Adj"/>
      <sheetName val="products"/>
      <sheetName val="output"/>
      <sheetName val="input"/>
      <sheetName val="history"/>
      <sheetName val="표준CoA"/>
      <sheetName val="Accts"/>
      <sheetName val="Menu data"/>
      <sheetName val="Main"/>
      <sheetName val="FY0201"/>
      <sheetName val="대차대조"/>
      <sheetName val="한계원가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기감액자산"/>
      <sheetName val="설비-자산"/>
      <sheetName val="불용자산list"/>
      <sheetName val="CC"/>
      <sheetName val="DH BS 03"/>
      <sheetName val="외화금융(97-03)"/>
      <sheetName val="첨부1"/>
      <sheetName val="판매46"/>
      <sheetName val="PL"/>
      <sheetName val="TEMP1"/>
      <sheetName val="TEMP2"/>
      <sheetName val="9-1차이내역"/>
      <sheetName val="INIT"/>
      <sheetName val="program"/>
      <sheetName val="Control"/>
      <sheetName val="2.대외공문"/>
      <sheetName val="기대회수율산정"/>
      <sheetName val="기대회수Schedule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환산매출"/>
      <sheetName val="2.주요계수총괄"/>
      <sheetName val="2-2.매출분석"/>
      <sheetName val="@공통코드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2_대외공문3"/>
      <sheetName val="1995년_섹터별_매출7"/>
      <sheetName val="1_총괄표7"/>
      <sheetName val="Sheet1_(2)7"/>
      <sheetName val="Calcs_for_Sensitivy7"/>
      <sheetName val="DCF_Inputs7"/>
      <sheetName val="완성차_미수금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DH_BS_036"/>
      <sheetName val="합병분개_Adj6"/>
      <sheetName val="Menu_data6"/>
      <sheetName val="콤보박스와_리스트박스의_연결1"/>
      <sheetName val="GEMSE_TOTAL_-_Eqpt1"/>
      <sheetName val="Drop-Down_Content"/>
      <sheetName val="과목별_집계표"/>
      <sheetName val="4__IAS19_Disclosures"/>
      <sheetName val="Base_Info"/>
      <sheetName val="_농협은행주식회사_141103_(CPC)_14_9월말_B"/>
      <sheetName val="FS"/>
      <sheetName val="송전기본"/>
      <sheetName val="OtherKPI"/>
      <sheetName val="매  출"/>
      <sheetName val="노동부"/>
      <sheetName val="Basic_Information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도급"/>
      <sheetName val="4 노임단가"/>
      <sheetName val="3.일위대가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Assumption"/>
      <sheetName val="1995년 섹터별 매출"/>
      <sheetName val="대출금"/>
      <sheetName val="백암비스타내역"/>
      <sheetName val="확인서"/>
      <sheetName val="단기차입금"/>
      <sheetName val="Sheet3"/>
      <sheetName val="Sheet1 (3)"/>
      <sheetName val="97년추정손익계산서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Heading"/>
      <sheetName val="관세구분시트"/>
      <sheetName val="General Assumptions"/>
      <sheetName val="Reference2"/>
      <sheetName val="0-Basics"/>
      <sheetName val="분석mast"/>
      <sheetName val="수익증권명세서(매도가능)"/>
      <sheetName val="Cover"/>
      <sheetName val="pre-anal손익계산서"/>
      <sheetName val="pre-anal대차대조표"/>
      <sheetName val="수정시산표"/>
      <sheetName val="원자재수불(최종)"/>
      <sheetName val="Cust"/>
      <sheetName val="Excess Calc"/>
      <sheetName val="적용환율"/>
      <sheetName val="신전산소항목시산표(5월)"/>
      <sheetName val="소매_신용"/>
      <sheetName val="특정상품(비소매)"/>
      <sheetName val="비소매신용"/>
      <sheetName val="직공비"/>
      <sheetName val="39기"/>
      <sheetName val="공통비"/>
      <sheetName val="Sheet2"/>
      <sheetName val="노무비"/>
      <sheetName val="1.외주공사"/>
      <sheetName val="2.직영공사"/>
      <sheetName val="Variables"/>
      <sheetName val="대환취급"/>
      <sheetName val="종합일지"/>
      <sheetName val="krsec08"/>
      <sheetName val="10월 급여"/>
      <sheetName val="Code"/>
      <sheetName val="SALE&amp;COST"/>
      <sheetName val="forecasted_BS"/>
      <sheetName val="forecasted_IS"/>
      <sheetName val="Condition"/>
      <sheetName val="C-Lead"/>
      <sheetName val="대차대조표-공시형"/>
      <sheetName val="July."/>
      <sheetName val="System"/>
      <sheetName val="Tables"/>
      <sheetName val="sap`04.7.14"/>
      <sheetName val="KeyMultInputs"/>
      <sheetName val="Vega"/>
      <sheetName val="FTE"/>
      <sheetName val="108.수선비"/>
      <sheetName val="Asset9809CAK"/>
      <sheetName val="Sales"/>
      <sheetName val="AKL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Sheet1 (2)"/>
      <sheetName val="index"/>
      <sheetName val="Customer"/>
      <sheetName val="C100 LEAD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감가상각비"/>
      <sheetName val="수입2"/>
      <sheetName val="A1"/>
      <sheetName val="PO4 - Staff Exp"/>
      <sheetName val="1-1"/>
      <sheetName val="종목코드"/>
      <sheetName val="source"/>
      <sheetName val="유화"/>
      <sheetName val="0.1 KEY ASSUMPTIONS"/>
      <sheetName val="0.2 SCENARIO"/>
      <sheetName val="0. CONTROL"/>
      <sheetName val="무형"/>
      <sheetName val="내역"/>
      <sheetName val="고정자산원본"/>
      <sheetName val="합병분개 Adj"/>
      <sheetName val="FS"/>
      <sheetName val="PPC기"/>
      <sheetName val="소기"/>
      <sheetName val="대기"/>
      <sheetName val="합기"/>
      <sheetName val="메뉴얼1(기본정보)"/>
      <sheetName val="반기_유가증권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Lists"/>
      <sheetName val="Payout-HurdleNotReached"/>
      <sheetName val="Incentive_Paid_Out"/>
      <sheetName val="Pay Out Tables"/>
      <sheetName val="Sales_Rep_Details"/>
      <sheetName val="Actual_Sales_Results"/>
      <sheetName val="기타현황"/>
      <sheetName val="96실용"/>
      <sheetName val="입찰"/>
      <sheetName val="총상담"/>
      <sheetName val="현경"/>
      <sheetName val="TEMP1"/>
      <sheetName val="TEMP2"/>
      <sheetName val="Sensitivity"/>
      <sheetName val="서식시트"/>
      <sheetName val="1. PS_bond"/>
      <sheetName val="급여지급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제품마스타"/>
      <sheetName val="SALTAB97"/>
      <sheetName val="3110-2"/>
      <sheetName val="Controls"/>
      <sheetName val="감가상각"/>
      <sheetName val="InformationPartag?"/>
      <sheetName val="Stock d'id?s"/>
      <sheetName val="Donn?s Flux"/>
      <sheetName val="수입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영업CF적용방안선택"/>
      <sheetName val="NO.2-1"/>
      <sheetName val="Sheet01S"/>
      <sheetName val=""/>
      <sheetName val="Chart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조직도_99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완성차 미수금"/>
      <sheetName val="당기TB"/>
      <sheetName val="JAN94RIG"/>
      <sheetName val="control sheet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J00"/>
      <sheetName val="경제성분석"/>
      <sheetName val="CRU"/>
      <sheetName val="PRO"/>
      <sheetName val="Ky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잉여금,_현금흐름"/>
      <sheetName val="주요경영지표계산_(2)"/>
      <sheetName val="대차대조표_(2)"/>
      <sheetName val="손익계산서_(2)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Notes "/>
      <sheetName val="9609Aß"/>
      <sheetName val="계산 DATA 입력"/>
      <sheetName val="상세 계산 내역"/>
      <sheetName val="계산정보"/>
      <sheetName val="cus"/>
      <sheetName val="성화"/>
      <sheetName val="addl cost"/>
      <sheetName val="accumdeprn"/>
      <sheetName val="업무분장 "/>
      <sheetName val="Significant Processes"/>
      <sheetName val="기본정보"/>
      <sheetName val="Valuation(new)"/>
      <sheetName val="실사"/>
      <sheetName val="00_08계정"/>
      <sheetName val="매출분석적 검토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 refreshError="1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>
        <row r="2">
          <cell r="E2">
            <v>0.2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보고"/>
      <sheetName val="IS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시산표"/>
      <sheetName val="PO4 - Staff Exp"/>
      <sheetName val="자산총괄"/>
      <sheetName val="Attrition"/>
      <sheetName val="Iowa Curves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금리위험_수정"/>
      <sheetName val="금리위험_추가"/>
      <sheetName val="주식위험_수정"/>
      <sheetName val="인프라투자 현황"/>
      <sheetName val="우선주 현황"/>
      <sheetName val="기타주식 현황"/>
      <sheetName val="주식 출자약정현황"/>
      <sheetName val="레버리지 펀드 자료"/>
      <sheetName val="부동산위험"/>
      <sheetName val="외환위험_수정"/>
      <sheetName val="환파생_신설"/>
      <sheetName val="자산집중위험_수정"/>
      <sheetName val="신용리스크_수정"/>
      <sheetName val="재보험계약_신용리스크_v3"/>
      <sheetName val="신용리스크_신용자산"/>
      <sheetName val="신용리스크_신용자산_수정"/>
      <sheetName val="신용리스크_신용자산_경감(담보,상계)"/>
      <sheetName val="신용리스크_신용자산_경감(담보,상계)_수정"/>
      <sheetName val="신용리스크_신용자산_경감(보증,신용파생)_수정"/>
      <sheetName val="신용리스크_담보부자산"/>
      <sheetName val="(추가자료) 신용리스크 PF대출 현황(삭제)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3차제출(9월말)==&gt;"/>
      <sheetName val="금리위험(참고)"/>
      <sheetName val="자본조달계획(개별)"/>
      <sheetName val="LAT 준비금(개별)"/>
      <sheetName val="LAT 보험계약대출(개별)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손익계산서"/>
      <sheetName val="대차대조표"/>
    </sheetNames>
    <sheetDataSet>
      <sheetData sheetId="0"/>
      <sheetData sheetId="1">
        <row r="6">
          <cell r="F6">
            <v>0</v>
          </cell>
        </row>
      </sheetData>
      <sheetData sheetId="2">
        <row r="1">
          <cell r="A1">
            <v>20191231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Sheet2"/>
      <sheetName val="투자유가증권"/>
      <sheetName val="재공수합"/>
      <sheetName val="#REF"/>
      <sheetName val="품의"/>
      <sheetName val="EXRATE-20061229"/>
      <sheetName val="CW1"/>
      <sheetName val="7월계획"/>
      <sheetName val="5월전산시산표L4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YOEMAGUM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계속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인건비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생산량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Input_Actual"/>
      <sheetName val="118.세금과공과"/>
      <sheetName val="수선비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보험금"/>
      <sheetName val="XREF"/>
      <sheetName val="Administration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국외감가상각0106"/>
      <sheetName val="이익처분"/>
      <sheetName val="대출품의"/>
      <sheetName val="인원"/>
      <sheetName val="공통비"/>
      <sheetName val="basic_info"/>
      <sheetName val="STC3"/>
      <sheetName val="HERO01"/>
      <sheetName val="연습장소"/>
      <sheetName val="본부예산"/>
      <sheetName val="Pivot자료"/>
      <sheetName val="손익합산"/>
      <sheetName val="현금예금"/>
      <sheetName val="5.1 본사"/>
      <sheetName val="합손"/>
      <sheetName val="T6-6(2)"/>
      <sheetName val="정기적금"/>
      <sheetName val="예수금"/>
      <sheetName val="인쇄BS"/>
      <sheetName val="합판1-4"/>
      <sheetName val="bs"/>
      <sheetName val="은행 위험가중자산(대차대조표)"/>
      <sheetName val="Ⅱ1-0타"/>
      <sheetName val="MAIN"/>
      <sheetName val="ENG"/>
      <sheetName val="CONT"/>
      <sheetName val="대출금"/>
      <sheetName val="매도가능 기타"/>
      <sheetName val="수정분개"/>
      <sheetName val="연체대출 (2)"/>
      <sheetName val="J100"/>
      <sheetName val="01_성적표"/>
      <sheetName val="개발실"/>
      <sheetName val="월별합산"/>
      <sheetName val="관세"/>
      <sheetName val="97건물"/>
      <sheetName val="보험금"/>
      <sheetName val="PL,보정"/>
      <sheetName val="KEY"/>
      <sheetName val="forecasted_BS"/>
      <sheetName val="forecasted_IS"/>
      <sheetName val="현금"/>
      <sheetName val="LTEURPSY"/>
      <sheetName val="Assumptions"/>
      <sheetName val="기계"/>
      <sheetName val="RD제품개발투자비(매가)"/>
      <sheetName val="LAST_DS"/>
      <sheetName val="Links"/>
      <sheetName val="Lead"/>
      <sheetName val="97년추정손익계산서"/>
      <sheetName val="variable"/>
      <sheetName val="대신증권"/>
      <sheetName val="RE9604"/>
      <sheetName val="Update"/>
      <sheetName val="P&amp;L"/>
      <sheetName val="충주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00.08계정"/>
      <sheetName val="2006_Reval"/>
      <sheetName val="LIST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매출채권"/>
      <sheetName val="2담당0113"/>
      <sheetName val="1담당0113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5.전사투자계획종함안"/>
      <sheetName val="#REF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XLUTIL"/>
      <sheetName val="AI162-대손충당금적립률"/>
      <sheetName val="계수Raw"/>
      <sheetName val="장교"/>
      <sheetName val="부가세신고자료"/>
      <sheetName val="YHCODE"/>
      <sheetName val="Yr03,04,05,06PLs-1"/>
      <sheetName val="SCH-4"/>
      <sheetName val="Sales"/>
      <sheetName val="BSLA"/>
      <sheetName val="Mon-0100"/>
      <sheetName val="자금SCHEDULE"/>
      <sheetName val="단자차입일별"/>
      <sheetName val="PRIO_HKD"/>
      <sheetName val="PRIO_USD"/>
      <sheetName val="Macro"/>
      <sheetName val="BA2303(개정)"/>
      <sheetName val="표준방법"/>
      <sheetName val="현황CODE"/>
      <sheetName val="손익현황"/>
      <sheetName val="4b Consolidated PL"/>
      <sheetName val="자료"/>
      <sheetName val="TOTAL-PL"/>
      <sheetName val="대환취급"/>
      <sheetName val="Assign"/>
      <sheetName val="A (3)"/>
      <sheetName val="소호"/>
      <sheetName val="조건"/>
      <sheetName val="2180"/>
      <sheetName val="15160 ARTT"/>
      <sheetName val="매출예산96"/>
      <sheetName val="US Treasury"/>
      <sheetName val="Europe Treasury"/>
      <sheetName val="받check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COMBINED"/>
      <sheetName val="VALSTAT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공급설비"/>
      <sheetName val="(BS,CF)-BACK"/>
      <sheetName val="Sch9  Guarantees and lawsuits"/>
      <sheetName val="A"/>
      <sheetName val="PL_VN"/>
      <sheetName val="장차입"/>
      <sheetName val="우수"/>
      <sheetName val="ALL TRADES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MatchCode"/>
      <sheetName val="정산표"/>
      <sheetName val="forecasted_BS"/>
      <sheetName val="forecasted_IS"/>
      <sheetName val="울산시산표"/>
      <sheetName val="CCY OPT LIST"/>
      <sheetName val="Data Sheet"/>
      <sheetName val="700-H"/>
      <sheetName val="RE9604"/>
      <sheetName val="손익집계(공장별)"/>
      <sheetName val="Sheet2"/>
      <sheetName val="제품분류코드"/>
      <sheetName val="Main"/>
      <sheetName val="IS"/>
      <sheetName val="Data"/>
      <sheetName val="소형B"/>
      <sheetName val="0201"/>
      <sheetName val="SIC Code list from SEC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마케팅예산"/>
      <sheetName val="1. 감사보고서이슈정리서_Template"/>
      <sheetName val="반기_유가증권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CD-실적"/>
      <sheetName val="Source_List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  <sheetName val="savings rate"/>
      <sheetName val="시산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Manual"/>
      <sheetName val="합병분개 Adj"/>
      <sheetName val="YHCODE"/>
      <sheetName val="세부내역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Mapping -¦¦¦+-½ÁÕ"/>
      <sheetName val="국외감가상각내역0103"/>
      <sheetName val="10월판관"/>
      <sheetName val="정산표"/>
      <sheetName val="INFO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환율 및 참고"/>
      <sheetName val="대환취급"/>
      <sheetName val="매출"/>
      <sheetName val="그래프2"/>
      <sheetName val="BS LEAD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1月余额表"/>
      <sheetName val="개인비율결과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미수이자"/>
      <sheetName val="00.08계정"/>
      <sheetName val="oldSTATUS"/>
      <sheetName val="관계회사거래내역및 채권채무잔액 99"/>
      <sheetName val="KR0002-Q1-2009"/>
      <sheetName val="Summary"/>
      <sheetName val="basic_info"/>
      <sheetName val="지보1_98"/>
      <sheetName val="보고"/>
      <sheetName val="부장급 명단"/>
      <sheetName val="합동별(기표용)"/>
      <sheetName val="Macro1"/>
      <sheetName val="p.1 SAP"/>
      <sheetName val="LIST"/>
      <sheetName val="연체대출"/>
      <sheetName val="센타별증감현황"/>
      <sheetName val="지수"/>
      <sheetName val="Administration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_주택담보_가계대출_명세"/>
      <sheetName val="환율_및_참고"/>
      <sheetName val="2_상각보정명세"/>
      <sheetName val="Excess_Calc_Social_Tax"/>
      <sheetName val="BS_LEAD"/>
      <sheetName val="00_08계정"/>
      <sheetName val="관계회사거래내역및_채권채무잔액_99"/>
      <sheetName val="p_1_SAP"/>
      <sheetName val="부장급_명단"/>
      <sheetName val="Data"/>
      <sheetName val="23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2_상각보정명세1"/>
      <sheetName val="Excess_Calc_Social_Tax1"/>
      <sheetName val="환율_및_참고1"/>
      <sheetName val="BS_LEAD1"/>
      <sheetName val="2__주택담보_가계대출_명세1"/>
      <sheetName val="00_08계정1"/>
      <sheetName val="관계회사거래내역및_채권채무잔액_991"/>
      <sheetName val="부장급_명단1"/>
      <sheetName val="p_1_SAP1"/>
      <sheetName val="M 430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>
        <row r="6">
          <cell r="A6" t="str">
            <v>US Code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수보명세(당월)"/>
      <sheetName val="보험금명세(당월)"/>
      <sheetName val="미수이자"/>
      <sheetName val="주요비율-낙관"/>
      <sheetName val="Ⅰ-1"/>
      <sheetName val="FX"/>
      <sheetName val="부동산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master"/>
      <sheetName val="합동별(기표용)"/>
      <sheetName val="form_14-3"/>
      <sheetName val="Spreadsheet Information"/>
      <sheetName val="국외감가상각내역0103"/>
      <sheetName val="시산표"/>
      <sheetName val="감면"/>
      <sheetName val="이익처분"/>
      <sheetName val="반기_유가증권"/>
      <sheetName val="Results"/>
      <sheetName val="INFO"/>
      <sheetName val="Repayment Summary"/>
      <sheetName val="갑지"/>
      <sheetName val="실행"/>
      <sheetName val="TABLE"/>
      <sheetName val="기준환율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redbtb"/>
      <sheetName val="LGap_Disc_Liabs&amp;Cap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성적표96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6">
          <cell r="D6" t="str">
            <v>US Code</v>
          </cell>
        </row>
      </sheetData>
      <sheetData sheetId="33">
        <row r="6">
          <cell r="D6" t="str">
            <v>US Code</v>
          </cell>
        </row>
      </sheetData>
      <sheetData sheetId="34">
        <row r="6">
          <cell r="D6" t="str">
            <v>US Code</v>
          </cell>
        </row>
      </sheetData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인스탄스 정의"/>
      <sheetName val="BSLA"/>
      <sheetName val="담보명세"/>
      <sheetName val="비용"/>
      <sheetName val="9-1차이내역"/>
      <sheetName val="시산표"/>
      <sheetName val="Sheet1"/>
      <sheetName val="COA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수출입외형_속보"/>
      <sheetName val="연체대출 (2)"/>
      <sheetName val="Variance"/>
      <sheetName val="INFO"/>
      <sheetName val="nr030112"/>
      <sheetName val="합병분개 Adj"/>
      <sheetName val="환율 및 참고"/>
      <sheetName val="유니채권"/>
      <sheetName val="유니채권명세"/>
      <sheetName val="95WBS"/>
      <sheetName val="공통"/>
      <sheetName val="1형pr"/>
      <sheetName val="2합"/>
      <sheetName val="회수정보"/>
      <sheetName val="회생"/>
      <sheetName val="여신보고용"/>
      <sheetName val="configure"/>
      <sheetName val="22.보증금(전신전화가입권)"/>
      <sheetName val="39.미지급법인세"/>
      <sheetName val="TNC"/>
      <sheetName val="팀별차입잔액"/>
      <sheetName val="WI"/>
      <sheetName val="ttt"/>
      <sheetName val="감독원보고기준_차기배당금액"/>
      <sheetName val="상품입고집계"/>
      <sheetName val="회사정보"/>
      <sheetName val="TEMP2"/>
      <sheetName val="지보1_98"/>
      <sheetName val="W3000재료비비교Table(송부용)"/>
      <sheetName val="108_수선비"/>
      <sheetName val="US_Codes"/>
      <sheetName val="외화계약"/>
      <sheetName val="36기하반기자금계획"/>
      <sheetName val="YHCODE"/>
      <sheetName val="BS"/>
      <sheetName val="Requirement(Work Crew)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시산표(매출조정전)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U_TOD_1.0010"/>
      <sheetName val="2007년골드윙신탁DC"/>
      <sheetName val="평가손익현황표"/>
      <sheetName val="군별 (2)"/>
      <sheetName val="이동_안"/>
      <sheetName val="손익계산서"/>
      <sheetName val="Stock Div Accural"/>
      <sheetName val="033"/>
      <sheetName val="기본정보"/>
      <sheetName val="Data"/>
      <sheetName val=""/>
      <sheetName val="이자수익 명세"/>
      <sheetName val="TAB.Daten"/>
      <sheetName val="GOE_Budget"/>
      <sheetName val="산업은행 경영지표"/>
      <sheetName val="일반"/>
      <sheetName val="합동별(기표용)"/>
      <sheetName val="성적표96"/>
      <sheetName val="국외감가상각내역0103"/>
      <sheetName val="Assumptions"/>
      <sheetName val="소매_신용"/>
      <sheetName val="단위업무코드"/>
      <sheetName val="108_수선비1"/>
      <sheetName val="US_Codes1"/>
      <sheetName val="GOE_Budget1"/>
      <sheetName val="인스탄스_정의"/>
      <sheetName val="환율_및_참고"/>
      <sheetName val="연체대출_(2)"/>
      <sheetName val="Requirement(Work_Crew)"/>
      <sheetName val="22_보증금(전신전화가입권)"/>
      <sheetName val="39_미지급법인세"/>
      <sheetName val="합병분개_Adj"/>
      <sheetName val="5)_자가소모"/>
      <sheetName val="U_TOD_1_0010"/>
      <sheetName val="군별_(2)"/>
      <sheetName val="Sheet1_(2)"/>
      <sheetName val="10월_급여"/>
      <sheetName val="산업은행_경영지표"/>
      <sheetName val="TAB_Daten"/>
      <sheetName val="이자수익_명세"/>
      <sheetName val="Stock_Div_Accural"/>
      <sheetName val="Manual"/>
      <sheetName val="현재적용이율"/>
      <sheetName val="MShape(482)"/>
      <sheetName val="속보12월"/>
      <sheetName val="미국"/>
      <sheetName val="A"/>
      <sheetName val="96수표어음"/>
      <sheetName val="LGap_Disc_Liabs&amp;Cap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[비자연11.XLS]B__AAAA____________4"/>
      <sheetName val="[비자연11.XLS]B__AAAA____________5"/>
      <sheetName val="내역서-설비"/>
      <sheetName val="관계회사거래내역및 채권채무잔액 99"/>
      <sheetName val="Sheet2"/>
      <sheetName val="기초자료"/>
      <sheetName val="누TB"/>
      <sheetName val="표지"/>
      <sheetName val="[비자연11.XLS]B__AAAA____________6"/>
      <sheetName val="[비자연11.XLS]B__AAAA____________7"/>
      <sheetName val="[비자연11.XLS]B__AAAA____________9"/>
      <sheetName val="[비자연11.XLS]B__AAAA____________8"/>
      <sheetName val="기본Data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108_수선비2"/>
      <sheetName val="US_Codes2"/>
      <sheetName val="GOE_Budget2"/>
      <sheetName val="인스탄스_정의1"/>
      <sheetName val="연체대출_(2)1"/>
      <sheetName val="환율_및_참고1"/>
      <sheetName val="5)_자가소모1"/>
      <sheetName val="22_보증금(전신전화가입권)1"/>
      <sheetName val="39_미지급법인세1"/>
      <sheetName val="Requirement(Work_Crew)1"/>
      <sheetName val="합병분개_Adj1"/>
      <sheetName val="U_TOD_1_00101"/>
      <sheetName val="군별_(2)1"/>
      <sheetName val="Sheet1_(2)1"/>
      <sheetName val="10월_급여1"/>
      <sheetName val="산업은행_경영지표1"/>
      <sheetName val="Stock_Div_Accural1"/>
      <sheetName val="TAB_Daten1"/>
      <sheetName val="이자수익_명세1"/>
      <sheetName val="[비자연11_XLS]B__AAAA____________2"/>
      <sheetName val="[비자연11_XLS]B__AAAA____________3"/>
      <sheetName val="폐토수익화_"/>
      <sheetName val="관계회사거래내역및_채권채무잔액_99"/>
      <sheetName val="[비자연11_XLS]B__AAAA____________4"/>
      <sheetName val="[비자연11_XLS]B__AAAA____________7"/>
      <sheetName val="[비자연11_XLS]B__AAAA____________5"/>
      <sheetName val="[비자연11_XLS]B__AAAA____________6"/>
      <sheetName val="[비자연11_XLS]B__AAAA____________9"/>
      <sheetName val="[비자연11_XLS]B__AAAA____________8"/>
      <sheetName val="기대회수Schedule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예산계획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MARCH 25"/>
      <sheetName val="Ⅰ-1"/>
      <sheetName val="주요비율-낙관"/>
      <sheetName val="원재료"/>
      <sheetName val="argl(1)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년령분석표(02년)"/>
      <sheetName val="지역별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7"/>
      <sheetName val="[비자연11.XLS]B__AAAA___________59"/>
      <sheetName val="[비자연11.XLS]B__AAAA___________58"/>
      <sheetName val="[비자연11.XLS]B__AAAA___________60"/>
      <sheetName val="[비자연11.XLS]B__AAAA___________62"/>
      <sheetName val="[비자연11.XLS]B__AAAA___________61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PL Down"/>
      <sheetName val="10월판관"/>
      <sheetName val="01_성적표"/>
      <sheetName val="수정분개"/>
      <sheetName val="전산원장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Update"/>
      <sheetName val="P&amp;L"/>
      <sheetName val="실별집계"/>
      <sheetName val="9612-D2"/>
      <sheetName val="자료"/>
      <sheetName val="⑤항목별1"/>
      <sheetName val="①매출"/>
      <sheetName val="hmsim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보정전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f3"/>
      <sheetName val="SCH-4"/>
      <sheetName val="US Codes"/>
      <sheetName val="인건비"/>
      <sheetName val="forecasted_BS"/>
      <sheetName val="forecasted_IS"/>
      <sheetName val="본부예산"/>
      <sheetName val="Sheet3"/>
      <sheetName val="미수수익(적금)"/>
      <sheetName val="요약PL"/>
      <sheetName val="Requirement(Work Crew)"/>
      <sheetName val="합계9509"/>
      <sheetName val="급여테이블"/>
      <sheetName val="의료보험표준보수액"/>
      <sheetName val="Manual"/>
      <sheetName val="편성 vs 배정"/>
      <sheetName val="93상각비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은행 연결위험가중자산(대차대조표)"/>
      <sheetName val="XREF"/>
      <sheetName val="DATA"/>
      <sheetName val="세부내역"/>
      <sheetName val="configure"/>
      <sheetName val="제조원가명세서"/>
      <sheetName val="Macro1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VT-HD"/>
      <sheetName val="1. Assumptions"/>
      <sheetName val="보험금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이익처분"/>
      <sheetName val="부재예실"/>
      <sheetName val="손익"/>
      <sheetName val="forecasted_BS"/>
      <sheetName val="forecasted_IS"/>
      <sheetName val="반기_유가증권"/>
      <sheetName val="정산표"/>
      <sheetName val="시산표"/>
      <sheetName val="손익합산"/>
      <sheetName val="본점"/>
      <sheetName val="조정전"/>
      <sheetName val="조정명세서"/>
      <sheetName val="임차DB"/>
      <sheetName val="제출용BS(한일+할부)"/>
      <sheetName val="플래티늄미디어"/>
      <sheetName val="pre-anal손익계산서"/>
      <sheetName val="pre-anal대차대조표"/>
      <sheetName val="Sheet3"/>
      <sheetName val="6호기"/>
      <sheetName val="공통비"/>
      <sheetName val="xxxxxx"/>
      <sheetName val="Yr_1997"/>
      <sheetName val="만기"/>
      <sheetName val="00'미수"/>
      <sheetName val="차수"/>
      <sheetName val="원가계산"/>
      <sheetName val="유가증권"/>
      <sheetName val="3월"/>
      <sheetName val="Sch9"/>
      <sheetName val="XREF"/>
      <sheetName val="p.3 Disc"/>
      <sheetName val="93상각비"/>
      <sheetName val="US Codes"/>
      <sheetName val="YHCODE"/>
      <sheetName val="국문FS(제조원가 반영전)"/>
      <sheetName val="대차대조표"/>
      <sheetName val="손익계산서"/>
      <sheetName val="CODE"/>
      <sheetName val="금융"/>
      <sheetName val="은행"/>
      <sheetName val="리스"/>
      <sheetName val="보험"/>
      <sheetName val="감사일어"/>
      <sheetName val="8100"/>
      <sheetName val="EXPAN-1"/>
      <sheetName val="Lap"/>
      <sheetName val="f_BS"/>
      <sheetName val="f_IS"/>
      <sheetName val="주요비율-낙관"/>
      <sheetName val="Ⅰ-1"/>
      <sheetName val="Usd"/>
      <sheetName val="9월15원본"/>
      <sheetName val="hmsim"/>
      <sheetName val="성적96"/>
      <sheetName val="9612-D2"/>
      <sheetName val="선급금1"/>
      <sheetName val="보험금"/>
      <sheetName val="Requirement(Work Crew)"/>
      <sheetName val="현재"/>
      <sheetName val="BC100_pending"/>
      <sheetName val="Main"/>
      <sheetName val="매출(영업 VS 경리)"/>
      <sheetName val="율표"/>
      <sheetName val="0930PLENG"/>
      <sheetName val="합병BS"/>
      <sheetName val="Ⅱ1-0타"/>
      <sheetName val="잔액검증"/>
      <sheetName val="CJE집계"/>
      <sheetName val="Sheet1"/>
      <sheetName val="상품주식"/>
      <sheetName val="LIST"/>
      <sheetName val="差額調査用"/>
      <sheetName val="1. Assumptions"/>
      <sheetName val="정공공사"/>
      <sheetName val="기준"/>
      <sheetName val="FAB별"/>
      <sheetName val="한세A4PL"/>
      <sheetName val="2담당0113"/>
      <sheetName val="1담당0113"/>
      <sheetName val="재고자산미실현이익제거"/>
      <sheetName val="P.L"/>
      <sheetName val="#REF"/>
      <sheetName val="Sheet1 (2)"/>
      <sheetName val="Lists"/>
      <sheetName val="basic_info"/>
      <sheetName val="월확9601"/>
      <sheetName val="스프레드마진"/>
      <sheetName val="생산량&amp;변동비"/>
      <sheetName val="RRR9311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매도주식"/>
      <sheetName val="건설가계정"/>
      <sheetName val="매출분석적입증감사(3분기)"/>
      <sheetName val="차량운반구"/>
      <sheetName val="소프트웨어"/>
      <sheetName val="K-1 유형자산리드"/>
      <sheetName val="10K4"/>
      <sheetName val="ExchRate"/>
      <sheetName val="Util"/>
      <sheetName val="차입금상환Sch"/>
      <sheetName val="MMD"/>
      <sheetName val="잡경비"/>
      <sheetName val="폐토수익화 "/>
      <sheetName val="보고"/>
      <sheetName val="00.08계정"/>
      <sheetName val="COMPS"/>
      <sheetName val="1.CRMS Data"/>
      <sheetName val="2-2.매출분석"/>
      <sheetName val="★국가별 Exposure(보증인반영)"/>
      <sheetName val="국외감가상각내역0103"/>
      <sheetName val="12-ARTT(신호근)"/>
      <sheetName val="5423"/>
      <sheetName val="인건비"/>
      <sheetName val="투자기타"/>
      <sheetName val="판매98"/>
      <sheetName val="2.대외공문"/>
      <sheetName val="공정별인건비"/>
      <sheetName val="DATE"/>
      <sheetName val="Loan"/>
      <sheetName val="rate_table"/>
      <sheetName val="만기현황(금전신탁)"/>
      <sheetName val="약정_수수료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기타예금_신탁예금_일별잔액"/>
      <sheetName val="Sheet2"/>
      <sheetName val="제품분류코드"/>
      <sheetName val="WPL"/>
      <sheetName val="FA Register"/>
      <sheetName val="차입금상환Sch(신한반영)"/>
      <sheetName val="各月细目"/>
      <sheetName val="수정시산표"/>
      <sheetName val="현장"/>
      <sheetName val="지분법평가"/>
      <sheetName val="LS"/>
      <sheetName val="매출채권"/>
      <sheetName val="기타당좌자산"/>
      <sheetName val="5500"/>
      <sheetName val="7 (2)"/>
      <sheetName val="Oper Amount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기초자료"/>
      <sheetName val="시가기준수익율"/>
      <sheetName val="Property"/>
      <sheetName val=" 견적서"/>
      <sheetName val="상품제품월별매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WBS"/>
      <sheetName val="조회총괄"/>
      <sheetName val="환률"/>
      <sheetName val="부대"/>
      <sheetName val="단"/>
      <sheetName val="합병분개 Adj"/>
      <sheetName val="Parameters"/>
      <sheetName val="비품(94이전)"/>
      <sheetName val="Macro2"/>
      <sheetName val="Tables"/>
      <sheetName val="ISB_Report"/>
      <sheetName val="작성자"/>
      <sheetName val="Cover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K-1_유형자산리드2"/>
      <sheetName val="Sheet1_(2)2"/>
      <sheetName val="P_L2"/>
      <sheetName val="폐토수익화_2"/>
      <sheetName val="00_08계정2"/>
      <sheetName val="1_CRMS_Data2"/>
      <sheetName val="2-2_매출분석2"/>
      <sheetName val="★국가별_Exposure(보증인반영)1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Results"/>
      <sheetName val="BS Prior"/>
      <sheetName val="Threshold Table"/>
      <sheetName val="Underlyings"/>
      <sheetName val="미수이자"/>
      <sheetName val="관계회사거래내역및 채권채무잔액 99"/>
      <sheetName val="Administration"/>
      <sheetName val="BS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식음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Sheet1_(2)3"/>
      <sheetName val="1__Assumptions4"/>
      <sheetName val="K-1_유형자산리드3"/>
      <sheetName val="P_L3"/>
      <sheetName val="1_CRMS_Data3"/>
      <sheetName val="폐토수익화_3"/>
      <sheetName val="00_08계정3"/>
      <sheetName val="2-2_매출분석3"/>
      <sheetName val="★국가별_Exposure(보증인반영)2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FX_Rate"/>
      <sheetName val="CAJE_CRJE"/>
      <sheetName val="Sale_&amp;_ENR"/>
      <sheetName val="Foreign Exchange Rates"/>
      <sheetName val="INCOME STATEMENT INPUT"/>
      <sheetName val="Data Input Sheet"/>
      <sheetName val="월별손익"/>
      <sheetName val="보정사항"/>
      <sheetName val="Repayment Summary"/>
      <sheetName val="Sheet5"/>
      <sheetName val="PAJE,PRJE"/>
      <sheetName val="WTB"/>
      <sheetName val="협력업체단기대여금"/>
      <sheetName val="주임종단기대여금(창원)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테이블"/>
      <sheetName val="SCFP94"/>
      <sheetName val="협조전"/>
      <sheetName val="[성적96.xls]______BYUN________9_5"/>
      <sheetName val="VAS-BS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DI-ESTI"/>
      <sheetName val="AJE,RJE"/>
      <sheetName val="현금흐름표"/>
      <sheetName val="매출"/>
      <sheetName val="vapoc-00p12"/>
      <sheetName val="국문FS(제조원가_반영전)5"/>
      <sheetName val="2-2_매출분석4"/>
      <sheetName val="K-1_유형자산리드4"/>
      <sheetName val="p_3_Disc5"/>
      <sheetName val="US_Codes5"/>
      <sheetName val="Requirement(Work_Crew)5"/>
      <sheetName val="매출(영업_VS_경리)5"/>
      <sheetName val="1__Assumptions5"/>
      <sheetName val="Sheet1_(2)4"/>
      <sheetName val="P_L4"/>
      <sheetName val="매출채권_lead3"/>
      <sheetName val="7_(2)3"/>
      <sheetName val="★국가별_Exposure(보증인반영)3"/>
      <sheetName val="1_CRMS_Data4"/>
      <sheetName val="2_대외공문3"/>
      <sheetName val="폐토수익화_4"/>
      <sheetName val="00_08계정4"/>
      <sheetName val="FA_Register3"/>
      <sheetName val="Oper_Amount3"/>
      <sheetName val="_견적서2"/>
      <sheetName val="Balance_Sheet2"/>
      <sheetName val="GP1_P&amp;L2"/>
      <sheetName val="Repayment_Summary"/>
      <sheetName val="일일자금_"/>
      <sheetName val="합병분개_Adj2"/>
      <sheetName val="장기채무명세서(97_12_31)1"/>
      <sheetName val="관계회사거래내역및_채권채무잔액_991"/>
      <sheetName val="BS_Prior1"/>
      <sheetName val="Threshold_Table1"/>
      <sheetName val="영업_일11"/>
      <sheetName val="Sale_&amp;_ENR1"/>
      <sheetName val="FX_Rate1"/>
      <sheetName val="CAJE_CRJE1"/>
      <sheetName val="control_sheet"/>
      <sheetName val="Foreign_Exchange_Rates"/>
      <sheetName val="INCOME_STATEMENT_INPUT"/>
      <sheetName val="Data_Input_Sheet"/>
      <sheetName val="대손충당금설정_02_12월"/>
      <sheetName val="회전일수별_채권"/>
      <sheetName val="[성적96_xls]______BYUN________9_4"/>
      <sheetName val="[성적96_xls]______BYUN________9_2"/>
      <sheetName val="[성적96_xls]______BYUN________9_3"/>
      <sheetName val="[성적96_xls]______BYUN________9_5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完"/>
      <sheetName val="BS(4)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갑지"/>
      <sheetName val="실행"/>
      <sheetName val="상환익(2001년도)"/>
      <sheetName val="통합지보건전성(0201)"/>
      <sheetName val="유가증권현황"/>
      <sheetName val="Lists"/>
      <sheetName val="이연법인세3월말"/>
      <sheetName val="이연법인세6월말"/>
      <sheetName val="LSM_NTR"/>
      <sheetName val="준비금_과거지급율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Data"/>
      <sheetName val="손익합산"/>
      <sheetName val="hmsim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개인별급여명세서"/>
      <sheetName val="가정"/>
      <sheetName val="Assumptions"/>
      <sheetName val="전체현황"/>
      <sheetName val="93상각비"/>
      <sheetName val="Sheet5"/>
      <sheetName val="부장급 명단"/>
      <sheetName val="률표"/>
      <sheetName val="f_BS"/>
      <sheetName val="본봉표"/>
      <sheetName val="#REF"/>
      <sheetName val="분당임차변경"/>
      <sheetName val="수신,비율"/>
      <sheetName val="기감액자산"/>
      <sheetName val="설비-자산"/>
      <sheetName val="불용자산list"/>
      <sheetName val="CC"/>
      <sheetName val="마케팅예산"/>
      <sheetName val="00.08계정"/>
      <sheetName val="Sheet1"/>
      <sheetName val="2담당0113"/>
      <sheetName val="1담당0113"/>
      <sheetName val="Configuration"/>
      <sheetName val="JournalSummary"/>
      <sheetName val="협조전"/>
      <sheetName val="liste des zones"/>
      <sheetName val="CashFlow(중간집계)"/>
      <sheetName val="대성상사"/>
      <sheetName val="기본데이터"/>
      <sheetName val="10.1.청산가치"/>
      <sheetName val="2. 담보명세"/>
      <sheetName val="금융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반기_유가증권"/>
      <sheetName val="인건비"/>
      <sheetName val="COMBINED"/>
      <sheetName val="VALSTAT"/>
      <sheetName val="채무관계인등록현황"/>
      <sheetName val="정의"/>
      <sheetName val="US Codes"/>
      <sheetName val="정산표"/>
      <sheetName val="기초자료"/>
      <sheetName val="PL,보정"/>
      <sheetName val="pr34"/>
      <sheetName val="재료율"/>
      <sheetName val="HP1AMLIST"/>
      <sheetName val="계열사현황종합"/>
      <sheetName val="보고서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configure"/>
      <sheetName val="금리분석"/>
      <sheetName val="US_Codes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Links"/>
      <sheetName val="Lead"/>
      <sheetName val="forecasted_BS"/>
      <sheetName val="forecasted_IS"/>
      <sheetName val="손익계산서"/>
      <sheetName val="대차대조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Sheet39"/>
      <sheetName val="97년 투입원가명세서"/>
      <sheetName val="97년직간접외주비"/>
      <sheetName val="98년직간접외주비"/>
      <sheetName val="CoA map"/>
      <sheetName val="감가상각"/>
      <sheetName val="REF"/>
      <sheetName val="보고"/>
      <sheetName val="COMPS"/>
      <sheetName val="f_IS"/>
      <sheetName val="잉여금"/>
      <sheetName val="Sheet2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참조 자료"/>
      <sheetName val="참고자료"/>
      <sheetName val="경리통보"/>
      <sheetName val="MMD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합병분개 Adj"/>
      <sheetName val="수금 "/>
      <sheetName val="신용조회 요청 템플릿 (참고자료)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  <sheetName val="인쇄BS"/>
      <sheetName val="variable"/>
      <sheetName val="도급"/>
      <sheetName val="퇴사_템플릿_(참고자료)"/>
      <sheetName val="입사_템플릿_(참고자료)"/>
      <sheetName val="데이타"/>
      <sheetName val="식재인부"/>
      <sheetName val="업무규제한도관리-분기보"/>
      <sheetName val="LTFX"/>
      <sheetName val="노무비"/>
      <sheetName val="input data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신전산소항목시산표(5월)"/>
      <sheetName val="임차보증금현황04.6.30"/>
      <sheetName val="Codes"/>
      <sheetName val="input_data"/>
      <sheetName val="BS"/>
      <sheetName val="TB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손익"/>
      <sheetName val="지분법적용주식Leadsheet(1)"/>
      <sheetName val="분류표"/>
      <sheetName val="입찰안"/>
      <sheetName val="I_3 상품및서비스위험"/>
      <sheetName val="I_2. 고객위험"/>
      <sheetName val="퇴사 템플릿"/>
      <sheetName val="Assumption"/>
      <sheetName val="기본정보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2_지분법적용주식Leadsheet(회사제시)1"/>
      <sheetName val="회사정보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2_지분법적용주식Leadsheet(회사제시)2"/>
      <sheetName val="정공공사"/>
      <sheetName val="11월사업계획대실적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산출근거"/>
      <sheetName val="비주거용"/>
      <sheetName val="partlist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안산기계장치"/>
      <sheetName val="95월별매출"/>
      <sheetName val="Sheet110"/>
      <sheetName val="Sheet7522"/>
      <sheetName val="Project Table"/>
      <sheetName val="목표세부명세"/>
      <sheetName val="카드"/>
      <sheetName val="기초코드"/>
      <sheetName val="발전외"/>
      <sheetName val="감가상각LS (2)"/>
      <sheetName val="기초자료"/>
      <sheetName val="임차보증금현황04.6.30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Project_Table"/>
      <sheetName val="임차보증금현황04_6_30"/>
      <sheetName val="감가상각LS_(2)"/>
      <sheetName val="목록"/>
      <sheetName val="사  업  비  수  지  예  산  서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一覧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/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>
        <row r="9">
          <cell r="A9">
            <v>1010051</v>
          </cell>
        </row>
      </sheetData>
      <sheetData sheetId="658" refreshError="1"/>
      <sheetData sheetId="659" refreshError="1"/>
      <sheetData sheetId="660">
        <row r="9">
          <cell r="A9">
            <v>1010051</v>
          </cell>
        </row>
      </sheetData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>
        <row r="9">
          <cell r="A9">
            <v>1010051</v>
          </cell>
        </row>
      </sheetData>
      <sheetData sheetId="723">
        <row r="9">
          <cell r="A9">
            <v>1010051</v>
          </cell>
        </row>
      </sheetData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 refreshError="1"/>
      <sheetData sheetId="783" refreshError="1"/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>
        <row r="9">
          <cell r="A9">
            <v>1010051</v>
          </cell>
        </row>
      </sheetData>
      <sheetData sheetId="844"/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data"/>
      <sheetName val="센타별증감현황"/>
      <sheetName val="안전관리실"/>
      <sheetName val="Thru0003(cpa-자금)"/>
      <sheetName val="보정사항"/>
      <sheetName val="인건비"/>
      <sheetName val="정산표"/>
      <sheetName val="conclusion"/>
      <sheetName val="Deduction"/>
      <sheetName val="other"/>
      <sheetName val="코드"/>
      <sheetName val="인원"/>
      <sheetName val="출금실적"/>
      <sheetName val="전체내역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은행관리점등록점이다른회원명세"/>
      <sheetName val="f_BS"/>
      <sheetName val="대환취급"/>
      <sheetName val="초회"/>
      <sheetName val="@공통코드"/>
      <sheetName val="팀스텔"/>
      <sheetName val="공통속성"/>
      <sheetName val="2. 담보명세"/>
      <sheetName val="Ⅱ1-0타"/>
      <sheetName val="분당임차변경"/>
      <sheetName val="basic_info"/>
      <sheetName val="LIST"/>
      <sheetName val="건물"/>
      <sheetName val="Code"/>
      <sheetName val="합동별(기표용)"/>
      <sheetName val="성적표96"/>
      <sheetName val="YHCODE"/>
      <sheetName val="국외감가상각내역0103"/>
      <sheetName val="選択肢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fxrate"/>
      <sheetName val="분개장"/>
      <sheetName val="HR 8.PJ건강"/>
      <sheetName val="HR 1.PJ기본급"/>
      <sheetName val="HR 2.PJ상여"/>
      <sheetName val="표지어음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매도가능_기타6"/>
      <sheetName val="HR_8_PJ건강6"/>
      <sheetName val="HR_1_PJ기본급6"/>
      <sheetName val="HR_2_PJ상여6"/>
      <sheetName val="3_손익6"/>
      <sheetName val="4_원가6"/>
      <sheetName val="US_Codes1"/>
      <sheetName val="Sheet1_(2)"/>
      <sheetName val="10월_급여"/>
      <sheetName val="Rates"/>
      <sheetName val="지급융통"/>
      <sheetName val="수입"/>
      <sheetName val="리드"/>
      <sheetName val="Macro3"/>
      <sheetName val="Inputs"/>
      <sheetName val="Mult-3yr"/>
      <sheetName val="2.대외공문"/>
      <sheetName val="LS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출고"/>
      <sheetName val="입고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보험료분해TB_(2)1"/>
      <sheetName val="보험료분해TB_(2)"/>
      <sheetName val="갑지"/>
      <sheetName val="실행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LIST"/>
      <sheetName val="회사전체"/>
      <sheetName val="총괄표"/>
      <sheetName val="회전율"/>
      <sheetName val="8100"/>
      <sheetName val="금융"/>
      <sheetName val="TEMP"/>
      <sheetName val="JA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갑지"/>
      <sheetName val="실행"/>
      <sheetName val="표준CoA"/>
      <sheetName val="95하"/>
      <sheetName val="이자"/>
      <sheetName val="변제"/>
      <sheetName val="상환대상"/>
      <sheetName val="총괄집계"/>
      <sheetName val="환율시트"/>
      <sheetName val="Master"/>
      <sheetName val="25.보증금(임차보증금외)"/>
      <sheetName val="매각대상(전체)"/>
      <sheetName val="회사정보"/>
      <sheetName val="대출채권"/>
      <sheetName val="재료비"/>
      <sheetName val="회사개황최종"/>
      <sheetName val="매출.물동명세"/>
      <sheetName val="97년추정손익계산서"/>
      <sheetName val="TB"/>
      <sheetName val="2담당0113"/>
      <sheetName val="매입매출(입력)"/>
      <sheetName val="Tranche"/>
      <sheetName val="업체개요"/>
      <sheetName val="경락률"/>
      <sheetName val="법원비용"/>
      <sheetName val="LoanList"/>
      <sheetName val="잔존년수"/>
      <sheetName val="항고구분"/>
      <sheetName val="경매회차하락률"/>
      <sheetName val="INSTRUMENT"/>
      <sheetName val="대환취급"/>
      <sheetName val="상품입력"/>
      <sheetName val="CODE"/>
      <sheetName val="수정시산표"/>
      <sheetName val="공통"/>
      <sheetName val="관리별정촉탁-기초data"/>
      <sheetName val="1담당0113"/>
      <sheetName val="생산판매재고"/>
      <sheetName val="지점장"/>
      <sheetName val="손익합산"/>
      <sheetName val="급여명세표(정규직)"/>
      <sheetName val="계정code"/>
      <sheetName val="BS"/>
      <sheetName val="IS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급여테이블"/>
      <sheetName val="의료보험표준보수액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Main"/>
      <sheetName val="basic_info"/>
      <sheetName val="계수원본(99.2.28)"/>
      <sheetName val="17(L)_원가배부(규격)"/>
      <sheetName val="24.보증금(전신전화가입권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비용"/>
      <sheetName val="작성자"/>
      <sheetName val="sap`04.7.14"/>
      <sheetName val="초회계획"/>
      <sheetName val="현금"/>
      <sheetName val="본부별실적"/>
      <sheetName val="전월포함실적(0101-0110)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txt(보정)"/>
      <sheetName val="Check"/>
      <sheetName val="권리분석"/>
      <sheetName val="1"/>
      <sheetName val="96제조"/>
      <sheetName val="민감도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Links"/>
      <sheetName val="Lead"/>
      <sheetName val="절대지우지말것"/>
      <sheetName val="ROOT 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이익처분"/>
      <sheetName val="주석 Interface(BS)"/>
      <sheetName val="인스탄스 정의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코드상세"/>
      <sheetName val="기초자료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국민년금전환금"/>
      <sheetName val="년월차수당"/>
      <sheetName val="상여금"/>
      <sheetName val="상환여부"/>
      <sheetName val="순자본(증권+운용사)"/>
      <sheetName val="계정과목"/>
      <sheetName val="월별"/>
      <sheetName val="99생산계획 (1,300)"/>
      <sheetName val="고호석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일자"/>
      <sheetName val="환율"/>
      <sheetName val="배정조정"/>
      <sheetName val="기초"/>
      <sheetName val="상조회"/>
      <sheetName val="의보"/>
      <sheetName val="생산직잔업"/>
      <sheetName val="98상품수불(기초)"/>
      <sheetName val="98제품수불부"/>
      <sheetName val="1999"/>
      <sheetName val="주요기준"/>
      <sheetName val="임차보증금현황04.6.30"/>
      <sheetName val="인원자료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tc result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controll"/>
      <sheetName val="SUMMARY"/>
      <sheetName val="config"/>
      <sheetName val="경기남부"/>
      <sheetName val="leas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2">
          <cell r="A2" t="str">
            <v>100001</v>
          </cell>
        </row>
      </sheetData>
      <sheetData sheetId="96">
        <row r="2">
          <cell r="A2" t="str">
            <v>100001</v>
          </cell>
        </row>
      </sheetData>
      <sheetData sheetId="97">
        <row r="2">
          <cell r="A2" t="str">
            <v>100001</v>
          </cell>
        </row>
      </sheetData>
      <sheetData sheetId="98" refreshError="1"/>
      <sheetData sheetId="99">
        <row r="2">
          <cell r="A2" t="str">
            <v>100001</v>
          </cell>
        </row>
      </sheetData>
      <sheetData sheetId="100" refreshError="1"/>
      <sheetData sheetId="101">
        <row r="2">
          <cell r="A2" t="str">
            <v>100001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2">
          <cell r="A2" t="str">
            <v>100001</v>
          </cell>
        </row>
      </sheetData>
      <sheetData sheetId="108">
        <row r="2">
          <cell r="A2" t="str">
            <v>100001</v>
          </cell>
        </row>
      </sheetData>
      <sheetData sheetId="109">
        <row r="2">
          <cell r="A2" t="str">
            <v>100001</v>
          </cell>
        </row>
      </sheetData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>
        <row r="2">
          <cell r="A2" t="str">
            <v>100001</v>
          </cell>
        </row>
      </sheetData>
      <sheetData sheetId="243" refreshError="1"/>
      <sheetData sheetId="244">
        <row r="2">
          <cell r="A2" t="str">
            <v>100001</v>
          </cell>
        </row>
      </sheetData>
      <sheetData sheetId="245">
        <row r="2">
          <cell r="A2" t="str">
            <v>100001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A2" t="str">
            <v>100001</v>
          </cell>
        </row>
      </sheetData>
      <sheetData sheetId="313">
        <row r="2">
          <cell r="A2" t="str">
            <v>100001</v>
          </cell>
        </row>
      </sheetData>
      <sheetData sheetId="314">
        <row r="2">
          <cell r="A2" t="str">
            <v>100001</v>
          </cell>
        </row>
      </sheetData>
      <sheetData sheetId="315">
        <row r="2">
          <cell r="A2" t="str">
            <v>100001</v>
          </cell>
        </row>
      </sheetData>
      <sheetData sheetId="316">
        <row r="2">
          <cell r="A2" t="str">
            <v>100001</v>
          </cell>
        </row>
      </sheetData>
      <sheetData sheetId="317">
        <row r="2">
          <cell r="A2" t="str">
            <v>100001</v>
          </cell>
        </row>
      </sheetData>
      <sheetData sheetId="318">
        <row r="2">
          <cell r="A2" t="str">
            <v>100001</v>
          </cell>
        </row>
      </sheetData>
      <sheetData sheetId="319">
        <row r="2">
          <cell r="A2" t="str">
            <v>100001</v>
          </cell>
        </row>
      </sheetData>
      <sheetData sheetId="320" refreshError="1"/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>
        <row r="2">
          <cell r="A2" t="str">
            <v>100001</v>
          </cell>
        </row>
      </sheetData>
      <sheetData sheetId="365">
        <row r="2">
          <cell r="A2" t="str">
            <v>100001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전행순위"/>
      <sheetName val="정의"/>
      <sheetName val="10K4"/>
      <sheetName val="입력장표"/>
      <sheetName val="종합일지"/>
      <sheetName val="합동별(기표용)"/>
      <sheetName val="공문(고객)"/>
      <sheetName val="97년추정손익계산서"/>
      <sheetName val="연체대출"/>
      <sheetName val="갑지"/>
      <sheetName val="실행"/>
      <sheetName val="INSTRUMENT"/>
      <sheetName val="조견표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科目表"/>
      <sheetName val="산업은행 경영지표"/>
      <sheetName val="Ship Advice"/>
      <sheetName val="New Valuation"/>
      <sheetName val="96수출"/>
      <sheetName val="Æo°¡±aAØ"/>
      <sheetName val="7월 MAU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대지급금(외화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Ⅱ1-0타"/>
      <sheetName val="2003.06급여"/>
      <sheetName val="basic_info"/>
      <sheetName val="1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fwd"/>
      <sheetName val="주주명부&lt;끝&gt;"/>
      <sheetName val="발생"/>
      <sheetName val="취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22.보증금(전화가입권)"/>
      <sheetName val="4.4 EaR 요약(BIS 표준)"/>
      <sheetName val="2.1 금리감응갭"/>
      <sheetName val="5.6 VaR 요약(확률적)"/>
      <sheetName val="월할경비"/>
      <sheetName val="조건"/>
      <sheetName val="률표"/>
      <sheetName val="SALE"/>
      <sheetName val="보증금(전신전화가입권)"/>
      <sheetName val="종합일지"/>
      <sheetName val="정기적금"/>
      <sheetName val="Sheet1 (2)"/>
      <sheetName val="10월 급여"/>
      <sheetName val="회수율"/>
      <sheetName val="code"/>
      <sheetName val="상품입력"/>
      <sheetName val="원재료입력"/>
      <sheetName val="코드"/>
      <sheetName val="Sheet2"/>
      <sheetName val="원본"/>
      <sheetName val="정의"/>
      <sheetName val="인원"/>
      <sheetName val="목표고객속보"/>
      <sheetName val="2.상각보정명세"/>
      <sheetName val="대지급금(외화)"/>
      <sheetName val="주주명부&lt;끝&gt;"/>
      <sheetName val="2005년6월김문환"/>
      <sheetName val="63지점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성적표96"/>
      <sheetName val="당월손익계산서★"/>
      <sheetName val="Ⅱ1-0타"/>
      <sheetName val="현재가치할인차금명세"/>
      <sheetName val="경제성분석"/>
      <sheetName val="미지급금으로 대체"/>
      <sheetName val="받을어음할인및 융통어음"/>
      <sheetName val="LU"/>
      <sheetName val="국외감가상각내역0103"/>
      <sheetName val="이익처분"/>
      <sheetName val="반기_유가증권"/>
      <sheetName val="총괄원장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2004년하반기 경평반영_민원반영영업점"/>
      <sheetName val="NYDATA"/>
      <sheetName val="0107"/>
      <sheetName val="당년매출집계"/>
      <sheetName val="Menu_Link"/>
      <sheetName val="TB"/>
      <sheetName val="말잔"/>
      <sheetName val="평잔"/>
      <sheetName val="CashFlow(중간집계)"/>
      <sheetName val="Lists"/>
      <sheetName val="합병BS"/>
      <sheetName val="환율INDEX"/>
      <sheetName val="시장금리추이(원화)"/>
      <sheetName val="받을어음할인및_융통어음"/>
      <sheetName val="미지급금으로_대체"/>
      <sheetName val="계정code"/>
      <sheetName val="LAST_DS"/>
      <sheetName val="주요 가정"/>
      <sheetName val="연체대출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세금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아파트 기성내역서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MasterCode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출자한도1031"/>
      <sheetName val="Reporting_Package-국내"/>
      <sheetName val="대차합동"/>
      <sheetName val="갑지"/>
      <sheetName val="실행"/>
      <sheetName val="정기적금"/>
      <sheetName val="취소"/>
      <sheetName val="부동산"/>
      <sheetName val="Menu_Link"/>
      <sheetName val="매입수불자재"/>
      <sheetName val="부채"/>
      <sheetName val="단말댓수"/>
      <sheetName val="대차"/>
      <sheetName val="Oper Amount"/>
      <sheetName val="퇴직영수증"/>
      <sheetName val="대환취급"/>
      <sheetName val="조건"/>
      <sheetName val="상하한"/>
      <sheetName val="아파트진행률"/>
      <sheetName val="LEAD SHEET (K상각후회수율)"/>
      <sheetName val="PL,보정"/>
      <sheetName val="대지급금(외화)"/>
      <sheetName val="Sheet1"/>
      <sheetName val="Ⅱ1-0타"/>
      <sheetName val="적금및발행어음계산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주주명부&lt;끝&gt;"/>
      <sheetName val="93상각비"/>
      <sheetName val="고정비"/>
      <sheetName val="2011년_1Q_IFRS"/>
      <sheetName val="매도평가"/>
      <sheetName val="구매"/>
      <sheetName val="CashFlow(중간집계)"/>
      <sheetName val="법원비용"/>
      <sheetName val="COBS"/>
      <sheetName val="손익계산서"/>
      <sheetName val="현장경상비"/>
      <sheetName val="Ⅰ-1"/>
      <sheetName val="주요비율-낙관"/>
      <sheetName val="우수 부진영업점"/>
      <sheetName val="일수"/>
      <sheetName val="보증금(전신전화가입권)"/>
      <sheetName val="자본금"/>
      <sheetName val="회사정보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S영업외손익(연결)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전계정"/>
      <sheetName val="코드"/>
      <sheetName val="목표고객속보"/>
      <sheetName val="건물명세"/>
      <sheetName val="반제품생산량(12월월간)"/>
      <sheetName val="프린트입출고(누적)"/>
      <sheetName val="이익부문"/>
      <sheetName val="합동별(기표용)"/>
      <sheetName val="대출금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설정(한도)"/>
      <sheetName val="위기상황 평가(1105)"/>
      <sheetName val="00'미수"/>
      <sheetName val="전산원장"/>
      <sheetName val="시산표"/>
      <sheetName val="원가"/>
      <sheetName val="외화"/>
      <sheetName val="발생집계"/>
      <sheetName val="설정기준"/>
      <sheetName val="#REF"/>
      <sheetName val="BOM"/>
      <sheetName val="AP"/>
      <sheetName val="해외견학"/>
      <sheetName val="2003 하반기 목표기초"/>
      <sheetName val="부도어음관리현황1"/>
      <sheetName val="퇴직급여충당금명세서"/>
      <sheetName val="ⴭⴭⴭⴭ"/>
      <sheetName val="점소신청"/>
      <sheetName val="공통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★MS"/>
      <sheetName val="당월손익계산서★"/>
      <sheetName val="외상매출금현황-수정분 A2"/>
      <sheetName val="Ctrl"/>
      <sheetName val="060930"/>
      <sheetName val="목표설정"/>
      <sheetName val="&lt;DataBook표지&gt; "/>
      <sheetName val="시실누(모) "/>
      <sheetName val="현우실적"/>
      <sheetName val="종합일지"/>
      <sheetName val="연체대출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장판지"/>
      <sheetName val="원가계산"/>
      <sheetName val="특수요인"/>
      <sheetName val="1월--7월"/>
      <sheetName val="8월--12월"/>
      <sheetName val="시황"/>
      <sheetName val="표지"/>
      <sheetName val="3백이하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0212"/>
      <sheetName val="1"/>
      <sheetName val="평가표"/>
      <sheetName val="계정code"/>
      <sheetName val="fwd"/>
      <sheetName val="입력장표"/>
      <sheetName val="기준정보"/>
      <sheetName val="명목GDPRData"/>
      <sheetName val="정부노임단가"/>
      <sheetName val="Input_Infor"/>
      <sheetName val="lookup"/>
      <sheetName val="이름"/>
      <sheetName val="추심사번(신)"/>
      <sheetName val="6층"/>
      <sheetName val="주요 가정"/>
      <sheetName val="환율INDEX"/>
      <sheetName val="control sheet"/>
      <sheetName val="인건비"/>
      <sheetName val="조립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명세"/>
      <sheetName val="목록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Tog"/>
      <sheetName val="KPMG IS-MAPPING"/>
      <sheetName val="C&amp;I Total"/>
      <sheetName val="사원명부"/>
      <sheetName val="공통속성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sap`04_7_141"/>
      <sheetName val="US_Codes1"/>
      <sheetName val="미지급금으로_대체1"/>
      <sheetName val="2004년하반기_경평반영_민원반영영업점1"/>
      <sheetName val="이수관_점포코드1"/>
      <sheetName val="営業以外_評価賞与1"/>
      <sheetName val="00_08계정1"/>
      <sheetName val="GOE_Budget1"/>
      <sheetName val="P&amp;L_By_Stock1"/>
      <sheetName val="3_현황(창호_라미)"/>
      <sheetName val="3_현황(내외장재_상재)"/>
      <sheetName val="Ranking_Tables"/>
      <sheetName val="Capital_Struct"/>
      <sheetName val="TABLE_DB"/>
      <sheetName val="쌍용_data_base"/>
      <sheetName val="KPMG_IS-MAPPING"/>
      <sheetName val="C&amp;I_Total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Payroll Walkthrough - 4"/>
      <sheetName val="집계표"/>
      <sheetName val="뒤차축소"/>
      <sheetName val="작업불가"/>
      <sheetName val="마감장"/>
      <sheetName val="시뮬레이션정보"/>
      <sheetName val="기본 FACTOR"/>
      <sheetName val="은행(반납후) "/>
      <sheetName val="기은전산"/>
      <sheetName val="퇴직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우리종금예상재무제표"/>
      <sheetName val="회사전체"/>
      <sheetName val="보험금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회사정보"/>
      <sheetName val="down"/>
      <sheetName val="실적분석"/>
      <sheetName val="11.17-11.23"/>
      <sheetName val="11.24-11.30"/>
      <sheetName val="공문"/>
      <sheetName val="비품코드(03.5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당행Data"/>
      <sheetName val="폐토수익화 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연불"/>
      <sheetName val="연체 ()"/>
      <sheetName val="판가반영"/>
      <sheetName val="만기현황(금전신탁)"/>
      <sheetName val="수출입외형_속보"/>
      <sheetName val="지역개발"/>
      <sheetName val="잡손실"/>
      <sheetName val="본사"/>
      <sheetName val="수정시산표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10K4"/>
      <sheetName val="종금공고BS"/>
      <sheetName val="공고용BS(은행+종금)"/>
      <sheetName val="조회총괄"/>
      <sheetName val="f_BS"/>
      <sheetName val="불일치회선"/>
      <sheetName val="BOK차입"/>
      <sheetName val="11.17-11.23"/>
      <sheetName val="11.24-11.30"/>
      <sheetName val="95WBS"/>
      <sheetName val="공통"/>
      <sheetName val="적용환율"/>
      <sheetName val="sap`04.7.14"/>
      <sheetName val="수정시산표"/>
      <sheetName val="통합BS(0608)"/>
      <sheetName val="별첨1"/>
      <sheetName val="별첨2"/>
      <sheetName val="1차가공"/>
      <sheetName val="97년추정손익계산서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basic_info"/>
      <sheetName val="11_17-11_23"/>
      <sheetName val="11_24-11_30"/>
      <sheetName val="sap`04_7_14"/>
      <sheetName val="판가반영"/>
      <sheetName val="fxrate"/>
      <sheetName val="총괄"/>
      <sheetName val="본사"/>
      <sheetName val="수출입외형_속보"/>
      <sheetName val="06"/>
      <sheetName val="대손준비금보고서 화면"/>
      <sheetName val="계수원본(99.2.28)"/>
      <sheetName val="분당임차변경"/>
      <sheetName val="LIST"/>
      <sheetName val="순수통장"/>
      <sheetName val="적립수신"/>
      <sheetName val="수당data"/>
      <sheetName val="data"/>
      <sheetName val="보험금"/>
      <sheetName val="US Codes"/>
      <sheetName val="96수표어음"/>
      <sheetName val="자보사업실적표(원단위-03.31)"/>
      <sheetName val="Sheet7"/>
      <sheetName val="fwd"/>
      <sheetName val="CashFlow(중간집계)"/>
      <sheetName val="LoanList"/>
      <sheetName val="시나리오"/>
      <sheetName val="대지급금(외화)"/>
      <sheetName val="Ⅱ1-0타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조건"/>
      <sheetName val="6660"/>
      <sheetName val="프로그램현황(연결주석)"/>
      <sheetName val="프로그램현황(결산)"/>
      <sheetName val="그래프"/>
      <sheetName val="신탁0106-가사"/>
      <sheetName val="신탁0106-기사"/>
      <sheetName val="은행0106-가사"/>
      <sheetName val="은행0106-기사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9-1차이내역."/>
      <sheetName val="손익계산서"/>
      <sheetName val="파생거래익"/>
      <sheetName val="총괄"/>
      <sheetName val="본사"/>
      <sheetName val="1"/>
      <sheetName val="10월 급여"/>
      <sheetName val="CashFlow(중간집계)"/>
      <sheetName val="LoanList"/>
      <sheetName val="지점"/>
      <sheetName val="카드회원수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수출입외형_속보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108.수선비"/>
      <sheetName val="B"/>
      <sheetName val="원데이타(1)"/>
      <sheetName val="계정code"/>
      <sheetName val="MA1702B"/>
      <sheetName val="회사정보"/>
      <sheetName val="#REF"/>
      <sheetName val="Assumptions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불일치회선"/>
      <sheetName val="TBUS"/>
      <sheetName val="관계사"/>
      <sheetName val="fwd"/>
      <sheetName val="수탁현황"/>
      <sheetName val="기타코드"/>
      <sheetName val="종합"/>
      <sheetName val="당행Data"/>
      <sheetName val="시나리오"/>
      <sheetName val="연체대출"/>
      <sheetName val="갑지"/>
      <sheetName val="실행"/>
      <sheetName val="성적표96"/>
      <sheetName val="세무서코드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1-2선물환"/>
      <sheetName val="계정과목"/>
      <sheetName val="환율시트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대형원계"/>
      <sheetName val="95WBS"/>
      <sheetName val="공통"/>
      <sheetName val="연체 ()"/>
      <sheetName val="FORM01"/>
      <sheetName val="CONFIG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단기차입금"/>
      <sheetName val="선수금"/>
      <sheetName val="외상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제품CODE"/>
      <sheetName val="팀별현황"/>
      <sheetName val="JDC Hardware"/>
      <sheetName val="진행률"/>
      <sheetName val="93상각비"/>
      <sheetName val="당월금액"/>
      <sheetName val="현장"/>
      <sheetName val="반포2차"/>
      <sheetName val="RECONCILIATIONS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양식3"/>
      <sheetName val="그래프용"/>
      <sheetName val="담보구분"/>
      <sheetName val="Customer Databas"/>
      <sheetName val="01반기조정감"/>
      <sheetName val="01반기조정증"/>
      <sheetName val="15100"/>
      <sheetName val="정보"/>
      <sheetName val="부품 LIST"/>
      <sheetName val="구로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tabSelected="1" view="pageBreakPreview" zoomScale="85" zoomScaleNormal="100" zoomScaleSheetLayoutView="85" workbookViewId="0">
      <selection activeCell="D6" sqref="D6"/>
    </sheetView>
  </sheetViews>
  <sheetFormatPr defaultColWidth="8.875" defaultRowHeight="16.5"/>
  <cols>
    <col min="1" max="1" width="2.75" style="1" customWidth="1"/>
    <col min="2" max="6" width="16.75" style="1" customWidth="1"/>
    <col min="7" max="7" width="8.875" style="1"/>
    <col min="8" max="8" width="8.875" style="9"/>
    <col min="9" max="16384" width="8.875" style="1"/>
  </cols>
  <sheetData>
    <row r="2" spans="2:8" ht="26.25" customHeight="1" thickBot="1">
      <c r="B2" s="1" t="s">
        <v>0</v>
      </c>
      <c r="G2" s="2"/>
      <c r="H2" s="3"/>
    </row>
    <row r="3" spans="2:8" s="4" customFormat="1" ht="88.5" customHeight="1" thickTop="1" thickBot="1">
      <c r="B3" s="501" t="s">
        <v>1</v>
      </c>
      <c r="C3" s="501"/>
      <c r="D3" s="501"/>
      <c r="E3" s="501"/>
      <c r="F3" s="501"/>
      <c r="G3" s="5"/>
      <c r="H3" s="6"/>
    </row>
    <row r="4" spans="2:8" ht="30" customHeight="1" thickTop="1">
      <c r="B4" s="7"/>
      <c r="C4" s="7"/>
      <c r="D4" s="7"/>
      <c r="E4" s="7"/>
      <c r="F4" s="7"/>
      <c r="G4" s="7"/>
      <c r="H4" s="8"/>
    </row>
    <row r="5" spans="2:8" ht="30" customHeight="1">
      <c r="B5" s="502" t="s">
        <v>453</v>
      </c>
      <c r="C5" s="502"/>
      <c r="D5" s="502"/>
      <c r="E5" s="502"/>
      <c r="F5" s="502"/>
    </row>
    <row r="6" spans="2:8" ht="30" customHeight="1">
      <c r="B6" s="10"/>
      <c r="C6" s="11"/>
      <c r="D6" s="11"/>
      <c r="E6" s="11"/>
      <c r="F6" s="11"/>
    </row>
    <row r="7" spans="2:8" ht="30" customHeight="1">
      <c r="B7" s="12"/>
      <c r="C7" s="13"/>
      <c r="D7" s="14" t="s">
        <v>2</v>
      </c>
      <c r="E7" s="15"/>
      <c r="F7" s="15"/>
    </row>
    <row r="8" spans="2:8" ht="30" customHeight="1">
      <c r="B8" s="12"/>
      <c r="C8" s="13"/>
      <c r="D8" s="14" t="s">
        <v>3</v>
      </c>
      <c r="E8" s="15"/>
      <c r="F8" s="15"/>
    </row>
    <row r="9" spans="2:8" ht="30" customHeight="1">
      <c r="B9" s="12"/>
      <c r="C9" s="13"/>
      <c r="D9" s="14" t="s">
        <v>193</v>
      </c>
      <c r="E9" s="17"/>
      <c r="F9" s="15"/>
    </row>
    <row r="10" spans="2:8" ht="30" customHeight="1">
      <c r="B10" s="12"/>
      <c r="C10" s="13"/>
      <c r="D10" s="14" t="s">
        <v>5</v>
      </c>
      <c r="E10" s="15"/>
      <c r="F10" s="15"/>
    </row>
    <row r="11" spans="2:8" ht="30" customHeight="1">
      <c r="B11" s="12"/>
      <c r="C11" s="13"/>
      <c r="D11" s="14" t="s">
        <v>194</v>
      </c>
      <c r="F11" s="16"/>
    </row>
    <row r="12" spans="2:8" ht="30" customHeight="1">
      <c r="B12" s="12"/>
      <c r="C12" s="13"/>
      <c r="D12" s="14" t="s">
        <v>4</v>
      </c>
      <c r="E12" s="15"/>
      <c r="F12" s="15"/>
    </row>
    <row r="13" spans="2:8" ht="30" customHeight="1">
      <c r="B13" s="12"/>
      <c r="D13" s="14" t="s">
        <v>6</v>
      </c>
    </row>
    <row r="14" spans="2:8" ht="30" customHeight="1">
      <c r="B14" s="12"/>
      <c r="C14" s="13"/>
      <c r="D14" s="14" t="s">
        <v>80</v>
      </c>
    </row>
    <row r="15" spans="2:8" ht="30" customHeight="1">
      <c r="B15" s="12"/>
      <c r="D15" s="14" t="s">
        <v>81</v>
      </c>
    </row>
    <row r="16" spans="2:8" ht="30" customHeight="1">
      <c r="B16" s="425"/>
      <c r="D16" s="14"/>
    </row>
    <row r="17" spans="1:6" ht="30" customHeight="1">
      <c r="B17" s="12"/>
    </row>
    <row r="18" spans="1:6" ht="30" customHeight="1">
      <c r="B18" s="12"/>
      <c r="F18" s="9"/>
    </row>
    <row r="19" spans="1:6" ht="30" customHeight="1">
      <c r="B19" s="12"/>
      <c r="F19" s="9"/>
    </row>
    <row r="20" spans="1:6" ht="30" customHeight="1">
      <c r="B20" s="12"/>
      <c r="F20" s="9"/>
    </row>
    <row r="21" spans="1:6" ht="30" customHeight="1">
      <c r="B21" s="12"/>
    </row>
    <row r="22" spans="1:6" ht="60" customHeight="1">
      <c r="B22" s="503"/>
      <c r="C22" s="503"/>
      <c r="D22" s="503"/>
      <c r="E22" s="503"/>
      <c r="F22" s="503"/>
    </row>
    <row r="23" spans="1:6" ht="26.25" customHeight="1">
      <c r="B23" s="18"/>
    </row>
    <row r="24" spans="1:6">
      <c r="B24" s="12"/>
    </row>
    <row r="25" spans="1:6">
      <c r="B25" s="12"/>
    </row>
    <row r="32" spans="1:6">
      <c r="A32" s="504"/>
    </row>
    <row r="33" spans="1:1">
      <c r="A33" s="504"/>
    </row>
    <row r="34" spans="1:1">
      <c r="A34" s="504"/>
    </row>
    <row r="35" spans="1:1">
      <c r="A35" s="504"/>
    </row>
    <row r="36" spans="1:1">
      <c r="A36" s="504"/>
    </row>
    <row r="37" spans="1:1">
      <c r="A37" s="504"/>
    </row>
    <row r="38" spans="1:1">
      <c r="A38" s="504"/>
    </row>
    <row r="39" spans="1:1">
      <c r="A39" s="504"/>
    </row>
    <row r="40" spans="1:1">
      <c r="A40" s="504"/>
    </row>
    <row r="41" spans="1:1">
      <c r="A41" s="504"/>
    </row>
    <row r="42" spans="1:1">
      <c r="A42" s="504"/>
    </row>
    <row r="43" spans="1:1">
      <c r="A43" s="504"/>
    </row>
    <row r="44" spans="1:1">
      <c r="A44" s="504"/>
    </row>
    <row r="45" spans="1:1">
      <c r="A45" s="504"/>
    </row>
    <row r="46" spans="1:1">
      <c r="A46" s="504"/>
    </row>
    <row r="47" spans="1:1">
      <c r="A47" s="504"/>
    </row>
    <row r="48" spans="1:1">
      <c r="A48" s="504"/>
    </row>
  </sheetData>
  <mergeCells count="4">
    <mergeCell ref="B3:F3"/>
    <mergeCell ref="B5:F5"/>
    <mergeCell ref="B22:F22"/>
    <mergeCell ref="A32:A48"/>
  </mergeCells>
  <phoneticPr fontId="1" type="noConversion"/>
  <hyperlinks>
    <hyperlink ref="D7" location="요약대차!A1" display="요약 대차대조표" xr:uid="{CA48637A-CA45-4FB4-98BA-334D5ECE6BB2}"/>
    <hyperlink ref="D8" location="요약손익!A1" display="요약 손익계산서" xr:uid="{E0F3A66F-BBE1-4F9D-9647-12B5140A5410}"/>
    <hyperlink ref="D14" location="BS!A1" display="Full 대차대조표" xr:uid="{9E8CB65F-C901-46FA-A6FF-BF6456A6A6B3}"/>
    <hyperlink ref="D10" location="투자이익!A1" display="투자이익" xr:uid="{5436C93D-1361-4799-92C2-99BB4A3DA476}"/>
    <hyperlink ref="D13" location="신규월납!A1" display="신규월납보험료 현황" xr:uid="{DD326253-E28C-4FD5-B883-CC652B43A709}"/>
    <hyperlink ref="D9" location="'손해율&amp;사업비율'!A1" display="손해율 및 사업비율" xr:uid="{8F88BFEB-DFE8-4537-A930-D5D36AF9C5BF}"/>
    <hyperlink ref="D15" location="PL!A1" display="Full 손익계산서" xr:uid="{6D141FA0-D583-464C-A1E3-89F91552690D}"/>
    <hyperlink ref="D12" location="원수보험료!A1" display="원수보험료 현황" xr:uid="{985285AD-7C75-4E50-8F7D-292801A06522}"/>
    <hyperlink ref="D11" location="신규월납!A1" display="신규월납보험료 현황" xr:uid="{0CEBEEEA-108F-4266-93DE-827B49455283}"/>
  </hyperlink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93"/>
  <sheetViews>
    <sheetView view="pageBreakPreview" zoomScale="85" zoomScaleNormal="85" zoomScaleSheetLayoutView="85" workbookViewId="0">
      <pane ySplit="6" topLeftCell="A7" activePane="bottomLeft" state="frozen"/>
      <selection activeCell="K10" sqref="K10"/>
      <selection pane="bottomLeft" activeCell="F1" sqref="F1"/>
    </sheetView>
  </sheetViews>
  <sheetFormatPr defaultColWidth="10" defaultRowHeight="16.5"/>
  <cols>
    <col min="1" max="1" width="2.375" style="19" customWidth="1"/>
    <col min="2" max="2" width="5.875" style="19" customWidth="1"/>
    <col min="3" max="3" width="25.5" style="19" customWidth="1"/>
    <col min="4" max="4" width="15.5" style="19" customWidth="1"/>
    <col min="5" max="5" width="7.375" style="19" bestFit="1" customWidth="1"/>
    <col min="6" max="6" width="7.25" style="19" bestFit="1" customWidth="1"/>
    <col min="7" max="7" width="15.5" style="19" customWidth="1"/>
    <col min="8" max="8" width="7.375" style="20" customWidth="1"/>
    <col min="9" max="9" width="11.125" style="21" bestFit="1" customWidth="1"/>
    <col min="10" max="10" width="16.625" style="21" bestFit="1" customWidth="1"/>
    <col min="11" max="11" width="11.625" style="19" bestFit="1" customWidth="1"/>
    <col min="12" max="12" width="12.625" style="19" bestFit="1" customWidth="1"/>
    <col min="13" max="13" width="11.5" style="19" bestFit="1" customWidth="1"/>
    <col min="14" max="16384" width="10" style="19"/>
  </cols>
  <sheetData>
    <row r="1" spans="2:10" ht="16.5" customHeight="1"/>
    <row r="2" spans="2:10" ht="24.95" customHeight="1">
      <c r="B2" s="22" t="s">
        <v>35</v>
      </c>
      <c r="D2" s="23"/>
    </row>
    <row r="3" spans="2:10" ht="16.5" customHeight="1">
      <c r="B3" s="22"/>
      <c r="D3" s="23"/>
    </row>
    <row r="4" spans="2:10" ht="16.5" customHeight="1">
      <c r="B4" s="19" t="s">
        <v>189</v>
      </c>
      <c r="D4" s="23"/>
      <c r="E4" s="24"/>
      <c r="G4" s="507" t="s">
        <v>36</v>
      </c>
      <c r="H4" s="507"/>
    </row>
    <row r="5" spans="2:10" s="25" customFormat="1" ht="16.5" customHeight="1">
      <c r="B5" s="508" t="s">
        <v>37</v>
      </c>
      <c r="C5" s="509"/>
      <c r="D5" s="512" t="s">
        <v>454</v>
      </c>
      <c r="E5" s="26"/>
      <c r="F5" s="27"/>
      <c r="G5" s="514" t="s">
        <v>455</v>
      </c>
      <c r="H5" s="492"/>
      <c r="I5" s="28"/>
      <c r="J5" s="28"/>
    </row>
    <row r="6" spans="2:10" s="25" customFormat="1" ht="16.5" customHeight="1" thickBot="1">
      <c r="B6" s="510"/>
      <c r="C6" s="511"/>
      <c r="D6" s="513"/>
      <c r="E6" s="144" t="s">
        <v>456</v>
      </c>
      <c r="F6" s="496" t="s">
        <v>191</v>
      </c>
      <c r="G6" s="515"/>
      <c r="H6" s="29" t="s">
        <v>456</v>
      </c>
      <c r="I6" s="28"/>
      <c r="J6" s="28"/>
    </row>
    <row r="7" spans="2:10" ht="16.5" customHeight="1" thickTop="1">
      <c r="B7" s="516" t="s">
        <v>38</v>
      </c>
      <c r="C7" s="517"/>
      <c r="D7" s="273">
        <v>52112678.659224994</v>
      </c>
      <c r="E7" s="274">
        <v>100</v>
      </c>
      <c r="F7" s="275">
        <v>5.0077223489885796</v>
      </c>
      <c r="G7" s="276">
        <v>49627472.621518999</v>
      </c>
      <c r="H7" s="277">
        <v>100</v>
      </c>
      <c r="I7" s="35"/>
      <c r="J7" s="36"/>
    </row>
    <row r="8" spans="2:10" ht="16.5" customHeight="1">
      <c r="B8" s="37" t="s">
        <v>39</v>
      </c>
      <c r="C8" s="38"/>
      <c r="D8" s="30">
        <v>584297.87241700001</v>
      </c>
      <c r="E8" s="31">
        <v>1.1212201856631436</v>
      </c>
      <c r="F8" s="32">
        <v>-22.144497668886544</v>
      </c>
      <c r="G8" s="33">
        <v>750490.145105</v>
      </c>
      <c r="H8" s="34">
        <v>1.5122473611109899</v>
      </c>
      <c r="I8" s="39"/>
      <c r="J8" s="40"/>
    </row>
    <row r="9" spans="2:10" ht="16.5" customHeight="1">
      <c r="B9" s="37" t="s">
        <v>86</v>
      </c>
      <c r="C9" s="38"/>
      <c r="D9" s="30">
        <v>12067279.571542</v>
      </c>
      <c r="E9" s="31">
        <v>23.156129913129782</v>
      </c>
      <c r="F9" s="32">
        <v>5.7864668097856224</v>
      </c>
      <c r="G9" s="33">
        <v>11407205.416208999</v>
      </c>
      <c r="H9" s="34">
        <v>22.985666635102255</v>
      </c>
      <c r="I9" s="39"/>
      <c r="J9" s="40"/>
    </row>
    <row r="10" spans="2:10" ht="16.5" customHeight="1">
      <c r="B10" s="37" t="s">
        <v>87</v>
      </c>
      <c r="C10" s="38"/>
      <c r="D10" s="30">
        <v>23095516.511675999</v>
      </c>
      <c r="E10" s="31">
        <v>44.318421362874282</v>
      </c>
      <c r="F10" s="32">
        <v>3.9119912200209512</v>
      </c>
      <c r="G10" s="33">
        <v>22226035.937252</v>
      </c>
      <c r="H10" s="34">
        <v>44.785750237086539</v>
      </c>
      <c r="I10" s="39"/>
      <c r="J10" s="40"/>
    </row>
    <row r="11" spans="2:10" ht="16.5" customHeight="1">
      <c r="B11" s="37" t="s">
        <v>88</v>
      </c>
      <c r="C11" s="38"/>
      <c r="D11" s="30">
        <v>0</v>
      </c>
      <c r="E11" s="31">
        <v>0</v>
      </c>
      <c r="F11" s="32">
        <v>0</v>
      </c>
      <c r="G11" s="33">
        <v>0</v>
      </c>
      <c r="H11" s="34">
        <v>0</v>
      </c>
      <c r="I11" s="39"/>
      <c r="J11" s="40"/>
    </row>
    <row r="12" spans="2:10" ht="16.5" customHeight="1">
      <c r="B12" s="37" t="s">
        <v>40</v>
      </c>
      <c r="C12" s="38"/>
      <c r="D12" s="30">
        <v>1054193.1335769999</v>
      </c>
      <c r="E12" s="31">
        <v>2.0229110471763985</v>
      </c>
      <c r="F12" s="32">
        <v>3.4343427860157476</v>
      </c>
      <c r="G12" s="33">
        <v>1019190.633577</v>
      </c>
      <c r="H12" s="34">
        <v>2.0536823250093703</v>
      </c>
      <c r="I12" s="39"/>
      <c r="J12" s="36"/>
    </row>
    <row r="13" spans="2:10" ht="16.5" customHeight="1">
      <c r="B13" s="37" t="s">
        <v>185</v>
      </c>
      <c r="C13" s="38"/>
      <c r="D13" s="30">
        <v>14104138.266566999</v>
      </c>
      <c r="E13" s="31">
        <v>27.064696402955452</v>
      </c>
      <c r="F13" s="32">
        <v>8.3100624925868374</v>
      </c>
      <c r="G13" s="33">
        <v>13022001.780796999</v>
      </c>
      <c r="H13" s="34">
        <v>26.239502221095417</v>
      </c>
      <c r="I13" s="39"/>
      <c r="J13" s="36"/>
    </row>
    <row r="14" spans="2:10" ht="16.5" customHeight="1">
      <c r="B14" s="37" t="s">
        <v>41</v>
      </c>
      <c r="C14" s="38"/>
      <c r="D14" s="30">
        <v>1207253.303446</v>
      </c>
      <c r="E14" s="31">
        <v>2.3166210882009453</v>
      </c>
      <c r="F14" s="32">
        <v>0.39121865363433983</v>
      </c>
      <c r="G14" s="33">
        <v>1202548.7085790001</v>
      </c>
      <c r="H14" s="34">
        <v>2.4231512205954293</v>
      </c>
      <c r="I14" s="39"/>
      <c r="J14" s="36"/>
    </row>
    <row r="15" spans="2:10" ht="16.5" customHeight="1">
      <c r="B15" s="505" t="s">
        <v>42</v>
      </c>
      <c r="C15" s="506"/>
      <c r="D15" s="41">
        <v>3351441.4630411053</v>
      </c>
      <c r="E15" s="42"/>
      <c r="F15" s="43">
        <v>4.1282369082886703</v>
      </c>
      <c r="G15" s="44">
        <v>3218571.2180961054</v>
      </c>
      <c r="H15" s="45"/>
      <c r="I15" s="46"/>
      <c r="J15" s="36"/>
    </row>
    <row r="16" spans="2:10" ht="16.5" customHeight="1">
      <c r="B16" s="257" t="s">
        <v>89</v>
      </c>
      <c r="C16" s="258"/>
      <c r="D16" s="41">
        <v>684280.71535300009</v>
      </c>
      <c r="E16" s="42"/>
      <c r="F16" s="43">
        <v>-1.2654965242547149</v>
      </c>
      <c r="G16" s="44">
        <v>693051.25489500002</v>
      </c>
      <c r="H16" s="45"/>
      <c r="I16" s="46"/>
      <c r="J16" s="36"/>
    </row>
    <row r="17" spans="2:10" ht="16.5" customHeight="1">
      <c r="B17" s="37" t="s">
        <v>90</v>
      </c>
      <c r="C17" s="148"/>
      <c r="D17" s="30">
        <v>916802.93231200008</v>
      </c>
      <c r="E17" s="31"/>
      <c r="F17" s="32">
        <v>-3.9670248163352966</v>
      </c>
      <c r="G17" s="33">
        <v>954675.13170200004</v>
      </c>
      <c r="H17" s="34"/>
      <c r="I17" s="46"/>
      <c r="J17" s="36"/>
    </row>
    <row r="18" spans="2:10" ht="16.5" customHeight="1">
      <c r="B18" s="37" t="s">
        <v>91</v>
      </c>
      <c r="C18" s="148"/>
      <c r="D18" s="30">
        <v>1768722.973059</v>
      </c>
      <c r="E18" s="31"/>
      <c r="F18" s="32">
        <v>-2.4868046979716922</v>
      </c>
      <c r="G18" s="33">
        <v>1813829.3669700001</v>
      </c>
      <c r="H18" s="34"/>
      <c r="I18" s="46"/>
      <c r="J18" s="36"/>
    </row>
    <row r="19" spans="2:10" ht="16.5" customHeight="1">
      <c r="B19" s="37" t="s">
        <v>92</v>
      </c>
      <c r="C19" s="148"/>
      <c r="D19" s="30">
        <v>-190520.231153</v>
      </c>
      <c r="E19" s="31"/>
      <c r="F19" s="32">
        <v>-0.29859012981587796</v>
      </c>
      <c r="G19" s="33">
        <v>-191090.80944899999</v>
      </c>
      <c r="H19" s="34"/>
      <c r="I19" s="46"/>
      <c r="J19" s="36"/>
    </row>
    <row r="20" spans="2:10" ht="16.5" customHeight="1">
      <c r="B20" s="37" t="s">
        <v>93</v>
      </c>
      <c r="C20" s="148"/>
      <c r="D20" s="30">
        <v>-661775.27768399997</v>
      </c>
      <c r="E20" s="31"/>
      <c r="F20" s="32">
        <v>-7.5247519834937862</v>
      </c>
      <c r="G20" s="33">
        <v>-715624.22580999997</v>
      </c>
      <c r="H20" s="34"/>
      <c r="I20" s="46"/>
      <c r="J20" s="36"/>
    </row>
    <row r="21" spans="2:10" ht="16.5" customHeight="1">
      <c r="B21" s="37" t="s">
        <v>94</v>
      </c>
      <c r="C21" s="148"/>
      <c r="D21" s="30">
        <v>375.46809000000002</v>
      </c>
      <c r="E21" s="31"/>
      <c r="F21" s="32">
        <v>-99.210551357271015</v>
      </c>
      <c r="G21" s="33">
        <v>47560.799991</v>
      </c>
      <c r="H21" s="34"/>
      <c r="I21" s="46"/>
      <c r="J21" s="36"/>
    </row>
    <row r="22" spans="2:10" ht="16.5" customHeight="1">
      <c r="B22" s="37" t="s">
        <v>95</v>
      </c>
      <c r="C22" s="148"/>
      <c r="D22" s="30">
        <v>-232522.21695899998</v>
      </c>
      <c r="E22" s="31"/>
      <c r="F22" s="32">
        <v>-11.123472445700472</v>
      </c>
      <c r="G22" s="33">
        <v>-261623.87680699999</v>
      </c>
      <c r="H22" s="34"/>
      <c r="I22" s="46"/>
      <c r="J22" s="36"/>
    </row>
    <row r="23" spans="2:10" ht="16.5" customHeight="1">
      <c r="B23" s="37" t="s">
        <v>91</v>
      </c>
      <c r="C23" s="148"/>
      <c r="D23" s="30">
        <v>-224978.88727599999</v>
      </c>
      <c r="E23" s="31"/>
      <c r="F23" s="32">
        <v>-11.282732930890404</v>
      </c>
      <c r="G23" s="33">
        <v>-253590.86760500001</v>
      </c>
      <c r="H23" s="34"/>
      <c r="I23" s="46"/>
      <c r="J23" s="36"/>
    </row>
    <row r="24" spans="2:10" ht="16.5" customHeight="1">
      <c r="B24" s="37" t="s">
        <v>92</v>
      </c>
      <c r="C24" s="148"/>
      <c r="D24" s="30">
        <v>-7543.3296829999999</v>
      </c>
      <c r="E24" s="31"/>
      <c r="F24" s="32">
        <v>-6.0958416290383894</v>
      </c>
      <c r="G24" s="33">
        <v>-8033.0092020000002</v>
      </c>
      <c r="H24" s="34"/>
      <c r="I24" s="46"/>
      <c r="J24" s="36"/>
    </row>
    <row r="25" spans="2:10" ht="16.5" customHeight="1">
      <c r="B25" s="37" t="s">
        <v>96</v>
      </c>
      <c r="C25" s="148"/>
      <c r="D25" s="30">
        <v>0</v>
      </c>
      <c r="E25" s="31"/>
      <c r="F25" s="32">
        <v>0</v>
      </c>
      <c r="G25" s="33">
        <v>0</v>
      </c>
      <c r="H25" s="34"/>
      <c r="I25" s="46"/>
      <c r="J25" s="36"/>
    </row>
    <row r="26" spans="2:10" ht="16.5" customHeight="1">
      <c r="B26" s="37" t="s">
        <v>97</v>
      </c>
      <c r="C26" s="148"/>
      <c r="D26" s="30">
        <v>1416171.8821441056</v>
      </c>
      <c r="E26" s="31"/>
      <c r="F26" s="32">
        <v>-2.4399090277536004</v>
      </c>
      <c r="G26" s="33">
        <v>1451589.3415341054</v>
      </c>
      <c r="H26" s="34"/>
      <c r="I26" s="46"/>
      <c r="J26" s="36"/>
    </row>
    <row r="27" spans="2:10" ht="16.5" customHeight="1">
      <c r="B27" s="37" t="s">
        <v>90</v>
      </c>
      <c r="C27" s="148"/>
      <c r="D27" s="30">
        <v>54817.449279000008</v>
      </c>
      <c r="E27" s="31"/>
      <c r="F27" s="32">
        <v>-60.092531605224238</v>
      </c>
      <c r="G27" s="33">
        <v>137361.37992199999</v>
      </c>
      <c r="H27" s="34"/>
      <c r="I27" s="46"/>
      <c r="J27" s="36"/>
    </row>
    <row r="28" spans="2:10" ht="16.5" customHeight="1">
      <c r="B28" s="37" t="s">
        <v>91</v>
      </c>
      <c r="C28" s="148"/>
      <c r="D28" s="30">
        <v>-105809.33943399999</v>
      </c>
      <c r="E28" s="31"/>
      <c r="F28" s="32">
        <v>285.51476178126268</v>
      </c>
      <c r="G28" s="33">
        <v>-27446.248477000001</v>
      </c>
      <c r="H28" s="34"/>
      <c r="I28" s="46"/>
      <c r="J28" s="36"/>
    </row>
    <row r="29" spans="2:10" ht="16.5" customHeight="1">
      <c r="B29" s="37" t="s">
        <v>92</v>
      </c>
      <c r="C29" s="148"/>
      <c r="D29" s="30">
        <v>41642.234954</v>
      </c>
      <c r="E29" s="31"/>
      <c r="F29" s="32">
        <v>9.2971454655996268</v>
      </c>
      <c r="G29" s="33">
        <v>38100.020615000001</v>
      </c>
      <c r="H29" s="34"/>
      <c r="I29" s="46"/>
      <c r="J29" s="36"/>
    </row>
    <row r="30" spans="2:10" ht="16.5" customHeight="1">
      <c r="B30" s="37" t="s">
        <v>93</v>
      </c>
      <c r="C30" s="148"/>
      <c r="D30" s="30">
        <v>12405.664457999999</v>
      </c>
      <c r="E30" s="31"/>
      <c r="F30" s="498" t="s">
        <v>461</v>
      </c>
      <c r="G30" s="33">
        <v>-9657.9842420000004</v>
      </c>
      <c r="H30" s="34"/>
      <c r="I30" s="46"/>
      <c r="J30" s="36"/>
    </row>
    <row r="31" spans="2:10" ht="16.5" customHeight="1">
      <c r="B31" s="37" t="s">
        <v>94</v>
      </c>
      <c r="C31" s="148"/>
      <c r="D31" s="30">
        <v>106578.889301</v>
      </c>
      <c r="E31" s="31"/>
      <c r="F31" s="32">
        <v>-21.843268732570564</v>
      </c>
      <c r="G31" s="33">
        <v>136365.592026</v>
      </c>
      <c r="H31" s="34"/>
      <c r="I31" s="46"/>
      <c r="J31" s="36"/>
    </row>
    <row r="32" spans="2:10" ht="16.5" customHeight="1">
      <c r="B32" s="37" t="s">
        <v>95</v>
      </c>
      <c r="C32" s="148"/>
      <c r="D32" s="30">
        <v>1361354.4328651056</v>
      </c>
      <c r="E32" s="31"/>
      <c r="F32" s="32">
        <v>3.5858673403350991</v>
      </c>
      <c r="G32" s="33">
        <v>1314227.9616121054</v>
      </c>
      <c r="H32" s="34"/>
      <c r="I32" s="46"/>
      <c r="J32" s="36"/>
    </row>
    <row r="33" spans="2:11" ht="16.5" customHeight="1">
      <c r="B33" s="37" t="s">
        <v>91</v>
      </c>
      <c r="C33" s="148"/>
      <c r="D33" s="30">
        <v>1298704.8984905034</v>
      </c>
      <c r="E33" s="31"/>
      <c r="F33" s="32">
        <v>3.5923418686957405</v>
      </c>
      <c r="G33" s="33">
        <v>1253668.8282775034</v>
      </c>
      <c r="H33" s="34"/>
      <c r="I33" s="46"/>
      <c r="J33" s="36"/>
    </row>
    <row r="34" spans="2:11" ht="16.5" customHeight="1">
      <c r="B34" s="37" t="s">
        <v>92</v>
      </c>
      <c r="C34" s="148"/>
      <c r="D34" s="30">
        <v>62649.534374602052</v>
      </c>
      <c r="E34" s="31"/>
      <c r="F34" s="32">
        <v>3.4518344713589215</v>
      </c>
      <c r="G34" s="33">
        <v>60559.133334602047</v>
      </c>
      <c r="H34" s="34"/>
      <c r="I34" s="46"/>
      <c r="J34" s="36"/>
    </row>
    <row r="35" spans="2:11" ht="16.5" customHeight="1">
      <c r="B35" s="520" t="s">
        <v>103</v>
      </c>
      <c r="C35" s="521"/>
      <c r="D35" s="64">
        <v>14024.918492000001</v>
      </c>
      <c r="E35" s="59"/>
      <c r="F35" s="60">
        <v>8.7452906349242596</v>
      </c>
      <c r="G35" s="61">
        <v>12897.035274</v>
      </c>
      <c r="H35" s="62"/>
      <c r="I35" s="39"/>
      <c r="J35" s="36"/>
    </row>
    <row r="36" spans="2:11" ht="16.5" customHeight="1">
      <c r="B36" s="518" t="s">
        <v>7</v>
      </c>
      <c r="C36" s="519"/>
      <c r="D36" s="47">
        <v>55478145.040758111</v>
      </c>
      <c r="E36" s="48"/>
      <c r="F36" s="49">
        <v>4.9550825697933334</v>
      </c>
      <c r="G36" s="50">
        <v>52858940.874889113</v>
      </c>
      <c r="H36" s="51"/>
      <c r="I36" s="35"/>
      <c r="J36" s="36"/>
    </row>
    <row r="37" spans="2:11" ht="16.5" customHeight="1">
      <c r="B37" s="522" t="s">
        <v>43</v>
      </c>
      <c r="C37" s="523"/>
      <c r="D37" s="52">
        <v>43623481.241586</v>
      </c>
      <c r="E37" s="53"/>
      <c r="F37" s="54">
        <v>6.2343451628839972</v>
      </c>
      <c r="G37" s="55">
        <v>41063444.382982001</v>
      </c>
      <c r="H37" s="56"/>
      <c r="I37" s="35"/>
      <c r="J37" s="36"/>
    </row>
    <row r="38" spans="2:11" ht="16.5" customHeight="1">
      <c r="B38" s="257" t="s">
        <v>98</v>
      </c>
      <c r="C38" s="258"/>
      <c r="D38" s="41">
        <v>33766163.701419003</v>
      </c>
      <c r="E38" s="42"/>
      <c r="F38" s="43">
        <v>5.7264174361524738</v>
      </c>
      <c r="G38" s="44">
        <v>31937300.553865999</v>
      </c>
      <c r="H38" s="45"/>
      <c r="I38" s="46"/>
      <c r="J38" s="36"/>
    </row>
    <row r="39" spans="2:11" ht="16.5" customHeight="1">
      <c r="B39" s="37" t="s">
        <v>90</v>
      </c>
      <c r="C39" s="148"/>
      <c r="D39" s="30">
        <v>28907418.881263003</v>
      </c>
      <c r="E39" s="31"/>
      <c r="F39" s="32">
        <v>6.3371110148049468</v>
      </c>
      <c r="G39" s="33">
        <v>27184694.605101999</v>
      </c>
      <c r="H39" s="34"/>
      <c r="I39" s="46"/>
      <c r="J39" s="36"/>
    </row>
    <row r="40" spans="2:11" ht="16.5" customHeight="1">
      <c r="B40" s="37" t="s">
        <v>91</v>
      </c>
      <c r="C40" s="148"/>
      <c r="D40" s="30">
        <v>11830638.584255001</v>
      </c>
      <c r="E40" s="31"/>
      <c r="F40" s="32">
        <v>8.3184898300886942</v>
      </c>
      <c r="G40" s="33">
        <v>10922085.97333</v>
      </c>
      <c r="H40" s="34"/>
      <c r="I40" s="46"/>
      <c r="J40" s="36"/>
    </row>
    <row r="41" spans="2:11" ht="16.5" customHeight="1">
      <c r="B41" s="37" t="s">
        <v>92</v>
      </c>
      <c r="C41" s="148"/>
      <c r="D41" s="30">
        <v>1760064.015751</v>
      </c>
      <c r="E41" s="31"/>
      <c r="F41" s="32">
        <v>5.0542281932235653</v>
      </c>
      <c r="G41" s="33">
        <v>1675386.175332</v>
      </c>
      <c r="H41" s="34"/>
      <c r="I41" s="46"/>
      <c r="J41" s="36"/>
    </row>
    <row r="42" spans="2:11" ht="16.5" customHeight="1">
      <c r="B42" s="37" t="s">
        <v>93</v>
      </c>
      <c r="C42" s="148"/>
      <c r="D42" s="30">
        <v>12207545.888807001</v>
      </c>
      <c r="E42" s="31"/>
      <c r="F42" s="32">
        <v>6.0038546578738732</v>
      </c>
      <c r="G42" s="33">
        <v>11516133.944568999</v>
      </c>
      <c r="H42" s="34"/>
      <c r="I42" s="46"/>
      <c r="J42" s="36"/>
      <c r="K42" s="420"/>
    </row>
    <row r="43" spans="2:11" ht="16.5" customHeight="1">
      <c r="B43" s="37" t="s">
        <v>94</v>
      </c>
      <c r="C43" s="148"/>
      <c r="D43" s="30">
        <v>3109170.3924500002</v>
      </c>
      <c r="E43" s="31"/>
      <c r="F43" s="32">
        <v>1.2400124721836789</v>
      </c>
      <c r="G43" s="33">
        <v>3071088.5118709998</v>
      </c>
      <c r="H43" s="34"/>
      <c r="I43" s="46"/>
      <c r="J43" s="36"/>
    </row>
    <row r="44" spans="2:11" ht="16.5" customHeight="1">
      <c r="B44" s="37" t="s">
        <v>95</v>
      </c>
      <c r="C44" s="148"/>
      <c r="D44" s="30">
        <v>4858744.8201559996</v>
      </c>
      <c r="E44" s="31"/>
      <c r="F44" s="32">
        <v>2.2332773332407925</v>
      </c>
      <c r="G44" s="33">
        <v>4752605.9487640001</v>
      </c>
      <c r="H44" s="34"/>
      <c r="I44" s="46"/>
      <c r="J44" s="36"/>
    </row>
    <row r="45" spans="2:11" ht="16.5" customHeight="1">
      <c r="B45" s="37" t="s">
        <v>91</v>
      </c>
      <c r="C45" s="148"/>
      <c r="D45" s="30">
        <v>4649203.196033</v>
      </c>
      <c r="E45" s="31"/>
      <c r="F45" s="32">
        <v>2.3046001552807098</v>
      </c>
      <c r="G45" s="33">
        <v>4544471.3033199999</v>
      </c>
      <c r="H45" s="34"/>
      <c r="I45" s="46"/>
      <c r="J45" s="36"/>
    </row>
    <row r="46" spans="2:11" ht="16.5" customHeight="1">
      <c r="B46" s="37" t="s">
        <v>92</v>
      </c>
      <c r="C46" s="148"/>
      <c r="D46" s="30">
        <v>209541.62412299999</v>
      </c>
      <c r="E46" s="31"/>
      <c r="F46" s="32">
        <v>0.67599446310275368</v>
      </c>
      <c r="G46" s="33">
        <v>208134.64544399999</v>
      </c>
      <c r="H46" s="34"/>
      <c r="I46" s="46"/>
      <c r="J46" s="36"/>
    </row>
    <row r="47" spans="2:11" ht="16.5" customHeight="1">
      <c r="B47" s="37" t="s">
        <v>96</v>
      </c>
      <c r="C47" s="148"/>
      <c r="D47" s="30">
        <v>0</v>
      </c>
      <c r="E47" s="31"/>
      <c r="F47" s="32">
        <v>0</v>
      </c>
      <c r="G47" s="33">
        <v>0</v>
      </c>
      <c r="H47" s="34"/>
      <c r="I47" s="46"/>
      <c r="J47" s="36"/>
    </row>
    <row r="48" spans="2:11" ht="16.5" customHeight="1">
      <c r="B48" s="37" t="s">
        <v>99</v>
      </c>
      <c r="C48" s="148"/>
      <c r="D48" s="30">
        <v>278.45429800000005</v>
      </c>
      <c r="E48" s="31"/>
      <c r="F48" s="32">
        <v>-58.100823754733106</v>
      </c>
      <c r="G48" s="33">
        <v>664.58179599999994</v>
      </c>
      <c r="H48" s="34"/>
      <c r="I48" s="46"/>
      <c r="J48" s="36"/>
    </row>
    <row r="49" spans="2:10" ht="16.5" customHeight="1">
      <c r="B49" s="37" t="s">
        <v>90</v>
      </c>
      <c r="C49" s="148"/>
      <c r="D49" s="30">
        <v>698.50455800000009</v>
      </c>
      <c r="E49" s="31"/>
      <c r="F49" s="32">
        <v>-44.59759369209528</v>
      </c>
      <c r="G49" s="33">
        <v>1260.78379</v>
      </c>
      <c r="H49" s="34"/>
      <c r="I49" s="46"/>
      <c r="J49" s="36"/>
    </row>
    <row r="50" spans="2:10" ht="16.5" customHeight="1">
      <c r="B50" s="37" t="s">
        <v>91</v>
      </c>
      <c r="C50" s="148"/>
      <c r="D50" s="30">
        <v>1917.5558390000001</v>
      </c>
      <c r="E50" s="31"/>
      <c r="F50" s="32">
        <v>-13.236212538060428</v>
      </c>
      <c r="G50" s="33">
        <v>2210.087751</v>
      </c>
      <c r="H50" s="34"/>
      <c r="I50" s="46"/>
      <c r="J50" s="36"/>
    </row>
    <row r="51" spans="2:10" ht="16.5" customHeight="1">
      <c r="B51" s="37" t="s">
        <v>92</v>
      </c>
      <c r="C51" s="148"/>
      <c r="D51" s="30">
        <v>-13.844099</v>
      </c>
      <c r="E51" s="31"/>
      <c r="F51" s="32">
        <v>2.1299369150753193</v>
      </c>
      <c r="G51" s="33">
        <v>-13.555377999999999</v>
      </c>
      <c r="H51" s="34"/>
      <c r="I51" s="46"/>
      <c r="J51" s="36"/>
    </row>
    <row r="52" spans="2:10" ht="16.5" customHeight="1">
      <c r="B52" s="37" t="s">
        <v>93</v>
      </c>
      <c r="C52" s="148"/>
      <c r="D52" s="30">
        <v>-1205.2071820000001</v>
      </c>
      <c r="E52" s="31"/>
      <c r="F52" s="32">
        <v>28.796046704780309</v>
      </c>
      <c r="G52" s="33">
        <v>-935.74858300000005</v>
      </c>
      <c r="H52" s="34"/>
      <c r="I52" s="46"/>
      <c r="J52" s="36"/>
    </row>
    <row r="53" spans="2:10" ht="16.5" customHeight="1">
      <c r="B53" s="37" t="s">
        <v>94</v>
      </c>
      <c r="C53" s="148"/>
      <c r="D53" s="30">
        <v>0</v>
      </c>
      <c r="E53" s="31"/>
      <c r="F53" s="32">
        <v>0</v>
      </c>
      <c r="G53" s="33">
        <v>0</v>
      </c>
      <c r="H53" s="34"/>
      <c r="I53" s="46"/>
      <c r="J53" s="36"/>
    </row>
    <row r="54" spans="2:10" ht="16.5" customHeight="1">
      <c r="B54" s="37" t="s">
        <v>95</v>
      </c>
      <c r="C54" s="148"/>
      <c r="D54" s="30">
        <v>-420.05026000000004</v>
      </c>
      <c r="E54" s="31"/>
      <c r="F54" s="32">
        <v>-29.545646571587952</v>
      </c>
      <c r="G54" s="33">
        <v>-596.20199400000001</v>
      </c>
      <c r="H54" s="34"/>
      <c r="I54" s="46"/>
      <c r="J54" s="36"/>
    </row>
    <row r="55" spans="2:10" ht="16.5" customHeight="1">
      <c r="B55" s="37" t="s">
        <v>91</v>
      </c>
      <c r="C55" s="148"/>
      <c r="D55" s="30">
        <v>-405.73617100000001</v>
      </c>
      <c r="E55" s="31"/>
      <c r="F55" s="32">
        <v>-31.946525660227834</v>
      </c>
      <c r="G55" s="33">
        <v>-596.20199400000001</v>
      </c>
      <c r="H55" s="34"/>
      <c r="I55" s="46"/>
      <c r="J55" s="36"/>
    </row>
    <row r="56" spans="2:10" ht="16.5" customHeight="1">
      <c r="B56" s="37" t="s">
        <v>92</v>
      </c>
      <c r="C56" s="148"/>
      <c r="D56" s="30">
        <v>-14.314088999999999</v>
      </c>
      <c r="E56" s="31"/>
      <c r="F56" s="32">
        <v>0</v>
      </c>
      <c r="G56" s="33">
        <v>0</v>
      </c>
      <c r="H56" s="34"/>
      <c r="I56" s="46"/>
      <c r="J56" s="36"/>
    </row>
    <row r="57" spans="2:10" ht="16.5" customHeight="1">
      <c r="B57" s="259" t="s">
        <v>100</v>
      </c>
      <c r="C57" s="260"/>
      <c r="D57" s="261">
        <v>9857039.0858689994</v>
      </c>
      <c r="E57" s="262"/>
      <c r="F57" s="263">
        <v>8.0166730833763751</v>
      </c>
      <c r="G57" s="264">
        <v>9125479.2473200001</v>
      </c>
      <c r="H57" s="98"/>
      <c r="I57" s="46"/>
      <c r="J57" s="36"/>
    </row>
    <row r="58" spans="2:10" ht="16.5" customHeight="1">
      <c r="B58" s="524" t="s">
        <v>101</v>
      </c>
      <c r="C58" s="525"/>
      <c r="D58" s="101">
        <v>0</v>
      </c>
      <c r="E58" s="265"/>
      <c r="F58" s="266">
        <v>0</v>
      </c>
      <c r="G58" s="267">
        <v>0</v>
      </c>
      <c r="H58" s="103"/>
      <c r="I58" s="46"/>
      <c r="J58" s="36"/>
    </row>
    <row r="59" spans="2:10" ht="16.5" customHeight="1">
      <c r="B59" s="524" t="s">
        <v>44</v>
      </c>
      <c r="C59" s="525"/>
      <c r="D59" s="101">
        <v>4347235.7551981034</v>
      </c>
      <c r="E59" s="265"/>
      <c r="F59" s="266">
        <v>29.140399200697544</v>
      </c>
      <c r="G59" s="267">
        <v>3366286.4464605292</v>
      </c>
      <c r="H59" s="103"/>
      <c r="I59" s="46"/>
      <c r="J59" s="36"/>
    </row>
    <row r="60" spans="2:10" ht="16.5" customHeight="1">
      <c r="B60" s="526" t="s">
        <v>45</v>
      </c>
      <c r="C60" s="527"/>
      <c r="D60" s="268">
        <v>14282.896261</v>
      </c>
      <c r="E60" s="269"/>
      <c r="F60" s="270">
        <v>8.1105621385820541</v>
      </c>
      <c r="G60" s="271">
        <v>13211.379145999999</v>
      </c>
      <c r="H60" s="272"/>
      <c r="I60" s="39"/>
      <c r="J60" s="36"/>
    </row>
    <row r="61" spans="2:10" ht="16.5" customHeight="1">
      <c r="B61" s="528" t="s">
        <v>8</v>
      </c>
      <c r="C61" s="528"/>
      <c r="D61" s="47">
        <v>47984999.893045105</v>
      </c>
      <c r="E61" s="48"/>
      <c r="F61" s="49">
        <v>7.9698991750642278</v>
      </c>
      <c r="G61" s="50">
        <v>44442942.208588533</v>
      </c>
      <c r="H61" s="51"/>
      <c r="I61" s="35"/>
      <c r="J61" s="36"/>
    </row>
    <row r="62" spans="2:10" ht="16.5" customHeight="1">
      <c r="B62" s="529" t="s">
        <v>102</v>
      </c>
      <c r="C62" s="530"/>
      <c r="D62" s="278">
        <v>35400</v>
      </c>
      <c r="E62" s="279"/>
      <c r="F62" s="280">
        <v>0</v>
      </c>
      <c r="G62" s="281">
        <v>35400</v>
      </c>
      <c r="H62" s="282"/>
      <c r="I62" s="46"/>
      <c r="J62" s="36"/>
    </row>
    <row r="63" spans="2:10" ht="16.5" customHeight="1">
      <c r="B63" s="524" t="s">
        <v>9</v>
      </c>
      <c r="C63" s="525"/>
      <c r="D63" s="283">
        <v>37912.781518000003</v>
      </c>
      <c r="E63" s="265"/>
      <c r="F63" s="266">
        <v>0</v>
      </c>
      <c r="G63" s="267">
        <v>37912.781518000003</v>
      </c>
      <c r="H63" s="103"/>
      <c r="I63" s="46"/>
      <c r="J63" s="36"/>
    </row>
    <row r="64" spans="2:10" ht="16.5" customHeight="1">
      <c r="B64" s="505" t="s">
        <v>10</v>
      </c>
      <c r="C64" s="506"/>
      <c r="D64" s="41">
        <v>10143324.164219186</v>
      </c>
      <c r="E64" s="42"/>
      <c r="F64" s="43">
        <v>0.38290358855445561</v>
      </c>
      <c r="G64" s="44">
        <v>10104633.161234554</v>
      </c>
      <c r="H64" s="45"/>
      <c r="I64" s="46"/>
      <c r="J64" s="36"/>
    </row>
    <row r="65" spans="2:15" ht="16.5" customHeight="1">
      <c r="B65" s="316" t="s">
        <v>104</v>
      </c>
      <c r="C65" s="317"/>
      <c r="D65" s="297">
        <v>3524045.7362648007</v>
      </c>
      <c r="E65" s="262"/>
      <c r="F65" s="263">
        <v>8.7927875328891218</v>
      </c>
      <c r="G65" s="264">
        <v>3239227.3570519988</v>
      </c>
      <c r="H65" s="98"/>
      <c r="I65" s="39"/>
      <c r="J65" s="318"/>
    </row>
    <row r="66" spans="2:15" ht="16.5" customHeight="1">
      <c r="B66" s="524" t="s">
        <v>46</v>
      </c>
      <c r="C66" s="525"/>
      <c r="D66" s="283">
        <v>-152492.00985999999</v>
      </c>
      <c r="E66" s="265"/>
      <c r="F66" s="266">
        <v>0</v>
      </c>
      <c r="G66" s="267">
        <v>-152492.00985999999</v>
      </c>
      <c r="H66" s="103"/>
      <c r="I66" s="46"/>
      <c r="J66" s="36"/>
    </row>
    <row r="67" spans="2:15" ht="16.5" customHeight="1">
      <c r="B67" s="520" t="s">
        <v>148</v>
      </c>
      <c r="C67" s="521"/>
      <c r="D67" s="64">
        <v>-2570999.7881641858</v>
      </c>
      <c r="E67" s="59"/>
      <c r="F67" s="60">
        <v>59.743476040081163</v>
      </c>
      <c r="G67" s="61">
        <v>-1609455.2665919811</v>
      </c>
      <c r="H67" s="62"/>
      <c r="I67" s="46"/>
      <c r="J67" s="36"/>
    </row>
    <row r="68" spans="2:15" ht="16.5" customHeight="1">
      <c r="B68" s="518" t="s">
        <v>11</v>
      </c>
      <c r="C68" s="519"/>
      <c r="D68" s="47">
        <v>7493145.147713</v>
      </c>
      <c r="E68" s="48"/>
      <c r="F68" s="49">
        <v>-10.965466549832897</v>
      </c>
      <c r="G68" s="50">
        <v>8415998.6663005725</v>
      </c>
      <c r="H68" s="51"/>
      <c r="I68" s="35"/>
      <c r="J68" s="36"/>
    </row>
    <row r="69" spans="2:15" ht="15" customHeight="1">
      <c r="B69" s="65"/>
      <c r="C69" s="66"/>
      <c r="D69" s="66"/>
      <c r="E69" s="66"/>
      <c r="F69" s="67"/>
      <c r="G69" s="66"/>
      <c r="H69" s="68"/>
    </row>
    <row r="70" spans="2:15">
      <c r="B70" s="66"/>
      <c r="C70" s="66"/>
      <c r="D70" s="69"/>
      <c r="E70" s="66"/>
      <c r="F70" s="67"/>
      <c r="G70" s="69"/>
      <c r="H70" s="68"/>
    </row>
    <row r="71" spans="2:15">
      <c r="F71" s="70"/>
      <c r="K71" s="71"/>
      <c r="L71" s="72"/>
      <c r="M71" s="72"/>
      <c r="N71" s="72"/>
      <c r="O71" s="72"/>
    </row>
    <row r="72" spans="2:15">
      <c r="K72" s="72"/>
      <c r="L72" s="71"/>
      <c r="M72" s="71"/>
      <c r="N72" s="71"/>
      <c r="O72" s="73"/>
    </row>
    <row r="73" spans="2:15" ht="17.25">
      <c r="K73" s="74"/>
      <c r="L73" s="72"/>
      <c r="M73" s="72"/>
      <c r="N73" s="72"/>
      <c r="O73" s="75"/>
    </row>
    <row r="74" spans="2:15" ht="17.25">
      <c r="K74" s="74"/>
      <c r="L74" s="76"/>
      <c r="M74" s="72"/>
      <c r="N74" s="72"/>
      <c r="O74" s="75"/>
    </row>
    <row r="75" spans="2:15" ht="17.25">
      <c r="K75" s="74"/>
      <c r="L75" s="76"/>
      <c r="M75" s="72"/>
      <c r="N75" s="72"/>
      <c r="O75" s="75"/>
    </row>
    <row r="76" spans="2:15" ht="17.25">
      <c r="K76" s="74"/>
      <c r="L76" s="72"/>
      <c r="M76" s="72"/>
      <c r="N76" s="72"/>
      <c r="O76" s="75"/>
    </row>
    <row r="77" spans="2:15">
      <c r="K77" s="72"/>
      <c r="L77" s="77"/>
      <c r="M77" s="77"/>
      <c r="N77" s="77"/>
      <c r="O77" s="77"/>
    </row>
    <row r="79" spans="2:15">
      <c r="F79" s="70"/>
    </row>
    <row r="80" spans="2:15">
      <c r="F80" s="70"/>
    </row>
    <row r="81" spans="6:6">
      <c r="F81" s="70"/>
    </row>
    <row r="82" spans="6:6">
      <c r="F82" s="70"/>
    </row>
    <row r="83" spans="6:6">
      <c r="F83" s="70"/>
    </row>
    <row r="84" spans="6:6">
      <c r="F84" s="70"/>
    </row>
    <row r="85" spans="6:6">
      <c r="F85" s="70"/>
    </row>
    <row r="86" spans="6:6">
      <c r="F86" s="70"/>
    </row>
    <row r="87" spans="6:6">
      <c r="F87" s="70"/>
    </row>
    <row r="88" spans="6:6">
      <c r="F88" s="70"/>
    </row>
    <row r="89" spans="6:6">
      <c r="F89" s="70"/>
    </row>
    <row r="90" spans="6:6">
      <c r="F90" s="70"/>
    </row>
    <row r="91" spans="6:6">
      <c r="F91" s="78"/>
    </row>
    <row r="92" spans="6:6">
      <c r="F92" s="78"/>
    </row>
    <row r="93" spans="6:6">
      <c r="F93" s="78"/>
    </row>
  </sheetData>
  <mergeCells count="19">
    <mergeCell ref="B68:C68"/>
    <mergeCell ref="B67:C67"/>
    <mergeCell ref="B35:C35"/>
    <mergeCell ref="B36:C36"/>
    <mergeCell ref="B37:C37"/>
    <mergeCell ref="B58:C58"/>
    <mergeCell ref="B60:C60"/>
    <mergeCell ref="B59:C59"/>
    <mergeCell ref="B61:C61"/>
    <mergeCell ref="B62:C62"/>
    <mergeCell ref="B63:C63"/>
    <mergeCell ref="B64:C64"/>
    <mergeCell ref="B66:C66"/>
    <mergeCell ref="B15:C15"/>
    <mergeCell ref="G4:H4"/>
    <mergeCell ref="B5:C6"/>
    <mergeCell ref="D5:D6"/>
    <mergeCell ref="G5:G6"/>
    <mergeCell ref="B7:C7"/>
  </mergeCells>
  <phoneticPr fontId="21" type="noConversion"/>
  <pageMargins left="0.7" right="0.7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Q89"/>
  <sheetViews>
    <sheetView view="pageBreakPreview" zoomScale="85" zoomScaleNormal="100" zoomScaleSheetLayoutView="85" workbookViewId="0">
      <selection activeCell="D2" sqref="D2"/>
    </sheetView>
  </sheetViews>
  <sheetFormatPr defaultColWidth="10" defaultRowHeight="16.5"/>
  <cols>
    <col min="1" max="1" width="2.375" style="79" customWidth="1"/>
    <col min="2" max="2" width="38" style="79" bestFit="1" customWidth="1"/>
    <col min="3" max="3" width="15.375" style="79" customWidth="1"/>
    <col min="4" max="4" width="7.375" style="79" bestFit="1" customWidth="1"/>
    <col min="5" max="5" width="14.125" style="79" customWidth="1"/>
    <col min="6" max="6" width="7.375" style="79" bestFit="1" customWidth="1"/>
    <col min="7" max="8" width="14.125" style="79" customWidth="1"/>
    <col min="9" max="9" width="4.625" style="79" customWidth="1"/>
    <col min="10" max="10" width="11.375" style="80" customWidth="1"/>
    <col min="11" max="12" width="10" style="80"/>
    <col min="13" max="14" width="10" style="81"/>
    <col min="15" max="15" width="10.5" style="81" bestFit="1" customWidth="1"/>
    <col min="16" max="17" width="10" style="81"/>
    <col min="18" max="16384" width="10" style="79"/>
  </cols>
  <sheetData>
    <row r="1" spans="2:17" ht="16.5" customHeight="1">
      <c r="P1" s="79"/>
      <c r="Q1" s="79"/>
    </row>
    <row r="2" spans="2:17" ht="24.95" customHeight="1">
      <c r="B2" s="82" t="s">
        <v>12</v>
      </c>
      <c r="C2" s="83"/>
      <c r="D2" s="83"/>
      <c r="E2" s="83"/>
      <c r="F2" s="83"/>
      <c r="P2" s="79"/>
      <c r="Q2" s="79"/>
    </row>
    <row r="3" spans="2:17" ht="16.5" customHeight="1">
      <c r="B3" s="84"/>
      <c r="C3" s="83"/>
      <c r="D3" s="83"/>
      <c r="E3" s="83"/>
      <c r="F3" s="83"/>
      <c r="G3" s="85"/>
      <c r="H3" s="83"/>
      <c r="I3" s="83"/>
      <c r="J3" s="86"/>
      <c r="P3" s="79"/>
      <c r="Q3" s="79"/>
    </row>
    <row r="4" spans="2:17" ht="16.5" customHeight="1">
      <c r="E4" s="284"/>
      <c r="G4" s="254"/>
      <c r="H4" s="284" t="s">
        <v>47</v>
      </c>
      <c r="P4" s="79"/>
      <c r="Q4" s="79"/>
    </row>
    <row r="5" spans="2:17" ht="16.5" customHeight="1">
      <c r="B5" s="537" t="s">
        <v>145</v>
      </c>
      <c r="C5" s="531" t="s">
        <v>457</v>
      </c>
      <c r="D5" s="290"/>
      <c r="E5" s="493" t="s">
        <v>457</v>
      </c>
      <c r="F5" s="290"/>
      <c r="G5" s="533" t="s">
        <v>190</v>
      </c>
      <c r="H5" s="535" t="s">
        <v>192</v>
      </c>
      <c r="P5" s="79"/>
      <c r="Q5" s="79"/>
    </row>
    <row r="6" spans="2:17" ht="16.5" customHeight="1" thickBot="1">
      <c r="B6" s="538"/>
      <c r="C6" s="532"/>
      <c r="D6" s="89" t="s">
        <v>107</v>
      </c>
      <c r="E6" s="255" t="s">
        <v>105</v>
      </c>
      <c r="F6" s="89" t="s">
        <v>106</v>
      </c>
      <c r="G6" s="534"/>
      <c r="H6" s="536"/>
      <c r="J6" s="90"/>
      <c r="K6" s="90"/>
      <c r="L6" s="90"/>
      <c r="M6" s="91"/>
      <c r="P6" s="79"/>
      <c r="Q6" s="79"/>
    </row>
    <row r="7" spans="2:17" ht="18" customHeight="1" thickTop="1">
      <c r="B7" s="292" t="s">
        <v>108</v>
      </c>
      <c r="C7" s="297">
        <v>402719.07206102391</v>
      </c>
      <c r="D7" s="98">
        <v>-28.457634070553112</v>
      </c>
      <c r="E7" s="297">
        <v>402719.07206102391</v>
      </c>
      <c r="F7" s="98">
        <v>-28.457634070553112</v>
      </c>
      <c r="G7" s="298">
        <v>562909.91614419676</v>
      </c>
      <c r="H7" s="299">
        <v>562909.91614419676</v>
      </c>
      <c r="I7" s="93"/>
      <c r="J7" s="94"/>
      <c r="K7" s="95"/>
      <c r="L7" s="95"/>
      <c r="M7" s="96"/>
      <c r="N7" s="96"/>
      <c r="O7" s="96"/>
      <c r="P7" s="79"/>
      <c r="Q7" s="79"/>
    </row>
    <row r="8" spans="2:17" ht="18" customHeight="1">
      <c r="B8" s="293" t="s">
        <v>109</v>
      </c>
      <c r="C8" s="100">
        <v>3776921.6648559999</v>
      </c>
      <c r="D8" s="45">
        <v>4.7201159228098533</v>
      </c>
      <c r="E8" s="100">
        <v>3776921.6648559999</v>
      </c>
      <c r="F8" s="45">
        <v>4.7201159228098533</v>
      </c>
      <c r="G8" s="99">
        <v>3606682.0892749997</v>
      </c>
      <c r="H8" s="286">
        <v>3606682.0892749997</v>
      </c>
      <c r="I8" s="93"/>
      <c r="J8" s="94"/>
      <c r="K8" s="95"/>
      <c r="L8" s="95"/>
      <c r="M8" s="96"/>
      <c r="N8" s="96"/>
      <c r="O8" s="96"/>
      <c r="P8" s="79"/>
      <c r="Q8" s="79"/>
    </row>
    <row r="9" spans="2:17" ht="18" customHeight="1">
      <c r="B9" s="291" t="s">
        <v>111</v>
      </c>
      <c r="C9" s="57">
        <v>2203960.891057</v>
      </c>
      <c r="D9" s="34">
        <v>8.2423097305357089</v>
      </c>
      <c r="E9" s="57">
        <v>2203960.891057</v>
      </c>
      <c r="F9" s="34">
        <v>8.2423097305357089</v>
      </c>
      <c r="G9" s="92">
        <v>2036136.2359539999</v>
      </c>
      <c r="H9" s="285">
        <v>2036136.2359539999</v>
      </c>
      <c r="I9" s="93"/>
      <c r="J9" s="94"/>
      <c r="K9" s="95"/>
      <c r="L9" s="95"/>
      <c r="M9" s="96"/>
      <c r="N9" s="96"/>
      <c r="O9" s="96"/>
      <c r="P9" s="79"/>
      <c r="Q9" s="79"/>
    </row>
    <row r="10" spans="2:17" ht="18" customHeight="1">
      <c r="B10" s="291" t="s">
        <v>112</v>
      </c>
      <c r="C10" s="57">
        <v>1572960.7737990001</v>
      </c>
      <c r="D10" s="34">
        <v>0.15376313100910011</v>
      </c>
      <c r="E10" s="57">
        <v>1572960.7737990001</v>
      </c>
      <c r="F10" s="34">
        <v>0.15376313100910011</v>
      </c>
      <c r="G10" s="92">
        <v>1570545.853321</v>
      </c>
      <c r="H10" s="285">
        <v>1570545.853321</v>
      </c>
      <c r="I10" s="93"/>
      <c r="J10" s="94"/>
      <c r="K10" s="95"/>
      <c r="L10" s="95"/>
      <c r="M10" s="96"/>
      <c r="N10" s="96"/>
      <c r="O10" s="96"/>
      <c r="P10" s="79"/>
      <c r="Q10" s="79"/>
    </row>
    <row r="11" spans="2:17" ht="18" customHeight="1">
      <c r="B11" s="291" t="s">
        <v>110</v>
      </c>
      <c r="C11" s="57">
        <v>3295456.6623829999</v>
      </c>
      <c r="D11" s="34">
        <v>16.585090836008717</v>
      </c>
      <c r="E11" s="57">
        <v>3295456.6623829999</v>
      </c>
      <c r="F11" s="34">
        <v>16.585090836008717</v>
      </c>
      <c r="G11" s="92">
        <v>2826653.595886</v>
      </c>
      <c r="H11" s="285">
        <v>2826653.595886</v>
      </c>
      <c r="I11" s="93"/>
      <c r="J11" s="94"/>
      <c r="K11" s="95"/>
      <c r="L11" s="95"/>
      <c r="M11" s="96"/>
      <c r="N11" s="96"/>
      <c r="O11" s="96"/>
      <c r="P11" s="79"/>
      <c r="Q11" s="79"/>
    </row>
    <row r="12" spans="2:17" ht="18" customHeight="1">
      <c r="B12" s="291" t="s">
        <v>113</v>
      </c>
      <c r="C12" s="57">
        <v>1778981.6087559999</v>
      </c>
      <c r="D12" s="34">
        <v>18.021906984033748</v>
      </c>
      <c r="E12" s="57">
        <v>1778981.6087559999</v>
      </c>
      <c r="F12" s="34">
        <v>18.021906984033748</v>
      </c>
      <c r="G12" s="92">
        <v>1507331.6930869999</v>
      </c>
      <c r="H12" s="285">
        <v>1507331.6930869999</v>
      </c>
      <c r="I12" s="93"/>
      <c r="J12" s="94"/>
      <c r="K12" s="95"/>
      <c r="L12" s="95"/>
      <c r="M12" s="96"/>
      <c r="N12" s="96"/>
      <c r="O12" s="96"/>
      <c r="P12" s="79"/>
      <c r="Q12" s="79"/>
    </row>
    <row r="13" spans="2:17" ht="18" customHeight="1">
      <c r="B13" s="291" t="s">
        <v>114</v>
      </c>
      <c r="C13" s="57">
        <v>1516475.053627</v>
      </c>
      <c r="D13" s="34">
        <v>14.943521396084662</v>
      </c>
      <c r="E13" s="57">
        <v>1516475.053627</v>
      </c>
      <c r="F13" s="34">
        <v>14.943521396084662</v>
      </c>
      <c r="G13" s="92">
        <v>1319321.902799</v>
      </c>
      <c r="H13" s="285">
        <v>1319321.902799</v>
      </c>
      <c r="I13" s="93"/>
      <c r="J13" s="94"/>
      <c r="K13" s="95"/>
      <c r="L13" s="95"/>
      <c r="M13" s="96"/>
      <c r="N13" s="96"/>
      <c r="O13" s="96"/>
      <c r="P13" s="79"/>
      <c r="Q13" s="79"/>
    </row>
    <row r="14" spans="2:17" ht="18" customHeight="1">
      <c r="B14" s="291" t="s">
        <v>119</v>
      </c>
      <c r="C14" s="57">
        <v>190553.89216444452</v>
      </c>
      <c r="D14" s="34">
        <v>1436.7471373508677</v>
      </c>
      <c r="E14" s="57">
        <v>190553.89216444452</v>
      </c>
      <c r="F14" s="34">
        <v>1436.7471373508677</v>
      </c>
      <c r="G14" s="92">
        <v>12399.820864018799</v>
      </c>
      <c r="H14" s="285">
        <v>12399.820864018799</v>
      </c>
      <c r="I14" s="93"/>
      <c r="J14" s="94"/>
      <c r="K14" s="95"/>
      <c r="L14" s="95"/>
      <c r="M14" s="96"/>
      <c r="N14" s="96"/>
      <c r="O14" s="96"/>
      <c r="P14" s="79"/>
      <c r="Q14" s="79"/>
    </row>
    <row r="15" spans="2:17" ht="18" customHeight="1">
      <c r="B15" s="291" t="s">
        <v>120</v>
      </c>
      <c r="C15" s="57">
        <v>36117.548136999998</v>
      </c>
      <c r="D15" s="499" t="s">
        <v>461</v>
      </c>
      <c r="E15" s="57">
        <v>36117.548136999998</v>
      </c>
      <c r="F15" s="499" t="s">
        <v>461</v>
      </c>
      <c r="G15" s="92">
        <v>-23952.093672999999</v>
      </c>
      <c r="H15" s="285">
        <v>-23952.093672999999</v>
      </c>
      <c r="I15" s="93"/>
      <c r="J15" s="94"/>
      <c r="K15" s="95"/>
      <c r="L15" s="95"/>
      <c r="M15" s="96"/>
      <c r="N15" s="96"/>
      <c r="O15" s="96"/>
      <c r="P15" s="79"/>
      <c r="Q15" s="79"/>
    </row>
    <row r="16" spans="2:17" ht="18" customHeight="1">
      <c r="B16" s="291" t="s">
        <v>121</v>
      </c>
      <c r="C16" s="57">
        <v>154436.34402744452</v>
      </c>
      <c r="D16" s="34">
        <v>324.83689234627519</v>
      </c>
      <c r="E16" s="57">
        <v>154436.34402744452</v>
      </c>
      <c r="F16" s="34">
        <v>324.83689234627519</v>
      </c>
      <c r="G16" s="92">
        <v>36351.914537018798</v>
      </c>
      <c r="H16" s="285">
        <v>36351.914537018798</v>
      </c>
      <c r="I16" s="93"/>
      <c r="J16" s="94"/>
      <c r="K16" s="95"/>
      <c r="L16" s="95"/>
      <c r="M16" s="96"/>
      <c r="N16" s="96"/>
      <c r="O16" s="96"/>
      <c r="P16" s="79"/>
      <c r="Q16" s="79"/>
    </row>
    <row r="17" spans="2:17" ht="18" customHeight="1">
      <c r="B17" s="291" t="s">
        <v>122</v>
      </c>
      <c r="C17" s="57">
        <v>236290.99236044454</v>
      </c>
      <c r="D17" s="34">
        <v>14.080398446077197</v>
      </c>
      <c r="E17" s="57">
        <v>236290.99236044454</v>
      </c>
      <c r="F17" s="34">
        <v>14.080398446077197</v>
      </c>
      <c r="G17" s="92">
        <v>207126.72429184499</v>
      </c>
      <c r="H17" s="285">
        <v>207126.72429184499</v>
      </c>
      <c r="I17" s="93"/>
      <c r="J17" s="94"/>
      <c r="K17" s="95"/>
      <c r="L17" s="95"/>
      <c r="M17" s="96"/>
      <c r="N17" s="96"/>
      <c r="O17" s="96"/>
      <c r="P17" s="79"/>
      <c r="Q17" s="79"/>
    </row>
    <row r="18" spans="2:17" ht="18" customHeight="1">
      <c r="B18" s="291" t="s">
        <v>123</v>
      </c>
      <c r="C18" s="57">
        <v>45354.645488000002</v>
      </c>
      <c r="D18" s="34">
        <v>9.4787964309322064</v>
      </c>
      <c r="E18" s="57">
        <v>45354.645488000002</v>
      </c>
      <c r="F18" s="34">
        <v>9.4787964309322064</v>
      </c>
      <c r="G18" s="92">
        <v>41427.789642000003</v>
      </c>
      <c r="H18" s="285">
        <v>41427.789642000003</v>
      </c>
      <c r="I18" s="93"/>
      <c r="J18" s="94"/>
      <c r="K18" s="95"/>
      <c r="L18" s="95"/>
      <c r="M18" s="96"/>
      <c r="N18" s="96"/>
      <c r="O18" s="96"/>
      <c r="P18" s="79"/>
      <c r="Q18" s="79"/>
    </row>
    <row r="19" spans="2:17" ht="18" customHeight="1">
      <c r="B19" s="291" t="s">
        <v>124</v>
      </c>
      <c r="C19" s="57">
        <v>190936.34687244453</v>
      </c>
      <c r="D19" s="34">
        <v>15.230883817045182</v>
      </c>
      <c r="E19" s="57">
        <v>190936.34687244453</v>
      </c>
      <c r="F19" s="34">
        <v>15.230883817045182</v>
      </c>
      <c r="G19" s="92">
        <v>165698.934649845</v>
      </c>
      <c r="H19" s="285">
        <v>165698.934649845</v>
      </c>
      <c r="I19" s="93"/>
      <c r="J19" s="94"/>
      <c r="K19" s="95"/>
      <c r="L19" s="95"/>
      <c r="M19" s="96"/>
      <c r="N19" s="96"/>
      <c r="O19" s="96"/>
      <c r="P19" s="79"/>
      <c r="Q19" s="79"/>
    </row>
    <row r="20" spans="2:17" ht="18" customHeight="1">
      <c r="B20" s="292" t="s">
        <v>115</v>
      </c>
      <c r="C20" s="297">
        <v>33008.830215976108</v>
      </c>
      <c r="D20" s="98">
        <v>47.415644251434856</v>
      </c>
      <c r="E20" s="297">
        <v>33008.830215976108</v>
      </c>
      <c r="F20" s="98">
        <v>47.415644251434856</v>
      </c>
      <c r="G20" s="298">
        <v>22391.673816976734</v>
      </c>
      <c r="H20" s="299">
        <v>22391.673816976734</v>
      </c>
      <c r="I20" s="93"/>
      <c r="J20" s="94"/>
      <c r="K20" s="95"/>
      <c r="L20" s="95"/>
      <c r="M20" s="96"/>
      <c r="N20" s="96"/>
      <c r="O20" s="96"/>
      <c r="P20" s="79"/>
      <c r="Q20" s="79"/>
    </row>
    <row r="21" spans="2:17" ht="18" customHeight="1">
      <c r="B21" s="294" t="s">
        <v>116</v>
      </c>
      <c r="C21" s="101">
        <v>243969.18683697598</v>
      </c>
      <c r="D21" s="103">
        <v>19.770143159173159</v>
      </c>
      <c r="E21" s="101">
        <v>243969.18683697598</v>
      </c>
      <c r="F21" s="103">
        <v>19.770143159173159</v>
      </c>
      <c r="G21" s="102">
        <v>203697.83353497682</v>
      </c>
      <c r="H21" s="287">
        <v>203697.83353497682</v>
      </c>
      <c r="I21" s="81"/>
      <c r="J21" s="97"/>
      <c r="K21" s="95"/>
      <c r="L21" s="95"/>
      <c r="M21" s="96"/>
      <c r="N21" s="96"/>
      <c r="O21" s="96"/>
      <c r="P21" s="79"/>
      <c r="Q21" s="79"/>
    </row>
    <row r="22" spans="2:17" ht="18" customHeight="1">
      <c r="B22" s="291" t="s">
        <v>117</v>
      </c>
      <c r="C22" s="57">
        <v>1006683.964035</v>
      </c>
      <c r="D22" s="34">
        <v>-0.57218288860768496</v>
      </c>
      <c r="E22" s="57">
        <v>1006683.964035</v>
      </c>
      <c r="F22" s="34">
        <v>-0.57218288860768496</v>
      </c>
      <c r="G22" s="92">
        <v>1012477.18524</v>
      </c>
      <c r="H22" s="285">
        <v>1012477.18524</v>
      </c>
      <c r="I22" s="81"/>
      <c r="J22" s="97"/>
      <c r="K22" s="95"/>
      <c r="L22" s="95"/>
      <c r="M22" s="96"/>
      <c r="N22" s="96"/>
      <c r="O22" s="96"/>
      <c r="P22" s="79"/>
      <c r="Q22" s="79"/>
    </row>
    <row r="23" spans="2:17" ht="18" customHeight="1">
      <c r="B23" s="291" t="s">
        <v>118</v>
      </c>
      <c r="C23" s="57">
        <v>762714.77719802398</v>
      </c>
      <c r="D23" s="34">
        <v>-5.69556757475182</v>
      </c>
      <c r="E23" s="57">
        <v>762714.77719802398</v>
      </c>
      <c r="F23" s="34">
        <v>-5.69556757475182</v>
      </c>
      <c r="G23" s="92">
        <v>808779.3517050232</v>
      </c>
      <c r="H23" s="285">
        <v>808779.3517050232</v>
      </c>
      <c r="I23" s="81"/>
      <c r="J23" s="97"/>
      <c r="K23" s="95"/>
      <c r="L23" s="95"/>
      <c r="M23" s="96"/>
      <c r="N23" s="96"/>
      <c r="O23" s="96"/>
      <c r="P23" s="79"/>
      <c r="Q23" s="79"/>
    </row>
    <row r="24" spans="2:17" ht="18" customHeight="1">
      <c r="B24" s="300" t="s">
        <v>13</v>
      </c>
      <c r="C24" s="154">
        <v>646688.258898</v>
      </c>
      <c r="D24" s="51">
        <v>-15.642874838059001</v>
      </c>
      <c r="E24" s="154">
        <v>646688.258898</v>
      </c>
      <c r="F24" s="51">
        <v>-15.642874838059001</v>
      </c>
      <c r="G24" s="156">
        <v>766607.74967917381</v>
      </c>
      <c r="H24" s="301">
        <v>766607.74967917381</v>
      </c>
      <c r="I24" s="81"/>
      <c r="J24" s="104"/>
      <c r="K24" s="95"/>
      <c r="L24" s="95"/>
      <c r="M24" s="96"/>
      <c r="N24" s="96"/>
      <c r="O24" s="96"/>
    </row>
    <row r="25" spans="2:17" ht="18" customHeight="1">
      <c r="B25" s="295" t="s">
        <v>14</v>
      </c>
      <c r="C25" s="58">
        <v>-3377.0211340000001</v>
      </c>
      <c r="D25" s="62">
        <v>-22.74205059533287</v>
      </c>
      <c r="E25" s="58">
        <v>-3377.0211340000001</v>
      </c>
      <c r="F25" s="62">
        <v>-22.74205059533287</v>
      </c>
      <c r="G25" s="105">
        <v>-4371.0985860000001</v>
      </c>
      <c r="H25" s="288">
        <v>-4371.0985860000001</v>
      </c>
      <c r="I25" s="81"/>
      <c r="J25" s="97"/>
      <c r="K25" s="95"/>
      <c r="L25" s="95"/>
      <c r="M25" s="96"/>
      <c r="N25" s="96"/>
      <c r="O25" s="96"/>
    </row>
    <row r="26" spans="2:17" s="106" customFormat="1" ht="18" customHeight="1">
      <c r="B26" s="296" t="s">
        <v>15</v>
      </c>
      <c r="C26" s="107">
        <v>446986.5921846308</v>
      </c>
      <c r="D26" s="109">
        <v>-23.388175301761621</v>
      </c>
      <c r="E26" s="107">
        <v>446986.5921846308</v>
      </c>
      <c r="F26" s="109">
        <v>-23.388175301761621</v>
      </c>
      <c r="G26" s="108">
        <v>583443.34434695798</v>
      </c>
      <c r="H26" s="289">
        <v>583443.34434695798</v>
      </c>
      <c r="I26" s="80"/>
      <c r="J26" s="94"/>
      <c r="K26" s="95"/>
      <c r="L26" s="95"/>
      <c r="M26" s="96"/>
      <c r="N26" s="96"/>
      <c r="O26" s="96"/>
      <c r="P26" s="80"/>
      <c r="Q26" s="80"/>
    </row>
    <row r="27" spans="2:17" ht="17.25">
      <c r="E27" s="111"/>
      <c r="G27" s="111"/>
      <c r="H27" s="111"/>
    </row>
    <row r="28" spans="2:17">
      <c r="B28" s="112"/>
      <c r="C28" s="112"/>
      <c r="D28" s="112"/>
      <c r="F28" s="112"/>
    </row>
    <row r="29" spans="2:17">
      <c r="B29" s="112"/>
      <c r="C29" s="112"/>
      <c r="D29" s="112"/>
      <c r="F29" s="112"/>
    </row>
    <row r="30" spans="2:17">
      <c r="B30" s="112"/>
      <c r="C30" s="112"/>
      <c r="D30" s="112"/>
      <c r="F30" s="112"/>
    </row>
    <row r="31" spans="2:17">
      <c r="B31" s="112"/>
      <c r="C31" s="112"/>
      <c r="D31" s="112"/>
      <c r="F31" s="112"/>
    </row>
    <row r="32" spans="2:17">
      <c r="B32" s="112"/>
      <c r="C32" s="112"/>
      <c r="D32" s="112"/>
      <c r="F32" s="112"/>
      <c r="J32" s="79"/>
      <c r="K32" s="79"/>
      <c r="L32" s="79"/>
      <c r="M32" s="79"/>
      <c r="N32" s="79"/>
      <c r="O32" s="79"/>
      <c r="P32" s="79"/>
      <c r="Q32" s="79"/>
    </row>
    <row r="33" spans="2:17">
      <c r="B33" s="112"/>
      <c r="C33" s="112"/>
      <c r="D33" s="112"/>
      <c r="F33" s="112"/>
      <c r="J33" s="79"/>
      <c r="K33" s="79"/>
      <c r="L33" s="79"/>
      <c r="M33" s="79"/>
      <c r="N33" s="79"/>
      <c r="O33" s="79"/>
      <c r="P33" s="79"/>
      <c r="Q33" s="79"/>
    </row>
    <row r="34" spans="2:17">
      <c r="B34" s="112"/>
      <c r="C34" s="112"/>
      <c r="D34" s="112"/>
      <c r="F34" s="112"/>
      <c r="J34" s="79"/>
      <c r="K34" s="79"/>
      <c r="L34" s="79"/>
      <c r="M34" s="79"/>
      <c r="N34" s="79"/>
      <c r="O34" s="79"/>
      <c r="P34" s="79"/>
      <c r="Q34" s="79"/>
    </row>
    <row r="35" spans="2:17">
      <c r="B35" s="112"/>
      <c r="C35" s="112"/>
      <c r="D35" s="112"/>
      <c r="F35" s="112"/>
      <c r="J35" s="79"/>
      <c r="K35" s="79"/>
      <c r="L35" s="79"/>
      <c r="M35" s="79"/>
      <c r="N35" s="79"/>
      <c r="O35" s="79"/>
      <c r="P35" s="79"/>
      <c r="Q35" s="79"/>
    </row>
    <row r="36" spans="2:17">
      <c r="B36" s="112"/>
      <c r="C36" s="112"/>
      <c r="D36" s="112"/>
      <c r="F36" s="112"/>
      <c r="J36" s="79"/>
      <c r="K36" s="79"/>
      <c r="L36" s="79"/>
      <c r="M36" s="79"/>
      <c r="N36" s="79"/>
      <c r="O36" s="79"/>
      <c r="P36" s="79"/>
      <c r="Q36" s="79"/>
    </row>
    <row r="37" spans="2:17">
      <c r="B37" s="112"/>
      <c r="C37" s="112"/>
      <c r="D37" s="112"/>
      <c r="F37" s="112"/>
      <c r="J37" s="79"/>
      <c r="K37" s="79"/>
      <c r="L37" s="79"/>
      <c r="M37" s="79"/>
      <c r="N37" s="79"/>
      <c r="O37" s="79"/>
      <c r="P37" s="79"/>
      <c r="Q37" s="79"/>
    </row>
    <row r="38" spans="2:17">
      <c r="B38" s="112"/>
      <c r="C38" s="112"/>
      <c r="D38" s="112"/>
      <c r="F38" s="112"/>
      <c r="J38" s="79"/>
      <c r="K38" s="79"/>
      <c r="L38" s="79"/>
      <c r="M38" s="79"/>
      <c r="N38" s="79"/>
      <c r="O38" s="79"/>
      <c r="P38" s="79"/>
      <c r="Q38" s="79"/>
    </row>
    <row r="39" spans="2:17">
      <c r="B39" s="112"/>
      <c r="C39" s="112"/>
      <c r="D39" s="112"/>
      <c r="F39" s="112"/>
      <c r="J39" s="79"/>
      <c r="K39" s="79"/>
      <c r="L39" s="79"/>
      <c r="M39" s="79"/>
      <c r="N39" s="79"/>
      <c r="O39" s="79"/>
      <c r="P39" s="79"/>
      <c r="Q39" s="79"/>
    </row>
    <row r="40" spans="2:17">
      <c r="B40" s="112"/>
      <c r="C40" s="112"/>
      <c r="D40" s="112"/>
      <c r="F40" s="112"/>
      <c r="J40" s="79"/>
      <c r="K40" s="79"/>
      <c r="L40" s="79"/>
      <c r="M40" s="79"/>
      <c r="N40" s="79"/>
      <c r="O40" s="79"/>
      <c r="P40" s="79"/>
      <c r="Q40" s="79"/>
    </row>
    <row r="41" spans="2:17">
      <c r="B41" s="112"/>
      <c r="C41" s="112"/>
      <c r="D41" s="112"/>
      <c r="F41" s="112"/>
      <c r="J41" s="79"/>
      <c r="K41" s="79"/>
      <c r="L41" s="79"/>
      <c r="M41" s="79"/>
      <c r="N41" s="79"/>
      <c r="O41" s="79"/>
      <c r="P41" s="79"/>
      <c r="Q41" s="79"/>
    </row>
    <row r="42" spans="2:17">
      <c r="B42" s="112"/>
      <c r="C42" s="112"/>
      <c r="D42" s="112"/>
      <c r="F42" s="112"/>
      <c r="J42" s="79"/>
      <c r="K42" s="79"/>
      <c r="L42" s="79"/>
      <c r="M42" s="79"/>
      <c r="N42" s="79"/>
      <c r="O42" s="79"/>
      <c r="P42" s="79"/>
      <c r="Q42" s="79"/>
    </row>
    <row r="43" spans="2:17">
      <c r="B43" s="112"/>
      <c r="C43" s="112"/>
      <c r="D43" s="112"/>
      <c r="F43" s="112"/>
      <c r="J43" s="79"/>
      <c r="K43" s="79"/>
      <c r="L43" s="79"/>
      <c r="M43" s="79"/>
      <c r="N43" s="79"/>
      <c r="O43" s="79"/>
      <c r="P43" s="79"/>
      <c r="Q43" s="79"/>
    </row>
    <row r="44" spans="2:17">
      <c r="B44" s="112"/>
      <c r="C44" s="112"/>
      <c r="D44" s="112"/>
      <c r="F44" s="112"/>
      <c r="J44" s="79"/>
      <c r="K44" s="79"/>
      <c r="L44" s="79"/>
      <c r="M44" s="79"/>
      <c r="N44" s="79"/>
      <c r="O44" s="79"/>
      <c r="P44" s="79"/>
      <c r="Q44" s="79"/>
    </row>
    <row r="45" spans="2:17">
      <c r="B45" s="112"/>
      <c r="C45" s="112"/>
      <c r="D45" s="112"/>
      <c r="F45" s="112"/>
      <c r="J45" s="79"/>
      <c r="K45" s="79"/>
      <c r="L45" s="79"/>
      <c r="M45" s="79"/>
      <c r="N45" s="79"/>
      <c r="O45" s="79"/>
      <c r="P45" s="79"/>
      <c r="Q45" s="79"/>
    </row>
    <row r="46" spans="2:17">
      <c r="B46" s="112"/>
      <c r="C46" s="112"/>
      <c r="D46" s="112"/>
      <c r="F46" s="112"/>
      <c r="J46" s="79"/>
      <c r="K46" s="79"/>
      <c r="L46" s="79"/>
      <c r="M46" s="79"/>
      <c r="N46" s="79"/>
      <c r="O46" s="79"/>
      <c r="P46" s="79"/>
      <c r="Q46" s="79"/>
    </row>
    <row r="47" spans="2:17">
      <c r="B47" s="112"/>
      <c r="C47" s="112"/>
      <c r="D47" s="112"/>
      <c r="F47" s="112"/>
      <c r="J47" s="79"/>
      <c r="K47" s="79"/>
      <c r="L47" s="79"/>
      <c r="M47" s="79"/>
      <c r="N47" s="79"/>
      <c r="O47" s="79"/>
      <c r="P47" s="79"/>
      <c r="Q47" s="79"/>
    </row>
    <row r="48" spans="2:17">
      <c r="B48" s="112"/>
      <c r="C48" s="112"/>
      <c r="D48" s="112"/>
      <c r="F48" s="112"/>
      <c r="J48" s="79"/>
      <c r="K48" s="79"/>
      <c r="L48" s="79"/>
      <c r="M48" s="79"/>
      <c r="N48" s="79"/>
      <c r="O48" s="79"/>
      <c r="P48" s="79"/>
      <c r="Q48" s="79"/>
    </row>
    <row r="49" spans="2:17">
      <c r="B49" s="112"/>
      <c r="C49" s="112"/>
      <c r="D49" s="112"/>
      <c r="F49" s="112"/>
      <c r="J49" s="79"/>
      <c r="K49" s="79"/>
      <c r="L49" s="79"/>
      <c r="M49" s="79"/>
      <c r="N49" s="79"/>
      <c r="O49" s="79"/>
      <c r="P49" s="79"/>
      <c r="Q49" s="79"/>
    </row>
    <row r="50" spans="2:17">
      <c r="B50" s="112"/>
      <c r="C50" s="112"/>
      <c r="D50" s="112"/>
      <c r="F50" s="112"/>
      <c r="J50" s="79"/>
      <c r="K50" s="79"/>
      <c r="L50" s="79"/>
      <c r="M50" s="79"/>
      <c r="N50" s="79"/>
      <c r="O50" s="79"/>
      <c r="P50" s="79"/>
      <c r="Q50" s="79"/>
    </row>
    <row r="51" spans="2:17">
      <c r="B51" s="112"/>
      <c r="C51" s="112"/>
      <c r="D51" s="112"/>
      <c r="F51" s="112"/>
      <c r="J51" s="79"/>
      <c r="K51" s="79"/>
      <c r="L51" s="79"/>
      <c r="M51" s="79"/>
      <c r="N51" s="79"/>
      <c r="O51" s="79"/>
      <c r="P51" s="79"/>
      <c r="Q51" s="79"/>
    </row>
    <row r="52" spans="2:17">
      <c r="B52" s="112"/>
      <c r="C52" s="112"/>
      <c r="D52" s="112"/>
      <c r="F52" s="112"/>
      <c r="J52" s="79"/>
      <c r="K52" s="79"/>
      <c r="L52" s="79"/>
      <c r="M52" s="79"/>
      <c r="N52" s="79"/>
      <c r="O52" s="79"/>
      <c r="P52" s="79"/>
      <c r="Q52" s="79"/>
    </row>
    <row r="53" spans="2:17">
      <c r="B53" s="112"/>
      <c r="C53" s="112"/>
      <c r="D53" s="112"/>
      <c r="F53" s="112"/>
      <c r="J53" s="79"/>
      <c r="K53" s="79"/>
      <c r="L53" s="79"/>
      <c r="M53" s="79"/>
      <c r="N53" s="79"/>
      <c r="O53" s="79"/>
      <c r="P53" s="79"/>
      <c r="Q53" s="79"/>
    </row>
    <row r="54" spans="2:17">
      <c r="B54" s="112"/>
      <c r="C54" s="112"/>
      <c r="D54" s="112"/>
      <c r="F54" s="112"/>
      <c r="J54" s="79"/>
      <c r="K54" s="79"/>
      <c r="L54" s="79"/>
      <c r="M54" s="79"/>
      <c r="N54" s="79"/>
      <c r="O54" s="79"/>
      <c r="P54" s="79"/>
      <c r="Q54" s="79"/>
    </row>
    <row r="55" spans="2:17">
      <c r="B55" s="112"/>
      <c r="C55" s="112"/>
      <c r="D55" s="112"/>
      <c r="F55" s="112"/>
      <c r="J55" s="79"/>
      <c r="K55" s="79"/>
      <c r="L55" s="79"/>
      <c r="M55" s="79"/>
      <c r="N55" s="79"/>
      <c r="O55" s="79"/>
      <c r="P55" s="79"/>
      <c r="Q55" s="79"/>
    </row>
    <row r="56" spans="2:17">
      <c r="B56" s="112"/>
      <c r="C56" s="112"/>
      <c r="D56" s="112"/>
      <c r="F56" s="112"/>
      <c r="J56" s="79"/>
      <c r="K56" s="79"/>
      <c r="L56" s="79"/>
      <c r="M56" s="79"/>
      <c r="N56" s="79"/>
      <c r="O56" s="79"/>
      <c r="P56" s="79"/>
      <c r="Q56" s="79"/>
    </row>
    <row r="57" spans="2:17">
      <c r="B57" s="112"/>
      <c r="C57" s="112"/>
      <c r="D57" s="112"/>
      <c r="F57" s="112"/>
      <c r="J57" s="79"/>
      <c r="K57" s="79"/>
      <c r="L57" s="79"/>
      <c r="M57" s="79"/>
      <c r="N57" s="79"/>
      <c r="O57" s="79"/>
      <c r="P57" s="79"/>
      <c r="Q57" s="79"/>
    </row>
    <row r="58" spans="2:17">
      <c r="B58" s="112"/>
      <c r="C58" s="112"/>
      <c r="D58" s="112"/>
      <c r="F58" s="112"/>
      <c r="J58" s="79"/>
      <c r="K58" s="79"/>
      <c r="L58" s="79"/>
      <c r="M58" s="79"/>
      <c r="N58" s="79"/>
      <c r="O58" s="79"/>
      <c r="P58" s="79"/>
      <c r="Q58" s="79"/>
    </row>
    <row r="59" spans="2:17">
      <c r="B59" s="112"/>
      <c r="C59" s="112"/>
      <c r="D59" s="112"/>
      <c r="F59" s="112"/>
      <c r="J59" s="79"/>
      <c r="K59" s="79"/>
      <c r="L59" s="79"/>
      <c r="M59" s="79"/>
      <c r="N59" s="79"/>
      <c r="O59" s="79"/>
      <c r="P59" s="79"/>
      <c r="Q59" s="79"/>
    </row>
    <row r="60" spans="2:17">
      <c r="B60" s="112"/>
      <c r="C60" s="112"/>
      <c r="D60" s="112"/>
      <c r="F60" s="112"/>
      <c r="J60" s="79"/>
      <c r="K60" s="79"/>
      <c r="L60" s="79"/>
      <c r="M60" s="79"/>
      <c r="N60" s="79"/>
      <c r="O60" s="79"/>
      <c r="P60" s="79"/>
      <c r="Q60" s="79"/>
    </row>
    <row r="61" spans="2:17">
      <c r="B61" s="112"/>
      <c r="C61" s="112"/>
      <c r="D61" s="112"/>
      <c r="F61" s="112"/>
      <c r="J61" s="79"/>
      <c r="K61" s="79"/>
      <c r="L61" s="79"/>
      <c r="M61" s="79"/>
      <c r="N61" s="79"/>
      <c r="O61" s="79"/>
      <c r="P61" s="79"/>
      <c r="Q61" s="79"/>
    </row>
    <row r="62" spans="2:17">
      <c r="B62" s="112"/>
      <c r="C62" s="112"/>
      <c r="D62" s="112"/>
      <c r="F62" s="112"/>
      <c r="J62" s="79"/>
      <c r="K62" s="79"/>
      <c r="L62" s="79"/>
      <c r="M62" s="79"/>
      <c r="N62" s="79"/>
      <c r="O62" s="79"/>
      <c r="P62" s="79"/>
      <c r="Q62" s="79"/>
    </row>
    <row r="63" spans="2:17">
      <c r="B63" s="112"/>
      <c r="C63" s="112"/>
      <c r="D63" s="112"/>
      <c r="F63" s="112"/>
      <c r="J63" s="79"/>
      <c r="K63" s="79"/>
      <c r="L63" s="79"/>
      <c r="M63" s="79"/>
      <c r="N63" s="79"/>
      <c r="O63" s="79"/>
      <c r="P63" s="79"/>
      <c r="Q63" s="79"/>
    </row>
    <row r="64" spans="2:17">
      <c r="B64" s="112"/>
      <c r="C64" s="112"/>
      <c r="D64" s="112"/>
      <c r="F64" s="112"/>
      <c r="J64" s="79"/>
      <c r="K64" s="79"/>
      <c r="L64" s="79"/>
      <c r="M64" s="79"/>
      <c r="N64" s="79"/>
      <c r="O64" s="79"/>
      <c r="P64" s="79"/>
      <c r="Q64" s="79"/>
    </row>
    <row r="65" spans="2:17">
      <c r="B65" s="112"/>
      <c r="C65" s="112"/>
      <c r="D65" s="112"/>
      <c r="F65" s="112"/>
      <c r="J65" s="79"/>
      <c r="K65" s="79"/>
      <c r="L65" s="79"/>
      <c r="M65" s="79"/>
      <c r="N65" s="79"/>
      <c r="O65" s="79"/>
      <c r="P65" s="79"/>
      <c r="Q65" s="79"/>
    </row>
    <row r="66" spans="2:17">
      <c r="B66" s="112"/>
      <c r="C66" s="112"/>
      <c r="D66" s="112"/>
      <c r="F66" s="112"/>
      <c r="J66" s="79"/>
      <c r="K66" s="79"/>
      <c r="L66" s="79"/>
      <c r="M66" s="79"/>
      <c r="N66" s="79"/>
      <c r="O66" s="79"/>
      <c r="P66" s="79"/>
      <c r="Q66" s="79"/>
    </row>
    <row r="67" spans="2:17">
      <c r="B67" s="112"/>
      <c r="C67" s="112"/>
      <c r="D67" s="112"/>
      <c r="F67" s="112"/>
      <c r="J67" s="79"/>
      <c r="K67" s="79"/>
      <c r="L67" s="79"/>
      <c r="M67" s="79"/>
      <c r="N67" s="79"/>
      <c r="O67" s="79"/>
      <c r="P67" s="79"/>
      <c r="Q67" s="79"/>
    </row>
    <row r="68" spans="2:17">
      <c r="B68" s="112"/>
      <c r="C68" s="112"/>
      <c r="D68" s="112"/>
      <c r="F68" s="112"/>
      <c r="J68" s="79"/>
      <c r="K68" s="79"/>
      <c r="L68" s="79"/>
      <c r="M68" s="79"/>
      <c r="N68" s="79"/>
      <c r="O68" s="79"/>
      <c r="P68" s="79"/>
      <c r="Q68" s="79"/>
    </row>
    <row r="69" spans="2:17">
      <c r="B69" s="112"/>
      <c r="C69" s="112"/>
      <c r="D69" s="112"/>
      <c r="F69" s="112"/>
      <c r="J69" s="79"/>
      <c r="K69" s="79"/>
      <c r="L69" s="79"/>
      <c r="M69" s="79"/>
      <c r="N69" s="79"/>
      <c r="O69" s="79"/>
      <c r="P69" s="79"/>
      <c r="Q69" s="79"/>
    </row>
    <row r="70" spans="2:17">
      <c r="B70" s="112"/>
      <c r="C70" s="112"/>
      <c r="D70" s="112"/>
      <c r="F70" s="112"/>
      <c r="J70" s="79"/>
      <c r="K70" s="79"/>
      <c r="L70" s="79"/>
      <c r="M70" s="79"/>
      <c r="N70" s="79"/>
      <c r="O70" s="79"/>
      <c r="P70" s="79"/>
      <c r="Q70" s="79"/>
    </row>
    <row r="71" spans="2:17">
      <c r="B71" s="112"/>
      <c r="C71" s="112"/>
      <c r="D71" s="112"/>
      <c r="F71" s="112"/>
      <c r="J71" s="79"/>
      <c r="K71" s="79"/>
      <c r="L71" s="79"/>
      <c r="M71" s="79"/>
      <c r="N71" s="79"/>
      <c r="O71" s="79"/>
      <c r="P71" s="79"/>
      <c r="Q71" s="79"/>
    </row>
    <row r="72" spans="2:17">
      <c r="B72" s="112"/>
      <c r="C72" s="112"/>
      <c r="D72" s="112"/>
      <c r="F72" s="112"/>
      <c r="J72" s="79"/>
      <c r="K72" s="79"/>
      <c r="L72" s="79"/>
      <c r="M72" s="79"/>
      <c r="N72" s="79"/>
      <c r="O72" s="79"/>
      <c r="P72" s="79"/>
      <c r="Q72" s="79"/>
    </row>
    <row r="73" spans="2:17">
      <c r="B73" s="112"/>
      <c r="C73" s="112"/>
      <c r="D73" s="112"/>
      <c r="F73" s="112"/>
      <c r="J73" s="79"/>
      <c r="K73" s="79"/>
      <c r="L73" s="79"/>
      <c r="M73" s="79"/>
      <c r="N73" s="79"/>
      <c r="O73" s="79"/>
      <c r="P73" s="79"/>
      <c r="Q73" s="79"/>
    </row>
    <row r="74" spans="2:17">
      <c r="B74" s="112"/>
      <c r="C74" s="112"/>
      <c r="D74" s="112"/>
      <c r="F74" s="112"/>
      <c r="J74" s="79"/>
      <c r="K74" s="79"/>
      <c r="L74" s="79"/>
      <c r="M74" s="79"/>
      <c r="N74" s="79"/>
      <c r="O74" s="79"/>
      <c r="P74" s="79"/>
      <c r="Q74" s="79"/>
    </row>
    <row r="75" spans="2:17">
      <c r="B75" s="112"/>
      <c r="C75" s="112"/>
      <c r="D75" s="112"/>
      <c r="F75" s="112"/>
      <c r="J75" s="79"/>
      <c r="K75" s="79"/>
      <c r="L75" s="79"/>
      <c r="M75" s="79"/>
      <c r="N75" s="79"/>
      <c r="O75" s="79"/>
      <c r="P75" s="79"/>
      <c r="Q75" s="79"/>
    </row>
    <row r="76" spans="2:17">
      <c r="B76" s="112"/>
      <c r="C76" s="112"/>
      <c r="D76" s="112"/>
      <c r="F76" s="112"/>
      <c r="J76" s="79"/>
      <c r="K76" s="79"/>
      <c r="L76" s="79"/>
      <c r="M76" s="79"/>
      <c r="N76" s="79"/>
      <c r="O76" s="79"/>
      <c r="P76" s="79"/>
      <c r="Q76" s="79"/>
    </row>
    <row r="77" spans="2:17">
      <c r="B77" s="112"/>
      <c r="C77" s="112"/>
      <c r="D77" s="112"/>
      <c r="F77" s="112"/>
      <c r="J77" s="79"/>
      <c r="K77" s="79"/>
      <c r="L77" s="79"/>
      <c r="M77" s="79"/>
      <c r="N77" s="79"/>
      <c r="O77" s="79"/>
      <c r="P77" s="79"/>
      <c r="Q77" s="79"/>
    </row>
    <row r="78" spans="2:17">
      <c r="B78" s="112"/>
      <c r="C78" s="112"/>
      <c r="D78" s="112"/>
      <c r="F78" s="112"/>
      <c r="J78" s="79"/>
      <c r="K78" s="79"/>
      <c r="L78" s="79"/>
      <c r="M78" s="79"/>
      <c r="N78" s="79"/>
      <c r="O78" s="79"/>
      <c r="P78" s="79"/>
      <c r="Q78" s="79"/>
    </row>
    <row r="79" spans="2:17">
      <c r="B79" s="112"/>
      <c r="C79" s="112"/>
      <c r="D79" s="112"/>
      <c r="F79" s="112"/>
      <c r="J79" s="79"/>
      <c r="K79" s="79"/>
      <c r="L79" s="79"/>
      <c r="M79" s="79"/>
      <c r="N79" s="79"/>
      <c r="O79" s="79"/>
      <c r="P79" s="79"/>
      <c r="Q79" s="79"/>
    </row>
    <row r="80" spans="2:17">
      <c r="B80" s="112"/>
      <c r="C80" s="112"/>
      <c r="D80" s="112"/>
      <c r="F80" s="112"/>
      <c r="J80" s="79"/>
      <c r="K80" s="79"/>
      <c r="L80" s="79"/>
      <c r="M80" s="79"/>
      <c r="N80" s="79"/>
      <c r="O80" s="79"/>
      <c r="P80" s="79"/>
      <c r="Q80" s="79"/>
    </row>
    <row r="81" spans="2:17">
      <c r="B81" s="112"/>
      <c r="C81" s="112"/>
      <c r="D81" s="112"/>
      <c r="F81" s="112"/>
      <c r="J81" s="79"/>
      <c r="K81" s="79"/>
      <c r="L81" s="79"/>
      <c r="M81" s="79"/>
      <c r="N81" s="79"/>
      <c r="O81" s="79"/>
      <c r="P81" s="79"/>
      <c r="Q81" s="79"/>
    </row>
    <row r="82" spans="2:17">
      <c r="B82" s="112"/>
      <c r="C82" s="112"/>
      <c r="D82" s="112"/>
      <c r="F82" s="112"/>
      <c r="J82" s="79"/>
      <c r="K82" s="79"/>
      <c r="L82" s="79"/>
      <c r="M82" s="79"/>
      <c r="N82" s="79"/>
      <c r="O82" s="79"/>
      <c r="P82" s="79"/>
      <c r="Q82" s="79"/>
    </row>
    <row r="83" spans="2:17">
      <c r="B83" s="112"/>
      <c r="C83" s="112"/>
      <c r="D83" s="112"/>
      <c r="F83" s="112"/>
      <c r="J83" s="79"/>
      <c r="K83" s="79"/>
      <c r="L83" s="79"/>
      <c r="M83" s="79"/>
      <c r="N83" s="79"/>
      <c r="O83" s="79"/>
      <c r="P83" s="79"/>
      <c r="Q83" s="79"/>
    </row>
    <row r="84" spans="2:17">
      <c r="B84" s="112"/>
      <c r="C84" s="112"/>
      <c r="D84" s="112"/>
      <c r="F84" s="112"/>
      <c r="J84" s="79"/>
      <c r="K84" s="79"/>
      <c r="L84" s="79"/>
      <c r="M84" s="79"/>
      <c r="N84" s="79"/>
      <c r="O84" s="79"/>
      <c r="P84" s="79"/>
      <c r="Q84" s="79"/>
    </row>
    <row r="85" spans="2:17">
      <c r="B85" s="112"/>
      <c r="C85" s="112"/>
      <c r="D85" s="112"/>
      <c r="F85" s="112"/>
      <c r="J85" s="79"/>
      <c r="K85" s="79"/>
      <c r="L85" s="79"/>
      <c r="M85" s="79"/>
      <c r="N85" s="79"/>
      <c r="O85" s="79"/>
      <c r="P85" s="79"/>
      <c r="Q85" s="79"/>
    </row>
    <row r="86" spans="2:17">
      <c r="B86" s="112"/>
      <c r="C86" s="112"/>
      <c r="D86" s="112"/>
      <c r="F86" s="112"/>
      <c r="J86" s="79"/>
      <c r="K86" s="79"/>
      <c r="L86" s="79"/>
      <c r="M86" s="79"/>
      <c r="N86" s="79"/>
      <c r="O86" s="79"/>
      <c r="P86" s="79"/>
      <c r="Q86" s="79"/>
    </row>
    <row r="87" spans="2:17">
      <c r="B87" s="112"/>
      <c r="C87" s="112"/>
      <c r="D87" s="112"/>
      <c r="F87" s="112"/>
      <c r="J87" s="79"/>
      <c r="K87" s="79"/>
      <c r="L87" s="79"/>
      <c r="M87" s="79"/>
      <c r="N87" s="79"/>
      <c r="O87" s="79"/>
      <c r="P87" s="79"/>
      <c r="Q87" s="79"/>
    </row>
    <row r="88" spans="2:17">
      <c r="B88" s="112"/>
      <c r="C88" s="112"/>
      <c r="D88" s="112"/>
      <c r="F88" s="112"/>
      <c r="J88" s="79"/>
      <c r="K88" s="79"/>
      <c r="L88" s="79"/>
      <c r="M88" s="79"/>
      <c r="N88" s="79"/>
      <c r="O88" s="79"/>
      <c r="P88" s="79"/>
      <c r="Q88" s="79"/>
    </row>
    <row r="89" spans="2:17">
      <c r="B89" s="112"/>
      <c r="C89" s="112"/>
      <c r="D89" s="112"/>
      <c r="F89" s="112"/>
      <c r="J89" s="79"/>
      <c r="K89" s="79"/>
      <c r="L89" s="79"/>
      <c r="M89" s="79"/>
      <c r="N89" s="79"/>
      <c r="O89" s="79"/>
      <c r="P89" s="79"/>
      <c r="Q89" s="79"/>
    </row>
  </sheetData>
  <mergeCells count="4">
    <mergeCell ref="C5:C6"/>
    <mergeCell ref="G5:G6"/>
    <mergeCell ref="H5:H6"/>
    <mergeCell ref="B5:B6"/>
  </mergeCells>
  <phoneticPr fontId="21" type="noConversion"/>
  <pageMargins left="0.17" right="0.17" top="0.75" bottom="0.75" header="0.3" footer="0.3"/>
  <pageSetup paperSize="9" scale="82" orientation="portrait" r:id="rId1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view="pageBreakPreview" zoomScale="85" zoomScaleNormal="85" zoomScaleSheetLayoutView="85" workbookViewId="0">
      <selection activeCell="D2" sqref="D2"/>
    </sheetView>
  </sheetViews>
  <sheetFormatPr defaultColWidth="10" defaultRowHeight="16.5"/>
  <cols>
    <col min="1" max="2" width="2.625" style="302" customWidth="1"/>
    <col min="3" max="3" width="35.5" style="302" bestFit="1" customWidth="1"/>
    <col min="4" max="4" width="12.375" style="319" bestFit="1" customWidth="1"/>
    <col min="5" max="5" width="8.875" style="19" bestFit="1" customWidth="1"/>
    <col min="6" max="6" width="12.375" style="19" bestFit="1" customWidth="1"/>
    <col min="7" max="7" width="8.875" style="19" bestFit="1" customWidth="1"/>
    <col min="8" max="8" width="12.375" style="19" bestFit="1" customWidth="1"/>
    <col min="9" max="9" width="12.375" style="19" customWidth="1"/>
    <col min="10" max="10" width="2.375" style="19" customWidth="1"/>
    <col min="11" max="16384" width="10" style="19"/>
  </cols>
  <sheetData>
    <row r="1" spans="1:9" s="79" customFormat="1" ht="16.5" customHeight="1">
      <c r="A1" s="302"/>
      <c r="B1" s="302"/>
      <c r="C1" s="302"/>
    </row>
    <row r="2" spans="1:9" s="113" customFormat="1" ht="24.95" customHeight="1">
      <c r="A2" s="114" t="s">
        <v>186</v>
      </c>
    </row>
    <row r="3" spans="1:9" s="113" customFormat="1" ht="16.5" customHeight="1">
      <c r="A3" s="302"/>
      <c r="B3" s="302"/>
      <c r="C3" s="302"/>
    </row>
    <row r="4" spans="1:9" s="113" customFormat="1" ht="16.5" customHeight="1">
      <c r="A4" s="303"/>
      <c r="B4" s="302"/>
      <c r="C4" s="302"/>
    </row>
    <row r="5" spans="1:9" s="21" customFormat="1" ht="18" customHeight="1">
      <c r="A5" s="79"/>
      <c r="B5" s="320"/>
      <c r="C5" s="320"/>
      <c r="I5" s="118" t="s">
        <v>48</v>
      </c>
    </row>
    <row r="6" spans="1:9" s="21" customFormat="1" ht="18" customHeight="1">
      <c r="A6" s="539" t="s">
        <v>145</v>
      </c>
      <c r="B6" s="540"/>
      <c r="C6" s="541"/>
      <c r="D6" s="531" t="s">
        <v>457</v>
      </c>
      <c r="E6" s="290"/>
      <c r="F6" s="493" t="s">
        <v>457</v>
      </c>
      <c r="G6" s="290"/>
      <c r="H6" s="545" t="s">
        <v>190</v>
      </c>
      <c r="I6" s="535" t="s">
        <v>192</v>
      </c>
    </row>
    <row r="7" spans="1:9" s="21" customFormat="1" ht="20.100000000000001" customHeight="1" thickBot="1">
      <c r="A7" s="542"/>
      <c r="B7" s="543"/>
      <c r="C7" s="544"/>
      <c r="D7" s="532"/>
      <c r="E7" s="89" t="s">
        <v>107</v>
      </c>
      <c r="F7" s="315" t="s">
        <v>105</v>
      </c>
      <c r="G7" s="89" t="s">
        <v>106</v>
      </c>
      <c r="H7" s="546"/>
      <c r="I7" s="536"/>
    </row>
    <row r="8" spans="1:9" s="21" customFormat="1" ht="20.100000000000001" customHeight="1" thickTop="1">
      <c r="A8" s="431" t="s">
        <v>125</v>
      </c>
      <c r="B8" s="304"/>
      <c r="C8" s="432"/>
      <c r="D8" s="479">
        <v>393976.24320037727</v>
      </c>
      <c r="E8" s="324">
        <v>-12.129601105379479</v>
      </c>
      <c r="F8" s="483">
        <v>393976.24320037727</v>
      </c>
      <c r="G8" s="424">
        <v>-12.129601105379479</v>
      </c>
      <c r="H8" s="485">
        <v>448360.59487206524</v>
      </c>
      <c r="I8" s="486">
        <v>448360.59487206524</v>
      </c>
    </row>
    <row r="9" spans="1:9" s="21" customFormat="1" ht="20.100000000000001" customHeight="1">
      <c r="A9" s="433"/>
      <c r="B9" s="305" t="s">
        <v>126</v>
      </c>
      <c r="C9" s="434"/>
      <c r="D9" s="480">
        <v>323466.44193600002</v>
      </c>
      <c r="E9" s="322">
        <v>-1.0645138925314228</v>
      </c>
      <c r="F9" s="151">
        <v>323466.44193600002</v>
      </c>
      <c r="G9" s="322">
        <v>-1.0645138925314228</v>
      </c>
      <c r="H9" s="487">
        <v>326946.83643099997</v>
      </c>
      <c r="I9" s="488">
        <v>326946.83643099997</v>
      </c>
    </row>
    <row r="10" spans="1:9" s="21" customFormat="1" ht="20.100000000000001" customHeight="1">
      <c r="A10" s="433"/>
      <c r="B10" s="306" t="s">
        <v>127</v>
      </c>
      <c r="C10" s="434"/>
      <c r="D10" s="151">
        <v>37019.972690000002</v>
      </c>
      <c r="E10" s="322">
        <v>83.517866246851185</v>
      </c>
      <c r="F10" s="151">
        <v>37019.972690000002</v>
      </c>
      <c r="G10" s="322">
        <v>83.517866246851185</v>
      </c>
      <c r="H10" s="487">
        <v>20172.407976999999</v>
      </c>
      <c r="I10" s="488">
        <v>20172.407976999999</v>
      </c>
    </row>
    <row r="11" spans="1:9" s="21" customFormat="1" ht="20.100000000000001" customHeight="1">
      <c r="A11" s="433"/>
      <c r="B11" s="306" t="s">
        <v>152</v>
      </c>
      <c r="C11" s="434"/>
      <c r="D11" s="151">
        <v>4953.9605069999998</v>
      </c>
      <c r="E11" s="322">
        <v>39.981666335763549</v>
      </c>
      <c r="F11" s="151">
        <v>4953.9605069999998</v>
      </c>
      <c r="G11" s="322">
        <v>39.981666335763549</v>
      </c>
      <c r="H11" s="487">
        <v>3539.0066689999999</v>
      </c>
      <c r="I11" s="488">
        <v>3539.0066689999999</v>
      </c>
    </row>
    <row r="12" spans="1:9" s="21" customFormat="1" ht="20.100000000000001" customHeight="1">
      <c r="A12" s="433"/>
      <c r="B12" s="307" t="s">
        <v>128</v>
      </c>
      <c r="C12" s="434"/>
      <c r="D12" s="151">
        <v>322.36424199999999</v>
      </c>
      <c r="E12" s="478">
        <v>-98.261866922797864</v>
      </c>
      <c r="F12" s="151">
        <v>322.36424199999999</v>
      </c>
      <c r="G12" s="478">
        <v>-98.261866922797864</v>
      </c>
      <c r="H12" s="487">
        <v>18546.580019000001</v>
      </c>
      <c r="I12" s="488">
        <v>18546.580019000001</v>
      </c>
    </row>
    <row r="13" spans="1:9" s="21" customFormat="1" ht="20.100000000000001" customHeight="1">
      <c r="A13" s="433"/>
      <c r="B13" s="421" t="s">
        <v>131</v>
      </c>
      <c r="C13" s="434"/>
      <c r="D13" s="151">
        <v>28213.503825377236</v>
      </c>
      <c r="E13" s="322">
        <v>-64.356981122443159</v>
      </c>
      <c r="F13" s="151">
        <v>28213.503825377236</v>
      </c>
      <c r="G13" s="322">
        <v>-64.356981122443159</v>
      </c>
      <c r="H13" s="487">
        <v>79155.763776065229</v>
      </c>
      <c r="I13" s="488">
        <v>79155.763776065229</v>
      </c>
    </row>
    <row r="14" spans="1:9" s="21" customFormat="1" ht="20.100000000000001" customHeight="1">
      <c r="A14" s="433"/>
      <c r="B14" s="422"/>
      <c r="C14" s="428" t="s">
        <v>150</v>
      </c>
      <c r="D14" s="151">
        <v>46381.840381000002</v>
      </c>
      <c r="E14" s="478">
        <v>-50.68817182103642</v>
      </c>
      <c r="F14" s="151">
        <v>46381.840381000002</v>
      </c>
      <c r="G14" s="478">
        <v>-50.68817182103642</v>
      </c>
      <c r="H14" s="487">
        <v>94058.245443000007</v>
      </c>
      <c r="I14" s="488">
        <v>94058.245443000007</v>
      </c>
    </row>
    <row r="15" spans="1:9" s="21" customFormat="1" ht="20.100000000000001" customHeight="1">
      <c r="A15" s="433"/>
      <c r="B15" s="423"/>
      <c r="C15" s="428" t="s">
        <v>184</v>
      </c>
      <c r="D15" s="151">
        <v>-18168.336555622765</v>
      </c>
      <c r="E15" s="478">
        <v>21.914839163561496</v>
      </c>
      <c r="F15" s="151">
        <v>-18168.336555622765</v>
      </c>
      <c r="G15" s="478">
        <v>21.914839163561496</v>
      </c>
      <c r="H15" s="487">
        <v>-14902.481666934773</v>
      </c>
      <c r="I15" s="488">
        <v>-14902.481666934773</v>
      </c>
    </row>
    <row r="16" spans="1:9" s="21" customFormat="1" ht="20.100000000000001" customHeight="1">
      <c r="A16" s="435" t="s">
        <v>129</v>
      </c>
      <c r="B16" s="308"/>
      <c r="C16" s="436"/>
      <c r="D16" s="481">
        <v>45774.911390407651</v>
      </c>
      <c r="E16" s="323">
        <v>-51.413700478055475</v>
      </c>
      <c r="F16" s="481">
        <v>45774.911390407651</v>
      </c>
      <c r="G16" s="323">
        <v>-51.413700478055475</v>
      </c>
      <c r="H16" s="489">
        <v>94213.619561071784</v>
      </c>
      <c r="I16" s="490">
        <v>94213.619561071784</v>
      </c>
    </row>
    <row r="17" spans="1:9" s="21" customFormat="1" ht="20.100000000000001" customHeight="1">
      <c r="A17" s="433"/>
      <c r="B17" s="305" t="s">
        <v>149</v>
      </c>
      <c r="C17" s="434"/>
      <c r="D17" s="151">
        <v>1008670.993109</v>
      </c>
      <c r="E17" s="322">
        <v>-5.1936209331676793</v>
      </c>
      <c r="F17" s="151">
        <v>1008670.993109</v>
      </c>
      <c r="G17" s="322">
        <v>-5.1936209331676793</v>
      </c>
      <c r="H17" s="487">
        <v>1063927.3464899999</v>
      </c>
      <c r="I17" s="488">
        <v>1063927.3464899999</v>
      </c>
    </row>
    <row r="18" spans="1:9" s="21" customFormat="1" ht="20.100000000000001" customHeight="1">
      <c r="A18" s="433"/>
      <c r="B18" s="306" t="s">
        <v>153</v>
      </c>
      <c r="C18" s="434"/>
      <c r="D18" s="151">
        <v>-811110.53075999999</v>
      </c>
      <c r="E18" s="322">
        <v>-1.6505345242136684</v>
      </c>
      <c r="F18" s="151">
        <v>-811110.53075999999</v>
      </c>
      <c r="G18" s="322">
        <v>-1.6505345242136684</v>
      </c>
      <c r="H18" s="487">
        <v>-824722.86639900005</v>
      </c>
      <c r="I18" s="488">
        <v>-824722.86639900005</v>
      </c>
    </row>
    <row r="19" spans="1:9" s="21" customFormat="1" ht="20.100000000000001" customHeight="1">
      <c r="A19" s="433"/>
      <c r="B19" s="426" t="s">
        <v>154</v>
      </c>
      <c r="C19" s="434"/>
      <c r="D19" s="151">
        <v>-151785.55095859236</v>
      </c>
      <c r="E19" s="322">
        <v>4.6862887797411048</v>
      </c>
      <c r="F19" s="151">
        <v>-151785.55095859236</v>
      </c>
      <c r="G19" s="322">
        <v>4.6862887797411048</v>
      </c>
      <c r="H19" s="487">
        <v>-144990.86052992824</v>
      </c>
      <c r="I19" s="488">
        <v>-144990.86052992824</v>
      </c>
    </row>
    <row r="20" spans="1:9" s="21" customFormat="1" ht="20.100000000000001" customHeight="1">
      <c r="A20" s="435" t="s">
        <v>130</v>
      </c>
      <c r="B20" s="308"/>
      <c r="C20" s="436"/>
      <c r="D20" s="481">
        <v>-37031.97312140555</v>
      </c>
      <c r="E20" s="500" t="s">
        <v>462</v>
      </c>
      <c r="F20" s="481">
        <v>-37031.97312140555</v>
      </c>
      <c r="G20" s="500" t="s">
        <v>462</v>
      </c>
      <c r="H20" s="489">
        <v>20335.701705846299</v>
      </c>
      <c r="I20" s="490">
        <v>20335.701705846299</v>
      </c>
    </row>
    <row r="21" spans="1:9" s="21" customFormat="1" ht="20.100000000000001" customHeight="1">
      <c r="A21" s="433"/>
      <c r="B21" s="305" t="s">
        <v>149</v>
      </c>
      <c r="C21" s="427"/>
      <c r="D21" s="151">
        <v>373353.43381755549</v>
      </c>
      <c r="E21" s="322">
        <v>9.513640249192278</v>
      </c>
      <c r="F21" s="151">
        <v>373353.43381755549</v>
      </c>
      <c r="G21" s="322">
        <v>9.513640249192278</v>
      </c>
      <c r="H21" s="487">
        <v>340919.57218115503</v>
      </c>
      <c r="I21" s="488">
        <v>340919.57218115503</v>
      </c>
    </row>
    <row r="22" spans="1:9" s="21" customFormat="1" ht="20.100000000000001" customHeight="1">
      <c r="A22" s="433"/>
      <c r="B22" s="306" t="s">
        <v>153</v>
      </c>
      <c r="C22" s="428"/>
      <c r="D22" s="151">
        <v>-274708.95578255551</v>
      </c>
      <c r="E22" s="322">
        <v>33.780284079000609</v>
      </c>
      <c r="F22" s="151">
        <v>-274708.95578255551</v>
      </c>
      <c r="G22" s="322">
        <v>33.780284079000609</v>
      </c>
      <c r="H22" s="487">
        <v>-205343.37901415501</v>
      </c>
      <c r="I22" s="488">
        <v>-205343.37901415501</v>
      </c>
    </row>
    <row r="23" spans="1:9" s="21" customFormat="1" ht="20.100000000000001" customHeight="1">
      <c r="A23" s="433"/>
      <c r="B23" s="429" t="s">
        <v>154</v>
      </c>
      <c r="C23" s="430"/>
      <c r="D23" s="151">
        <v>-135676.45115640556</v>
      </c>
      <c r="E23" s="322">
        <v>17.733315292342837</v>
      </c>
      <c r="F23" s="151">
        <v>-135676.45115640556</v>
      </c>
      <c r="G23" s="322">
        <v>17.733315292342837</v>
      </c>
      <c r="H23" s="487">
        <v>-115240.49146115374</v>
      </c>
      <c r="I23" s="488">
        <v>-115240.49146115374</v>
      </c>
    </row>
    <row r="24" spans="1:9">
      <c r="A24" s="437" t="s">
        <v>151</v>
      </c>
      <c r="B24" s="309"/>
      <c r="C24" s="438"/>
      <c r="D24" s="482">
        <v>402719.1814693794</v>
      </c>
      <c r="E24" s="415">
        <v>-28.457614633680137</v>
      </c>
      <c r="F24" s="484">
        <v>402719.1814693794</v>
      </c>
      <c r="G24" s="415">
        <v>-28.457614633680137</v>
      </c>
      <c r="H24" s="484">
        <v>562909.91613898333</v>
      </c>
      <c r="I24" s="491">
        <v>562909.91613898333</v>
      </c>
    </row>
    <row r="25" spans="1:9">
      <c r="A25" s="310"/>
      <c r="D25" s="321"/>
    </row>
    <row r="26" spans="1:9">
      <c r="A26" s="310"/>
    </row>
  </sheetData>
  <mergeCells count="4">
    <mergeCell ref="A6:C7"/>
    <mergeCell ref="D6:D7"/>
    <mergeCell ref="H6:H7"/>
    <mergeCell ref="I6:I7"/>
  </mergeCells>
  <phoneticPr fontId="1" type="noConversion"/>
  <pageMargins left="0.56000000000000005" right="0.17" top="0.75" bottom="0.75" header="0.3" footer="0.3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99"/>
  <sheetViews>
    <sheetView view="pageBreakPreview" zoomScale="85" zoomScaleNormal="85" zoomScaleSheetLayoutView="85" workbookViewId="0">
      <selection activeCell="D1" sqref="D1"/>
    </sheetView>
  </sheetViews>
  <sheetFormatPr defaultColWidth="10" defaultRowHeight="16.5"/>
  <cols>
    <col min="1" max="1" width="2.375" style="19" customWidth="1"/>
    <col min="2" max="2" width="4.25" style="19" customWidth="1"/>
    <col min="3" max="3" width="22.125" style="19" customWidth="1"/>
    <col min="4" max="4" width="15.5" style="19" customWidth="1"/>
    <col min="5" max="5" width="14" style="19" customWidth="1"/>
    <col min="6" max="7" width="15.5" style="19" customWidth="1"/>
    <col min="8" max="8" width="13.25" style="19" customWidth="1"/>
    <col min="9" max="9" width="13.25" style="66" customWidth="1"/>
    <col min="10" max="10" width="21.375" style="19" bestFit="1" customWidth="1"/>
    <col min="11" max="16384" width="10" style="19"/>
  </cols>
  <sheetData>
    <row r="1" spans="1:10" s="79" customFormat="1" ht="16.5" customHeight="1">
      <c r="I1" s="80"/>
      <c r="J1" s="81"/>
    </row>
    <row r="2" spans="1:10" s="113" customFormat="1" ht="24.95" customHeight="1">
      <c r="B2" s="114" t="s">
        <v>187</v>
      </c>
      <c r="C2" s="115"/>
      <c r="D2" s="115"/>
      <c r="E2" s="115"/>
      <c r="F2" s="115"/>
      <c r="G2" s="115"/>
      <c r="J2" s="116"/>
    </row>
    <row r="3" spans="1:10" s="113" customFormat="1" ht="16.5" customHeight="1">
      <c r="B3" s="114"/>
      <c r="C3" s="115"/>
      <c r="D3" s="115"/>
      <c r="E3" s="115"/>
      <c r="F3" s="115"/>
      <c r="G3" s="115"/>
      <c r="J3" s="116"/>
    </row>
    <row r="4" spans="1:10" s="113" customFormat="1" ht="16.5" customHeight="1">
      <c r="B4" s="19"/>
      <c r="G4" s="117"/>
      <c r="H4" s="118" t="s">
        <v>48</v>
      </c>
      <c r="J4" s="116"/>
    </row>
    <row r="5" spans="1:10" s="142" customFormat="1" ht="16.5" customHeight="1">
      <c r="B5" s="508" t="s">
        <v>19</v>
      </c>
      <c r="C5" s="509"/>
      <c r="D5" s="512" t="s">
        <v>454</v>
      </c>
      <c r="E5" s="26"/>
      <c r="F5" s="497"/>
      <c r="G5" s="514" t="s">
        <v>455</v>
      </c>
      <c r="H5" s="143"/>
      <c r="I5" s="65"/>
    </row>
    <row r="6" spans="1:10" s="142" customFormat="1" ht="16.5" customHeight="1" thickBot="1">
      <c r="B6" s="510"/>
      <c r="C6" s="511"/>
      <c r="D6" s="513"/>
      <c r="E6" s="144" t="s">
        <v>456</v>
      </c>
      <c r="F6" s="29" t="s">
        <v>191</v>
      </c>
      <c r="G6" s="515"/>
      <c r="H6" s="29" t="s">
        <v>456</v>
      </c>
      <c r="I6" s="65"/>
    </row>
    <row r="7" spans="1:10" s="142" customFormat="1" ht="16.5" customHeight="1" thickTop="1">
      <c r="B7" s="554" t="s">
        <v>56</v>
      </c>
      <c r="C7" s="555"/>
      <c r="D7" s="64">
        <v>52112678.659224994</v>
      </c>
      <c r="E7" s="110">
        <v>100</v>
      </c>
      <c r="F7" s="62">
        <v>5.0077223489885796</v>
      </c>
      <c r="G7" s="141">
        <v>49627472.621518999</v>
      </c>
      <c r="H7" s="62">
        <v>100</v>
      </c>
      <c r="I7" s="145"/>
    </row>
    <row r="8" spans="1:10" s="142" customFormat="1" ht="16.5" customHeight="1">
      <c r="A8" s="142" t="s">
        <v>0</v>
      </c>
      <c r="B8" s="547" t="s">
        <v>57</v>
      </c>
      <c r="C8" s="548"/>
      <c r="D8" s="63">
        <v>584297.87241700001</v>
      </c>
      <c r="E8" s="146">
        <v>1.1212201856631436</v>
      </c>
      <c r="F8" s="56">
        <v>-22.144497668886544</v>
      </c>
      <c r="G8" s="147">
        <v>750490.145105</v>
      </c>
      <c r="H8" s="56">
        <v>1.5122473611109899</v>
      </c>
      <c r="I8" s="65"/>
    </row>
    <row r="9" spans="1:10" s="142" customFormat="1" ht="16.5" customHeight="1">
      <c r="B9" s="549" t="s">
        <v>132</v>
      </c>
      <c r="C9" s="550"/>
      <c r="D9" s="52">
        <v>122295.830642</v>
      </c>
      <c r="E9" s="146">
        <v>0.23467577140241894</v>
      </c>
      <c r="F9" s="56">
        <v>0.28232409229364919</v>
      </c>
      <c r="G9" s="147">
        <v>121951.53208600001</v>
      </c>
      <c r="H9" s="56">
        <v>0.24573391640564934</v>
      </c>
      <c r="I9" s="65"/>
    </row>
    <row r="10" spans="1:10" s="142" customFormat="1" ht="16.5" customHeight="1">
      <c r="B10" s="549" t="s">
        <v>133</v>
      </c>
      <c r="C10" s="550"/>
      <c r="D10" s="52">
        <v>15350421.433219999</v>
      </c>
      <c r="E10" s="146">
        <v>29.456212630326316</v>
      </c>
      <c r="F10" s="56">
        <v>6.5934416993002003</v>
      </c>
      <c r="G10" s="147">
        <v>14400906.086251998</v>
      </c>
      <c r="H10" s="56">
        <v>29.018012253172071</v>
      </c>
      <c r="I10" s="65"/>
    </row>
    <row r="11" spans="1:10" s="142" customFormat="1" ht="16.5" customHeight="1">
      <c r="B11" s="37" t="s">
        <v>136</v>
      </c>
      <c r="C11" s="148"/>
      <c r="D11" s="57">
        <v>6716810.5520700002</v>
      </c>
      <c r="E11" s="149">
        <v>12.889014199390017</v>
      </c>
      <c r="F11" s="34">
        <v>5.8822636304690263</v>
      </c>
      <c r="G11" s="150">
        <v>6343659.7611019993</v>
      </c>
      <c r="H11" s="34">
        <v>12.782556567975057</v>
      </c>
      <c r="I11" s="65"/>
    </row>
    <row r="12" spans="1:10" s="142" customFormat="1" ht="16.5" customHeight="1">
      <c r="B12" s="37" t="s">
        <v>137</v>
      </c>
      <c r="C12" s="148"/>
      <c r="D12" s="57">
        <v>3489476.5444999998</v>
      </c>
      <c r="E12" s="149">
        <v>6.6960222239166978</v>
      </c>
      <c r="F12" s="34">
        <v>11.736307905000928</v>
      </c>
      <c r="G12" s="150">
        <v>3122956.72725</v>
      </c>
      <c r="H12" s="34">
        <v>6.2927982471866857</v>
      </c>
      <c r="I12" s="65"/>
    </row>
    <row r="13" spans="1:10" s="142" customFormat="1" ht="16.5" customHeight="1">
      <c r="B13" s="37" t="s">
        <v>138</v>
      </c>
      <c r="C13" s="148"/>
      <c r="D13" s="57">
        <v>5144134.33665</v>
      </c>
      <c r="E13" s="149">
        <v>9.8711762070196016</v>
      </c>
      <c r="F13" s="34">
        <v>4.2527852203751735</v>
      </c>
      <c r="G13" s="150">
        <v>4934289.5978999995</v>
      </c>
      <c r="H13" s="34">
        <v>9.9426574380103308</v>
      </c>
      <c r="I13" s="65"/>
    </row>
    <row r="14" spans="1:10" s="142" customFormat="1" ht="16.5" customHeight="1">
      <c r="B14" s="549" t="s">
        <v>134</v>
      </c>
      <c r="C14" s="550"/>
      <c r="D14" s="63">
        <v>9919096.8617240004</v>
      </c>
      <c r="E14" s="155">
        <v>19.033941675857648</v>
      </c>
      <c r="F14" s="51">
        <v>2.6494736625102746</v>
      </c>
      <c r="G14" s="157">
        <v>9663076.2027439997</v>
      </c>
      <c r="H14" s="51">
        <v>19.471223683782735</v>
      </c>
      <c r="I14" s="65"/>
    </row>
    <row r="15" spans="1:10" s="142" customFormat="1" ht="16.5" customHeight="1">
      <c r="B15" s="549" t="s">
        <v>135</v>
      </c>
      <c r="C15" s="550"/>
      <c r="D15" s="63">
        <v>8468269.9695730004</v>
      </c>
      <c r="E15" s="149">
        <v>16.249922643486965</v>
      </c>
      <c r="F15" s="34">
        <v>0.85176952605839062</v>
      </c>
      <c r="G15" s="150">
        <v>8396749.0202389993</v>
      </c>
      <c r="H15" s="34">
        <v>16.919558012305629</v>
      </c>
      <c r="I15" s="65"/>
      <c r="J15" s="359"/>
    </row>
    <row r="16" spans="1:10" s="142" customFormat="1" ht="16.5" customHeight="1">
      <c r="B16" s="37" t="s">
        <v>140</v>
      </c>
      <c r="C16" s="148"/>
      <c r="D16" s="151">
        <v>7328196.5912560001</v>
      </c>
      <c r="E16" s="149">
        <v>14.062214378148767</v>
      </c>
      <c r="F16" s="152">
        <v>-0.10160867727549316</v>
      </c>
      <c r="G16" s="153">
        <v>7335650.248443</v>
      </c>
      <c r="H16" s="34">
        <v>14.781430246081451</v>
      </c>
      <c r="I16" s="65"/>
      <c r="J16" s="359"/>
    </row>
    <row r="17" spans="2:12" s="142" customFormat="1" ht="16.5" customHeight="1">
      <c r="B17" s="37" t="s">
        <v>139</v>
      </c>
      <c r="C17" s="148"/>
      <c r="D17" s="57">
        <v>1140073.3783170001</v>
      </c>
      <c r="E17" s="149">
        <v>2.1877082653381974</v>
      </c>
      <c r="F17" s="34">
        <v>7.4427196242371281</v>
      </c>
      <c r="G17" s="150">
        <v>1061098.7717960002</v>
      </c>
      <c r="H17" s="34">
        <v>2.1381277662241791</v>
      </c>
      <c r="I17" s="65"/>
      <c r="J17" s="359"/>
    </row>
    <row r="18" spans="2:12" s="142" customFormat="1" ht="16.5" customHeight="1">
      <c r="B18" s="325" t="s">
        <v>158</v>
      </c>
      <c r="C18" s="326"/>
      <c r="D18" s="154">
        <v>1302711.9880590001</v>
      </c>
      <c r="E18" s="155">
        <v>2.4997985549307278</v>
      </c>
      <c r="F18" s="51">
        <v>24.001849778491689</v>
      </c>
      <c r="G18" s="157">
        <v>1050558.51214</v>
      </c>
      <c r="H18" s="51">
        <v>2.1168890065227033</v>
      </c>
      <c r="I18" s="65"/>
    </row>
    <row r="19" spans="2:12" s="142" customFormat="1" ht="16.5" customHeight="1">
      <c r="B19" s="547" t="s">
        <v>157</v>
      </c>
      <c r="C19" s="548"/>
      <c r="D19" s="154">
        <v>1054193.1335769999</v>
      </c>
      <c r="E19" s="155">
        <v>2.0229110471763985</v>
      </c>
      <c r="F19" s="51">
        <v>3.4343427860157476</v>
      </c>
      <c r="G19" s="157">
        <v>1019190.633577</v>
      </c>
      <c r="H19" s="51">
        <v>2.0536823250093703</v>
      </c>
      <c r="I19" s="65"/>
    </row>
    <row r="20" spans="2:12" s="142" customFormat="1" ht="16.5" customHeight="1">
      <c r="B20" s="547" t="s">
        <v>20</v>
      </c>
      <c r="C20" s="548"/>
      <c r="D20" s="52">
        <v>14104138.266566999</v>
      </c>
      <c r="E20" s="146">
        <v>27.064696402955452</v>
      </c>
      <c r="F20" s="56">
        <v>8.3100624925868374</v>
      </c>
      <c r="G20" s="147">
        <v>13022001.780796999</v>
      </c>
      <c r="H20" s="56">
        <v>26.239502221095417</v>
      </c>
      <c r="I20" s="65"/>
    </row>
    <row r="21" spans="2:12" s="142" customFormat="1" ht="16.5" customHeight="1">
      <c r="B21" s="547" t="s">
        <v>58</v>
      </c>
      <c r="C21" s="548"/>
      <c r="D21" s="47">
        <v>1207253.303446</v>
      </c>
      <c r="E21" s="155">
        <v>2.3166210882009453</v>
      </c>
      <c r="F21" s="51">
        <v>0.39121865363433983</v>
      </c>
      <c r="G21" s="158">
        <v>1202548.7085790001</v>
      </c>
      <c r="H21" s="51">
        <v>2.4231512205954293</v>
      </c>
      <c r="I21" s="65"/>
    </row>
    <row r="22" spans="2:12" ht="9" customHeight="1">
      <c r="E22" s="159"/>
      <c r="G22" s="159"/>
    </row>
    <row r="23" spans="2:12" ht="15.75" customHeight="1">
      <c r="B23" s="79"/>
      <c r="D23" s="420"/>
      <c r="E23" s="159"/>
      <c r="G23" s="159"/>
      <c r="I23" s="118" t="s">
        <v>48</v>
      </c>
    </row>
    <row r="24" spans="2:12" s="142" customFormat="1" ht="16.5" customHeight="1">
      <c r="B24" s="508" t="s">
        <v>19</v>
      </c>
      <c r="C24" s="509"/>
      <c r="D24" s="531" t="s">
        <v>457</v>
      </c>
      <c r="E24" s="87"/>
      <c r="F24" s="551" t="s">
        <v>458</v>
      </c>
      <c r="G24" s="160"/>
      <c r="H24" s="533" t="s">
        <v>190</v>
      </c>
      <c r="I24" s="556" t="s">
        <v>192</v>
      </c>
      <c r="J24" s="161"/>
    </row>
    <row r="25" spans="2:12" s="142" customFormat="1" ht="16.5" customHeight="1" thickBot="1">
      <c r="B25" s="510"/>
      <c r="C25" s="511"/>
      <c r="D25" s="532"/>
      <c r="E25" s="88" t="s">
        <v>146</v>
      </c>
      <c r="F25" s="532"/>
      <c r="G25" s="29" t="s">
        <v>147</v>
      </c>
      <c r="H25" s="534"/>
      <c r="I25" s="557"/>
      <c r="J25" s="162"/>
    </row>
    <row r="26" spans="2:12" ht="16.5" customHeight="1" thickTop="1">
      <c r="B26" s="552" t="s">
        <v>59</v>
      </c>
      <c r="C26" s="553"/>
      <c r="D26" s="30">
        <v>1006683.9640350001</v>
      </c>
      <c r="E26" s="34">
        <v>-0.57218288860767075</v>
      </c>
      <c r="F26" s="30">
        <v>1006683.9640350001</v>
      </c>
      <c r="G26" s="34">
        <v>-0.57218288860767075</v>
      </c>
      <c r="H26" s="33">
        <v>1012477.1852399999</v>
      </c>
      <c r="I26" s="312">
        <v>1012477.1852399999</v>
      </c>
      <c r="J26" s="139"/>
    </row>
    <row r="27" spans="2:12" ht="16.5" customHeight="1">
      <c r="B27" s="163" t="s">
        <v>144</v>
      </c>
      <c r="C27" s="311"/>
      <c r="D27" s="30">
        <v>1446.625581999999</v>
      </c>
      <c r="E27" s="34">
        <v>-95.649068303890502</v>
      </c>
      <c r="F27" s="30">
        <v>1446.625581999999</v>
      </c>
      <c r="G27" s="34">
        <v>-95.649068303890502</v>
      </c>
      <c r="H27" s="33">
        <v>33248.639212000002</v>
      </c>
      <c r="I27" s="312">
        <v>33248.639212000002</v>
      </c>
      <c r="J27" s="139"/>
    </row>
    <row r="28" spans="2:12" ht="16.5" customHeight="1">
      <c r="B28" s="163" t="s">
        <v>156</v>
      </c>
      <c r="C28" s="21"/>
      <c r="D28" s="30">
        <v>395052.93783399998</v>
      </c>
      <c r="E28" s="34">
        <v>19.456026530532199</v>
      </c>
      <c r="F28" s="30">
        <v>395052.93783399998</v>
      </c>
      <c r="G28" s="34">
        <v>19.456026530532199</v>
      </c>
      <c r="H28" s="33">
        <v>330709.92674700002</v>
      </c>
      <c r="I28" s="312">
        <v>330709.92674700002</v>
      </c>
      <c r="J28" s="140"/>
      <c r="L28" s="140"/>
    </row>
    <row r="29" spans="2:12" ht="16.5" customHeight="1">
      <c r="B29" s="163" t="s">
        <v>141</v>
      </c>
      <c r="C29" s="21"/>
      <c r="D29" s="30">
        <v>131652.213341</v>
      </c>
      <c r="E29" s="34">
        <v>7.4169760944300407</v>
      </c>
      <c r="F29" s="30">
        <v>131652.213341</v>
      </c>
      <c r="G29" s="34">
        <v>7.4169760944300407</v>
      </c>
      <c r="H29" s="33">
        <v>122561.83159099994</v>
      </c>
      <c r="I29" s="312">
        <v>122561.83159099994</v>
      </c>
      <c r="J29" s="140"/>
      <c r="L29" s="140"/>
    </row>
    <row r="30" spans="2:12" ht="16.5" customHeight="1">
      <c r="B30" s="163" t="s">
        <v>142</v>
      </c>
      <c r="C30" s="21"/>
      <c r="D30" s="30">
        <v>335112.20669000002</v>
      </c>
      <c r="E30" s="34">
        <v>-10.666352745525586</v>
      </c>
      <c r="F30" s="30">
        <v>335112.20669000002</v>
      </c>
      <c r="G30" s="34">
        <v>-10.666352745525586</v>
      </c>
      <c r="H30" s="33">
        <v>375124.28630099999</v>
      </c>
      <c r="I30" s="312">
        <v>375124.28630099999</v>
      </c>
      <c r="J30" s="140"/>
      <c r="L30" s="140"/>
    </row>
    <row r="31" spans="2:12" ht="16.5" customHeight="1">
      <c r="B31" s="163" t="s">
        <v>60</v>
      </c>
      <c r="C31" s="21"/>
      <c r="D31" s="64">
        <v>143419.98058800001</v>
      </c>
      <c r="E31" s="34">
        <v>-4.9144055377580429</v>
      </c>
      <c r="F31" s="64">
        <v>143419.98058800001</v>
      </c>
      <c r="G31" s="34">
        <v>-4.9144055377580429</v>
      </c>
      <c r="H31" s="61">
        <v>150832.50138900001</v>
      </c>
      <c r="I31" s="313">
        <v>150832.50138900001</v>
      </c>
      <c r="J31" s="140"/>
      <c r="L31" s="140"/>
    </row>
    <row r="32" spans="2:12" ht="16.5" customHeight="1">
      <c r="B32" s="549" t="s">
        <v>61</v>
      </c>
      <c r="C32" s="550"/>
      <c r="D32" s="63">
        <v>762714.77719802398</v>
      </c>
      <c r="E32" s="56">
        <v>-5.69556757475182</v>
      </c>
      <c r="F32" s="63">
        <v>762714.77719802398</v>
      </c>
      <c r="G32" s="56">
        <v>-5.69556757475182</v>
      </c>
      <c r="H32" s="55">
        <v>808779.35170502332</v>
      </c>
      <c r="I32" s="314">
        <v>808779.35170502332</v>
      </c>
      <c r="J32" s="139"/>
      <c r="L32" s="36"/>
    </row>
    <row r="33" spans="2:10" ht="16.5" customHeight="1">
      <c r="B33" s="163" t="s">
        <v>143</v>
      </c>
      <c r="C33" s="21"/>
      <c r="D33" s="30">
        <v>195023.97395700001</v>
      </c>
      <c r="E33" s="34">
        <v>-8.6327949350647515</v>
      </c>
      <c r="F33" s="30">
        <v>195023.97395700001</v>
      </c>
      <c r="G33" s="34">
        <v>-8.6327949350647515</v>
      </c>
      <c r="H33" s="33">
        <v>213450.738499</v>
      </c>
      <c r="I33" s="312">
        <v>213450.738499</v>
      </c>
      <c r="J33" s="140"/>
    </row>
    <row r="34" spans="2:10" ht="16.5" customHeight="1">
      <c r="B34" s="163" t="s">
        <v>141</v>
      </c>
      <c r="C34" s="21"/>
      <c r="D34" s="30">
        <v>119391.50482</v>
      </c>
      <c r="E34" s="34">
        <v>20.716077829172974</v>
      </c>
      <c r="F34" s="30">
        <v>119391.50482</v>
      </c>
      <c r="G34" s="34">
        <v>20.716077829172974</v>
      </c>
      <c r="H34" s="33">
        <v>98902.736873999995</v>
      </c>
      <c r="I34" s="312">
        <v>98902.736873999995</v>
      </c>
      <c r="J34" s="140"/>
    </row>
    <row r="35" spans="2:10" ht="16.5" customHeight="1">
      <c r="B35" s="163" t="s">
        <v>142</v>
      </c>
      <c r="C35" s="21"/>
      <c r="D35" s="30">
        <v>331646.33800599998</v>
      </c>
      <c r="E35" s="34">
        <v>-15.645469771876435</v>
      </c>
      <c r="F35" s="30">
        <v>331646.33800599998</v>
      </c>
      <c r="G35" s="34">
        <v>-15.645469771876435</v>
      </c>
      <c r="H35" s="33">
        <v>393157.70843499998</v>
      </c>
      <c r="I35" s="312">
        <v>393157.70843499998</v>
      </c>
      <c r="J35" s="140"/>
    </row>
    <row r="36" spans="2:10" ht="16.5" customHeight="1">
      <c r="B36" s="163" t="s">
        <v>62</v>
      </c>
      <c r="C36" s="21"/>
      <c r="D36" s="30">
        <v>10168.039074023896</v>
      </c>
      <c r="E36" s="34">
        <v>14.642123057991171</v>
      </c>
      <c r="F36" s="30">
        <v>10168.039074023896</v>
      </c>
      <c r="G36" s="34">
        <v>14.642123057991171</v>
      </c>
      <c r="H36" s="33">
        <v>8869.3743650232664</v>
      </c>
      <c r="I36" s="312">
        <v>8869.3743650232664</v>
      </c>
      <c r="J36" s="140"/>
    </row>
    <row r="37" spans="2:10" ht="16.5" customHeight="1">
      <c r="B37" s="163" t="s">
        <v>63</v>
      </c>
      <c r="C37" s="21"/>
      <c r="D37" s="64">
        <v>106484.92134099999</v>
      </c>
      <c r="E37" s="34">
        <v>12.803265123195629</v>
      </c>
      <c r="F37" s="64">
        <v>106484.92134099999</v>
      </c>
      <c r="G37" s="34">
        <v>12.803265123195629</v>
      </c>
      <c r="H37" s="33">
        <v>94398.793531999996</v>
      </c>
      <c r="I37" s="312">
        <v>94398.793531999996</v>
      </c>
      <c r="J37" s="140"/>
    </row>
    <row r="38" spans="2:10" ht="16.5" customHeight="1">
      <c r="B38" s="547" t="s">
        <v>155</v>
      </c>
      <c r="C38" s="548"/>
      <c r="D38" s="416">
        <v>243969.18683697609</v>
      </c>
      <c r="E38" s="417">
        <v>19.770143159173358</v>
      </c>
      <c r="F38" s="416">
        <v>243969.18683697609</v>
      </c>
      <c r="G38" s="417">
        <v>19.770143159173358</v>
      </c>
      <c r="H38" s="418">
        <v>203697.83353497658</v>
      </c>
      <c r="I38" s="419">
        <v>203697.83353497658</v>
      </c>
      <c r="J38" s="164"/>
    </row>
    <row r="39" spans="2:10">
      <c r="B39" s="165"/>
      <c r="F39" s="66"/>
      <c r="G39" s="166"/>
      <c r="H39" s="66"/>
      <c r="I39" s="138"/>
    </row>
    <row r="40" spans="2:10" ht="6" customHeight="1">
      <c r="B40" s="165"/>
      <c r="G40" s="159"/>
      <c r="I40" s="138"/>
    </row>
    <row r="41" spans="2:10">
      <c r="B41" s="165"/>
      <c r="G41" s="159"/>
    </row>
    <row r="42" spans="2:10" s="66" customFormat="1">
      <c r="B42" s="167"/>
      <c r="C42" s="138"/>
      <c r="D42" s="138"/>
      <c r="E42" s="138"/>
      <c r="F42" s="138"/>
      <c r="G42" s="168"/>
      <c r="H42" s="138"/>
    </row>
    <row r="43" spans="2:10" s="66" customFormat="1">
      <c r="B43" s="167"/>
      <c r="C43" s="138"/>
      <c r="D43" s="138"/>
      <c r="E43" s="138"/>
      <c r="F43" s="138"/>
      <c r="G43" s="168"/>
      <c r="H43" s="138"/>
    </row>
    <row r="44" spans="2:10" s="66" customFormat="1">
      <c r="B44" s="138"/>
      <c r="C44" s="138"/>
      <c r="D44" s="256"/>
      <c r="E44" s="169"/>
      <c r="F44" s="256"/>
      <c r="G44" s="169"/>
      <c r="H44" s="138"/>
    </row>
    <row r="45" spans="2:10" s="66" customFormat="1">
      <c r="B45" s="138"/>
      <c r="C45" s="170"/>
      <c r="D45" s="171"/>
      <c r="E45" s="171"/>
      <c r="F45" s="171"/>
      <c r="G45" s="171"/>
      <c r="H45" s="138"/>
    </row>
    <row r="46" spans="2:10" s="66" customFormat="1">
      <c r="B46" s="138"/>
      <c r="C46" s="172"/>
      <c r="D46" s="68"/>
      <c r="E46" s="68"/>
      <c r="F46" s="68"/>
      <c r="G46" s="68"/>
      <c r="H46" s="172"/>
    </row>
    <row r="47" spans="2:10" s="66" customFormat="1">
      <c r="B47" s="138"/>
      <c r="C47" s="172"/>
      <c r="D47" s="68"/>
      <c r="E47" s="68"/>
      <c r="F47" s="68"/>
      <c r="G47" s="68"/>
      <c r="H47" s="172"/>
    </row>
    <row r="48" spans="2:10" s="66" customFormat="1" ht="12.75" customHeight="1">
      <c r="B48" s="138"/>
      <c r="C48" s="138"/>
      <c r="D48" s="138"/>
      <c r="E48" s="138"/>
      <c r="F48" s="68"/>
      <c r="G48" s="168"/>
      <c r="H48" s="138"/>
    </row>
    <row r="49" spans="1:11" s="66" customFormat="1" ht="12.75" customHeight="1">
      <c r="B49" s="138"/>
      <c r="C49" s="138"/>
      <c r="D49" s="173"/>
      <c r="E49" s="138"/>
      <c r="F49" s="174"/>
      <c r="G49" s="175"/>
      <c r="H49" s="138"/>
    </row>
    <row r="50" spans="1:11" s="66" customFormat="1">
      <c r="F50" s="176"/>
      <c r="G50" s="177"/>
    </row>
    <row r="51" spans="1:11" s="66" customFormat="1">
      <c r="A51" s="19"/>
      <c r="B51" s="19"/>
      <c r="C51" s="19"/>
      <c r="D51" s="19"/>
      <c r="E51" s="19"/>
      <c r="F51" s="19"/>
      <c r="G51" s="159"/>
      <c r="H51" s="19"/>
      <c r="J51" s="19"/>
      <c r="K51" s="19"/>
    </row>
    <row r="52" spans="1:11" s="66" customFormat="1">
      <c r="A52" s="19"/>
      <c r="B52" s="19"/>
      <c r="C52" s="19"/>
      <c r="D52" s="19"/>
      <c r="F52" s="19"/>
      <c r="G52" s="19"/>
      <c r="H52" s="19"/>
      <c r="J52" s="19"/>
      <c r="K52" s="19"/>
    </row>
    <row r="53" spans="1:11" s="66" customFormat="1">
      <c r="A53" s="19"/>
      <c r="B53" s="19"/>
      <c r="C53" s="19"/>
      <c r="D53" s="19"/>
      <c r="F53" s="19"/>
      <c r="G53" s="19"/>
      <c r="H53" s="19"/>
      <c r="J53" s="19"/>
      <c r="K53" s="19"/>
    </row>
    <row r="54" spans="1:11" s="66" customFormat="1">
      <c r="A54" s="19"/>
      <c r="B54" s="19"/>
      <c r="C54" s="19"/>
      <c r="D54" s="19"/>
      <c r="F54" s="19"/>
      <c r="G54" s="19"/>
      <c r="H54" s="19"/>
      <c r="J54" s="19"/>
      <c r="K54" s="19"/>
    </row>
    <row r="55" spans="1:11" s="66" customFormat="1">
      <c r="A55" s="19"/>
      <c r="B55" s="19"/>
      <c r="C55" s="19"/>
      <c r="D55" s="19"/>
      <c r="F55" s="19"/>
      <c r="G55" s="19"/>
      <c r="H55" s="19"/>
      <c r="J55" s="19"/>
      <c r="K55" s="19"/>
    </row>
    <row r="56" spans="1:11" s="66" customFormat="1">
      <c r="A56" s="19"/>
      <c r="B56" s="19"/>
      <c r="C56" s="19"/>
      <c r="D56" s="19"/>
      <c r="F56" s="19"/>
      <c r="G56" s="19"/>
      <c r="H56" s="19"/>
      <c r="J56" s="19"/>
      <c r="K56" s="19"/>
    </row>
    <row r="57" spans="1:11" s="66" customFormat="1">
      <c r="A57" s="19"/>
      <c r="B57" s="19"/>
      <c r="C57" s="19"/>
      <c r="D57" s="19"/>
      <c r="F57" s="19"/>
      <c r="G57" s="19"/>
      <c r="H57" s="19"/>
      <c r="J57" s="19"/>
      <c r="K57" s="19"/>
    </row>
    <row r="58" spans="1:11" s="66" customFormat="1">
      <c r="A58" s="19"/>
      <c r="B58" s="19"/>
      <c r="C58" s="19"/>
      <c r="D58" s="19"/>
      <c r="F58" s="19"/>
      <c r="G58" s="19"/>
      <c r="H58" s="19"/>
      <c r="J58" s="19"/>
      <c r="K58" s="19"/>
    </row>
    <row r="59" spans="1:11" s="66" customFormat="1">
      <c r="A59" s="19"/>
      <c r="B59" s="19"/>
      <c r="C59" s="19"/>
      <c r="D59" s="19"/>
      <c r="F59" s="19"/>
      <c r="G59" s="19"/>
      <c r="H59" s="19"/>
      <c r="J59" s="19"/>
      <c r="K59" s="19"/>
    </row>
    <row r="60" spans="1:11" s="66" customFormat="1">
      <c r="A60" s="19"/>
      <c r="B60" s="19"/>
      <c r="C60" s="19"/>
      <c r="D60" s="19"/>
      <c r="F60" s="19"/>
      <c r="G60" s="19"/>
      <c r="H60" s="19"/>
      <c r="J60" s="19"/>
      <c r="K60" s="19"/>
    </row>
    <row r="61" spans="1:11">
      <c r="E61" s="66"/>
    </row>
    <row r="62" spans="1:11">
      <c r="G62" s="159"/>
    </row>
    <row r="63" spans="1:11">
      <c r="G63" s="159"/>
    </row>
    <row r="64" spans="1:11">
      <c r="G64" s="159"/>
    </row>
    <row r="65" spans="7:7">
      <c r="G65" s="159"/>
    </row>
    <row r="66" spans="7:7">
      <c r="G66" s="159"/>
    </row>
    <row r="67" spans="7:7">
      <c r="G67" s="159"/>
    </row>
    <row r="68" spans="7:7">
      <c r="G68" s="159"/>
    </row>
    <row r="69" spans="7:7">
      <c r="G69" s="159"/>
    </row>
    <row r="70" spans="7:7">
      <c r="G70" s="159"/>
    </row>
    <row r="71" spans="7:7">
      <c r="G71" s="159"/>
    </row>
    <row r="72" spans="7:7">
      <c r="G72" s="159"/>
    </row>
    <row r="73" spans="7:7">
      <c r="G73" s="159"/>
    </row>
    <row r="74" spans="7:7">
      <c r="G74" s="159"/>
    </row>
    <row r="75" spans="7:7">
      <c r="G75" s="159"/>
    </row>
    <row r="76" spans="7:7">
      <c r="G76" s="159"/>
    </row>
    <row r="77" spans="7:7">
      <c r="G77" s="159"/>
    </row>
    <row r="78" spans="7:7">
      <c r="G78" s="159"/>
    </row>
    <row r="79" spans="7:7">
      <c r="G79" s="159"/>
    </row>
    <row r="80" spans="7:7">
      <c r="G80" s="159"/>
    </row>
    <row r="81" spans="7:7">
      <c r="G81" s="159"/>
    </row>
    <row r="82" spans="7:7">
      <c r="G82" s="159"/>
    </row>
    <row r="83" spans="7:7">
      <c r="G83" s="159"/>
    </row>
    <row r="84" spans="7:7">
      <c r="G84" s="159"/>
    </row>
    <row r="85" spans="7:7">
      <c r="G85" s="159"/>
    </row>
    <row r="86" spans="7:7">
      <c r="G86" s="159"/>
    </row>
    <row r="87" spans="7:7">
      <c r="G87" s="159"/>
    </row>
    <row r="88" spans="7:7">
      <c r="G88" s="159"/>
    </row>
    <row r="89" spans="7:7">
      <c r="G89" s="159"/>
    </row>
    <row r="90" spans="7:7">
      <c r="G90" s="159"/>
    </row>
    <row r="91" spans="7:7">
      <c r="G91" s="159"/>
    </row>
    <row r="92" spans="7:7">
      <c r="G92" s="159"/>
    </row>
    <row r="93" spans="7:7">
      <c r="G93" s="159"/>
    </row>
    <row r="94" spans="7:7">
      <c r="G94" s="159"/>
    </row>
    <row r="95" spans="7:7">
      <c r="G95" s="159"/>
    </row>
    <row r="96" spans="7:7">
      <c r="G96" s="159"/>
    </row>
    <row r="97" spans="7:7">
      <c r="G97" s="159"/>
    </row>
    <row r="98" spans="7:7">
      <c r="G98" s="159"/>
    </row>
    <row r="99" spans="7:7">
      <c r="G99" s="159"/>
    </row>
    <row r="100" spans="7:7">
      <c r="G100" s="159"/>
    </row>
    <row r="101" spans="7:7">
      <c r="G101" s="159"/>
    </row>
    <row r="102" spans="7:7">
      <c r="G102" s="159"/>
    </row>
    <row r="103" spans="7:7">
      <c r="G103" s="159"/>
    </row>
    <row r="104" spans="7:7">
      <c r="G104" s="159"/>
    </row>
    <row r="105" spans="7:7">
      <c r="G105" s="159"/>
    </row>
    <row r="106" spans="7:7">
      <c r="G106" s="159"/>
    </row>
    <row r="107" spans="7:7">
      <c r="G107" s="159"/>
    </row>
    <row r="108" spans="7:7">
      <c r="G108" s="159"/>
    </row>
    <row r="109" spans="7:7">
      <c r="G109" s="159"/>
    </row>
    <row r="110" spans="7:7">
      <c r="G110" s="159"/>
    </row>
    <row r="111" spans="7:7">
      <c r="G111" s="159"/>
    </row>
    <row r="112" spans="7:7">
      <c r="G112" s="159"/>
    </row>
    <row r="113" spans="7:7">
      <c r="G113" s="159"/>
    </row>
    <row r="114" spans="7:7">
      <c r="G114" s="159"/>
    </row>
    <row r="115" spans="7:7">
      <c r="G115" s="159"/>
    </row>
    <row r="116" spans="7:7">
      <c r="G116" s="159"/>
    </row>
    <row r="117" spans="7:7">
      <c r="G117" s="159"/>
    </row>
    <row r="118" spans="7:7">
      <c r="G118" s="159"/>
    </row>
    <row r="119" spans="7:7">
      <c r="G119" s="159"/>
    </row>
    <row r="120" spans="7:7">
      <c r="G120" s="159"/>
    </row>
    <row r="121" spans="7:7">
      <c r="G121" s="159"/>
    </row>
    <row r="122" spans="7:7">
      <c r="G122" s="159"/>
    </row>
    <row r="123" spans="7:7">
      <c r="G123" s="159"/>
    </row>
    <row r="124" spans="7:7">
      <c r="G124" s="159"/>
    </row>
    <row r="125" spans="7:7">
      <c r="G125" s="159"/>
    </row>
    <row r="126" spans="7:7">
      <c r="G126" s="159"/>
    </row>
    <row r="127" spans="7:7">
      <c r="G127" s="159"/>
    </row>
    <row r="128" spans="7:7">
      <c r="G128" s="159"/>
    </row>
    <row r="129" spans="7:7">
      <c r="G129" s="159"/>
    </row>
    <row r="130" spans="7:7">
      <c r="G130" s="159"/>
    </row>
    <row r="131" spans="7:7">
      <c r="G131" s="159"/>
    </row>
    <row r="132" spans="7:7">
      <c r="G132" s="159"/>
    </row>
    <row r="133" spans="7:7">
      <c r="G133" s="159"/>
    </row>
    <row r="134" spans="7:7">
      <c r="G134" s="159"/>
    </row>
    <row r="135" spans="7:7">
      <c r="G135" s="159"/>
    </row>
    <row r="136" spans="7:7">
      <c r="G136" s="159"/>
    </row>
    <row r="137" spans="7:7">
      <c r="G137" s="159"/>
    </row>
    <row r="138" spans="7:7">
      <c r="G138" s="159"/>
    </row>
    <row r="139" spans="7:7">
      <c r="G139" s="159"/>
    </row>
    <row r="140" spans="7:7">
      <c r="G140" s="159"/>
    </row>
    <row r="141" spans="7:7">
      <c r="G141" s="159"/>
    </row>
    <row r="142" spans="7:7">
      <c r="G142" s="159"/>
    </row>
    <row r="143" spans="7:7">
      <c r="G143" s="159"/>
    </row>
    <row r="144" spans="7:7">
      <c r="G144" s="159"/>
    </row>
    <row r="145" spans="7:7">
      <c r="G145" s="159"/>
    </row>
    <row r="146" spans="7:7">
      <c r="G146" s="159"/>
    </row>
    <row r="147" spans="7:7">
      <c r="G147" s="159"/>
    </row>
    <row r="148" spans="7:7">
      <c r="G148" s="159"/>
    </row>
    <row r="149" spans="7:7">
      <c r="G149" s="159"/>
    </row>
    <row r="150" spans="7:7">
      <c r="G150" s="159"/>
    </row>
    <row r="151" spans="7:7">
      <c r="G151" s="159"/>
    </row>
    <row r="152" spans="7:7">
      <c r="G152" s="159"/>
    </row>
    <row r="153" spans="7:7">
      <c r="G153" s="159"/>
    </row>
    <row r="154" spans="7:7">
      <c r="G154" s="159"/>
    </row>
    <row r="155" spans="7:7">
      <c r="G155" s="159"/>
    </row>
    <row r="156" spans="7:7">
      <c r="G156" s="159"/>
    </row>
    <row r="157" spans="7:7">
      <c r="G157" s="159"/>
    </row>
    <row r="158" spans="7:7">
      <c r="G158" s="159"/>
    </row>
    <row r="159" spans="7:7">
      <c r="G159" s="159"/>
    </row>
    <row r="160" spans="7:7">
      <c r="G160" s="159"/>
    </row>
    <row r="161" spans="7:7">
      <c r="G161" s="159"/>
    </row>
    <row r="162" spans="7:7">
      <c r="G162" s="159"/>
    </row>
    <row r="163" spans="7:7">
      <c r="G163" s="159"/>
    </row>
    <row r="164" spans="7:7">
      <c r="G164" s="159"/>
    </row>
    <row r="165" spans="7:7">
      <c r="G165" s="159"/>
    </row>
    <row r="166" spans="7:7">
      <c r="G166" s="159"/>
    </row>
    <row r="167" spans="7:7">
      <c r="G167" s="159"/>
    </row>
    <row r="168" spans="7:7">
      <c r="G168" s="159"/>
    </row>
    <row r="169" spans="7:7">
      <c r="G169" s="159"/>
    </row>
    <row r="170" spans="7:7">
      <c r="G170" s="159"/>
    </row>
    <row r="171" spans="7:7">
      <c r="G171" s="159"/>
    </row>
    <row r="172" spans="7:7">
      <c r="G172" s="159"/>
    </row>
    <row r="173" spans="7:7">
      <c r="G173" s="159"/>
    </row>
    <row r="174" spans="7:7">
      <c r="G174" s="159"/>
    </row>
    <row r="175" spans="7:7">
      <c r="G175" s="159"/>
    </row>
    <row r="176" spans="7:7">
      <c r="G176" s="159"/>
    </row>
    <row r="177" spans="7:7">
      <c r="G177" s="159"/>
    </row>
    <row r="178" spans="7:7">
      <c r="G178" s="159"/>
    </row>
    <row r="179" spans="7:7">
      <c r="G179" s="159"/>
    </row>
    <row r="180" spans="7:7">
      <c r="G180" s="159"/>
    </row>
    <row r="181" spans="7:7">
      <c r="G181" s="159"/>
    </row>
    <row r="182" spans="7:7">
      <c r="G182" s="159"/>
    </row>
    <row r="183" spans="7:7">
      <c r="G183" s="159"/>
    </row>
    <row r="184" spans="7:7">
      <c r="G184" s="159"/>
    </row>
    <row r="185" spans="7:7">
      <c r="G185" s="159"/>
    </row>
    <row r="186" spans="7:7">
      <c r="G186" s="159"/>
    </row>
    <row r="187" spans="7:7">
      <c r="G187" s="159"/>
    </row>
    <row r="188" spans="7:7">
      <c r="G188" s="159"/>
    </row>
    <row r="189" spans="7:7">
      <c r="G189" s="159"/>
    </row>
    <row r="190" spans="7:7">
      <c r="G190" s="159"/>
    </row>
    <row r="191" spans="7:7">
      <c r="G191" s="159"/>
    </row>
    <row r="192" spans="7:7">
      <c r="G192" s="159"/>
    </row>
    <row r="193" spans="7:7">
      <c r="G193" s="159"/>
    </row>
    <row r="194" spans="7:7">
      <c r="G194" s="159"/>
    </row>
    <row r="195" spans="7:7">
      <c r="G195" s="159"/>
    </row>
    <row r="196" spans="7:7">
      <c r="G196" s="159"/>
    </row>
    <row r="197" spans="7:7">
      <c r="G197" s="159"/>
    </row>
    <row r="198" spans="7:7">
      <c r="G198" s="159"/>
    </row>
    <row r="199" spans="7:7">
      <c r="G199" s="159"/>
    </row>
    <row r="200" spans="7:7">
      <c r="G200" s="159"/>
    </row>
    <row r="201" spans="7:7">
      <c r="G201" s="159"/>
    </row>
    <row r="202" spans="7:7">
      <c r="G202" s="159"/>
    </row>
    <row r="203" spans="7:7">
      <c r="G203" s="159"/>
    </row>
    <row r="204" spans="7:7">
      <c r="G204" s="159"/>
    </row>
    <row r="205" spans="7:7">
      <c r="G205" s="159"/>
    </row>
    <row r="206" spans="7:7">
      <c r="G206" s="159"/>
    </row>
    <row r="207" spans="7:7">
      <c r="G207" s="159"/>
    </row>
    <row r="208" spans="7:7">
      <c r="G208" s="159"/>
    </row>
    <row r="209" spans="7:7">
      <c r="G209" s="159"/>
    </row>
    <row r="210" spans="7:7">
      <c r="G210" s="159"/>
    </row>
    <row r="211" spans="7:7">
      <c r="G211" s="159"/>
    </row>
    <row r="212" spans="7:7">
      <c r="G212" s="159"/>
    </row>
    <row r="213" spans="7:7">
      <c r="G213" s="159"/>
    </row>
    <row r="214" spans="7:7">
      <c r="G214" s="159"/>
    </row>
    <row r="215" spans="7:7">
      <c r="G215" s="159"/>
    </row>
    <row r="216" spans="7:7">
      <c r="G216" s="159"/>
    </row>
    <row r="217" spans="7:7">
      <c r="G217" s="159"/>
    </row>
    <row r="218" spans="7:7">
      <c r="G218" s="159"/>
    </row>
    <row r="219" spans="7:7">
      <c r="G219" s="159"/>
    </row>
    <row r="220" spans="7:7">
      <c r="G220" s="159"/>
    </row>
    <row r="221" spans="7:7">
      <c r="G221" s="159"/>
    </row>
    <row r="222" spans="7:7">
      <c r="G222" s="159"/>
    </row>
    <row r="223" spans="7:7">
      <c r="G223" s="159"/>
    </row>
    <row r="224" spans="7:7">
      <c r="G224" s="159"/>
    </row>
    <row r="225" spans="7:7">
      <c r="G225" s="159"/>
    </row>
    <row r="226" spans="7:7">
      <c r="G226" s="159"/>
    </row>
    <row r="227" spans="7:7">
      <c r="G227" s="159"/>
    </row>
    <row r="228" spans="7:7">
      <c r="G228" s="159"/>
    </row>
    <row r="229" spans="7:7">
      <c r="G229" s="159"/>
    </row>
    <row r="230" spans="7:7">
      <c r="G230" s="159"/>
    </row>
    <row r="231" spans="7:7">
      <c r="G231" s="159"/>
    </row>
    <row r="232" spans="7:7">
      <c r="G232" s="159"/>
    </row>
    <row r="233" spans="7:7">
      <c r="G233" s="159"/>
    </row>
    <row r="234" spans="7:7">
      <c r="G234" s="159"/>
    </row>
    <row r="235" spans="7:7">
      <c r="G235" s="159"/>
    </row>
    <row r="236" spans="7:7">
      <c r="G236" s="159"/>
    </row>
    <row r="237" spans="7:7">
      <c r="G237" s="159"/>
    </row>
    <row r="238" spans="7:7">
      <c r="G238" s="159"/>
    </row>
    <row r="239" spans="7:7">
      <c r="G239" s="159"/>
    </row>
    <row r="240" spans="7:7">
      <c r="G240" s="159"/>
    </row>
    <row r="241" spans="7:7">
      <c r="G241" s="159"/>
    </row>
    <row r="242" spans="7:7">
      <c r="G242" s="159"/>
    </row>
    <row r="243" spans="7:7">
      <c r="G243" s="159"/>
    </row>
    <row r="244" spans="7:7">
      <c r="G244" s="159"/>
    </row>
    <row r="245" spans="7:7">
      <c r="G245" s="159"/>
    </row>
    <row r="246" spans="7:7">
      <c r="G246" s="159"/>
    </row>
    <row r="247" spans="7:7">
      <c r="G247" s="159"/>
    </row>
    <row r="248" spans="7:7">
      <c r="G248" s="159"/>
    </row>
    <row r="249" spans="7:7">
      <c r="G249" s="159"/>
    </row>
    <row r="250" spans="7:7">
      <c r="G250" s="159"/>
    </row>
    <row r="251" spans="7:7">
      <c r="G251" s="159"/>
    </row>
    <row r="252" spans="7:7">
      <c r="G252" s="159"/>
    </row>
    <row r="253" spans="7:7">
      <c r="G253" s="159"/>
    </row>
    <row r="254" spans="7:7">
      <c r="G254" s="159"/>
    </row>
    <row r="255" spans="7:7">
      <c r="G255" s="159"/>
    </row>
    <row r="256" spans="7:7">
      <c r="G256" s="159"/>
    </row>
    <row r="257" spans="7:7">
      <c r="G257" s="159"/>
    </row>
    <row r="258" spans="7:7">
      <c r="G258" s="159"/>
    </row>
    <row r="259" spans="7:7">
      <c r="G259" s="159"/>
    </row>
    <row r="260" spans="7:7">
      <c r="G260" s="159"/>
    </row>
    <row r="261" spans="7:7">
      <c r="G261" s="159"/>
    </row>
    <row r="262" spans="7:7">
      <c r="G262" s="159"/>
    </row>
    <row r="263" spans="7:7">
      <c r="G263" s="159"/>
    </row>
    <row r="264" spans="7:7">
      <c r="G264" s="159"/>
    </row>
    <row r="265" spans="7:7">
      <c r="G265" s="159"/>
    </row>
    <row r="266" spans="7:7">
      <c r="G266" s="159"/>
    </row>
    <row r="267" spans="7:7">
      <c r="G267" s="159"/>
    </row>
    <row r="268" spans="7:7">
      <c r="G268" s="159"/>
    </row>
    <row r="269" spans="7:7">
      <c r="G269" s="159"/>
    </row>
    <row r="270" spans="7:7">
      <c r="G270" s="159"/>
    </row>
    <row r="271" spans="7:7">
      <c r="G271" s="159"/>
    </row>
    <row r="272" spans="7:7">
      <c r="G272" s="159"/>
    </row>
    <row r="273" spans="7:7">
      <c r="G273" s="159"/>
    </row>
    <row r="274" spans="7:7">
      <c r="G274" s="159"/>
    </row>
    <row r="275" spans="7:7">
      <c r="G275" s="159"/>
    </row>
    <row r="276" spans="7:7">
      <c r="G276" s="159"/>
    </row>
    <row r="277" spans="7:7">
      <c r="G277" s="159"/>
    </row>
    <row r="278" spans="7:7">
      <c r="G278" s="159"/>
    </row>
    <row r="279" spans="7:7">
      <c r="G279" s="159"/>
    </row>
    <row r="280" spans="7:7">
      <c r="G280" s="159"/>
    </row>
    <row r="281" spans="7:7">
      <c r="G281" s="159"/>
    </row>
    <row r="282" spans="7:7">
      <c r="G282" s="159"/>
    </row>
    <row r="283" spans="7:7">
      <c r="G283" s="159"/>
    </row>
    <row r="284" spans="7:7">
      <c r="G284" s="159"/>
    </row>
    <row r="285" spans="7:7">
      <c r="G285" s="159"/>
    </row>
    <row r="286" spans="7:7">
      <c r="G286" s="159"/>
    </row>
    <row r="287" spans="7:7">
      <c r="G287" s="159"/>
    </row>
    <row r="288" spans="7:7">
      <c r="G288" s="159"/>
    </row>
    <row r="289" spans="7:7">
      <c r="G289" s="159"/>
    </row>
    <row r="290" spans="7:7">
      <c r="G290" s="159"/>
    </row>
    <row r="291" spans="7:7">
      <c r="G291" s="159"/>
    </row>
    <row r="292" spans="7:7">
      <c r="G292" s="159"/>
    </row>
    <row r="293" spans="7:7">
      <c r="G293" s="159"/>
    </row>
    <row r="294" spans="7:7">
      <c r="G294" s="159"/>
    </row>
    <row r="295" spans="7:7">
      <c r="G295" s="159"/>
    </row>
    <row r="296" spans="7:7">
      <c r="G296" s="159"/>
    </row>
    <row r="297" spans="7:7">
      <c r="G297" s="159"/>
    </row>
    <row r="298" spans="7:7">
      <c r="G298" s="159"/>
    </row>
    <row r="299" spans="7:7">
      <c r="G299" s="159"/>
    </row>
    <row r="300" spans="7:7">
      <c r="G300" s="159"/>
    </row>
    <row r="301" spans="7:7">
      <c r="G301" s="159"/>
    </row>
    <row r="302" spans="7:7">
      <c r="G302" s="159"/>
    </row>
    <row r="303" spans="7:7">
      <c r="G303" s="159"/>
    </row>
    <row r="304" spans="7:7">
      <c r="G304" s="159"/>
    </row>
    <row r="305" spans="7:7">
      <c r="G305" s="159"/>
    </row>
    <row r="306" spans="7:7">
      <c r="G306" s="159"/>
    </row>
    <row r="307" spans="7:7">
      <c r="G307" s="159"/>
    </row>
    <row r="308" spans="7:7">
      <c r="G308" s="159"/>
    </row>
    <row r="309" spans="7:7">
      <c r="G309" s="159"/>
    </row>
    <row r="310" spans="7:7">
      <c r="G310" s="159"/>
    </row>
    <row r="311" spans="7:7">
      <c r="G311" s="159"/>
    </row>
    <row r="312" spans="7:7">
      <c r="G312" s="159"/>
    </row>
    <row r="313" spans="7:7">
      <c r="G313" s="159"/>
    </row>
    <row r="314" spans="7:7">
      <c r="G314" s="159"/>
    </row>
    <row r="315" spans="7:7">
      <c r="G315" s="159"/>
    </row>
    <row r="316" spans="7:7">
      <c r="G316" s="159"/>
    </row>
    <row r="317" spans="7:7">
      <c r="G317" s="159"/>
    </row>
    <row r="318" spans="7:7">
      <c r="G318" s="159"/>
    </row>
    <row r="319" spans="7:7">
      <c r="G319" s="159"/>
    </row>
    <row r="320" spans="7:7">
      <c r="G320" s="159"/>
    </row>
    <row r="321" spans="7:7">
      <c r="G321" s="159"/>
    </row>
    <row r="322" spans="7:7">
      <c r="G322" s="159"/>
    </row>
    <row r="323" spans="7:7">
      <c r="G323" s="159"/>
    </row>
    <row r="324" spans="7:7">
      <c r="G324" s="159"/>
    </row>
    <row r="325" spans="7:7">
      <c r="G325" s="159"/>
    </row>
    <row r="326" spans="7:7">
      <c r="G326" s="159"/>
    </row>
    <row r="327" spans="7:7">
      <c r="G327" s="159"/>
    </row>
    <row r="328" spans="7:7">
      <c r="G328" s="159"/>
    </row>
    <row r="329" spans="7:7">
      <c r="G329" s="159"/>
    </row>
    <row r="330" spans="7:7">
      <c r="G330" s="159"/>
    </row>
    <row r="331" spans="7:7">
      <c r="G331" s="159"/>
    </row>
    <row r="332" spans="7:7">
      <c r="G332" s="159"/>
    </row>
    <row r="333" spans="7:7">
      <c r="G333" s="159"/>
    </row>
    <row r="334" spans="7:7">
      <c r="G334" s="159"/>
    </row>
    <row r="335" spans="7:7">
      <c r="G335" s="159"/>
    </row>
    <row r="336" spans="7:7">
      <c r="G336" s="159"/>
    </row>
    <row r="337" spans="7:7">
      <c r="G337" s="159"/>
    </row>
    <row r="338" spans="7:7">
      <c r="G338" s="159"/>
    </row>
    <row r="339" spans="7:7">
      <c r="G339" s="159"/>
    </row>
    <row r="340" spans="7:7">
      <c r="G340" s="159"/>
    </row>
    <row r="341" spans="7:7">
      <c r="G341" s="159"/>
    </row>
    <row r="342" spans="7:7">
      <c r="G342" s="159"/>
    </row>
    <row r="343" spans="7:7">
      <c r="G343" s="159"/>
    </row>
    <row r="344" spans="7:7">
      <c r="G344" s="159"/>
    </row>
    <row r="345" spans="7:7">
      <c r="G345" s="159"/>
    </row>
    <row r="346" spans="7:7">
      <c r="G346" s="159"/>
    </row>
    <row r="347" spans="7:7">
      <c r="G347" s="159"/>
    </row>
    <row r="348" spans="7:7">
      <c r="G348" s="159"/>
    </row>
    <row r="349" spans="7:7">
      <c r="G349" s="159"/>
    </row>
    <row r="350" spans="7:7">
      <c r="G350" s="159"/>
    </row>
    <row r="351" spans="7:7">
      <c r="G351" s="159"/>
    </row>
    <row r="352" spans="7:7">
      <c r="G352" s="159"/>
    </row>
    <row r="353" spans="7:7">
      <c r="G353" s="159"/>
    </row>
    <row r="354" spans="7:7">
      <c r="G354" s="159"/>
    </row>
    <row r="355" spans="7:7">
      <c r="G355" s="159"/>
    </row>
    <row r="356" spans="7:7">
      <c r="G356" s="159"/>
    </row>
    <row r="357" spans="7:7">
      <c r="G357" s="159"/>
    </row>
    <row r="358" spans="7:7">
      <c r="G358" s="159"/>
    </row>
    <row r="359" spans="7:7">
      <c r="G359" s="159"/>
    </row>
    <row r="360" spans="7:7">
      <c r="G360" s="159"/>
    </row>
    <row r="361" spans="7:7">
      <c r="G361" s="159"/>
    </row>
    <row r="362" spans="7:7">
      <c r="G362" s="159"/>
    </row>
    <row r="363" spans="7:7">
      <c r="G363" s="159"/>
    </row>
    <row r="364" spans="7:7">
      <c r="G364" s="159"/>
    </row>
    <row r="365" spans="7:7">
      <c r="G365" s="159"/>
    </row>
    <row r="366" spans="7:7">
      <c r="G366" s="159"/>
    </row>
    <row r="367" spans="7:7">
      <c r="G367" s="159"/>
    </row>
    <row r="368" spans="7:7">
      <c r="G368" s="159"/>
    </row>
    <row r="369" spans="7:7">
      <c r="G369" s="159"/>
    </row>
    <row r="370" spans="7:7">
      <c r="G370" s="159"/>
    </row>
    <row r="371" spans="7:7">
      <c r="G371" s="159"/>
    </row>
    <row r="372" spans="7:7">
      <c r="G372" s="159"/>
    </row>
    <row r="373" spans="7:7">
      <c r="G373" s="159"/>
    </row>
    <row r="374" spans="7:7">
      <c r="G374" s="159"/>
    </row>
    <row r="375" spans="7:7">
      <c r="G375" s="159"/>
    </row>
    <row r="376" spans="7:7">
      <c r="G376" s="159"/>
    </row>
    <row r="377" spans="7:7">
      <c r="G377" s="159"/>
    </row>
    <row r="378" spans="7:7">
      <c r="G378" s="159"/>
    </row>
    <row r="379" spans="7:7">
      <c r="G379" s="159"/>
    </row>
    <row r="380" spans="7:7">
      <c r="G380" s="159"/>
    </row>
    <row r="381" spans="7:7">
      <c r="G381" s="159"/>
    </row>
    <row r="382" spans="7:7">
      <c r="G382" s="159"/>
    </row>
    <row r="383" spans="7:7">
      <c r="G383" s="159"/>
    </row>
    <row r="384" spans="7:7">
      <c r="G384" s="159"/>
    </row>
    <row r="385" spans="7:7">
      <c r="G385" s="159"/>
    </row>
    <row r="386" spans="7:7">
      <c r="G386" s="159"/>
    </row>
    <row r="387" spans="7:7">
      <c r="G387" s="159"/>
    </row>
    <row r="388" spans="7:7">
      <c r="G388" s="159"/>
    </row>
    <row r="389" spans="7:7">
      <c r="G389" s="159"/>
    </row>
    <row r="390" spans="7:7">
      <c r="G390" s="159"/>
    </row>
    <row r="391" spans="7:7">
      <c r="G391" s="159"/>
    </row>
    <row r="392" spans="7:7">
      <c r="G392" s="159"/>
    </row>
    <row r="393" spans="7:7">
      <c r="G393" s="159"/>
    </row>
    <row r="394" spans="7:7">
      <c r="G394" s="159"/>
    </row>
    <row r="395" spans="7:7">
      <c r="G395" s="159"/>
    </row>
    <row r="396" spans="7:7">
      <c r="G396" s="159"/>
    </row>
    <row r="397" spans="7:7">
      <c r="G397" s="159"/>
    </row>
    <row r="398" spans="7:7">
      <c r="G398" s="159"/>
    </row>
    <row r="399" spans="7:7">
      <c r="G399" s="159"/>
    </row>
    <row r="400" spans="7:7">
      <c r="G400" s="159"/>
    </row>
    <row r="401" spans="7:7">
      <c r="G401" s="159"/>
    </row>
    <row r="402" spans="7:7">
      <c r="G402" s="159"/>
    </row>
    <row r="403" spans="7:7">
      <c r="G403" s="159"/>
    </row>
    <row r="404" spans="7:7">
      <c r="G404" s="159"/>
    </row>
    <row r="405" spans="7:7">
      <c r="G405" s="159"/>
    </row>
    <row r="406" spans="7:7">
      <c r="G406" s="159"/>
    </row>
    <row r="407" spans="7:7">
      <c r="G407" s="159"/>
    </row>
    <row r="408" spans="7:7">
      <c r="G408" s="159"/>
    </row>
    <row r="409" spans="7:7">
      <c r="G409" s="159"/>
    </row>
    <row r="410" spans="7:7">
      <c r="G410" s="159"/>
    </row>
    <row r="411" spans="7:7">
      <c r="G411" s="159"/>
    </row>
    <row r="412" spans="7:7">
      <c r="G412" s="159"/>
    </row>
    <row r="413" spans="7:7">
      <c r="G413" s="159"/>
    </row>
    <row r="414" spans="7:7">
      <c r="G414" s="159"/>
    </row>
    <row r="415" spans="7:7">
      <c r="G415" s="159"/>
    </row>
    <row r="416" spans="7:7">
      <c r="G416" s="159"/>
    </row>
    <row r="417" spans="7:7">
      <c r="G417" s="159"/>
    </row>
    <row r="418" spans="7:7">
      <c r="G418" s="159"/>
    </row>
    <row r="419" spans="7:7">
      <c r="G419" s="159"/>
    </row>
    <row r="420" spans="7:7">
      <c r="G420" s="159"/>
    </row>
    <row r="421" spans="7:7">
      <c r="G421" s="159"/>
    </row>
    <row r="422" spans="7:7">
      <c r="G422" s="159"/>
    </row>
    <row r="423" spans="7:7">
      <c r="G423" s="159"/>
    </row>
    <row r="424" spans="7:7">
      <c r="G424" s="159"/>
    </row>
    <row r="425" spans="7:7">
      <c r="G425" s="159"/>
    </row>
    <row r="426" spans="7:7">
      <c r="G426" s="159"/>
    </row>
    <row r="427" spans="7:7">
      <c r="G427" s="159"/>
    </row>
    <row r="428" spans="7:7">
      <c r="G428" s="159"/>
    </row>
    <row r="429" spans="7:7">
      <c r="G429" s="159"/>
    </row>
    <row r="430" spans="7:7">
      <c r="G430" s="159"/>
    </row>
    <row r="431" spans="7:7">
      <c r="G431" s="159"/>
    </row>
    <row r="432" spans="7:7">
      <c r="G432" s="159"/>
    </row>
    <row r="433" spans="7:7">
      <c r="G433" s="159"/>
    </row>
    <row r="434" spans="7:7">
      <c r="G434" s="159"/>
    </row>
    <row r="435" spans="7:7">
      <c r="G435" s="159"/>
    </row>
    <row r="436" spans="7:7">
      <c r="G436" s="159"/>
    </row>
    <row r="437" spans="7:7">
      <c r="G437" s="159"/>
    </row>
    <row r="438" spans="7:7">
      <c r="G438" s="159"/>
    </row>
    <row r="439" spans="7:7">
      <c r="G439" s="159"/>
    </row>
    <row r="440" spans="7:7">
      <c r="G440" s="159"/>
    </row>
    <row r="441" spans="7:7">
      <c r="G441" s="159"/>
    </row>
    <row r="442" spans="7:7">
      <c r="G442" s="159"/>
    </row>
    <row r="443" spans="7:7">
      <c r="G443" s="159"/>
    </row>
    <row r="444" spans="7:7">
      <c r="G444" s="159"/>
    </row>
    <row r="445" spans="7:7">
      <c r="G445" s="159"/>
    </row>
    <row r="446" spans="7:7">
      <c r="G446" s="159"/>
    </row>
    <row r="447" spans="7:7">
      <c r="G447" s="159"/>
    </row>
    <row r="448" spans="7:7">
      <c r="G448" s="159"/>
    </row>
    <row r="449" spans="7:7">
      <c r="G449" s="159"/>
    </row>
    <row r="450" spans="7:7">
      <c r="G450" s="159"/>
    </row>
    <row r="451" spans="7:7">
      <c r="G451" s="159"/>
    </row>
    <row r="452" spans="7:7">
      <c r="G452" s="159"/>
    </row>
    <row r="453" spans="7:7">
      <c r="G453" s="159"/>
    </row>
    <row r="454" spans="7:7">
      <c r="G454" s="159"/>
    </row>
    <row r="455" spans="7:7">
      <c r="G455" s="159"/>
    </row>
    <row r="456" spans="7:7">
      <c r="G456" s="159"/>
    </row>
    <row r="457" spans="7:7">
      <c r="G457" s="159"/>
    </row>
    <row r="458" spans="7:7">
      <c r="G458" s="159"/>
    </row>
    <row r="459" spans="7:7">
      <c r="G459" s="159"/>
    </row>
    <row r="460" spans="7:7">
      <c r="G460" s="159"/>
    </row>
    <row r="461" spans="7:7">
      <c r="G461" s="159"/>
    </row>
    <row r="462" spans="7:7">
      <c r="G462" s="159"/>
    </row>
    <row r="463" spans="7:7">
      <c r="G463" s="159"/>
    </row>
    <row r="464" spans="7:7">
      <c r="G464" s="159"/>
    </row>
    <row r="465" spans="7:7">
      <c r="G465" s="159"/>
    </row>
    <row r="466" spans="7:7">
      <c r="G466" s="159"/>
    </row>
    <row r="467" spans="7:7">
      <c r="G467" s="159"/>
    </row>
    <row r="468" spans="7:7">
      <c r="G468" s="159"/>
    </row>
    <row r="469" spans="7:7">
      <c r="G469" s="159"/>
    </row>
    <row r="470" spans="7:7">
      <c r="G470" s="159"/>
    </row>
    <row r="471" spans="7:7">
      <c r="G471" s="159"/>
    </row>
    <row r="472" spans="7:7">
      <c r="G472" s="159"/>
    </row>
    <row r="473" spans="7:7">
      <c r="G473" s="159"/>
    </row>
    <row r="474" spans="7:7">
      <c r="G474" s="159"/>
    </row>
    <row r="475" spans="7:7">
      <c r="G475" s="159"/>
    </row>
    <row r="476" spans="7:7">
      <c r="G476" s="159"/>
    </row>
    <row r="477" spans="7:7">
      <c r="G477" s="159"/>
    </row>
    <row r="478" spans="7:7">
      <c r="G478" s="159"/>
    </row>
    <row r="479" spans="7:7">
      <c r="G479" s="159"/>
    </row>
    <row r="480" spans="7:7">
      <c r="G480" s="159"/>
    </row>
    <row r="481" spans="7:7">
      <c r="G481" s="159"/>
    </row>
    <row r="482" spans="7:7">
      <c r="G482" s="159"/>
    </row>
    <row r="483" spans="7:7">
      <c r="G483" s="159"/>
    </row>
    <row r="484" spans="7:7">
      <c r="G484" s="159"/>
    </row>
    <row r="485" spans="7:7">
      <c r="G485" s="159"/>
    </row>
    <row r="486" spans="7:7">
      <c r="G486" s="159"/>
    </row>
    <row r="487" spans="7:7">
      <c r="G487" s="159"/>
    </row>
    <row r="488" spans="7:7">
      <c r="G488" s="159"/>
    </row>
    <row r="489" spans="7:7">
      <c r="G489" s="159"/>
    </row>
    <row r="490" spans="7:7">
      <c r="G490" s="159"/>
    </row>
    <row r="491" spans="7:7">
      <c r="G491" s="159"/>
    </row>
    <row r="492" spans="7:7">
      <c r="G492" s="159"/>
    </row>
    <row r="493" spans="7:7">
      <c r="G493" s="159"/>
    </row>
    <row r="494" spans="7:7">
      <c r="G494" s="159"/>
    </row>
    <row r="495" spans="7:7">
      <c r="G495" s="159"/>
    </row>
    <row r="496" spans="7:7">
      <c r="G496" s="159"/>
    </row>
    <row r="497" spans="7:7">
      <c r="G497" s="159"/>
    </row>
    <row r="498" spans="7:7">
      <c r="G498" s="159"/>
    </row>
    <row r="499" spans="7:7">
      <c r="G499" s="159"/>
    </row>
    <row r="500" spans="7:7">
      <c r="G500" s="159"/>
    </row>
    <row r="501" spans="7:7">
      <c r="G501" s="159"/>
    </row>
    <row r="502" spans="7:7">
      <c r="G502" s="159"/>
    </row>
    <row r="503" spans="7:7">
      <c r="G503" s="159"/>
    </row>
    <row r="504" spans="7:7">
      <c r="G504" s="159"/>
    </row>
    <row r="505" spans="7:7">
      <c r="G505" s="159"/>
    </row>
    <row r="506" spans="7:7">
      <c r="G506" s="159"/>
    </row>
    <row r="507" spans="7:7">
      <c r="G507" s="159"/>
    </row>
    <row r="508" spans="7:7">
      <c r="G508" s="159"/>
    </row>
    <row r="509" spans="7:7">
      <c r="G509" s="159"/>
    </row>
    <row r="510" spans="7:7">
      <c r="G510" s="159"/>
    </row>
    <row r="511" spans="7:7">
      <c r="G511" s="159"/>
    </row>
    <row r="512" spans="7:7">
      <c r="G512" s="159"/>
    </row>
    <row r="513" spans="7:7">
      <c r="G513" s="159"/>
    </row>
    <row r="514" spans="7:7">
      <c r="G514" s="159"/>
    </row>
    <row r="515" spans="7:7">
      <c r="G515" s="159"/>
    </row>
    <row r="516" spans="7:7">
      <c r="G516" s="159"/>
    </row>
    <row r="517" spans="7:7">
      <c r="G517" s="159"/>
    </row>
    <row r="518" spans="7:7">
      <c r="G518" s="159"/>
    </row>
    <row r="519" spans="7:7">
      <c r="G519" s="159"/>
    </row>
    <row r="520" spans="7:7">
      <c r="G520" s="159"/>
    </row>
    <row r="521" spans="7:7">
      <c r="G521" s="159"/>
    </row>
    <row r="522" spans="7:7">
      <c r="G522" s="159"/>
    </row>
    <row r="523" spans="7:7">
      <c r="G523" s="159"/>
    </row>
    <row r="524" spans="7:7">
      <c r="G524" s="159"/>
    </row>
    <row r="525" spans="7:7">
      <c r="G525" s="159"/>
    </row>
    <row r="526" spans="7:7">
      <c r="G526" s="159"/>
    </row>
    <row r="527" spans="7:7">
      <c r="G527" s="159"/>
    </row>
    <row r="528" spans="7:7">
      <c r="G528" s="159"/>
    </row>
    <row r="529" spans="7:7">
      <c r="G529" s="159"/>
    </row>
    <row r="530" spans="7:7">
      <c r="G530" s="159"/>
    </row>
    <row r="531" spans="7:7">
      <c r="G531" s="159"/>
    </row>
    <row r="532" spans="7:7">
      <c r="G532" s="159"/>
    </row>
    <row r="533" spans="7:7">
      <c r="G533" s="159"/>
    </row>
    <row r="534" spans="7:7">
      <c r="G534" s="159"/>
    </row>
    <row r="535" spans="7:7">
      <c r="G535" s="159"/>
    </row>
    <row r="536" spans="7:7">
      <c r="G536" s="159"/>
    </row>
    <row r="537" spans="7:7">
      <c r="G537" s="159"/>
    </row>
    <row r="538" spans="7:7">
      <c r="G538" s="159"/>
    </row>
    <row r="539" spans="7:7">
      <c r="G539" s="159"/>
    </row>
    <row r="540" spans="7:7">
      <c r="G540" s="159"/>
    </row>
    <row r="541" spans="7:7">
      <c r="G541" s="159"/>
    </row>
    <row r="542" spans="7:7">
      <c r="G542" s="159"/>
    </row>
    <row r="543" spans="7:7">
      <c r="G543" s="159"/>
    </row>
    <row r="544" spans="7:7">
      <c r="G544" s="159"/>
    </row>
    <row r="545" spans="7:7">
      <c r="G545" s="159"/>
    </row>
    <row r="546" spans="7:7">
      <c r="G546" s="159"/>
    </row>
    <row r="547" spans="7:7">
      <c r="G547" s="159"/>
    </row>
    <row r="548" spans="7:7">
      <c r="G548" s="159"/>
    </row>
    <row r="549" spans="7:7">
      <c r="G549" s="159"/>
    </row>
    <row r="550" spans="7:7">
      <c r="G550" s="159"/>
    </row>
    <row r="551" spans="7:7">
      <c r="G551" s="159"/>
    </row>
    <row r="552" spans="7:7">
      <c r="G552" s="159"/>
    </row>
    <row r="553" spans="7:7">
      <c r="G553" s="159"/>
    </row>
    <row r="554" spans="7:7">
      <c r="G554" s="159"/>
    </row>
    <row r="555" spans="7:7">
      <c r="G555" s="159"/>
    </row>
    <row r="556" spans="7:7">
      <c r="G556" s="159"/>
    </row>
    <row r="557" spans="7:7">
      <c r="G557" s="159"/>
    </row>
    <row r="558" spans="7:7">
      <c r="G558" s="159"/>
    </row>
    <row r="559" spans="7:7">
      <c r="G559" s="159"/>
    </row>
    <row r="560" spans="7:7">
      <c r="G560" s="159"/>
    </row>
    <row r="561" spans="7:7">
      <c r="G561" s="159"/>
    </row>
    <row r="562" spans="7:7">
      <c r="G562" s="159"/>
    </row>
    <row r="563" spans="7:7">
      <c r="G563" s="159"/>
    </row>
    <row r="564" spans="7:7">
      <c r="G564" s="159"/>
    </row>
    <row r="565" spans="7:7">
      <c r="G565" s="159"/>
    </row>
    <row r="566" spans="7:7">
      <c r="G566" s="159"/>
    </row>
    <row r="567" spans="7:7">
      <c r="G567" s="159"/>
    </row>
    <row r="568" spans="7:7">
      <c r="G568" s="159"/>
    </row>
    <row r="569" spans="7:7">
      <c r="G569" s="159"/>
    </row>
    <row r="570" spans="7:7">
      <c r="G570" s="159"/>
    </row>
    <row r="571" spans="7:7">
      <c r="G571" s="159"/>
    </row>
    <row r="572" spans="7:7">
      <c r="G572" s="159"/>
    </row>
    <row r="573" spans="7:7">
      <c r="G573" s="159"/>
    </row>
    <row r="574" spans="7:7">
      <c r="G574" s="159"/>
    </row>
    <row r="575" spans="7:7">
      <c r="G575" s="159"/>
    </row>
    <row r="576" spans="7:7">
      <c r="G576" s="159"/>
    </row>
    <row r="577" spans="7:7">
      <c r="G577" s="159"/>
    </row>
    <row r="578" spans="7:7">
      <c r="G578" s="159"/>
    </row>
    <row r="579" spans="7:7">
      <c r="G579" s="159"/>
    </row>
    <row r="580" spans="7:7">
      <c r="G580" s="159"/>
    </row>
    <row r="581" spans="7:7">
      <c r="G581" s="159"/>
    </row>
    <row r="582" spans="7:7">
      <c r="G582" s="159"/>
    </row>
    <row r="583" spans="7:7">
      <c r="G583" s="159"/>
    </row>
    <row r="584" spans="7:7">
      <c r="G584" s="159"/>
    </row>
    <row r="585" spans="7:7">
      <c r="G585" s="159"/>
    </row>
    <row r="586" spans="7:7">
      <c r="G586" s="159"/>
    </row>
    <row r="587" spans="7:7">
      <c r="G587" s="159"/>
    </row>
    <row r="588" spans="7:7">
      <c r="G588" s="159"/>
    </row>
    <row r="589" spans="7:7">
      <c r="G589" s="159"/>
    </row>
    <row r="590" spans="7:7">
      <c r="G590" s="159"/>
    </row>
    <row r="591" spans="7:7">
      <c r="G591" s="159"/>
    </row>
    <row r="592" spans="7:7">
      <c r="G592" s="159"/>
    </row>
    <row r="593" spans="7:7">
      <c r="G593" s="159"/>
    </row>
    <row r="594" spans="7:7">
      <c r="G594" s="159"/>
    </row>
    <row r="595" spans="7:7">
      <c r="G595" s="159"/>
    </row>
    <row r="596" spans="7:7">
      <c r="G596" s="159"/>
    </row>
    <row r="597" spans="7:7">
      <c r="G597" s="159"/>
    </row>
    <row r="598" spans="7:7">
      <c r="G598" s="159"/>
    </row>
    <row r="599" spans="7:7">
      <c r="G599" s="159"/>
    </row>
    <row r="600" spans="7:7">
      <c r="G600" s="159"/>
    </row>
    <row r="601" spans="7:7">
      <c r="G601" s="159"/>
    </row>
    <row r="602" spans="7:7">
      <c r="G602" s="159"/>
    </row>
    <row r="603" spans="7:7">
      <c r="G603" s="159"/>
    </row>
    <row r="604" spans="7:7">
      <c r="G604" s="159"/>
    </row>
    <row r="605" spans="7:7">
      <c r="G605" s="159"/>
    </row>
    <row r="606" spans="7:7">
      <c r="G606" s="159"/>
    </row>
    <row r="607" spans="7:7">
      <c r="G607" s="159"/>
    </row>
    <row r="608" spans="7:7">
      <c r="G608" s="159"/>
    </row>
    <row r="609" spans="7:7">
      <c r="G609" s="159"/>
    </row>
    <row r="610" spans="7:7">
      <c r="G610" s="159"/>
    </row>
    <row r="611" spans="7:7">
      <c r="G611" s="159"/>
    </row>
    <row r="612" spans="7:7">
      <c r="G612" s="159"/>
    </row>
    <row r="613" spans="7:7">
      <c r="G613" s="159"/>
    </row>
    <row r="614" spans="7:7">
      <c r="G614" s="159"/>
    </row>
    <row r="615" spans="7:7">
      <c r="G615" s="159"/>
    </row>
    <row r="616" spans="7:7">
      <c r="G616" s="159"/>
    </row>
    <row r="617" spans="7:7">
      <c r="G617" s="159"/>
    </row>
    <row r="618" spans="7:7">
      <c r="G618" s="159"/>
    </row>
    <row r="619" spans="7:7">
      <c r="G619" s="159"/>
    </row>
    <row r="620" spans="7:7">
      <c r="G620" s="159"/>
    </row>
    <row r="621" spans="7:7">
      <c r="G621" s="159"/>
    </row>
    <row r="622" spans="7:7">
      <c r="G622" s="159"/>
    </row>
    <row r="623" spans="7:7">
      <c r="G623" s="159"/>
    </row>
    <row r="624" spans="7:7">
      <c r="G624" s="159"/>
    </row>
    <row r="625" spans="7:7">
      <c r="G625" s="159"/>
    </row>
    <row r="626" spans="7:7">
      <c r="G626" s="159"/>
    </row>
    <row r="627" spans="7:7">
      <c r="G627" s="159"/>
    </row>
    <row r="628" spans="7:7">
      <c r="G628" s="159"/>
    </row>
    <row r="629" spans="7:7">
      <c r="G629" s="159"/>
    </row>
    <row r="630" spans="7:7">
      <c r="G630" s="159"/>
    </row>
    <row r="631" spans="7:7">
      <c r="G631" s="159"/>
    </row>
    <row r="632" spans="7:7">
      <c r="G632" s="159"/>
    </row>
    <row r="633" spans="7:7">
      <c r="G633" s="159"/>
    </row>
    <row r="634" spans="7:7">
      <c r="G634" s="159"/>
    </row>
    <row r="635" spans="7:7">
      <c r="G635" s="159"/>
    </row>
    <row r="636" spans="7:7">
      <c r="G636" s="159"/>
    </row>
    <row r="637" spans="7:7">
      <c r="G637" s="159"/>
    </row>
    <row r="638" spans="7:7">
      <c r="G638" s="159"/>
    </row>
    <row r="639" spans="7:7">
      <c r="G639" s="159"/>
    </row>
    <row r="640" spans="7:7">
      <c r="G640" s="159"/>
    </row>
    <row r="641" spans="7:7">
      <c r="G641" s="159"/>
    </row>
    <row r="642" spans="7:7">
      <c r="G642" s="159"/>
    </row>
    <row r="643" spans="7:7">
      <c r="G643" s="159"/>
    </row>
    <row r="644" spans="7:7">
      <c r="G644" s="159"/>
    </row>
    <row r="645" spans="7:7">
      <c r="G645" s="159"/>
    </row>
    <row r="646" spans="7:7">
      <c r="G646" s="159"/>
    </row>
    <row r="647" spans="7:7">
      <c r="G647" s="159"/>
    </row>
    <row r="648" spans="7:7">
      <c r="G648" s="159"/>
    </row>
    <row r="649" spans="7:7">
      <c r="G649" s="159"/>
    </row>
    <row r="650" spans="7:7">
      <c r="G650" s="159"/>
    </row>
    <row r="651" spans="7:7">
      <c r="G651" s="159"/>
    </row>
    <row r="652" spans="7:7">
      <c r="G652" s="159"/>
    </row>
    <row r="653" spans="7:7">
      <c r="G653" s="159"/>
    </row>
    <row r="654" spans="7:7">
      <c r="G654" s="159"/>
    </row>
    <row r="655" spans="7:7">
      <c r="G655" s="159"/>
    </row>
    <row r="656" spans="7:7">
      <c r="G656" s="159"/>
    </row>
    <row r="657" spans="7:7">
      <c r="G657" s="159"/>
    </row>
    <row r="658" spans="7:7">
      <c r="G658" s="159"/>
    </row>
    <row r="659" spans="7:7">
      <c r="G659" s="159"/>
    </row>
    <row r="660" spans="7:7">
      <c r="G660" s="159"/>
    </row>
    <row r="661" spans="7:7">
      <c r="G661" s="159"/>
    </row>
    <row r="662" spans="7:7">
      <c r="G662" s="159"/>
    </row>
    <row r="663" spans="7:7">
      <c r="G663" s="159"/>
    </row>
    <row r="664" spans="7:7">
      <c r="G664" s="159"/>
    </row>
    <row r="665" spans="7:7">
      <c r="G665" s="159"/>
    </row>
    <row r="666" spans="7:7">
      <c r="G666" s="159"/>
    </row>
    <row r="667" spans="7:7">
      <c r="G667" s="159"/>
    </row>
    <row r="668" spans="7:7">
      <c r="G668" s="159"/>
    </row>
    <row r="669" spans="7:7">
      <c r="G669" s="159"/>
    </row>
    <row r="670" spans="7:7">
      <c r="G670" s="159"/>
    </row>
    <row r="671" spans="7:7">
      <c r="G671" s="159"/>
    </row>
    <row r="672" spans="7:7">
      <c r="G672" s="159"/>
    </row>
    <row r="673" spans="7:7">
      <c r="G673" s="159"/>
    </row>
    <row r="674" spans="7:7">
      <c r="G674" s="159"/>
    </row>
    <row r="675" spans="7:7">
      <c r="G675" s="159"/>
    </row>
    <row r="676" spans="7:7">
      <c r="G676" s="159"/>
    </row>
    <row r="677" spans="7:7">
      <c r="G677" s="159"/>
    </row>
    <row r="678" spans="7:7">
      <c r="G678" s="159"/>
    </row>
    <row r="679" spans="7:7">
      <c r="G679" s="159"/>
    </row>
    <row r="680" spans="7:7">
      <c r="G680" s="159"/>
    </row>
    <row r="681" spans="7:7">
      <c r="G681" s="159"/>
    </row>
    <row r="682" spans="7:7">
      <c r="G682" s="159"/>
    </row>
    <row r="683" spans="7:7">
      <c r="G683" s="159"/>
    </row>
    <row r="684" spans="7:7">
      <c r="G684" s="159"/>
    </row>
    <row r="685" spans="7:7">
      <c r="G685" s="159"/>
    </row>
    <row r="686" spans="7:7">
      <c r="G686" s="159"/>
    </row>
    <row r="687" spans="7:7">
      <c r="G687" s="159"/>
    </row>
    <row r="688" spans="7:7">
      <c r="G688" s="159"/>
    </row>
    <row r="689" spans="7:7">
      <c r="G689" s="159"/>
    </row>
    <row r="690" spans="7:7">
      <c r="G690" s="159"/>
    </row>
    <row r="691" spans="7:7">
      <c r="G691" s="159"/>
    </row>
    <row r="692" spans="7:7">
      <c r="G692" s="159"/>
    </row>
    <row r="693" spans="7:7">
      <c r="G693" s="159"/>
    </row>
    <row r="694" spans="7:7">
      <c r="G694" s="159"/>
    </row>
    <row r="695" spans="7:7">
      <c r="G695" s="159"/>
    </row>
    <row r="696" spans="7:7">
      <c r="G696" s="159"/>
    </row>
    <row r="697" spans="7:7">
      <c r="G697" s="159"/>
    </row>
    <row r="698" spans="7:7">
      <c r="G698" s="159"/>
    </row>
    <row r="699" spans="7:7">
      <c r="G699" s="159"/>
    </row>
    <row r="700" spans="7:7">
      <c r="G700" s="159"/>
    </row>
    <row r="701" spans="7:7">
      <c r="G701" s="159"/>
    </row>
    <row r="702" spans="7:7">
      <c r="G702" s="159"/>
    </row>
    <row r="703" spans="7:7">
      <c r="G703" s="159"/>
    </row>
    <row r="704" spans="7:7">
      <c r="G704" s="159"/>
    </row>
    <row r="705" spans="7:7">
      <c r="G705" s="159"/>
    </row>
    <row r="706" spans="7:7">
      <c r="G706" s="159"/>
    </row>
    <row r="707" spans="7:7">
      <c r="G707" s="159"/>
    </row>
    <row r="708" spans="7:7">
      <c r="G708" s="159"/>
    </row>
    <row r="709" spans="7:7">
      <c r="G709" s="159"/>
    </row>
    <row r="710" spans="7:7">
      <c r="G710" s="159"/>
    </row>
    <row r="711" spans="7:7">
      <c r="G711" s="159"/>
    </row>
    <row r="712" spans="7:7">
      <c r="G712" s="159"/>
    </row>
    <row r="713" spans="7:7">
      <c r="G713" s="159"/>
    </row>
    <row r="714" spans="7:7">
      <c r="G714" s="159"/>
    </row>
    <row r="715" spans="7:7">
      <c r="G715" s="159"/>
    </row>
    <row r="716" spans="7:7">
      <c r="G716" s="159"/>
    </row>
    <row r="717" spans="7:7">
      <c r="G717" s="159"/>
    </row>
    <row r="718" spans="7:7">
      <c r="G718" s="159"/>
    </row>
    <row r="719" spans="7:7">
      <c r="G719" s="159"/>
    </row>
    <row r="720" spans="7:7">
      <c r="G720" s="159"/>
    </row>
    <row r="721" spans="7:7">
      <c r="G721" s="159"/>
    </row>
    <row r="722" spans="7:7">
      <c r="G722" s="159"/>
    </row>
    <row r="723" spans="7:7">
      <c r="G723" s="159"/>
    </row>
    <row r="724" spans="7:7">
      <c r="G724" s="159"/>
    </row>
    <row r="725" spans="7:7">
      <c r="G725" s="159"/>
    </row>
    <row r="726" spans="7:7">
      <c r="G726" s="159"/>
    </row>
    <row r="727" spans="7:7">
      <c r="G727" s="159"/>
    </row>
    <row r="728" spans="7:7">
      <c r="G728" s="159"/>
    </row>
    <row r="729" spans="7:7">
      <c r="G729" s="159"/>
    </row>
    <row r="730" spans="7:7">
      <c r="G730" s="159"/>
    </row>
    <row r="731" spans="7:7">
      <c r="G731" s="159"/>
    </row>
    <row r="732" spans="7:7">
      <c r="G732" s="159"/>
    </row>
    <row r="733" spans="7:7">
      <c r="G733" s="159"/>
    </row>
    <row r="734" spans="7:7">
      <c r="G734" s="159"/>
    </row>
    <row r="735" spans="7:7">
      <c r="G735" s="159"/>
    </row>
    <row r="736" spans="7:7">
      <c r="G736" s="159"/>
    </row>
    <row r="737" spans="7:7">
      <c r="G737" s="159"/>
    </row>
    <row r="738" spans="7:7">
      <c r="G738" s="159"/>
    </row>
    <row r="739" spans="7:7">
      <c r="G739" s="159"/>
    </row>
    <row r="740" spans="7:7">
      <c r="G740" s="159"/>
    </row>
    <row r="741" spans="7:7">
      <c r="G741" s="159"/>
    </row>
    <row r="742" spans="7:7">
      <c r="G742" s="159"/>
    </row>
    <row r="743" spans="7:7">
      <c r="G743" s="159"/>
    </row>
    <row r="744" spans="7:7">
      <c r="G744" s="159"/>
    </row>
    <row r="745" spans="7:7">
      <c r="G745" s="159"/>
    </row>
    <row r="746" spans="7:7">
      <c r="G746" s="159"/>
    </row>
    <row r="747" spans="7:7">
      <c r="G747" s="159"/>
    </row>
    <row r="748" spans="7:7">
      <c r="G748" s="159"/>
    </row>
    <row r="749" spans="7:7">
      <c r="G749" s="159"/>
    </row>
    <row r="750" spans="7:7">
      <c r="G750" s="159"/>
    </row>
    <row r="751" spans="7:7">
      <c r="G751" s="159"/>
    </row>
    <row r="752" spans="7:7">
      <c r="G752" s="159"/>
    </row>
    <row r="753" spans="7:7">
      <c r="G753" s="159"/>
    </row>
    <row r="754" spans="7:7">
      <c r="G754" s="159"/>
    </row>
    <row r="755" spans="7:7">
      <c r="G755" s="159"/>
    </row>
    <row r="756" spans="7:7">
      <c r="G756" s="159"/>
    </row>
    <row r="757" spans="7:7">
      <c r="G757" s="159"/>
    </row>
    <row r="758" spans="7:7">
      <c r="G758" s="159"/>
    </row>
    <row r="759" spans="7:7">
      <c r="G759" s="159"/>
    </row>
    <row r="760" spans="7:7">
      <c r="G760" s="159"/>
    </row>
    <row r="761" spans="7:7">
      <c r="G761" s="159"/>
    </row>
    <row r="762" spans="7:7">
      <c r="G762" s="159"/>
    </row>
    <row r="763" spans="7:7">
      <c r="G763" s="159"/>
    </row>
    <row r="764" spans="7:7">
      <c r="G764" s="159"/>
    </row>
    <row r="765" spans="7:7">
      <c r="G765" s="159"/>
    </row>
    <row r="766" spans="7:7">
      <c r="G766" s="159"/>
    </row>
    <row r="767" spans="7:7">
      <c r="G767" s="159"/>
    </row>
    <row r="768" spans="7:7">
      <c r="G768" s="159"/>
    </row>
    <row r="769" spans="7:7">
      <c r="G769" s="159"/>
    </row>
    <row r="770" spans="7:7">
      <c r="G770" s="159"/>
    </row>
    <row r="771" spans="7:7">
      <c r="G771" s="159"/>
    </row>
    <row r="772" spans="7:7">
      <c r="G772" s="159"/>
    </row>
    <row r="773" spans="7:7">
      <c r="G773" s="159"/>
    </row>
    <row r="774" spans="7:7">
      <c r="G774" s="159"/>
    </row>
    <row r="775" spans="7:7">
      <c r="G775" s="159"/>
    </row>
    <row r="776" spans="7:7">
      <c r="G776" s="159"/>
    </row>
    <row r="777" spans="7:7">
      <c r="G777" s="159"/>
    </row>
    <row r="778" spans="7:7">
      <c r="G778" s="159"/>
    </row>
    <row r="779" spans="7:7">
      <c r="G779" s="159"/>
    </row>
    <row r="780" spans="7:7">
      <c r="G780" s="159"/>
    </row>
    <row r="781" spans="7:7">
      <c r="G781" s="159"/>
    </row>
    <row r="782" spans="7:7">
      <c r="G782" s="159"/>
    </row>
    <row r="783" spans="7:7">
      <c r="G783" s="159"/>
    </row>
    <row r="784" spans="7:7">
      <c r="G784" s="159"/>
    </row>
    <row r="785" spans="7:7">
      <c r="G785" s="159"/>
    </row>
    <row r="786" spans="7:7">
      <c r="G786" s="159"/>
    </row>
    <row r="787" spans="7:7">
      <c r="G787" s="159"/>
    </row>
    <row r="788" spans="7:7">
      <c r="G788" s="159"/>
    </row>
    <row r="789" spans="7:7">
      <c r="G789" s="159"/>
    </row>
    <row r="790" spans="7:7">
      <c r="G790" s="159"/>
    </row>
    <row r="791" spans="7:7">
      <c r="G791" s="159"/>
    </row>
    <row r="792" spans="7:7">
      <c r="G792" s="159"/>
    </row>
    <row r="793" spans="7:7">
      <c r="G793" s="159"/>
    </row>
    <row r="794" spans="7:7">
      <c r="G794" s="159"/>
    </row>
    <row r="795" spans="7:7">
      <c r="G795" s="159"/>
    </row>
    <row r="796" spans="7:7">
      <c r="G796" s="159"/>
    </row>
    <row r="797" spans="7:7">
      <c r="G797" s="159"/>
    </row>
    <row r="798" spans="7:7">
      <c r="G798" s="159"/>
    </row>
    <row r="799" spans="7:7">
      <c r="G799" s="159"/>
    </row>
    <row r="800" spans="7:7">
      <c r="G800" s="159"/>
    </row>
    <row r="801" spans="7:7">
      <c r="G801" s="159"/>
    </row>
    <row r="802" spans="7:7">
      <c r="G802" s="159"/>
    </row>
    <row r="803" spans="7:7">
      <c r="G803" s="159"/>
    </row>
    <row r="804" spans="7:7">
      <c r="G804" s="159"/>
    </row>
    <row r="805" spans="7:7">
      <c r="G805" s="159"/>
    </row>
    <row r="806" spans="7:7">
      <c r="G806" s="159"/>
    </row>
    <row r="807" spans="7:7">
      <c r="G807" s="159"/>
    </row>
    <row r="808" spans="7:7">
      <c r="G808" s="159"/>
    </row>
    <row r="809" spans="7:7">
      <c r="G809" s="159"/>
    </row>
    <row r="810" spans="7:7">
      <c r="G810" s="159"/>
    </row>
    <row r="811" spans="7:7">
      <c r="G811" s="159"/>
    </row>
    <row r="812" spans="7:7">
      <c r="G812" s="159"/>
    </row>
    <row r="813" spans="7:7">
      <c r="G813" s="159"/>
    </row>
    <row r="814" spans="7:7">
      <c r="G814" s="159"/>
    </row>
    <row r="815" spans="7:7">
      <c r="G815" s="159"/>
    </row>
    <row r="816" spans="7:7">
      <c r="G816" s="159"/>
    </row>
    <row r="817" spans="7:7">
      <c r="G817" s="159"/>
    </row>
    <row r="818" spans="7:7">
      <c r="G818" s="159"/>
    </row>
    <row r="819" spans="7:7">
      <c r="G819" s="159"/>
    </row>
    <row r="820" spans="7:7">
      <c r="G820" s="159"/>
    </row>
    <row r="821" spans="7:7">
      <c r="G821" s="159"/>
    </row>
    <row r="822" spans="7:7">
      <c r="G822" s="159"/>
    </row>
    <row r="823" spans="7:7">
      <c r="G823" s="159"/>
    </row>
    <row r="824" spans="7:7">
      <c r="G824" s="159"/>
    </row>
    <row r="825" spans="7:7">
      <c r="G825" s="159"/>
    </row>
    <row r="826" spans="7:7">
      <c r="G826" s="159"/>
    </row>
    <row r="827" spans="7:7">
      <c r="G827" s="159"/>
    </row>
    <row r="828" spans="7:7">
      <c r="G828" s="159"/>
    </row>
    <row r="829" spans="7:7">
      <c r="G829" s="159"/>
    </row>
    <row r="830" spans="7:7">
      <c r="G830" s="159"/>
    </row>
    <row r="831" spans="7:7">
      <c r="G831" s="159"/>
    </row>
    <row r="832" spans="7:7">
      <c r="G832" s="159"/>
    </row>
    <row r="833" spans="7:7">
      <c r="G833" s="159"/>
    </row>
    <row r="834" spans="7:7">
      <c r="G834" s="159"/>
    </row>
    <row r="835" spans="7:7">
      <c r="G835" s="159"/>
    </row>
    <row r="836" spans="7:7">
      <c r="G836" s="159"/>
    </row>
    <row r="837" spans="7:7">
      <c r="G837" s="159"/>
    </row>
    <row r="838" spans="7:7">
      <c r="G838" s="159"/>
    </row>
    <row r="839" spans="7:7">
      <c r="G839" s="159"/>
    </row>
    <row r="840" spans="7:7">
      <c r="G840" s="159"/>
    </row>
    <row r="841" spans="7:7">
      <c r="G841" s="159"/>
    </row>
    <row r="842" spans="7:7">
      <c r="G842" s="159"/>
    </row>
    <row r="843" spans="7:7">
      <c r="G843" s="159"/>
    </row>
    <row r="844" spans="7:7">
      <c r="G844" s="159"/>
    </row>
    <row r="845" spans="7:7">
      <c r="G845" s="159"/>
    </row>
    <row r="846" spans="7:7">
      <c r="G846" s="159"/>
    </row>
    <row r="847" spans="7:7">
      <c r="G847" s="159"/>
    </row>
    <row r="848" spans="7:7">
      <c r="G848" s="159"/>
    </row>
    <row r="849" spans="7:7">
      <c r="G849" s="159"/>
    </row>
    <row r="850" spans="7:7">
      <c r="G850" s="159"/>
    </row>
    <row r="851" spans="7:7">
      <c r="G851" s="159"/>
    </row>
    <row r="852" spans="7:7">
      <c r="G852" s="159"/>
    </row>
    <row r="853" spans="7:7">
      <c r="G853" s="159"/>
    </row>
    <row r="854" spans="7:7">
      <c r="G854" s="159"/>
    </row>
    <row r="855" spans="7:7">
      <c r="G855" s="159"/>
    </row>
    <row r="856" spans="7:7">
      <c r="G856" s="159"/>
    </row>
    <row r="857" spans="7:7">
      <c r="G857" s="159"/>
    </row>
    <row r="858" spans="7:7">
      <c r="G858" s="159"/>
    </row>
    <row r="859" spans="7:7">
      <c r="G859" s="159"/>
    </row>
    <row r="860" spans="7:7">
      <c r="G860" s="159"/>
    </row>
    <row r="861" spans="7:7">
      <c r="G861" s="159"/>
    </row>
    <row r="862" spans="7:7">
      <c r="G862" s="159"/>
    </row>
    <row r="863" spans="7:7">
      <c r="G863" s="159"/>
    </row>
    <row r="864" spans="7:7">
      <c r="G864" s="159"/>
    </row>
    <row r="865" spans="7:7">
      <c r="G865" s="159"/>
    </row>
    <row r="866" spans="7:7">
      <c r="G866" s="159"/>
    </row>
    <row r="867" spans="7:7">
      <c r="G867" s="159"/>
    </row>
    <row r="868" spans="7:7">
      <c r="G868" s="159"/>
    </row>
    <row r="869" spans="7:7">
      <c r="G869" s="159"/>
    </row>
    <row r="870" spans="7:7">
      <c r="G870" s="159"/>
    </row>
    <row r="871" spans="7:7">
      <c r="G871" s="159"/>
    </row>
    <row r="872" spans="7:7">
      <c r="G872" s="159"/>
    </row>
    <row r="873" spans="7:7">
      <c r="G873" s="159"/>
    </row>
    <row r="874" spans="7:7">
      <c r="G874" s="159"/>
    </row>
    <row r="875" spans="7:7">
      <c r="G875" s="159"/>
    </row>
    <row r="876" spans="7:7">
      <c r="G876" s="159"/>
    </row>
    <row r="877" spans="7:7">
      <c r="G877" s="159"/>
    </row>
    <row r="878" spans="7:7">
      <c r="G878" s="159"/>
    </row>
    <row r="879" spans="7:7">
      <c r="G879" s="159"/>
    </row>
    <row r="880" spans="7:7">
      <c r="G880" s="159"/>
    </row>
    <row r="881" spans="7:7">
      <c r="G881" s="159"/>
    </row>
    <row r="882" spans="7:7">
      <c r="G882" s="159"/>
    </row>
    <row r="883" spans="7:7">
      <c r="G883" s="159"/>
    </row>
    <row r="884" spans="7:7">
      <c r="G884" s="159"/>
    </row>
    <row r="885" spans="7:7">
      <c r="G885" s="159"/>
    </row>
    <row r="886" spans="7:7">
      <c r="G886" s="159"/>
    </row>
    <row r="887" spans="7:7">
      <c r="G887" s="159"/>
    </row>
    <row r="888" spans="7:7">
      <c r="G888" s="159"/>
    </row>
    <row r="889" spans="7:7">
      <c r="G889" s="159"/>
    </row>
    <row r="890" spans="7:7">
      <c r="G890" s="159"/>
    </row>
    <row r="891" spans="7:7">
      <c r="G891" s="159"/>
    </row>
    <row r="892" spans="7:7">
      <c r="G892" s="159"/>
    </row>
    <row r="893" spans="7:7">
      <c r="G893" s="159"/>
    </row>
    <row r="894" spans="7:7">
      <c r="G894" s="159"/>
    </row>
    <row r="895" spans="7:7">
      <c r="G895" s="159"/>
    </row>
    <row r="896" spans="7:7">
      <c r="G896" s="159"/>
    </row>
    <row r="897" spans="7:7">
      <c r="G897" s="159"/>
    </row>
    <row r="898" spans="7:7">
      <c r="G898" s="159"/>
    </row>
    <row r="899" spans="7:7">
      <c r="G899" s="159"/>
    </row>
    <row r="900" spans="7:7">
      <c r="G900" s="159"/>
    </row>
    <row r="901" spans="7:7">
      <c r="G901" s="159"/>
    </row>
    <row r="902" spans="7:7">
      <c r="G902" s="159"/>
    </row>
    <row r="903" spans="7:7">
      <c r="G903" s="159"/>
    </row>
    <row r="904" spans="7:7">
      <c r="G904" s="159"/>
    </row>
    <row r="905" spans="7:7">
      <c r="G905" s="159"/>
    </row>
    <row r="906" spans="7:7">
      <c r="G906" s="159"/>
    </row>
    <row r="907" spans="7:7">
      <c r="G907" s="159"/>
    </row>
    <row r="908" spans="7:7">
      <c r="G908" s="159"/>
    </row>
    <row r="909" spans="7:7">
      <c r="G909" s="159"/>
    </row>
    <row r="910" spans="7:7">
      <c r="G910" s="159"/>
    </row>
    <row r="911" spans="7:7">
      <c r="G911" s="159"/>
    </row>
    <row r="912" spans="7:7">
      <c r="G912" s="159"/>
    </row>
    <row r="913" spans="7:7">
      <c r="G913" s="159"/>
    </row>
    <row r="914" spans="7:7">
      <c r="G914" s="159"/>
    </row>
    <row r="915" spans="7:7">
      <c r="G915" s="159"/>
    </row>
    <row r="916" spans="7:7">
      <c r="G916" s="159"/>
    </row>
    <row r="917" spans="7:7">
      <c r="G917" s="159"/>
    </row>
    <row r="918" spans="7:7">
      <c r="G918" s="159"/>
    </row>
    <row r="919" spans="7:7">
      <c r="G919" s="159"/>
    </row>
    <row r="920" spans="7:7">
      <c r="G920" s="159"/>
    </row>
    <row r="921" spans="7:7">
      <c r="G921" s="159"/>
    </row>
    <row r="922" spans="7:7">
      <c r="G922" s="159"/>
    </row>
    <row r="923" spans="7:7">
      <c r="G923" s="159"/>
    </row>
    <row r="924" spans="7:7">
      <c r="G924" s="159"/>
    </row>
    <row r="925" spans="7:7">
      <c r="G925" s="159"/>
    </row>
    <row r="926" spans="7:7">
      <c r="G926" s="159"/>
    </row>
    <row r="927" spans="7:7">
      <c r="G927" s="159"/>
    </row>
    <row r="928" spans="7:7">
      <c r="G928" s="159"/>
    </row>
    <row r="929" spans="7:7">
      <c r="G929" s="159"/>
    </row>
    <row r="930" spans="7:7">
      <c r="G930" s="159"/>
    </row>
    <row r="931" spans="7:7">
      <c r="G931" s="159"/>
    </row>
    <row r="932" spans="7:7">
      <c r="G932" s="159"/>
    </row>
    <row r="933" spans="7:7">
      <c r="G933" s="159"/>
    </row>
    <row r="934" spans="7:7">
      <c r="G934" s="159"/>
    </row>
    <row r="935" spans="7:7">
      <c r="G935" s="159"/>
    </row>
    <row r="936" spans="7:7">
      <c r="G936" s="159"/>
    </row>
    <row r="937" spans="7:7">
      <c r="G937" s="159"/>
    </row>
    <row r="938" spans="7:7">
      <c r="G938" s="159"/>
    </row>
    <row r="939" spans="7:7">
      <c r="G939" s="159"/>
    </row>
    <row r="940" spans="7:7">
      <c r="G940" s="159"/>
    </row>
    <row r="941" spans="7:7">
      <c r="G941" s="159"/>
    </row>
    <row r="942" spans="7:7">
      <c r="G942" s="159"/>
    </row>
    <row r="943" spans="7:7">
      <c r="G943" s="159"/>
    </row>
    <row r="944" spans="7:7">
      <c r="G944" s="159"/>
    </row>
    <row r="945" spans="7:7">
      <c r="G945" s="159"/>
    </row>
    <row r="946" spans="7:7">
      <c r="G946" s="159"/>
    </row>
    <row r="947" spans="7:7">
      <c r="G947" s="159"/>
    </row>
    <row r="948" spans="7:7">
      <c r="G948" s="159"/>
    </row>
    <row r="949" spans="7:7">
      <c r="G949" s="159"/>
    </row>
    <row r="950" spans="7:7">
      <c r="G950" s="159"/>
    </row>
    <row r="951" spans="7:7">
      <c r="G951" s="159"/>
    </row>
    <row r="952" spans="7:7">
      <c r="G952" s="159"/>
    </row>
    <row r="953" spans="7:7">
      <c r="G953" s="159"/>
    </row>
    <row r="954" spans="7:7">
      <c r="G954" s="159"/>
    </row>
    <row r="955" spans="7:7">
      <c r="G955" s="159"/>
    </row>
    <row r="956" spans="7:7">
      <c r="G956" s="159"/>
    </row>
    <row r="957" spans="7:7">
      <c r="G957" s="159"/>
    </row>
    <row r="958" spans="7:7">
      <c r="G958" s="159"/>
    </row>
    <row r="959" spans="7:7">
      <c r="G959" s="159"/>
    </row>
    <row r="960" spans="7:7">
      <c r="G960" s="159"/>
    </row>
    <row r="961" spans="7:7">
      <c r="G961" s="159"/>
    </row>
    <row r="962" spans="7:7">
      <c r="G962" s="159"/>
    </row>
    <row r="963" spans="7:7">
      <c r="G963" s="159"/>
    </row>
    <row r="964" spans="7:7">
      <c r="G964" s="159"/>
    </row>
    <row r="965" spans="7:7">
      <c r="G965" s="159"/>
    </row>
    <row r="966" spans="7:7">
      <c r="G966" s="159"/>
    </row>
    <row r="967" spans="7:7">
      <c r="G967" s="159"/>
    </row>
    <row r="968" spans="7:7">
      <c r="G968" s="159"/>
    </row>
    <row r="969" spans="7:7">
      <c r="G969" s="159"/>
    </row>
    <row r="970" spans="7:7">
      <c r="G970" s="159"/>
    </row>
    <row r="971" spans="7:7">
      <c r="G971" s="159"/>
    </row>
    <row r="972" spans="7:7">
      <c r="G972" s="159"/>
    </row>
    <row r="973" spans="7:7">
      <c r="G973" s="159"/>
    </row>
    <row r="974" spans="7:7">
      <c r="G974" s="159"/>
    </row>
    <row r="975" spans="7:7">
      <c r="G975" s="159"/>
    </row>
    <row r="976" spans="7:7">
      <c r="G976" s="159"/>
    </row>
    <row r="977" spans="7:7">
      <c r="G977" s="159"/>
    </row>
    <row r="978" spans="7:7">
      <c r="G978" s="159"/>
    </row>
    <row r="979" spans="7:7">
      <c r="G979" s="159"/>
    </row>
    <row r="980" spans="7:7">
      <c r="G980" s="159"/>
    </row>
    <row r="981" spans="7:7">
      <c r="G981" s="159"/>
    </row>
    <row r="982" spans="7:7">
      <c r="G982" s="159"/>
    </row>
    <row r="983" spans="7:7">
      <c r="G983" s="159"/>
    </row>
    <row r="984" spans="7:7">
      <c r="G984" s="159"/>
    </row>
    <row r="985" spans="7:7">
      <c r="G985" s="159"/>
    </row>
    <row r="986" spans="7:7">
      <c r="G986" s="159"/>
    </row>
    <row r="987" spans="7:7">
      <c r="G987" s="159"/>
    </row>
    <row r="988" spans="7:7">
      <c r="G988" s="159"/>
    </row>
    <row r="989" spans="7:7">
      <c r="G989" s="159"/>
    </row>
    <row r="990" spans="7:7">
      <c r="G990" s="159"/>
    </row>
    <row r="991" spans="7:7">
      <c r="G991" s="159"/>
    </row>
    <row r="992" spans="7:7">
      <c r="G992" s="159"/>
    </row>
    <row r="993" spans="7:7">
      <c r="G993" s="159"/>
    </row>
    <row r="994" spans="7:7">
      <c r="G994" s="159"/>
    </row>
    <row r="995" spans="7:7">
      <c r="G995" s="159"/>
    </row>
    <row r="996" spans="7:7">
      <c r="G996" s="159"/>
    </row>
    <row r="997" spans="7:7">
      <c r="G997" s="159"/>
    </row>
    <row r="998" spans="7:7">
      <c r="G998" s="159"/>
    </row>
    <row r="999" spans="7:7">
      <c r="G999" s="159"/>
    </row>
    <row r="1000" spans="7:7">
      <c r="G1000" s="159"/>
    </row>
    <row r="1001" spans="7:7">
      <c r="G1001" s="159"/>
    </row>
    <row r="1002" spans="7:7">
      <c r="G1002" s="159"/>
    </row>
    <row r="1003" spans="7:7">
      <c r="G1003" s="159"/>
    </row>
    <row r="1004" spans="7:7">
      <c r="G1004" s="159"/>
    </row>
    <row r="1005" spans="7:7">
      <c r="G1005" s="159"/>
    </row>
    <row r="1006" spans="7:7">
      <c r="G1006" s="159"/>
    </row>
    <row r="1007" spans="7:7">
      <c r="G1007" s="159"/>
    </row>
    <row r="1008" spans="7:7">
      <c r="G1008" s="159"/>
    </row>
    <row r="1009" spans="7:7">
      <c r="G1009" s="159"/>
    </row>
    <row r="1010" spans="7:7">
      <c r="G1010" s="159"/>
    </row>
    <row r="1011" spans="7:7">
      <c r="G1011" s="159"/>
    </row>
    <row r="1012" spans="7:7">
      <c r="G1012" s="159"/>
    </row>
    <row r="1013" spans="7:7">
      <c r="G1013" s="159"/>
    </row>
    <row r="1014" spans="7:7">
      <c r="G1014" s="159"/>
    </row>
    <row r="1015" spans="7:7">
      <c r="G1015" s="159"/>
    </row>
    <row r="1016" spans="7:7">
      <c r="G1016" s="159"/>
    </row>
    <row r="1017" spans="7:7">
      <c r="G1017" s="159"/>
    </row>
    <row r="1018" spans="7:7">
      <c r="G1018" s="159"/>
    </row>
    <row r="1019" spans="7:7">
      <c r="G1019" s="159"/>
    </row>
    <row r="1020" spans="7:7">
      <c r="G1020" s="159"/>
    </row>
    <row r="1021" spans="7:7">
      <c r="G1021" s="159"/>
    </row>
    <row r="1022" spans="7:7">
      <c r="G1022" s="159"/>
    </row>
    <row r="1023" spans="7:7">
      <c r="G1023" s="159"/>
    </row>
    <row r="1024" spans="7:7">
      <c r="G1024" s="159"/>
    </row>
    <row r="1025" spans="7:7">
      <c r="G1025" s="159"/>
    </row>
    <row r="1026" spans="7:7">
      <c r="G1026" s="159"/>
    </row>
    <row r="1027" spans="7:7">
      <c r="G1027" s="159"/>
    </row>
    <row r="1028" spans="7:7">
      <c r="G1028" s="159"/>
    </row>
    <row r="1029" spans="7:7">
      <c r="G1029" s="159"/>
    </row>
    <row r="1030" spans="7:7">
      <c r="G1030" s="159"/>
    </row>
    <row r="1031" spans="7:7">
      <c r="G1031" s="159"/>
    </row>
    <row r="1032" spans="7:7">
      <c r="G1032" s="159"/>
    </row>
    <row r="1033" spans="7:7">
      <c r="G1033" s="159"/>
    </row>
    <row r="1034" spans="7:7">
      <c r="G1034" s="159"/>
    </row>
    <row r="1035" spans="7:7">
      <c r="G1035" s="159"/>
    </row>
    <row r="1036" spans="7:7">
      <c r="G1036" s="159"/>
    </row>
    <row r="1037" spans="7:7">
      <c r="G1037" s="159"/>
    </row>
    <row r="1038" spans="7:7">
      <c r="G1038" s="159"/>
    </row>
    <row r="1039" spans="7:7">
      <c r="G1039" s="159"/>
    </row>
    <row r="1040" spans="7:7">
      <c r="G1040" s="159"/>
    </row>
    <row r="1041" spans="7:7">
      <c r="G1041" s="159"/>
    </row>
    <row r="1042" spans="7:7">
      <c r="G1042" s="159"/>
    </row>
    <row r="1043" spans="7:7">
      <c r="G1043" s="159"/>
    </row>
    <row r="1044" spans="7:7">
      <c r="G1044" s="159"/>
    </row>
    <row r="1045" spans="7:7">
      <c r="G1045" s="159"/>
    </row>
    <row r="1046" spans="7:7">
      <c r="G1046" s="159"/>
    </row>
    <row r="1047" spans="7:7">
      <c r="G1047" s="159"/>
    </row>
    <row r="1048" spans="7:7">
      <c r="G1048" s="159"/>
    </row>
    <row r="1049" spans="7:7">
      <c r="G1049" s="159"/>
    </row>
    <row r="1050" spans="7:7">
      <c r="G1050" s="159"/>
    </row>
    <row r="1051" spans="7:7">
      <c r="G1051" s="159"/>
    </row>
    <row r="1052" spans="7:7">
      <c r="G1052" s="159"/>
    </row>
    <row r="1053" spans="7:7">
      <c r="G1053" s="159"/>
    </row>
    <row r="1054" spans="7:7">
      <c r="G1054" s="159"/>
    </row>
    <row r="1055" spans="7:7">
      <c r="G1055" s="159"/>
    </row>
    <row r="1056" spans="7:7">
      <c r="G1056" s="159"/>
    </row>
    <row r="1057" spans="7:7">
      <c r="G1057" s="159"/>
    </row>
    <row r="1058" spans="7:7">
      <c r="G1058" s="159"/>
    </row>
    <row r="1059" spans="7:7">
      <c r="G1059" s="159"/>
    </row>
    <row r="1060" spans="7:7">
      <c r="G1060" s="159"/>
    </row>
    <row r="1061" spans="7:7">
      <c r="G1061" s="159"/>
    </row>
    <row r="1062" spans="7:7">
      <c r="G1062" s="159"/>
    </row>
    <row r="1063" spans="7:7">
      <c r="G1063" s="159"/>
    </row>
    <row r="1064" spans="7:7">
      <c r="G1064" s="159"/>
    </row>
    <row r="1065" spans="7:7">
      <c r="G1065" s="159"/>
    </row>
    <row r="1066" spans="7:7">
      <c r="G1066" s="159"/>
    </row>
    <row r="1067" spans="7:7">
      <c r="G1067" s="159"/>
    </row>
    <row r="1068" spans="7:7">
      <c r="G1068" s="159"/>
    </row>
    <row r="1069" spans="7:7">
      <c r="G1069" s="159"/>
    </row>
    <row r="1070" spans="7:7">
      <c r="G1070" s="159"/>
    </row>
    <row r="1071" spans="7:7">
      <c r="G1071" s="159"/>
    </row>
    <row r="1072" spans="7:7">
      <c r="G1072" s="159"/>
    </row>
    <row r="1073" spans="7:7">
      <c r="G1073" s="159"/>
    </row>
    <row r="1074" spans="7:7">
      <c r="G1074" s="159"/>
    </row>
    <row r="1075" spans="7:7">
      <c r="G1075" s="159"/>
    </row>
    <row r="1076" spans="7:7">
      <c r="G1076" s="159"/>
    </row>
    <row r="1077" spans="7:7">
      <c r="G1077" s="159"/>
    </row>
    <row r="1078" spans="7:7">
      <c r="G1078" s="159"/>
    </row>
    <row r="1079" spans="7:7">
      <c r="G1079" s="159"/>
    </row>
    <row r="1080" spans="7:7">
      <c r="G1080" s="159"/>
    </row>
    <row r="1081" spans="7:7">
      <c r="G1081" s="159"/>
    </row>
    <row r="1082" spans="7:7">
      <c r="G1082" s="159"/>
    </row>
    <row r="1083" spans="7:7">
      <c r="G1083" s="159"/>
    </row>
    <row r="1084" spans="7:7">
      <c r="G1084" s="159"/>
    </row>
    <row r="1085" spans="7:7">
      <c r="G1085" s="159"/>
    </row>
    <row r="1086" spans="7:7">
      <c r="G1086" s="159"/>
    </row>
    <row r="1087" spans="7:7">
      <c r="G1087" s="159"/>
    </row>
    <row r="1088" spans="7:7">
      <c r="G1088" s="159"/>
    </row>
    <row r="1089" spans="7:7">
      <c r="G1089" s="159"/>
    </row>
    <row r="1090" spans="7:7">
      <c r="G1090" s="159"/>
    </row>
    <row r="1091" spans="7:7">
      <c r="G1091" s="159"/>
    </row>
    <row r="1092" spans="7:7">
      <c r="G1092" s="159"/>
    </row>
    <row r="1093" spans="7:7">
      <c r="G1093" s="159"/>
    </row>
    <row r="1094" spans="7:7">
      <c r="G1094" s="159"/>
    </row>
    <row r="1095" spans="7:7">
      <c r="G1095" s="159"/>
    </row>
    <row r="1096" spans="7:7">
      <c r="G1096" s="159"/>
    </row>
    <row r="1097" spans="7:7">
      <c r="G1097" s="159"/>
    </row>
    <row r="1098" spans="7:7">
      <c r="G1098" s="159"/>
    </row>
    <row r="1099" spans="7:7">
      <c r="G1099" s="159"/>
    </row>
    <row r="1100" spans="7:7">
      <c r="G1100" s="159"/>
    </row>
    <row r="1101" spans="7:7">
      <c r="G1101" s="159"/>
    </row>
    <row r="1102" spans="7:7">
      <c r="G1102" s="159"/>
    </row>
    <row r="1103" spans="7:7">
      <c r="G1103" s="159"/>
    </row>
    <row r="1104" spans="7:7">
      <c r="G1104" s="159"/>
    </row>
    <row r="1105" spans="7:7">
      <c r="G1105" s="159"/>
    </row>
    <row r="1106" spans="7:7">
      <c r="G1106" s="159"/>
    </row>
    <row r="1107" spans="7:7">
      <c r="G1107" s="159"/>
    </row>
    <row r="1108" spans="7:7">
      <c r="G1108" s="159"/>
    </row>
    <row r="1109" spans="7:7">
      <c r="G1109" s="159"/>
    </row>
    <row r="1110" spans="7:7">
      <c r="G1110" s="159"/>
    </row>
    <row r="1111" spans="7:7">
      <c r="G1111" s="159"/>
    </row>
    <row r="1112" spans="7:7">
      <c r="G1112" s="159"/>
    </row>
    <row r="1113" spans="7:7">
      <c r="G1113" s="159"/>
    </row>
    <row r="1114" spans="7:7">
      <c r="G1114" s="159"/>
    </row>
    <row r="1115" spans="7:7">
      <c r="G1115" s="159"/>
    </row>
    <row r="1116" spans="7:7">
      <c r="G1116" s="159"/>
    </row>
    <row r="1117" spans="7:7">
      <c r="G1117" s="159"/>
    </row>
    <row r="1118" spans="7:7">
      <c r="G1118" s="159"/>
    </row>
    <row r="1119" spans="7:7">
      <c r="G1119" s="159"/>
    </row>
    <row r="1120" spans="7:7">
      <c r="G1120" s="159"/>
    </row>
    <row r="1121" spans="7:7">
      <c r="G1121" s="159"/>
    </row>
    <row r="1122" spans="7:7">
      <c r="G1122" s="159"/>
    </row>
    <row r="1123" spans="7:7">
      <c r="G1123" s="159"/>
    </row>
    <row r="1124" spans="7:7">
      <c r="G1124" s="159"/>
    </row>
    <row r="1125" spans="7:7">
      <c r="G1125" s="159"/>
    </row>
    <row r="1126" spans="7:7">
      <c r="G1126" s="159"/>
    </row>
    <row r="1127" spans="7:7">
      <c r="G1127" s="159"/>
    </row>
    <row r="1128" spans="7:7">
      <c r="G1128" s="159"/>
    </row>
    <row r="1129" spans="7:7">
      <c r="G1129" s="159"/>
    </row>
    <row r="1130" spans="7:7">
      <c r="G1130" s="159"/>
    </row>
    <row r="1131" spans="7:7">
      <c r="G1131" s="159"/>
    </row>
    <row r="1132" spans="7:7">
      <c r="G1132" s="159"/>
    </row>
    <row r="1133" spans="7:7">
      <c r="G1133" s="159"/>
    </row>
    <row r="1134" spans="7:7">
      <c r="G1134" s="159"/>
    </row>
    <row r="1135" spans="7:7">
      <c r="G1135" s="159"/>
    </row>
    <row r="1136" spans="7:7">
      <c r="G1136" s="159"/>
    </row>
    <row r="1137" spans="7:7">
      <c r="G1137" s="159"/>
    </row>
    <row r="1138" spans="7:7">
      <c r="G1138" s="159"/>
    </row>
    <row r="1139" spans="7:7">
      <c r="G1139" s="159"/>
    </row>
    <row r="1140" spans="7:7">
      <c r="G1140" s="159"/>
    </row>
    <row r="1141" spans="7:7">
      <c r="G1141" s="159"/>
    </row>
    <row r="1142" spans="7:7">
      <c r="G1142" s="159"/>
    </row>
    <row r="1143" spans="7:7">
      <c r="G1143" s="159"/>
    </row>
    <row r="1144" spans="7:7">
      <c r="G1144" s="159"/>
    </row>
    <row r="1145" spans="7:7">
      <c r="G1145" s="159"/>
    </row>
    <row r="1146" spans="7:7">
      <c r="G1146" s="159"/>
    </row>
    <row r="1147" spans="7:7">
      <c r="G1147" s="159"/>
    </row>
    <row r="1148" spans="7:7">
      <c r="G1148" s="159"/>
    </row>
    <row r="1149" spans="7:7">
      <c r="G1149" s="159"/>
    </row>
    <row r="1150" spans="7:7">
      <c r="G1150" s="159"/>
    </row>
    <row r="1151" spans="7:7">
      <c r="G1151" s="159"/>
    </row>
    <row r="1152" spans="7:7">
      <c r="G1152" s="159"/>
    </row>
    <row r="1153" spans="7:7">
      <c r="G1153" s="159"/>
    </row>
    <row r="1154" spans="7:7">
      <c r="G1154" s="159"/>
    </row>
    <row r="1155" spans="7:7">
      <c r="G1155" s="159"/>
    </row>
    <row r="1156" spans="7:7">
      <c r="G1156" s="159"/>
    </row>
    <row r="1157" spans="7:7">
      <c r="G1157" s="159"/>
    </row>
    <row r="1158" spans="7:7">
      <c r="G1158" s="159"/>
    </row>
    <row r="1159" spans="7:7">
      <c r="G1159" s="159"/>
    </row>
    <row r="1160" spans="7:7">
      <c r="G1160" s="159"/>
    </row>
    <row r="1161" spans="7:7">
      <c r="G1161" s="159"/>
    </row>
    <row r="1162" spans="7:7">
      <c r="G1162" s="159"/>
    </row>
    <row r="1163" spans="7:7">
      <c r="G1163" s="159"/>
    </row>
    <row r="1164" spans="7:7">
      <c r="G1164" s="159"/>
    </row>
    <row r="1165" spans="7:7">
      <c r="G1165" s="159"/>
    </row>
    <row r="1166" spans="7:7">
      <c r="G1166" s="159"/>
    </row>
    <row r="1167" spans="7:7">
      <c r="G1167" s="159"/>
    </row>
    <row r="1168" spans="7:7">
      <c r="G1168" s="159"/>
    </row>
    <row r="1169" spans="7:7">
      <c r="G1169" s="159"/>
    </row>
    <row r="1170" spans="7:7">
      <c r="G1170" s="159"/>
    </row>
    <row r="1171" spans="7:7">
      <c r="G1171" s="159"/>
    </row>
    <row r="1172" spans="7:7">
      <c r="G1172" s="159"/>
    </row>
    <row r="1173" spans="7:7">
      <c r="G1173" s="159"/>
    </row>
    <row r="1174" spans="7:7">
      <c r="G1174" s="159"/>
    </row>
    <row r="1175" spans="7:7">
      <c r="G1175" s="159"/>
    </row>
    <row r="1176" spans="7:7">
      <c r="G1176" s="159"/>
    </row>
    <row r="1177" spans="7:7">
      <c r="G1177" s="159"/>
    </row>
    <row r="1178" spans="7:7">
      <c r="G1178" s="159"/>
    </row>
    <row r="1179" spans="7:7">
      <c r="G1179" s="159"/>
    </row>
    <row r="1180" spans="7:7">
      <c r="G1180" s="159"/>
    </row>
    <row r="1181" spans="7:7">
      <c r="G1181" s="159"/>
    </row>
    <row r="1182" spans="7:7">
      <c r="G1182" s="159"/>
    </row>
    <row r="1183" spans="7:7">
      <c r="G1183" s="159"/>
    </row>
    <row r="1184" spans="7:7">
      <c r="G1184" s="159"/>
    </row>
    <row r="1185" spans="7:7">
      <c r="G1185" s="159"/>
    </row>
    <row r="1186" spans="7:7">
      <c r="G1186" s="159"/>
    </row>
    <row r="1187" spans="7:7">
      <c r="G1187" s="159"/>
    </row>
    <row r="1188" spans="7:7">
      <c r="G1188" s="159"/>
    </row>
    <row r="1189" spans="7:7">
      <c r="G1189" s="159"/>
    </row>
    <row r="1190" spans="7:7">
      <c r="G1190" s="159"/>
    </row>
    <row r="1191" spans="7:7">
      <c r="G1191" s="159"/>
    </row>
    <row r="1192" spans="7:7">
      <c r="G1192" s="159"/>
    </row>
    <row r="1193" spans="7:7">
      <c r="G1193" s="159"/>
    </row>
    <row r="1194" spans="7:7">
      <c r="G1194" s="159"/>
    </row>
    <row r="1195" spans="7:7">
      <c r="G1195" s="159"/>
    </row>
    <row r="1196" spans="7:7">
      <c r="G1196" s="159"/>
    </row>
    <row r="1197" spans="7:7">
      <c r="G1197" s="159"/>
    </row>
    <row r="1198" spans="7:7">
      <c r="G1198" s="159"/>
    </row>
    <row r="1199" spans="7:7">
      <c r="G1199" s="159"/>
    </row>
    <row r="1200" spans="7:7">
      <c r="G1200" s="159"/>
    </row>
    <row r="1201" spans="7:7">
      <c r="G1201" s="159"/>
    </row>
    <row r="1202" spans="7:7">
      <c r="G1202" s="159"/>
    </row>
    <row r="1203" spans="7:7">
      <c r="G1203" s="159"/>
    </row>
    <row r="1204" spans="7:7">
      <c r="G1204" s="159"/>
    </row>
    <row r="1205" spans="7:7">
      <c r="G1205" s="159"/>
    </row>
    <row r="1206" spans="7:7">
      <c r="G1206" s="159"/>
    </row>
    <row r="1207" spans="7:7">
      <c r="G1207" s="159"/>
    </row>
    <row r="1208" spans="7:7">
      <c r="G1208" s="159"/>
    </row>
    <row r="1209" spans="7:7">
      <c r="G1209" s="159"/>
    </row>
    <row r="1210" spans="7:7">
      <c r="G1210" s="159"/>
    </row>
    <row r="1211" spans="7:7">
      <c r="G1211" s="159"/>
    </row>
    <row r="1212" spans="7:7">
      <c r="G1212" s="159"/>
    </row>
    <row r="1213" spans="7:7">
      <c r="G1213" s="159"/>
    </row>
    <row r="1214" spans="7:7">
      <c r="G1214" s="159"/>
    </row>
    <row r="1215" spans="7:7">
      <c r="G1215" s="159"/>
    </row>
    <row r="1216" spans="7:7">
      <c r="G1216" s="159"/>
    </row>
    <row r="1217" spans="7:7">
      <c r="G1217" s="159"/>
    </row>
    <row r="1218" spans="7:7">
      <c r="G1218" s="159"/>
    </row>
    <row r="1219" spans="7:7">
      <c r="G1219" s="159"/>
    </row>
    <row r="1220" spans="7:7">
      <c r="G1220" s="159"/>
    </row>
    <row r="1221" spans="7:7">
      <c r="G1221" s="159"/>
    </row>
    <row r="1222" spans="7:7">
      <c r="G1222" s="159"/>
    </row>
    <row r="1223" spans="7:7">
      <c r="G1223" s="159"/>
    </row>
    <row r="1224" spans="7:7">
      <c r="G1224" s="159"/>
    </row>
    <row r="1225" spans="7:7">
      <c r="G1225" s="159"/>
    </row>
    <row r="1226" spans="7:7">
      <c r="G1226" s="159"/>
    </row>
    <row r="1227" spans="7:7">
      <c r="G1227" s="159"/>
    </row>
    <row r="1228" spans="7:7">
      <c r="G1228" s="159"/>
    </row>
    <row r="1229" spans="7:7">
      <c r="G1229" s="159"/>
    </row>
    <row r="1230" spans="7:7">
      <c r="G1230" s="159"/>
    </row>
    <row r="1231" spans="7:7">
      <c r="G1231" s="159"/>
    </row>
    <row r="1232" spans="7:7">
      <c r="G1232" s="159"/>
    </row>
    <row r="1233" spans="7:7">
      <c r="G1233" s="159"/>
    </row>
    <row r="1234" spans="7:7">
      <c r="G1234" s="159"/>
    </row>
    <row r="1235" spans="7:7">
      <c r="G1235" s="159"/>
    </row>
    <row r="1236" spans="7:7">
      <c r="G1236" s="159"/>
    </row>
    <row r="1237" spans="7:7">
      <c r="G1237" s="159"/>
    </row>
    <row r="1238" spans="7:7">
      <c r="G1238" s="159"/>
    </row>
    <row r="1239" spans="7:7">
      <c r="G1239" s="159"/>
    </row>
    <row r="1240" spans="7:7">
      <c r="G1240" s="159"/>
    </row>
    <row r="1241" spans="7:7">
      <c r="G1241" s="159"/>
    </row>
    <row r="1242" spans="7:7">
      <c r="G1242" s="159"/>
    </row>
    <row r="1243" spans="7:7">
      <c r="G1243" s="159"/>
    </row>
    <row r="1244" spans="7:7">
      <c r="G1244" s="159"/>
    </row>
    <row r="1245" spans="7:7">
      <c r="G1245" s="159"/>
    </row>
    <row r="1246" spans="7:7">
      <c r="G1246" s="159"/>
    </row>
    <row r="1247" spans="7:7">
      <c r="G1247" s="159"/>
    </row>
    <row r="1248" spans="7:7">
      <c r="G1248" s="159"/>
    </row>
    <row r="1249" spans="7:7">
      <c r="G1249" s="159"/>
    </row>
    <row r="1250" spans="7:7">
      <c r="G1250" s="159"/>
    </row>
    <row r="1251" spans="7:7">
      <c r="G1251" s="159"/>
    </row>
    <row r="1252" spans="7:7">
      <c r="G1252" s="159"/>
    </row>
    <row r="1253" spans="7:7">
      <c r="G1253" s="159"/>
    </row>
    <row r="1254" spans="7:7">
      <c r="G1254" s="159"/>
    </row>
    <row r="1255" spans="7:7">
      <c r="G1255" s="159"/>
    </row>
    <row r="1256" spans="7:7">
      <c r="G1256" s="159"/>
    </row>
    <row r="1257" spans="7:7">
      <c r="G1257" s="159"/>
    </row>
    <row r="1258" spans="7:7">
      <c r="G1258" s="159"/>
    </row>
    <row r="1259" spans="7:7">
      <c r="G1259" s="159"/>
    </row>
    <row r="1260" spans="7:7">
      <c r="G1260" s="159"/>
    </row>
    <row r="1261" spans="7:7">
      <c r="G1261" s="159"/>
    </row>
    <row r="1262" spans="7:7">
      <c r="G1262" s="159"/>
    </row>
    <row r="1263" spans="7:7">
      <c r="G1263" s="159"/>
    </row>
    <row r="1264" spans="7:7">
      <c r="G1264" s="159"/>
    </row>
    <row r="1265" spans="7:7">
      <c r="G1265" s="159"/>
    </row>
    <row r="1266" spans="7:7">
      <c r="G1266" s="159"/>
    </row>
    <row r="1267" spans="7:7">
      <c r="G1267" s="159"/>
    </row>
    <row r="1268" spans="7:7">
      <c r="G1268" s="159"/>
    </row>
    <row r="1269" spans="7:7">
      <c r="G1269" s="159"/>
    </row>
    <row r="1270" spans="7:7">
      <c r="G1270" s="159"/>
    </row>
    <row r="1271" spans="7:7">
      <c r="G1271" s="159"/>
    </row>
    <row r="1272" spans="7:7">
      <c r="G1272" s="159"/>
    </row>
    <row r="1273" spans="7:7">
      <c r="G1273" s="159"/>
    </row>
    <row r="1274" spans="7:7">
      <c r="G1274" s="159"/>
    </row>
    <row r="1275" spans="7:7">
      <c r="G1275" s="159"/>
    </row>
    <row r="1276" spans="7:7">
      <c r="G1276" s="159"/>
    </row>
    <row r="1277" spans="7:7">
      <c r="G1277" s="159"/>
    </row>
    <row r="1278" spans="7:7">
      <c r="G1278" s="159"/>
    </row>
    <row r="1279" spans="7:7">
      <c r="G1279" s="159"/>
    </row>
    <row r="1280" spans="7:7">
      <c r="G1280" s="159"/>
    </row>
    <row r="1281" spans="7:7">
      <c r="G1281" s="159"/>
    </row>
    <row r="1282" spans="7:7">
      <c r="G1282" s="159"/>
    </row>
    <row r="1283" spans="7:7">
      <c r="G1283" s="159"/>
    </row>
    <row r="1284" spans="7:7">
      <c r="G1284" s="159"/>
    </row>
    <row r="1285" spans="7:7">
      <c r="G1285" s="159"/>
    </row>
    <row r="1286" spans="7:7">
      <c r="G1286" s="159"/>
    </row>
    <row r="1287" spans="7:7">
      <c r="G1287" s="159"/>
    </row>
    <row r="1288" spans="7:7">
      <c r="G1288" s="159"/>
    </row>
    <row r="1289" spans="7:7">
      <c r="G1289" s="159"/>
    </row>
    <row r="1290" spans="7:7">
      <c r="G1290" s="159"/>
    </row>
    <row r="1291" spans="7:7">
      <c r="G1291" s="159"/>
    </row>
    <row r="1292" spans="7:7">
      <c r="G1292" s="159"/>
    </row>
    <row r="1293" spans="7:7">
      <c r="G1293" s="159"/>
    </row>
    <row r="1294" spans="7:7">
      <c r="G1294" s="159"/>
    </row>
    <row r="1295" spans="7:7">
      <c r="G1295" s="159"/>
    </row>
    <row r="1296" spans="7:7">
      <c r="G1296" s="159"/>
    </row>
    <row r="1297" spans="7:7">
      <c r="G1297" s="159"/>
    </row>
    <row r="1298" spans="7:7">
      <c r="G1298" s="159"/>
    </row>
    <row r="1299" spans="7:7">
      <c r="G1299" s="159"/>
    </row>
    <row r="1300" spans="7:7">
      <c r="G1300" s="159"/>
    </row>
    <row r="1301" spans="7:7">
      <c r="G1301" s="159"/>
    </row>
    <row r="1302" spans="7:7">
      <c r="G1302" s="159"/>
    </row>
    <row r="1303" spans="7:7">
      <c r="G1303" s="159"/>
    </row>
    <row r="1304" spans="7:7">
      <c r="G1304" s="159"/>
    </row>
    <row r="1305" spans="7:7">
      <c r="G1305" s="159"/>
    </row>
    <row r="1306" spans="7:7">
      <c r="G1306" s="159"/>
    </row>
    <row r="1307" spans="7:7">
      <c r="G1307" s="159"/>
    </row>
    <row r="1308" spans="7:7">
      <c r="G1308" s="159"/>
    </row>
    <row r="1309" spans="7:7">
      <c r="G1309" s="159"/>
    </row>
    <row r="1310" spans="7:7">
      <c r="G1310" s="159"/>
    </row>
    <row r="1311" spans="7:7">
      <c r="G1311" s="159"/>
    </row>
    <row r="1312" spans="7:7">
      <c r="G1312" s="159"/>
    </row>
    <row r="1313" spans="7:7">
      <c r="G1313" s="159"/>
    </row>
    <row r="1314" spans="7:7">
      <c r="G1314" s="159"/>
    </row>
    <row r="1315" spans="7:7">
      <c r="G1315" s="159"/>
    </row>
    <row r="1316" spans="7:7">
      <c r="G1316" s="159"/>
    </row>
    <row r="1317" spans="7:7">
      <c r="G1317" s="159"/>
    </row>
    <row r="1318" spans="7:7">
      <c r="G1318" s="159"/>
    </row>
    <row r="1319" spans="7:7">
      <c r="G1319" s="159"/>
    </row>
    <row r="1320" spans="7:7">
      <c r="G1320" s="159"/>
    </row>
    <row r="1321" spans="7:7">
      <c r="G1321" s="159"/>
    </row>
    <row r="1322" spans="7:7">
      <c r="G1322" s="159"/>
    </row>
    <row r="1323" spans="7:7">
      <c r="G1323" s="159"/>
    </row>
    <row r="1324" spans="7:7">
      <c r="G1324" s="159"/>
    </row>
    <row r="1325" spans="7:7">
      <c r="G1325" s="159"/>
    </row>
    <row r="1326" spans="7:7">
      <c r="G1326" s="159"/>
    </row>
    <row r="1327" spans="7:7">
      <c r="G1327" s="159"/>
    </row>
    <row r="1328" spans="7:7">
      <c r="G1328" s="159"/>
    </row>
    <row r="1329" spans="7:7">
      <c r="G1329" s="159"/>
    </row>
    <row r="1330" spans="7:7">
      <c r="G1330" s="159"/>
    </row>
    <row r="1331" spans="7:7">
      <c r="G1331" s="159"/>
    </row>
    <row r="1332" spans="7:7">
      <c r="G1332" s="159"/>
    </row>
    <row r="1333" spans="7:7">
      <c r="G1333" s="159"/>
    </row>
    <row r="1334" spans="7:7">
      <c r="G1334" s="159"/>
    </row>
    <row r="1335" spans="7:7">
      <c r="G1335" s="159"/>
    </row>
    <row r="1336" spans="7:7">
      <c r="G1336" s="159"/>
    </row>
    <row r="1337" spans="7:7">
      <c r="G1337" s="159"/>
    </row>
    <row r="1338" spans="7:7">
      <c r="G1338" s="159"/>
    </row>
    <row r="1339" spans="7:7">
      <c r="G1339" s="159"/>
    </row>
    <row r="1340" spans="7:7">
      <c r="G1340" s="159"/>
    </row>
    <row r="1341" spans="7:7">
      <c r="G1341" s="159"/>
    </row>
    <row r="1342" spans="7:7">
      <c r="G1342" s="159"/>
    </row>
    <row r="1343" spans="7:7">
      <c r="G1343" s="159"/>
    </row>
    <row r="1344" spans="7:7">
      <c r="G1344" s="159"/>
    </row>
    <row r="1345" spans="7:7">
      <c r="G1345" s="159"/>
    </row>
    <row r="1346" spans="7:7">
      <c r="G1346" s="159"/>
    </row>
    <row r="1347" spans="7:7">
      <c r="G1347" s="159"/>
    </row>
    <row r="1348" spans="7:7">
      <c r="G1348" s="159"/>
    </row>
    <row r="1349" spans="7:7">
      <c r="G1349" s="159"/>
    </row>
    <row r="1350" spans="7:7">
      <c r="G1350" s="159"/>
    </row>
    <row r="1351" spans="7:7">
      <c r="G1351" s="159"/>
    </row>
    <row r="1352" spans="7:7">
      <c r="G1352" s="159"/>
    </row>
    <row r="1353" spans="7:7">
      <c r="G1353" s="159"/>
    </row>
    <row r="1354" spans="7:7">
      <c r="G1354" s="159"/>
    </row>
    <row r="1355" spans="7:7">
      <c r="G1355" s="159"/>
    </row>
    <row r="1356" spans="7:7">
      <c r="G1356" s="159"/>
    </row>
    <row r="1357" spans="7:7">
      <c r="G1357" s="159"/>
    </row>
    <row r="1358" spans="7:7">
      <c r="G1358" s="159"/>
    </row>
    <row r="1359" spans="7:7">
      <c r="G1359" s="159"/>
    </row>
    <row r="1360" spans="7:7">
      <c r="G1360" s="159"/>
    </row>
    <row r="1361" spans="7:7">
      <c r="G1361" s="159"/>
    </row>
    <row r="1362" spans="7:7">
      <c r="G1362" s="159"/>
    </row>
    <row r="1363" spans="7:7">
      <c r="G1363" s="159"/>
    </row>
    <row r="1364" spans="7:7">
      <c r="G1364" s="159"/>
    </row>
    <row r="1365" spans="7:7">
      <c r="G1365" s="159"/>
    </row>
    <row r="1366" spans="7:7">
      <c r="G1366" s="159"/>
    </row>
    <row r="1367" spans="7:7">
      <c r="G1367" s="159"/>
    </row>
    <row r="1368" spans="7:7">
      <c r="G1368" s="159"/>
    </row>
    <row r="1369" spans="7:7">
      <c r="G1369" s="159"/>
    </row>
    <row r="1370" spans="7:7">
      <c r="G1370" s="159"/>
    </row>
    <row r="1371" spans="7:7">
      <c r="G1371" s="159"/>
    </row>
    <row r="1372" spans="7:7">
      <c r="G1372" s="159"/>
    </row>
    <row r="1373" spans="7:7">
      <c r="G1373" s="159"/>
    </row>
    <row r="1374" spans="7:7">
      <c r="G1374" s="159"/>
    </row>
    <row r="1375" spans="7:7">
      <c r="G1375" s="159"/>
    </row>
    <row r="1376" spans="7:7">
      <c r="G1376" s="159"/>
    </row>
    <row r="1377" spans="7:7">
      <c r="G1377" s="159"/>
    </row>
    <row r="1378" spans="7:7">
      <c r="G1378" s="159"/>
    </row>
    <row r="1379" spans="7:7">
      <c r="G1379" s="159"/>
    </row>
    <row r="1380" spans="7:7">
      <c r="G1380" s="159"/>
    </row>
    <row r="1381" spans="7:7">
      <c r="G1381" s="159"/>
    </row>
    <row r="1382" spans="7:7">
      <c r="G1382" s="159"/>
    </row>
    <row r="1383" spans="7:7">
      <c r="G1383" s="159"/>
    </row>
    <row r="1384" spans="7:7">
      <c r="G1384" s="159"/>
    </row>
    <row r="1385" spans="7:7">
      <c r="G1385" s="159"/>
    </row>
    <row r="1386" spans="7:7">
      <c r="G1386" s="159"/>
    </row>
    <row r="1387" spans="7:7">
      <c r="G1387" s="159"/>
    </row>
    <row r="1388" spans="7:7">
      <c r="G1388" s="159"/>
    </row>
    <row r="1389" spans="7:7">
      <c r="G1389" s="159"/>
    </row>
    <row r="1390" spans="7:7">
      <c r="G1390" s="159"/>
    </row>
    <row r="1391" spans="7:7">
      <c r="G1391" s="159"/>
    </row>
    <row r="1392" spans="7:7">
      <c r="G1392" s="159"/>
    </row>
    <row r="1393" spans="7:7">
      <c r="G1393" s="159"/>
    </row>
    <row r="1394" spans="7:7">
      <c r="G1394" s="159"/>
    </row>
    <row r="1395" spans="7:7">
      <c r="G1395" s="159"/>
    </row>
    <row r="1396" spans="7:7">
      <c r="G1396" s="159"/>
    </row>
    <row r="1397" spans="7:7">
      <c r="G1397" s="159"/>
    </row>
    <row r="1398" spans="7:7">
      <c r="G1398" s="159"/>
    </row>
    <row r="1399" spans="7:7">
      <c r="G1399" s="159"/>
    </row>
    <row r="1400" spans="7:7">
      <c r="G1400" s="159"/>
    </row>
    <row r="1401" spans="7:7">
      <c r="G1401" s="159"/>
    </row>
    <row r="1402" spans="7:7">
      <c r="G1402" s="159"/>
    </row>
    <row r="1403" spans="7:7">
      <c r="G1403" s="159"/>
    </row>
    <row r="1404" spans="7:7">
      <c r="G1404" s="159"/>
    </row>
    <row r="1405" spans="7:7">
      <c r="G1405" s="159"/>
    </row>
    <row r="1406" spans="7:7">
      <c r="G1406" s="159"/>
    </row>
    <row r="1407" spans="7:7">
      <c r="G1407" s="159"/>
    </row>
    <row r="1408" spans="7:7">
      <c r="G1408" s="159"/>
    </row>
    <row r="1409" spans="7:7">
      <c r="G1409" s="159"/>
    </row>
    <row r="1410" spans="7:7">
      <c r="G1410" s="159"/>
    </row>
    <row r="1411" spans="7:7">
      <c r="G1411" s="159"/>
    </row>
    <row r="1412" spans="7:7">
      <c r="G1412" s="159"/>
    </row>
    <row r="1413" spans="7:7">
      <c r="G1413" s="159"/>
    </row>
    <row r="1414" spans="7:7">
      <c r="G1414" s="159"/>
    </row>
    <row r="1415" spans="7:7">
      <c r="G1415" s="159"/>
    </row>
    <row r="1416" spans="7:7">
      <c r="G1416" s="159"/>
    </row>
    <row r="1417" spans="7:7">
      <c r="G1417" s="159"/>
    </row>
    <row r="1418" spans="7:7">
      <c r="G1418" s="159"/>
    </row>
    <row r="1419" spans="7:7">
      <c r="G1419" s="159"/>
    </row>
    <row r="1420" spans="7:7">
      <c r="G1420" s="159"/>
    </row>
    <row r="1421" spans="7:7">
      <c r="G1421" s="159"/>
    </row>
    <row r="1422" spans="7:7">
      <c r="G1422" s="159"/>
    </row>
    <row r="1423" spans="7:7">
      <c r="G1423" s="159"/>
    </row>
    <row r="1424" spans="7:7">
      <c r="G1424" s="159"/>
    </row>
    <row r="1425" spans="7:7">
      <c r="G1425" s="159"/>
    </row>
    <row r="1426" spans="7:7">
      <c r="G1426" s="159"/>
    </row>
    <row r="1427" spans="7:7">
      <c r="G1427" s="159"/>
    </row>
    <row r="1428" spans="7:7">
      <c r="G1428" s="159"/>
    </row>
    <row r="1429" spans="7:7">
      <c r="G1429" s="159"/>
    </row>
    <row r="1430" spans="7:7">
      <c r="G1430" s="159"/>
    </row>
    <row r="1431" spans="7:7">
      <c r="G1431" s="159"/>
    </row>
    <row r="1432" spans="7:7">
      <c r="G1432" s="159"/>
    </row>
    <row r="1433" spans="7:7">
      <c r="G1433" s="159"/>
    </row>
    <row r="1434" spans="7:7">
      <c r="G1434" s="159"/>
    </row>
    <row r="1435" spans="7:7">
      <c r="G1435" s="159"/>
    </row>
    <row r="1436" spans="7:7">
      <c r="G1436" s="159"/>
    </row>
    <row r="1437" spans="7:7">
      <c r="G1437" s="159"/>
    </row>
    <row r="1438" spans="7:7">
      <c r="G1438" s="159"/>
    </row>
    <row r="1439" spans="7:7">
      <c r="G1439" s="159"/>
    </row>
    <row r="1440" spans="7:7">
      <c r="G1440" s="159"/>
    </row>
    <row r="1441" spans="7:7">
      <c r="G1441" s="159"/>
    </row>
    <row r="1442" spans="7:7">
      <c r="G1442" s="159"/>
    </row>
    <row r="1443" spans="7:7">
      <c r="G1443" s="159"/>
    </row>
    <row r="1444" spans="7:7">
      <c r="G1444" s="159"/>
    </row>
    <row r="1445" spans="7:7">
      <c r="G1445" s="159"/>
    </row>
    <row r="1446" spans="7:7">
      <c r="G1446" s="159"/>
    </row>
    <row r="1447" spans="7:7">
      <c r="G1447" s="159"/>
    </row>
    <row r="1448" spans="7:7">
      <c r="G1448" s="159"/>
    </row>
    <row r="1449" spans="7:7">
      <c r="G1449" s="159"/>
    </row>
    <row r="1450" spans="7:7">
      <c r="G1450" s="159"/>
    </row>
    <row r="1451" spans="7:7">
      <c r="G1451" s="159"/>
    </row>
    <row r="1452" spans="7:7">
      <c r="G1452" s="159"/>
    </row>
    <row r="1453" spans="7:7">
      <c r="G1453" s="159"/>
    </row>
    <row r="1454" spans="7:7">
      <c r="G1454" s="159"/>
    </row>
    <row r="1455" spans="7:7">
      <c r="G1455" s="159"/>
    </row>
    <row r="1456" spans="7:7">
      <c r="G1456" s="159"/>
    </row>
    <row r="1457" spans="7:7">
      <c r="G1457" s="159"/>
    </row>
    <row r="1458" spans="7:7">
      <c r="G1458" s="159"/>
    </row>
    <row r="1459" spans="7:7">
      <c r="G1459" s="159"/>
    </row>
    <row r="1460" spans="7:7">
      <c r="G1460" s="159"/>
    </row>
    <row r="1461" spans="7:7">
      <c r="G1461" s="159"/>
    </row>
    <row r="1462" spans="7:7">
      <c r="G1462" s="159"/>
    </row>
    <row r="1463" spans="7:7">
      <c r="G1463" s="159"/>
    </row>
    <row r="1464" spans="7:7">
      <c r="G1464" s="159"/>
    </row>
    <row r="1465" spans="7:7">
      <c r="G1465" s="159"/>
    </row>
    <row r="1466" spans="7:7">
      <c r="G1466" s="159"/>
    </row>
    <row r="1467" spans="7:7">
      <c r="G1467" s="159"/>
    </row>
    <row r="1468" spans="7:7">
      <c r="G1468" s="159"/>
    </row>
    <row r="1469" spans="7:7">
      <c r="G1469" s="159"/>
    </row>
    <row r="1470" spans="7:7">
      <c r="G1470" s="159"/>
    </row>
    <row r="1471" spans="7:7">
      <c r="G1471" s="159"/>
    </row>
    <row r="1472" spans="7:7">
      <c r="G1472" s="159"/>
    </row>
    <row r="1473" spans="7:7">
      <c r="G1473" s="159"/>
    </row>
    <row r="1474" spans="7:7">
      <c r="G1474" s="159"/>
    </row>
    <row r="1475" spans="7:7">
      <c r="G1475" s="159"/>
    </row>
    <row r="1476" spans="7:7">
      <c r="G1476" s="159"/>
    </row>
    <row r="1477" spans="7:7">
      <c r="G1477" s="159"/>
    </row>
    <row r="1478" spans="7:7">
      <c r="G1478" s="159"/>
    </row>
    <row r="1479" spans="7:7">
      <c r="G1479" s="159"/>
    </row>
    <row r="1480" spans="7:7">
      <c r="G1480" s="159"/>
    </row>
    <row r="1481" spans="7:7">
      <c r="G1481" s="159"/>
    </row>
    <row r="1482" spans="7:7">
      <c r="G1482" s="159"/>
    </row>
    <row r="1483" spans="7:7">
      <c r="G1483" s="159"/>
    </row>
    <row r="1484" spans="7:7">
      <c r="G1484" s="159"/>
    </row>
    <row r="1485" spans="7:7">
      <c r="G1485" s="159"/>
    </row>
    <row r="1486" spans="7:7">
      <c r="G1486" s="159"/>
    </row>
    <row r="1487" spans="7:7">
      <c r="G1487" s="159"/>
    </row>
    <row r="1488" spans="7:7">
      <c r="G1488" s="159"/>
    </row>
    <row r="1489" spans="7:7">
      <c r="G1489" s="159"/>
    </row>
    <row r="1490" spans="7:7">
      <c r="G1490" s="159"/>
    </row>
    <row r="1491" spans="7:7">
      <c r="G1491" s="159"/>
    </row>
    <row r="1492" spans="7:7">
      <c r="G1492" s="159"/>
    </row>
    <row r="1493" spans="7:7">
      <c r="G1493" s="159"/>
    </row>
    <row r="1494" spans="7:7">
      <c r="G1494" s="159"/>
    </row>
    <row r="1495" spans="7:7">
      <c r="G1495" s="159"/>
    </row>
    <row r="1496" spans="7:7">
      <c r="G1496" s="159"/>
    </row>
    <row r="1497" spans="7:7">
      <c r="G1497" s="159"/>
    </row>
    <row r="1498" spans="7:7">
      <c r="G1498" s="159"/>
    </row>
    <row r="1499" spans="7:7">
      <c r="G1499" s="159"/>
    </row>
    <row r="1500" spans="7:7">
      <c r="G1500" s="159"/>
    </row>
    <row r="1501" spans="7:7">
      <c r="G1501" s="159"/>
    </row>
    <row r="1502" spans="7:7">
      <c r="G1502" s="159"/>
    </row>
    <row r="1503" spans="7:7">
      <c r="G1503" s="159"/>
    </row>
    <row r="1504" spans="7:7">
      <c r="G1504" s="159"/>
    </row>
    <row r="1505" spans="7:7">
      <c r="G1505" s="159"/>
    </row>
    <row r="1506" spans="7:7">
      <c r="G1506" s="159"/>
    </row>
    <row r="1507" spans="7:7">
      <c r="G1507" s="159"/>
    </row>
    <row r="1508" spans="7:7">
      <c r="G1508" s="159"/>
    </row>
    <row r="1509" spans="7:7">
      <c r="G1509" s="159"/>
    </row>
    <row r="1510" spans="7:7">
      <c r="G1510" s="159"/>
    </row>
    <row r="1511" spans="7:7">
      <c r="G1511" s="159"/>
    </row>
    <row r="1512" spans="7:7">
      <c r="G1512" s="159"/>
    </row>
    <row r="1513" spans="7:7">
      <c r="G1513" s="159"/>
    </row>
    <row r="1514" spans="7:7">
      <c r="G1514" s="159"/>
    </row>
    <row r="1515" spans="7:7">
      <c r="G1515" s="159"/>
    </row>
    <row r="1516" spans="7:7">
      <c r="G1516" s="159"/>
    </row>
    <row r="1517" spans="7:7">
      <c r="G1517" s="159"/>
    </row>
    <row r="1518" spans="7:7">
      <c r="G1518" s="159"/>
    </row>
    <row r="1519" spans="7:7">
      <c r="G1519" s="159"/>
    </row>
    <row r="1520" spans="7:7">
      <c r="G1520" s="159"/>
    </row>
    <row r="1521" spans="7:7">
      <c r="G1521" s="159"/>
    </row>
    <row r="1522" spans="7:7">
      <c r="G1522" s="159"/>
    </row>
    <row r="1523" spans="7:7">
      <c r="G1523" s="159"/>
    </row>
    <row r="1524" spans="7:7">
      <c r="G1524" s="159"/>
    </row>
    <row r="1525" spans="7:7">
      <c r="G1525" s="159"/>
    </row>
    <row r="1526" spans="7:7">
      <c r="G1526" s="159"/>
    </row>
    <row r="1527" spans="7:7">
      <c r="G1527" s="159"/>
    </row>
    <row r="1528" spans="7:7">
      <c r="G1528" s="159"/>
    </row>
    <row r="1529" spans="7:7">
      <c r="G1529" s="159"/>
    </row>
    <row r="1530" spans="7:7">
      <c r="G1530" s="159"/>
    </row>
    <row r="1531" spans="7:7">
      <c r="G1531" s="159"/>
    </row>
    <row r="1532" spans="7:7">
      <c r="G1532" s="159"/>
    </row>
    <row r="1533" spans="7:7">
      <c r="G1533" s="159"/>
    </row>
    <row r="1534" spans="7:7">
      <c r="G1534" s="159"/>
    </row>
    <row r="1535" spans="7:7">
      <c r="G1535" s="159"/>
    </row>
    <row r="1536" spans="7:7">
      <c r="G1536" s="159"/>
    </row>
    <row r="1537" spans="7:7">
      <c r="G1537" s="159"/>
    </row>
    <row r="1538" spans="7:7">
      <c r="G1538" s="159"/>
    </row>
    <row r="1539" spans="7:7">
      <c r="G1539" s="159"/>
    </row>
    <row r="1540" spans="7:7">
      <c r="G1540" s="159"/>
    </row>
    <row r="1541" spans="7:7">
      <c r="G1541" s="159"/>
    </row>
    <row r="1542" spans="7:7">
      <c r="G1542" s="159"/>
    </row>
    <row r="1543" spans="7:7">
      <c r="G1543" s="159"/>
    </row>
    <row r="1544" spans="7:7">
      <c r="G1544" s="159"/>
    </row>
    <row r="1545" spans="7:7">
      <c r="G1545" s="159"/>
    </row>
    <row r="1546" spans="7:7">
      <c r="G1546" s="159"/>
    </row>
    <row r="1547" spans="7:7">
      <c r="G1547" s="159"/>
    </row>
    <row r="1548" spans="7:7">
      <c r="G1548" s="159"/>
    </row>
    <row r="1549" spans="7:7">
      <c r="G1549" s="159"/>
    </row>
    <row r="1550" spans="7:7">
      <c r="G1550" s="159"/>
    </row>
    <row r="1551" spans="7:7">
      <c r="G1551" s="159"/>
    </row>
    <row r="1552" spans="7:7">
      <c r="G1552" s="159"/>
    </row>
    <row r="1553" spans="7:7">
      <c r="G1553" s="159"/>
    </row>
    <row r="1554" spans="7:7">
      <c r="G1554" s="159"/>
    </row>
    <row r="1555" spans="7:7">
      <c r="G1555" s="159"/>
    </row>
    <row r="1556" spans="7:7">
      <c r="G1556" s="159"/>
    </row>
    <row r="1557" spans="7:7">
      <c r="G1557" s="159"/>
    </row>
    <row r="1558" spans="7:7">
      <c r="G1558" s="159"/>
    </row>
    <row r="1559" spans="7:7">
      <c r="G1559" s="159"/>
    </row>
    <row r="1560" spans="7:7">
      <c r="G1560" s="159"/>
    </row>
    <row r="1561" spans="7:7">
      <c r="G1561" s="159"/>
    </row>
    <row r="1562" spans="7:7">
      <c r="G1562" s="159"/>
    </row>
    <row r="1563" spans="7:7">
      <c r="G1563" s="159"/>
    </row>
    <row r="1564" spans="7:7">
      <c r="G1564" s="159"/>
    </row>
    <row r="1565" spans="7:7">
      <c r="G1565" s="159"/>
    </row>
    <row r="1566" spans="7:7">
      <c r="G1566" s="159"/>
    </row>
    <row r="1567" spans="7:7">
      <c r="G1567" s="159"/>
    </row>
    <row r="1568" spans="7:7">
      <c r="G1568" s="159"/>
    </row>
    <row r="1569" spans="7:7">
      <c r="G1569" s="159"/>
    </row>
    <row r="1570" spans="7:7">
      <c r="G1570" s="159"/>
    </row>
    <row r="1571" spans="7:7">
      <c r="G1571" s="159"/>
    </row>
    <row r="1572" spans="7:7">
      <c r="G1572" s="159"/>
    </row>
    <row r="1573" spans="7:7">
      <c r="G1573" s="159"/>
    </row>
    <row r="1574" spans="7:7">
      <c r="G1574" s="159"/>
    </row>
    <row r="1575" spans="7:7">
      <c r="G1575" s="159"/>
    </row>
    <row r="1576" spans="7:7">
      <c r="G1576" s="159"/>
    </row>
    <row r="1577" spans="7:7">
      <c r="G1577" s="159"/>
    </row>
    <row r="1578" spans="7:7">
      <c r="G1578" s="159"/>
    </row>
    <row r="1579" spans="7:7">
      <c r="G1579" s="159"/>
    </row>
    <row r="1580" spans="7:7">
      <c r="G1580" s="159"/>
    </row>
    <row r="1581" spans="7:7">
      <c r="G1581" s="159"/>
    </row>
    <row r="1582" spans="7:7">
      <c r="G1582" s="159"/>
    </row>
    <row r="1583" spans="7:7">
      <c r="G1583" s="159"/>
    </row>
    <row r="1584" spans="7:7">
      <c r="G1584" s="159"/>
    </row>
    <row r="1585" spans="7:7">
      <c r="G1585" s="159"/>
    </row>
    <row r="1586" spans="7:7">
      <c r="G1586" s="159"/>
    </row>
    <row r="1587" spans="7:7">
      <c r="G1587" s="159"/>
    </row>
    <row r="1588" spans="7:7">
      <c r="G1588" s="159"/>
    </row>
    <row r="1589" spans="7:7">
      <c r="G1589" s="159"/>
    </row>
    <row r="1590" spans="7:7">
      <c r="G1590" s="159"/>
    </row>
    <row r="1591" spans="7:7">
      <c r="G1591" s="159"/>
    </row>
    <row r="1592" spans="7:7">
      <c r="G1592" s="159"/>
    </row>
    <row r="1593" spans="7:7">
      <c r="G1593" s="159"/>
    </row>
    <row r="1594" spans="7:7">
      <c r="G1594" s="159"/>
    </row>
    <row r="1595" spans="7:7">
      <c r="G1595" s="159"/>
    </row>
    <row r="1596" spans="7:7">
      <c r="G1596" s="159"/>
    </row>
    <row r="1597" spans="7:7">
      <c r="G1597" s="159"/>
    </row>
    <row r="1598" spans="7:7">
      <c r="G1598" s="159"/>
    </row>
    <row r="1599" spans="7:7">
      <c r="G1599" s="159"/>
    </row>
    <row r="1600" spans="7:7">
      <c r="G1600" s="159"/>
    </row>
    <row r="1601" spans="7:7">
      <c r="G1601" s="159"/>
    </row>
    <row r="1602" spans="7:7">
      <c r="G1602" s="159"/>
    </row>
    <row r="1603" spans="7:7">
      <c r="G1603" s="159"/>
    </row>
    <row r="1604" spans="7:7">
      <c r="G1604" s="159"/>
    </row>
    <row r="1605" spans="7:7">
      <c r="G1605" s="159"/>
    </row>
    <row r="1606" spans="7:7">
      <c r="G1606" s="159"/>
    </row>
    <row r="1607" spans="7:7">
      <c r="G1607" s="159"/>
    </row>
    <row r="1608" spans="7:7">
      <c r="G1608" s="159"/>
    </row>
    <row r="1609" spans="7:7">
      <c r="G1609" s="159"/>
    </row>
    <row r="1610" spans="7:7">
      <c r="G1610" s="159"/>
    </row>
    <row r="1611" spans="7:7">
      <c r="G1611" s="159"/>
    </row>
    <row r="1612" spans="7:7">
      <c r="G1612" s="159"/>
    </row>
    <row r="1613" spans="7:7">
      <c r="G1613" s="159"/>
    </row>
    <row r="1614" spans="7:7">
      <c r="G1614" s="159"/>
    </row>
    <row r="1615" spans="7:7">
      <c r="G1615" s="159"/>
    </row>
    <row r="1616" spans="7:7">
      <c r="G1616" s="159"/>
    </row>
    <row r="1617" spans="7:7">
      <c r="G1617" s="159"/>
    </row>
    <row r="1618" spans="7:7">
      <c r="G1618" s="159"/>
    </row>
    <row r="1619" spans="7:7">
      <c r="G1619" s="159"/>
    </row>
    <row r="1620" spans="7:7">
      <c r="G1620" s="159"/>
    </row>
    <row r="1621" spans="7:7">
      <c r="G1621" s="159"/>
    </row>
    <row r="1622" spans="7:7">
      <c r="G1622" s="159"/>
    </row>
    <row r="1623" spans="7:7">
      <c r="G1623" s="159"/>
    </row>
    <row r="1624" spans="7:7">
      <c r="G1624" s="159"/>
    </row>
    <row r="1625" spans="7:7">
      <c r="G1625" s="159"/>
    </row>
    <row r="1626" spans="7:7">
      <c r="G1626" s="159"/>
    </row>
    <row r="1627" spans="7:7">
      <c r="G1627" s="159"/>
    </row>
    <row r="1628" spans="7:7">
      <c r="G1628" s="159"/>
    </row>
    <row r="1629" spans="7:7">
      <c r="G1629" s="159"/>
    </row>
    <row r="1630" spans="7:7">
      <c r="G1630" s="159"/>
    </row>
    <row r="1631" spans="7:7">
      <c r="G1631" s="159"/>
    </row>
    <row r="1632" spans="7:7">
      <c r="G1632" s="159"/>
    </row>
    <row r="1633" spans="7:7">
      <c r="G1633" s="159"/>
    </row>
    <row r="1634" spans="7:7">
      <c r="G1634" s="159"/>
    </row>
    <row r="1635" spans="7:7">
      <c r="G1635" s="159"/>
    </row>
    <row r="1636" spans="7:7">
      <c r="G1636" s="159"/>
    </row>
    <row r="1637" spans="7:7">
      <c r="G1637" s="159"/>
    </row>
    <row r="1638" spans="7:7">
      <c r="G1638" s="159"/>
    </row>
    <row r="1639" spans="7:7">
      <c r="G1639" s="159"/>
    </row>
    <row r="1640" spans="7:7">
      <c r="G1640" s="159"/>
    </row>
    <row r="1641" spans="7:7">
      <c r="G1641" s="159"/>
    </row>
    <row r="1642" spans="7:7">
      <c r="G1642" s="159"/>
    </row>
    <row r="1643" spans="7:7">
      <c r="G1643" s="159"/>
    </row>
    <row r="1644" spans="7:7">
      <c r="G1644" s="159"/>
    </row>
    <row r="1645" spans="7:7">
      <c r="G1645" s="159"/>
    </row>
    <row r="1646" spans="7:7">
      <c r="G1646" s="159"/>
    </row>
    <row r="1647" spans="7:7">
      <c r="G1647" s="159"/>
    </row>
    <row r="1648" spans="7:7">
      <c r="G1648" s="159"/>
    </row>
    <row r="1649" spans="7:7">
      <c r="G1649" s="159"/>
    </row>
    <row r="1650" spans="7:7">
      <c r="G1650" s="159"/>
    </row>
    <row r="1651" spans="7:7">
      <c r="G1651" s="159"/>
    </row>
    <row r="1652" spans="7:7">
      <c r="G1652" s="159"/>
    </row>
    <row r="1653" spans="7:7">
      <c r="G1653" s="159"/>
    </row>
    <row r="1654" spans="7:7">
      <c r="G1654" s="159"/>
    </row>
    <row r="1655" spans="7:7">
      <c r="G1655" s="159"/>
    </row>
    <row r="1656" spans="7:7">
      <c r="G1656" s="159"/>
    </row>
    <row r="1657" spans="7:7">
      <c r="G1657" s="159"/>
    </row>
    <row r="1658" spans="7:7">
      <c r="G1658" s="159"/>
    </row>
    <row r="1659" spans="7:7">
      <c r="G1659" s="159"/>
    </row>
    <row r="1660" spans="7:7">
      <c r="G1660" s="159"/>
    </row>
    <row r="1661" spans="7:7">
      <c r="G1661" s="159"/>
    </row>
    <row r="1662" spans="7:7">
      <c r="G1662" s="159"/>
    </row>
    <row r="1663" spans="7:7">
      <c r="G1663" s="159"/>
    </row>
    <row r="1664" spans="7:7">
      <c r="G1664" s="159"/>
    </row>
    <row r="1665" spans="7:7">
      <c r="G1665" s="159"/>
    </row>
    <row r="1666" spans="7:7">
      <c r="G1666" s="159"/>
    </row>
    <row r="1667" spans="7:7">
      <c r="G1667" s="159"/>
    </row>
    <row r="1668" spans="7:7">
      <c r="G1668" s="159"/>
    </row>
    <row r="1669" spans="7:7">
      <c r="G1669" s="159"/>
    </row>
    <row r="1670" spans="7:7">
      <c r="G1670" s="159"/>
    </row>
    <row r="1671" spans="7:7">
      <c r="G1671" s="159"/>
    </row>
    <row r="1672" spans="7:7">
      <c r="G1672" s="159"/>
    </row>
    <row r="1673" spans="7:7">
      <c r="G1673" s="159"/>
    </row>
    <row r="1674" spans="7:7">
      <c r="G1674" s="159"/>
    </row>
    <row r="1675" spans="7:7">
      <c r="G1675" s="159"/>
    </row>
    <row r="1676" spans="7:7">
      <c r="G1676" s="159"/>
    </row>
    <row r="1677" spans="7:7">
      <c r="G1677" s="159"/>
    </row>
    <row r="1678" spans="7:7">
      <c r="G1678" s="159"/>
    </row>
    <row r="1679" spans="7:7">
      <c r="G1679" s="159"/>
    </row>
    <row r="1680" spans="7:7">
      <c r="G1680" s="159"/>
    </row>
    <row r="1681" spans="7:7">
      <c r="G1681" s="159"/>
    </row>
    <row r="1682" spans="7:7">
      <c r="G1682" s="159"/>
    </row>
    <row r="1683" spans="7:7">
      <c r="G1683" s="159"/>
    </row>
    <row r="1684" spans="7:7">
      <c r="G1684" s="159"/>
    </row>
    <row r="1685" spans="7:7">
      <c r="G1685" s="159"/>
    </row>
    <row r="1686" spans="7:7">
      <c r="G1686" s="159"/>
    </row>
    <row r="1687" spans="7:7">
      <c r="G1687" s="159"/>
    </row>
    <row r="1688" spans="7:7">
      <c r="G1688" s="159"/>
    </row>
    <row r="1689" spans="7:7">
      <c r="G1689" s="159"/>
    </row>
    <row r="1690" spans="7:7">
      <c r="G1690" s="159"/>
    </row>
    <row r="1691" spans="7:7">
      <c r="G1691" s="159"/>
    </row>
    <row r="1692" spans="7:7">
      <c r="G1692" s="159"/>
    </row>
    <row r="1693" spans="7:7">
      <c r="G1693" s="159"/>
    </row>
    <row r="1694" spans="7:7">
      <c r="G1694" s="159"/>
    </row>
    <row r="1695" spans="7:7">
      <c r="G1695" s="159"/>
    </row>
    <row r="1696" spans="7:7">
      <c r="G1696" s="159"/>
    </row>
    <row r="1697" spans="7:7">
      <c r="G1697" s="159"/>
    </row>
    <row r="1698" spans="7:7">
      <c r="G1698" s="159"/>
    </row>
    <row r="1699" spans="7:7">
      <c r="G1699" s="159"/>
    </row>
    <row r="1700" spans="7:7">
      <c r="G1700" s="159"/>
    </row>
    <row r="1701" spans="7:7">
      <c r="G1701" s="159"/>
    </row>
    <row r="1702" spans="7:7">
      <c r="G1702" s="159"/>
    </row>
    <row r="1703" spans="7:7">
      <c r="G1703" s="159"/>
    </row>
    <row r="1704" spans="7:7">
      <c r="G1704" s="159"/>
    </row>
    <row r="1705" spans="7:7">
      <c r="G1705" s="159"/>
    </row>
    <row r="1706" spans="7:7">
      <c r="G1706" s="159"/>
    </row>
    <row r="1707" spans="7:7">
      <c r="G1707" s="159"/>
    </row>
    <row r="1708" spans="7:7">
      <c r="G1708" s="159"/>
    </row>
    <row r="1709" spans="7:7">
      <c r="G1709" s="159"/>
    </row>
    <row r="1710" spans="7:7">
      <c r="G1710" s="159"/>
    </row>
    <row r="1711" spans="7:7">
      <c r="G1711" s="159"/>
    </row>
    <row r="1712" spans="7:7">
      <c r="G1712" s="159"/>
    </row>
    <row r="1713" spans="7:7">
      <c r="G1713" s="159"/>
    </row>
    <row r="1714" spans="7:7">
      <c r="G1714" s="159"/>
    </row>
    <row r="1715" spans="7:7">
      <c r="G1715" s="159"/>
    </row>
    <row r="1716" spans="7:7">
      <c r="G1716" s="159"/>
    </row>
    <row r="1717" spans="7:7">
      <c r="G1717" s="159"/>
    </row>
    <row r="1718" spans="7:7">
      <c r="G1718" s="159"/>
    </row>
    <row r="1719" spans="7:7">
      <c r="G1719" s="159"/>
    </row>
    <row r="1720" spans="7:7">
      <c r="G1720" s="159"/>
    </row>
    <row r="1721" spans="7:7">
      <c r="G1721" s="159"/>
    </row>
    <row r="1722" spans="7:7">
      <c r="G1722" s="159"/>
    </row>
    <row r="1723" spans="7:7">
      <c r="G1723" s="159"/>
    </row>
    <row r="1724" spans="7:7">
      <c r="G1724" s="159"/>
    </row>
    <row r="1725" spans="7:7">
      <c r="G1725" s="159"/>
    </row>
    <row r="1726" spans="7:7">
      <c r="G1726" s="159"/>
    </row>
    <row r="1727" spans="7:7">
      <c r="G1727" s="159"/>
    </row>
    <row r="1728" spans="7:7">
      <c r="G1728" s="159"/>
    </row>
    <row r="1729" spans="7:7">
      <c r="G1729" s="159"/>
    </row>
    <row r="1730" spans="7:7">
      <c r="G1730" s="159"/>
    </row>
    <row r="1731" spans="7:7">
      <c r="G1731" s="159"/>
    </row>
    <row r="1732" spans="7:7">
      <c r="G1732" s="159"/>
    </row>
    <row r="1733" spans="7:7">
      <c r="G1733" s="159"/>
    </row>
    <row r="1734" spans="7:7">
      <c r="G1734" s="159"/>
    </row>
    <row r="1735" spans="7:7">
      <c r="G1735" s="159"/>
    </row>
    <row r="1736" spans="7:7">
      <c r="G1736" s="159"/>
    </row>
    <row r="1737" spans="7:7">
      <c r="G1737" s="159"/>
    </row>
    <row r="1738" spans="7:7">
      <c r="G1738" s="159"/>
    </row>
    <row r="1739" spans="7:7">
      <c r="G1739" s="159"/>
    </row>
    <row r="1740" spans="7:7">
      <c r="G1740" s="159"/>
    </row>
    <row r="1741" spans="7:7">
      <c r="G1741" s="159"/>
    </row>
    <row r="1742" spans="7:7">
      <c r="G1742" s="159"/>
    </row>
    <row r="1743" spans="7:7">
      <c r="G1743" s="159"/>
    </row>
    <row r="1744" spans="7:7">
      <c r="G1744" s="159"/>
    </row>
    <row r="1745" spans="7:7">
      <c r="G1745" s="159"/>
    </row>
    <row r="1746" spans="7:7">
      <c r="G1746" s="159"/>
    </row>
    <row r="1747" spans="7:7">
      <c r="G1747" s="159"/>
    </row>
    <row r="1748" spans="7:7">
      <c r="G1748" s="159"/>
    </row>
    <row r="1749" spans="7:7">
      <c r="G1749" s="159"/>
    </row>
    <row r="1750" spans="7:7">
      <c r="G1750" s="159"/>
    </row>
    <row r="1751" spans="7:7">
      <c r="G1751" s="159"/>
    </row>
    <row r="1752" spans="7:7">
      <c r="G1752" s="159"/>
    </row>
    <row r="1753" spans="7:7">
      <c r="G1753" s="159"/>
    </row>
    <row r="1754" spans="7:7">
      <c r="G1754" s="159"/>
    </row>
    <row r="1755" spans="7:7">
      <c r="G1755" s="159"/>
    </row>
    <row r="1756" spans="7:7">
      <c r="G1756" s="159"/>
    </row>
    <row r="1757" spans="7:7">
      <c r="G1757" s="159"/>
    </row>
    <row r="1758" spans="7:7">
      <c r="G1758" s="159"/>
    </row>
    <row r="1759" spans="7:7">
      <c r="G1759" s="159"/>
    </row>
    <row r="1760" spans="7:7">
      <c r="G1760" s="159"/>
    </row>
    <row r="1761" spans="7:7">
      <c r="G1761" s="159"/>
    </row>
    <row r="1762" spans="7:7">
      <c r="G1762" s="159"/>
    </row>
    <row r="1763" spans="7:7">
      <c r="G1763" s="159"/>
    </row>
    <row r="1764" spans="7:7">
      <c r="G1764" s="159"/>
    </row>
    <row r="1765" spans="7:7">
      <c r="G1765" s="159"/>
    </row>
    <row r="1766" spans="7:7">
      <c r="G1766" s="159"/>
    </row>
    <row r="1767" spans="7:7">
      <c r="G1767" s="159"/>
    </row>
    <row r="1768" spans="7:7">
      <c r="G1768" s="159"/>
    </row>
    <row r="1769" spans="7:7">
      <c r="G1769" s="159"/>
    </row>
    <row r="1770" spans="7:7">
      <c r="G1770" s="159"/>
    </row>
    <row r="1771" spans="7:7">
      <c r="G1771" s="159"/>
    </row>
    <row r="1772" spans="7:7">
      <c r="G1772" s="159"/>
    </row>
    <row r="1773" spans="7:7">
      <c r="G1773" s="159"/>
    </row>
    <row r="1774" spans="7:7">
      <c r="G1774" s="159"/>
    </row>
    <row r="1775" spans="7:7">
      <c r="G1775" s="159"/>
    </row>
    <row r="1776" spans="7:7">
      <c r="G1776" s="159"/>
    </row>
    <row r="1777" spans="7:7">
      <c r="G1777" s="159"/>
    </row>
    <row r="1778" spans="7:7">
      <c r="G1778" s="159"/>
    </row>
    <row r="1779" spans="7:7">
      <c r="G1779" s="159"/>
    </row>
    <row r="1780" spans="7:7">
      <c r="G1780" s="159"/>
    </row>
    <row r="1781" spans="7:7">
      <c r="G1781" s="159"/>
    </row>
    <row r="1782" spans="7:7">
      <c r="G1782" s="159"/>
    </row>
    <row r="1783" spans="7:7">
      <c r="G1783" s="159"/>
    </row>
    <row r="1784" spans="7:7">
      <c r="G1784" s="159"/>
    </row>
    <row r="1785" spans="7:7">
      <c r="G1785" s="159"/>
    </row>
    <row r="1786" spans="7:7">
      <c r="G1786" s="159"/>
    </row>
    <row r="1787" spans="7:7">
      <c r="G1787" s="159"/>
    </row>
    <row r="1788" spans="7:7">
      <c r="G1788" s="159"/>
    </row>
    <row r="1789" spans="7:7">
      <c r="G1789" s="159"/>
    </row>
    <row r="1790" spans="7:7">
      <c r="G1790" s="159"/>
    </row>
    <row r="1791" spans="7:7">
      <c r="G1791" s="159"/>
    </row>
    <row r="1792" spans="7:7">
      <c r="G1792" s="159"/>
    </row>
    <row r="1793" spans="7:7">
      <c r="G1793" s="159"/>
    </row>
    <row r="1794" spans="7:7">
      <c r="G1794" s="159"/>
    </row>
    <row r="1795" spans="7:7">
      <c r="G1795" s="159"/>
    </row>
    <row r="1796" spans="7:7">
      <c r="G1796" s="159"/>
    </row>
    <row r="1797" spans="7:7">
      <c r="G1797" s="159"/>
    </row>
    <row r="1798" spans="7:7">
      <c r="G1798" s="159"/>
    </row>
    <row r="1799" spans="7:7">
      <c r="G1799" s="159"/>
    </row>
    <row r="1800" spans="7:7">
      <c r="G1800" s="159"/>
    </row>
    <row r="1801" spans="7:7">
      <c r="G1801" s="159"/>
    </row>
    <row r="1802" spans="7:7">
      <c r="G1802" s="159"/>
    </row>
    <row r="1803" spans="7:7">
      <c r="G1803" s="159"/>
    </row>
    <row r="1804" spans="7:7">
      <c r="G1804" s="159"/>
    </row>
    <row r="1805" spans="7:7">
      <c r="G1805" s="159"/>
    </row>
    <row r="1806" spans="7:7">
      <c r="G1806" s="159"/>
    </row>
    <row r="1807" spans="7:7">
      <c r="G1807" s="159"/>
    </row>
    <row r="1808" spans="7:7">
      <c r="G1808" s="159"/>
    </row>
    <row r="1809" spans="7:7">
      <c r="G1809" s="159"/>
    </row>
    <row r="1810" spans="7:7">
      <c r="G1810" s="159"/>
    </row>
    <row r="1811" spans="7:7">
      <c r="G1811" s="159"/>
    </row>
    <row r="1812" spans="7:7">
      <c r="G1812" s="159"/>
    </row>
    <row r="1813" spans="7:7">
      <c r="G1813" s="159"/>
    </row>
    <row r="1814" spans="7:7">
      <c r="G1814" s="159"/>
    </row>
    <row r="1815" spans="7:7">
      <c r="G1815" s="159"/>
    </row>
    <row r="1816" spans="7:7">
      <c r="G1816" s="159"/>
    </row>
    <row r="1817" spans="7:7">
      <c r="G1817" s="159"/>
    </row>
    <row r="1818" spans="7:7">
      <c r="G1818" s="159"/>
    </row>
    <row r="1819" spans="7:7">
      <c r="G1819" s="159"/>
    </row>
    <row r="1820" spans="7:7">
      <c r="G1820" s="159"/>
    </row>
    <row r="1821" spans="7:7">
      <c r="G1821" s="159"/>
    </row>
    <row r="1822" spans="7:7">
      <c r="G1822" s="159"/>
    </row>
    <row r="1823" spans="7:7">
      <c r="G1823" s="159"/>
    </row>
    <row r="1824" spans="7:7">
      <c r="G1824" s="159"/>
    </row>
    <row r="1825" spans="7:7">
      <c r="G1825" s="159"/>
    </row>
    <row r="1826" spans="7:7">
      <c r="G1826" s="159"/>
    </row>
    <row r="1827" spans="7:7">
      <c r="G1827" s="159"/>
    </row>
    <row r="1828" spans="7:7">
      <c r="G1828" s="159"/>
    </row>
    <row r="1829" spans="7:7">
      <c r="G1829" s="159"/>
    </row>
    <row r="1830" spans="7:7">
      <c r="G1830" s="159"/>
    </row>
    <row r="1831" spans="7:7">
      <c r="G1831" s="159"/>
    </row>
    <row r="1832" spans="7:7">
      <c r="G1832" s="159"/>
    </row>
    <row r="1833" spans="7:7">
      <c r="G1833" s="159"/>
    </row>
    <row r="1834" spans="7:7">
      <c r="G1834" s="159"/>
    </row>
    <row r="1835" spans="7:7">
      <c r="G1835" s="159"/>
    </row>
    <row r="1836" spans="7:7">
      <c r="G1836" s="159"/>
    </row>
    <row r="1837" spans="7:7">
      <c r="G1837" s="159"/>
    </row>
    <row r="1838" spans="7:7">
      <c r="G1838" s="159"/>
    </row>
    <row r="1839" spans="7:7">
      <c r="G1839" s="159"/>
    </row>
    <row r="1840" spans="7:7">
      <c r="G1840" s="159"/>
    </row>
    <row r="1841" spans="7:7">
      <c r="G1841" s="159"/>
    </row>
    <row r="1842" spans="7:7">
      <c r="G1842" s="159"/>
    </row>
    <row r="1843" spans="7:7">
      <c r="G1843" s="159"/>
    </row>
    <row r="1844" spans="7:7">
      <c r="G1844" s="159"/>
    </row>
    <row r="1845" spans="7:7">
      <c r="G1845" s="159"/>
    </row>
    <row r="1846" spans="7:7">
      <c r="G1846" s="159"/>
    </row>
    <row r="1847" spans="7:7">
      <c r="G1847" s="159"/>
    </row>
    <row r="1848" spans="7:7">
      <c r="G1848" s="159"/>
    </row>
    <row r="1849" spans="7:7">
      <c r="G1849" s="159"/>
    </row>
    <row r="1850" spans="7:7">
      <c r="G1850" s="159"/>
    </row>
    <row r="1851" spans="7:7">
      <c r="G1851" s="159"/>
    </row>
    <row r="1852" spans="7:7">
      <c r="G1852" s="159"/>
    </row>
    <row r="1853" spans="7:7">
      <c r="G1853" s="159"/>
    </row>
    <row r="1854" spans="7:7">
      <c r="G1854" s="159"/>
    </row>
    <row r="1855" spans="7:7">
      <c r="G1855" s="159"/>
    </row>
    <row r="1856" spans="7:7">
      <c r="G1856" s="159"/>
    </row>
    <row r="1857" spans="7:7">
      <c r="G1857" s="159"/>
    </row>
    <row r="1858" spans="7:7">
      <c r="G1858" s="159"/>
    </row>
    <row r="1859" spans="7:7">
      <c r="G1859" s="159"/>
    </row>
    <row r="1860" spans="7:7">
      <c r="G1860" s="159"/>
    </row>
    <row r="1861" spans="7:7">
      <c r="G1861" s="159"/>
    </row>
    <row r="1862" spans="7:7">
      <c r="G1862" s="159"/>
    </row>
    <row r="1863" spans="7:7">
      <c r="G1863" s="159"/>
    </row>
    <row r="1864" spans="7:7">
      <c r="G1864" s="159"/>
    </row>
    <row r="1865" spans="7:7">
      <c r="G1865" s="159"/>
    </row>
    <row r="1866" spans="7:7">
      <c r="G1866" s="159"/>
    </row>
    <row r="1867" spans="7:7">
      <c r="G1867" s="159"/>
    </row>
    <row r="1868" spans="7:7">
      <c r="G1868" s="159"/>
    </row>
    <row r="1869" spans="7:7">
      <c r="G1869" s="159"/>
    </row>
    <row r="1870" spans="7:7">
      <c r="G1870" s="159"/>
    </row>
    <row r="1871" spans="7:7">
      <c r="G1871" s="159"/>
    </row>
    <row r="1872" spans="7:7">
      <c r="G1872" s="159"/>
    </row>
    <row r="1873" spans="7:7">
      <c r="G1873" s="159"/>
    </row>
    <row r="1874" spans="7:7">
      <c r="G1874" s="159"/>
    </row>
    <row r="1875" spans="7:7">
      <c r="G1875" s="159"/>
    </row>
    <row r="1876" spans="7:7">
      <c r="G1876" s="159"/>
    </row>
    <row r="1877" spans="7:7">
      <c r="G1877" s="159"/>
    </row>
    <row r="1878" spans="7:7">
      <c r="G1878" s="159"/>
    </row>
    <row r="1879" spans="7:7">
      <c r="G1879" s="159"/>
    </row>
    <row r="1880" spans="7:7">
      <c r="G1880" s="159"/>
    </row>
    <row r="1881" spans="7:7">
      <c r="G1881" s="159"/>
    </row>
    <row r="1882" spans="7:7">
      <c r="G1882" s="159"/>
    </row>
    <row r="1883" spans="7:7">
      <c r="G1883" s="159"/>
    </row>
    <row r="1884" spans="7:7">
      <c r="G1884" s="159"/>
    </row>
    <row r="1885" spans="7:7">
      <c r="G1885" s="159"/>
    </row>
    <row r="1886" spans="7:7">
      <c r="G1886" s="159"/>
    </row>
    <row r="1887" spans="7:7">
      <c r="G1887" s="159"/>
    </row>
    <row r="1888" spans="7:7">
      <c r="G1888" s="159"/>
    </row>
    <row r="1889" spans="7:7">
      <c r="G1889" s="159"/>
    </row>
    <row r="1890" spans="7:7">
      <c r="G1890" s="159"/>
    </row>
    <row r="1891" spans="7:7">
      <c r="G1891" s="159"/>
    </row>
    <row r="1892" spans="7:7">
      <c r="G1892" s="159"/>
    </row>
    <row r="1893" spans="7:7">
      <c r="G1893" s="159"/>
    </row>
    <row r="1894" spans="7:7">
      <c r="G1894" s="159"/>
    </row>
    <row r="1895" spans="7:7">
      <c r="G1895" s="159"/>
    </row>
    <row r="1896" spans="7:7">
      <c r="G1896" s="159"/>
    </row>
    <row r="1897" spans="7:7">
      <c r="G1897" s="159"/>
    </row>
    <row r="1898" spans="7:7">
      <c r="G1898" s="159"/>
    </row>
    <row r="1899" spans="7:7">
      <c r="G1899" s="159"/>
    </row>
    <row r="1900" spans="7:7">
      <c r="G1900" s="159"/>
    </row>
    <row r="1901" spans="7:7">
      <c r="G1901" s="159"/>
    </row>
    <row r="1902" spans="7:7">
      <c r="G1902" s="159"/>
    </row>
    <row r="1903" spans="7:7">
      <c r="G1903" s="159"/>
    </row>
    <row r="1904" spans="7:7">
      <c r="G1904" s="159"/>
    </row>
    <row r="1905" spans="7:7">
      <c r="G1905" s="159"/>
    </row>
    <row r="1906" spans="7:7">
      <c r="G1906" s="159"/>
    </row>
    <row r="1907" spans="7:7">
      <c r="G1907" s="159"/>
    </row>
    <row r="1908" spans="7:7">
      <c r="G1908" s="159"/>
    </row>
    <row r="1909" spans="7:7">
      <c r="G1909" s="159"/>
    </row>
    <row r="1910" spans="7:7">
      <c r="G1910" s="159"/>
    </row>
    <row r="1911" spans="7:7">
      <c r="G1911" s="159"/>
    </row>
    <row r="1912" spans="7:7">
      <c r="G1912" s="159"/>
    </row>
    <row r="1913" spans="7:7">
      <c r="G1913" s="159"/>
    </row>
    <row r="1914" spans="7:7">
      <c r="G1914" s="159"/>
    </row>
    <row r="1915" spans="7:7">
      <c r="G1915" s="159"/>
    </row>
    <row r="1916" spans="7:7">
      <c r="G1916" s="159"/>
    </row>
    <row r="1917" spans="7:7">
      <c r="G1917" s="159"/>
    </row>
    <row r="1918" spans="7:7">
      <c r="G1918" s="159"/>
    </row>
    <row r="1919" spans="7:7">
      <c r="G1919" s="159"/>
    </row>
    <row r="1920" spans="7:7">
      <c r="G1920" s="159"/>
    </row>
    <row r="1921" spans="7:7">
      <c r="G1921" s="159"/>
    </row>
    <row r="1922" spans="7:7">
      <c r="G1922" s="159"/>
    </row>
    <row r="1923" spans="7:7">
      <c r="G1923" s="159"/>
    </row>
    <row r="1924" spans="7:7">
      <c r="G1924" s="159"/>
    </row>
    <row r="1925" spans="7:7">
      <c r="G1925" s="159"/>
    </row>
    <row r="1926" spans="7:7">
      <c r="G1926" s="159"/>
    </row>
    <row r="1927" spans="7:7">
      <c r="G1927" s="159"/>
    </row>
    <row r="1928" spans="7:7">
      <c r="G1928" s="159"/>
    </row>
    <row r="1929" spans="7:7">
      <c r="G1929" s="159"/>
    </row>
    <row r="1930" spans="7:7">
      <c r="G1930" s="159"/>
    </row>
    <row r="1931" spans="7:7">
      <c r="G1931" s="159"/>
    </row>
    <row r="1932" spans="7:7">
      <c r="G1932" s="159"/>
    </row>
    <row r="1933" spans="7:7">
      <c r="G1933" s="159"/>
    </row>
    <row r="1934" spans="7:7">
      <c r="G1934" s="159"/>
    </row>
    <row r="1935" spans="7:7">
      <c r="G1935" s="159"/>
    </row>
    <row r="1936" spans="7:7">
      <c r="G1936" s="159"/>
    </row>
    <row r="1937" spans="7:7">
      <c r="G1937" s="159"/>
    </row>
    <row r="1938" spans="7:7">
      <c r="G1938" s="159"/>
    </row>
    <row r="1939" spans="7:7">
      <c r="G1939" s="159"/>
    </row>
    <row r="1940" spans="7:7">
      <c r="G1940" s="159"/>
    </row>
    <row r="1941" spans="7:7">
      <c r="G1941" s="159"/>
    </row>
    <row r="1942" spans="7:7">
      <c r="G1942" s="159"/>
    </row>
    <row r="1943" spans="7:7">
      <c r="G1943" s="159"/>
    </row>
    <row r="1944" spans="7:7">
      <c r="G1944" s="159"/>
    </row>
    <row r="1945" spans="7:7">
      <c r="G1945" s="159"/>
    </row>
    <row r="1946" spans="7:7">
      <c r="G1946" s="159"/>
    </row>
    <row r="1947" spans="7:7">
      <c r="G1947" s="159"/>
    </row>
    <row r="1948" spans="7:7">
      <c r="G1948" s="159"/>
    </row>
    <row r="1949" spans="7:7">
      <c r="G1949" s="159"/>
    </row>
    <row r="1950" spans="7:7">
      <c r="G1950" s="159"/>
    </row>
    <row r="1951" spans="7:7">
      <c r="G1951" s="159"/>
    </row>
    <row r="1952" spans="7:7">
      <c r="G1952" s="159"/>
    </row>
    <row r="1953" spans="7:7">
      <c r="G1953" s="159"/>
    </row>
    <row r="1954" spans="7:7">
      <c r="G1954" s="159"/>
    </row>
    <row r="1955" spans="7:7">
      <c r="G1955" s="159"/>
    </row>
    <row r="1956" spans="7:7">
      <c r="G1956" s="159"/>
    </row>
    <row r="1957" spans="7:7">
      <c r="G1957" s="159"/>
    </row>
    <row r="1958" spans="7:7">
      <c r="G1958" s="159"/>
    </row>
    <row r="1959" spans="7:7">
      <c r="G1959" s="159"/>
    </row>
    <row r="1960" spans="7:7">
      <c r="G1960" s="159"/>
    </row>
    <row r="1961" spans="7:7">
      <c r="G1961" s="159"/>
    </row>
    <row r="1962" spans="7:7">
      <c r="G1962" s="159"/>
    </row>
    <row r="1963" spans="7:7">
      <c r="G1963" s="159"/>
    </row>
    <row r="1964" spans="7:7">
      <c r="G1964" s="159"/>
    </row>
    <row r="1965" spans="7:7">
      <c r="G1965" s="159"/>
    </row>
    <row r="1966" spans="7:7">
      <c r="G1966" s="159"/>
    </row>
    <row r="1967" spans="7:7">
      <c r="G1967" s="159"/>
    </row>
    <row r="1968" spans="7:7">
      <c r="G1968" s="159"/>
    </row>
    <row r="1969" spans="7:7">
      <c r="G1969" s="159"/>
    </row>
    <row r="1970" spans="7:7">
      <c r="G1970" s="159"/>
    </row>
    <row r="1971" spans="7:7">
      <c r="G1971" s="159"/>
    </row>
    <row r="1972" spans="7:7">
      <c r="G1972" s="159"/>
    </row>
    <row r="1973" spans="7:7">
      <c r="G1973" s="159"/>
    </row>
    <row r="1974" spans="7:7">
      <c r="G1974" s="159"/>
    </row>
    <row r="1975" spans="7:7">
      <c r="G1975" s="159"/>
    </row>
    <row r="1976" spans="7:7">
      <c r="G1976" s="159"/>
    </row>
    <row r="1977" spans="7:7">
      <c r="G1977" s="159"/>
    </row>
    <row r="1978" spans="7:7">
      <c r="G1978" s="159"/>
    </row>
    <row r="1979" spans="7:7">
      <c r="G1979" s="159"/>
    </row>
    <row r="1980" spans="7:7">
      <c r="G1980" s="159"/>
    </row>
    <row r="1981" spans="7:7">
      <c r="G1981" s="159"/>
    </row>
    <row r="1982" spans="7:7">
      <c r="G1982" s="159"/>
    </row>
    <row r="1983" spans="7:7">
      <c r="G1983" s="159"/>
    </row>
    <row r="1984" spans="7:7">
      <c r="G1984" s="159"/>
    </row>
    <row r="1985" spans="7:7">
      <c r="G1985" s="159"/>
    </row>
    <row r="1986" spans="7:7">
      <c r="G1986" s="159"/>
    </row>
    <row r="1987" spans="7:7">
      <c r="G1987" s="159"/>
    </row>
    <row r="1988" spans="7:7">
      <c r="G1988" s="159"/>
    </row>
    <row r="1989" spans="7:7">
      <c r="G1989" s="159"/>
    </row>
    <row r="1990" spans="7:7">
      <c r="G1990" s="159"/>
    </row>
    <row r="1991" spans="7:7">
      <c r="G1991" s="159"/>
    </row>
    <row r="1992" spans="7:7">
      <c r="G1992" s="159"/>
    </row>
    <row r="1993" spans="7:7">
      <c r="G1993" s="159"/>
    </row>
    <row r="1994" spans="7:7">
      <c r="G1994" s="159"/>
    </row>
    <row r="1995" spans="7:7">
      <c r="G1995" s="159"/>
    </row>
    <row r="1996" spans="7:7">
      <c r="G1996" s="159"/>
    </row>
    <row r="1997" spans="7:7">
      <c r="G1997" s="159"/>
    </row>
    <row r="1998" spans="7:7">
      <c r="G1998" s="159"/>
    </row>
    <row r="1999" spans="7:7">
      <c r="G1999" s="159"/>
    </row>
  </sheetData>
  <mergeCells count="20">
    <mergeCell ref="I24:I25"/>
    <mergeCell ref="B19:C19"/>
    <mergeCell ref="B20:C20"/>
    <mergeCell ref="B21:C21"/>
    <mergeCell ref="B24:C25"/>
    <mergeCell ref="G5:G6"/>
    <mergeCell ref="D24:D25"/>
    <mergeCell ref="H24:H25"/>
    <mergeCell ref="B26:C26"/>
    <mergeCell ref="B32:C32"/>
    <mergeCell ref="B5:C6"/>
    <mergeCell ref="D5:D6"/>
    <mergeCell ref="B7:C7"/>
    <mergeCell ref="B8:C8"/>
    <mergeCell ref="B9:C9"/>
    <mergeCell ref="B38:C38"/>
    <mergeCell ref="B14:C14"/>
    <mergeCell ref="F24:F25"/>
    <mergeCell ref="B10:C10"/>
    <mergeCell ref="B15:C15"/>
  </mergeCells>
  <phoneticPr fontId="23" type="noConversion"/>
  <pageMargins left="0.49" right="0.17" top="0.75" bottom="0.75" header="0.3" footer="0.3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767-0115-4D7B-9735-BE13B6124C3E}">
  <sheetPr>
    <pageSetUpPr fitToPage="1"/>
  </sheetPr>
  <dimension ref="A1:F23"/>
  <sheetViews>
    <sheetView view="pageBreakPreview" zoomScale="85" zoomScaleNormal="80" zoomScaleSheetLayoutView="85" workbookViewId="0">
      <selection activeCell="E13" sqref="E13"/>
    </sheetView>
  </sheetViews>
  <sheetFormatPr defaultRowHeight="16.5"/>
  <cols>
    <col min="2" max="2" width="19.75" customWidth="1"/>
    <col min="3" max="6" width="16.75" customWidth="1"/>
  </cols>
  <sheetData>
    <row r="1" spans="1:6" ht="26.25">
      <c r="A1" s="441" t="s">
        <v>195</v>
      </c>
    </row>
    <row r="3" spans="1:6" ht="26.25">
      <c r="A3" s="442" t="s">
        <v>196</v>
      </c>
    </row>
    <row r="4" spans="1:6">
      <c r="B4" s="443"/>
      <c r="C4" s="444"/>
      <c r="D4" s="444"/>
      <c r="E4" s="444"/>
      <c r="F4" s="445" t="s">
        <v>197</v>
      </c>
    </row>
    <row r="5" spans="1:6" ht="20.25" customHeight="1">
      <c r="B5" s="446" t="s">
        <v>198</v>
      </c>
      <c r="C5" s="447" t="s">
        <v>459</v>
      </c>
      <c r="D5" s="448" t="s">
        <v>199</v>
      </c>
      <c r="E5" s="449" t="s">
        <v>200</v>
      </c>
      <c r="F5" s="450" t="s">
        <v>201</v>
      </c>
    </row>
    <row r="6" spans="1:6" ht="20.25" customHeight="1">
      <c r="B6" s="451" t="s">
        <v>202</v>
      </c>
      <c r="C6" s="452">
        <v>9108256.6063455492</v>
      </c>
      <c r="D6" s="453"/>
      <c r="E6" s="454"/>
      <c r="F6" s="455"/>
    </row>
    <row r="7" spans="1:6" ht="20.25" customHeight="1">
      <c r="B7" s="456" t="s">
        <v>203</v>
      </c>
      <c r="C7" s="457">
        <v>-773338.06087563792</v>
      </c>
      <c r="D7" s="458"/>
      <c r="E7" s="459"/>
      <c r="F7" s="460"/>
    </row>
    <row r="8" spans="1:6" ht="20.25" customHeight="1">
      <c r="B8" s="461" t="s">
        <v>204</v>
      </c>
      <c r="C8" s="462">
        <v>49323.250334234828</v>
      </c>
      <c r="D8" s="463"/>
      <c r="E8" s="464"/>
      <c r="F8" s="465"/>
    </row>
    <row r="9" spans="1:6" ht="20.25" customHeight="1">
      <c r="B9" s="461" t="s">
        <v>205</v>
      </c>
      <c r="C9" s="462">
        <v>-47347.314261646243</v>
      </c>
      <c r="D9" s="463"/>
      <c r="E9" s="464"/>
      <c r="F9" s="465"/>
    </row>
    <row r="10" spans="1:6" ht="20.25" customHeight="1">
      <c r="B10" s="466" t="s">
        <v>206</v>
      </c>
      <c r="C10" s="467">
        <v>1725021.1296720165</v>
      </c>
      <c r="D10" s="468"/>
      <c r="E10" s="469"/>
      <c r="F10" s="470"/>
    </row>
    <row r="11" spans="1:6" ht="20.25" customHeight="1">
      <c r="B11" s="451" t="s">
        <v>207</v>
      </c>
      <c r="C11" s="452">
        <v>10061915.61121452</v>
      </c>
      <c r="D11" s="453"/>
      <c r="E11" s="454"/>
      <c r="F11" s="455"/>
    </row>
    <row r="12" spans="1:6" ht="20.25" customHeight="1">
      <c r="B12" s="477" t="s">
        <v>208</v>
      </c>
      <c r="C12" s="443"/>
      <c r="D12" s="443"/>
      <c r="E12" s="443"/>
      <c r="F12" s="443"/>
    </row>
    <row r="14" spans="1:6" ht="26.25">
      <c r="A14" s="442" t="s">
        <v>209</v>
      </c>
    </row>
    <row r="15" spans="1:6">
      <c r="C15" s="471"/>
      <c r="D15" s="471"/>
      <c r="E15" s="471"/>
      <c r="F15" s="472" t="s">
        <v>197</v>
      </c>
    </row>
    <row r="16" spans="1:6" ht="20.25" customHeight="1">
      <c r="B16" s="446" t="s">
        <v>198</v>
      </c>
      <c r="C16" s="447" t="s">
        <v>459</v>
      </c>
      <c r="D16" s="448" t="s">
        <v>199</v>
      </c>
      <c r="E16" s="449" t="s">
        <v>200</v>
      </c>
      <c r="F16" s="450" t="s">
        <v>201</v>
      </c>
    </row>
    <row r="17" spans="2:6" ht="20.25" customHeight="1">
      <c r="B17" s="451" t="s">
        <v>210</v>
      </c>
      <c r="C17" s="452">
        <v>12231758.170378556</v>
      </c>
      <c r="D17" s="453"/>
      <c r="E17" s="454"/>
      <c r="F17" s="455"/>
    </row>
    <row r="18" spans="2:6" ht="20.25" customHeight="1">
      <c r="B18" s="456" t="s">
        <v>211</v>
      </c>
      <c r="C18" s="457">
        <v>707021.72083706374</v>
      </c>
      <c r="D18" s="458"/>
      <c r="E18" s="459"/>
      <c r="F18" s="460"/>
    </row>
    <row r="19" spans="2:6" ht="20.25" customHeight="1">
      <c r="B19" s="461" t="s">
        <v>212</v>
      </c>
      <c r="C19" s="462">
        <v>-322594.22126724478</v>
      </c>
      <c r="D19" s="463"/>
      <c r="E19" s="464"/>
      <c r="F19" s="465"/>
    </row>
    <row r="20" spans="2:6" ht="20.25" customHeight="1">
      <c r="B20" s="461" t="s">
        <v>204</v>
      </c>
      <c r="C20" s="462">
        <v>105824.29975948131</v>
      </c>
      <c r="D20" s="463"/>
      <c r="E20" s="464"/>
      <c r="F20" s="465"/>
    </row>
    <row r="21" spans="2:6" ht="20.25" customHeight="1">
      <c r="B21" s="461" t="s">
        <v>213</v>
      </c>
      <c r="C21" s="467">
        <v>147311.19677195346</v>
      </c>
      <c r="D21" s="468"/>
      <c r="E21" s="468"/>
      <c r="F21" s="470"/>
    </row>
    <row r="22" spans="2:6" ht="20.25" customHeight="1">
      <c r="B22" s="451" t="s">
        <v>214</v>
      </c>
      <c r="C22" s="452">
        <v>12869321.166479807</v>
      </c>
      <c r="D22" s="453"/>
      <c r="E22" s="454"/>
      <c r="F22" s="455"/>
    </row>
    <row r="23" spans="2:6" ht="20.25" customHeight="1">
      <c r="B23" s="477" t="s">
        <v>215</v>
      </c>
      <c r="C23" s="443"/>
      <c r="D23" s="443"/>
      <c r="E23" s="443"/>
      <c r="F23" s="443"/>
    </row>
  </sheetData>
  <phoneticPr fontId="59" type="noConversion"/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47"/>
  <sheetViews>
    <sheetView view="pageBreakPreview" zoomScale="85" zoomScaleNormal="100" zoomScaleSheetLayoutView="85" workbookViewId="0">
      <selection activeCell="E2" sqref="E2"/>
    </sheetView>
  </sheetViews>
  <sheetFormatPr defaultColWidth="10" defaultRowHeight="16.5"/>
  <cols>
    <col min="1" max="1" width="2.375" style="113" customWidth="1"/>
    <col min="2" max="2" width="4" style="113" customWidth="1"/>
    <col min="3" max="3" width="15.375" style="113" customWidth="1"/>
    <col min="4" max="4" width="5.375" style="113" customWidth="1"/>
    <col min="5" max="5" width="15.5" style="113" customWidth="1"/>
    <col min="6" max="6" width="7.25" style="113" customWidth="1"/>
    <col min="7" max="7" width="14" style="113" customWidth="1"/>
    <col min="8" max="8" width="7.25" style="113" customWidth="1"/>
    <col min="9" max="9" width="14" style="113" bestFit="1" customWidth="1"/>
    <col min="10" max="10" width="14" style="113" customWidth="1"/>
    <col min="11" max="11" width="3.5" style="116" customWidth="1"/>
    <col min="12" max="16384" width="10" style="113"/>
  </cols>
  <sheetData>
    <row r="1" spans="2:11" s="79" customFormat="1" ht="16.5" customHeight="1">
      <c r="I1" s="80"/>
      <c r="J1" s="80"/>
      <c r="K1" s="80"/>
    </row>
    <row r="2" spans="2:11" ht="24.95" customHeight="1">
      <c r="B2" s="114" t="s">
        <v>188</v>
      </c>
      <c r="C2" s="115"/>
      <c r="D2" s="115"/>
      <c r="E2" s="115"/>
      <c r="F2" s="115"/>
      <c r="G2" s="115"/>
    </row>
    <row r="3" spans="2:11" ht="16.5" customHeight="1">
      <c r="B3" s="114"/>
      <c r="C3" s="115"/>
      <c r="D3" s="115"/>
      <c r="E3" s="115"/>
      <c r="F3" s="115"/>
      <c r="G3" s="115"/>
    </row>
    <row r="4" spans="2:11" ht="16.5" customHeight="1">
      <c r="H4" s="117"/>
      <c r="I4" s="117"/>
      <c r="J4" s="118" t="s">
        <v>48</v>
      </c>
    </row>
    <row r="5" spans="2:11" ht="18" customHeight="1">
      <c r="B5" s="558" t="s">
        <v>16</v>
      </c>
      <c r="C5" s="559"/>
      <c r="D5" s="560"/>
      <c r="E5" s="531" t="s">
        <v>457</v>
      </c>
      <c r="F5" s="290"/>
      <c r="G5" s="493" t="s">
        <v>457</v>
      </c>
      <c r="H5" s="290"/>
      <c r="I5" s="533" t="s">
        <v>190</v>
      </c>
      <c r="J5" s="535" t="s">
        <v>192</v>
      </c>
    </row>
    <row r="6" spans="2:11" ht="18" customHeight="1" thickBot="1">
      <c r="B6" s="561"/>
      <c r="C6" s="562"/>
      <c r="D6" s="563"/>
      <c r="E6" s="532"/>
      <c r="F6" s="89" t="s">
        <v>107</v>
      </c>
      <c r="G6" s="315" t="s">
        <v>105</v>
      </c>
      <c r="H6" s="89" t="s">
        <v>106</v>
      </c>
      <c r="I6" s="534"/>
      <c r="J6" s="536"/>
    </row>
    <row r="7" spans="2:11" ht="18" customHeight="1" thickTop="1">
      <c r="B7" s="583" t="s">
        <v>49</v>
      </c>
      <c r="C7" s="584"/>
      <c r="D7" s="585"/>
      <c r="E7" s="119">
        <v>1091653.419</v>
      </c>
      <c r="F7" s="98">
        <v>-3.2014112550715339</v>
      </c>
      <c r="G7" s="401">
        <v>1091653.419</v>
      </c>
      <c r="H7" s="405">
        <v>-3.2014112550715339</v>
      </c>
      <c r="I7" s="385">
        <v>1127757.577</v>
      </c>
      <c r="J7" s="389">
        <v>1127757.577</v>
      </c>
      <c r="K7" s="120"/>
    </row>
    <row r="8" spans="2:11" ht="18" customHeight="1">
      <c r="B8" s="574" t="s">
        <v>50</v>
      </c>
      <c r="C8" s="575"/>
      <c r="D8" s="576"/>
      <c r="E8" s="121">
        <v>2912911.4890000001</v>
      </c>
      <c r="F8" s="393">
        <v>7.2433761196157604</v>
      </c>
      <c r="G8" s="402">
        <v>2912911.4890000001</v>
      </c>
      <c r="H8" s="406">
        <v>7.2433761196157604</v>
      </c>
      <c r="I8" s="386">
        <v>2716169.142</v>
      </c>
      <c r="J8" s="390">
        <v>2716169.142</v>
      </c>
      <c r="K8" s="120"/>
    </row>
    <row r="9" spans="2:11" ht="18" customHeight="1">
      <c r="B9" s="577" t="s">
        <v>51</v>
      </c>
      <c r="C9" s="578"/>
      <c r="D9" s="579"/>
      <c r="E9" s="122">
        <v>2886486.79</v>
      </c>
      <c r="F9" s="394">
        <v>7.6393474968730004</v>
      </c>
      <c r="G9" s="401">
        <v>2886486.79</v>
      </c>
      <c r="H9" s="407">
        <v>7.6393474968730004</v>
      </c>
      <c r="I9" s="385">
        <v>2681627.915</v>
      </c>
      <c r="J9" s="389">
        <v>2681627.915</v>
      </c>
      <c r="K9" s="120"/>
    </row>
    <row r="10" spans="2:11" ht="18" customHeight="1">
      <c r="B10" s="580" t="s">
        <v>52</v>
      </c>
      <c r="C10" s="581"/>
      <c r="D10" s="582"/>
      <c r="E10" s="123">
        <v>26424.699000000001</v>
      </c>
      <c r="F10" s="395">
        <v>-23.498088241045977</v>
      </c>
      <c r="G10" s="403">
        <v>26424.699000000001</v>
      </c>
      <c r="H10" s="408">
        <v>-23.498088241045977</v>
      </c>
      <c r="I10" s="387">
        <v>34541.226999999999</v>
      </c>
      <c r="J10" s="391">
        <v>34541.226999999999</v>
      </c>
      <c r="K10" s="120"/>
    </row>
    <row r="11" spans="2:11" ht="18" customHeight="1">
      <c r="B11" s="574" t="s">
        <v>17</v>
      </c>
      <c r="C11" s="575"/>
      <c r="D11" s="576"/>
      <c r="E11" s="119">
        <v>569033.93400000001</v>
      </c>
      <c r="F11" s="394">
        <v>9.3763431440484339</v>
      </c>
      <c r="G11" s="401">
        <v>569033.93400000001</v>
      </c>
      <c r="H11" s="407">
        <v>9.3763431440484339</v>
      </c>
      <c r="I11" s="385">
        <v>520253.20799999998</v>
      </c>
      <c r="J11" s="390">
        <v>520253.20799999998</v>
      </c>
      <c r="K11" s="120"/>
    </row>
    <row r="12" spans="2:11" ht="18" customHeight="1">
      <c r="B12" s="565" t="s">
        <v>18</v>
      </c>
      <c r="C12" s="566"/>
      <c r="D12" s="567"/>
      <c r="E12" s="121">
        <v>4573598.8420000002</v>
      </c>
      <c r="F12" s="396">
        <v>4.7985857252214004</v>
      </c>
      <c r="G12" s="404">
        <v>4573598.8420000002</v>
      </c>
      <c r="H12" s="409">
        <v>4.7985857252214004</v>
      </c>
      <c r="I12" s="388">
        <v>4364179.9270000001</v>
      </c>
      <c r="J12" s="392">
        <v>4364179.9270000001</v>
      </c>
      <c r="K12" s="124"/>
    </row>
    <row r="13" spans="2:11" s="116" customFormat="1" ht="9" customHeight="1">
      <c r="B13" s="125"/>
      <c r="C13" s="125"/>
      <c r="D13" s="125"/>
      <c r="E13" s="126"/>
      <c r="F13" s="126"/>
      <c r="G13" s="126"/>
      <c r="H13" s="127"/>
      <c r="I13" s="127"/>
      <c r="J13" s="126"/>
      <c r="K13" s="120"/>
    </row>
    <row r="14" spans="2:11" ht="18" customHeight="1">
      <c r="B14" s="568" t="s">
        <v>53</v>
      </c>
      <c r="C14" s="569"/>
      <c r="D14" s="570"/>
      <c r="E14" s="128">
        <v>0</v>
      </c>
      <c r="F14" s="397">
        <v>0</v>
      </c>
      <c r="G14" s="129">
        <v>0</v>
      </c>
      <c r="H14" s="439">
        <v>0</v>
      </c>
      <c r="I14" s="440">
        <v>0</v>
      </c>
      <c r="J14" s="399">
        <v>0</v>
      </c>
    </row>
    <row r="15" spans="2:11" ht="18" customHeight="1">
      <c r="B15" s="571" t="s">
        <v>54</v>
      </c>
      <c r="C15" s="572"/>
      <c r="D15" s="573"/>
      <c r="E15" s="130">
        <v>969830.05299999996</v>
      </c>
      <c r="F15" s="398">
        <v>75.120285246178611</v>
      </c>
      <c r="G15" s="131">
        <v>969830.05299999996</v>
      </c>
      <c r="H15" s="410">
        <v>75.120285246178611</v>
      </c>
      <c r="I15" s="384">
        <v>553807.94499999995</v>
      </c>
      <c r="J15" s="400">
        <v>553807.94499999995</v>
      </c>
    </row>
    <row r="16" spans="2:11" ht="19.5" customHeight="1">
      <c r="B16" s="564"/>
      <c r="C16" s="564"/>
      <c r="D16" s="564"/>
      <c r="E16" s="243"/>
      <c r="F16" s="243"/>
      <c r="G16" s="243"/>
      <c r="H16" s="243"/>
      <c r="I16" s="243"/>
      <c r="J16" s="243"/>
    </row>
    <row r="17" spans="2:8">
      <c r="B17" s="132"/>
      <c r="C17" s="133"/>
      <c r="D17" s="133"/>
      <c r="E17" s="411"/>
      <c r="F17" s="133"/>
      <c r="G17" s="133"/>
      <c r="H17" s="134"/>
    </row>
    <row r="18" spans="2:8" ht="14.25" customHeight="1">
      <c r="B18" s="133"/>
      <c r="C18" s="133"/>
      <c r="D18" s="133"/>
      <c r="E18" s="133"/>
      <c r="F18" s="133"/>
      <c r="G18" s="133"/>
    </row>
    <row r="19" spans="2:8" ht="18.75" customHeight="1">
      <c r="B19" s="135"/>
      <c r="C19" s="133"/>
      <c r="D19" s="133"/>
      <c r="E19" s="133"/>
      <c r="F19" s="133"/>
      <c r="G19" s="133"/>
      <c r="H19" s="136"/>
    </row>
    <row r="20" spans="2:8">
      <c r="B20" s="137"/>
      <c r="C20" s="133"/>
      <c r="D20" s="133"/>
      <c r="E20" s="133"/>
      <c r="F20" s="133"/>
      <c r="G20" s="133"/>
      <c r="H20" s="136"/>
    </row>
    <row r="21" spans="2:8">
      <c r="B21" s="137"/>
      <c r="C21" s="133"/>
      <c r="D21" s="133"/>
      <c r="E21" s="133"/>
      <c r="F21" s="133"/>
      <c r="G21" s="133"/>
      <c r="H21" s="136"/>
    </row>
    <row r="22" spans="2:8">
      <c r="B22" s="137" t="s">
        <v>55</v>
      </c>
      <c r="C22" s="133"/>
      <c r="D22" s="133"/>
      <c r="E22" s="133"/>
      <c r="F22" s="133"/>
      <c r="G22" s="133"/>
    </row>
    <row r="23" spans="2:8">
      <c r="B23" s="133"/>
      <c r="C23" s="133"/>
      <c r="D23" s="133"/>
      <c r="E23" s="133"/>
      <c r="F23" s="133"/>
      <c r="G23" s="133"/>
    </row>
    <row r="24" spans="2:8">
      <c r="B24" s="133"/>
      <c r="C24" s="133"/>
      <c r="D24" s="133"/>
      <c r="E24" s="133"/>
      <c r="F24" s="133"/>
      <c r="G24" s="133"/>
    </row>
    <row r="25" spans="2:8">
      <c r="B25" s="133"/>
      <c r="C25" s="133"/>
      <c r="D25" s="133"/>
      <c r="E25" s="133"/>
      <c r="F25" s="133"/>
      <c r="G25" s="133"/>
    </row>
    <row r="26" spans="2:8">
      <c r="B26" s="133"/>
      <c r="C26" s="133"/>
      <c r="D26" s="133"/>
      <c r="E26" s="133"/>
      <c r="F26" s="133"/>
      <c r="G26" s="133"/>
    </row>
    <row r="27" spans="2:8">
      <c r="B27" s="133"/>
      <c r="C27" s="133"/>
      <c r="D27" s="133"/>
      <c r="E27" s="133"/>
      <c r="F27" s="133"/>
      <c r="G27" s="133"/>
    </row>
    <row r="28" spans="2:8">
      <c r="B28" s="133"/>
      <c r="C28" s="133"/>
      <c r="D28" s="133"/>
      <c r="E28" s="133"/>
      <c r="F28" s="133"/>
      <c r="G28" s="133"/>
    </row>
    <row r="29" spans="2:8">
      <c r="B29" s="133"/>
      <c r="C29" s="133"/>
      <c r="D29" s="133"/>
      <c r="E29" s="133"/>
      <c r="F29" s="133"/>
      <c r="G29" s="133"/>
    </row>
    <row r="30" spans="2:8">
      <c r="B30" s="133"/>
      <c r="C30" s="133"/>
      <c r="D30" s="133"/>
      <c r="E30" s="133"/>
      <c r="F30" s="133"/>
      <c r="G30" s="133"/>
    </row>
    <row r="31" spans="2:8">
      <c r="B31" s="133"/>
      <c r="C31" s="133"/>
      <c r="D31" s="133"/>
      <c r="E31" s="133"/>
      <c r="F31" s="133"/>
      <c r="G31" s="133"/>
    </row>
    <row r="32" spans="2:8">
      <c r="B32" s="133"/>
      <c r="C32" s="133"/>
      <c r="D32" s="133"/>
      <c r="E32" s="133"/>
      <c r="F32" s="133"/>
      <c r="G32" s="133"/>
    </row>
    <row r="33" spans="2:7">
      <c r="B33" s="133"/>
      <c r="C33" s="133"/>
      <c r="D33" s="133"/>
      <c r="E33" s="133"/>
      <c r="F33" s="133"/>
      <c r="G33" s="133"/>
    </row>
    <row r="34" spans="2:7">
      <c r="B34" s="133"/>
      <c r="C34" s="133"/>
      <c r="D34" s="133"/>
      <c r="E34" s="133"/>
      <c r="F34" s="133"/>
      <c r="G34" s="133"/>
    </row>
    <row r="35" spans="2:7">
      <c r="B35" s="133"/>
      <c r="C35" s="133"/>
      <c r="D35" s="133"/>
      <c r="E35" s="133"/>
      <c r="F35" s="133"/>
      <c r="G35" s="133"/>
    </row>
    <row r="36" spans="2:7">
      <c r="B36" s="133"/>
      <c r="C36" s="133"/>
      <c r="D36" s="133"/>
      <c r="E36" s="133"/>
      <c r="F36" s="133"/>
      <c r="G36" s="133"/>
    </row>
    <row r="37" spans="2:7">
      <c r="B37" s="133"/>
      <c r="C37" s="133"/>
      <c r="D37" s="133"/>
      <c r="E37" s="133"/>
      <c r="F37" s="133"/>
      <c r="G37" s="133"/>
    </row>
    <row r="38" spans="2:7">
      <c r="B38" s="133"/>
      <c r="C38" s="133"/>
      <c r="D38" s="133"/>
      <c r="E38" s="133"/>
      <c r="F38" s="133"/>
      <c r="G38" s="133"/>
    </row>
    <row r="39" spans="2:7">
      <c r="B39" s="133"/>
      <c r="C39" s="133"/>
      <c r="D39" s="133"/>
      <c r="E39" s="133"/>
      <c r="F39" s="133"/>
      <c r="G39" s="133"/>
    </row>
    <row r="40" spans="2:7">
      <c r="B40" s="133"/>
      <c r="C40" s="133"/>
      <c r="D40" s="133"/>
      <c r="E40" s="133"/>
      <c r="F40" s="133"/>
      <c r="G40" s="133"/>
    </row>
    <row r="41" spans="2:7">
      <c r="B41" s="133"/>
      <c r="C41" s="133"/>
      <c r="D41" s="133"/>
      <c r="E41" s="133"/>
      <c r="F41" s="133"/>
      <c r="G41" s="133"/>
    </row>
    <row r="42" spans="2:7">
      <c r="B42" s="133"/>
      <c r="C42" s="133"/>
      <c r="D42" s="133"/>
      <c r="E42" s="133"/>
      <c r="F42" s="133"/>
      <c r="G42" s="133"/>
    </row>
    <row r="43" spans="2:7">
      <c r="B43" s="133"/>
      <c r="C43" s="133"/>
      <c r="D43" s="133"/>
      <c r="E43" s="133"/>
      <c r="F43" s="133"/>
      <c r="G43" s="133"/>
    </row>
    <row r="44" spans="2:7">
      <c r="B44" s="133"/>
      <c r="C44" s="133"/>
      <c r="D44" s="133"/>
      <c r="E44" s="133"/>
      <c r="F44" s="133"/>
      <c r="G44" s="133"/>
    </row>
    <row r="45" spans="2:7">
      <c r="B45" s="133"/>
      <c r="C45" s="133"/>
      <c r="D45" s="133"/>
      <c r="E45" s="133"/>
      <c r="F45" s="133"/>
      <c r="G45" s="133"/>
    </row>
    <row r="46" spans="2:7">
      <c r="B46" s="133"/>
      <c r="C46" s="133"/>
      <c r="D46" s="133"/>
      <c r="E46" s="133"/>
      <c r="F46" s="133"/>
      <c r="G46" s="133"/>
    </row>
    <row r="47" spans="2:7">
      <c r="B47" s="133"/>
      <c r="C47" s="133"/>
      <c r="D47" s="133"/>
      <c r="E47" s="133"/>
      <c r="F47" s="133"/>
      <c r="G47" s="133"/>
    </row>
  </sheetData>
  <mergeCells count="13">
    <mergeCell ref="I5:I6"/>
    <mergeCell ref="J5:J6"/>
    <mergeCell ref="B5:D6"/>
    <mergeCell ref="B16:D16"/>
    <mergeCell ref="B12:D12"/>
    <mergeCell ref="B14:D14"/>
    <mergeCell ref="B15:D15"/>
    <mergeCell ref="B8:D8"/>
    <mergeCell ref="B9:D9"/>
    <mergeCell ref="B10:D10"/>
    <mergeCell ref="B11:D11"/>
    <mergeCell ref="B7:D7"/>
    <mergeCell ref="E5:E6"/>
  </mergeCells>
  <phoneticPr fontId="1" type="noConversion"/>
  <pageMargins left="0.7" right="0.7" top="0.75" bottom="0.75" header="0.3" footer="0.3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780B-65C7-4539-BC0C-7F80C0E96E1C}">
  <dimension ref="A1:S128"/>
  <sheetViews>
    <sheetView view="pageBreakPreview" zoomScale="85" zoomScaleNormal="100" zoomScaleSheetLayoutView="85" workbookViewId="0">
      <selection activeCell="I2" sqref="I2"/>
    </sheetView>
  </sheetViews>
  <sheetFormatPr defaultColWidth="10" defaultRowHeight="16.5"/>
  <cols>
    <col min="1" max="1" width="2.5" style="15" customWidth="1"/>
    <col min="2" max="15" width="10" style="15"/>
    <col min="16" max="16" width="12.125" style="15" customWidth="1"/>
    <col min="17" max="16384" width="10" style="15"/>
  </cols>
  <sheetData>
    <row r="1" spans="2:16" s="79" customFormat="1" ht="16.5" customHeight="1">
      <c r="J1" s="80"/>
      <c r="K1" s="80"/>
      <c r="L1" s="80"/>
      <c r="M1" s="81"/>
      <c r="N1" s="81"/>
      <c r="O1" s="81"/>
    </row>
    <row r="2" spans="2:16" s="113" customFormat="1" ht="24.95" customHeight="1">
      <c r="B2" s="114" t="s">
        <v>64</v>
      </c>
      <c r="C2" s="115"/>
      <c r="D2" s="115"/>
      <c r="E2" s="115"/>
      <c r="F2" s="115"/>
      <c r="G2" s="115"/>
      <c r="H2" s="115"/>
      <c r="L2" s="116"/>
      <c r="M2" s="116"/>
      <c r="N2" s="116"/>
    </row>
    <row r="3" spans="2:16" s="113" customFormat="1" ht="24.95" customHeight="1">
      <c r="B3" s="114"/>
      <c r="C3" s="115"/>
      <c r="D3" s="115"/>
      <c r="E3" s="115"/>
      <c r="F3" s="115"/>
      <c r="G3" s="115"/>
      <c r="H3" s="115"/>
      <c r="L3" s="116"/>
      <c r="M3" s="116"/>
      <c r="N3" s="116"/>
    </row>
    <row r="4" spans="2:16" s="113" customFormat="1" ht="24.95" customHeight="1">
      <c r="B4" s="244"/>
      <c r="C4" s="244"/>
      <c r="D4" s="244"/>
      <c r="E4" s="244"/>
      <c r="F4" s="244"/>
      <c r="G4" s="245"/>
      <c r="H4" s="244"/>
      <c r="I4" s="244"/>
      <c r="J4" s="246"/>
      <c r="K4" s="244"/>
      <c r="L4" s="244"/>
      <c r="M4" s="244"/>
      <c r="N4" s="244"/>
      <c r="O4" s="244"/>
      <c r="P4" s="247" t="s">
        <v>82</v>
      </c>
    </row>
    <row r="5" spans="2:16" s="113" customFormat="1" ht="16.5" customHeight="1">
      <c r="B5" s="586">
        <v>2025</v>
      </c>
      <c r="C5" s="587"/>
      <c r="D5" s="180" t="s">
        <v>83</v>
      </c>
      <c r="E5" s="181" t="s">
        <v>84</v>
      </c>
      <c r="F5" s="181" t="s">
        <v>85</v>
      </c>
      <c r="G5" s="181" t="s">
        <v>21</v>
      </c>
      <c r="H5" s="181" t="s">
        <v>22</v>
      </c>
      <c r="I5" s="181" t="s">
        <v>23</v>
      </c>
      <c r="J5" s="181" t="s">
        <v>24</v>
      </c>
      <c r="K5" s="181" t="s">
        <v>25</v>
      </c>
      <c r="L5" s="181" t="s">
        <v>26</v>
      </c>
      <c r="M5" s="181" t="s">
        <v>27</v>
      </c>
      <c r="N5" s="181" t="s">
        <v>28</v>
      </c>
      <c r="O5" s="182" t="s">
        <v>29</v>
      </c>
      <c r="P5" s="183" t="s">
        <v>69</v>
      </c>
    </row>
    <row r="6" spans="2:16" s="113" customFormat="1" ht="16.5" customHeight="1">
      <c r="B6" s="588" t="s">
        <v>70</v>
      </c>
      <c r="C6" s="589"/>
      <c r="D6" s="185">
        <f>SUM(D7:D13)</f>
        <v>128.36271000000002</v>
      </c>
      <c r="E6" s="186">
        <f t="shared" ref="E6:O6" si="0">SUM(E7:E13)</f>
        <v>145.56779</v>
      </c>
      <c r="F6" s="186">
        <f t="shared" si="0"/>
        <v>200.12897000000001</v>
      </c>
      <c r="G6" s="186">
        <f t="shared" si="0"/>
        <v>0</v>
      </c>
      <c r="H6" s="186">
        <f t="shared" si="0"/>
        <v>0</v>
      </c>
      <c r="I6" s="186">
        <f t="shared" si="0"/>
        <v>0</v>
      </c>
      <c r="J6" s="186">
        <f t="shared" si="0"/>
        <v>0</v>
      </c>
      <c r="K6" s="186">
        <f t="shared" si="0"/>
        <v>0</v>
      </c>
      <c r="L6" s="186">
        <f t="shared" si="0"/>
        <v>0</v>
      </c>
      <c r="M6" s="186">
        <f t="shared" si="0"/>
        <v>0</v>
      </c>
      <c r="N6" s="186">
        <f t="shared" si="0"/>
        <v>0</v>
      </c>
      <c r="O6" s="187">
        <f t="shared" si="0"/>
        <v>0</v>
      </c>
      <c r="P6" s="188">
        <f>+SUM(D6:O6)</f>
        <v>474.05947000000003</v>
      </c>
    </row>
    <row r="7" spans="2:16" s="113" customFormat="1" ht="16.5" customHeight="1">
      <c r="B7" s="590" t="s">
        <v>71</v>
      </c>
      <c r="C7" s="191" t="s">
        <v>30</v>
      </c>
      <c r="D7" s="192">
        <v>30.67867</v>
      </c>
      <c r="E7" s="193">
        <v>36.762830000000001</v>
      </c>
      <c r="F7" s="193">
        <v>52.15748</v>
      </c>
      <c r="G7" s="193"/>
      <c r="H7" s="193"/>
      <c r="I7" s="193"/>
      <c r="J7" s="194"/>
      <c r="K7" s="195"/>
      <c r="L7" s="193"/>
      <c r="M7" s="193"/>
      <c r="N7" s="193"/>
      <c r="O7" s="196"/>
      <c r="P7" s="197">
        <f t="shared" ref="P7:P16" si="1">+SUM(D7:O7)</f>
        <v>119.59898000000001</v>
      </c>
    </row>
    <row r="8" spans="2:16" s="113" customFormat="1" ht="16.5" customHeight="1">
      <c r="B8" s="591"/>
      <c r="C8" s="198" t="s">
        <v>31</v>
      </c>
      <c r="D8" s="199">
        <v>20.158470000000001</v>
      </c>
      <c r="E8" s="200">
        <v>21.584070000000001</v>
      </c>
      <c r="F8" s="200">
        <v>22.063420000000001</v>
      </c>
      <c r="G8" s="200"/>
      <c r="H8" s="200"/>
      <c r="I8" s="200"/>
      <c r="J8" s="201"/>
      <c r="K8" s="202"/>
      <c r="L8" s="200"/>
      <c r="M8" s="200"/>
      <c r="N8" s="200"/>
      <c r="O8" s="203"/>
      <c r="P8" s="188">
        <f t="shared" si="1"/>
        <v>63.805960000000006</v>
      </c>
    </row>
    <row r="9" spans="2:16" s="113" customFormat="1" ht="16.5" customHeight="1">
      <c r="B9" s="591"/>
      <c r="C9" s="198" t="s">
        <v>32</v>
      </c>
      <c r="D9" s="199">
        <v>70.090050000000005</v>
      </c>
      <c r="E9" s="200">
        <v>80.023290000000003</v>
      </c>
      <c r="F9" s="200">
        <v>118.28057</v>
      </c>
      <c r="G9" s="200"/>
      <c r="H9" s="200"/>
      <c r="I9" s="200"/>
      <c r="J9" s="201"/>
      <c r="K9" s="202"/>
      <c r="L9" s="200"/>
      <c r="M9" s="200"/>
      <c r="N9" s="200"/>
      <c r="O9" s="203"/>
      <c r="P9" s="188">
        <f t="shared" si="1"/>
        <v>268.39391000000001</v>
      </c>
    </row>
    <row r="10" spans="2:16" s="113" customFormat="1" ht="16.5" customHeight="1">
      <c r="B10" s="592"/>
      <c r="C10" s="198" t="s">
        <v>33</v>
      </c>
      <c r="D10" s="199">
        <v>0</v>
      </c>
      <c r="E10" s="200">
        <v>0</v>
      </c>
      <c r="F10" s="200">
        <v>0</v>
      </c>
      <c r="G10" s="200"/>
      <c r="H10" s="200"/>
      <c r="I10" s="200"/>
      <c r="J10" s="201"/>
      <c r="K10" s="202"/>
      <c r="L10" s="200"/>
      <c r="M10" s="200"/>
      <c r="N10" s="200"/>
      <c r="O10" s="203"/>
      <c r="P10" s="188">
        <f t="shared" si="1"/>
        <v>0</v>
      </c>
    </row>
    <row r="11" spans="2:16" s="113" customFormat="1" ht="16.5" customHeight="1">
      <c r="B11" s="590" t="s">
        <v>72</v>
      </c>
      <c r="C11" s="204" t="s">
        <v>34</v>
      </c>
      <c r="D11" s="192">
        <v>6.9521699999999997</v>
      </c>
      <c r="E11" s="193">
        <v>6.5268300000000004</v>
      </c>
      <c r="F11" s="193">
        <v>6.9951999999999996</v>
      </c>
      <c r="G11" s="193"/>
      <c r="H11" s="193"/>
      <c r="I11" s="193"/>
      <c r="J11" s="194"/>
      <c r="K11" s="195"/>
      <c r="L11" s="193"/>
      <c r="M11" s="193"/>
      <c r="N11" s="193"/>
      <c r="O11" s="196"/>
      <c r="P11" s="197">
        <f t="shared" si="1"/>
        <v>20.4742</v>
      </c>
    </row>
    <row r="12" spans="2:16" s="113" customFormat="1" ht="16.5" customHeight="1">
      <c r="B12" s="591"/>
      <c r="C12" s="205" t="s">
        <v>72</v>
      </c>
      <c r="D12" s="199">
        <v>-1.1999999999999999E-3</v>
      </c>
      <c r="E12" s="200">
        <v>0</v>
      </c>
      <c r="F12" s="200">
        <v>-1.055E-2</v>
      </c>
      <c r="G12" s="200"/>
      <c r="H12" s="200"/>
      <c r="I12" s="200"/>
      <c r="J12" s="201"/>
      <c r="K12" s="202"/>
      <c r="L12" s="200"/>
      <c r="M12" s="200"/>
      <c r="N12" s="200"/>
      <c r="O12" s="203"/>
      <c r="P12" s="188">
        <f t="shared" si="1"/>
        <v>-1.175E-2</v>
      </c>
    </row>
    <row r="13" spans="2:16" s="113" customFormat="1" ht="16.5" customHeight="1">
      <c r="B13" s="592"/>
      <c r="C13" s="206" t="s">
        <v>73</v>
      </c>
      <c r="D13" s="199">
        <v>0.48454999999999998</v>
      </c>
      <c r="E13" s="200">
        <v>0.67076999999999998</v>
      </c>
      <c r="F13" s="200">
        <v>0.64285000000000003</v>
      </c>
      <c r="G13" s="200"/>
      <c r="H13" s="200"/>
      <c r="I13" s="200"/>
      <c r="J13" s="201"/>
      <c r="K13" s="202"/>
      <c r="L13" s="200"/>
      <c r="M13" s="200"/>
      <c r="N13" s="200"/>
      <c r="O13" s="203"/>
      <c r="P13" s="188">
        <f t="shared" si="1"/>
        <v>1.7981699999999998</v>
      </c>
    </row>
    <row r="14" spans="2:16" s="113" customFormat="1" ht="16.5" customHeight="1">
      <c r="B14" s="208"/>
      <c r="C14" s="209" t="s">
        <v>74</v>
      </c>
      <c r="D14" s="210">
        <v>240090</v>
      </c>
      <c r="E14" s="211">
        <v>262849</v>
      </c>
      <c r="F14" s="212">
        <v>333904</v>
      </c>
      <c r="G14" s="213"/>
      <c r="H14" s="214"/>
      <c r="I14" s="213"/>
      <c r="J14" s="213"/>
      <c r="K14" s="213"/>
      <c r="L14" s="213"/>
      <c r="M14" s="213"/>
      <c r="N14" s="213"/>
      <c r="O14" s="215"/>
      <c r="P14" s="216">
        <f t="shared" si="1"/>
        <v>836843</v>
      </c>
    </row>
    <row r="15" spans="2:16" s="113" customFormat="1" ht="16.5" customHeight="1">
      <c r="B15" s="495"/>
      <c r="C15" s="217" t="s">
        <v>75</v>
      </c>
      <c r="D15" s="218">
        <v>3.7700399999999998</v>
      </c>
      <c r="E15" s="219">
        <v>10.0928</v>
      </c>
      <c r="F15" s="220">
        <v>12.986409999999999</v>
      </c>
      <c r="G15" s="221"/>
      <c r="H15" s="222"/>
      <c r="I15" s="221"/>
      <c r="J15" s="221"/>
      <c r="K15" s="221"/>
      <c r="L15" s="221"/>
      <c r="M15" s="221"/>
      <c r="N15" s="221"/>
      <c r="O15" s="223"/>
      <c r="P15" s="224">
        <f t="shared" si="1"/>
        <v>26.849249999999998</v>
      </c>
    </row>
    <row r="16" spans="2:16" s="113" customFormat="1" ht="16.5" customHeight="1">
      <c r="B16" s="225"/>
      <c r="C16" s="226" t="s">
        <v>76</v>
      </c>
      <c r="D16" s="192">
        <v>0</v>
      </c>
      <c r="E16" s="193">
        <v>0</v>
      </c>
      <c r="F16" s="227">
        <v>0</v>
      </c>
      <c r="G16" s="228"/>
      <c r="H16" s="229"/>
      <c r="I16" s="228"/>
      <c r="J16" s="228"/>
      <c r="K16" s="228"/>
      <c r="L16" s="228"/>
      <c r="M16" s="228"/>
      <c r="N16" s="228"/>
      <c r="O16" s="230"/>
      <c r="P16" s="231">
        <f t="shared" si="1"/>
        <v>0</v>
      </c>
    </row>
    <row r="17" spans="2:16" s="113" customFormat="1" ht="16.5" customHeight="1">
      <c r="B17" s="494"/>
      <c r="C17" s="180" t="s">
        <v>77</v>
      </c>
      <c r="D17" s="232">
        <f>SUM(D7:D13,D15:D16)</f>
        <v>132.13275000000002</v>
      </c>
      <c r="E17" s="233">
        <f t="shared" ref="E17:P17" si="2">SUM(E7:E13,E15:E16)</f>
        <v>155.66059000000001</v>
      </c>
      <c r="F17" s="234">
        <f t="shared" si="2"/>
        <v>213.11538000000002</v>
      </c>
      <c r="G17" s="235">
        <f t="shared" si="2"/>
        <v>0</v>
      </c>
      <c r="H17" s="236">
        <f t="shared" si="2"/>
        <v>0</v>
      </c>
      <c r="I17" s="234">
        <f t="shared" si="2"/>
        <v>0</v>
      </c>
      <c r="J17" s="234">
        <f t="shared" si="2"/>
        <v>0</v>
      </c>
      <c r="K17" s="234">
        <f t="shared" si="2"/>
        <v>0</v>
      </c>
      <c r="L17" s="234">
        <f t="shared" si="2"/>
        <v>0</v>
      </c>
      <c r="M17" s="234">
        <f t="shared" si="2"/>
        <v>0</v>
      </c>
      <c r="N17" s="234">
        <f t="shared" si="2"/>
        <v>0</v>
      </c>
      <c r="O17" s="237">
        <f t="shared" si="2"/>
        <v>0</v>
      </c>
      <c r="P17" s="238">
        <f t="shared" si="2"/>
        <v>500.90872000000002</v>
      </c>
    </row>
    <row r="18" spans="2:16" s="113" customFormat="1" ht="18.600000000000001" customHeight="1">
      <c r="B18" s="252"/>
      <c r="C18" s="253"/>
      <c r="D18" s="248"/>
      <c r="E18" s="249"/>
      <c r="F18" s="250"/>
      <c r="G18" s="250"/>
      <c r="H18" s="251"/>
      <c r="I18" s="250"/>
      <c r="J18" s="250"/>
      <c r="K18" s="250"/>
      <c r="L18" s="250"/>
      <c r="M18" s="250"/>
      <c r="N18" s="250"/>
      <c r="O18" s="248"/>
      <c r="P18" s="250"/>
    </row>
    <row r="19" spans="2:16" s="113" customFormat="1" ht="19.149999999999999" customHeight="1">
      <c r="B19" s="114"/>
      <c r="C19" s="115"/>
      <c r="D19" s="115"/>
      <c r="E19" s="115"/>
      <c r="F19" s="115"/>
      <c r="G19" s="115"/>
      <c r="H19" s="115"/>
      <c r="L19" s="116"/>
      <c r="M19" s="116"/>
      <c r="N19" s="116"/>
    </row>
    <row r="20" spans="2:16" s="113" customFormat="1" ht="16.5" customHeight="1">
      <c r="B20" s="586">
        <v>2024</v>
      </c>
      <c r="C20" s="587"/>
      <c r="D20" s="180" t="s">
        <v>83</v>
      </c>
      <c r="E20" s="181" t="s">
        <v>84</v>
      </c>
      <c r="F20" s="181" t="s">
        <v>85</v>
      </c>
      <c r="G20" s="181" t="s">
        <v>21</v>
      </c>
      <c r="H20" s="181" t="s">
        <v>22</v>
      </c>
      <c r="I20" s="181" t="s">
        <v>23</v>
      </c>
      <c r="J20" s="181" t="s">
        <v>24</v>
      </c>
      <c r="K20" s="181" t="s">
        <v>25</v>
      </c>
      <c r="L20" s="181" t="s">
        <v>26</v>
      </c>
      <c r="M20" s="181" t="s">
        <v>27</v>
      </c>
      <c r="N20" s="181" t="s">
        <v>28</v>
      </c>
      <c r="O20" s="182" t="s">
        <v>29</v>
      </c>
      <c r="P20" s="183" t="s">
        <v>69</v>
      </c>
    </row>
    <row r="21" spans="2:16" s="113" customFormat="1" ht="16.5" customHeight="1">
      <c r="B21" s="588" t="s">
        <v>70</v>
      </c>
      <c r="C21" s="589"/>
      <c r="D21" s="185">
        <f>SUM(D22:D28)</f>
        <v>135.86286000000001</v>
      </c>
      <c r="E21" s="186">
        <f t="shared" ref="E21:O21" si="3">SUM(E22:E28)</f>
        <v>137.37893</v>
      </c>
      <c r="F21" s="186">
        <f t="shared" si="3"/>
        <v>180.85194000000001</v>
      </c>
      <c r="G21" s="186">
        <f t="shared" si="3"/>
        <v>126.41989000000001</v>
      </c>
      <c r="H21" s="186">
        <f t="shared" si="3"/>
        <v>138.92059000000003</v>
      </c>
      <c r="I21" s="186">
        <f t="shared" si="3"/>
        <v>142.80080999999998</v>
      </c>
      <c r="J21" s="186">
        <f t="shared" si="3"/>
        <v>156.85304000000002</v>
      </c>
      <c r="K21" s="186">
        <f t="shared" si="3"/>
        <v>151.80531999999999</v>
      </c>
      <c r="L21" s="186">
        <f t="shared" si="3"/>
        <v>134.83248000000003</v>
      </c>
      <c r="M21" s="186">
        <f t="shared" si="3"/>
        <v>143.93673000000001</v>
      </c>
      <c r="N21" s="186">
        <f t="shared" si="3"/>
        <v>164.50011000000001</v>
      </c>
      <c r="O21" s="187">
        <f t="shared" si="3"/>
        <v>178.97576999999998</v>
      </c>
      <c r="P21" s="188">
        <f>+SUM(D21:O21)</f>
        <v>1793.1384699999999</v>
      </c>
    </row>
    <row r="22" spans="2:16" s="113" customFormat="1" ht="16.5" customHeight="1">
      <c r="B22" s="590" t="s">
        <v>71</v>
      </c>
      <c r="C22" s="191" t="s">
        <v>30</v>
      </c>
      <c r="D22" s="192">
        <v>32.670839999999998</v>
      </c>
      <c r="E22" s="193">
        <v>32.041910000000001</v>
      </c>
      <c r="F22" s="193">
        <v>42.696379999999998</v>
      </c>
      <c r="G22" s="193">
        <v>32.937739999999998</v>
      </c>
      <c r="H22" s="193">
        <v>30.734169999999999</v>
      </c>
      <c r="I22" s="193">
        <v>31.753820000000001</v>
      </c>
      <c r="J22" s="194">
        <v>35.298720000000003</v>
      </c>
      <c r="K22" s="195">
        <v>34.064050000000002</v>
      </c>
      <c r="L22" s="193">
        <v>31.125080000000001</v>
      </c>
      <c r="M22" s="193">
        <v>30.77412</v>
      </c>
      <c r="N22" s="193">
        <v>34.840499999999999</v>
      </c>
      <c r="O22" s="196">
        <v>41.27167</v>
      </c>
      <c r="P22" s="197">
        <f t="shared" ref="P22:P31" si="4">+SUM(D22:O22)</f>
        <v>410.20900000000006</v>
      </c>
    </row>
    <row r="23" spans="2:16" s="113" customFormat="1" ht="16.5" customHeight="1">
      <c r="B23" s="591"/>
      <c r="C23" s="198" t="s">
        <v>31</v>
      </c>
      <c r="D23" s="199">
        <v>20.674489999999999</v>
      </c>
      <c r="E23" s="200">
        <v>18.015930000000001</v>
      </c>
      <c r="F23" s="200">
        <v>19.3062</v>
      </c>
      <c r="G23" s="200">
        <v>25.094830000000002</v>
      </c>
      <c r="H23" s="200">
        <v>25.709250000000001</v>
      </c>
      <c r="I23" s="200">
        <v>24.76042</v>
      </c>
      <c r="J23" s="201">
        <v>29.231570000000001</v>
      </c>
      <c r="K23" s="202">
        <v>25.052489999999999</v>
      </c>
      <c r="L23" s="200">
        <v>22.460360000000001</v>
      </c>
      <c r="M23" s="200">
        <v>23.66807</v>
      </c>
      <c r="N23" s="200">
        <v>23.070499999999999</v>
      </c>
      <c r="O23" s="203">
        <v>23.041599999999999</v>
      </c>
      <c r="P23" s="188">
        <f t="shared" si="4"/>
        <v>280.08571000000006</v>
      </c>
    </row>
    <row r="24" spans="2:16" s="113" customFormat="1" ht="16.5" customHeight="1">
      <c r="B24" s="591"/>
      <c r="C24" s="198" t="s">
        <v>32</v>
      </c>
      <c r="D24" s="199">
        <v>74.138369999999995</v>
      </c>
      <c r="E24" s="200">
        <v>79.393360000000001</v>
      </c>
      <c r="F24" s="200">
        <v>110.76491</v>
      </c>
      <c r="G24" s="200">
        <v>60.63158</v>
      </c>
      <c r="H24" s="200">
        <v>74.759900000000002</v>
      </c>
      <c r="I24" s="200">
        <v>78.889470000000003</v>
      </c>
      <c r="J24" s="201">
        <v>83.995720000000006</v>
      </c>
      <c r="K24" s="202">
        <v>85.824110000000005</v>
      </c>
      <c r="L24" s="200">
        <v>74.60284</v>
      </c>
      <c r="M24" s="200">
        <v>82.361909999999995</v>
      </c>
      <c r="N24" s="200">
        <v>99.770780000000002</v>
      </c>
      <c r="O24" s="203">
        <v>107.4169</v>
      </c>
      <c r="P24" s="188">
        <f t="shared" si="4"/>
        <v>1012.5498499999999</v>
      </c>
    </row>
    <row r="25" spans="2:16" s="113" customFormat="1" ht="16.5" customHeight="1">
      <c r="B25" s="592"/>
      <c r="C25" s="198" t="s">
        <v>33</v>
      </c>
      <c r="D25" s="199">
        <v>0</v>
      </c>
      <c r="E25" s="200">
        <v>0</v>
      </c>
      <c r="F25" s="200">
        <v>0</v>
      </c>
      <c r="G25" s="200">
        <v>0</v>
      </c>
      <c r="H25" s="200">
        <v>0</v>
      </c>
      <c r="I25" s="200">
        <v>0</v>
      </c>
      <c r="J25" s="201">
        <v>0</v>
      </c>
      <c r="K25" s="202">
        <v>0</v>
      </c>
      <c r="L25" s="200">
        <v>0</v>
      </c>
      <c r="M25" s="200">
        <v>0</v>
      </c>
      <c r="N25" s="200">
        <v>0</v>
      </c>
      <c r="O25" s="203">
        <v>0</v>
      </c>
      <c r="P25" s="188">
        <f t="shared" si="4"/>
        <v>0</v>
      </c>
    </row>
    <row r="26" spans="2:16" s="113" customFormat="1" ht="16.5" customHeight="1">
      <c r="B26" s="590" t="s">
        <v>72</v>
      </c>
      <c r="C26" s="204" t="s">
        <v>34</v>
      </c>
      <c r="D26" s="192">
        <v>7.4664999999999999</v>
      </c>
      <c r="E26" s="193">
        <v>7.18201</v>
      </c>
      <c r="F26" s="193">
        <v>7.47044</v>
      </c>
      <c r="G26" s="193">
        <v>7.2850900000000003</v>
      </c>
      <c r="H26" s="193">
        <v>7.2515200000000002</v>
      </c>
      <c r="I26" s="193">
        <v>7.0070600000000001</v>
      </c>
      <c r="J26" s="194">
        <v>7.98569</v>
      </c>
      <c r="K26" s="195">
        <v>6.5225200000000001</v>
      </c>
      <c r="L26" s="193">
        <v>6.37209</v>
      </c>
      <c r="M26" s="193">
        <v>6.8282600000000002</v>
      </c>
      <c r="N26" s="193">
        <v>6.5604800000000001</v>
      </c>
      <c r="O26" s="196">
        <v>6.8724100000000004</v>
      </c>
      <c r="P26" s="197">
        <f t="shared" si="4"/>
        <v>84.80407000000001</v>
      </c>
    </row>
    <row r="27" spans="2:16" s="113" customFormat="1" ht="16.5" customHeight="1">
      <c r="B27" s="591"/>
      <c r="C27" s="205" t="s">
        <v>72</v>
      </c>
      <c r="D27" s="199">
        <v>-5.0000000000000001E-3</v>
      </c>
      <c r="E27" s="200">
        <v>0</v>
      </c>
      <c r="F27" s="200">
        <v>-0.01</v>
      </c>
      <c r="G27" s="200">
        <v>0</v>
      </c>
      <c r="H27" s="200">
        <v>0</v>
      </c>
      <c r="I27" s="200">
        <v>0</v>
      </c>
      <c r="J27" s="201">
        <v>-1.0000000000000001E-5</v>
      </c>
      <c r="K27" s="202">
        <v>-1.0000000000000001E-5</v>
      </c>
      <c r="L27" s="200">
        <v>-1E-3</v>
      </c>
      <c r="M27" s="200">
        <v>-1E-3</v>
      </c>
      <c r="N27" s="200">
        <v>-1E-3</v>
      </c>
      <c r="O27" s="203">
        <v>-5.0400000000000002E-3</v>
      </c>
      <c r="P27" s="188">
        <f t="shared" si="4"/>
        <v>-2.3060000000000001E-2</v>
      </c>
    </row>
    <row r="28" spans="2:16" s="113" customFormat="1" ht="16.5" customHeight="1">
      <c r="B28" s="592"/>
      <c r="C28" s="206" t="s">
        <v>73</v>
      </c>
      <c r="D28" s="199">
        <v>0.91766000000000003</v>
      </c>
      <c r="E28" s="200">
        <v>0.74572000000000005</v>
      </c>
      <c r="F28" s="200">
        <v>0.62400999999999995</v>
      </c>
      <c r="G28" s="200">
        <v>0.47065000000000001</v>
      </c>
      <c r="H28" s="200">
        <v>0.46575</v>
      </c>
      <c r="I28" s="200">
        <v>0.39004</v>
      </c>
      <c r="J28" s="201">
        <v>0.34134999999999999</v>
      </c>
      <c r="K28" s="202">
        <v>0.34216000000000002</v>
      </c>
      <c r="L28" s="200">
        <v>0.27311000000000002</v>
      </c>
      <c r="M28" s="200">
        <v>0.30536999999999997</v>
      </c>
      <c r="N28" s="200">
        <v>0.25885000000000002</v>
      </c>
      <c r="O28" s="203">
        <v>0.37823000000000001</v>
      </c>
      <c r="P28" s="188">
        <f t="shared" si="4"/>
        <v>5.5129000000000001</v>
      </c>
    </row>
    <row r="29" spans="2:16" s="113" customFormat="1" ht="16.5" customHeight="1">
      <c r="B29" s="208"/>
      <c r="C29" s="209" t="s">
        <v>74</v>
      </c>
      <c r="D29" s="210">
        <v>257694</v>
      </c>
      <c r="E29" s="211">
        <v>253710</v>
      </c>
      <c r="F29" s="212">
        <v>300884</v>
      </c>
      <c r="G29" s="213">
        <v>249254</v>
      </c>
      <c r="H29" s="214">
        <v>272727</v>
      </c>
      <c r="I29" s="213">
        <v>277700</v>
      </c>
      <c r="J29" s="213">
        <v>308011</v>
      </c>
      <c r="K29" s="213">
        <v>294652</v>
      </c>
      <c r="L29" s="213">
        <v>257239</v>
      </c>
      <c r="M29" s="213">
        <v>272409</v>
      </c>
      <c r="N29" s="213">
        <v>314679</v>
      </c>
      <c r="O29" s="215">
        <v>331469</v>
      </c>
      <c r="P29" s="216">
        <f t="shared" si="4"/>
        <v>3390428</v>
      </c>
    </row>
    <row r="30" spans="2:16" s="113" customFormat="1" ht="16.5" customHeight="1">
      <c r="B30" s="495"/>
      <c r="C30" s="217" t="s">
        <v>75</v>
      </c>
      <c r="D30" s="218">
        <v>3.7262599999999999</v>
      </c>
      <c r="E30" s="219">
        <v>4.8176500000000004</v>
      </c>
      <c r="F30" s="220">
        <v>7.2852199999999998</v>
      </c>
      <c r="G30" s="221">
        <v>3.0741000000000001</v>
      </c>
      <c r="H30" s="222">
        <v>2.5856300000000001</v>
      </c>
      <c r="I30" s="221">
        <v>2.8271799999999998</v>
      </c>
      <c r="J30" s="221">
        <v>1.9633799999999999</v>
      </c>
      <c r="K30" s="221">
        <v>10.056710000000001</v>
      </c>
      <c r="L30" s="221">
        <v>1.91421</v>
      </c>
      <c r="M30" s="221">
        <v>1.0709200000000001</v>
      </c>
      <c r="N30" s="221">
        <v>2.12988</v>
      </c>
      <c r="O30" s="223">
        <v>0.92266999999999999</v>
      </c>
      <c r="P30" s="224">
        <f t="shared" si="4"/>
        <v>42.373809999999999</v>
      </c>
    </row>
    <row r="31" spans="2:16" s="113" customFormat="1" ht="16.5" customHeight="1">
      <c r="B31" s="225"/>
      <c r="C31" s="226" t="s">
        <v>76</v>
      </c>
      <c r="D31" s="192">
        <v>0</v>
      </c>
      <c r="E31" s="193">
        <v>0</v>
      </c>
      <c r="F31" s="227">
        <v>0</v>
      </c>
      <c r="G31" s="228">
        <v>0</v>
      </c>
      <c r="H31" s="229">
        <v>0</v>
      </c>
      <c r="I31" s="228">
        <v>0</v>
      </c>
      <c r="J31" s="228">
        <v>0</v>
      </c>
      <c r="K31" s="228">
        <v>0</v>
      </c>
      <c r="L31" s="228">
        <v>0</v>
      </c>
      <c r="M31" s="228">
        <v>0</v>
      </c>
      <c r="N31" s="228">
        <v>0</v>
      </c>
      <c r="O31" s="230">
        <v>0</v>
      </c>
      <c r="P31" s="231">
        <f t="shared" si="4"/>
        <v>0</v>
      </c>
    </row>
    <row r="32" spans="2:16" s="113" customFormat="1" ht="16.5" customHeight="1">
      <c r="B32" s="494"/>
      <c r="C32" s="180" t="s">
        <v>77</v>
      </c>
      <c r="D32" s="232">
        <f>SUM(D22:D28,D30:D31)</f>
        <v>139.58912000000001</v>
      </c>
      <c r="E32" s="233">
        <f t="shared" ref="E32:P32" si="5">SUM(E22:E28,E30:E31)</f>
        <v>142.19657999999998</v>
      </c>
      <c r="F32" s="234">
        <f t="shared" si="5"/>
        <v>188.13716000000002</v>
      </c>
      <c r="G32" s="235">
        <f t="shared" si="5"/>
        <v>129.49399</v>
      </c>
      <c r="H32" s="236">
        <f t="shared" si="5"/>
        <v>141.50622000000004</v>
      </c>
      <c r="I32" s="234">
        <f t="shared" si="5"/>
        <v>145.62798999999998</v>
      </c>
      <c r="J32" s="234">
        <f t="shared" si="5"/>
        <v>158.81642000000002</v>
      </c>
      <c r="K32" s="234">
        <f t="shared" si="5"/>
        <v>161.86203</v>
      </c>
      <c r="L32" s="234">
        <f t="shared" si="5"/>
        <v>136.74669000000003</v>
      </c>
      <c r="M32" s="234">
        <f t="shared" si="5"/>
        <v>145.00765000000001</v>
      </c>
      <c r="N32" s="234">
        <f t="shared" si="5"/>
        <v>166.62999000000002</v>
      </c>
      <c r="O32" s="237">
        <f t="shared" si="5"/>
        <v>179.89843999999999</v>
      </c>
      <c r="P32" s="238">
        <f t="shared" si="5"/>
        <v>1835.5122799999999</v>
      </c>
    </row>
    <row r="33" spans="2:16" s="113" customFormat="1" ht="18.600000000000001" customHeight="1">
      <c r="B33" s="252"/>
      <c r="C33" s="253"/>
      <c r="D33" s="248"/>
      <c r="E33" s="249"/>
      <c r="F33" s="250"/>
      <c r="G33" s="250"/>
      <c r="H33" s="251"/>
      <c r="I33" s="250"/>
      <c r="J33" s="250"/>
      <c r="K33" s="250"/>
      <c r="L33" s="250"/>
      <c r="M33" s="250"/>
      <c r="N33" s="250"/>
      <c r="O33" s="248"/>
      <c r="P33" s="250"/>
    </row>
    <row r="34" spans="2:16" s="113" customFormat="1" ht="19.149999999999999" customHeight="1">
      <c r="B34" s="114"/>
      <c r="C34" s="115"/>
      <c r="D34" s="115"/>
      <c r="E34" s="115"/>
      <c r="F34" s="115"/>
      <c r="G34" s="115"/>
      <c r="H34" s="115"/>
      <c r="L34" s="116"/>
      <c r="M34" s="116"/>
      <c r="N34" s="116"/>
    </row>
    <row r="35" spans="2:16" s="113" customFormat="1" ht="16.5" customHeight="1">
      <c r="B35" s="586">
        <v>2023</v>
      </c>
      <c r="C35" s="587"/>
      <c r="D35" s="180" t="s">
        <v>83</v>
      </c>
      <c r="E35" s="181" t="s">
        <v>84</v>
      </c>
      <c r="F35" s="181" t="s">
        <v>85</v>
      </c>
      <c r="G35" s="181" t="s">
        <v>21</v>
      </c>
      <c r="H35" s="181" t="s">
        <v>22</v>
      </c>
      <c r="I35" s="181" t="s">
        <v>23</v>
      </c>
      <c r="J35" s="181" t="s">
        <v>24</v>
      </c>
      <c r="K35" s="181" t="s">
        <v>25</v>
      </c>
      <c r="L35" s="181" t="s">
        <v>26</v>
      </c>
      <c r="M35" s="181" t="s">
        <v>27</v>
      </c>
      <c r="N35" s="181" t="s">
        <v>28</v>
      </c>
      <c r="O35" s="182" t="s">
        <v>29</v>
      </c>
      <c r="P35" s="183" t="s">
        <v>69</v>
      </c>
    </row>
    <row r="36" spans="2:16" s="113" customFormat="1" ht="16.5" customHeight="1">
      <c r="B36" s="588" t="s">
        <v>70</v>
      </c>
      <c r="C36" s="589"/>
      <c r="D36" s="185">
        <f>SUM(D37:D43)</f>
        <v>116.71852999999999</v>
      </c>
      <c r="E36" s="186">
        <f t="shared" ref="E36:O36" si="6">SUM(E37:E43)</f>
        <v>124.70697000000001</v>
      </c>
      <c r="F36" s="186">
        <f t="shared" si="6"/>
        <v>160.01411999999999</v>
      </c>
      <c r="G36" s="186">
        <f t="shared" si="6"/>
        <v>130.46245999999999</v>
      </c>
      <c r="H36" s="186">
        <f t="shared" si="6"/>
        <v>125.08437000000001</v>
      </c>
      <c r="I36" s="186">
        <f t="shared" si="6"/>
        <v>136.25847999999999</v>
      </c>
      <c r="J36" s="186">
        <f t="shared" si="6"/>
        <v>137.64691000000002</v>
      </c>
      <c r="K36" s="186">
        <f t="shared" si="6"/>
        <v>159.80684000000002</v>
      </c>
      <c r="L36" s="186">
        <f t="shared" si="6"/>
        <v>137.62897999999998</v>
      </c>
      <c r="M36" s="186">
        <f t="shared" si="6"/>
        <v>127.79557999999999</v>
      </c>
      <c r="N36" s="186">
        <f t="shared" si="6"/>
        <v>149.72952000000004</v>
      </c>
      <c r="O36" s="187">
        <f t="shared" si="6"/>
        <v>138.55896000000001</v>
      </c>
      <c r="P36" s="188">
        <f>+SUM(D36:O36)</f>
        <v>1644.4117200000001</v>
      </c>
    </row>
    <row r="37" spans="2:16" s="113" customFormat="1" ht="16.5" customHeight="1">
      <c r="B37" s="590" t="s">
        <v>71</v>
      </c>
      <c r="C37" s="191" t="s">
        <v>30</v>
      </c>
      <c r="D37" s="192">
        <v>25.890460000000001</v>
      </c>
      <c r="E37" s="193">
        <v>26.387450000000001</v>
      </c>
      <c r="F37" s="193">
        <v>35.188800000000001</v>
      </c>
      <c r="G37" s="193">
        <v>32.306789999999999</v>
      </c>
      <c r="H37" s="193">
        <v>30.482810000000001</v>
      </c>
      <c r="I37" s="193">
        <v>29.45177</v>
      </c>
      <c r="J37" s="194">
        <v>29.347049999999999</v>
      </c>
      <c r="K37" s="195">
        <v>47.517650000000003</v>
      </c>
      <c r="L37" s="193">
        <v>28.117560000000001</v>
      </c>
      <c r="M37" s="193">
        <v>29.715730000000001</v>
      </c>
      <c r="N37" s="193">
        <v>27.258600000000001</v>
      </c>
      <c r="O37" s="196">
        <v>31.39256</v>
      </c>
      <c r="P37" s="197">
        <f t="shared" ref="P37:P46" si="7">+SUM(D37:O37)</f>
        <v>373.05723000000006</v>
      </c>
    </row>
    <row r="38" spans="2:16" s="113" customFormat="1" ht="16.5" customHeight="1">
      <c r="B38" s="591"/>
      <c r="C38" s="198" t="s">
        <v>31</v>
      </c>
      <c r="D38" s="199">
        <v>25.790489999999998</v>
      </c>
      <c r="E38" s="200">
        <v>26.88392</v>
      </c>
      <c r="F38" s="200">
        <v>28.668690000000002</v>
      </c>
      <c r="G38" s="200">
        <v>28.73631</v>
      </c>
      <c r="H38" s="200">
        <v>26.92332</v>
      </c>
      <c r="I38" s="200">
        <v>39.455759999999998</v>
      </c>
      <c r="J38" s="201">
        <v>24.734190000000002</v>
      </c>
      <c r="K38" s="202">
        <v>23.936430000000001</v>
      </c>
      <c r="L38" s="200">
        <v>21.37594</v>
      </c>
      <c r="M38" s="200">
        <v>21.159929999999999</v>
      </c>
      <c r="N38" s="200">
        <v>48.777790000000003</v>
      </c>
      <c r="O38" s="203">
        <v>21.541239999999998</v>
      </c>
      <c r="P38" s="188">
        <f t="shared" si="7"/>
        <v>337.98400999999996</v>
      </c>
    </row>
    <row r="39" spans="2:16" s="113" customFormat="1" ht="16.5" customHeight="1">
      <c r="B39" s="591"/>
      <c r="C39" s="198" t="s">
        <v>32</v>
      </c>
      <c r="D39" s="199">
        <v>55.586539999999999</v>
      </c>
      <c r="E39" s="200">
        <v>62.422339999999998</v>
      </c>
      <c r="F39" s="200">
        <v>85.884439999999998</v>
      </c>
      <c r="G39" s="200">
        <v>60.77196</v>
      </c>
      <c r="H39" s="200">
        <v>58.822490000000002</v>
      </c>
      <c r="I39" s="200">
        <v>57.884120000000003</v>
      </c>
      <c r="J39" s="201">
        <v>74.899439999999998</v>
      </c>
      <c r="K39" s="202">
        <v>80.056179999999998</v>
      </c>
      <c r="L39" s="200">
        <v>80.850570000000005</v>
      </c>
      <c r="M39" s="200">
        <v>68.963419999999999</v>
      </c>
      <c r="N39" s="200">
        <v>65.833920000000006</v>
      </c>
      <c r="O39" s="203">
        <v>77.853560000000002</v>
      </c>
      <c r="P39" s="188">
        <f t="shared" si="7"/>
        <v>829.82898000000023</v>
      </c>
    </row>
    <row r="40" spans="2:16" s="113" customFormat="1" ht="16.5" customHeight="1">
      <c r="B40" s="591"/>
      <c r="C40" s="198" t="s">
        <v>33</v>
      </c>
      <c r="D40" s="199">
        <v>0</v>
      </c>
      <c r="E40" s="200">
        <v>0</v>
      </c>
      <c r="F40" s="200">
        <v>0</v>
      </c>
      <c r="G40" s="200">
        <v>0</v>
      </c>
      <c r="H40" s="200">
        <v>0</v>
      </c>
      <c r="I40" s="200">
        <v>0</v>
      </c>
      <c r="J40" s="201">
        <v>0</v>
      </c>
      <c r="K40" s="202">
        <v>0</v>
      </c>
      <c r="L40" s="200">
        <v>0</v>
      </c>
      <c r="M40" s="200">
        <v>0</v>
      </c>
      <c r="N40" s="200">
        <v>0</v>
      </c>
      <c r="O40" s="203">
        <v>0</v>
      </c>
      <c r="P40" s="188">
        <f t="shared" si="7"/>
        <v>0</v>
      </c>
    </row>
    <row r="41" spans="2:16" s="113" customFormat="1" ht="16.5" customHeight="1">
      <c r="B41" s="590" t="s">
        <v>72</v>
      </c>
      <c r="C41" s="204" t="s">
        <v>34</v>
      </c>
      <c r="D41" s="192">
        <v>8.7105099999999993</v>
      </c>
      <c r="E41" s="193">
        <v>8.1467600000000004</v>
      </c>
      <c r="F41" s="193">
        <v>9.5239700000000003</v>
      </c>
      <c r="G41" s="193">
        <v>8.2122399999999995</v>
      </c>
      <c r="H41" s="193">
        <v>8.3379700000000003</v>
      </c>
      <c r="I41" s="193">
        <v>8.9612499999999997</v>
      </c>
      <c r="J41" s="194">
        <v>8.1982800000000005</v>
      </c>
      <c r="K41" s="195">
        <v>7.8348599999999999</v>
      </c>
      <c r="L41" s="193">
        <v>6.9725799999999998</v>
      </c>
      <c r="M41" s="193">
        <v>7.5995299999999997</v>
      </c>
      <c r="N41" s="193">
        <v>7.5584100000000003</v>
      </c>
      <c r="O41" s="196">
        <v>7.3454800000000002</v>
      </c>
      <c r="P41" s="197">
        <f t="shared" si="7"/>
        <v>97.401839999999993</v>
      </c>
    </row>
    <row r="42" spans="2:16" s="113" customFormat="1" ht="16.5" customHeight="1">
      <c r="B42" s="591"/>
      <c r="C42" s="205" t="s">
        <v>72</v>
      </c>
      <c r="D42" s="199">
        <v>3.092E-2</v>
      </c>
      <c r="E42" s="200">
        <v>1.562E-2</v>
      </c>
      <c r="F42" s="200">
        <v>7.5300000000000002E-3</v>
      </c>
      <c r="G42" s="200">
        <v>-3.7000000000000002E-3</v>
      </c>
      <c r="H42" s="200">
        <v>-0.01</v>
      </c>
      <c r="I42" s="200">
        <v>7.4000000000000003E-3</v>
      </c>
      <c r="J42" s="201">
        <v>-2E-3</v>
      </c>
      <c r="K42" s="202">
        <v>0</v>
      </c>
      <c r="L42" s="200">
        <v>-3.1099999999999999E-3</v>
      </c>
      <c r="M42" s="200">
        <v>-6.6E-3</v>
      </c>
      <c r="N42" s="200">
        <v>-8.0000000000000007E-5</v>
      </c>
      <c r="O42" s="203">
        <v>-4.0000000000000003E-5</v>
      </c>
      <c r="P42" s="188">
        <f t="shared" si="7"/>
        <v>3.5939999999999993E-2</v>
      </c>
    </row>
    <row r="43" spans="2:16" s="113" customFormat="1" ht="16.5" customHeight="1">
      <c r="B43" s="592"/>
      <c r="C43" s="206" t="s">
        <v>73</v>
      </c>
      <c r="D43" s="199">
        <v>0.70960999999999996</v>
      </c>
      <c r="E43" s="200">
        <v>0.85087999999999997</v>
      </c>
      <c r="F43" s="200">
        <v>0.74068999999999996</v>
      </c>
      <c r="G43" s="200">
        <v>0.43885999999999997</v>
      </c>
      <c r="H43" s="200">
        <v>0.52778000000000003</v>
      </c>
      <c r="I43" s="200">
        <v>0.49818000000000001</v>
      </c>
      <c r="J43" s="201">
        <v>0.46994999999999998</v>
      </c>
      <c r="K43" s="202">
        <v>0.46172000000000002</v>
      </c>
      <c r="L43" s="200">
        <v>0.31544</v>
      </c>
      <c r="M43" s="200">
        <v>0.36357</v>
      </c>
      <c r="N43" s="200">
        <v>0.30087999999999998</v>
      </c>
      <c r="O43" s="203">
        <v>0.42615999999999998</v>
      </c>
      <c r="P43" s="188">
        <f t="shared" si="7"/>
        <v>6.10372</v>
      </c>
    </row>
    <row r="44" spans="2:16" s="113" customFormat="1" ht="16.5" customHeight="1">
      <c r="B44" s="208"/>
      <c r="C44" s="209" t="s">
        <v>74</v>
      </c>
      <c r="D44" s="210">
        <v>234788</v>
      </c>
      <c r="E44" s="211">
        <v>245027</v>
      </c>
      <c r="F44" s="212">
        <v>294297</v>
      </c>
      <c r="G44" s="213">
        <v>258027</v>
      </c>
      <c r="H44" s="214">
        <v>246806</v>
      </c>
      <c r="I44" s="213">
        <v>306004</v>
      </c>
      <c r="J44" s="213">
        <v>260376</v>
      </c>
      <c r="K44" s="213">
        <v>301048</v>
      </c>
      <c r="L44" s="213">
        <v>261481</v>
      </c>
      <c r="M44" s="213">
        <v>239442</v>
      </c>
      <c r="N44" s="213">
        <v>456204</v>
      </c>
      <c r="O44" s="215">
        <v>259058</v>
      </c>
      <c r="P44" s="216">
        <f t="shared" si="7"/>
        <v>3362558</v>
      </c>
    </row>
    <row r="45" spans="2:16" s="113" customFormat="1" ht="16.5" customHeight="1">
      <c r="B45" s="495"/>
      <c r="C45" s="217" t="s">
        <v>75</v>
      </c>
      <c r="D45" s="218">
        <v>3.9382000000000001</v>
      </c>
      <c r="E45" s="219">
        <v>4.5962100000000001</v>
      </c>
      <c r="F45" s="220">
        <v>4.70709</v>
      </c>
      <c r="G45" s="221">
        <v>5.2846900000000003</v>
      </c>
      <c r="H45" s="222">
        <v>11.98873</v>
      </c>
      <c r="I45" s="221">
        <v>8.2680199999999999</v>
      </c>
      <c r="J45" s="221">
        <v>5.2989300000000004</v>
      </c>
      <c r="K45" s="221">
        <v>5.1353400000000002</v>
      </c>
      <c r="L45" s="221">
        <v>7.0469900000000001</v>
      </c>
      <c r="M45" s="221">
        <v>7.3570000000000002</v>
      </c>
      <c r="N45" s="221">
        <v>6.0143199999999997</v>
      </c>
      <c r="O45" s="223">
        <v>2.94625</v>
      </c>
      <c r="P45" s="224">
        <f t="shared" si="7"/>
        <v>72.581770000000006</v>
      </c>
    </row>
    <row r="46" spans="2:16" s="113" customFormat="1" ht="16.5" customHeight="1">
      <c r="B46" s="225"/>
      <c r="C46" s="226" t="s">
        <v>76</v>
      </c>
      <c r="D46" s="192">
        <v>0</v>
      </c>
      <c r="E46" s="193">
        <v>0</v>
      </c>
      <c r="F46" s="227">
        <v>0</v>
      </c>
      <c r="G46" s="228">
        <v>0</v>
      </c>
      <c r="H46" s="229">
        <v>0</v>
      </c>
      <c r="I46" s="228">
        <v>0</v>
      </c>
      <c r="J46" s="228">
        <v>0</v>
      </c>
      <c r="K46" s="228">
        <v>0</v>
      </c>
      <c r="L46" s="228">
        <v>0</v>
      </c>
      <c r="M46" s="228">
        <v>0</v>
      </c>
      <c r="N46" s="228">
        <v>0</v>
      </c>
      <c r="O46" s="230">
        <v>0</v>
      </c>
      <c r="P46" s="231">
        <f t="shared" si="7"/>
        <v>0</v>
      </c>
    </row>
    <row r="47" spans="2:16" s="113" customFormat="1" ht="16.5" customHeight="1">
      <c r="B47" s="494"/>
      <c r="C47" s="180" t="s">
        <v>77</v>
      </c>
      <c r="D47" s="232">
        <f>SUM(D37:D43,D45:D46)</f>
        <v>120.65672999999998</v>
      </c>
      <c r="E47" s="233">
        <f t="shared" ref="E47:P47" si="8">SUM(E37:E43,E45:E46)</f>
        <v>129.30318000000003</v>
      </c>
      <c r="F47" s="234">
        <f t="shared" si="8"/>
        <v>164.72120999999999</v>
      </c>
      <c r="G47" s="235">
        <f t="shared" si="8"/>
        <v>135.74715</v>
      </c>
      <c r="H47" s="236">
        <f t="shared" si="8"/>
        <v>137.07310000000001</v>
      </c>
      <c r="I47" s="234">
        <f t="shared" si="8"/>
        <v>144.5265</v>
      </c>
      <c r="J47" s="234">
        <f t="shared" si="8"/>
        <v>142.94584000000003</v>
      </c>
      <c r="K47" s="234">
        <f t="shared" si="8"/>
        <v>164.94218000000004</v>
      </c>
      <c r="L47" s="234">
        <f t="shared" si="8"/>
        <v>144.67596999999998</v>
      </c>
      <c r="M47" s="234">
        <f t="shared" si="8"/>
        <v>135.15258</v>
      </c>
      <c r="N47" s="234">
        <f t="shared" si="8"/>
        <v>155.74384000000003</v>
      </c>
      <c r="O47" s="237">
        <f t="shared" si="8"/>
        <v>141.50521000000001</v>
      </c>
      <c r="P47" s="238">
        <f t="shared" si="8"/>
        <v>1716.9934900000003</v>
      </c>
    </row>
    <row r="48" spans="2:16" s="113" customFormat="1" ht="18.600000000000001" customHeight="1">
      <c r="B48" s="252"/>
      <c r="C48" s="253"/>
      <c r="D48" s="248"/>
      <c r="E48" s="249"/>
      <c r="F48" s="250"/>
      <c r="G48" s="250"/>
      <c r="H48" s="251"/>
      <c r="I48" s="250"/>
      <c r="J48" s="250"/>
      <c r="K48" s="250"/>
      <c r="L48" s="250"/>
      <c r="M48" s="250"/>
      <c r="N48" s="250"/>
      <c r="O48" s="248"/>
      <c r="P48" s="250"/>
    </row>
    <row r="49" spans="2:16" s="113" customFormat="1" ht="19.149999999999999" customHeight="1">
      <c r="B49" s="114"/>
      <c r="C49" s="115"/>
      <c r="D49" s="115"/>
      <c r="E49" s="115"/>
      <c r="F49" s="115"/>
      <c r="G49" s="115"/>
      <c r="H49" s="115"/>
      <c r="L49" s="116"/>
      <c r="M49" s="116"/>
      <c r="N49" s="116"/>
    </row>
    <row r="50" spans="2:16" s="113" customFormat="1" ht="16.5" customHeight="1">
      <c r="B50" s="586">
        <v>2022</v>
      </c>
      <c r="C50" s="587"/>
      <c r="D50" s="180" t="s">
        <v>83</v>
      </c>
      <c r="E50" s="181" t="s">
        <v>84</v>
      </c>
      <c r="F50" s="181" t="s">
        <v>85</v>
      </c>
      <c r="G50" s="181" t="s">
        <v>21</v>
      </c>
      <c r="H50" s="181" t="s">
        <v>22</v>
      </c>
      <c r="I50" s="181" t="s">
        <v>23</v>
      </c>
      <c r="J50" s="181" t="s">
        <v>24</v>
      </c>
      <c r="K50" s="181" t="s">
        <v>25</v>
      </c>
      <c r="L50" s="181" t="s">
        <v>26</v>
      </c>
      <c r="M50" s="181" t="s">
        <v>27</v>
      </c>
      <c r="N50" s="181" t="s">
        <v>28</v>
      </c>
      <c r="O50" s="182" t="s">
        <v>29</v>
      </c>
      <c r="P50" s="183" t="s">
        <v>69</v>
      </c>
    </row>
    <row r="51" spans="2:16" s="113" customFormat="1" ht="16.5" customHeight="1">
      <c r="B51" s="588" t="s">
        <v>70</v>
      </c>
      <c r="C51" s="589"/>
      <c r="D51" s="185">
        <v>106.24001999999999</v>
      </c>
      <c r="E51" s="186">
        <v>95.511659999999992</v>
      </c>
      <c r="F51" s="186">
        <v>132.12619999999998</v>
      </c>
      <c r="G51" s="186">
        <v>103.67429</v>
      </c>
      <c r="H51" s="186">
        <v>113.60532000000001</v>
      </c>
      <c r="I51" s="186">
        <v>114.96037000000001</v>
      </c>
      <c r="J51" s="186">
        <v>137.68231</v>
      </c>
      <c r="K51" s="186">
        <v>127.74449999999997</v>
      </c>
      <c r="L51" s="186">
        <v>128.49171999999999</v>
      </c>
      <c r="M51" s="186">
        <v>117.40671</v>
      </c>
      <c r="N51" s="186">
        <v>128.79335999999998</v>
      </c>
      <c r="O51" s="187">
        <v>156.08946000000003</v>
      </c>
      <c r="P51" s="188">
        <v>1462.3259199999998</v>
      </c>
    </row>
    <row r="52" spans="2:16" s="113" customFormat="1" ht="16.5" customHeight="1">
      <c r="B52" s="590" t="s">
        <v>71</v>
      </c>
      <c r="C52" s="191" t="s">
        <v>30</v>
      </c>
      <c r="D52" s="192">
        <v>23.454429999999999</v>
      </c>
      <c r="E52" s="193">
        <v>20.225760000000001</v>
      </c>
      <c r="F52" s="193">
        <v>36.804470000000002</v>
      </c>
      <c r="G52" s="193">
        <v>20.884419999999999</v>
      </c>
      <c r="H52" s="193">
        <v>25.59449</v>
      </c>
      <c r="I52" s="193">
        <v>27.975110000000001</v>
      </c>
      <c r="J52" s="194">
        <v>29.109940000000002</v>
      </c>
      <c r="K52" s="195">
        <v>26.57461</v>
      </c>
      <c r="L52" s="193">
        <v>25.428650000000001</v>
      </c>
      <c r="M52" s="193">
        <v>21.13374</v>
      </c>
      <c r="N52" s="193">
        <v>23.126390000000001</v>
      </c>
      <c r="O52" s="196">
        <v>26.533840000000001</v>
      </c>
      <c r="P52" s="197">
        <v>306.84585000000004</v>
      </c>
    </row>
    <row r="53" spans="2:16" s="113" customFormat="1" ht="16.5" customHeight="1">
      <c r="B53" s="591"/>
      <c r="C53" s="198" t="s">
        <v>31</v>
      </c>
      <c r="D53" s="199">
        <v>22.692710000000002</v>
      </c>
      <c r="E53" s="200">
        <v>20.106449999999999</v>
      </c>
      <c r="F53" s="200">
        <v>21.365259999999999</v>
      </c>
      <c r="G53" s="200">
        <v>31.762270000000001</v>
      </c>
      <c r="H53" s="200">
        <v>30.84646</v>
      </c>
      <c r="I53" s="200">
        <v>25.02176</v>
      </c>
      <c r="J53" s="201">
        <v>23.823229999999999</v>
      </c>
      <c r="K53" s="202">
        <v>23.417449999999999</v>
      </c>
      <c r="L53" s="200">
        <v>24.788530000000002</v>
      </c>
      <c r="M53" s="200">
        <v>34.772649999999999</v>
      </c>
      <c r="N53" s="200">
        <v>37.184179999999998</v>
      </c>
      <c r="O53" s="203">
        <v>49.246470000000002</v>
      </c>
      <c r="P53" s="188">
        <v>345.02741999999995</v>
      </c>
    </row>
    <row r="54" spans="2:16" s="113" customFormat="1" ht="16.5" customHeight="1">
      <c r="B54" s="591"/>
      <c r="C54" s="198" t="s">
        <v>32</v>
      </c>
      <c r="D54" s="199">
        <v>49.996279999999999</v>
      </c>
      <c r="E54" s="200">
        <v>46.888860000000001</v>
      </c>
      <c r="F54" s="200">
        <v>64.565950000000001</v>
      </c>
      <c r="G54" s="200">
        <v>41.876690000000004</v>
      </c>
      <c r="H54" s="200">
        <v>47.728760000000001</v>
      </c>
      <c r="I54" s="200">
        <v>52.219659999999998</v>
      </c>
      <c r="J54" s="201">
        <v>75.423109999999994</v>
      </c>
      <c r="K54" s="202">
        <v>67.659229999999994</v>
      </c>
      <c r="L54" s="200">
        <v>69.395349999999993</v>
      </c>
      <c r="M54" s="200">
        <v>53.641770000000001</v>
      </c>
      <c r="N54" s="200">
        <v>59.63926</v>
      </c>
      <c r="O54" s="203">
        <v>70.769980000000004</v>
      </c>
      <c r="P54" s="188">
        <v>699.80489999999998</v>
      </c>
    </row>
    <row r="55" spans="2:16" s="113" customFormat="1" ht="16.5" customHeight="1">
      <c r="B55" s="591"/>
      <c r="C55" s="198" t="s">
        <v>33</v>
      </c>
      <c r="D55" s="199">
        <v>0</v>
      </c>
      <c r="E55" s="200">
        <v>0</v>
      </c>
      <c r="F55" s="200">
        <v>0</v>
      </c>
      <c r="G55" s="200">
        <v>0</v>
      </c>
      <c r="H55" s="200">
        <v>0</v>
      </c>
      <c r="I55" s="200">
        <v>0</v>
      </c>
      <c r="J55" s="201">
        <v>0</v>
      </c>
      <c r="K55" s="202">
        <v>0</v>
      </c>
      <c r="L55" s="200">
        <v>0</v>
      </c>
      <c r="M55" s="200">
        <v>0</v>
      </c>
      <c r="N55" s="200">
        <v>0</v>
      </c>
      <c r="O55" s="203">
        <v>0</v>
      </c>
      <c r="P55" s="188">
        <v>0</v>
      </c>
    </row>
    <row r="56" spans="2:16" s="113" customFormat="1" ht="16.5" customHeight="1">
      <c r="B56" s="590" t="s">
        <v>72</v>
      </c>
      <c r="C56" s="204" t="s">
        <v>34</v>
      </c>
      <c r="D56" s="192">
        <v>9.0309299999999997</v>
      </c>
      <c r="E56" s="193">
        <v>7.3765000000000001</v>
      </c>
      <c r="F56" s="193">
        <v>8.5885999999999996</v>
      </c>
      <c r="G56" s="193">
        <v>8.6107899999999997</v>
      </c>
      <c r="H56" s="193">
        <v>8.8088599999999992</v>
      </c>
      <c r="I56" s="193">
        <v>9.1914599999999993</v>
      </c>
      <c r="J56" s="194">
        <v>8.8833800000000007</v>
      </c>
      <c r="K56" s="195">
        <v>9.0232700000000001</v>
      </c>
      <c r="L56" s="193">
        <v>8.3288700000000002</v>
      </c>
      <c r="M56" s="193">
        <v>7.5676399999999999</v>
      </c>
      <c r="N56" s="193">
        <v>8.5259699999999992</v>
      </c>
      <c r="O56" s="196">
        <v>9.1672399999999996</v>
      </c>
      <c r="P56" s="197">
        <v>103.10351</v>
      </c>
    </row>
    <row r="57" spans="2:16" s="113" customFormat="1" ht="16.5" customHeight="1">
      <c r="B57" s="591"/>
      <c r="C57" s="205" t="s">
        <v>72</v>
      </c>
      <c r="D57" s="199">
        <v>0.20749999999999999</v>
      </c>
      <c r="E57" s="200">
        <v>1.5499999999999999E-3</v>
      </c>
      <c r="F57" s="200">
        <v>9.3600000000000003E-2</v>
      </c>
      <c r="G57" s="200">
        <v>1.29E-2</v>
      </c>
      <c r="H57" s="200">
        <v>1.4200000000000001E-2</v>
      </c>
      <c r="I57" s="200">
        <v>2.8119999999999999E-2</v>
      </c>
      <c r="J57" s="201">
        <v>-3.0000000000000001E-3</v>
      </c>
      <c r="K57" s="202">
        <v>0.72030000000000005</v>
      </c>
      <c r="L57" s="200">
        <v>0.23</v>
      </c>
      <c r="M57" s="200">
        <v>-1.61E-2</v>
      </c>
      <c r="N57" s="200">
        <v>-2.0999999999999999E-3</v>
      </c>
      <c r="O57" s="203">
        <v>-1.5E-3</v>
      </c>
      <c r="P57" s="188">
        <v>1.2854699999999999</v>
      </c>
    </row>
    <row r="58" spans="2:16" s="113" customFormat="1" ht="16.5" customHeight="1">
      <c r="B58" s="592"/>
      <c r="C58" s="206" t="s">
        <v>73</v>
      </c>
      <c r="D58" s="199">
        <v>0.85816999999999999</v>
      </c>
      <c r="E58" s="200">
        <v>0.91254000000000002</v>
      </c>
      <c r="F58" s="200">
        <v>0.70831999999999995</v>
      </c>
      <c r="G58" s="200">
        <v>0.52722000000000002</v>
      </c>
      <c r="H58" s="200">
        <v>0.61255000000000004</v>
      </c>
      <c r="I58" s="200">
        <v>0.52425999999999995</v>
      </c>
      <c r="J58" s="201">
        <v>0.44564999999999999</v>
      </c>
      <c r="K58" s="202">
        <v>0.34964000000000001</v>
      </c>
      <c r="L58" s="200">
        <v>0.32031999999999999</v>
      </c>
      <c r="M58" s="200">
        <v>0.30701000000000001</v>
      </c>
      <c r="N58" s="200">
        <v>0.31966</v>
      </c>
      <c r="O58" s="203">
        <v>0.37342999999999998</v>
      </c>
      <c r="P58" s="188">
        <v>6.2587699999999993</v>
      </c>
    </row>
    <row r="59" spans="2:16" s="113" customFormat="1" ht="16.5" customHeight="1">
      <c r="B59" s="208"/>
      <c r="C59" s="209" t="s">
        <v>74</v>
      </c>
      <c r="D59" s="210">
        <v>215920</v>
      </c>
      <c r="E59" s="211">
        <v>195113</v>
      </c>
      <c r="F59" s="212">
        <v>248611</v>
      </c>
      <c r="G59" s="213">
        <v>226206</v>
      </c>
      <c r="H59" s="214">
        <v>239954</v>
      </c>
      <c r="I59" s="213">
        <v>234111</v>
      </c>
      <c r="J59" s="213">
        <v>246936</v>
      </c>
      <c r="K59" s="213">
        <v>234407</v>
      </c>
      <c r="L59" s="213">
        <v>238222</v>
      </c>
      <c r="M59" s="213">
        <v>245238</v>
      </c>
      <c r="N59" s="213">
        <v>274057</v>
      </c>
      <c r="O59" s="215">
        <v>348656</v>
      </c>
      <c r="P59" s="216">
        <v>2947431</v>
      </c>
    </row>
    <row r="60" spans="2:16" s="113" customFormat="1" ht="16.5" customHeight="1">
      <c r="B60" s="495"/>
      <c r="C60" s="217" t="s">
        <v>75</v>
      </c>
      <c r="D60" s="218">
        <v>4.3061999999999996</v>
      </c>
      <c r="E60" s="219">
        <v>2.6231200000000001</v>
      </c>
      <c r="F60" s="220">
        <v>6.0322699999999996</v>
      </c>
      <c r="G60" s="221">
        <v>1.9904500000000001</v>
      </c>
      <c r="H60" s="222">
        <v>7.1077000000000004</v>
      </c>
      <c r="I60" s="221">
        <v>8.8878599999999999</v>
      </c>
      <c r="J60" s="221">
        <v>9.6445699999999999</v>
      </c>
      <c r="K60" s="221">
        <v>8.6322399999999995</v>
      </c>
      <c r="L60" s="221">
        <v>8.4705600000000008</v>
      </c>
      <c r="M60" s="221">
        <v>3.1485699999999999</v>
      </c>
      <c r="N60" s="221">
        <v>2.98414</v>
      </c>
      <c r="O60" s="223">
        <v>3.8280400000000001</v>
      </c>
      <c r="P60" s="224">
        <v>67.655720000000002</v>
      </c>
    </row>
    <row r="61" spans="2:16" s="113" customFormat="1" ht="16.5" customHeight="1">
      <c r="B61" s="225"/>
      <c r="C61" s="226" t="s">
        <v>76</v>
      </c>
      <c r="D61" s="192">
        <v>0</v>
      </c>
      <c r="E61" s="193">
        <v>0</v>
      </c>
      <c r="F61" s="227">
        <v>0</v>
      </c>
      <c r="G61" s="228">
        <v>0</v>
      </c>
      <c r="H61" s="229">
        <v>0</v>
      </c>
      <c r="I61" s="228">
        <v>0</v>
      </c>
      <c r="J61" s="228">
        <v>2.2000000000000002</v>
      </c>
      <c r="K61" s="228">
        <v>0.2</v>
      </c>
      <c r="L61" s="228">
        <v>10</v>
      </c>
      <c r="M61" s="228">
        <v>1</v>
      </c>
      <c r="N61" s="228">
        <v>153.82835</v>
      </c>
      <c r="O61" s="230">
        <v>-1.5</v>
      </c>
      <c r="P61" s="231">
        <v>165.72835000000001</v>
      </c>
    </row>
    <row r="62" spans="2:16" s="113" customFormat="1" ht="16.5" customHeight="1">
      <c r="B62" s="494"/>
      <c r="C62" s="180" t="s">
        <v>77</v>
      </c>
      <c r="D62" s="232">
        <v>110.54622000000001</v>
      </c>
      <c r="E62" s="233">
        <v>98.134780000000006</v>
      </c>
      <c r="F62" s="234">
        <v>138.15846999999999</v>
      </c>
      <c r="G62" s="235">
        <v>105.66475</v>
      </c>
      <c r="H62" s="236">
        <v>120.71303</v>
      </c>
      <c r="I62" s="234">
        <v>123.84823</v>
      </c>
      <c r="J62" s="234">
        <v>149.52687</v>
      </c>
      <c r="K62" s="234">
        <v>136.57674</v>
      </c>
      <c r="L62" s="234">
        <v>146.96227999999999</v>
      </c>
      <c r="M62" s="234">
        <v>121.55526999999999</v>
      </c>
      <c r="N62" s="234">
        <v>285.60584999999998</v>
      </c>
      <c r="O62" s="237">
        <v>158.41749999999999</v>
      </c>
      <c r="P62" s="238">
        <v>1695.7099900000001</v>
      </c>
    </row>
    <row r="63" spans="2:16" s="113" customFormat="1" ht="18.600000000000001" customHeight="1">
      <c r="B63" s="252"/>
      <c r="C63" s="253"/>
      <c r="D63" s="248"/>
      <c r="E63" s="249"/>
      <c r="F63" s="250"/>
      <c r="G63" s="250"/>
      <c r="H63" s="251"/>
      <c r="I63" s="250"/>
      <c r="J63" s="250"/>
      <c r="K63" s="250"/>
      <c r="L63" s="250"/>
      <c r="M63" s="250"/>
      <c r="N63" s="250"/>
      <c r="O63" s="248"/>
      <c r="P63" s="250"/>
    </row>
    <row r="64" spans="2:16" s="113" customFormat="1" ht="19.149999999999999" customHeight="1">
      <c r="B64" s="114"/>
      <c r="C64" s="115"/>
      <c r="D64" s="115"/>
      <c r="E64" s="115"/>
      <c r="F64" s="115"/>
      <c r="G64" s="115"/>
      <c r="H64" s="115"/>
      <c r="L64" s="116"/>
      <c r="M64" s="116"/>
      <c r="N64" s="116"/>
    </row>
    <row r="65" spans="1:16" s="113" customFormat="1" ht="16.5" customHeight="1">
      <c r="B65" s="586">
        <v>2021</v>
      </c>
      <c r="C65" s="587"/>
      <c r="D65" s="180" t="s">
        <v>83</v>
      </c>
      <c r="E65" s="181" t="s">
        <v>84</v>
      </c>
      <c r="F65" s="181" t="s">
        <v>85</v>
      </c>
      <c r="G65" s="181" t="s">
        <v>21</v>
      </c>
      <c r="H65" s="181" t="s">
        <v>22</v>
      </c>
      <c r="I65" s="181" t="s">
        <v>23</v>
      </c>
      <c r="J65" s="181" t="s">
        <v>24</v>
      </c>
      <c r="K65" s="181" t="s">
        <v>25</v>
      </c>
      <c r="L65" s="181" t="s">
        <v>26</v>
      </c>
      <c r="M65" s="181" t="s">
        <v>27</v>
      </c>
      <c r="N65" s="181" t="s">
        <v>28</v>
      </c>
      <c r="O65" s="182" t="s">
        <v>29</v>
      </c>
      <c r="P65" s="183" t="s">
        <v>69</v>
      </c>
    </row>
    <row r="66" spans="1:16" s="113" customFormat="1" ht="16.5" customHeight="1">
      <c r="B66" s="588" t="s">
        <v>70</v>
      </c>
      <c r="C66" s="589"/>
      <c r="D66" s="185">
        <v>113.81695000000001</v>
      </c>
      <c r="E66" s="186">
        <v>114.03892</v>
      </c>
      <c r="F66" s="186">
        <v>151.70703</v>
      </c>
      <c r="G66" s="186">
        <v>118.03960999999998</v>
      </c>
      <c r="H66" s="186">
        <v>111.55892999999998</v>
      </c>
      <c r="I66" s="186">
        <v>155.93959000000004</v>
      </c>
      <c r="J66" s="186">
        <v>111.98587999999999</v>
      </c>
      <c r="K66" s="186">
        <v>104.69775</v>
      </c>
      <c r="L66" s="186">
        <v>99.546770000000009</v>
      </c>
      <c r="M66" s="186">
        <v>103.01237</v>
      </c>
      <c r="N66" s="186">
        <v>105.2804</v>
      </c>
      <c r="O66" s="187">
        <v>122.1101</v>
      </c>
      <c r="P66" s="188">
        <v>1411.7343000000001</v>
      </c>
    </row>
    <row r="67" spans="1:16" s="113" customFormat="1" ht="16.5" customHeight="1">
      <c r="B67" s="590" t="s">
        <v>71</v>
      </c>
      <c r="C67" s="191" t="s">
        <v>30</v>
      </c>
      <c r="D67" s="192">
        <v>24.040649999999999</v>
      </c>
      <c r="E67" s="193">
        <v>23.511559999999999</v>
      </c>
      <c r="F67" s="193">
        <v>39.08464</v>
      </c>
      <c r="G67" s="193">
        <v>30.44361</v>
      </c>
      <c r="H67" s="193">
        <v>28.101019999999998</v>
      </c>
      <c r="I67" s="193">
        <v>54.72495</v>
      </c>
      <c r="J67" s="194">
        <v>23.499110000000002</v>
      </c>
      <c r="K67" s="195">
        <v>23.747810000000001</v>
      </c>
      <c r="L67" s="193">
        <v>21.21152</v>
      </c>
      <c r="M67" s="193">
        <v>32.123640000000002</v>
      </c>
      <c r="N67" s="193">
        <v>24.2606</v>
      </c>
      <c r="O67" s="196">
        <v>29.096350000000001</v>
      </c>
      <c r="P67" s="197">
        <v>353.84546000000012</v>
      </c>
    </row>
    <row r="68" spans="1:16" s="113" customFormat="1" ht="16.5" customHeight="1">
      <c r="B68" s="591"/>
      <c r="C68" s="198" t="s">
        <v>31</v>
      </c>
      <c r="D68" s="199">
        <v>28.96733</v>
      </c>
      <c r="E68" s="200">
        <v>33.085880000000003</v>
      </c>
      <c r="F68" s="200">
        <v>30.833760000000002</v>
      </c>
      <c r="G68" s="200">
        <v>26.25301</v>
      </c>
      <c r="H68" s="200">
        <v>22.896139999999999</v>
      </c>
      <c r="I68" s="200">
        <v>25.412369999999999</v>
      </c>
      <c r="J68" s="201">
        <v>24.670660000000002</v>
      </c>
      <c r="K68" s="202">
        <v>26.552969999999998</v>
      </c>
      <c r="L68" s="200">
        <v>24.539680000000001</v>
      </c>
      <c r="M68" s="200">
        <v>18.884910000000001</v>
      </c>
      <c r="N68" s="200">
        <v>21.092289999999998</v>
      </c>
      <c r="O68" s="203">
        <v>23.938099999999999</v>
      </c>
      <c r="P68" s="188">
        <v>307.12710000000004</v>
      </c>
    </row>
    <row r="69" spans="1:16" s="113" customFormat="1" ht="16.5" customHeight="1">
      <c r="B69" s="591"/>
      <c r="C69" s="198" t="s">
        <v>32</v>
      </c>
      <c r="D69" s="199">
        <v>51.451250000000002</v>
      </c>
      <c r="E69" s="200">
        <v>48.230820000000001</v>
      </c>
      <c r="F69" s="200">
        <v>71.418890000000005</v>
      </c>
      <c r="G69" s="200">
        <v>50.56185</v>
      </c>
      <c r="H69" s="200">
        <v>51.192360000000001</v>
      </c>
      <c r="I69" s="200">
        <v>64.834370000000007</v>
      </c>
      <c r="J69" s="201">
        <v>51.296729999999997</v>
      </c>
      <c r="K69" s="202">
        <v>46.067529999999998</v>
      </c>
      <c r="L69" s="200">
        <v>45.845260000000003</v>
      </c>
      <c r="M69" s="200">
        <v>43.195610000000002</v>
      </c>
      <c r="N69" s="200">
        <v>50.372599999999998</v>
      </c>
      <c r="O69" s="203">
        <v>59.3474</v>
      </c>
      <c r="P69" s="188">
        <v>633.81466999999998</v>
      </c>
    </row>
    <row r="70" spans="1:16" s="113" customFormat="1" ht="16.5" customHeight="1">
      <c r="B70" s="591"/>
      <c r="C70" s="198" t="s">
        <v>33</v>
      </c>
      <c r="D70" s="199">
        <v>0</v>
      </c>
      <c r="E70" s="200">
        <v>0</v>
      </c>
      <c r="F70" s="200">
        <v>0</v>
      </c>
      <c r="G70" s="200">
        <v>0</v>
      </c>
      <c r="H70" s="200">
        <v>0</v>
      </c>
      <c r="I70" s="200">
        <v>0</v>
      </c>
      <c r="J70" s="201">
        <v>0</v>
      </c>
      <c r="K70" s="202">
        <v>0</v>
      </c>
      <c r="L70" s="200">
        <v>0</v>
      </c>
      <c r="M70" s="200">
        <v>0</v>
      </c>
      <c r="N70" s="200">
        <v>0</v>
      </c>
      <c r="O70" s="203">
        <v>-4.2999999999999999E-4</v>
      </c>
      <c r="P70" s="188">
        <v>-4.2999999999999999E-4</v>
      </c>
    </row>
    <row r="71" spans="1:16" s="113" customFormat="1" ht="16.5" customHeight="1">
      <c r="B71" s="590" t="s">
        <v>72</v>
      </c>
      <c r="C71" s="204" t="s">
        <v>34</v>
      </c>
      <c r="D71" s="192">
        <v>8.0465199999999992</v>
      </c>
      <c r="E71" s="193">
        <v>7.9896399999999996</v>
      </c>
      <c r="F71" s="193">
        <v>9.1532099999999996</v>
      </c>
      <c r="G71" s="193">
        <v>9.8367599999999999</v>
      </c>
      <c r="H71" s="193">
        <v>8.6669699999999992</v>
      </c>
      <c r="I71" s="193">
        <v>10.18866</v>
      </c>
      <c r="J71" s="194">
        <v>11.36092</v>
      </c>
      <c r="K71" s="195">
        <v>7.8492100000000002</v>
      </c>
      <c r="L71" s="193">
        <v>7.4930700000000003</v>
      </c>
      <c r="M71" s="193">
        <v>8.3204499999999992</v>
      </c>
      <c r="N71" s="193">
        <v>8.9391200000000008</v>
      </c>
      <c r="O71" s="196">
        <v>9.2657100000000003</v>
      </c>
      <c r="P71" s="197">
        <v>107.11023999999999</v>
      </c>
    </row>
    <row r="72" spans="1:16" s="113" customFormat="1" ht="16.5" customHeight="1">
      <c r="B72" s="591"/>
      <c r="C72" s="205" t="s">
        <v>72</v>
      </c>
      <c r="D72" s="199">
        <v>0.26512999999999998</v>
      </c>
      <c r="E72" s="200">
        <v>0.30171999999999999</v>
      </c>
      <c r="F72" s="200">
        <v>0.29337000000000002</v>
      </c>
      <c r="G72" s="200">
        <v>0.17874999999999999</v>
      </c>
      <c r="H72" s="200">
        <v>0.1588</v>
      </c>
      <c r="I72" s="200">
        <v>0.1217</v>
      </c>
      <c r="J72" s="201">
        <v>0.65044999999999997</v>
      </c>
      <c r="K72" s="202">
        <v>3.7960000000000001E-2</v>
      </c>
      <c r="L72" s="200">
        <v>8.2699999999999996E-2</v>
      </c>
      <c r="M72" s="200">
        <v>6.0319999999999999E-2</v>
      </c>
      <c r="N72" s="200">
        <v>0.14369999999999999</v>
      </c>
      <c r="O72" s="203">
        <v>8.5199999999999998E-3</v>
      </c>
      <c r="P72" s="188">
        <v>2.3031199999999998</v>
      </c>
    </row>
    <row r="73" spans="1:16" s="113" customFormat="1" ht="16.5" customHeight="1">
      <c r="B73" s="592"/>
      <c r="C73" s="206" t="s">
        <v>73</v>
      </c>
      <c r="D73" s="199">
        <v>1.0460700000000001</v>
      </c>
      <c r="E73" s="200">
        <v>0.91930000000000001</v>
      </c>
      <c r="F73" s="200">
        <v>0.92315999999999998</v>
      </c>
      <c r="G73" s="200">
        <v>0.76563000000000003</v>
      </c>
      <c r="H73" s="200">
        <v>0.54364000000000001</v>
      </c>
      <c r="I73" s="200">
        <v>0.65754000000000001</v>
      </c>
      <c r="J73" s="201">
        <v>0.50800999999999996</v>
      </c>
      <c r="K73" s="202">
        <v>0.44227</v>
      </c>
      <c r="L73" s="200">
        <v>0.37453999999999998</v>
      </c>
      <c r="M73" s="200">
        <v>0.42743999999999999</v>
      </c>
      <c r="N73" s="200">
        <v>0.47209000000000001</v>
      </c>
      <c r="O73" s="203">
        <v>0.45445000000000002</v>
      </c>
      <c r="P73" s="188">
        <v>7.5341399999999989</v>
      </c>
    </row>
    <row r="74" spans="1:16" s="113" customFormat="1" ht="16.5" customHeight="1">
      <c r="B74" s="208"/>
      <c r="C74" s="209" t="s">
        <v>74</v>
      </c>
      <c r="D74" s="210">
        <v>249813</v>
      </c>
      <c r="E74" s="211">
        <v>260338</v>
      </c>
      <c r="F74" s="212">
        <v>315332</v>
      </c>
      <c r="G74" s="213">
        <v>249350</v>
      </c>
      <c r="H74" s="214">
        <v>232464</v>
      </c>
      <c r="I74" s="213">
        <v>369375</v>
      </c>
      <c r="J74" s="213">
        <v>216625</v>
      </c>
      <c r="K74" s="213">
        <v>215378</v>
      </c>
      <c r="L74" s="213">
        <v>200173</v>
      </c>
      <c r="M74" s="213">
        <v>212306</v>
      </c>
      <c r="N74" s="213">
        <v>211803</v>
      </c>
      <c r="O74" s="215">
        <v>243683</v>
      </c>
      <c r="P74" s="216">
        <v>2976640</v>
      </c>
    </row>
    <row r="75" spans="1:16" s="113" customFormat="1" ht="16.5" customHeight="1">
      <c r="B75" s="495"/>
      <c r="C75" s="217" t="s">
        <v>75</v>
      </c>
      <c r="D75" s="218">
        <v>5.24641</v>
      </c>
      <c r="E75" s="219">
        <v>4.8155299999999999</v>
      </c>
      <c r="F75" s="220">
        <v>9.7604199999999999</v>
      </c>
      <c r="G75" s="221">
        <v>4.43377</v>
      </c>
      <c r="H75" s="222">
        <v>8.6484199999999998</v>
      </c>
      <c r="I75" s="221">
        <v>9.8004200000000008</v>
      </c>
      <c r="J75" s="221">
        <v>6.0696000000000003</v>
      </c>
      <c r="K75" s="221">
        <v>5.8212999999999999</v>
      </c>
      <c r="L75" s="221">
        <v>7.0704500000000001</v>
      </c>
      <c r="M75" s="221">
        <v>6.1709899999999998</v>
      </c>
      <c r="N75" s="221">
        <v>2.99648</v>
      </c>
      <c r="O75" s="223">
        <v>2.5035799999999999</v>
      </c>
      <c r="P75" s="224">
        <v>73.337370000000007</v>
      </c>
    </row>
    <row r="76" spans="1:16" s="113" customFormat="1" ht="16.5" customHeight="1">
      <c r="B76" s="225"/>
      <c r="C76" s="226" t="s">
        <v>76</v>
      </c>
      <c r="D76" s="192">
        <v>0</v>
      </c>
      <c r="E76" s="193">
        <v>0</v>
      </c>
      <c r="F76" s="227">
        <v>-0.06</v>
      </c>
      <c r="G76" s="228">
        <v>0</v>
      </c>
      <c r="H76" s="229">
        <v>0</v>
      </c>
      <c r="I76" s="228">
        <v>0</v>
      </c>
      <c r="J76" s="228">
        <v>0</v>
      </c>
      <c r="K76" s="228">
        <v>0</v>
      </c>
      <c r="L76" s="228">
        <v>0</v>
      </c>
      <c r="M76" s="228">
        <v>0</v>
      </c>
      <c r="N76" s="228">
        <v>0</v>
      </c>
      <c r="O76" s="230">
        <v>0</v>
      </c>
      <c r="P76" s="231">
        <v>-0.06</v>
      </c>
    </row>
    <row r="77" spans="1:16" s="113" customFormat="1" ht="16.5" customHeight="1">
      <c r="B77" s="494"/>
      <c r="C77" s="180" t="s">
        <v>77</v>
      </c>
      <c r="D77" s="232">
        <v>119.06337000000001</v>
      </c>
      <c r="E77" s="233">
        <v>118.85454</v>
      </c>
      <c r="F77" s="234">
        <v>161.40762000000001</v>
      </c>
      <c r="G77" s="235">
        <v>122.47338999999999</v>
      </c>
      <c r="H77" s="236">
        <v>120.20734</v>
      </c>
      <c r="I77" s="234">
        <v>165.74001000000001</v>
      </c>
      <c r="J77" s="234">
        <v>118.05549000000001</v>
      </c>
      <c r="K77" s="234">
        <v>110.51906</v>
      </c>
      <c r="L77" s="234">
        <v>106.61723000000001</v>
      </c>
      <c r="M77" s="234">
        <v>109.18337</v>
      </c>
      <c r="N77" s="234">
        <v>108.27687</v>
      </c>
      <c r="O77" s="237">
        <v>124.61368</v>
      </c>
      <c r="P77" s="238">
        <v>1485.0119699999998</v>
      </c>
    </row>
    <row r="78" spans="1:16" s="113" customFormat="1" ht="16.149999999999999" customHeight="1">
      <c r="B78" s="252"/>
      <c r="C78" s="253"/>
      <c r="D78" s="248"/>
      <c r="E78" s="249"/>
      <c r="F78" s="250"/>
      <c r="G78" s="250"/>
      <c r="H78" s="251"/>
      <c r="I78" s="250"/>
      <c r="J78" s="250"/>
      <c r="K78" s="250"/>
      <c r="L78" s="250"/>
      <c r="M78" s="250"/>
      <c r="N78" s="250"/>
      <c r="O78" s="248"/>
      <c r="P78" s="250"/>
    </row>
    <row r="79" spans="1:16" s="113" customFormat="1" ht="18.600000000000001" customHeight="1">
      <c r="B79" s="114"/>
      <c r="C79" s="115"/>
      <c r="D79" s="115"/>
      <c r="E79" s="115"/>
      <c r="F79" s="115"/>
      <c r="G79" s="115"/>
      <c r="H79" s="115"/>
      <c r="L79" s="116"/>
      <c r="M79" s="116"/>
      <c r="N79" s="116"/>
      <c r="P79" s="178"/>
    </row>
    <row r="80" spans="1:16">
      <c r="A80" s="179"/>
      <c r="B80" s="586" t="s">
        <v>65</v>
      </c>
      <c r="C80" s="587"/>
      <c r="D80" s="180" t="s">
        <v>66</v>
      </c>
      <c r="E80" s="181" t="s">
        <v>67</v>
      </c>
      <c r="F80" s="181" t="s">
        <v>68</v>
      </c>
      <c r="G80" s="181" t="s">
        <v>21</v>
      </c>
      <c r="H80" s="181" t="s">
        <v>22</v>
      </c>
      <c r="I80" s="181" t="s">
        <v>23</v>
      </c>
      <c r="J80" s="181" t="s">
        <v>24</v>
      </c>
      <c r="K80" s="181" t="s">
        <v>25</v>
      </c>
      <c r="L80" s="181" t="s">
        <v>26</v>
      </c>
      <c r="M80" s="181" t="s">
        <v>27</v>
      </c>
      <c r="N80" s="181" t="s">
        <v>28</v>
      </c>
      <c r="O80" s="182" t="s">
        <v>29</v>
      </c>
      <c r="P80" s="183" t="s">
        <v>69</v>
      </c>
    </row>
    <row r="81" spans="1:19">
      <c r="A81" s="184"/>
      <c r="B81" s="588" t="s">
        <v>70</v>
      </c>
      <c r="C81" s="589"/>
      <c r="D81" s="185">
        <v>110.69072000000001</v>
      </c>
      <c r="E81" s="186">
        <v>99.087479999999999</v>
      </c>
      <c r="F81" s="186">
        <v>131.16987999999998</v>
      </c>
      <c r="G81" s="186">
        <v>104.52764999999999</v>
      </c>
      <c r="H81" s="186">
        <v>104.63909</v>
      </c>
      <c r="I81" s="186">
        <v>113.43462</v>
      </c>
      <c r="J81" s="186">
        <v>114.56</v>
      </c>
      <c r="K81" s="186">
        <v>103.25999999999998</v>
      </c>
      <c r="L81" s="186">
        <v>107.25</v>
      </c>
      <c r="M81" s="186">
        <v>107.52200000000002</v>
      </c>
      <c r="N81" s="186">
        <v>118.43519999999998</v>
      </c>
      <c r="O81" s="187">
        <v>145.17000000000002</v>
      </c>
      <c r="P81" s="188">
        <v>1359.7466399999998</v>
      </c>
      <c r="Q81" s="189"/>
      <c r="R81" s="189"/>
    </row>
    <row r="82" spans="1:19">
      <c r="A82" s="190"/>
      <c r="B82" s="590" t="s">
        <v>71</v>
      </c>
      <c r="C82" s="191" t="s">
        <v>30</v>
      </c>
      <c r="D82" s="192">
        <v>20.57498</v>
      </c>
      <c r="E82" s="193">
        <v>19.48452</v>
      </c>
      <c r="F82" s="193">
        <v>27.027380000000001</v>
      </c>
      <c r="G82" s="193">
        <v>12.485250000000001</v>
      </c>
      <c r="H82" s="193">
        <v>13.108359999999999</v>
      </c>
      <c r="I82" s="193">
        <v>16.549209999999999</v>
      </c>
      <c r="J82" s="194">
        <v>17.04</v>
      </c>
      <c r="K82" s="195">
        <v>15.23</v>
      </c>
      <c r="L82" s="193">
        <v>16.989999999999998</v>
      </c>
      <c r="M82" s="193">
        <v>24.52</v>
      </c>
      <c r="N82" s="193">
        <v>26.997</v>
      </c>
      <c r="O82" s="196">
        <v>42.44</v>
      </c>
      <c r="P82" s="197">
        <v>252.44670000000002</v>
      </c>
      <c r="Q82" s="189"/>
      <c r="R82" s="189"/>
    </row>
    <row r="83" spans="1:19">
      <c r="A83" s="190"/>
      <c r="B83" s="591"/>
      <c r="C83" s="198" t="s">
        <v>31</v>
      </c>
      <c r="D83" s="199">
        <v>22.787680000000002</v>
      </c>
      <c r="E83" s="200">
        <v>24.430879999999998</v>
      </c>
      <c r="F83" s="200">
        <v>28.685300000000002</v>
      </c>
      <c r="G83" s="200">
        <v>52.653869999999998</v>
      </c>
      <c r="H83" s="200">
        <v>46.143790000000003</v>
      </c>
      <c r="I83" s="200">
        <v>42.775469999999999</v>
      </c>
      <c r="J83" s="201">
        <v>38.83</v>
      </c>
      <c r="K83" s="202">
        <v>27.85</v>
      </c>
      <c r="L83" s="200">
        <v>28.94</v>
      </c>
      <c r="M83" s="200">
        <v>25.46</v>
      </c>
      <c r="N83" s="200">
        <v>26.732800000000001</v>
      </c>
      <c r="O83" s="203">
        <v>28.13</v>
      </c>
      <c r="P83" s="188">
        <v>393.41978999999998</v>
      </c>
      <c r="Q83" s="189"/>
      <c r="R83" s="189"/>
    </row>
    <row r="84" spans="1:19">
      <c r="A84" s="190"/>
      <c r="B84" s="591"/>
      <c r="C84" s="198" t="s">
        <v>32</v>
      </c>
      <c r="D84" s="199">
        <v>55.919400000000003</v>
      </c>
      <c r="E84" s="200">
        <v>44.261400000000002</v>
      </c>
      <c r="F84" s="200">
        <v>61.509390000000003</v>
      </c>
      <c r="G84" s="200">
        <v>30.600639999999999</v>
      </c>
      <c r="H84" s="200">
        <v>35.463270000000001</v>
      </c>
      <c r="I84" s="200">
        <v>43.681269999999998</v>
      </c>
      <c r="J84" s="201">
        <v>47.73</v>
      </c>
      <c r="K84" s="202">
        <v>50.68</v>
      </c>
      <c r="L84" s="200">
        <v>51.6</v>
      </c>
      <c r="M84" s="200">
        <v>48.04</v>
      </c>
      <c r="N84" s="200">
        <v>54.739899999999999</v>
      </c>
      <c r="O84" s="203">
        <v>64.3</v>
      </c>
      <c r="P84" s="188">
        <v>588.52526999999998</v>
      </c>
      <c r="Q84" s="189"/>
    </row>
    <row r="85" spans="1:19">
      <c r="A85" s="190"/>
      <c r="B85" s="591"/>
      <c r="C85" s="198" t="s">
        <v>33</v>
      </c>
      <c r="D85" s="199">
        <v>-1.73E-3</v>
      </c>
      <c r="E85" s="200">
        <v>-5.1200000000000004E-3</v>
      </c>
      <c r="F85" s="200">
        <v>0</v>
      </c>
      <c r="G85" s="200">
        <v>0</v>
      </c>
      <c r="H85" s="200">
        <v>0</v>
      </c>
      <c r="I85" s="200">
        <v>0</v>
      </c>
      <c r="J85" s="201">
        <v>0</v>
      </c>
      <c r="K85" s="202">
        <v>0</v>
      </c>
      <c r="L85" s="200">
        <v>0</v>
      </c>
      <c r="M85" s="200">
        <v>0</v>
      </c>
      <c r="N85" s="200">
        <v>0</v>
      </c>
      <c r="O85" s="203">
        <v>0</v>
      </c>
      <c r="P85" s="188">
        <v>-6.8500000000000002E-3</v>
      </c>
      <c r="Q85" s="189"/>
    </row>
    <row r="86" spans="1:19">
      <c r="A86" s="190"/>
      <c r="B86" s="590" t="s">
        <v>72</v>
      </c>
      <c r="C86" s="204" t="s">
        <v>34</v>
      </c>
      <c r="D86" s="192">
        <v>9.6843500000000002</v>
      </c>
      <c r="E86" s="193">
        <v>9.7121300000000002</v>
      </c>
      <c r="F86" s="193">
        <v>12.549569999999999</v>
      </c>
      <c r="G86" s="193">
        <v>7.8381499999999997</v>
      </c>
      <c r="H86" s="193">
        <v>9.0767100000000003</v>
      </c>
      <c r="I86" s="193">
        <v>9.2225999999999999</v>
      </c>
      <c r="J86" s="194">
        <v>10.11</v>
      </c>
      <c r="K86" s="195">
        <v>8.6</v>
      </c>
      <c r="L86" s="193">
        <v>8.7200000000000006</v>
      </c>
      <c r="M86" s="193">
        <v>8.9</v>
      </c>
      <c r="N86" s="193">
        <v>9.2867999999999995</v>
      </c>
      <c r="O86" s="196">
        <v>9.4</v>
      </c>
      <c r="P86" s="197">
        <v>113.10031000000001</v>
      </c>
      <c r="Q86" s="189"/>
    </row>
    <row r="87" spans="1:19">
      <c r="A87" s="190"/>
      <c r="B87" s="591"/>
      <c r="C87" s="205" t="s">
        <v>72</v>
      </c>
      <c r="D87" s="199">
        <v>0.76600000000000001</v>
      </c>
      <c r="E87" s="200">
        <v>0.22969000000000001</v>
      </c>
      <c r="F87" s="200">
        <v>0.65195000000000003</v>
      </c>
      <c r="G87" s="200">
        <v>0.38790999999999998</v>
      </c>
      <c r="H87" s="200">
        <v>0.23852999999999999</v>
      </c>
      <c r="I87" s="200">
        <v>0.63234999999999997</v>
      </c>
      <c r="J87" s="201">
        <v>0.28999999999999998</v>
      </c>
      <c r="K87" s="202">
        <v>0.41</v>
      </c>
      <c r="L87" s="200">
        <v>0.64</v>
      </c>
      <c r="M87" s="200">
        <v>0.182</v>
      </c>
      <c r="N87" s="200">
        <v>0.32400000000000001</v>
      </c>
      <c r="O87" s="203">
        <v>0.3</v>
      </c>
      <c r="P87" s="188">
        <v>5.0524299999999993</v>
      </c>
      <c r="Q87" s="189"/>
    </row>
    <row r="88" spans="1:19">
      <c r="A88" s="190"/>
      <c r="B88" s="592"/>
      <c r="C88" s="206" t="s">
        <v>73</v>
      </c>
      <c r="D88" s="199">
        <v>0.96004</v>
      </c>
      <c r="E88" s="200">
        <v>0.97397999999999996</v>
      </c>
      <c r="F88" s="200">
        <v>0.74629000000000001</v>
      </c>
      <c r="G88" s="200">
        <v>0.56183000000000005</v>
      </c>
      <c r="H88" s="200">
        <v>0.60843000000000003</v>
      </c>
      <c r="I88" s="200">
        <v>0.57372000000000001</v>
      </c>
      <c r="J88" s="201">
        <v>0.56000000000000005</v>
      </c>
      <c r="K88" s="202">
        <v>0.49</v>
      </c>
      <c r="L88" s="200">
        <v>0.36</v>
      </c>
      <c r="M88" s="200">
        <v>0.42</v>
      </c>
      <c r="N88" s="200">
        <v>0.35470000000000002</v>
      </c>
      <c r="O88" s="203">
        <v>0.6</v>
      </c>
      <c r="P88" s="188">
        <v>7.20899</v>
      </c>
      <c r="Q88" s="189"/>
    </row>
    <row r="89" spans="1:19">
      <c r="A89" s="207"/>
      <c r="B89" s="208"/>
      <c r="C89" s="209" t="s">
        <v>74</v>
      </c>
      <c r="D89" s="210">
        <v>218303</v>
      </c>
      <c r="E89" s="211">
        <v>211812</v>
      </c>
      <c r="F89" s="212">
        <v>264750</v>
      </c>
      <c r="G89" s="213">
        <v>317728</v>
      </c>
      <c r="H89" s="214">
        <v>293531</v>
      </c>
      <c r="I89" s="213">
        <v>287971</v>
      </c>
      <c r="J89" s="213">
        <v>273579</v>
      </c>
      <c r="K89" s="213">
        <v>233727</v>
      </c>
      <c r="L89" s="213">
        <v>239588</v>
      </c>
      <c r="M89" s="213">
        <v>229576</v>
      </c>
      <c r="N89" s="213">
        <v>246011</v>
      </c>
      <c r="O89" s="215">
        <v>298331</v>
      </c>
      <c r="P89" s="216">
        <v>3114907</v>
      </c>
      <c r="Q89" s="189"/>
      <c r="S89" s="189"/>
    </row>
    <row r="90" spans="1:19">
      <c r="A90" s="207"/>
      <c r="B90" s="495"/>
      <c r="C90" s="217" t="s">
        <v>75</v>
      </c>
      <c r="D90" s="218">
        <v>3.5854699999999999</v>
      </c>
      <c r="E90" s="219">
        <v>2.7174</v>
      </c>
      <c r="F90" s="220">
        <v>3.0941000000000001</v>
      </c>
      <c r="G90" s="221">
        <v>3.8239999999999998</v>
      </c>
      <c r="H90" s="222">
        <v>6.3456099999999998</v>
      </c>
      <c r="I90" s="221">
        <v>16.19998</v>
      </c>
      <c r="J90" s="221">
        <v>4.1399999999999997</v>
      </c>
      <c r="K90" s="221">
        <v>3.66</v>
      </c>
      <c r="L90" s="221">
        <v>6.34</v>
      </c>
      <c r="M90" s="221">
        <v>4.93</v>
      </c>
      <c r="N90" s="221">
        <v>7.3</v>
      </c>
      <c r="O90" s="223">
        <v>3.81</v>
      </c>
      <c r="P90" s="224">
        <v>65.946559999999991</v>
      </c>
      <c r="Q90" s="189"/>
      <c r="S90" s="189"/>
    </row>
    <row r="91" spans="1:19">
      <c r="A91" s="179"/>
      <c r="B91" s="225"/>
      <c r="C91" s="226" t="s">
        <v>76</v>
      </c>
      <c r="D91" s="192">
        <v>3.4558</v>
      </c>
      <c r="E91" s="193">
        <v>0</v>
      </c>
      <c r="F91" s="227">
        <v>0</v>
      </c>
      <c r="G91" s="228">
        <v>0</v>
      </c>
      <c r="H91" s="229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30">
        <v>0</v>
      </c>
      <c r="P91" s="231">
        <v>3.4558</v>
      </c>
      <c r="Q91" s="189"/>
      <c r="S91" s="189"/>
    </row>
    <row r="92" spans="1:19">
      <c r="A92" s="179"/>
      <c r="B92" s="494"/>
      <c r="C92" s="180" t="s">
        <v>77</v>
      </c>
      <c r="D92" s="232">
        <v>114.27619</v>
      </c>
      <c r="E92" s="233">
        <v>101.80488</v>
      </c>
      <c r="F92" s="234">
        <v>134.26398</v>
      </c>
      <c r="G92" s="235">
        <v>108.35164</v>
      </c>
      <c r="H92" s="236">
        <v>110.98471000000001</v>
      </c>
      <c r="I92" s="234">
        <v>129.63459</v>
      </c>
      <c r="J92" s="234">
        <v>118.7</v>
      </c>
      <c r="K92" s="234">
        <v>106.91</v>
      </c>
      <c r="L92" s="234">
        <v>113.58</v>
      </c>
      <c r="M92" s="234">
        <v>112.47</v>
      </c>
      <c r="N92" s="234">
        <v>119.05</v>
      </c>
      <c r="O92" s="237">
        <v>145.86000000000001</v>
      </c>
      <c r="P92" s="238">
        <v>1415.8859899999998</v>
      </c>
      <c r="Q92" s="189"/>
    </row>
    <row r="93" spans="1:19">
      <c r="A93" s="179"/>
      <c r="B93" s="239"/>
      <c r="C93" s="239"/>
      <c r="D93" s="239"/>
      <c r="E93" s="239"/>
      <c r="F93" s="239"/>
      <c r="G93" s="239"/>
      <c r="H93" s="239"/>
      <c r="I93" s="239"/>
      <c r="J93" s="240"/>
      <c r="K93" s="239"/>
      <c r="L93" s="239"/>
      <c r="M93" s="239"/>
      <c r="N93" s="239"/>
      <c r="O93" s="239"/>
      <c r="P93" s="241"/>
    </row>
    <row r="94" spans="1:19" s="113" customFormat="1" ht="16.5" customHeight="1">
      <c r="B94" s="114"/>
      <c r="C94" s="115"/>
      <c r="D94" s="115"/>
      <c r="E94" s="115"/>
      <c r="F94" s="115"/>
      <c r="G94" s="115"/>
      <c r="H94" s="115"/>
      <c r="L94" s="116"/>
      <c r="M94" s="116"/>
      <c r="N94" s="116"/>
    </row>
    <row r="95" spans="1:19">
      <c r="A95" s="179"/>
      <c r="B95" s="586" t="s">
        <v>78</v>
      </c>
      <c r="C95" s="587"/>
      <c r="D95" s="180" t="s">
        <v>66</v>
      </c>
      <c r="E95" s="181" t="s">
        <v>67</v>
      </c>
      <c r="F95" s="181" t="s">
        <v>68</v>
      </c>
      <c r="G95" s="181" t="s">
        <v>21</v>
      </c>
      <c r="H95" s="181" t="s">
        <v>22</v>
      </c>
      <c r="I95" s="181" t="s">
        <v>23</v>
      </c>
      <c r="J95" s="181" t="s">
        <v>24</v>
      </c>
      <c r="K95" s="181" t="s">
        <v>25</v>
      </c>
      <c r="L95" s="181" t="s">
        <v>26</v>
      </c>
      <c r="M95" s="181" t="s">
        <v>27</v>
      </c>
      <c r="N95" s="181" t="s">
        <v>28</v>
      </c>
      <c r="O95" s="182" t="s">
        <v>29</v>
      </c>
      <c r="P95" s="183" t="s">
        <v>69</v>
      </c>
    </row>
    <row r="96" spans="1:19">
      <c r="A96" s="184"/>
      <c r="B96" s="588" t="s">
        <v>70</v>
      </c>
      <c r="C96" s="589"/>
      <c r="D96" s="185">
        <v>93.719800000000006</v>
      </c>
      <c r="E96" s="186">
        <v>89.520129999999995</v>
      </c>
      <c r="F96" s="186">
        <v>141.84871000000001</v>
      </c>
      <c r="G96" s="186">
        <v>104.16075000000001</v>
      </c>
      <c r="H96" s="186">
        <v>103.54749000000001</v>
      </c>
      <c r="I96" s="186">
        <v>101.0214</v>
      </c>
      <c r="J96" s="186">
        <v>109.60545</v>
      </c>
      <c r="K96" s="186">
        <v>108.59913999999999</v>
      </c>
      <c r="L96" s="186">
        <v>105.38164</v>
      </c>
      <c r="M96" s="186">
        <v>110.29324</v>
      </c>
      <c r="N96" s="186">
        <v>109.12934999999999</v>
      </c>
      <c r="O96" s="187">
        <v>121.72566999999999</v>
      </c>
      <c r="P96" s="188">
        <v>1298.55277</v>
      </c>
      <c r="Q96" s="189"/>
      <c r="R96" s="189"/>
    </row>
    <row r="97" spans="1:19">
      <c r="A97" s="190"/>
      <c r="B97" s="590" t="s">
        <v>71</v>
      </c>
      <c r="C97" s="191" t="s">
        <v>30</v>
      </c>
      <c r="D97" s="192">
        <v>23.787569999999999</v>
      </c>
      <c r="E97" s="193">
        <v>24.469259999999998</v>
      </c>
      <c r="F97" s="193">
        <v>42.328229999999998</v>
      </c>
      <c r="G97" s="193">
        <v>22.962219999999999</v>
      </c>
      <c r="H97" s="193">
        <v>23.894850000000002</v>
      </c>
      <c r="I97" s="193">
        <v>22.472999999999999</v>
      </c>
      <c r="J97" s="194">
        <v>21.811330000000002</v>
      </c>
      <c r="K97" s="195">
        <v>21.56748</v>
      </c>
      <c r="L97" s="193">
        <v>20.37021</v>
      </c>
      <c r="M97" s="193">
        <v>21.382100000000001</v>
      </c>
      <c r="N97" s="193">
        <v>21.556799999999999</v>
      </c>
      <c r="O97" s="196">
        <v>27.522629999999999</v>
      </c>
      <c r="P97" s="197">
        <v>294.12567999999993</v>
      </c>
      <c r="Q97" s="189"/>
      <c r="R97" s="189"/>
    </row>
    <row r="98" spans="1:19">
      <c r="A98" s="190"/>
      <c r="B98" s="591"/>
      <c r="C98" s="198" t="s">
        <v>31</v>
      </c>
      <c r="D98" s="199">
        <v>16.124310000000001</v>
      </c>
      <c r="E98" s="200">
        <v>13.883660000000001</v>
      </c>
      <c r="F98" s="200">
        <v>18.44922</v>
      </c>
      <c r="G98" s="200">
        <v>16.417860000000001</v>
      </c>
      <c r="H98" s="200">
        <v>16.836110000000001</v>
      </c>
      <c r="I98" s="200">
        <v>16.421130000000002</v>
      </c>
      <c r="J98" s="201">
        <v>17.051179999999999</v>
      </c>
      <c r="K98" s="202">
        <v>20.69059</v>
      </c>
      <c r="L98" s="200">
        <v>21.275759999999998</v>
      </c>
      <c r="M98" s="200">
        <v>22.930579999999999</v>
      </c>
      <c r="N98" s="200">
        <v>22.36964</v>
      </c>
      <c r="O98" s="203">
        <v>23.421220000000002</v>
      </c>
      <c r="P98" s="188">
        <v>225.87126000000001</v>
      </c>
      <c r="Q98" s="189"/>
      <c r="R98" s="189"/>
    </row>
    <row r="99" spans="1:19">
      <c r="A99" s="190"/>
      <c r="B99" s="591"/>
      <c r="C99" s="198" t="s">
        <v>32</v>
      </c>
      <c r="D99" s="199">
        <v>40.123849999999997</v>
      </c>
      <c r="E99" s="200">
        <v>39.512979999999999</v>
      </c>
      <c r="F99" s="200">
        <v>68.482069999999993</v>
      </c>
      <c r="G99" s="200">
        <v>51.782080000000001</v>
      </c>
      <c r="H99" s="200">
        <v>50.969990000000003</v>
      </c>
      <c r="I99" s="200">
        <v>50.841999999999999</v>
      </c>
      <c r="J99" s="201">
        <v>59.706099999999999</v>
      </c>
      <c r="K99" s="202">
        <v>55.69258</v>
      </c>
      <c r="L99" s="200">
        <v>54.074390000000001</v>
      </c>
      <c r="M99" s="200">
        <v>54.575899999999997</v>
      </c>
      <c r="N99" s="200">
        <v>53.960520000000002</v>
      </c>
      <c r="O99" s="203">
        <v>60.629530000000003</v>
      </c>
      <c r="P99" s="188">
        <v>640.35199</v>
      </c>
      <c r="Q99" s="189"/>
    </row>
    <row r="100" spans="1:19">
      <c r="A100" s="190"/>
      <c r="B100" s="591"/>
      <c r="C100" s="198" t="s">
        <v>33</v>
      </c>
      <c r="D100" s="199">
        <v>-8.3000000000000001E-4</v>
      </c>
      <c r="E100" s="200">
        <v>0</v>
      </c>
      <c r="F100" s="200">
        <v>-1.8500000000000001E-3</v>
      </c>
      <c r="G100" s="200">
        <v>0</v>
      </c>
      <c r="H100" s="200">
        <v>-3.3899999999999998E-3</v>
      </c>
      <c r="I100" s="200">
        <v>-1.3500000000000001E-3</v>
      </c>
      <c r="J100" s="201">
        <v>-2.8300000000000001E-3</v>
      </c>
      <c r="K100" s="202">
        <v>0</v>
      </c>
      <c r="L100" s="200">
        <v>-1.75E-3</v>
      </c>
      <c r="M100" s="200">
        <v>0</v>
      </c>
      <c r="N100" s="200">
        <v>0</v>
      </c>
      <c r="O100" s="203">
        <v>0</v>
      </c>
      <c r="P100" s="188">
        <v>-1.1999999999999999E-2</v>
      </c>
      <c r="Q100" s="189"/>
    </row>
    <row r="101" spans="1:19">
      <c r="A101" s="190"/>
      <c r="B101" s="590" t="s">
        <v>72</v>
      </c>
      <c r="C101" s="204" t="s">
        <v>34</v>
      </c>
      <c r="D101" s="192">
        <v>10.96039</v>
      </c>
      <c r="E101" s="193">
        <v>9.3729499999999994</v>
      </c>
      <c r="F101" s="193">
        <v>10.208690000000001</v>
      </c>
      <c r="G101" s="193">
        <v>11.619109999999999</v>
      </c>
      <c r="H101" s="193">
        <v>10.476330000000001</v>
      </c>
      <c r="I101" s="193">
        <v>10.07521</v>
      </c>
      <c r="J101" s="194">
        <v>9.9531799999999997</v>
      </c>
      <c r="K101" s="195">
        <v>9.54922</v>
      </c>
      <c r="L101" s="193">
        <v>8.6536500000000007</v>
      </c>
      <c r="M101" s="193">
        <v>10.52454</v>
      </c>
      <c r="N101" s="193">
        <v>10.66236</v>
      </c>
      <c r="O101" s="196">
        <v>9.6822099999999995</v>
      </c>
      <c r="P101" s="197">
        <v>121.73784000000001</v>
      </c>
      <c r="Q101" s="189"/>
    </row>
    <row r="102" spans="1:19">
      <c r="A102" s="190"/>
      <c r="B102" s="591"/>
      <c r="C102" s="205" t="s">
        <v>72</v>
      </c>
      <c r="D102" s="199">
        <v>1.52685</v>
      </c>
      <c r="E102" s="200">
        <v>1.1858299999999999</v>
      </c>
      <c r="F102" s="200">
        <v>1.30911</v>
      </c>
      <c r="G102" s="200">
        <v>0.58016000000000001</v>
      </c>
      <c r="H102" s="200">
        <v>0.64231000000000005</v>
      </c>
      <c r="I102" s="200">
        <v>0.58477999999999997</v>
      </c>
      <c r="J102" s="201">
        <v>0.55664000000000002</v>
      </c>
      <c r="K102" s="202">
        <v>0.52129999999999999</v>
      </c>
      <c r="L102" s="200">
        <v>0.63129000000000002</v>
      </c>
      <c r="M102" s="200">
        <v>0.46975</v>
      </c>
      <c r="N102" s="200">
        <v>0.15193999999999999</v>
      </c>
      <c r="O102" s="203">
        <v>-4.6100000000000004E-3</v>
      </c>
      <c r="P102" s="188">
        <v>8.1553500000000003</v>
      </c>
      <c r="Q102" s="189"/>
    </row>
    <row r="103" spans="1:19">
      <c r="A103" s="190"/>
      <c r="B103" s="592"/>
      <c r="C103" s="206" t="s">
        <v>73</v>
      </c>
      <c r="D103" s="199">
        <v>1.1976599999999999</v>
      </c>
      <c r="E103" s="200">
        <v>1.09545</v>
      </c>
      <c r="F103" s="200">
        <v>1.07324</v>
      </c>
      <c r="G103" s="200">
        <v>0.79932000000000003</v>
      </c>
      <c r="H103" s="200">
        <v>0.73129</v>
      </c>
      <c r="I103" s="200">
        <v>0.62663000000000002</v>
      </c>
      <c r="J103" s="201">
        <v>0.52985000000000004</v>
      </c>
      <c r="K103" s="202">
        <v>0.57796999999999998</v>
      </c>
      <c r="L103" s="200">
        <v>0.37808999999999998</v>
      </c>
      <c r="M103" s="200">
        <v>0.41037000000000001</v>
      </c>
      <c r="N103" s="200">
        <v>0.42809000000000003</v>
      </c>
      <c r="O103" s="203">
        <v>0.47469</v>
      </c>
      <c r="P103" s="188">
        <v>8.3226500000000012</v>
      </c>
      <c r="Q103" s="189"/>
    </row>
    <row r="104" spans="1:19">
      <c r="A104" s="207"/>
      <c r="B104" s="208"/>
      <c r="C104" s="209" t="s">
        <v>74</v>
      </c>
      <c r="D104" s="210">
        <v>171746</v>
      </c>
      <c r="E104" s="211">
        <v>158483</v>
      </c>
      <c r="F104" s="212">
        <v>246042</v>
      </c>
      <c r="G104" s="213">
        <v>193508</v>
      </c>
      <c r="H104" s="214">
        <v>186069</v>
      </c>
      <c r="I104" s="213">
        <v>180460</v>
      </c>
      <c r="J104" s="213">
        <v>197919</v>
      </c>
      <c r="K104" s="213">
        <v>199597</v>
      </c>
      <c r="L104" s="213">
        <v>196433</v>
      </c>
      <c r="M104" s="213">
        <v>209523</v>
      </c>
      <c r="N104" s="213">
        <v>211089</v>
      </c>
      <c r="O104" s="215">
        <v>235874</v>
      </c>
      <c r="P104" s="216">
        <v>2386743</v>
      </c>
      <c r="Q104" s="189"/>
      <c r="S104" s="189"/>
    </row>
    <row r="105" spans="1:19">
      <c r="A105" s="207"/>
      <c r="B105" s="495"/>
      <c r="C105" s="217" t="s">
        <v>75</v>
      </c>
      <c r="D105" s="218">
        <v>16.217140000000001</v>
      </c>
      <c r="E105" s="219">
        <v>10.690429999999999</v>
      </c>
      <c r="F105" s="220">
        <v>13.85769</v>
      </c>
      <c r="G105" s="221">
        <v>6</v>
      </c>
      <c r="H105" s="222">
        <v>13</v>
      </c>
      <c r="I105" s="221">
        <v>18</v>
      </c>
      <c r="J105" s="221">
        <v>14.033300000000001</v>
      </c>
      <c r="K105" s="221">
        <v>10.8185</v>
      </c>
      <c r="L105" s="221">
        <v>15.423719999999999</v>
      </c>
      <c r="M105" s="221">
        <v>7.3710899999999997</v>
      </c>
      <c r="N105" s="221">
        <v>4.9543699999999999</v>
      </c>
      <c r="O105" s="223">
        <v>5.5</v>
      </c>
      <c r="P105" s="224">
        <v>135.86624</v>
      </c>
      <c r="Q105" s="189"/>
      <c r="S105" s="189"/>
    </row>
    <row r="106" spans="1:19">
      <c r="A106" s="179"/>
      <c r="B106" s="225"/>
      <c r="C106" s="226" t="s">
        <v>76</v>
      </c>
      <c r="D106" s="192">
        <v>0</v>
      </c>
      <c r="E106" s="193">
        <v>0</v>
      </c>
      <c r="F106" s="227">
        <v>0</v>
      </c>
      <c r="G106" s="228">
        <v>0</v>
      </c>
      <c r="H106" s="229">
        <v>0</v>
      </c>
      <c r="I106" s="228">
        <v>0.5</v>
      </c>
      <c r="J106" s="228">
        <v>0</v>
      </c>
      <c r="K106" s="228">
        <v>1</v>
      </c>
      <c r="L106" s="228">
        <v>0.5</v>
      </c>
      <c r="M106" s="228">
        <v>0</v>
      </c>
      <c r="N106" s="228">
        <v>0</v>
      </c>
      <c r="O106" s="230">
        <v>0</v>
      </c>
      <c r="P106" s="231">
        <v>2</v>
      </c>
      <c r="Q106" s="189"/>
      <c r="S106" s="189"/>
    </row>
    <row r="107" spans="1:19">
      <c r="A107" s="179"/>
      <c r="B107" s="494"/>
      <c r="C107" s="180" t="s">
        <v>77</v>
      </c>
      <c r="D107" s="232">
        <v>109.93694000000001</v>
      </c>
      <c r="E107" s="233">
        <v>100.21055</v>
      </c>
      <c r="F107" s="234">
        <v>155.7064</v>
      </c>
      <c r="G107" s="235">
        <v>110.61017</v>
      </c>
      <c r="H107" s="236">
        <v>116.59569999999999</v>
      </c>
      <c r="I107" s="234">
        <v>119.998</v>
      </c>
      <c r="J107" s="234">
        <v>123.63878</v>
      </c>
      <c r="K107" s="234">
        <v>120.41764000000001</v>
      </c>
      <c r="L107" s="234">
        <v>121.30535</v>
      </c>
      <c r="M107" s="234">
        <v>117.66434</v>
      </c>
      <c r="N107" s="234">
        <v>114.08371</v>
      </c>
      <c r="O107" s="237">
        <v>127.22566999999999</v>
      </c>
      <c r="P107" s="238">
        <v>1437.3932500000003</v>
      </c>
      <c r="Q107" s="189"/>
    </row>
    <row r="108" spans="1:19">
      <c r="A108" s="179"/>
      <c r="B108" s="239"/>
      <c r="C108" s="239"/>
      <c r="D108" s="239"/>
      <c r="E108" s="239"/>
      <c r="F108" s="239"/>
      <c r="G108" s="239"/>
      <c r="H108" s="239"/>
      <c r="I108" s="239"/>
      <c r="J108" s="240"/>
      <c r="K108" s="239"/>
      <c r="L108" s="239"/>
      <c r="M108" s="239"/>
      <c r="N108" s="239"/>
      <c r="O108" s="239"/>
      <c r="P108" s="241"/>
    </row>
    <row r="109" spans="1:19" s="113" customFormat="1" ht="16.5" customHeight="1">
      <c r="B109" s="114"/>
      <c r="C109" s="115"/>
      <c r="D109" s="115"/>
      <c r="E109" s="115"/>
      <c r="F109" s="115"/>
      <c r="G109" s="115"/>
      <c r="H109" s="115"/>
      <c r="L109" s="116"/>
      <c r="M109" s="116"/>
      <c r="N109" s="116"/>
    </row>
    <row r="110" spans="1:19"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</row>
    <row r="111" spans="1:19"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</row>
    <row r="112" spans="1:19"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</row>
    <row r="113" spans="2:16"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</row>
    <row r="114" spans="2:16"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</row>
    <row r="115" spans="2:16"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</row>
    <row r="116" spans="2:16"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</row>
    <row r="117" spans="2:16"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</row>
    <row r="118" spans="2:16"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</row>
    <row r="119" spans="2:16"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</row>
    <row r="120" spans="2:16"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</row>
    <row r="121" spans="2:16"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</row>
    <row r="122" spans="2:16"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</row>
    <row r="123" spans="2:16"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</row>
    <row r="124" spans="2:16"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</row>
    <row r="125" spans="2:16"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</row>
    <row r="126" spans="2:16"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</row>
    <row r="127" spans="2:16"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</row>
    <row r="128" spans="2:16"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</row>
  </sheetData>
  <mergeCells count="28">
    <mergeCell ref="B82:B85"/>
    <mergeCell ref="B41:B43"/>
    <mergeCell ref="B5:C5"/>
    <mergeCell ref="B6:C6"/>
    <mergeCell ref="B7:B10"/>
    <mergeCell ref="B11:B13"/>
    <mergeCell ref="B20:C20"/>
    <mergeCell ref="B21:C21"/>
    <mergeCell ref="B22:B25"/>
    <mergeCell ref="B26:B28"/>
    <mergeCell ref="B35:C35"/>
    <mergeCell ref="B36:C36"/>
    <mergeCell ref="B37:B40"/>
    <mergeCell ref="B66:C66"/>
    <mergeCell ref="B67:B70"/>
    <mergeCell ref="B71:B73"/>
    <mergeCell ref="B80:C80"/>
    <mergeCell ref="B81:C81"/>
    <mergeCell ref="B50:C50"/>
    <mergeCell ref="B51:C51"/>
    <mergeCell ref="B52:B55"/>
    <mergeCell ref="B56:B58"/>
    <mergeCell ref="B65:C65"/>
    <mergeCell ref="B95:C95"/>
    <mergeCell ref="B96:C96"/>
    <mergeCell ref="B97:B100"/>
    <mergeCell ref="B101:B103"/>
    <mergeCell ref="B86:B88"/>
  </mergeCells>
  <phoneticPr fontId="59" type="noConversion"/>
  <pageMargins left="0.16" right="0.16" top="0.75" bottom="0.22" header="0.3" footer="0.16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"/>
  <sheetViews>
    <sheetView view="pageBreakPreview" zoomScale="85" zoomScaleNormal="90" zoomScaleSheetLayoutView="85" workbookViewId="0">
      <selection activeCell="F15" sqref="F15"/>
    </sheetView>
  </sheetViews>
  <sheetFormatPr defaultRowHeight="16.5"/>
  <cols>
    <col min="1" max="4" width="2.25" customWidth="1"/>
    <col min="5" max="5" width="27.375" customWidth="1"/>
    <col min="6" max="6" width="29.875" customWidth="1"/>
  </cols>
  <sheetData>
    <row r="1" spans="1:6">
      <c r="F1" s="414" t="s">
        <v>216</v>
      </c>
    </row>
    <row r="2" spans="1:6">
      <c r="A2" s="593" t="s">
        <v>217</v>
      </c>
      <c r="B2" s="594"/>
      <c r="C2" s="594"/>
      <c r="D2" s="595"/>
      <c r="E2" s="327" t="s">
        <v>159</v>
      </c>
      <c r="F2" s="333" t="s">
        <v>460</v>
      </c>
    </row>
    <row r="3" spans="1:6">
      <c r="A3" s="344" t="s">
        <v>218</v>
      </c>
      <c r="B3" s="328"/>
      <c r="C3" s="328"/>
      <c r="D3" s="328"/>
      <c r="E3" s="329"/>
      <c r="F3" s="334">
        <v>55478145040758.109</v>
      </c>
    </row>
    <row r="4" spans="1:6">
      <c r="A4" s="330" t="s">
        <v>219</v>
      </c>
      <c r="B4" s="331"/>
      <c r="C4" s="331"/>
      <c r="D4" s="331"/>
      <c r="E4" s="332"/>
      <c r="F4" s="335">
        <v>52112678659225</v>
      </c>
    </row>
    <row r="5" spans="1:6">
      <c r="A5" s="330"/>
      <c r="B5" s="331" t="s">
        <v>220</v>
      </c>
      <c r="C5" s="331"/>
      <c r="D5" s="331"/>
      <c r="E5" s="332"/>
      <c r="F5" s="335">
        <v>584297872417</v>
      </c>
    </row>
    <row r="6" spans="1:6">
      <c r="A6" s="330"/>
      <c r="B6" s="331"/>
      <c r="C6" s="331" t="s">
        <v>160</v>
      </c>
      <c r="D6" s="331"/>
      <c r="E6" s="332"/>
      <c r="F6" s="335">
        <v>584296001121</v>
      </c>
    </row>
    <row r="7" spans="1:6">
      <c r="A7" s="330"/>
      <c r="B7" s="331"/>
      <c r="C7" s="331" t="s">
        <v>161</v>
      </c>
      <c r="D7" s="331"/>
      <c r="E7" s="332"/>
      <c r="F7" s="335">
        <v>0</v>
      </c>
    </row>
    <row r="8" spans="1:6">
      <c r="A8" s="330"/>
      <c r="B8" s="331"/>
      <c r="C8" s="331" t="s">
        <v>162</v>
      </c>
      <c r="D8" s="331"/>
      <c r="E8" s="332"/>
      <c r="F8" s="335">
        <v>0</v>
      </c>
    </row>
    <row r="9" spans="1:6">
      <c r="A9" s="330"/>
      <c r="B9" s="331"/>
      <c r="C9" s="331" t="s">
        <v>163</v>
      </c>
      <c r="D9" s="331"/>
      <c r="E9" s="332"/>
      <c r="F9" s="335">
        <v>1871296</v>
      </c>
    </row>
    <row r="10" spans="1:6">
      <c r="A10" s="336"/>
      <c r="B10" s="337" t="s">
        <v>221</v>
      </c>
      <c r="C10" s="338"/>
      <c r="D10" s="338"/>
      <c r="E10" s="332"/>
      <c r="F10" s="339">
        <v>36216989216795</v>
      </c>
    </row>
    <row r="11" spans="1:6">
      <c r="A11" s="340"/>
      <c r="B11" s="341" t="s">
        <v>222</v>
      </c>
      <c r="C11" s="341"/>
      <c r="D11" s="341"/>
      <c r="E11" s="342"/>
      <c r="F11" s="339">
        <v>12067279571542</v>
      </c>
    </row>
    <row r="12" spans="1:6">
      <c r="A12" s="340"/>
      <c r="B12" s="341" t="s">
        <v>181</v>
      </c>
      <c r="C12" s="341"/>
      <c r="D12" s="341"/>
      <c r="E12" s="342"/>
      <c r="F12" s="339">
        <v>0</v>
      </c>
    </row>
    <row r="13" spans="1:6">
      <c r="A13" s="340" t="s">
        <v>79</v>
      </c>
      <c r="B13" s="341"/>
      <c r="C13" s="341" t="s">
        <v>183</v>
      </c>
      <c r="D13" s="341"/>
      <c r="E13" s="342"/>
      <c r="F13" s="339">
        <v>117851717305</v>
      </c>
    </row>
    <row r="14" spans="1:6">
      <c r="A14" s="340"/>
      <c r="B14" s="341"/>
      <c r="C14" s="341" t="s">
        <v>223</v>
      </c>
      <c r="D14" s="341"/>
      <c r="E14" s="342"/>
      <c r="F14" s="339">
        <v>250368110309</v>
      </c>
    </row>
    <row r="15" spans="1:6">
      <c r="A15" s="340" t="s">
        <v>79</v>
      </c>
      <c r="B15" s="341"/>
      <c r="C15" s="341" t="s">
        <v>224</v>
      </c>
      <c r="D15" s="341"/>
      <c r="E15" s="342"/>
      <c r="F15" s="339">
        <v>40731221000</v>
      </c>
    </row>
    <row r="16" spans="1:6">
      <c r="A16" s="340" t="s">
        <v>79</v>
      </c>
      <c r="B16" s="341"/>
      <c r="C16" s="341" t="s">
        <v>225</v>
      </c>
      <c r="D16" s="341"/>
      <c r="E16" s="342"/>
      <c r="F16" s="339">
        <v>300059403500</v>
      </c>
    </row>
    <row r="17" spans="1:6">
      <c r="A17" s="340" t="s">
        <v>79</v>
      </c>
      <c r="B17" s="341"/>
      <c r="C17" s="341" t="s">
        <v>226</v>
      </c>
      <c r="D17" s="341"/>
      <c r="E17" s="342"/>
      <c r="F17" s="339">
        <v>75021252500</v>
      </c>
    </row>
    <row r="18" spans="1:6">
      <c r="A18" s="340" t="s">
        <v>79</v>
      </c>
      <c r="B18" s="341"/>
      <c r="C18" s="341" t="s">
        <v>227</v>
      </c>
      <c r="D18" s="341"/>
      <c r="E18" s="342"/>
      <c r="F18" s="339">
        <v>142963144500</v>
      </c>
    </row>
    <row r="19" spans="1:6">
      <c r="A19" s="340" t="s">
        <v>79</v>
      </c>
      <c r="B19" s="341"/>
      <c r="C19" s="341" t="s">
        <v>228</v>
      </c>
      <c r="D19" s="341"/>
      <c r="E19" s="342"/>
      <c r="F19" s="339">
        <v>9919096861724</v>
      </c>
    </row>
    <row r="20" spans="1:6">
      <c r="A20" s="340" t="s">
        <v>79</v>
      </c>
      <c r="B20" s="341"/>
      <c r="C20" s="341" t="s">
        <v>229</v>
      </c>
      <c r="D20" s="341"/>
      <c r="E20" s="342"/>
      <c r="F20" s="339">
        <v>1087376315204</v>
      </c>
    </row>
    <row r="21" spans="1:6">
      <c r="A21" s="340" t="s">
        <v>79</v>
      </c>
      <c r="B21" s="341"/>
      <c r="C21" s="341" t="s">
        <v>230</v>
      </c>
      <c r="D21" s="341"/>
      <c r="E21" s="342"/>
      <c r="F21" s="339">
        <v>133811545500</v>
      </c>
    </row>
    <row r="22" spans="1:6">
      <c r="A22" s="340"/>
      <c r="B22" s="341" t="s">
        <v>182</v>
      </c>
      <c r="C22" s="341"/>
      <c r="D22" s="341"/>
      <c r="E22" s="373"/>
      <c r="F22" s="339">
        <v>23095516511676</v>
      </c>
    </row>
    <row r="23" spans="1:6">
      <c r="A23" s="340"/>
      <c r="B23" s="341"/>
      <c r="C23" s="341" t="s">
        <v>183</v>
      </c>
      <c r="D23" s="341"/>
      <c r="E23" s="373"/>
      <c r="F23" s="339">
        <v>4444113337</v>
      </c>
    </row>
    <row r="24" spans="1:6">
      <c r="A24" s="340" t="s">
        <v>79</v>
      </c>
      <c r="B24" s="341" t="s">
        <v>79</v>
      </c>
      <c r="C24" s="341" t="s">
        <v>223</v>
      </c>
      <c r="D24" s="341"/>
      <c r="E24" s="373"/>
      <c r="F24" s="339">
        <v>0</v>
      </c>
    </row>
    <row r="25" spans="1:6">
      <c r="A25" s="340" t="s">
        <v>79</v>
      </c>
      <c r="B25" s="341"/>
      <c r="C25" s="341" t="s">
        <v>224</v>
      </c>
      <c r="D25" s="341"/>
      <c r="E25" s="373"/>
      <c r="F25" s="339">
        <v>6676079331070</v>
      </c>
    </row>
    <row r="26" spans="1:6">
      <c r="A26" s="340"/>
      <c r="B26" s="341"/>
      <c r="C26" s="341" t="s">
        <v>225</v>
      </c>
      <c r="D26" s="341"/>
      <c r="E26" s="373"/>
      <c r="F26" s="339">
        <v>2094043623000</v>
      </c>
    </row>
    <row r="27" spans="1:6">
      <c r="A27" s="340"/>
      <c r="B27" s="341"/>
      <c r="C27" s="341" t="s">
        <v>226</v>
      </c>
      <c r="D27" s="341"/>
      <c r="E27" s="373"/>
      <c r="F27" s="339">
        <v>1020352265500</v>
      </c>
    </row>
    <row r="28" spans="1:6">
      <c r="A28" s="340"/>
      <c r="B28" s="341"/>
      <c r="C28" s="341" t="s">
        <v>227</v>
      </c>
      <c r="D28" s="341"/>
      <c r="E28" s="373"/>
      <c r="F28" s="339">
        <v>5001171192150</v>
      </c>
    </row>
    <row r="29" spans="1:6">
      <c r="A29" s="340"/>
      <c r="B29" s="341"/>
      <c r="C29" s="341" t="s">
        <v>228</v>
      </c>
      <c r="D29" s="341"/>
      <c r="E29" s="373"/>
      <c r="F29" s="339">
        <v>0</v>
      </c>
    </row>
    <row r="30" spans="1:6">
      <c r="A30" s="340"/>
      <c r="B30" s="341"/>
      <c r="C30" s="341" t="s">
        <v>229</v>
      </c>
      <c r="D30" s="341"/>
      <c r="E30" s="373"/>
      <c r="F30" s="339">
        <v>7380893654369</v>
      </c>
    </row>
    <row r="31" spans="1:6">
      <c r="A31" s="340"/>
      <c r="B31" s="341"/>
      <c r="C31" s="341" t="s">
        <v>230</v>
      </c>
      <c r="D31" s="341"/>
      <c r="E31" s="373"/>
      <c r="F31" s="339">
        <v>918532332250</v>
      </c>
    </row>
    <row r="32" spans="1:6">
      <c r="A32" s="340"/>
      <c r="B32" s="341" t="s">
        <v>231</v>
      </c>
      <c r="C32" s="341"/>
      <c r="D32" s="341"/>
      <c r="E32" s="342"/>
      <c r="F32" s="339">
        <v>0</v>
      </c>
    </row>
    <row r="33" spans="1:6">
      <c r="A33" s="340"/>
      <c r="B33" s="341"/>
      <c r="C33" s="341" t="s">
        <v>165</v>
      </c>
      <c r="D33" s="341"/>
      <c r="E33" s="342"/>
      <c r="F33" s="339">
        <v>0</v>
      </c>
    </row>
    <row r="34" spans="1:6">
      <c r="A34" s="340" t="s">
        <v>79</v>
      </c>
      <c r="B34" s="341"/>
      <c r="C34" s="341" t="s">
        <v>232</v>
      </c>
      <c r="D34" s="341"/>
      <c r="E34" s="342"/>
      <c r="F34" s="339">
        <v>0</v>
      </c>
    </row>
    <row r="35" spans="1:6">
      <c r="A35" s="340" t="s">
        <v>79</v>
      </c>
      <c r="B35" s="341"/>
      <c r="C35" s="341" t="s">
        <v>233</v>
      </c>
      <c r="D35" s="341"/>
      <c r="E35" s="342"/>
      <c r="F35" s="339">
        <v>0</v>
      </c>
    </row>
    <row r="36" spans="1:6">
      <c r="A36" s="340" t="s">
        <v>79</v>
      </c>
      <c r="B36" s="341"/>
      <c r="C36" s="341" t="s">
        <v>234</v>
      </c>
      <c r="D36" s="341"/>
      <c r="E36" s="342"/>
      <c r="F36" s="339">
        <v>0</v>
      </c>
    </row>
    <row r="37" spans="1:6">
      <c r="A37" s="340" t="s">
        <v>79</v>
      </c>
      <c r="B37" s="341"/>
      <c r="C37" s="341" t="s">
        <v>235</v>
      </c>
      <c r="D37" s="341"/>
      <c r="E37" s="342"/>
      <c r="F37" s="339">
        <v>0</v>
      </c>
    </row>
    <row r="38" spans="1:6">
      <c r="A38" s="340" t="s">
        <v>79</v>
      </c>
      <c r="B38" s="341"/>
      <c r="C38" s="341" t="s">
        <v>236</v>
      </c>
      <c r="D38" s="341"/>
      <c r="E38" s="342"/>
      <c r="F38" s="339">
        <v>0</v>
      </c>
    </row>
    <row r="39" spans="1:6">
      <c r="A39" s="340" t="s">
        <v>79</v>
      </c>
      <c r="B39" s="341"/>
      <c r="C39" s="341" t="s">
        <v>237</v>
      </c>
      <c r="D39" s="341"/>
      <c r="E39" s="342"/>
      <c r="F39" s="339">
        <v>0</v>
      </c>
    </row>
    <row r="40" spans="1:6">
      <c r="A40" s="340" t="s">
        <v>79</v>
      </c>
      <c r="B40" s="341"/>
      <c r="C40" s="341" t="s">
        <v>238</v>
      </c>
      <c r="D40" s="341"/>
      <c r="E40" s="342"/>
      <c r="F40" s="339">
        <v>0</v>
      </c>
    </row>
    <row r="41" spans="1:6">
      <c r="A41" s="340"/>
      <c r="B41" s="341" t="s">
        <v>239</v>
      </c>
      <c r="C41" s="341"/>
      <c r="D41" s="341"/>
      <c r="E41" s="342"/>
      <c r="F41" s="339">
        <v>1054193133577</v>
      </c>
    </row>
    <row r="42" spans="1:6">
      <c r="A42" s="340"/>
      <c r="B42" s="341"/>
      <c r="C42" s="341" t="s">
        <v>183</v>
      </c>
      <c r="D42" s="341"/>
      <c r="E42" s="342"/>
      <c r="F42" s="339">
        <v>1054193133577</v>
      </c>
    </row>
    <row r="43" spans="1:6">
      <c r="A43" s="340"/>
      <c r="B43" s="341"/>
      <c r="C43" s="341" t="s">
        <v>223</v>
      </c>
      <c r="D43" s="341"/>
      <c r="E43" s="342"/>
      <c r="F43" s="339">
        <v>0</v>
      </c>
    </row>
    <row r="44" spans="1:6">
      <c r="A44" s="340"/>
      <c r="B44" s="341"/>
      <c r="C44" s="341" t="s">
        <v>240</v>
      </c>
      <c r="D44" s="341"/>
      <c r="E44" s="342"/>
      <c r="F44" s="339">
        <v>0</v>
      </c>
    </row>
    <row r="45" spans="1:6">
      <c r="A45" s="336"/>
      <c r="B45" s="337" t="s">
        <v>241</v>
      </c>
      <c r="C45" s="338"/>
      <c r="D45" s="338"/>
      <c r="E45" s="332"/>
      <c r="F45" s="339">
        <v>14104138266567</v>
      </c>
    </row>
    <row r="46" spans="1:6">
      <c r="A46" s="340" t="s">
        <v>79</v>
      </c>
      <c r="B46" s="341"/>
      <c r="C46" s="341" t="s">
        <v>164</v>
      </c>
      <c r="D46" s="341"/>
      <c r="E46" s="342"/>
      <c r="F46" s="339">
        <v>-11012622894</v>
      </c>
    </row>
    <row r="47" spans="1:6">
      <c r="A47" s="340" t="s">
        <v>79</v>
      </c>
      <c r="B47" s="341"/>
      <c r="C47" s="341" t="s">
        <v>165</v>
      </c>
      <c r="D47" s="341"/>
      <c r="E47" s="342"/>
      <c r="F47" s="339">
        <v>-153980079730</v>
      </c>
    </row>
    <row r="48" spans="1:6">
      <c r="A48" s="340" t="s">
        <v>79</v>
      </c>
      <c r="B48" s="341"/>
      <c r="C48" s="341" t="s">
        <v>166</v>
      </c>
      <c r="D48" s="341"/>
      <c r="E48" s="342"/>
      <c r="F48" s="339">
        <v>-55976657809</v>
      </c>
    </row>
    <row r="49" spans="1:6">
      <c r="A49" s="340"/>
      <c r="B49" s="341"/>
      <c r="C49" s="341" t="s">
        <v>242</v>
      </c>
      <c r="D49" s="341"/>
      <c r="E49" s="342"/>
      <c r="F49" s="339">
        <v>0</v>
      </c>
    </row>
    <row r="50" spans="1:6">
      <c r="A50" s="340"/>
      <c r="B50" s="341"/>
      <c r="C50" s="341" t="s">
        <v>243</v>
      </c>
      <c r="D50" s="341"/>
      <c r="E50" s="342"/>
      <c r="F50" s="339">
        <v>77546571001</v>
      </c>
    </row>
    <row r="51" spans="1:6">
      <c r="A51" s="340"/>
      <c r="B51" s="341"/>
      <c r="C51" s="341" t="s">
        <v>244</v>
      </c>
      <c r="D51" s="341"/>
      <c r="E51" s="342"/>
      <c r="F51" s="339">
        <v>3273227555202</v>
      </c>
    </row>
    <row r="52" spans="1:6">
      <c r="A52" s="340"/>
      <c r="B52" s="341"/>
      <c r="C52" s="341" t="s">
        <v>245</v>
      </c>
      <c r="D52" s="341"/>
      <c r="E52" s="342"/>
      <c r="F52" s="339">
        <v>8513464758019</v>
      </c>
    </row>
    <row r="53" spans="1:6">
      <c r="A53" s="340"/>
      <c r="B53" s="341"/>
      <c r="C53" s="341" t="s">
        <v>246</v>
      </c>
      <c r="D53" s="341"/>
      <c r="E53" s="342"/>
      <c r="F53" s="339">
        <v>0</v>
      </c>
    </row>
    <row r="54" spans="1:6">
      <c r="A54" s="340"/>
      <c r="B54" s="341"/>
      <c r="C54" s="341" t="s">
        <v>247</v>
      </c>
      <c r="D54" s="341"/>
      <c r="E54" s="342"/>
      <c r="F54" s="339">
        <v>170411949</v>
      </c>
    </row>
    <row r="55" spans="1:6">
      <c r="A55" s="340"/>
      <c r="B55" s="341"/>
      <c r="C55" s="341" t="s">
        <v>248</v>
      </c>
      <c r="D55" s="341"/>
      <c r="E55" s="342"/>
      <c r="F55" s="339">
        <v>2460698330829</v>
      </c>
    </row>
    <row r="56" spans="1:6">
      <c r="A56" s="330"/>
      <c r="B56" s="331" t="s">
        <v>249</v>
      </c>
      <c r="C56" s="331"/>
      <c r="D56" s="331"/>
      <c r="E56" s="332"/>
      <c r="F56" s="335">
        <v>1207253303446</v>
      </c>
    </row>
    <row r="57" spans="1:6">
      <c r="A57" s="330"/>
      <c r="B57" s="331"/>
      <c r="C57" s="331" t="s">
        <v>250</v>
      </c>
      <c r="D57" s="331"/>
      <c r="E57" s="332"/>
      <c r="F57" s="335">
        <v>0</v>
      </c>
    </row>
    <row r="58" spans="1:6">
      <c r="A58" s="330"/>
      <c r="B58" s="331"/>
      <c r="C58" s="331" t="s">
        <v>251</v>
      </c>
      <c r="D58" s="331"/>
      <c r="E58" s="332"/>
      <c r="F58" s="335">
        <v>949316129532</v>
      </c>
    </row>
    <row r="59" spans="1:6">
      <c r="A59" s="330"/>
      <c r="B59" s="331"/>
      <c r="C59" s="331" t="s">
        <v>252</v>
      </c>
      <c r="D59" s="331"/>
      <c r="E59" s="332"/>
      <c r="F59" s="335">
        <v>204810355863</v>
      </c>
    </row>
    <row r="60" spans="1:6">
      <c r="A60" s="330"/>
      <c r="B60" s="331"/>
      <c r="C60" s="331" t="s">
        <v>254</v>
      </c>
      <c r="D60" s="331"/>
      <c r="E60" s="332"/>
      <c r="F60" s="335">
        <v>19040250</v>
      </c>
    </row>
    <row r="61" spans="1:6">
      <c r="A61" s="330"/>
      <c r="B61" s="331"/>
      <c r="C61" s="331" t="s">
        <v>255</v>
      </c>
      <c r="D61" s="331"/>
      <c r="E61" s="332"/>
      <c r="F61" s="335">
        <v>0</v>
      </c>
    </row>
    <row r="62" spans="1:6">
      <c r="A62" s="330"/>
      <c r="B62" s="331"/>
      <c r="C62" s="331" t="s">
        <v>256</v>
      </c>
      <c r="D62" s="331"/>
      <c r="E62" s="332"/>
      <c r="F62" s="335">
        <v>53107777801</v>
      </c>
    </row>
    <row r="63" spans="1:6">
      <c r="A63" s="330"/>
      <c r="B63" s="331"/>
      <c r="C63" s="331" t="s">
        <v>257</v>
      </c>
      <c r="D63" s="331"/>
      <c r="E63" s="332"/>
      <c r="F63" s="335">
        <v>0</v>
      </c>
    </row>
    <row r="64" spans="1:6">
      <c r="A64" s="330"/>
      <c r="B64" s="331"/>
      <c r="C64" s="331"/>
      <c r="D64" s="331" t="s">
        <v>253</v>
      </c>
      <c r="E64" s="332"/>
      <c r="F64" s="335">
        <v>0</v>
      </c>
    </row>
    <row r="65" spans="1:6">
      <c r="A65" s="330" t="s">
        <v>258</v>
      </c>
      <c r="B65" s="331"/>
      <c r="C65" s="331"/>
      <c r="D65" s="331"/>
      <c r="E65" s="332"/>
      <c r="F65" s="335">
        <v>3351441463041.1055</v>
      </c>
    </row>
    <row r="66" spans="1:6">
      <c r="A66" s="330"/>
      <c r="B66" s="331" t="s">
        <v>259</v>
      </c>
      <c r="C66" s="331"/>
      <c r="D66" s="331"/>
      <c r="E66" s="332"/>
      <c r="F66" s="335">
        <v>684280715353</v>
      </c>
    </row>
    <row r="67" spans="1:6">
      <c r="A67" s="330"/>
      <c r="B67" s="331"/>
      <c r="C67" s="331" t="s">
        <v>260</v>
      </c>
      <c r="D67" s="331"/>
      <c r="E67" s="332"/>
      <c r="F67" s="335">
        <v>916802932312</v>
      </c>
    </row>
    <row r="68" spans="1:6">
      <c r="A68" s="330"/>
      <c r="B68" s="331"/>
      <c r="C68" s="331" t="s">
        <v>265</v>
      </c>
      <c r="D68" s="331"/>
      <c r="E68" s="332"/>
      <c r="F68" s="335">
        <v>-232522216959</v>
      </c>
    </row>
    <row r="69" spans="1:6">
      <c r="A69" s="330"/>
      <c r="B69" s="331"/>
      <c r="C69" s="331" t="s">
        <v>266</v>
      </c>
      <c r="D69" s="331"/>
      <c r="E69" s="332"/>
      <c r="F69" s="335">
        <v>0</v>
      </c>
    </row>
    <row r="70" spans="1:6">
      <c r="A70" s="330"/>
      <c r="B70" s="331" t="s">
        <v>267</v>
      </c>
      <c r="C70" s="331"/>
      <c r="D70" s="331"/>
      <c r="E70" s="332"/>
      <c r="F70" s="335">
        <v>1416171882144.1055</v>
      </c>
    </row>
    <row r="71" spans="1:6">
      <c r="A71" s="330"/>
      <c r="B71" s="331"/>
      <c r="C71" s="331" t="s">
        <v>260</v>
      </c>
      <c r="D71" s="331"/>
      <c r="E71" s="332"/>
      <c r="F71" s="335">
        <v>54817449279</v>
      </c>
    </row>
    <row r="72" spans="1:6">
      <c r="A72" s="330"/>
      <c r="B72" s="331"/>
      <c r="C72" s="331" t="s">
        <v>265</v>
      </c>
      <c r="D72" s="331"/>
      <c r="E72" s="332"/>
      <c r="F72" s="335">
        <v>1361354432865.1055</v>
      </c>
    </row>
    <row r="73" spans="1:6">
      <c r="A73" s="330"/>
      <c r="B73" s="331" t="s">
        <v>268</v>
      </c>
      <c r="C73" s="331"/>
      <c r="D73" s="331"/>
      <c r="E73" s="343"/>
      <c r="F73" s="335">
        <v>299734740785</v>
      </c>
    </row>
    <row r="74" spans="1:6">
      <c r="A74" s="330"/>
      <c r="B74" s="331" t="s">
        <v>269</v>
      </c>
      <c r="C74" s="331"/>
      <c r="D74" s="331"/>
      <c r="E74" s="343"/>
      <c r="F74" s="335">
        <v>59690420094</v>
      </c>
    </row>
    <row r="75" spans="1:6">
      <c r="A75" s="330"/>
      <c r="B75" s="331" t="s">
        <v>270</v>
      </c>
      <c r="C75" s="331"/>
      <c r="D75" s="331"/>
      <c r="E75" s="343"/>
      <c r="F75" s="335">
        <v>422362924807</v>
      </c>
    </row>
    <row r="76" spans="1:6">
      <c r="A76" s="330"/>
      <c r="B76" s="331" t="s">
        <v>271</v>
      </c>
      <c r="C76" s="331"/>
      <c r="D76" s="331"/>
      <c r="E76" s="332"/>
      <c r="F76" s="335">
        <v>24855515476</v>
      </c>
    </row>
    <row r="77" spans="1:6">
      <c r="A77" s="330"/>
      <c r="B77" s="331" t="s">
        <v>272</v>
      </c>
      <c r="C77" s="331"/>
      <c r="D77" s="331"/>
      <c r="E77" s="332"/>
      <c r="F77" s="335">
        <v>-6945800</v>
      </c>
    </row>
    <row r="78" spans="1:6">
      <c r="A78" s="330"/>
      <c r="B78" s="331" t="s">
        <v>273</v>
      </c>
      <c r="C78" s="331"/>
      <c r="D78" s="331"/>
      <c r="E78" s="332"/>
      <c r="F78" s="335">
        <v>0</v>
      </c>
    </row>
    <row r="79" spans="1:6">
      <c r="A79" s="330"/>
      <c r="B79" s="331" t="s">
        <v>274</v>
      </c>
      <c r="C79" s="331"/>
      <c r="D79" s="331"/>
      <c r="E79" s="332"/>
      <c r="F79" s="335">
        <v>37524398589</v>
      </c>
    </row>
    <row r="80" spans="1:6">
      <c r="A80" s="330"/>
      <c r="B80" s="331" t="s">
        <v>275</v>
      </c>
      <c r="C80" s="331"/>
      <c r="D80" s="331"/>
      <c r="E80" s="332"/>
      <c r="F80" s="335">
        <v>22860</v>
      </c>
    </row>
    <row r="81" spans="1:6">
      <c r="A81" s="330"/>
      <c r="B81" s="331" t="s">
        <v>276</v>
      </c>
      <c r="C81" s="331"/>
      <c r="D81" s="331"/>
      <c r="E81" s="332"/>
      <c r="F81" s="335">
        <v>0</v>
      </c>
    </row>
    <row r="82" spans="1:6">
      <c r="A82" s="330"/>
      <c r="B82" s="331" t="s">
        <v>277</v>
      </c>
      <c r="C82" s="331"/>
      <c r="D82" s="331"/>
      <c r="E82" s="332"/>
      <c r="F82" s="335">
        <v>0</v>
      </c>
    </row>
    <row r="83" spans="1:6">
      <c r="A83" s="330"/>
      <c r="B83" s="331" t="s">
        <v>278</v>
      </c>
      <c r="C83" s="331"/>
      <c r="D83" s="331"/>
      <c r="E83" s="332"/>
      <c r="F83" s="335">
        <v>1294941776</v>
      </c>
    </row>
    <row r="84" spans="1:6">
      <c r="A84" s="330"/>
      <c r="B84" s="331" t="s">
        <v>279</v>
      </c>
      <c r="C84" s="331"/>
      <c r="D84" s="331"/>
      <c r="E84" s="332"/>
      <c r="F84" s="335">
        <v>34905820331</v>
      </c>
    </row>
    <row r="85" spans="1:6">
      <c r="A85" s="330"/>
      <c r="B85" s="331" t="s">
        <v>280</v>
      </c>
      <c r="C85" s="331"/>
      <c r="D85" s="331"/>
      <c r="E85" s="332"/>
      <c r="F85" s="335">
        <v>0</v>
      </c>
    </row>
    <row r="86" spans="1:6">
      <c r="A86" s="330"/>
      <c r="B86" s="331" t="s">
        <v>281</v>
      </c>
      <c r="C86" s="331"/>
      <c r="D86" s="331"/>
      <c r="E86" s="332"/>
      <c r="F86" s="335">
        <v>0</v>
      </c>
    </row>
    <row r="87" spans="1:6">
      <c r="A87" s="330"/>
      <c r="B87" s="331" t="s">
        <v>282</v>
      </c>
      <c r="C87" s="331"/>
      <c r="D87" s="331"/>
      <c r="E87" s="332"/>
      <c r="F87" s="335">
        <v>0</v>
      </c>
    </row>
    <row r="88" spans="1:6">
      <c r="A88" s="330"/>
      <c r="B88" s="331" t="s">
        <v>283</v>
      </c>
      <c r="C88" s="331"/>
      <c r="D88" s="331"/>
      <c r="E88" s="332"/>
      <c r="F88" s="335">
        <v>244691447703</v>
      </c>
    </row>
    <row r="89" spans="1:6">
      <c r="A89" s="330"/>
      <c r="B89" s="331" t="s">
        <v>284</v>
      </c>
      <c r="C89" s="331"/>
      <c r="D89" s="331"/>
      <c r="E89" s="343"/>
      <c r="F89" s="335">
        <v>82789685011</v>
      </c>
    </row>
    <row r="90" spans="1:6">
      <c r="A90" s="330"/>
      <c r="B90" s="331" t="s">
        <v>285</v>
      </c>
      <c r="C90" s="331"/>
      <c r="D90" s="331"/>
      <c r="E90" s="343"/>
      <c r="F90" s="335">
        <v>320047387</v>
      </c>
    </row>
    <row r="91" spans="1:6">
      <c r="A91" s="330"/>
      <c r="B91" s="331" t="s">
        <v>286</v>
      </c>
      <c r="C91" s="331"/>
      <c r="D91" s="331"/>
      <c r="E91" s="332"/>
      <c r="F91" s="335">
        <v>42825846525</v>
      </c>
    </row>
    <row r="92" spans="1:6">
      <c r="A92" s="330"/>
      <c r="B92" s="331" t="s">
        <v>287</v>
      </c>
      <c r="C92" s="331"/>
      <c r="D92" s="331"/>
      <c r="E92" s="332"/>
      <c r="F92" s="335">
        <v>0</v>
      </c>
    </row>
    <row r="93" spans="1:6">
      <c r="A93" s="330" t="s">
        <v>288</v>
      </c>
      <c r="B93" s="331"/>
      <c r="C93" s="331"/>
      <c r="D93" s="331"/>
      <c r="E93" s="332"/>
      <c r="F93" s="335">
        <v>14024918492</v>
      </c>
    </row>
    <row r="94" spans="1:6">
      <c r="A94" s="344" t="s">
        <v>289</v>
      </c>
      <c r="B94" s="345"/>
      <c r="C94" s="345"/>
      <c r="D94" s="345"/>
      <c r="E94" s="346"/>
      <c r="F94" s="334">
        <v>47984999893045.102</v>
      </c>
    </row>
    <row r="95" spans="1:6">
      <c r="A95" s="473" t="s">
        <v>290</v>
      </c>
      <c r="B95" s="338"/>
      <c r="C95" s="338"/>
      <c r="D95" s="338"/>
      <c r="E95" s="332"/>
      <c r="F95" s="474">
        <v>43623481241586</v>
      </c>
    </row>
    <row r="96" spans="1:6">
      <c r="A96" s="330"/>
      <c r="B96" s="331" t="s">
        <v>167</v>
      </c>
      <c r="C96" s="331"/>
      <c r="D96" s="331"/>
      <c r="E96" s="332"/>
      <c r="F96" s="335">
        <v>33766163701419</v>
      </c>
    </row>
    <row r="97" spans="1:6">
      <c r="A97" s="330"/>
      <c r="B97" s="331"/>
      <c r="C97" s="331" t="s">
        <v>260</v>
      </c>
      <c r="D97" s="331"/>
      <c r="E97" s="332"/>
      <c r="F97" s="335">
        <v>28907418881263</v>
      </c>
    </row>
    <row r="98" spans="1:6">
      <c r="A98" s="330"/>
      <c r="B98" s="331"/>
      <c r="C98" s="331"/>
      <c r="D98" s="331" t="s">
        <v>261</v>
      </c>
      <c r="E98" s="332"/>
      <c r="F98" s="335">
        <v>11830638584255</v>
      </c>
    </row>
    <row r="99" spans="1:6">
      <c r="A99" s="330"/>
      <c r="B99" s="331"/>
      <c r="C99" s="331"/>
      <c r="D99" s="331" t="s">
        <v>262</v>
      </c>
      <c r="E99" s="332"/>
      <c r="F99" s="335">
        <v>1760064015751</v>
      </c>
    </row>
    <row r="100" spans="1:6">
      <c r="A100" s="330"/>
      <c r="B100" s="331"/>
      <c r="C100" s="331"/>
      <c r="D100" s="331" t="s">
        <v>263</v>
      </c>
      <c r="E100" s="332"/>
      <c r="F100" s="335">
        <v>12207545888807</v>
      </c>
    </row>
    <row r="101" spans="1:6">
      <c r="A101" s="330"/>
      <c r="B101" s="331"/>
      <c r="C101" s="331"/>
      <c r="D101" s="331" t="s">
        <v>264</v>
      </c>
      <c r="E101" s="332"/>
      <c r="F101" s="335">
        <v>3109170392450</v>
      </c>
    </row>
    <row r="102" spans="1:6">
      <c r="A102" s="330"/>
      <c r="B102" s="331"/>
      <c r="C102" s="331" t="s">
        <v>265</v>
      </c>
      <c r="D102" s="331"/>
      <c r="E102" s="332"/>
      <c r="F102" s="335">
        <v>4858744820156</v>
      </c>
    </row>
    <row r="103" spans="1:6">
      <c r="A103" s="330"/>
      <c r="B103" s="331"/>
      <c r="C103" s="331"/>
      <c r="D103" s="331" t="s">
        <v>261</v>
      </c>
      <c r="E103" s="332"/>
      <c r="F103" s="335">
        <v>4649203196033</v>
      </c>
    </row>
    <row r="104" spans="1:6">
      <c r="A104" s="330"/>
      <c r="B104" s="331"/>
      <c r="C104" s="331"/>
      <c r="D104" s="331" t="s">
        <v>262</v>
      </c>
      <c r="E104" s="332"/>
      <c r="F104" s="335">
        <v>209541624123</v>
      </c>
    </row>
    <row r="105" spans="1:6">
      <c r="A105" s="330"/>
      <c r="B105" s="331"/>
      <c r="C105" s="341" t="s">
        <v>266</v>
      </c>
      <c r="D105" s="331"/>
      <c r="E105" s="332"/>
      <c r="F105" s="335">
        <v>0</v>
      </c>
    </row>
    <row r="106" spans="1:6">
      <c r="A106" s="330"/>
      <c r="B106" s="331" t="s">
        <v>168</v>
      </c>
      <c r="C106" s="331"/>
      <c r="D106" s="331"/>
      <c r="E106" s="332"/>
      <c r="F106" s="335">
        <v>278454298</v>
      </c>
    </row>
    <row r="107" spans="1:6">
      <c r="A107" s="330"/>
      <c r="B107" s="347"/>
      <c r="C107" s="347" t="s">
        <v>260</v>
      </c>
      <c r="D107" s="331"/>
      <c r="E107" s="332"/>
      <c r="F107" s="335">
        <v>698504558</v>
      </c>
    </row>
    <row r="108" spans="1:6">
      <c r="A108" s="330"/>
      <c r="B108" s="331"/>
      <c r="C108" s="331"/>
      <c r="D108" s="331" t="s">
        <v>261</v>
      </c>
      <c r="E108" s="332"/>
      <c r="F108" s="335">
        <v>1917555839</v>
      </c>
    </row>
    <row r="109" spans="1:6">
      <c r="A109" s="330"/>
      <c r="B109" s="331"/>
      <c r="C109" s="331"/>
      <c r="D109" s="331" t="s">
        <v>262</v>
      </c>
      <c r="E109" s="332"/>
      <c r="F109" s="335">
        <v>-13844099</v>
      </c>
    </row>
    <row r="110" spans="1:6">
      <c r="A110" s="330"/>
      <c r="B110" s="331"/>
      <c r="C110" s="331"/>
      <c r="D110" s="331" t="s">
        <v>263</v>
      </c>
      <c r="E110" s="332"/>
      <c r="F110" s="335">
        <v>-1205207182</v>
      </c>
    </row>
    <row r="111" spans="1:6">
      <c r="A111" s="330"/>
      <c r="B111" s="331"/>
      <c r="C111" s="331"/>
      <c r="D111" s="331" t="s">
        <v>264</v>
      </c>
      <c r="E111" s="332"/>
      <c r="F111" s="335">
        <v>0</v>
      </c>
    </row>
    <row r="112" spans="1:6">
      <c r="A112" s="330"/>
      <c r="B112" s="347"/>
      <c r="C112" s="347" t="s">
        <v>265</v>
      </c>
      <c r="D112" s="331"/>
      <c r="E112" s="332"/>
      <c r="F112" s="335">
        <v>-420050260</v>
      </c>
    </row>
    <row r="113" spans="1:6">
      <c r="A113" s="330"/>
      <c r="B113" s="331"/>
      <c r="C113" s="331"/>
      <c r="D113" s="331" t="s">
        <v>261</v>
      </c>
      <c r="E113" s="332"/>
      <c r="F113" s="335">
        <v>-405736171</v>
      </c>
    </row>
    <row r="114" spans="1:6">
      <c r="A114" s="330"/>
      <c r="B114" s="331"/>
      <c r="C114" s="331"/>
      <c r="D114" s="331" t="s">
        <v>262</v>
      </c>
      <c r="E114" s="332"/>
      <c r="F114" s="335">
        <v>-14314089</v>
      </c>
    </row>
    <row r="115" spans="1:6">
      <c r="A115" s="330"/>
      <c r="B115" s="331" t="s">
        <v>169</v>
      </c>
      <c r="C115" s="331"/>
      <c r="D115" s="331"/>
      <c r="E115" s="332"/>
      <c r="F115" s="335">
        <v>9857039085869</v>
      </c>
    </row>
    <row r="116" spans="1:6">
      <c r="A116" s="330" t="s">
        <v>291</v>
      </c>
      <c r="B116" s="331"/>
      <c r="C116" s="331"/>
      <c r="D116" s="331"/>
      <c r="E116" s="332"/>
      <c r="F116" s="335">
        <v>4347235755198.1035</v>
      </c>
    </row>
    <row r="117" spans="1:6">
      <c r="A117" s="330"/>
      <c r="B117" s="331" t="s">
        <v>292</v>
      </c>
      <c r="C117" s="331"/>
      <c r="D117" s="331"/>
      <c r="E117" s="332"/>
      <c r="F117" s="335">
        <v>203693248986</v>
      </c>
    </row>
    <row r="118" spans="1:6">
      <c r="A118" s="330"/>
      <c r="B118" s="331" t="s">
        <v>293</v>
      </c>
      <c r="C118" s="331"/>
      <c r="D118" s="331"/>
      <c r="E118" s="332"/>
      <c r="F118" s="335">
        <v>453122460947</v>
      </c>
    </row>
    <row r="119" spans="1:6">
      <c r="A119" s="330"/>
      <c r="B119" s="331" t="s">
        <v>294</v>
      </c>
      <c r="C119" s="331"/>
      <c r="D119" s="331"/>
      <c r="E119" s="332"/>
      <c r="F119" s="335">
        <v>195906144889</v>
      </c>
    </row>
    <row r="120" spans="1:6">
      <c r="A120" s="330"/>
      <c r="B120" s="331" t="s">
        <v>295</v>
      </c>
      <c r="C120" s="331"/>
      <c r="D120" s="331"/>
      <c r="E120" s="332"/>
      <c r="F120" s="335">
        <v>0</v>
      </c>
    </row>
    <row r="121" spans="1:6">
      <c r="A121" s="330"/>
      <c r="B121" s="331" t="s">
        <v>296</v>
      </c>
      <c r="C121" s="331"/>
      <c r="D121" s="331"/>
      <c r="E121" s="343"/>
      <c r="F121" s="335">
        <v>0</v>
      </c>
    </row>
    <row r="122" spans="1:6">
      <c r="A122" s="330"/>
      <c r="B122" s="331" t="s">
        <v>297</v>
      </c>
      <c r="C122" s="331"/>
      <c r="D122" s="331"/>
      <c r="E122" s="343"/>
      <c r="F122" s="335">
        <v>1466102496871</v>
      </c>
    </row>
    <row r="123" spans="1:6">
      <c r="A123" s="330"/>
      <c r="B123" s="331" t="s">
        <v>298</v>
      </c>
      <c r="C123" s="331"/>
      <c r="D123" s="331"/>
      <c r="E123" s="332"/>
      <c r="F123" s="335">
        <v>27203994045</v>
      </c>
    </row>
    <row r="124" spans="1:6">
      <c r="A124" s="330"/>
      <c r="B124" s="331" t="s">
        <v>299</v>
      </c>
      <c r="C124" s="331"/>
      <c r="D124" s="331"/>
      <c r="E124" s="332"/>
      <c r="F124" s="335">
        <v>19571598812</v>
      </c>
    </row>
    <row r="125" spans="1:6">
      <c r="A125" s="330"/>
      <c r="B125" s="331" t="s">
        <v>300</v>
      </c>
      <c r="C125" s="331"/>
      <c r="D125" s="331"/>
      <c r="E125" s="332"/>
      <c r="F125" s="335">
        <v>468177482479</v>
      </c>
    </row>
    <row r="126" spans="1:6">
      <c r="A126" s="330"/>
      <c r="B126" s="331" t="s">
        <v>301</v>
      </c>
      <c r="C126" s="331"/>
      <c r="D126" s="331"/>
      <c r="E126" s="332"/>
      <c r="F126" s="335">
        <v>450210993</v>
      </c>
    </row>
    <row r="127" spans="1:6">
      <c r="A127" s="330"/>
      <c r="B127" s="331" t="s">
        <v>302</v>
      </c>
      <c r="C127" s="331"/>
      <c r="D127" s="331"/>
      <c r="E127" s="332"/>
      <c r="F127" s="335">
        <v>-25808</v>
      </c>
    </row>
    <row r="128" spans="1:6">
      <c r="A128" s="330"/>
      <c r="B128" s="331" t="s">
        <v>303</v>
      </c>
      <c r="C128" s="331"/>
      <c r="D128" s="331"/>
      <c r="E128" s="332"/>
      <c r="F128" s="335">
        <v>43260070512</v>
      </c>
    </row>
    <row r="129" spans="1:6">
      <c r="A129" s="330"/>
      <c r="B129" s="331" t="s">
        <v>304</v>
      </c>
      <c r="C129" s="331"/>
      <c r="D129" s="331"/>
      <c r="E129" s="332"/>
      <c r="F129" s="335">
        <v>0</v>
      </c>
    </row>
    <row r="130" spans="1:6">
      <c r="A130" s="330"/>
      <c r="B130" s="331" t="s">
        <v>305</v>
      </c>
      <c r="C130" s="331"/>
      <c r="D130" s="331"/>
      <c r="E130" s="332"/>
      <c r="F130" s="335">
        <v>661970928987.10376</v>
      </c>
    </row>
    <row r="131" spans="1:6">
      <c r="A131" s="330"/>
      <c r="B131" s="331" t="s">
        <v>306</v>
      </c>
      <c r="C131" s="331"/>
      <c r="D131" s="331"/>
      <c r="E131" s="343"/>
      <c r="F131" s="335">
        <v>31056193922</v>
      </c>
    </row>
    <row r="132" spans="1:6">
      <c r="A132" s="330"/>
      <c r="B132" s="331" t="s">
        <v>307</v>
      </c>
      <c r="C132" s="331"/>
      <c r="D132" s="331"/>
      <c r="E132" s="332"/>
      <c r="F132" s="335">
        <v>0</v>
      </c>
    </row>
    <row r="133" spans="1:6">
      <c r="A133" s="330"/>
      <c r="B133" s="331" t="s">
        <v>308</v>
      </c>
      <c r="C133" s="331"/>
      <c r="D133" s="331"/>
      <c r="E133" s="332"/>
      <c r="F133" s="335">
        <v>669132066931</v>
      </c>
    </row>
    <row r="134" spans="1:6">
      <c r="A134" s="330"/>
      <c r="B134" s="331" t="s">
        <v>309</v>
      </c>
      <c r="C134" s="331"/>
      <c r="D134" s="331"/>
      <c r="E134" s="332"/>
      <c r="F134" s="335">
        <v>0</v>
      </c>
    </row>
    <row r="135" spans="1:6">
      <c r="A135" s="330"/>
      <c r="B135" s="331" t="s">
        <v>310</v>
      </c>
      <c r="C135" s="331"/>
      <c r="D135" s="331"/>
      <c r="E135" s="332"/>
      <c r="F135" s="335">
        <v>9783138802</v>
      </c>
    </row>
    <row r="136" spans="1:6">
      <c r="A136" s="330"/>
      <c r="B136" s="331" t="s">
        <v>311</v>
      </c>
      <c r="C136" s="331"/>
      <c r="D136" s="331"/>
      <c r="E136" s="332"/>
      <c r="F136" s="335">
        <v>0</v>
      </c>
    </row>
    <row r="137" spans="1:6">
      <c r="A137" s="330"/>
      <c r="B137" s="331" t="s">
        <v>312</v>
      </c>
      <c r="C137" s="331"/>
      <c r="D137" s="331"/>
      <c r="E137" s="343"/>
      <c r="F137" s="335">
        <v>0</v>
      </c>
    </row>
    <row r="138" spans="1:6">
      <c r="A138" s="330"/>
      <c r="B138" s="331" t="s">
        <v>313</v>
      </c>
      <c r="C138" s="331"/>
      <c r="D138" s="331"/>
      <c r="E138" s="332"/>
      <c r="F138" s="335">
        <v>0</v>
      </c>
    </row>
    <row r="139" spans="1:6">
      <c r="A139" s="330"/>
      <c r="B139" s="331" t="s">
        <v>314</v>
      </c>
      <c r="C139" s="331"/>
      <c r="D139" s="331"/>
      <c r="E139" s="332"/>
      <c r="F139" s="335">
        <v>0</v>
      </c>
    </row>
    <row r="140" spans="1:6">
      <c r="A140" s="330"/>
      <c r="B140" s="331" t="s">
        <v>315</v>
      </c>
      <c r="C140" s="331"/>
      <c r="D140" s="331"/>
      <c r="E140" s="332"/>
      <c r="F140" s="335">
        <v>97805743830</v>
      </c>
    </row>
    <row r="141" spans="1:6">
      <c r="A141" s="330" t="s">
        <v>316</v>
      </c>
      <c r="B141" s="331"/>
      <c r="C141" s="331"/>
      <c r="D141" s="331"/>
      <c r="E141" s="332"/>
      <c r="F141" s="335">
        <v>14282896261</v>
      </c>
    </row>
    <row r="142" spans="1:6">
      <c r="A142" s="348" t="s">
        <v>317</v>
      </c>
      <c r="B142" s="349"/>
      <c r="C142" s="349"/>
      <c r="D142" s="349"/>
      <c r="E142" s="350"/>
      <c r="F142" s="351">
        <v>7493145147713</v>
      </c>
    </row>
    <row r="143" spans="1:6">
      <c r="A143" s="330" t="s">
        <v>318</v>
      </c>
      <c r="B143" s="331"/>
      <c r="C143" s="331"/>
      <c r="D143" s="331"/>
      <c r="E143" s="332"/>
      <c r="F143" s="335">
        <v>35400000000</v>
      </c>
    </row>
    <row r="144" spans="1:6">
      <c r="A144" s="330"/>
      <c r="B144" s="331" t="s">
        <v>319</v>
      </c>
      <c r="C144" s="331"/>
      <c r="D144" s="331"/>
      <c r="E144" s="332"/>
      <c r="F144" s="335">
        <v>35400000000</v>
      </c>
    </row>
    <row r="145" spans="1:6">
      <c r="A145" s="330"/>
      <c r="B145" s="331" t="s">
        <v>320</v>
      </c>
      <c r="C145" s="331"/>
      <c r="D145" s="331"/>
      <c r="E145" s="332"/>
      <c r="F145" s="335">
        <v>0</v>
      </c>
    </row>
    <row r="146" spans="1:6">
      <c r="A146" s="330" t="s">
        <v>321</v>
      </c>
      <c r="B146" s="331"/>
      <c r="C146" s="331"/>
      <c r="D146" s="331"/>
      <c r="E146" s="332"/>
      <c r="F146" s="335">
        <v>37912781518</v>
      </c>
    </row>
    <row r="147" spans="1:6">
      <c r="A147" s="330"/>
      <c r="B147" s="331" t="s">
        <v>322</v>
      </c>
      <c r="C147" s="331"/>
      <c r="D147" s="331"/>
      <c r="E147" s="332"/>
      <c r="F147" s="335">
        <v>25978178290</v>
      </c>
    </row>
    <row r="148" spans="1:6">
      <c r="A148" s="330"/>
      <c r="B148" s="331" t="s">
        <v>323</v>
      </c>
      <c r="C148" s="331"/>
      <c r="D148" s="331"/>
      <c r="E148" s="332"/>
      <c r="F148" s="335">
        <v>0</v>
      </c>
    </row>
    <row r="149" spans="1:6">
      <c r="A149" s="330"/>
      <c r="B149" s="331" t="s">
        <v>324</v>
      </c>
      <c r="C149" s="331"/>
      <c r="D149" s="331"/>
      <c r="E149" s="332"/>
      <c r="F149" s="335">
        <v>11934603228</v>
      </c>
    </row>
    <row r="150" spans="1:6">
      <c r="A150" s="330"/>
      <c r="B150" s="331" t="s">
        <v>170</v>
      </c>
      <c r="C150" s="331"/>
      <c r="D150" s="331"/>
      <c r="E150" s="332"/>
      <c r="F150" s="335">
        <v>0</v>
      </c>
    </row>
    <row r="151" spans="1:6">
      <c r="A151" s="330" t="s">
        <v>325</v>
      </c>
      <c r="B151" s="331"/>
      <c r="C151" s="331"/>
      <c r="D151" s="331"/>
      <c r="E151" s="332"/>
      <c r="F151" s="335">
        <v>0</v>
      </c>
    </row>
    <row r="152" spans="1:6">
      <c r="A152" s="330"/>
      <c r="B152" s="331" t="s">
        <v>326</v>
      </c>
      <c r="C152" s="331"/>
      <c r="D152" s="331"/>
      <c r="E152" s="332"/>
      <c r="F152" s="335">
        <v>0</v>
      </c>
    </row>
    <row r="153" spans="1:6">
      <c r="A153" s="330"/>
      <c r="B153" s="331" t="s">
        <v>327</v>
      </c>
      <c r="C153" s="331"/>
      <c r="D153" s="331"/>
      <c r="E153" s="332"/>
      <c r="F153" s="335">
        <v>0</v>
      </c>
    </row>
    <row r="154" spans="1:6">
      <c r="A154" s="330" t="s">
        <v>328</v>
      </c>
      <c r="B154" s="331"/>
      <c r="C154" s="331"/>
      <c r="D154" s="331"/>
      <c r="E154" s="332"/>
      <c r="F154" s="335">
        <v>0</v>
      </c>
    </row>
    <row r="155" spans="1:6">
      <c r="A155" s="330"/>
      <c r="B155" s="331" t="s">
        <v>329</v>
      </c>
      <c r="C155" s="331"/>
      <c r="D155" s="331"/>
      <c r="E155" s="332"/>
      <c r="F155" s="335">
        <v>0</v>
      </c>
    </row>
    <row r="156" spans="1:6">
      <c r="A156" s="330"/>
      <c r="B156" s="331" t="s">
        <v>171</v>
      </c>
      <c r="C156" s="331"/>
      <c r="D156" s="331"/>
      <c r="E156" s="332"/>
      <c r="F156" s="335">
        <v>0</v>
      </c>
    </row>
    <row r="157" spans="1:6">
      <c r="A157" s="330"/>
      <c r="B157" s="331" t="s">
        <v>330</v>
      </c>
      <c r="C157" s="331"/>
      <c r="D157" s="331"/>
      <c r="E157" s="332"/>
      <c r="F157" s="335">
        <v>0</v>
      </c>
    </row>
    <row r="158" spans="1:6">
      <c r="A158" s="330" t="s">
        <v>331</v>
      </c>
      <c r="B158" s="331"/>
      <c r="C158" s="331"/>
      <c r="D158" s="331"/>
      <c r="E158" s="332"/>
      <c r="F158" s="335">
        <v>10143324164219.186</v>
      </c>
    </row>
    <row r="159" spans="1:6">
      <c r="A159" s="330"/>
      <c r="B159" s="331" t="s">
        <v>332</v>
      </c>
      <c r="C159" s="331"/>
      <c r="D159" s="331"/>
      <c r="E159" s="332"/>
      <c r="F159" s="335">
        <v>17700000000</v>
      </c>
    </row>
    <row r="160" spans="1:6">
      <c r="A160" s="330"/>
      <c r="B160" s="331" t="s">
        <v>333</v>
      </c>
      <c r="C160" s="331"/>
      <c r="D160" s="331"/>
      <c r="E160" s="352"/>
      <c r="F160" s="335">
        <v>2879575506</v>
      </c>
    </row>
    <row r="161" spans="1:6">
      <c r="A161" s="330"/>
      <c r="B161" s="331" t="s">
        <v>334</v>
      </c>
      <c r="C161" s="331"/>
      <c r="D161" s="331"/>
      <c r="E161" s="353"/>
      <c r="F161" s="335">
        <v>72622245077</v>
      </c>
    </row>
    <row r="162" spans="1:6">
      <c r="A162" s="330"/>
      <c r="B162" s="331" t="s">
        <v>335</v>
      </c>
      <c r="C162" s="331"/>
      <c r="D162" s="331"/>
      <c r="E162" s="353"/>
      <c r="F162" s="335">
        <v>4704265252793</v>
      </c>
    </row>
    <row r="163" spans="1:6">
      <c r="A163" s="330"/>
      <c r="B163" s="331" t="s">
        <v>336</v>
      </c>
      <c r="C163" s="331"/>
      <c r="D163" s="331"/>
      <c r="E163" s="353"/>
      <c r="F163" s="335">
        <v>131491430755.3847</v>
      </c>
    </row>
    <row r="164" spans="1:6">
      <c r="A164" s="330"/>
      <c r="B164" s="331" t="s">
        <v>337</v>
      </c>
      <c r="C164" s="331"/>
      <c r="D164" s="331"/>
      <c r="E164" s="353"/>
      <c r="F164" s="335">
        <v>3524045736264.8008</v>
      </c>
    </row>
    <row r="165" spans="1:6">
      <c r="A165" s="330"/>
      <c r="B165" s="331" t="s">
        <v>338</v>
      </c>
      <c r="C165" s="331"/>
      <c r="D165" s="331"/>
      <c r="E165" s="353"/>
      <c r="F165" s="335">
        <v>0</v>
      </c>
    </row>
    <row r="166" spans="1:6">
      <c r="A166" s="330"/>
      <c r="B166" s="331" t="s">
        <v>339</v>
      </c>
      <c r="C166" s="331"/>
      <c r="D166" s="331"/>
      <c r="E166" s="353"/>
      <c r="F166" s="335">
        <v>1690319923823</v>
      </c>
    </row>
    <row r="167" spans="1:6">
      <c r="A167" s="330" t="s">
        <v>340</v>
      </c>
      <c r="B167" s="331"/>
      <c r="C167" s="331"/>
      <c r="D167" s="331"/>
      <c r="E167" s="353"/>
      <c r="F167" s="335">
        <v>-152492009860</v>
      </c>
    </row>
    <row r="168" spans="1:6">
      <c r="A168" s="330"/>
      <c r="B168" s="331" t="s">
        <v>341</v>
      </c>
      <c r="C168" s="331"/>
      <c r="D168" s="331"/>
      <c r="E168" s="353"/>
      <c r="F168" s="335">
        <v>0</v>
      </c>
    </row>
    <row r="169" spans="1:6">
      <c r="A169" s="330"/>
      <c r="B169" s="331" t="s">
        <v>342</v>
      </c>
      <c r="C169" s="331"/>
      <c r="D169" s="331"/>
      <c r="E169" s="353"/>
      <c r="F169" s="335">
        <v>-152492009860</v>
      </c>
    </row>
    <row r="170" spans="1:6">
      <c r="A170" s="330"/>
      <c r="B170" s="331" t="s">
        <v>343</v>
      </c>
      <c r="C170" s="331"/>
      <c r="D170" s="331"/>
      <c r="E170" s="353"/>
      <c r="F170" s="335">
        <v>0</v>
      </c>
    </row>
    <row r="171" spans="1:6">
      <c r="A171" s="330" t="s">
        <v>344</v>
      </c>
      <c r="B171" s="331"/>
      <c r="C171" s="331"/>
      <c r="D171" s="331"/>
      <c r="E171" s="353"/>
      <c r="F171" s="335">
        <v>-2570999788164.186</v>
      </c>
    </row>
    <row r="172" spans="1:6">
      <c r="A172" s="340"/>
      <c r="B172" s="341" t="s">
        <v>329</v>
      </c>
      <c r="C172" s="341"/>
      <c r="D172" s="341"/>
      <c r="E172" s="342"/>
      <c r="F172" s="412">
        <v>-1852515991222.4021</v>
      </c>
    </row>
    <row r="173" spans="1:6">
      <c r="A173" s="340"/>
      <c r="B173" s="341" t="s">
        <v>345</v>
      </c>
      <c r="C173" s="341"/>
      <c r="D173" s="341"/>
      <c r="E173" s="413"/>
      <c r="F173" s="412">
        <v>11148982669</v>
      </c>
    </row>
    <row r="174" spans="1:6">
      <c r="A174" s="330"/>
      <c r="B174" s="331" t="s">
        <v>346</v>
      </c>
      <c r="C174" s="331"/>
      <c r="D174" s="331"/>
      <c r="E174" s="352"/>
      <c r="F174" s="339">
        <v>0</v>
      </c>
    </row>
    <row r="175" spans="1:6">
      <c r="A175" s="330"/>
      <c r="B175" s="331" t="s">
        <v>347</v>
      </c>
      <c r="C175" s="331"/>
      <c r="D175" s="331"/>
      <c r="E175" s="353"/>
      <c r="F175" s="335">
        <v>-1129733984358.7852</v>
      </c>
    </row>
    <row r="176" spans="1:6">
      <c r="A176" s="330"/>
      <c r="B176" s="331" t="s">
        <v>348</v>
      </c>
      <c r="C176" s="331"/>
      <c r="D176" s="331"/>
      <c r="E176" s="353"/>
      <c r="F176" s="335">
        <v>3024849488.9305</v>
      </c>
    </row>
    <row r="177" spans="1:6">
      <c r="A177" s="354"/>
      <c r="B177" s="347" t="s">
        <v>176</v>
      </c>
      <c r="C177" s="347"/>
      <c r="D177" s="347"/>
      <c r="E177" s="355"/>
      <c r="F177" s="335">
        <v>50961530708.610336</v>
      </c>
    </row>
    <row r="178" spans="1:6">
      <c r="A178" s="330"/>
      <c r="B178" s="331" t="s">
        <v>177</v>
      </c>
      <c r="C178" s="331"/>
      <c r="D178" s="331"/>
      <c r="E178" s="353"/>
      <c r="F178" s="335">
        <v>135877219548.46049</v>
      </c>
    </row>
    <row r="179" spans="1:6">
      <c r="A179" s="330"/>
      <c r="B179" s="331" t="s">
        <v>178</v>
      </c>
      <c r="C179" s="331"/>
      <c r="D179" s="331"/>
      <c r="E179" s="353"/>
      <c r="F179" s="335">
        <v>277271474622</v>
      </c>
    </row>
    <row r="180" spans="1:6">
      <c r="A180" s="330"/>
      <c r="B180" s="331" t="s">
        <v>179</v>
      </c>
      <c r="C180" s="331"/>
      <c r="D180" s="331"/>
      <c r="E180" s="353"/>
      <c r="F180" s="335">
        <v>-67033869620</v>
      </c>
    </row>
    <row r="181" spans="1:6">
      <c r="A181" s="330"/>
      <c r="B181" s="331" t="s">
        <v>180</v>
      </c>
      <c r="C181" s="331"/>
      <c r="D181" s="331"/>
      <c r="E181" s="353"/>
      <c r="F181" s="335">
        <v>0</v>
      </c>
    </row>
    <row r="182" spans="1:6">
      <c r="A182" s="356" t="s">
        <v>349</v>
      </c>
      <c r="B182" s="357"/>
      <c r="C182" s="357"/>
      <c r="D182" s="357"/>
      <c r="E182" s="358"/>
      <c r="F182" s="475">
        <v>55478145040758.102</v>
      </c>
    </row>
  </sheetData>
  <mergeCells count="1">
    <mergeCell ref="A2:D2"/>
  </mergeCells>
  <phoneticPr fontId="2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9"/>
  <sheetViews>
    <sheetView view="pageBreakPreview" zoomScale="85" zoomScaleNormal="85" zoomScaleSheetLayoutView="85" workbookViewId="0">
      <selection activeCell="G2" sqref="G2"/>
    </sheetView>
  </sheetViews>
  <sheetFormatPr defaultRowHeight="16.5"/>
  <cols>
    <col min="1" max="4" width="2.75" customWidth="1"/>
    <col min="6" max="6" width="31.125" customWidth="1"/>
    <col min="7" max="7" width="20.5" bestFit="1" customWidth="1"/>
  </cols>
  <sheetData>
    <row r="1" spans="1:7">
      <c r="G1" s="414" t="s">
        <v>216</v>
      </c>
    </row>
    <row r="2" spans="1:7">
      <c r="A2" s="596" t="s">
        <v>217</v>
      </c>
      <c r="B2" s="597"/>
      <c r="C2" s="597"/>
      <c r="D2" s="597"/>
      <c r="E2" s="598"/>
      <c r="F2" s="360" t="s">
        <v>159</v>
      </c>
      <c r="G2" s="333" t="s">
        <v>460</v>
      </c>
    </row>
    <row r="3" spans="1:7">
      <c r="A3" s="476" t="s">
        <v>350</v>
      </c>
      <c r="B3" s="361"/>
      <c r="C3" s="361"/>
      <c r="D3" s="361"/>
      <c r="E3" s="361"/>
      <c r="F3" s="362"/>
      <c r="G3" s="364">
        <v>402719072061.02393</v>
      </c>
    </row>
    <row r="4" spans="1:7">
      <c r="A4" s="363"/>
      <c r="B4" s="361" t="s">
        <v>351</v>
      </c>
      <c r="C4" s="361"/>
      <c r="D4" s="361"/>
      <c r="E4" s="361"/>
      <c r="F4" s="362"/>
      <c r="G4" s="364">
        <v>3776921664856</v>
      </c>
    </row>
    <row r="5" spans="1:7">
      <c r="A5" s="363"/>
      <c r="B5" s="361" t="s">
        <v>172</v>
      </c>
      <c r="C5" s="361"/>
      <c r="D5" s="361"/>
      <c r="E5" s="361"/>
      <c r="F5" s="362"/>
      <c r="G5" s="367">
        <v>2203960891057</v>
      </c>
    </row>
    <row r="6" spans="1:7">
      <c r="A6" s="365"/>
      <c r="B6" s="366"/>
      <c r="C6" s="366" t="s">
        <v>352</v>
      </c>
      <c r="D6" s="366"/>
      <c r="E6" s="366"/>
      <c r="F6" s="383"/>
      <c r="G6" s="367">
        <v>1250632504257</v>
      </c>
    </row>
    <row r="7" spans="1:7">
      <c r="A7" s="365"/>
      <c r="B7" s="366"/>
      <c r="C7" s="366" t="s">
        <v>353</v>
      </c>
      <c r="D7" s="366"/>
      <c r="E7" s="366"/>
      <c r="F7" s="383"/>
      <c r="G7" s="367">
        <v>52962271561</v>
      </c>
    </row>
    <row r="8" spans="1:7">
      <c r="A8" s="365"/>
      <c r="B8" s="366"/>
      <c r="C8" s="366" t="s">
        <v>354</v>
      </c>
      <c r="D8" s="366"/>
      <c r="E8" s="366"/>
      <c r="F8" s="383"/>
      <c r="G8" s="367">
        <v>114666001958</v>
      </c>
    </row>
    <row r="9" spans="1:7">
      <c r="A9" s="365"/>
      <c r="B9" s="366"/>
      <c r="C9" s="366" t="s">
        <v>355</v>
      </c>
      <c r="D9" s="366"/>
      <c r="E9" s="366"/>
      <c r="F9" s="383"/>
      <c r="G9" s="367">
        <v>4188955951</v>
      </c>
    </row>
    <row r="10" spans="1:7">
      <c r="A10" s="365"/>
      <c r="B10" s="366"/>
      <c r="C10" s="366" t="s">
        <v>356</v>
      </c>
      <c r="D10" s="366"/>
      <c r="E10" s="366"/>
      <c r="F10" s="383"/>
      <c r="G10" s="367">
        <v>38045242369</v>
      </c>
    </row>
    <row r="11" spans="1:7">
      <c r="A11" s="365"/>
      <c r="B11" s="366"/>
      <c r="C11" s="366" t="s">
        <v>357</v>
      </c>
      <c r="D11" s="366"/>
      <c r="E11" s="366"/>
      <c r="F11" s="383"/>
      <c r="G11" s="367">
        <v>322594221270</v>
      </c>
    </row>
    <row r="12" spans="1:7">
      <c r="A12" s="365"/>
      <c r="B12" s="366"/>
      <c r="C12" s="366" t="s">
        <v>358</v>
      </c>
      <c r="D12" s="366"/>
      <c r="E12" s="366"/>
      <c r="F12" s="383"/>
      <c r="G12" s="367">
        <v>448612442778</v>
      </c>
    </row>
    <row r="13" spans="1:7">
      <c r="A13" s="365"/>
      <c r="B13" s="366"/>
      <c r="C13" s="366" t="s">
        <v>359</v>
      </c>
      <c r="D13" s="366"/>
      <c r="E13" s="366"/>
      <c r="F13" s="383"/>
      <c r="G13" s="367">
        <v>-27740749087</v>
      </c>
    </row>
    <row r="14" spans="1:7">
      <c r="A14" s="365"/>
      <c r="B14" s="366"/>
      <c r="C14" s="366"/>
      <c r="D14" s="366" t="s">
        <v>360</v>
      </c>
      <c r="E14" s="366"/>
      <c r="F14" s="383"/>
      <c r="G14" s="367">
        <v>-27252711984</v>
      </c>
    </row>
    <row r="15" spans="1:7">
      <c r="A15" s="365"/>
      <c r="B15" s="366"/>
      <c r="C15" s="366"/>
      <c r="D15" s="366" t="s">
        <v>361</v>
      </c>
      <c r="E15" s="366"/>
      <c r="F15" s="383"/>
      <c r="G15" s="367">
        <v>-488037103</v>
      </c>
    </row>
    <row r="16" spans="1:7">
      <c r="A16" s="365"/>
      <c r="B16" s="366"/>
      <c r="C16" s="366" t="s">
        <v>362</v>
      </c>
      <c r="D16" s="366"/>
      <c r="E16" s="366"/>
      <c r="F16" s="383"/>
      <c r="G16" s="368">
        <v>0</v>
      </c>
    </row>
    <row r="17" spans="1:7">
      <c r="A17" s="365"/>
      <c r="B17" s="366"/>
      <c r="C17" s="366"/>
      <c r="D17" s="366" t="s">
        <v>363</v>
      </c>
      <c r="E17" s="366"/>
      <c r="F17" s="383"/>
      <c r="G17" s="367">
        <v>0</v>
      </c>
    </row>
    <row r="18" spans="1:7">
      <c r="A18" s="365"/>
      <c r="B18" s="366"/>
      <c r="C18" s="366"/>
      <c r="D18" s="366" t="s">
        <v>364</v>
      </c>
      <c r="E18" s="366"/>
      <c r="F18" s="383"/>
      <c r="G18" s="368">
        <v>0</v>
      </c>
    </row>
    <row r="19" spans="1:7">
      <c r="A19" s="365"/>
      <c r="B19" s="366"/>
      <c r="C19" s="366"/>
      <c r="D19" s="366" t="s">
        <v>175</v>
      </c>
      <c r="E19" s="366"/>
      <c r="F19" s="383"/>
      <c r="G19" s="368">
        <v>0</v>
      </c>
    </row>
    <row r="20" spans="1:7">
      <c r="A20" s="363"/>
      <c r="B20" s="361" t="s">
        <v>365</v>
      </c>
      <c r="C20" s="361"/>
      <c r="D20" s="361"/>
      <c r="E20" s="361"/>
      <c r="F20" s="362"/>
      <c r="G20" s="368">
        <v>1572960773799</v>
      </c>
    </row>
    <row r="21" spans="1:7">
      <c r="A21" s="365"/>
      <c r="B21" s="366" t="s">
        <v>366</v>
      </c>
      <c r="C21" s="366"/>
      <c r="D21" s="366"/>
      <c r="E21" s="366"/>
      <c r="F21" s="383"/>
      <c r="G21" s="367">
        <v>3295456662383</v>
      </c>
    </row>
    <row r="22" spans="1:7">
      <c r="A22" s="363"/>
      <c r="B22" s="361" t="s">
        <v>367</v>
      </c>
      <c r="C22" s="361"/>
      <c r="D22" s="361"/>
      <c r="E22" s="361"/>
      <c r="F22" s="362"/>
      <c r="G22" s="367">
        <v>1778981608756</v>
      </c>
    </row>
    <row r="23" spans="1:7">
      <c r="A23" s="365"/>
      <c r="B23" s="366"/>
      <c r="C23" s="366" t="s">
        <v>368</v>
      </c>
      <c r="D23" s="366"/>
      <c r="E23" s="366"/>
      <c r="F23" s="383"/>
      <c r="G23" s="367">
        <v>1225206655542</v>
      </c>
    </row>
    <row r="24" spans="1:7">
      <c r="A24" s="365"/>
      <c r="B24" s="366"/>
      <c r="C24" s="366" t="s">
        <v>369</v>
      </c>
      <c r="D24" s="366"/>
      <c r="E24" s="366"/>
      <c r="F24" s="383"/>
      <c r="G24" s="367">
        <v>56537376923</v>
      </c>
    </row>
    <row r="25" spans="1:7">
      <c r="A25" s="365"/>
      <c r="B25" s="366"/>
      <c r="C25" s="366" t="s">
        <v>370</v>
      </c>
      <c r="D25" s="366"/>
      <c r="E25" s="366"/>
      <c r="F25" s="383"/>
      <c r="G25" s="367">
        <v>117891492871</v>
      </c>
    </row>
    <row r="26" spans="1:7">
      <c r="A26" s="365"/>
      <c r="B26" s="366"/>
      <c r="C26" s="366" t="s">
        <v>371</v>
      </c>
      <c r="D26" s="366"/>
      <c r="E26" s="366"/>
      <c r="F26" s="383"/>
      <c r="G26" s="367">
        <v>6064454984</v>
      </c>
    </row>
    <row r="27" spans="1:7">
      <c r="A27" s="365"/>
      <c r="B27" s="366"/>
      <c r="C27" s="366" t="s">
        <v>372</v>
      </c>
      <c r="D27" s="366"/>
      <c r="E27" s="366"/>
      <c r="F27" s="383"/>
      <c r="G27" s="367">
        <v>-49831533967</v>
      </c>
    </row>
    <row r="28" spans="1:7">
      <c r="A28" s="365"/>
      <c r="B28" s="366"/>
      <c r="C28" s="366" t="s">
        <v>373</v>
      </c>
      <c r="D28" s="366"/>
      <c r="E28" s="366"/>
      <c r="F28" s="383"/>
      <c r="G28" s="367">
        <v>7664822906</v>
      </c>
    </row>
    <row r="29" spans="1:7">
      <c r="A29" s="365"/>
      <c r="B29" s="366"/>
      <c r="C29" s="366" t="s">
        <v>358</v>
      </c>
      <c r="D29" s="366"/>
      <c r="E29" s="366"/>
      <c r="F29" s="383"/>
      <c r="G29" s="367">
        <v>448612442778</v>
      </c>
    </row>
    <row r="30" spans="1:7">
      <c r="A30" s="365"/>
      <c r="B30" s="366"/>
      <c r="C30" s="366" t="s">
        <v>359</v>
      </c>
      <c r="D30" s="366"/>
      <c r="E30" s="366"/>
      <c r="F30" s="383"/>
      <c r="G30" s="367">
        <v>-27740749087</v>
      </c>
    </row>
    <row r="31" spans="1:7">
      <c r="A31" s="365"/>
      <c r="B31" s="366"/>
      <c r="C31" s="366" t="s">
        <v>374</v>
      </c>
      <c r="D31" s="366"/>
      <c r="E31" s="366"/>
      <c r="F31" s="383"/>
      <c r="G31" s="368">
        <v>-5423354194</v>
      </c>
    </row>
    <row r="32" spans="1:7">
      <c r="A32" s="363"/>
      <c r="B32" s="361" t="s">
        <v>375</v>
      </c>
      <c r="C32" s="361"/>
      <c r="D32" s="361"/>
      <c r="E32" s="361"/>
      <c r="F32" s="362"/>
      <c r="G32" s="368">
        <v>1516475053627</v>
      </c>
    </row>
    <row r="33" spans="1:7">
      <c r="A33" s="365"/>
      <c r="B33" s="366"/>
      <c r="C33" s="366" t="s">
        <v>368</v>
      </c>
      <c r="D33" s="366"/>
      <c r="E33" s="366"/>
      <c r="F33" s="383"/>
      <c r="G33" s="368">
        <v>1168828037087</v>
      </c>
    </row>
    <row r="34" spans="1:7">
      <c r="A34" s="365"/>
      <c r="B34" s="366"/>
      <c r="C34" s="366" t="s">
        <v>369</v>
      </c>
      <c r="D34" s="366"/>
      <c r="E34" s="366"/>
      <c r="F34" s="383"/>
      <c r="G34" s="368">
        <v>121091844934</v>
      </c>
    </row>
    <row r="35" spans="1:7">
      <c r="A35" s="365"/>
      <c r="B35" s="366"/>
      <c r="C35" s="366" t="s">
        <v>376</v>
      </c>
      <c r="D35" s="366"/>
      <c r="E35" s="366"/>
      <c r="F35" s="383"/>
      <c r="G35" s="368">
        <v>216281362</v>
      </c>
    </row>
    <row r="36" spans="1:7">
      <c r="A36" s="365"/>
      <c r="B36" s="366"/>
      <c r="C36" s="366" t="s">
        <v>377</v>
      </c>
      <c r="D36" s="366"/>
      <c r="E36" s="366"/>
      <c r="F36" s="383"/>
      <c r="G36" s="368">
        <v>-49664051450</v>
      </c>
    </row>
    <row r="37" spans="1:7">
      <c r="A37" s="365"/>
      <c r="B37" s="366"/>
      <c r="C37" s="366" t="s">
        <v>378</v>
      </c>
      <c r="D37" s="366"/>
      <c r="E37" s="366"/>
      <c r="F37" s="383"/>
      <c r="G37" s="368">
        <v>109237364719</v>
      </c>
    </row>
    <row r="38" spans="1:7">
      <c r="A38" s="365"/>
      <c r="B38" s="366"/>
      <c r="C38" s="366" t="s">
        <v>379</v>
      </c>
      <c r="D38" s="366"/>
      <c r="E38" s="366"/>
      <c r="F38" s="383"/>
      <c r="G38" s="368">
        <v>108088065767</v>
      </c>
    </row>
    <row r="39" spans="1:7">
      <c r="A39" s="365"/>
      <c r="B39" s="366"/>
      <c r="C39" s="366" t="s">
        <v>380</v>
      </c>
      <c r="D39" s="366"/>
      <c r="E39" s="366"/>
      <c r="F39" s="383"/>
      <c r="G39" s="368">
        <v>58677511208</v>
      </c>
    </row>
    <row r="40" spans="1:7">
      <c r="A40" s="365"/>
      <c r="B40" s="366" t="s">
        <v>381</v>
      </c>
      <c r="C40" s="366"/>
      <c r="D40" s="366"/>
      <c r="E40" s="366"/>
      <c r="F40" s="383"/>
      <c r="G40" s="367">
        <v>190553892164.44452</v>
      </c>
    </row>
    <row r="41" spans="1:7">
      <c r="A41" s="365"/>
      <c r="B41" s="366" t="s">
        <v>173</v>
      </c>
      <c r="C41" s="366"/>
      <c r="D41" s="366"/>
      <c r="E41" s="366"/>
      <c r="F41" s="383"/>
      <c r="G41" s="367">
        <v>36117548137</v>
      </c>
    </row>
    <row r="42" spans="1:7">
      <c r="A42" s="365"/>
      <c r="B42" s="366"/>
      <c r="C42" s="366" t="s">
        <v>382</v>
      </c>
      <c r="D42" s="366"/>
      <c r="E42" s="366"/>
      <c r="F42" s="383"/>
      <c r="G42" s="367">
        <v>14916666749</v>
      </c>
    </row>
    <row r="43" spans="1:7">
      <c r="A43" s="365"/>
      <c r="B43" s="366"/>
      <c r="C43" s="366" t="s">
        <v>369</v>
      </c>
      <c r="D43" s="366"/>
      <c r="E43" s="366"/>
      <c r="F43" s="383"/>
      <c r="G43" s="367">
        <v>2058593563</v>
      </c>
    </row>
    <row r="44" spans="1:7">
      <c r="A44" s="365"/>
      <c r="B44" s="366"/>
      <c r="C44" s="366" t="s">
        <v>383</v>
      </c>
      <c r="D44" s="366"/>
      <c r="E44" s="366"/>
      <c r="F44" s="383"/>
      <c r="G44" s="367">
        <v>-3449693586</v>
      </c>
    </row>
    <row r="45" spans="1:7">
      <c r="A45" s="365"/>
      <c r="B45" s="366"/>
      <c r="C45" s="366" t="s">
        <v>377</v>
      </c>
      <c r="D45" s="366"/>
      <c r="E45" s="366"/>
      <c r="F45" s="383"/>
      <c r="G45" s="367">
        <v>14209223438</v>
      </c>
    </row>
    <row r="46" spans="1:7">
      <c r="A46" s="365"/>
      <c r="B46" s="366"/>
      <c r="C46" s="366" t="s">
        <v>384</v>
      </c>
      <c r="D46" s="366"/>
      <c r="E46" s="366"/>
      <c r="F46" s="383"/>
      <c r="G46" s="367">
        <v>-38148681</v>
      </c>
    </row>
    <row r="47" spans="1:7">
      <c r="A47" s="365"/>
      <c r="B47" s="366"/>
      <c r="C47" s="366" t="s">
        <v>385</v>
      </c>
      <c r="D47" s="366"/>
      <c r="E47" s="366"/>
      <c r="F47" s="383"/>
      <c r="G47" s="367">
        <v>8420906654</v>
      </c>
    </row>
    <row r="48" spans="1:7">
      <c r="A48" s="363"/>
      <c r="B48" s="361" t="s">
        <v>386</v>
      </c>
      <c r="C48" s="361"/>
      <c r="D48" s="361"/>
      <c r="E48" s="361"/>
      <c r="F48" s="362"/>
      <c r="G48" s="368">
        <v>154436344027.44452</v>
      </c>
    </row>
    <row r="49" spans="1:7">
      <c r="A49" s="365"/>
      <c r="B49" s="366"/>
      <c r="C49" s="366" t="s">
        <v>382</v>
      </c>
      <c r="D49" s="366"/>
      <c r="E49" s="366"/>
      <c r="F49" s="383"/>
      <c r="G49" s="368">
        <v>84676860267.444519</v>
      </c>
    </row>
    <row r="50" spans="1:7">
      <c r="A50" s="365"/>
      <c r="B50" s="366"/>
      <c r="C50" s="366" t="s">
        <v>369</v>
      </c>
      <c r="D50" s="366"/>
      <c r="E50" s="366"/>
      <c r="F50" s="383"/>
      <c r="G50" s="368">
        <v>5640302462</v>
      </c>
    </row>
    <row r="51" spans="1:7">
      <c r="A51" s="365"/>
      <c r="B51" s="366"/>
      <c r="C51" s="366" t="s">
        <v>383</v>
      </c>
      <c r="D51" s="366"/>
      <c r="E51" s="366"/>
      <c r="F51" s="383"/>
      <c r="G51" s="368">
        <v>151338058</v>
      </c>
    </row>
    <row r="52" spans="1:7">
      <c r="A52" s="365"/>
      <c r="B52" s="366"/>
      <c r="C52" s="366" t="s">
        <v>377</v>
      </c>
      <c r="D52" s="366"/>
      <c r="E52" s="366"/>
      <c r="F52" s="383"/>
      <c r="G52" s="368">
        <v>63967843240</v>
      </c>
    </row>
    <row r="53" spans="1:7">
      <c r="A53" s="365"/>
      <c r="B53" s="366"/>
      <c r="C53" s="366" t="s">
        <v>387</v>
      </c>
      <c r="D53" s="366"/>
      <c r="E53" s="366"/>
      <c r="F53" s="383"/>
      <c r="G53" s="368">
        <v>0</v>
      </c>
    </row>
    <row r="54" spans="1:7">
      <c r="A54" s="365"/>
      <c r="B54" s="366" t="s">
        <v>388</v>
      </c>
      <c r="C54" s="366"/>
      <c r="D54" s="366"/>
      <c r="E54" s="366"/>
      <c r="F54" s="383"/>
      <c r="G54" s="367">
        <v>236290992360.44452</v>
      </c>
    </row>
    <row r="55" spans="1:7">
      <c r="A55" s="365"/>
      <c r="B55" s="366" t="s">
        <v>389</v>
      </c>
      <c r="C55" s="366"/>
      <c r="D55" s="366"/>
      <c r="E55" s="366"/>
      <c r="F55" s="383"/>
      <c r="G55" s="364">
        <v>45354645488</v>
      </c>
    </row>
    <row r="56" spans="1:7">
      <c r="A56" s="365"/>
      <c r="B56" s="366"/>
      <c r="C56" s="366" t="s">
        <v>390</v>
      </c>
      <c r="D56" s="366"/>
      <c r="E56" s="366"/>
      <c r="F56" s="383"/>
      <c r="G56" s="364">
        <v>36300380189</v>
      </c>
    </row>
    <row r="57" spans="1:7">
      <c r="A57" s="365"/>
      <c r="B57" s="366"/>
      <c r="C57" s="366" t="s">
        <v>391</v>
      </c>
      <c r="D57" s="366"/>
      <c r="E57" s="366"/>
      <c r="F57" s="383"/>
      <c r="G57" s="364">
        <v>4116063501</v>
      </c>
    </row>
    <row r="58" spans="1:7">
      <c r="A58" s="365"/>
      <c r="B58" s="366"/>
      <c r="C58" s="366" t="s">
        <v>392</v>
      </c>
      <c r="D58" s="366"/>
      <c r="E58" s="366"/>
      <c r="F58" s="383"/>
      <c r="G58" s="364">
        <v>1025269679</v>
      </c>
    </row>
    <row r="59" spans="1:7">
      <c r="A59" s="365"/>
      <c r="B59" s="366"/>
      <c r="C59" s="366" t="s">
        <v>393</v>
      </c>
      <c r="D59" s="366"/>
      <c r="E59" s="366"/>
      <c r="F59" s="383"/>
      <c r="G59" s="364">
        <v>-872220666</v>
      </c>
    </row>
    <row r="60" spans="1:7">
      <c r="A60" s="365"/>
      <c r="B60" s="366"/>
      <c r="C60" s="366" t="s">
        <v>394</v>
      </c>
      <c r="D60" s="366"/>
      <c r="E60" s="366"/>
      <c r="F60" s="383"/>
      <c r="G60" s="367">
        <v>-38148681</v>
      </c>
    </row>
    <row r="61" spans="1:7">
      <c r="A61" s="363"/>
      <c r="B61" s="361"/>
      <c r="C61" s="361" t="s">
        <v>395</v>
      </c>
      <c r="D61" s="361"/>
      <c r="E61" s="361"/>
      <c r="F61" s="362"/>
      <c r="G61" s="369">
        <v>4823301466</v>
      </c>
    </row>
    <row r="62" spans="1:7">
      <c r="A62" s="365"/>
      <c r="B62" s="366" t="s">
        <v>396</v>
      </c>
      <c r="C62" s="366"/>
      <c r="D62" s="366"/>
      <c r="E62" s="366"/>
      <c r="F62" s="383"/>
      <c r="G62" s="364">
        <v>190936346872.44452</v>
      </c>
    </row>
    <row r="63" spans="1:7">
      <c r="A63" s="363"/>
      <c r="B63" s="361" t="s">
        <v>397</v>
      </c>
      <c r="C63" s="361"/>
      <c r="D63" s="361"/>
      <c r="E63" s="361"/>
      <c r="F63" s="362"/>
      <c r="G63" s="369">
        <v>33008830215.976105</v>
      </c>
    </row>
    <row r="64" spans="1:7">
      <c r="A64" s="370" t="s">
        <v>398</v>
      </c>
      <c r="B64" s="371"/>
      <c r="C64" s="371"/>
      <c r="D64" s="371"/>
      <c r="E64" s="371"/>
      <c r="F64" s="372"/>
      <c r="G64" s="364">
        <v>243969186836.9761</v>
      </c>
    </row>
    <row r="65" spans="1:7">
      <c r="A65" s="370"/>
      <c r="B65" s="371" t="s">
        <v>399</v>
      </c>
      <c r="C65" s="371"/>
      <c r="D65" s="371"/>
      <c r="E65" s="371"/>
      <c r="F65" s="372"/>
      <c r="G65" s="364">
        <v>1006683964035</v>
      </c>
    </row>
    <row r="66" spans="1:7">
      <c r="A66" s="340"/>
      <c r="B66" s="341"/>
      <c r="C66" s="341" t="s">
        <v>400</v>
      </c>
      <c r="D66" s="341"/>
      <c r="E66" s="341"/>
      <c r="F66" s="342"/>
      <c r="G66" s="367">
        <v>1446625581.999999</v>
      </c>
    </row>
    <row r="67" spans="1:7">
      <c r="A67" s="340"/>
      <c r="B67" s="341"/>
      <c r="C67" s="341" t="s">
        <v>401</v>
      </c>
      <c r="D67" s="341"/>
      <c r="E67" s="341"/>
      <c r="F67" s="342"/>
      <c r="G67" s="367">
        <v>379046335405</v>
      </c>
    </row>
    <row r="68" spans="1:7">
      <c r="A68" s="340"/>
      <c r="B68" s="341"/>
      <c r="C68" s="341" t="s">
        <v>402</v>
      </c>
      <c r="D68" s="341"/>
      <c r="E68" s="341"/>
      <c r="F68" s="342"/>
      <c r="G68" s="367">
        <v>16006602429</v>
      </c>
    </row>
    <row r="69" spans="1:7">
      <c r="A69" s="340"/>
      <c r="B69" s="341"/>
      <c r="C69" s="341" t="s">
        <v>403</v>
      </c>
      <c r="D69" s="341"/>
      <c r="E69" s="341"/>
      <c r="F69" s="342"/>
      <c r="G69" s="367">
        <v>9905281193</v>
      </c>
    </row>
    <row r="70" spans="1:7">
      <c r="A70" s="340"/>
      <c r="B70" s="341"/>
      <c r="C70" s="341" t="s">
        <v>404</v>
      </c>
      <c r="D70" s="341"/>
      <c r="E70" s="341"/>
      <c r="F70" s="342"/>
      <c r="G70" s="367">
        <v>1344875656</v>
      </c>
    </row>
    <row r="71" spans="1:7">
      <c r="A71" s="340"/>
      <c r="B71" s="341"/>
      <c r="C71" s="341" t="s">
        <v>405</v>
      </c>
      <c r="D71" s="341"/>
      <c r="E71" s="341"/>
      <c r="F71" s="342"/>
      <c r="G71" s="367">
        <v>33372275209</v>
      </c>
    </row>
    <row r="72" spans="1:7">
      <c r="A72" s="340"/>
      <c r="B72" s="341"/>
      <c r="C72" s="341" t="s">
        <v>406</v>
      </c>
      <c r="D72" s="341"/>
      <c r="E72" s="341"/>
      <c r="F72" s="342"/>
      <c r="G72" s="367">
        <v>0</v>
      </c>
    </row>
    <row r="73" spans="1:7">
      <c r="A73" s="340"/>
      <c r="B73" s="341"/>
      <c r="C73" s="341" t="s">
        <v>174</v>
      </c>
      <c r="D73" s="341"/>
      <c r="E73" s="341"/>
      <c r="F73" s="342"/>
      <c r="G73" s="367">
        <v>86541353831</v>
      </c>
    </row>
    <row r="74" spans="1:7">
      <c r="A74" s="340"/>
      <c r="B74" s="341"/>
      <c r="C74" s="341" t="s">
        <v>407</v>
      </c>
      <c r="D74" s="341"/>
      <c r="E74" s="341"/>
      <c r="F74" s="342"/>
      <c r="G74" s="367">
        <v>0</v>
      </c>
    </row>
    <row r="75" spans="1:7">
      <c r="A75" s="340"/>
      <c r="B75" s="341"/>
      <c r="C75" s="341" t="s">
        <v>408</v>
      </c>
      <c r="D75" s="341"/>
      <c r="E75" s="341"/>
      <c r="F75" s="342"/>
      <c r="G75" s="367">
        <v>11738584301</v>
      </c>
    </row>
    <row r="76" spans="1:7">
      <c r="A76" s="365"/>
      <c r="B76" s="366"/>
      <c r="C76" s="366" t="s">
        <v>409</v>
      </c>
      <c r="D76" s="366"/>
      <c r="E76" s="366"/>
      <c r="F76" s="383"/>
      <c r="G76" s="367">
        <v>0</v>
      </c>
    </row>
    <row r="77" spans="1:7">
      <c r="A77" s="365"/>
      <c r="B77" s="366"/>
      <c r="C77" s="366" t="s">
        <v>410</v>
      </c>
      <c r="D77" s="366"/>
      <c r="E77" s="366"/>
      <c r="F77" s="383"/>
      <c r="G77" s="367">
        <v>0</v>
      </c>
    </row>
    <row r="78" spans="1:7">
      <c r="A78" s="340"/>
      <c r="B78" s="341"/>
      <c r="C78" s="341" t="s">
        <v>411</v>
      </c>
      <c r="D78" s="341"/>
      <c r="E78" s="341"/>
      <c r="F78" s="342"/>
      <c r="G78" s="367">
        <v>0</v>
      </c>
    </row>
    <row r="79" spans="1:7">
      <c r="A79" s="340"/>
      <c r="B79" s="341"/>
      <c r="C79" s="341" t="s">
        <v>412</v>
      </c>
      <c r="D79" s="341"/>
      <c r="E79" s="341"/>
      <c r="F79" s="342"/>
      <c r="G79" s="367">
        <v>200096559409</v>
      </c>
    </row>
    <row r="80" spans="1:7">
      <c r="A80" s="340"/>
      <c r="B80" s="341"/>
      <c r="C80" s="341" t="s">
        <v>413</v>
      </c>
      <c r="D80" s="341"/>
      <c r="E80" s="341"/>
      <c r="F80" s="342"/>
      <c r="G80" s="367">
        <v>7138321098</v>
      </c>
    </row>
    <row r="81" spans="1:7">
      <c r="A81" s="340"/>
      <c r="B81" s="341"/>
      <c r="C81" s="341" t="s">
        <v>414</v>
      </c>
      <c r="D81" s="341"/>
      <c r="E81" s="341"/>
      <c r="F81" s="342"/>
      <c r="G81" s="367">
        <v>2658391656</v>
      </c>
    </row>
    <row r="82" spans="1:7">
      <c r="A82" s="340"/>
      <c r="B82" s="341"/>
      <c r="C82" s="341" t="s">
        <v>415</v>
      </c>
      <c r="D82" s="341"/>
      <c r="E82" s="341"/>
      <c r="F82" s="373"/>
      <c r="G82" s="374">
        <v>125218934527</v>
      </c>
    </row>
    <row r="83" spans="1:7">
      <c r="A83" s="340"/>
      <c r="B83" s="341"/>
      <c r="C83" s="341" t="s">
        <v>416</v>
      </c>
      <c r="D83" s="341"/>
      <c r="E83" s="341"/>
      <c r="F83" s="342"/>
      <c r="G83" s="367">
        <v>0</v>
      </c>
    </row>
    <row r="84" spans="1:7">
      <c r="A84" s="340"/>
      <c r="B84" s="341"/>
      <c r="C84" s="341" t="s">
        <v>417</v>
      </c>
      <c r="D84" s="341"/>
      <c r="E84" s="341"/>
      <c r="F84" s="342"/>
      <c r="G84" s="367">
        <v>0</v>
      </c>
    </row>
    <row r="85" spans="1:7">
      <c r="A85" s="340"/>
      <c r="B85" s="341"/>
      <c r="C85" s="341" t="s">
        <v>418</v>
      </c>
      <c r="D85" s="341"/>
      <c r="E85" s="341"/>
      <c r="F85" s="342"/>
      <c r="G85" s="367">
        <v>0</v>
      </c>
    </row>
    <row r="86" spans="1:7">
      <c r="A86" s="340"/>
      <c r="B86" s="341"/>
      <c r="C86" s="341" t="s">
        <v>419</v>
      </c>
      <c r="D86" s="341"/>
      <c r="E86" s="341"/>
      <c r="F86" s="342"/>
      <c r="G86" s="367">
        <v>0</v>
      </c>
    </row>
    <row r="87" spans="1:7">
      <c r="A87" s="340"/>
      <c r="B87" s="341"/>
      <c r="C87" s="341" t="s">
        <v>420</v>
      </c>
      <c r="D87" s="341"/>
      <c r="E87" s="341"/>
      <c r="F87" s="342"/>
      <c r="G87" s="367">
        <v>0</v>
      </c>
    </row>
    <row r="88" spans="1:7">
      <c r="A88" s="340"/>
      <c r="B88" s="341"/>
      <c r="C88" s="341" t="s">
        <v>421</v>
      </c>
      <c r="D88" s="341"/>
      <c r="E88" s="341"/>
      <c r="F88" s="342"/>
      <c r="G88" s="367">
        <v>132169823739</v>
      </c>
    </row>
    <row r="89" spans="1:7">
      <c r="A89" s="340"/>
      <c r="B89" s="341" t="s">
        <v>422</v>
      </c>
      <c r="C89" s="341"/>
      <c r="D89" s="341"/>
      <c r="E89" s="341"/>
      <c r="F89" s="342"/>
      <c r="G89" s="367">
        <v>762714777198.02393</v>
      </c>
    </row>
    <row r="90" spans="1:7">
      <c r="A90" s="340"/>
      <c r="B90" s="341"/>
      <c r="C90" s="341" t="s">
        <v>423</v>
      </c>
      <c r="D90" s="341"/>
      <c r="E90" s="341"/>
      <c r="F90" s="342"/>
      <c r="G90" s="367">
        <v>195023973957</v>
      </c>
    </row>
    <row r="91" spans="1:7">
      <c r="A91" s="340"/>
      <c r="B91" s="341"/>
      <c r="C91" s="341" t="s">
        <v>424</v>
      </c>
      <c r="D91" s="341"/>
      <c r="E91" s="341"/>
      <c r="F91" s="342"/>
      <c r="G91" s="367">
        <v>95399682771</v>
      </c>
    </row>
    <row r="92" spans="1:7">
      <c r="A92" s="340"/>
      <c r="B92" s="341"/>
      <c r="C92" s="341" t="s">
        <v>425</v>
      </c>
      <c r="D92" s="341"/>
      <c r="E92" s="341"/>
      <c r="F92" s="342"/>
      <c r="G92" s="367">
        <v>10168039074.023897</v>
      </c>
    </row>
    <row r="93" spans="1:7">
      <c r="A93" s="340"/>
      <c r="B93" s="341"/>
      <c r="C93" s="341" t="s">
        <v>426</v>
      </c>
      <c r="D93" s="341"/>
      <c r="E93" s="341"/>
      <c r="F93" s="342"/>
      <c r="G93" s="367">
        <v>3470734752</v>
      </c>
    </row>
    <row r="94" spans="1:7">
      <c r="A94" s="340"/>
      <c r="B94" s="341"/>
      <c r="C94" s="341" t="s">
        <v>427</v>
      </c>
      <c r="D94" s="341"/>
      <c r="E94" s="341"/>
      <c r="F94" s="342"/>
      <c r="G94" s="367">
        <v>0</v>
      </c>
    </row>
    <row r="95" spans="1:7">
      <c r="A95" s="340"/>
      <c r="B95" s="341"/>
      <c r="C95" s="341" t="s">
        <v>428</v>
      </c>
      <c r="D95" s="341"/>
      <c r="E95" s="341"/>
      <c r="F95" s="342"/>
      <c r="G95" s="367">
        <v>9849714851</v>
      </c>
    </row>
    <row r="96" spans="1:7">
      <c r="A96" s="340"/>
      <c r="B96" s="341"/>
      <c r="C96" s="341" t="s">
        <v>429</v>
      </c>
      <c r="D96" s="341"/>
      <c r="E96" s="341"/>
      <c r="F96" s="342"/>
      <c r="G96" s="367">
        <v>0</v>
      </c>
    </row>
    <row r="97" spans="1:7">
      <c r="A97" s="340"/>
      <c r="B97" s="341"/>
      <c r="C97" s="341" t="s">
        <v>430</v>
      </c>
      <c r="D97" s="341"/>
      <c r="E97" s="341"/>
      <c r="F97" s="342"/>
      <c r="G97" s="367">
        <v>87324447756</v>
      </c>
    </row>
    <row r="98" spans="1:7">
      <c r="A98" s="340"/>
      <c r="B98" s="341"/>
      <c r="C98" s="341" t="s">
        <v>431</v>
      </c>
      <c r="D98" s="341"/>
      <c r="E98" s="341"/>
      <c r="F98" s="342"/>
      <c r="G98" s="367">
        <v>0</v>
      </c>
    </row>
    <row r="99" spans="1:7">
      <c r="A99" s="340"/>
      <c r="B99" s="341"/>
      <c r="C99" s="341" t="s">
        <v>432</v>
      </c>
      <c r="D99" s="341"/>
      <c r="E99" s="341"/>
      <c r="F99" s="342"/>
      <c r="G99" s="367">
        <v>22217342213</v>
      </c>
    </row>
    <row r="100" spans="1:7">
      <c r="A100" s="365"/>
      <c r="B100" s="366"/>
      <c r="C100" s="366" t="s">
        <v>433</v>
      </c>
      <c r="D100" s="366"/>
      <c r="E100" s="366"/>
      <c r="F100" s="383"/>
      <c r="G100" s="367">
        <v>0</v>
      </c>
    </row>
    <row r="101" spans="1:7">
      <c r="A101" s="365"/>
      <c r="B101" s="366"/>
      <c r="C101" s="366" t="s">
        <v>434</v>
      </c>
      <c r="D101" s="366"/>
      <c r="E101" s="366"/>
      <c r="F101" s="383"/>
      <c r="G101" s="367">
        <v>0</v>
      </c>
    </row>
    <row r="102" spans="1:7">
      <c r="A102" s="340"/>
      <c r="B102" s="341"/>
      <c r="C102" s="341" t="s">
        <v>435</v>
      </c>
      <c r="D102" s="341"/>
      <c r="E102" s="341"/>
      <c r="F102" s="342"/>
      <c r="G102" s="367">
        <v>167908040345</v>
      </c>
    </row>
    <row r="103" spans="1:7">
      <c r="A103" s="340"/>
      <c r="B103" s="341"/>
      <c r="C103" s="341" t="s">
        <v>436</v>
      </c>
      <c r="D103" s="341"/>
      <c r="E103" s="341"/>
      <c r="F103" s="342"/>
      <c r="G103" s="367">
        <v>139779369045</v>
      </c>
    </row>
    <row r="104" spans="1:7">
      <c r="A104" s="340"/>
      <c r="B104" s="341"/>
      <c r="C104" s="341" t="s">
        <v>437</v>
      </c>
      <c r="D104" s="341"/>
      <c r="E104" s="341"/>
      <c r="F104" s="342"/>
      <c r="G104" s="367">
        <v>2577851155</v>
      </c>
    </row>
    <row r="105" spans="1:7">
      <c r="A105" s="340"/>
      <c r="B105" s="341"/>
      <c r="C105" s="341" t="s">
        <v>438</v>
      </c>
      <c r="D105" s="341"/>
      <c r="E105" s="341"/>
      <c r="F105" s="342"/>
      <c r="G105" s="367">
        <v>21381077461</v>
      </c>
    </row>
    <row r="106" spans="1:7">
      <c r="A106" s="340"/>
      <c r="B106" s="341"/>
      <c r="C106" s="341" t="s">
        <v>439</v>
      </c>
      <c r="D106" s="341"/>
      <c r="E106" s="341"/>
      <c r="F106" s="342"/>
      <c r="G106" s="367">
        <v>0</v>
      </c>
    </row>
    <row r="107" spans="1:7">
      <c r="A107" s="340"/>
      <c r="B107" s="341"/>
      <c r="C107" s="341" t="s">
        <v>440</v>
      </c>
      <c r="D107" s="341"/>
      <c r="E107" s="341"/>
      <c r="F107" s="342"/>
      <c r="G107" s="367">
        <v>0</v>
      </c>
    </row>
    <row r="108" spans="1:7">
      <c r="A108" s="340"/>
      <c r="B108" s="341"/>
      <c r="C108" s="341" t="s">
        <v>441</v>
      </c>
      <c r="D108" s="341"/>
      <c r="E108" s="341"/>
      <c r="F108" s="342"/>
      <c r="G108" s="367">
        <v>808230109</v>
      </c>
    </row>
    <row r="109" spans="1:7">
      <c r="A109" s="340"/>
      <c r="B109" s="341"/>
      <c r="C109" s="341" t="s">
        <v>442</v>
      </c>
      <c r="D109" s="341"/>
      <c r="E109" s="341"/>
      <c r="F109" s="342"/>
      <c r="G109" s="367">
        <v>6474340159</v>
      </c>
    </row>
    <row r="110" spans="1:7">
      <c r="A110" s="340"/>
      <c r="B110" s="341"/>
      <c r="C110" s="341" t="s">
        <v>443</v>
      </c>
      <c r="D110" s="341"/>
      <c r="E110" s="341"/>
      <c r="F110" s="342"/>
      <c r="G110" s="367">
        <v>0</v>
      </c>
    </row>
    <row r="111" spans="1:7">
      <c r="A111" s="340"/>
      <c r="B111" s="341"/>
      <c r="C111" s="341" t="s">
        <v>444</v>
      </c>
      <c r="D111" s="341"/>
      <c r="E111" s="341"/>
      <c r="F111" s="342"/>
      <c r="G111" s="367">
        <v>0</v>
      </c>
    </row>
    <row r="112" spans="1:7">
      <c r="A112" s="340"/>
      <c r="B112" s="341"/>
      <c r="C112" s="341" t="s">
        <v>445</v>
      </c>
      <c r="D112" s="341"/>
      <c r="E112" s="341"/>
      <c r="F112" s="342"/>
      <c r="G112" s="367">
        <v>331933550</v>
      </c>
    </row>
    <row r="113" spans="1:7">
      <c r="A113" s="375" t="s">
        <v>446</v>
      </c>
      <c r="B113" s="376"/>
      <c r="C113" s="376"/>
      <c r="D113" s="376"/>
      <c r="E113" s="376"/>
      <c r="F113" s="377"/>
      <c r="G113" s="381">
        <v>646688258898</v>
      </c>
    </row>
    <row r="114" spans="1:7">
      <c r="A114" s="378" t="s">
        <v>447</v>
      </c>
      <c r="B114" s="379"/>
      <c r="C114" s="379"/>
      <c r="D114" s="379"/>
      <c r="E114" s="379"/>
      <c r="F114" s="380"/>
      <c r="G114" s="382">
        <v>-3377021134</v>
      </c>
    </row>
    <row r="115" spans="1:7">
      <c r="A115" s="340"/>
      <c r="B115" s="341" t="s">
        <v>448</v>
      </c>
      <c r="C115" s="341"/>
      <c r="D115" s="341"/>
      <c r="E115" s="341"/>
      <c r="F115" s="342"/>
      <c r="G115" s="367">
        <v>7645262241</v>
      </c>
    </row>
    <row r="116" spans="1:7">
      <c r="A116" s="340"/>
      <c r="B116" s="341" t="s">
        <v>449</v>
      </c>
      <c r="C116" s="341"/>
      <c r="D116" s="341"/>
      <c r="E116" s="341"/>
      <c r="F116" s="342"/>
      <c r="G116" s="367">
        <v>11022283375</v>
      </c>
    </row>
    <row r="117" spans="1:7">
      <c r="A117" s="375" t="s">
        <v>450</v>
      </c>
      <c r="B117" s="376"/>
      <c r="C117" s="376"/>
      <c r="D117" s="376"/>
      <c r="E117" s="376"/>
      <c r="F117" s="377"/>
      <c r="G117" s="381">
        <v>643311237764</v>
      </c>
    </row>
    <row r="118" spans="1:7">
      <c r="A118" s="370" t="s">
        <v>451</v>
      </c>
      <c r="B118" s="371"/>
      <c r="C118" s="371"/>
      <c r="D118" s="371"/>
      <c r="E118" s="371"/>
      <c r="F118" s="372"/>
      <c r="G118" s="364">
        <v>196324645579.3692</v>
      </c>
    </row>
    <row r="119" spans="1:7">
      <c r="A119" s="375" t="s">
        <v>452</v>
      </c>
      <c r="B119" s="376"/>
      <c r="C119" s="376"/>
      <c r="D119" s="376"/>
      <c r="E119" s="376"/>
      <c r="F119" s="377"/>
      <c r="G119" s="381">
        <v>446986592184.6308</v>
      </c>
    </row>
  </sheetData>
  <mergeCells count="1">
    <mergeCell ref="A2:E2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표지</vt:lpstr>
      <vt:lpstr>요약대차</vt:lpstr>
      <vt:lpstr>요약손익</vt:lpstr>
      <vt:lpstr>보험손익</vt:lpstr>
      <vt:lpstr>투자손익</vt:lpstr>
      <vt:lpstr>BEL,CSM변동</vt:lpstr>
      <vt:lpstr>원수보험료</vt:lpstr>
      <vt:lpstr>신규월납</vt:lpstr>
      <vt:lpstr>BS_Mar'25</vt:lpstr>
      <vt:lpstr>PL_'25.1Q</vt:lpstr>
      <vt:lpstr>보험손익!Print_Area</vt:lpstr>
      <vt:lpstr>요약손익!Print_Area</vt:lpstr>
      <vt:lpstr>원수보험료!Print_Area</vt:lpstr>
      <vt:lpstr>투자손익!Print_Area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2025-05-07T07:42:54Z</cp:lastPrinted>
  <dcterms:created xsi:type="dcterms:W3CDTF">2020-02-25T02:22:36Z</dcterms:created>
  <dcterms:modified xsi:type="dcterms:W3CDTF">2025-05-12T04:15:07Z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UtMTNUMTA6MTc6MTFaIiwicElEIjoyMDQ4LCJ0cmFjZUlkIjoiMDZGM0Y1MzQzNTc4NEY5RUIyMTAyNDg4MThFOTE5QkUiLCJ1c2VyQ29kZSI6IjEwNDA0MjkwIn0sIm5vZGUyIjp7ImRzZCI6IjAxMDAwMDAwMDAwMDIyMjIiLCJsb2dUaW1lIjoiMjAyNS0wNS0wN1QwODowMTowMVoiLCJwSUQiOjEsInRyYWNlSWQiOiIyODE3NkZGOUIyQjY0OEIwOUEyNUExNTlDNDI4NzIyMyIsInVzZXJDb2RlIjoiMTA0MDQyOTAifSwibm9kZTMiOnsiZHNkIjoiMDEwMDAwMDAwMDAwMjIyMiIsImxvZ1RpbWUiOiIyMDI1LTA1LTA4VDA0OjQxOjQyWiIsInBJRCI6MSwidHJhY2VJZCI6IjQ5NUIxRDZFOEQyMzQxNEZCQkMyNzYwQjEzMkY5MTkzIiwidXNlckNvZGUiOiIxMDQwNDI5MCJ9LCJub2RlNCI6eyJkc2QiOiIwMTAwMDAwMDAwMDAyMjIyIiwibG9nVGltZSI6IjIwMjUtMDUtMTJUMDM6NTQ6NTJaIiwicElEIjoxLCJ0cmFjZUlkIjoiQ0MxRTRDODZDMzhFNEM1MUIwREYzOENDRjY5MjEyOEUiLCJ1c2VyQ29kZSI6IjEwNDA0MjkwIn0sIm5vZGU1Ijp7ImRzZCI6IjAwMDAwMDAwMDAwMDAwMDAiLCJsb2dUaW1lIjoiMjAyNS0wNS0xMlQwNDoxNTozMFoiLCJwSUQiOjIwNDgsInRyYWNlSWQiOiI5OTU3MUE1NkJDMjg0ODVFOUI0OUFENTNBNzY2MkQzOSIsInVzZXJDb2RlIjoiMTA0MDQyOTAifSwibm9kZUNvdW50IjoxOX0=</vt:lpwstr>
  </property>
</Properties>
</file>