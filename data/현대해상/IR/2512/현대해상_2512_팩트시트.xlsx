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84.11.8\경영관리파트\05. IR\A01_IR\02_Factsheet\00-Factsheet-업로드용\국문\2025\"/>
    </mc:Choice>
  </mc:AlternateContent>
  <bookViews>
    <workbookView xWindow="0" yWindow="0" windowWidth="28800" windowHeight="10980" tabRatio="866"/>
  </bookViews>
  <sheets>
    <sheet name="cover_Q" sheetId="58" r:id="rId1"/>
    <sheet name="(1) Highlights" sheetId="48" r:id="rId2"/>
    <sheet name="(2) Premium" sheetId="49" r:id="rId3"/>
    <sheet name="(3) UW Income" sheetId="50" r:id="rId4"/>
    <sheet name="(4) Investment" sheetId="51" r:id="rId5"/>
    <sheet name="(5) IS" sheetId="52" r:id="rId6"/>
    <sheet name="(6) BS" sheetId="5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________new11" hidden="1">{#N/A,#N/A,FALSE,"유지율(1)";#N/A,#N/A,FALSE,"유지율(2)";#N/A,#N/A,FALSE,"유지율(3)"}</definedName>
    <definedName name="________new11" hidden="1">{#N/A,#N/A,FALSE,"유지율(1)";#N/A,#N/A,FALSE,"유지율(2)";#N/A,#N/A,FALSE,"유지율(3)"}</definedName>
    <definedName name="_______new11" hidden="1">{#N/A,#N/A,FALSE,"유지율(1)";#N/A,#N/A,FALSE,"유지율(2)";#N/A,#N/A,FALSE,"유지율(3)"}</definedName>
    <definedName name="______new11" hidden="1">{#N/A,#N/A,FALSE,"유지율(1)";#N/A,#N/A,FALSE,"유지율(2)";#N/A,#N/A,FALSE,"유지율(3)"}</definedName>
    <definedName name="_____new11" hidden="1">{#N/A,#N/A,FALSE,"유지율(1)";#N/A,#N/A,FALSE,"유지율(2)";#N/A,#N/A,FALSE,"유지율(3)"}</definedName>
    <definedName name="____new11" hidden="1">{#N/A,#N/A,FALSE,"유지율(1)";#N/A,#N/A,FALSE,"유지율(2)";#N/A,#N/A,FALSE,"유지율(3)"}</definedName>
    <definedName name="___new11" hidden="1">{#N/A,#N/A,FALSE,"유지율(1)";#N/A,#N/A,FALSE,"유지율(2)";#N/A,#N/A,FALSE,"유지율(3)"}</definedName>
    <definedName name="__123Graph_A" localSheetId="1" hidden="1">[1]목표세부명세!#REF!</definedName>
    <definedName name="__123Graph_A" localSheetId="2" hidden="1">[1]목표세부명세!#REF!</definedName>
    <definedName name="__123Graph_A" localSheetId="3" hidden="1">[1]목표세부명세!#REF!</definedName>
    <definedName name="__123Graph_A" localSheetId="4" hidden="1">[1]목표세부명세!#REF!</definedName>
    <definedName name="__123Graph_A" localSheetId="5" hidden="1">[1]목표세부명세!#REF!</definedName>
    <definedName name="__123Graph_A" hidden="1">[1]목표세부명세!#REF!</definedName>
    <definedName name="__123Graph_B" localSheetId="1" hidden="1">[1]목표세부명세!#REF!</definedName>
    <definedName name="__123Graph_B" localSheetId="2" hidden="1">[1]목표세부명세!#REF!</definedName>
    <definedName name="__123Graph_B" localSheetId="3" hidden="1">[1]목표세부명세!#REF!</definedName>
    <definedName name="__123Graph_B" localSheetId="4" hidden="1">[1]목표세부명세!#REF!</definedName>
    <definedName name="__123Graph_B" localSheetId="5" hidden="1">[1]목표세부명세!#REF!</definedName>
    <definedName name="__123Graph_B" hidden="1">[1]목표세부명세!#REF!</definedName>
    <definedName name="__new11" hidden="1">{#N/A,#N/A,FALSE,"유지율(1)";#N/A,#N/A,FALSE,"유지율(2)";#N/A,#N/A,FALSE,"유지율(3)"}</definedName>
    <definedName name="_1__123Graph_A차트_1" localSheetId="1" hidden="1">#REF!</definedName>
    <definedName name="_1__123Graph_A차트_1" localSheetId="2" hidden="1">#REF!</definedName>
    <definedName name="_1__123Graph_A차트_1" localSheetId="3" hidden="1">#REF!</definedName>
    <definedName name="_1__123Graph_A차트_1" localSheetId="4" hidden="1">#REF!</definedName>
    <definedName name="_1__123Graph_A차트_1" localSheetId="5" hidden="1">#REF!</definedName>
    <definedName name="_1__123Graph_A차트_1" hidden="1">#REF!</definedName>
    <definedName name="_2__123Graph_B차트_1" localSheetId="1" hidden="1">#REF!</definedName>
    <definedName name="_2__123Graph_B차트_1" localSheetId="2" hidden="1">#REF!</definedName>
    <definedName name="_2__123Graph_B차트_1" localSheetId="3" hidden="1">#REF!</definedName>
    <definedName name="_2__123Graph_B차트_1" localSheetId="4" hidden="1">#REF!</definedName>
    <definedName name="_2__123Graph_B차트_1" localSheetId="5" hidden="1">#REF!</definedName>
    <definedName name="_2__123Graph_B차트_1" hidden="1">#REF!</definedName>
    <definedName name="_3__123Graph_C차트_1" localSheetId="1" hidden="1">#REF!</definedName>
    <definedName name="_3__123Graph_C차트_1" localSheetId="2" hidden="1">#REF!</definedName>
    <definedName name="_3__123Graph_C차트_1" localSheetId="3" hidden="1">#REF!</definedName>
    <definedName name="_3__123Graph_C차트_1" localSheetId="4" hidden="1">#REF!</definedName>
    <definedName name="_3__123Graph_C차트_1" localSheetId="5" hidden="1">#REF!</definedName>
    <definedName name="_3__123Graph_C차트_1" hidden="1">#REF!</definedName>
    <definedName name="_Fill" localSheetId="1" hidden="1">[2]LIST!#REF!</definedName>
    <definedName name="_Fill" localSheetId="2" hidden="1">[2]LIST!#REF!</definedName>
    <definedName name="_Fill" localSheetId="3" hidden="1">[2]LIST!#REF!</definedName>
    <definedName name="_Fill" localSheetId="4" hidden="1">[2]LIST!#REF!</definedName>
    <definedName name="_Fill" localSheetId="5" hidden="1">[2]LIST!#REF!</definedName>
    <definedName name="_Fill" hidden="1">[2]LIST!#REF!</definedName>
    <definedName name="_xlnm._FilterDatabase" localSheetId="1" hidden="1">#REF!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hidden="1">#REF!</definedName>
    <definedName name="_MatInverse_Out" localSheetId="1" hidden="1">[3]Sheet3!#REF!</definedName>
    <definedName name="_MatInverse_Out" localSheetId="2" hidden="1">[3]Sheet3!#REF!</definedName>
    <definedName name="_MatInverse_Out" localSheetId="3" hidden="1">[3]Sheet3!#REF!</definedName>
    <definedName name="_MatInverse_Out" localSheetId="4" hidden="1">[3]Sheet3!#REF!</definedName>
    <definedName name="_MatInverse_Out" localSheetId="5" hidden="1">[3]Sheet3!#REF!</definedName>
    <definedName name="_MatInverse_Out" hidden="1">[3]Sheet3!#REF!</definedName>
    <definedName name="_MatMult_B" localSheetId="1" hidden="1">[3]Sheet3!#REF!</definedName>
    <definedName name="_MatMult_B" localSheetId="2" hidden="1">[3]Sheet3!#REF!</definedName>
    <definedName name="_MatMult_B" localSheetId="3" hidden="1">[3]Sheet3!#REF!</definedName>
    <definedName name="_MatMult_B" localSheetId="4" hidden="1">[3]Sheet3!#REF!</definedName>
    <definedName name="_MatMult_B" localSheetId="5" hidden="1">[3]Sheet3!#REF!</definedName>
    <definedName name="_MatMult_B" hidden="1">[3]Sheet3!#REF!</definedName>
    <definedName name="_new11" hidden="1">{#N/A,#N/A,FALSE,"유지율(1)";#N/A,#N/A,FALSE,"유지율(2)";#N/A,#N/A,FALSE,"유지율(3)"}</definedName>
    <definedName name="_Order1" hidden="1">0</definedName>
    <definedName name="_Order2" hidden="1">255</definedName>
    <definedName name="_Parse_In" localSheetId="1" hidden="1">#REF!</definedName>
    <definedName name="_Parse_In" localSheetId="2" hidden="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hidden="1">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hidden="1">#REF!</definedName>
    <definedName name="_Regression_Out" hidden="1">[4]대정예!$B$36:$B$36</definedName>
    <definedName name="_Regression_X" hidden="1">[4]대정예!$B$26:$V$26</definedName>
    <definedName name="_Regression_Y" hidden="1">[4]대정예!$B$27:$V$27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AA" hidden="1">{"'7-2지역별'!$A$1:$R$44"}</definedName>
    <definedName name="AAAA" localSheetId="1" hidden="1">[2]LIST!#REF!</definedName>
    <definedName name="AAAA" localSheetId="2" hidden="1">[2]LIST!#REF!</definedName>
    <definedName name="AAAA" localSheetId="3" hidden="1">[2]LIST!#REF!</definedName>
    <definedName name="AAAA" localSheetId="4" hidden="1">[2]LIST!#REF!</definedName>
    <definedName name="AAAA" localSheetId="5" hidden="1">[2]LIST!#REF!</definedName>
    <definedName name="AAAA" hidden="1">[2]LIST!#REF!</definedName>
    <definedName name="AB" hidden="1">{"'Sheet1'!$A$1:$J$57","'Sheet1'!$F$32:$F$35","'Sheet1'!$F$32:$F$36"}</definedName>
    <definedName name="afaga" hidden="1">{"'Sheet1'!$A$1:$J$57","'Sheet1'!$F$32:$F$35","'Sheet1'!$F$32:$F$36"}</definedName>
    <definedName name="AG" hidden="1">{"'Sheet1'!$A$1:$J$57","'Sheet1'!$F$32:$F$35","'Sheet1'!$F$32:$F$36"}</definedName>
    <definedName name="AS2DocOpenMode" hidden="1">"AS2DocumentEdit"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추정" hidden="1">{"'보고양식'!$A$58:$K$111"}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" localSheetId="1" hidden="1">[5]계속!#REF!</definedName>
    <definedName name="dd" localSheetId="2" hidden="1">[5]계속!#REF!</definedName>
    <definedName name="dd" localSheetId="3" hidden="1">[5]계속!#REF!</definedName>
    <definedName name="dd" localSheetId="4" hidden="1">[5]계속!#REF!</definedName>
    <definedName name="dd" localSheetId="5" hidden="1">[5]계속!#REF!</definedName>
    <definedName name="dd" hidden="1">[5]계속!#REF!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dd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dddddddd" hidden="1">{#N/A,#N/A,FALSE,"유지율(1)";#N/A,#N/A,FALSE,"유지율(2)";#N/A,#N/A,FALSE,"유지율(3)"}</definedName>
    <definedName name="dfddfd" hidden="1">{#N/A,#N/A,FALSE,"유지율(1)";#N/A,#N/A,FALSE,"유지율(2)";#N/A,#N/A,FALSE,"유지율(3)"}</definedName>
    <definedName name="dfdfafdsfdfd" hidden="1">{#N/A,#N/A,FALSE,"유지율(1)";#N/A,#N/A,FALSE,"유지율(2)";#N/A,#N/A,FALSE,"유지율(3)"}</definedName>
    <definedName name="dfdfdfdfdf" hidden="1">{#N/A,#N/A,FALSE,"유지율(1)";#N/A,#N/A,FALSE,"유지율(2)";#N/A,#N/A,FALSE,"유지율(3)"}</definedName>
    <definedName name="DH" hidden="1">{#N/A,#N/A,FALSE,"유지율(1)";#N/A,#N/A,FALSE,"유지율(2)";#N/A,#N/A,FALSE,"유지율(3)"}</definedName>
    <definedName name="dsdsds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ed" hidden="1">{"'보고양식'!$A$58:$K$111"}</definedName>
    <definedName name="EEEE" hidden="1">{#N/A,#N/A,FALSE,"유지율(1)";#N/A,#N/A,FALSE,"유지율(2)";#N/A,#N/A,FALSE,"유지율(3)"}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LL" localSheetId="1" hidden="1">#REF!</definedName>
    <definedName name="FILL" localSheetId="2" hidden="1">#REF!</definedName>
    <definedName name="FILL" localSheetId="3" hidden="1">#REF!</definedName>
    <definedName name="FILL" localSheetId="4" hidden="1">#REF!</definedName>
    <definedName name="FILL" localSheetId="5" hidden="1">#REF!</definedName>
    <definedName name="FILL" hidden="1">#REF!</definedName>
    <definedName name="FKFK" hidden="1">{#N/A,#N/A,FALSE,"유지율(1)";#N/A,#N/A,FALSE,"유지율(2)";#N/A,#N/A,FALSE,"유지율(3)"}</definedName>
    <definedName name="gk" hidden="1">{#N/A,#N/A,FALSE,"유지율(1)";#N/A,#N/A,FALSE,"유지율(2)";#N/A,#N/A,FALSE,"유지율(3)"}</definedName>
    <definedName name="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" hidden="1">{"'Sheet1'!$A$1:$J$57","'Sheet1'!$F$32:$F$35","'Sheet1'!$F$32:$F$36"}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" hidden="1">{"'Sheet1'!$A$1:$J$57","'Sheet1'!$F$32:$F$35","'Sheet1'!$F$32:$F$36"}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" hidden="1">{"'Sheet1'!$A$1:$J$57","'Sheet1'!$F$32:$F$35","'Sheet1'!$F$32:$F$36"}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j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dw" hidden="1">{#N/A,#N/A,FALSE,"유지율(1)";#N/A,#N/A,FALSE,"유지율(2)";#N/A,#N/A,FALSE,"유지율(3)"}</definedName>
    <definedName name="KHN" hidden="1">{"'보고양식'!$A$58:$K$111"}</definedName>
    <definedName name="kkk" hidden="1">{#N/A,#N/A,FALSE,"유지율(1)";#N/A,#N/A,FALSE,"유지율(2)";#N/A,#N/A,FALSE,"유지율(3)"}</definedName>
    <definedName name="KKP" hidden="1">{#N/A,#N/A,FALSE,"유지율(1)";#N/A,#N/A,FALSE,"유지율(2)";#N/A,#N/A,FALSE,"유지율(3)"}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gfgdgs" hidden="1">{#N/A,#N/A,FALSE,"유지율(1)";#N/A,#N/A,FALSE,"유지율(2)";#N/A,#N/A,FALSE,"유지율(3)"}</definedName>
    <definedName name="LKJJ" hidden="1">{#N/A,#N/A,FALSE,"유지율(1)";#N/A,#N/A,FALSE,"유지율(2)";#N/A,#N/A,FALSE,"유지율(3)"}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m" hidden="1">{#N/A,#N/A,FALSE,"유지율(1)";#N/A,#N/A,FALSE,"유지율(2)";#N/A,#N/A,FALSE,"유지율(3)"}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Print_Area" localSheetId="1">'(1) Highlights'!$A$1:$L$40</definedName>
    <definedName name="_xlnm.Print_Area" localSheetId="2">'(2) Premium'!$A$1:$N$26</definedName>
    <definedName name="_xlnm.Print_Area" localSheetId="3">'(3) UW Income'!$A$1:$M$33</definedName>
    <definedName name="_xlnm.Print_Area" localSheetId="4">'(4) Investment'!$A$1:$L$42</definedName>
    <definedName name="_xlnm.Print_Area" localSheetId="5">'(5) IS'!$A$1:$K$32</definedName>
    <definedName name="_xlnm.Print_Area" localSheetId="6">'(6) BS'!$A$1:$I$44</definedName>
    <definedName name="_xlnm.Print_Area" localSheetId="0">cover_Q!$A$1:$L$33</definedName>
    <definedName name="Pulsar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cruit.co.kr" hidden="1">{#N/A,#N/A,FALSE,"유지율(1)";#N/A,#N/A,FALSE,"유지율(2)";#N/A,#N/A,FALSE,"유지율(3)"}</definedName>
    <definedName name="rkdrkd" hidden="1">{#N/A,#N/A,FALSE,"유지율(1)";#N/A,#N/A,FALSE,"유지율(2)";#N/A,#N/A,FALSE,"유지율(3)"}</definedName>
    <definedName name="rkskak" hidden="1">{#N/A,#N/A,FALSE,"유지율(1)";#N/A,#N/A,FALSE,"유지율(2)";#N/A,#N/A,FALSE,"유지율(3)"}</definedName>
    <definedName name="SAPBEXdnldView" hidden="1">"419XS9RUH8RNHPOMVFCKW98L0"</definedName>
    <definedName name="SAPBEXsysID" hidden="1">"KPW"</definedName>
    <definedName name="sds" hidden="1">{"'보고양식'!$A$58:$K$111"}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ssssss" hidden="1">{#N/A,#N/A,FALSE,"유지율(1)";#N/A,#N/A,FALSE,"유지율(2)";#N/A,#N/A,FALSE,"유지율(3)"}</definedName>
    <definedName name="TextRefCopyRangeCount" hidden="1">5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s" hidden="1">{"'Sheet1'!$A$1:$J$57","'Sheet1'!$F$32:$F$35","'Sheet1'!$F$32:$F$36"}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kvk" hidden="1">{#N/A,#N/A,FALSE,"유지율(1)";#N/A,#N/A,FALSE,"유지율(2)";#N/A,#N/A,FALSE,"유지율(3)"}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{#N/A,#N/A,FALSE,"유지율(1)";#N/A,#N/A,FALSE,"유지율(2)";#N/A,#N/A,FALSE,"유지율(3)"}</definedName>
    <definedName name="wrn.Aging._.and._.Trend._.Analysis." hidden="1">{#N/A,#N/A,FALSE,"Aging Summary";#N/A,#N/A,FALSE,"Ratio Analysis";#N/A,#N/A,FALSE,"Test 120 Day Accts";#N/A,#N/A,FALSE,"Tickmarks"}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rep." hidden="1">{#N/A,#N/A,FALSE,"유지율(1)";#N/A,#N/A,FALSE,"유지율(2)";#N/A,#N/A,FALSE,"유지율(3)"}</definedName>
    <definedName name="wrn.보고서." hidden="1">{#N/A,#N/A,FALSE,"Sheet1";#N/A,#N/A,FALSE,"기평9607"}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hidden="1">{"'보고양식'!$A$58:$K$111"}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{#N/A,#N/A,FALSE,"Aging Summary";#N/A,#N/A,FALSE,"Ratio Analysis";#N/A,#N/A,FALSE,"Test 120 Day Accts";#N/A,#N/A,FALSE,"Tickmarks"}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각" hidden="1">{#N/A,#N/A,FALSE,"유지율(1)";#N/A,#N/A,FALSE,"유지율(2)";#N/A,#N/A,FALSE,"유지율(3)"}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님" hidden="1">{#N/A,#N/A,FALSE,"유지율(1)";#N/A,#N/A,FALSE,"유지율(2)";#N/A,#N/A,FALSE,"유지율(3)"}</definedName>
    <definedName name="강" hidden="1">{#N/A,#N/A,FALSE,"유지율(1)";#N/A,#N/A,FALSE,"유지율(2)";#N/A,#N/A,FALSE,"유지율(3)"}</definedName>
    <definedName name="강가" hidden="1">{#N/A,#N/A,FALSE,"유지율(1)";#N/A,#N/A,FALSE,"유지율(2)";#N/A,#N/A,FALSE,"유지율(3)"}</definedName>
    <definedName name="건물관리비" hidden="1">{#N/A,#N/A,FALSE,"유지율(1)";#N/A,#N/A,FALSE,"유지율(2)";#N/A,#N/A,FALSE,"유지율(3)"}</definedName>
    <definedName name="건전성" hidden="1">[6]연체대출!$A$9:$A$92</definedName>
    <definedName name="견적_최종2" hidden="1">{"'Sheet1'!$A$1:$J$57","'Sheet1'!$F$32:$F$35","'Sheet1'!$F$32:$F$36"}</definedName>
    <definedName name="경만" hidden="1">{#N/A,#N/A,FALSE,"유지율(1)";#N/A,#N/A,FALSE,"유지율(2)";#N/A,#N/A,FALSE,"유지율(3)"}</definedName>
    <definedName name="고" hidden="1">{#N/A,#N/A,FALSE,"유지율(1)";#N/A,#N/A,FALSE,"유지율(2)";#N/A,#N/A,FALSE,"유지율(3)"}</definedName>
    <definedName name="고객콜" hidden="1">{#N/A,#N/A,FALSE,"유지율(1)";#N/A,#N/A,FALSE,"유지율(2)";#N/A,#N/A,FALSE,"유지율(3)"}</definedName>
    <definedName name="고객콜2" hidden="1">{#N/A,#N/A,FALSE,"유지율(1)";#N/A,#N/A,FALSE,"유지율(2)";#N/A,#N/A,FALSE,"유지율(3)"}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대상자" hidden="1">{#N/A,#N/A,FALSE,"유지율(1)";#N/A,#N/A,FALSE,"유지율(2)";#N/A,#N/A,FALSE,"유지율(3)"}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공" localSheetId="1" hidden="1">'[7](실사조정)총괄'!#REF!</definedName>
    <definedName name="기공" localSheetId="2" hidden="1">'[7](실사조정)총괄'!#REF!</definedName>
    <definedName name="기공" localSheetId="3" hidden="1">'[7](실사조정)총괄'!#REF!</definedName>
    <definedName name="기공" localSheetId="4" hidden="1">'[7](실사조정)총괄'!#REF!</definedName>
    <definedName name="기공" localSheetId="5" hidden="1">'[7](실사조정)총괄'!#REF!</definedName>
    <definedName name="기공" hidden="1">'[7](실사조정)총괄'!#REF!</definedName>
    <definedName name="기본2" localSheetId="1" hidden="1">#REF!</definedName>
    <definedName name="기본2" localSheetId="2" hidden="1">#REF!</definedName>
    <definedName name="기본2" localSheetId="3" hidden="1">#REF!</definedName>
    <definedName name="기본2" localSheetId="4" hidden="1">#REF!</definedName>
    <definedName name="기본2" localSheetId="5" hidden="1">#REF!</definedName>
    <definedName name="기본2" hidden="1">#REF!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도완" hidden="1">{#N/A,#N/A,FALSE,"유지율(1)";#N/A,#N/A,FALSE,"유지율(2)";#N/A,#N/A,FALSE,"유지율(3)"}</definedName>
    <definedName name="김도완2" hidden="1">{#N/A,#N/A,FALSE,"유지율(1)";#N/A,#N/A,FALSE,"유지율(2)";#N/A,#N/A,FALSE,"유지율(3)"}</definedName>
    <definedName name="김동국" localSheetId="1" hidden="1">#REF!</definedName>
    <definedName name="김동국" localSheetId="2" hidden="1">#REF!</definedName>
    <definedName name="김동국" localSheetId="3" hidden="1">#REF!</definedName>
    <definedName name="김동국" localSheetId="4" hidden="1">#REF!</definedName>
    <definedName name="김동국" localSheetId="5" hidden="1">#REF!</definedName>
    <definedName name="김동국" hidden="1">#REF!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{#N/A,#N/A,FALSE,"Aging Summary";#N/A,#N/A,FALSE,"Ratio Analysis";#N/A,#N/A,FALSE,"Test 120 Day Accts";#N/A,#N/A,FALSE,"Tickmarks"}</definedName>
    <definedName name="ㄴㄴㄴㄴ" localSheetId="1" hidden="1">#REF!</definedName>
    <definedName name="ㄴㄴㄴㄴ" localSheetId="2" hidden="1">#REF!</definedName>
    <definedName name="ㄴㄴㄴㄴ" localSheetId="3" hidden="1">#REF!</definedName>
    <definedName name="ㄴㄴㄴㄴ" localSheetId="4" hidden="1">#REF!</definedName>
    <definedName name="ㄴㄴㄴㄴ" localSheetId="5" hidden="1">#REF!</definedName>
    <definedName name="ㄴㄴㄴㄴ" hidden="1">#REF!</definedName>
    <definedName name="ㄴㄴㄴㄴㄴ" localSheetId="1" hidden="1">#REF!</definedName>
    <definedName name="ㄴㄴㄴㄴㄴ" localSheetId="2" hidden="1">#REF!</definedName>
    <definedName name="ㄴㄴㄴㄴㄴ" localSheetId="3" hidden="1">#REF!</definedName>
    <definedName name="ㄴㄴㄴㄴㄴ" localSheetId="4" hidden="1">#REF!</definedName>
    <definedName name="ㄴㄴㄴㄴㄴ" localSheetId="5" hidden="1">#REF!</definedName>
    <definedName name="ㄴㄴㄴㄴㄴ" hidden="1">#REF!</definedName>
    <definedName name="ㄴㄹ" hidden="1">{#N/A,#N/A,FALSE,"유지율(1)";#N/A,#N/A,FALSE,"유지율(2)";#N/A,#N/A,FALSE,"유지율(3)"}</definedName>
    <definedName name="ㄴㅇ" hidden="1">{#N/A,#N/A,FALSE,"유지율(1)";#N/A,#N/A,FALSE,"유지율(2)";#N/A,#N/A,FALSE,"유지율(3)"}</definedName>
    <definedName name="ㄴ아론" hidden="1">{#N/A,#N/A,FALSE,"유지율(1)";#N/A,#N/A,FALSE,"유지율(2)";#N/A,#N/A,FALSE,"유지율(3)"}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넝ㅎ" hidden="1">{"'Sheet1'!$A$1:$J$57","'Sheet1'!$F$32:$F$35","'Sheet1'!$F$32:$F$36"}</definedName>
    <definedName name="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오토" hidden="1">{#N/A,#N/A,FALSE,"유지율(1)";#N/A,#N/A,FALSE,"유지율(2)";#N/A,#N/A,FALSE,"유지율(3)"}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개ㅑ딛" hidden="1">{#N/A,#N/A,FALSE,"유지율(1)";#N/A,#N/A,FALSE,"유지율(2)";#N/A,#N/A,FALSE,"유지율(3)"}</definedName>
    <definedName name="ㄷ재ㅑㄹ" hidden="1">{#N/A,#N/A,FALSE,"유지율(1)";#N/A,#N/A,FALSE,"유지율(2)";#N/A,#N/A,FALSE,"유지율(3)"}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구경북" hidden="1">{#N/A,#N/A,FALSE,"유지율(1)";#N/A,#N/A,FALSE,"유지율(2)";#N/A,#N/A,FALSE,"유지율(3)"}</definedName>
    <definedName name="대상" hidden="1">{#N/A,#N/A,FALSE,"유지율(1)";#N/A,#N/A,FALSE,"유지율(2)";#N/A,#N/A,FALSE,"유지율(3)"}</definedName>
    <definedName name="대상ㅈ" hidden="1">{#N/A,#N/A,FALSE,"유지율(1)";#N/A,#N/A,FALSE,"유지율(2)";#N/A,#N/A,FALSE,"유지율(3)"}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광증원1" localSheetId="1" hidden="1">#REF!</definedName>
    <definedName name="동광증원1" localSheetId="2" hidden="1">#REF!</definedName>
    <definedName name="동광증원1" localSheetId="3" hidden="1">#REF!</definedName>
    <definedName name="동광증원1" localSheetId="4" hidden="1">#REF!</definedName>
    <definedName name="동광증원1" localSheetId="5" hidden="1">#REF!</definedName>
    <definedName name="동광증원1" hidden="1">#REF!</definedName>
    <definedName name="두가지안22" hidden="1">{#N/A,#N/A,FALSE,"유지율(1)";#N/A,#N/A,FALSE,"유지율(2)";#N/A,#N/A,FALSE,"유지율(3)"}</definedName>
    <definedName name="등록추이" hidden="1">{#N/A,#N/A,FALSE,"유지율(1)";#N/A,#N/A,FALSE,"유지율(2)";#N/A,#N/A,FALSE,"유지율(3)"}</definedName>
    <definedName name="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hidden="1">{#N/A,#N/A,FALSE,"유지율(1)";#N/A,#N/A,FALSE,"유지율(2)";#N/A,#N/A,FALSE,"유지율(3)"}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hidden="1">{#N/A,#N/A,FALSE,"유지율(1)";#N/A,#N/A,FALSE,"유지율(2)";#N/A,#N/A,FALSE,"유지율(3)"}</definedName>
    <definedName name="ㄹㅇㄹㅇ" hidden="1">{#N/A,#N/A,FALSE,"유지율(1)";#N/A,#N/A,FALSE,"유지율(2)";#N/A,#N/A,FALSE,"유지율(3)"}</definedName>
    <definedName name="라라" hidden="1">{#N/A,#N/A,FALSE,"유지율(1)";#N/A,#N/A,FALSE,"유지율(2)";#N/A,#N/A,FALSE,"유지율(3)"}</definedName>
    <definedName name="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스트3" hidden="1">{#N/A,#N/A,FALSE,"유지율(1)";#N/A,#N/A,FALSE,"유지율(2)";#N/A,#N/A,FALSE,"유지율(3)"}</definedName>
    <definedName name="ㅁ" hidden="1">{#N/A,#N/A,FALSE,"유지율(1)";#N/A,#N/A,FALSE,"유지율(2)";#N/A,#N/A,FALSE,"유지율(3)"}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1" hidden="1">[2]LIST!#REF!</definedName>
    <definedName name="ㅁㅁㅁ" localSheetId="2" hidden="1">[2]LIST!#REF!</definedName>
    <definedName name="ㅁㅁㅁ" localSheetId="3" hidden="1">[2]LIST!#REF!</definedName>
    <definedName name="ㅁㅁㅁ" localSheetId="4" hidden="1">[2]LIST!#REF!</definedName>
    <definedName name="ㅁㅁㅁ" localSheetId="5" hidden="1">[2]LIST!#REF!</definedName>
    <definedName name="ㅁㅁㅁ" hidden="1">[2]LIST!#REF!</definedName>
    <definedName name="ㅁㅁㅁㅁㅁ" hidden="1">{#N/A,#N/A,FALSE,"유지율(1)";#N/A,#N/A,FALSE,"유지율(2)";#N/A,#N/A,FALSE,"유지율(3)"}</definedName>
    <definedName name="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梅兰日兰UPS" hidden="1">{"'Sheet1'!$A$1:$J$57","'Sheet1'!$F$32:$F$35","'Sheet1'!$F$32:$F$36"}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무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미" hidden="1">{#N/A,#N/A,FALSE,"유지율(1)";#N/A,#N/A,FALSE,"유지율(2)";#N/A,#N/A,FALSE,"유지율(3)"}</definedName>
    <definedName name="미인" hidden="1">{#N/A,#N/A,FALSE,"유지율(1)";#N/A,#N/A,FALSE,"유지율(2)";#N/A,#N/A,FALSE,"유지율(3)"}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1" hidden="1">[8]계속!#REF!</definedName>
    <definedName name="ㅂㅂ" localSheetId="2" hidden="1">[8]계속!#REF!</definedName>
    <definedName name="ㅂㅂ" localSheetId="3" hidden="1">[8]계속!#REF!</definedName>
    <definedName name="ㅂㅂ" localSheetId="4" hidden="1">[8]계속!#REF!</definedName>
    <definedName name="ㅂㅂ" localSheetId="5" hidden="1">[8]계속!#REF!</definedName>
    <definedName name="ㅂㅂ" hidden="1">[8]계속!#REF!</definedName>
    <definedName name="ㅂㅂㅂ" hidden="1">{#N/A,#N/A,FALSE,"유지율(1)";#N/A,#N/A,FALSE,"유지율(2)";#N/A,#N/A,FALSE,"유지율(3)"}</definedName>
    <definedName name="ㅂㅈㄷㅂㅈㅈ" hidden="1">{#N/A,#N/A,FALSE,"유지율(1)";#N/A,#N/A,FALSE,"유지율(2)";#N/A,#N/A,FALSE,"유지율(3)"}</definedName>
    <definedName name="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방카" hidden="1">{#N/A,#N/A,FALSE,"유지율(1)";#N/A,#N/A,FALSE,"유지율(2)";#N/A,#N/A,FALSE,"유지율(3)"}</definedName>
    <definedName name="방카3" hidden="1">{#N/A,#N/A,FALSE,"유지율(1)";#N/A,#N/A,FALSE,"유지율(2)";#N/A,#N/A,FALSE,"유지율(3)"}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" hidden="1">{#N/A,#N/A,FALSE,"유지율(1)";#N/A,#N/A,FALSE,"유지율(2)";#N/A,#N/A,FALSE,"유지율(3)"}</definedName>
    <definedName name="별첨3" hidden="1">{#N/A,#N/A,FALSE,"유지율(1)";#N/A,#N/A,FALSE,"유지율(2)";#N/A,#N/A,FALSE,"유지율(3)"}</definedName>
    <definedName name="별첨4" hidden="1">{#N/A,#N/A,FALSE,"유지율(1)";#N/A,#N/A,FALSE,"유지율(2)";#N/A,#N/A,FALSE,"유지율(3)"}</definedName>
    <definedName name="별첨자료" hidden="1">{#N/A,#N/A,FALSE,"유지율(1)";#N/A,#N/A,FALSE,"유지율(2)";#N/A,#N/A,FALSE,"유지율(3)"}</definedName>
    <definedName name="본부" hidden="1">{#N/A,#N/A,FALSE,"유지율(1)";#N/A,#N/A,FALSE,"유지율(2)";#N/A,#N/A,FALSE,"유지율(3)"}</definedName>
    <definedName name="본부1" hidden="1">{#N/A,#N/A,FALSE,"유지율(1)";#N/A,#N/A,FALSE,"유지율(2)";#N/A,#N/A,FALSE,"유지율(3)"}</definedName>
    <definedName name="본브" hidden="1">{#N/A,#N/A,FALSE,"유지율(1)";#N/A,#N/A,FALSE,"유지율(2)";#N/A,#N/A,FALSE,"유지율(3)"}</definedName>
    <definedName name="부천자동차사유" hidden="1">{#N/A,#N/A,FALSE,"유지율(1)";#N/A,#N/A,FALSE,"유지율(2)";#N/A,#N/A,FALSE,"유지율(3)"}</definedName>
    <definedName name="부천장기사유" hidden="1">{#N/A,#N/A,FALSE,"유지율(1)";#N/A,#N/A,FALSE,"유지율(2)";#N/A,#N/A,FALSE,"유지율(3)"}</definedName>
    <definedName name="ㅅㄴ" hidden="1">{"'Sheet1'!$A$1:$J$57","'Sheet1'!$F$32:$F$35","'Sheet1'!$F$32:$F$36"}</definedName>
    <definedName name="살려줘" hidden="1">{#N/A,#N/A,FALSE,"유지율(1)";#N/A,#N/A,FALSE,"유지율(2)";#N/A,#N/A,FALSE,"유지율(3)"}</definedName>
    <definedName name="상품" hidden="1">{#N/A,#N/A,FALSE,"유지율(1)";#N/A,#N/A,FALSE,"유지율(2)";#N/A,#N/A,FALSE,"유지율(3)"}</definedName>
    <definedName name="상희" hidden="1">{#N/A,#N/A,FALSE,"유지율(1)";#N/A,#N/A,FALSE,"유지율(2)";#N/A,#N/A,FALSE,"유지율(3)"}</definedName>
    <definedName name="새로" hidden="1">{#N/A,#N/A,FALSE,"유지율(1)";#N/A,#N/A,FALSE,"유지율(2)";#N/A,#N/A,FALSE,"유지율(3)"}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강" hidden="1">{#N/A,#N/A,FALSE,"유지율(1)";#N/A,#N/A,FALSE,"유지율(2)";#N/A,#N/A,FALSE,"유지율(3)"}</definedName>
    <definedName name="성과" hidden="1">{#N/A,#N/A,FALSE,"유지율(1)";#N/A,#N/A,FALSE,"유지율(2)";#N/A,#N/A,FALSE,"유지율(3)"}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급추이" hidden="1">{"'7-2지역별'!$A$1:$R$44"}</definedName>
    <definedName name="수입3" hidden="1">{"'7-2지역별'!$A$1:$R$44"}</definedName>
    <definedName name="수출순위" hidden="1">{"'7-2지역별'!$A$1:$R$44"}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상" hidden="1">{#N/A,#N/A,FALSE,"유지율(1)";#N/A,#N/A,FALSE,"유지율(2)";#N/A,#N/A,FALSE,"유지율(3)"}</definedName>
    <definedName name="시상1" hidden="1">{#N/A,#N/A,FALSE,"유지율(1)";#N/A,#N/A,FALSE,"유지율(2)";#N/A,#N/A,FALSE,"유지율(3)"}</definedName>
    <definedName name="시상2" hidden="1">{#N/A,#N/A,FALSE,"유지율(1)";#N/A,#N/A,FALSE,"유지율(2)";#N/A,#N/A,FALSE,"유지율(3)"}</definedName>
    <definedName name="시상ⅱ" hidden="1">{#N/A,#N/A,FALSE,"유지율(1)";#N/A,#N/A,FALSE,"유지율(2)";#N/A,#N/A,FALSE,"유지율(3)"}</definedName>
    <definedName name="시상금" hidden="1">{#N/A,#N/A,FALSE,"유지율(1)";#N/A,#N/A,FALSE,"유지율(2)";#N/A,#N/A,FALSE,"유지율(3)"}</definedName>
    <definedName name="시상수정" hidden="1">{#N/A,#N/A,FALSE,"유지율(1)";#N/A,#N/A,FALSE,"유지율(2)";#N/A,#N/A,FALSE,"유지율(3)"}</definedName>
    <definedName name="시상수정2" hidden="1">{#N/A,#N/A,FALSE,"유지율(1)";#N/A,#N/A,FALSE,"유지율(2)";#N/A,#N/A,FALSE,"유지율(3)"}</definedName>
    <definedName name="시상종하" hidden="1">{#N/A,#N/A,FALSE,"유지율(1)";#N/A,#N/A,FALSE,"유지율(2)";#N/A,#N/A,FALSE,"유지율(3)"}</definedName>
    <definedName name="시상종합" hidden="1">{#N/A,#N/A,FALSE,"유지율(1)";#N/A,#N/A,FALSE,"유지율(2)";#N/A,#N/A,FALSE,"유지율(3)"}</definedName>
    <definedName name="시작" hidden="1">{#N/A,#N/A,FALSE,"유지율(1)";#N/A,#N/A,FALSE,"유지율(2)";#N/A,#N/A,FALSE,"유지율(3)"}</definedName>
    <definedName name="시팔" hidden="1">{#N/A,#N/A,FALSE,"유지율(1)";#N/A,#N/A,FALSE,"유지율(2)";#N/A,#N/A,FALSE,"유지율(3)"}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1" hidden="1">[8]계속!#REF!</definedName>
    <definedName name="ㅇ" localSheetId="2" hidden="1">[8]계속!#REF!</definedName>
    <definedName name="ㅇ" localSheetId="3" hidden="1">[8]계속!#REF!</definedName>
    <definedName name="ㅇ" localSheetId="4" hidden="1">[8]계속!#REF!</definedName>
    <definedName name="ㅇ" localSheetId="5" hidden="1">[8]계속!#REF!</definedName>
    <definedName name="ㅇ" hidden="1">[8]계속!#REF!</definedName>
    <definedName name="ㅇㄴ" hidden="1">{#N/A,#N/A,FALSE,"유지율(1)";#N/A,#N/A,FALSE,"유지율(2)";#N/A,#N/A,FALSE,"유지율(3)"}</definedName>
    <definedName name="ㅇㄹㄴㅁ" hidden="1">{#N/A,#N/A,FALSE,"유지율(1)";#N/A,#N/A,FALSE,"유지율(2)";#N/A,#N/A,FALSE,"유지율(3)"}</definedName>
    <definedName name="ㅇㄹㅇㄹ" hidden="1">{#N/A,#N/A,FALSE,"유지율(1)";#N/A,#N/A,FALSE,"유지율(2)";#N/A,#N/A,FALSE,"유지율(3)"}</definedName>
    <definedName name="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hidden="1">{#N/A,#N/A,FALSE,"유지율(1)";#N/A,#N/A,FALSE,"유지율(2)";#N/A,#N/A,FALSE,"유지율(3)"}</definedName>
    <definedName name="ㅇㅎㄴ" hidden="1">{"'Sheet1'!$A$1:$J$57","'Sheet1'!$F$32:$F$35","'Sheet1'!$F$32:$F$36"}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계시험현황" hidden="1">{#N/A,#N/A,FALSE,"유지율(1)";#N/A,#N/A,FALSE,"유지율(2)";#N/A,#N/A,FALSE,"유지율(3)"}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수" hidden="1">{#N/A,#N/A,FALSE,"유지율(1)";#N/A,#N/A,FALSE,"유지율(2)";#N/A,#N/A,FALSE,"유지율(3)"}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험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험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기획" hidden="1">{#N/A,#N/A,FALSE,"유지율(1)";#N/A,#N/A,FALSE,"유지율(2)";#N/A,#N/A,FALSE,"유지율(3)"}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소ㄷ다" hidden="1">{#N/A,#N/A,FALSE,"유지율(1)";#N/A,#N/A,FALSE,"유지율(2)";#N/A,#N/A,FALSE,"유지율(3)"}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{#N/A,#N/A,FALSE,"유지율(1)";#N/A,#N/A,FALSE,"유지율(2)";#N/A,#N/A,FALSE,"유지율(3)"}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{#N/A,#N/A,FALSE,"유지율(1)";#N/A,#N/A,FALSE,"유지율(2)";#N/A,#N/A,FALSE,"유지율(3)"}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동" hidden="1">{#N/A,#N/A,FALSE,"유지율(1)";#N/A,#N/A,FALSE,"유지율(2)";#N/A,#N/A,FALSE,"유지율(3)"}</definedName>
    <definedName name="자료" hidden="1">{#N/A,#N/A,FALSE,"유지율(1)";#N/A,#N/A,FALSE,"유지율(2)";#N/A,#N/A,FALSE,"유지율(3)"}</definedName>
    <definedName name="장기조정" hidden="1">{"'보고양식'!$A$58:$K$111"}</definedName>
    <definedName name="전산비세부내역" hidden="1">{#N/A,#N/A,FALSE,"유지율(1)";#N/A,#N/A,FALSE,"유지율(2)";#N/A,#N/A,FALSE,"유지율(3)"}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전" hidden="1">{#N/A,#N/A,FALSE,"유지율(1)";#N/A,#N/A,FALSE,"유지율(2)";#N/A,#N/A,FALSE,"유지율(3)"}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보시스템2" hidden="1">{#N/A,#N/A,FALSE,"유지율(1)";#N/A,#N/A,FALSE,"유지율(2)";#N/A,#N/A,FALSE,"유지율(3)"}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조" localSheetId="1" hidden="1">#REF!</definedName>
    <definedName name="제조" localSheetId="2" hidden="1">#REF!</definedName>
    <definedName name="제조" localSheetId="3" hidden="1">#REF!</definedName>
    <definedName name="제조" localSheetId="4" hidden="1">#REF!</definedName>
    <definedName name="제조" localSheetId="5" hidden="1">#REF!</definedName>
    <definedName name="제조" hidden="1">#REF!</definedName>
    <definedName name="조별유형" localSheetId="1" hidden="1">#REF!</definedName>
    <definedName name="조별유형" localSheetId="2" hidden="1">#REF!</definedName>
    <definedName name="조별유형" localSheetId="3" hidden="1">#REF!</definedName>
    <definedName name="조별유형" localSheetId="4" hidden="1">#REF!</definedName>
    <definedName name="조별유형" localSheetId="5" hidden="1">#REF!</definedName>
    <definedName name="조별유형" hidden="1">#REF!</definedName>
    <definedName name="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력상품" hidden="1">{#N/A,#N/A,FALSE,"유지율(1)";#N/A,#N/A,FALSE,"유지율(2)";#N/A,#N/A,FALSE,"유지율(3)"}</definedName>
    <definedName name="중부" hidden="1">{#N/A,#N/A,FALSE,"유지율(1)";#N/A,#N/A,FALSE,"유지율(2)";#N/A,#N/A,FALSE,"유지율(3)"}</definedName>
    <definedName name="중부본" hidden="1">{#N/A,#N/A,FALSE,"유지율(1)";#N/A,#N/A,FALSE,"유지율(2)";#N/A,#N/A,FALSE,"유지율(3)"}</definedName>
    <definedName name="중부본부" hidden="1">{#N/A,#N/A,FALSE,"유지율(1)";#N/A,#N/A,FALSE,"유지율(2)";#N/A,#N/A,FALSE,"유지율(3)"}</definedName>
    <definedName name="지역본부" hidden="1">{#N/A,#N/A,FALSE,"유지율(1)";#N/A,#N/A,FALSE,"유지율(2)";#N/A,#N/A,FALSE,"유지율(3)"}</definedName>
    <definedName name="지점종합" hidden="1">{#N/A,#N/A,FALSE,"유지율(1)";#N/A,#N/A,FALSE,"유지율(2)";#N/A,#N/A,FALSE,"유지율(3)"}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금율2" hidden="1">{#N/A,#N/A,FALSE,"유지율(1)";#N/A,#N/A,FALSE,"유지율(2)";#N/A,#N/A,FALSE,"유지율(3)"}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고" hidden="1">{#N/A,#N/A,FALSE,"유지율(1)";#N/A,#N/A,FALSE,"유지율(2)";#N/A,#N/A,FALSE,"유지율(3)"}</definedName>
    <definedName name="总价12" hidden="1">{"'Sheet1'!$A$1:$J$57","'Sheet1'!$F$32:$F$35","'Sheet1'!$F$32:$F$36"}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예상" hidden="1">{#N/A,#N/A,FALSE,"유지율(1)";#N/A,#N/A,FALSE,"유지율(2)";#N/A,#N/A,FALSE,"유지율(3)"}</definedName>
    <definedName name="추공내역서" localSheetId="1" hidden="1">#REF!</definedName>
    <definedName name="추공내역서" localSheetId="2" hidden="1">#REF!</definedName>
    <definedName name="추공내역서" localSheetId="3" hidden="1">#REF!</definedName>
    <definedName name="추공내역서" localSheetId="4" hidden="1">#REF!</definedName>
    <definedName name="추공내역서" localSheetId="5" hidden="1">#REF!</definedName>
    <definedName name="추공내역서" hidden="1">#REF!</definedName>
    <definedName name="추정2" hidden="1">{#N/A,#N/A,FALSE,"유지율(1)";#N/A,#N/A,FALSE,"유지율(2)";#N/A,#N/A,FALSE,"유지율(3)"}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캠페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콜센터사업비" hidden="1">{#N/A,#N/A,FALSE,"유지율(1)";#N/A,#N/A,FALSE,"유지율(2)";#N/A,#N/A,FALSE,"유지율(3)"}</definedName>
    <definedName name="타사신규DATA" hidden="1">{#N/A,#N/A,FALSE,"유지율(1)";#N/A,#N/A,FALSE,"유지율(2)";#N/A,#N/A,FALSE,"유지율(3)"}</definedName>
    <definedName name="퇴" hidden="1">{#N/A,#N/A,FALSE,"유지율(1)";#N/A,#N/A,FALSE,"유지율(2)";#N/A,#N/A,FALSE,"유지율(3)"}</definedName>
    <definedName name="트레이너" hidden="1">{#N/A,#N/A,FALSE,"유지율(1)";#N/A,#N/A,FALSE,"유지율(2)";#N/A,#N/A,FALSE,"유지율(3)"}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명" hidden="1">{#N/A,#N/A,FALSE,"유지율(1)";#N/A,#N/A,FALSE,"유지율(2)";#N/A,#N/A,FALSE,"유지율(3)"}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준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생산1" hidden="1">{"'7-2지역별'!$A$1:$R$44"}</definedName>
    <definedName name="호남" hidden="1">{#N/A,#N/A,FALSE,"유지율(1)";#N/A,#N/A,FALSE,"유지율(2)";#N/A,#N/A,FALSE,"유지율(3)"}</definedName>
    <definedName name="호남본부" hidden="1">{#N/A,#N/A,FALSE,"유지율(1)";#N/A,#N/A,FALSE,"유지율(2)";#N/A,#N/A,FALSE,"유지율(3)"}</definedName>
    <definedName name="호남수정" hidden="1">{#N/A,#N/A,FALSE,"유지율(1)";#N/A,#N/A,FALSE,"유지율(2)";#N/A,#N/A,FALSE,"유지율(3)"}</definedName>
    <definedName name="호호호호호" hidden="1">{#N/A,#N/A,FALSE,"유지율(1)";#N/A,#N/A,FALSE,"유지율(2)";#N/A,#N/A,FALSE,"유지율(3)"}</definedName>
    <definedName name="홍" hidden="1">{#N/A,#N/A,FALSE,"유지율(1)";#N/A,#N/A,FALSE,"유지율(2)";#N/A,#N/A,FALSE,"유지율(3)"}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황재연" hidden="1">{#N/A,#N/A,FALSE,"유지율(1)";#N/A,#N/A,FALSE,"유지율(2)";#N/A,#N/A,FALSE,"유지율(3)"}</definedName>
    <definedName name="회의록" hidden="1">{#N/A,#N/A,FALSE,"유지율(1)";#N/A,#N/A,FALSE,"유지율(2)";#N/A,#N/A,FALSE,"유지율(3)"}</definedName>
    <definedName name="회의록1" hidden="1">{#N/A,#N/A,FALSE,"유지율(1)";#N/A,#N/A,FALSE,"유지율(2)";#N/A,#N/A,FALSE,"유지율(3)"}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후라" hidden="1">{#N/A,#N/A,FALSE,"유지율(1)";#N/A,#N/A,FALSE,"유지율(2)";#N/A,#N/A,FALSE,"유지율(3)"}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희의록" hidden="1">{#N/A,#N/A,FALSE,"유지율(1)";#N/A,#N/A,FALSE,"유지율(2)";#N/A,#N/A,FALSE,"유지율(3)"}</definedName>
    <definedName name="ㅏㅏ" hidden="1">{#N/A,#N/A,FALSE,"Aging Summary";#N/A,#N/A,FALSE,"Ratio Analysis";#N/A,#N/A,FALSE,"Test 120 Day Accts";#N/A,#N/A,FALSE,"Tickmarks"}</definedName>
    <definedName name="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ㅇㅀ" hidden="1">{#N/A,#N/A,FALSE,"유지율(1)";#N/A,#N/A,FALSE,"유지율(2)";#N/A,#N/A,FALSE,"유지율(3)"}</definedName>
    <definedName name="ㅗㅗ" hidden="1">{#N/A,#N/A,FALSE,"유지율(1)";#N/A,#N/A,FALSE,"유지율(2)";#N/A,#N/A,FALSE,"유지율(3)"}</definedName>
    <definedName name="ㅜㅜ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ㅣㅣ" hidden="1">{#N/A,#N/A,FALSE,"유지율(1)";#N/A,#N/A,FALSE,"유지율(2)";#N/A,#N/A,FALSE,"유지율(3)"}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51" l="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H21" i="51"/>
  <c r="H20" i="51"/>
  <c r="H19" i="51"/>
  <c r="H18" i="51"/>
  <c r="H16" i="51"/>
  <c r="H15" i="51"/>
  <c r="H14" i="51"/>
  <c r="H13" i="51"/>
  <c r="H12" i="51"/>
  <c r="H11" i="51"/>
  <c r="H9" i="51"/>
  <c r="H8" i="51"/>
  <c r="D6" i="48" l="1"/>
  <c r="E7" i="48"/>
  <c r="H7" i="48"/>
  <c r="K7" i="48"/>
  <c r="J7" i="48"/>
  <c r="J25" i="51"/>
  <c r="K25" i="51"/>
  <c r="H25" i="51"/>
  <c r="E25" i="51"/>
  <c r="D24" i="51"/>
  <c r="M6" i="49"/>
  <c r="L6" i="50" s="1"/>
  <c r="L6" i="49"/>
  <c r="K6" i="50" s="1"/>
  <c r="I6" i="49"/>
  <c r="I6" i="50" s="1"/>
  <c r="F6" i="49"/>
  <c r="F6" i="50" s="1"/>
  <c r="E5" i="49"/>
  <c r="E5" i="50" s="1"/>
  <c r="J6" i="48"/>
  <c r="E6" i="48"/>
  <c r="I5" i="51"/>
  <c r="D5" i="51"/>
  <c r="H10" i="51" l="1"/>
  <c r="H17" i="51"/>
  <c r="J24" i="51"/>
  <c r="E24" i="51"/>
  <c r="K5" i="50"/>
  <c r="F5" i="50"/>
  <c r="K18" i="48"/>
  <c r="J18" i="48"/>
  <c r="H18" i="48"/>
  <c r="E18" i="48"/>
  <c r="J17" i="48"/>
  <c r="E17" i="48"/>
  <c r="D17" i="48"/>
  <c r="K20" i="51" l="1"/>
  <c r="K7" i="51"/>
  <c r="K16" i="51"/>
  <c r="K14" i="51"/>
  <c r="K11" i="51"/>
  <c r="K19" i="51"/>
  <c r="K13" i="51"/>
  <c r="K21" i="51"/>
  <c r="K15" i="51"/>
  <c r="K9" i="51"/>
  <c r="K8" i="51"/>
  <c r="K18" i="51"/>
  <c r="K12" i="51"/>
  <c r="K17" i="51"/>
  <c r="H7" i="51"/>
  <c r="K10" i="51"/>
  <c r="K37" i="48" l="1"/>
  <c r="K34" i="48" l="1"/>
  <c r="K35" i="48"/>
  <c r="K36" i="48"/>
  <c r="E32" i="48" l="1"/>
  <c r="H32" i="48"/>
</calcChain>
</file>

<file path=xl/sharedStrings.xml><?xml version="1.0" encoding="utf-8"?>
<sst xmlns="http://schemas.openxmlformats.org/spreadsheetml/2006/main" count="284" uniqueCount="187">
  <si>
    <t>(특별계정부채)</t>
  </si>
  <si>
    <t>(단위:백만원)</t>
    <phoneticPr fontId="10" type="noConversion"/>
  </si>
  <si>
    <t>구성비</t>
  </si>
  <si>
    <t>YTD</t>
    <phoneticPr fontId="11" type="noConversion"/>
  </si>
  <si>
    <t>구 분</t>
    <phoneticPr fontId="2" type="noConversion"/>
  </si>
  <si>
    <t>운 용 자 산</t>
  </si>
  <si>
    <t>현·예금및예치금</t>
  </si>
  <si>
    <t>유가증권</t>
  </si>
  <si>
    <t>대출채권</t>
  </si>
  <si>
    <t>부동산</t>
  </si>
  <si>
    <t>비 운 용 자 산</t>
  </si>
  <si>
    <t>(특별계정자산)</t>
  </si>
  <si>
    <t>총   자   산</t>
  </si>
  <si>
    <t>책임준비금</t>
  </si>
  <si>
    <t>기타부채</t>
  </si>
  <si>
    <t>부 채  총 계</t>
  </si>
  <si>
    <t>자  본  금</t>
  </si>
  <si>
    <t>자본잉여금</t>
  </si>
  <si>
    <t>신종자본증권</t>
  </si>
  <si>
    <t>이익잉여금</t>
  </si>
  <si>
    <t>자본조정</t>
  </si>
  <si>
    <t>기타포괄손익</t>
  </si>
  <si>
    <t>자 본 총 계</t>
  </si>
  <si>
    <t>잔여보장요소</t>
    <phoneticPr fontId="2" type="noConversion"/>
  </si>
  <si>
    <t>최선추정</t>
    <phoneticPr fontId="2" type="noConversion"/>
  </si>
  <si>
    <t>위험조정</t>
    <phoneticPr fontId="2" type="noConversion"/>
  </si>
  <si>
    <t>보험계약마진</t>
    <phoneticPr fontId="2" type="noConversion"/>
  </si>
  <si>
    <t>보험료배분접근법적용</t>
    <phoneticPr fontId="2" type="noConversion"/>
  </si>
  <si>
    <t>발생사고요소</t>
    <phoneticPr fontId="2" type="noConversion"/>
  </si>
  <si>
    <t>- 해약환급금준비금</t>
    <phoneticPr fontId="2" type="noConversion"/>
  </si>
  <si>
    <t>(ROE)</t>
    <phoneticPr fontId="2" type="noConversion"/>
  </si>
  <si>
    <t>영업외손익</t>
    <phoneticPr fontId="2" type="noConversion"/>
  </si>
  <si>
    <t>보 험 손 익</t>
    <phoneticPr fontId="2" type="noConversion"/>
  </si>
  <si>
    <t>투 자 손 익</t>
    <phoneticPr fontId="2" type="noConversion"/>
  </si>
  <si>
    <t>영 업 이 익</t>
    <phoneticPr fontId="2" type="noConversion"/>
  </si>
  <si>
    <t>YoY</t>
    <phoneticPr fontId="2" type="noConversion"/>
  </si>
  <si>
    <t xml:space="preserve"> - 보험수익</t>
    <phoneticPr fontId="2" type="noConversion"/>
  </si>
  <si>
    <t xml:space="preserve"> - 보험서비스비용</t>
    <phoneticPr fontId="2" type="noConversion"/>
  </si>
  <si>
    <t xml:space="preserve"> - 재보험수익</t>
    <phoneticPr fontId="2" type="noConversion"/>
  </si>
  <si>
    <t xml:space="preserve"> - 재보험서비스비용</t>
    <phoneticPr fontId="2" type="noConversion"/>
  </si>
  <si>
    <t xml:space="preserve"> - 기타사업비용</t>
    <phoneticPr fontId="2" type="noConversion"/>
  </si>
  <si>
    <t>유가증권평가/처분 등</t>
  </si>
  <si>
    <t>파생/외환</t>
  </si>
  <si>
    <t>기  타</t>
  </si>
  <si>
    <t>이자/배당</t>
    <phoneticPr fontId="2" type="noConversion"/>
  </si>
  <si>
    <t>재산관리비</t>
  </si>
  <si>
    <t>유가증권평가/처분 등</t>
    <phoneticPr fontId="2" type="noConversion"/>
  </si>
  <si>
    <t xml:space="preserve"> - 보험계약부채</t>
    <phoneticPr fontId="2" type="noConversion"/>
  </si>
  <si>
    <t xml:space="preserve"> - 재보험계약부채</t>
    <phoneticPr fontId="2" type="noConversion"/>
  </si>
  <si>
    <t xml:space="preserve"> - 투자계약부채</t>
    <phoneticPr fontId="2" type="noConversion"/>
  </si>
  <si>
    <t xml:space="preserve"> - 당기손익-공정가치측정유가증권</t>
    <phoneticPr fontId="2" type="noConversion"/>
  </si>
  <si>
    <t xml:space="preserve"> - 기타포괄손익-공정가치측정유가증권</t>
    <phoneticPr fontId="2" type="noConversion"/>
  </si>
  <si>
    <t xml:space="preserve"> - 상각후원가측정유가증권</t>
    <phoneticPr fontId="2" type="noConversion"/>
  </si>
  <si>
    <t xml:space="preserve"> - 관계·종속기업투자주식</t>
    <phoneticPr fontId="2" type="noConversion"/>
  </si>
  <si>
    <t>보험료배분법적용수익</t>
  </si>
  <si>
    <t>발생손해액</t>
  </si>
  <si>
    <t>사업비</t>
  </si>
  <si>
    <t>예상손해액</t>
  </si>
  <si>
    <t>예상사업비</t>
  </si>
  <si>
    <t>실제사업비</t>
  </si>
  <si>
    <t>일반</t>
    <phoneticPr fontId="2" type="noConversion"/>
  </si>
  <si>
    <t>장기</t>
    <phoneticPr fontId="2" type="noConversion"/>
  </si>
  <si>
    <t>자동차</t>
    <phoneticPr fontId="2" type="noConversion"/>
  </si>
  <si>
    <t>구성비</t>
    <phoneticPr fontId="2" type="noConversion"/>
  </si>
  <si>
    <t>자 동 차</t>
  </si>
  <si>
    <t>일    반</t>
    <phoneticPr fontId="2" type="noConversion"/>
  </si>
  <si>
    <t>상   해</t>
  </si>
  <si>
    <t>운전자</t>
  </si>
  <si>
    <t>질   병</t>
  </si>
  <si>
    <t>인보험 소계</t>
  </si>
  <si>
    <t>재   물</t>
  </si>
  <si>
    <t>보장성 소계</t>
  </si>
  <si>
    <t>저   축</t>
  </si>
  <si>
    <t>개인연금</t>
  </si>
  <si>
    <t>저축성 소계</t>
  </si>
  <si>
    <t>기타사업비 (-)</t>
    <phoneticPr fontId="2" type="noConversion"/>
  </si>
  <si>
    <t>기타 재보험 손익 (+)</t>
    <phoneticPr fontId="2" type="noConversion"/>
  </si>
  <si>
    <t>기타보험서비스비용</t>
    <phoneticPr fontId="2" type="noConversion"/>
  </si>
  <si>
    <t>13회차 유지율</t>
    <phoneticPr fontId="2" type="noConversion"/>
  </si>
  <si>
    <t>25회차 유지율</t>
    <phoneticPr fontId="2" type="noConversion"/>
  </si>
  <si>
    <t>I. 경영실적 Highlights</t>
    <phoneticPr fontId="5" type="noConversion"/>
  </si>
  <si>
    <t>V. 요약 손익계산서</t>
    <phoneticPr fontId="5" type="noConversion"/>
  </si>
  <si>
    <t>VI. 요약 재무상태표</t>
    <phoneticPr fontId="5" type="noConversion"/>
  </si>
  <si>
    <t>2. 손 익</t>
    <phoneticPr fontId="5" type="noConversion"/>
  </si>
  <si>
    <t>(단위 : 백만원)</t>
    <phoneticPr fontId="10" type="noConversion"/>
  </si>
  <si>
    <t>(단위 : 백만원)</t>
    <phoneticPr fontId="10" type="noConversion"/>
  </si>
  <si>
    <t>총 자산</t>
    <phoneticPr fontId="2" type="noConversion"/>
  </si>
  <si>
    <t>자기자본</t>
    <phoneticPr fontId="2" type="noConversion"/>
  </si>
  <si>
    <t>지급여력비율 (K-ICS)</t>
    <phoneticPr fontId="2" type="noConversion"/>
  </si>
  <si>
    <t xml:space="preserve"> - 자동차</t>
    <phoneticPr fontId="2" type="noConversion"/>
  </si>
  <si>
    <t xml:space="preserve"> - 일   반</t>
    <phoneticPr fontId="2" type="noConversion"/>
  </si>
  <si>
    <t xml:space="preserve"> - 장   기</t>
    <phoneticPr fontId="2" type="noConversion"/>
  </si>
  <si>
    <t>(YTD)</t>
    <phoneticPr fontId="2" type="noConversion"/>
  </si>
  <si>
    <t>당기순이익</t>
    <phoneticPr fontId="2" type="noConversion"/>
  </si>
  <si>
    <t xml:space="preserve"> - 투자수익</t>
    <phoneticPr fontId="2" type="noConversion"/>
  </si>
  <si>
    <t xml:space="preserve"> - 투자비용</t>
    <phoneticPr fontId="2" type="noConversion"/>
  </si>
  <si>
    <t>세전이익</t>
    <phoneticPr fontId="2" type="noConversion"/>
  </si>
  <si>
    <t>법인세비용</t>
    <phoneticPr fontId="2" type="noConversion"/>
  </si>
  <si>
    <t>일반모형/변동수수료접근법</t>
    <phoneticPr fontId="2" type="noConversion"/>
  </si>
  <si>
    <t>보험료배분접근법</t>
    <phoneticPr fontId="2" type="noConversion"/>
  </si>
  <si>
    <t>일반모형</t>
    <phoneticPr fontId="2" type="noConversion"/>
  </si>
  <si>
    <t>일반모형</t>
    <phoneticPr fontId="2" type="noConversion"/>
  </si>
  <si>
    <t xml:space="preserve">보험료배분접근법 </t>
    <phoneticPr fontId="2" type="noConversion"/>
  </si>
  <si>
    <t>보험료배분접근법</t>
    <phoneticPr fontId="2" type="noConversion"/>
  </si>
  <si>
    <t>보험계약마진 상각</t>
    <phoneticPr fontId="2" type="noConversion"/>
  </si>
  <si>
    <t>보험계약마진 상각 (+)</t>
    <phoneticPr fontId="2" type="noConversion"/>
  </si>
  <si>
    <t>위험조정 변동 (+)</t>
    <phoneticPr fontId="2" type="noConversion"/>
  </si>
  <si>
    <t>위험조정 변동</t>
    <phoneticPr fontId="2" type="noConversion"/>
  </si>
  <si>
    <t>예상대비 실제 차이 (+)</t>
    <phoneticPr fontId="2" type="noConversion"/>
  </si>
  <si>
    <t xml:space="preserve"> - 보험금 예실차</t>
    <phoneticPr fontId="2" type="noConversion"/>
  </si>
  <si>
    <t xml:space="preserve"> - 사업비 예실차</t>
    <phoneticPr fontId="2" type="noConversion"/>
  </si>
  <si>
    <t>보험금융수익</t>
    <phoneticPr fontId="2" type="noConversion"/>
  </si>
  <si>
    <t>보험금융비용</t>
    <phoneticPr fontId="2" type="noConversion"/>
  </si>
  <si>
    <t>계약자지분조정</t>
    <phoneticPr fontId="2" type="noConversion"/>
  </si>
  <si>
    <t>IV. 운용자산 포트폴리오 및 투자손익</t>
    <phoneticPr fontId="5" type="noConversion"/>
  </si>
  <si>
    <t>3. 재 무</t>
    <phoneticPr fontId="5" type="noConversion"/>
  </si>
  <si>
    <t>보 험 손 익</t>
    <phoneticPr fontId="2" type="noConversion"/>
  </si>
  <si>
    <t>보 험 손 익 합계</t>
    <phoneticPr fontId="2" type="noConversion"/>
  </si>
  <si>
    <t>당 기 순 이 익</t>
    <phoneticPr fontId="2" type="noConversion"/>
  </si>
  <si>
    <t>III. 종목별 보험손익</t>
    <phoneticPr fontId="5" type="noConversion"/>
  </si>
  <si>
    <t>주) 보험계약마진 잔액 : 보유 기준</t>
    <phoneticPr fontId="2" type="noConversion"/>
  </si>
  <si>
    <t>발생손해액</t>
    <phoneticPr fontId="2" type="noConversion"/>
  </si>
  <si>
    <t xml:space="preserve">보험계약마진 잔액 </t>
    <phoneticPr fontId="2" type="noConversion"/>
  </si>
  <si>
    <t>보 험 손 익</t>
    <phoneticPr fontId="2" type="noConversion"/>
  </si>
  <si>
    <t>투 자 손 익</t>
    <phoneticPr fontId="2" type="noConversion"/>
  </si>
  <si>
    <t>1. 보험료</t>
    <phoneticPr fontId="5" type="noConversion"/>
  </si>
  <si>
    <t>II. 보험료 및 유지율 현황</t>
    <phoneticPr fontId="5" type="noConversion"/>
  </si>
  <si>
    <t xml:space="preserve"> - 매도가능증권</t>
    <phoneticPr fontId="2" type="noConversion"/>
  </si>
  <si>
    <t xml:space="preserve"> - 만기보유증권</t>
    <phoneticPr fontId="2" type="noConversion"/>
  </si>
  <si>
    <t xml:space="preserve"> - 당기손익인식증권</t>
    <phoneticPr fontId="2" type="noConversion"/>
  </si>
  <si>
    <t>투자이익률</t>
    <phoneticPr fontId="2" type="noConversion"/>
  </si>
  <si>
    <t>투 자 손 익</t>
    <phoneticPr fontId="2" type="noConversion"/>
  </si>
  <si>
    <t>투자손익 (보험금융손익 제외)</t>
    <phoneticPr fontId="2" type="noConversion"/>
  </si>
  <si>
    <t xml:space="preserve"> - 채권 외</t>
    <phoneticPr fontId="27" type="noConversion"/>
  </si>
  <si>
    <t>Factsheet</t>
    <phoneticPr fontId="11" type="noConversion"/>
  </si>
  <si>
    <t xml:space="preserve"> Contents</t>
    <phoneticPr fontId="27" type="noConversion"/>
  </si>
  <si>
    <t>주) ROE : 연간 환산 기준</t>
    <phoneticPr fontId="17" type="noConversion"/>
  </si>
  <si>
    <t>※ 장기보험 신계약(월납환산) 실적</t>
    <phoneticPr fontId="3" type="noConversion"/>
  </si>
  <si>
    <t>합  계</t>
    <phoneticPr fontId="2" type="noConversion"/>
  </si>
  <si>
    <t/>
  </si>
  <si>
    <t>인보험 (월납환산)</t>
    <phoneticPr fontId="2" type="noConversion"/>
  </si>
  <si>
    <t xml:space="preserve"> I. 경영실적 Highlights</t>
    <phoneticPr fontId="2" type="noConversion"/>
  </si>
  <si>
    <t>Ⅱ. 보험료 및 유지율 현황</t>
    <phoneticPr fontId="2" type="noConversion"/>
  </si>
  <si>
    <t>Ⅲ. 종목별 보험손익</t>
    <phoneticPr fontId="2" type="noConversion"/>
  </si>
  <si>
    <t>Ⅳ. 운용자산 포트폴리오 및 투자손익</t>
    <phoneticPr fontId="2" type="noConversion"/>
  </si>
  <si>
    <t>Ⅴ. 요약 손익계산서</t>
    <phoneticPr fontId="2" type="noConversion"/>
  </si>
  <si>
    <t>Ⅵ. 요약 재무상태표</t>
    <phoneticPr fontId="2" type="noConversion"/>
  </si>
  <si>
    <t>※ 재무상태표</t>
    <phoneticPr fontId="2" type="noConversion"/>
  </si>
  <si>
    <t>※ 포괄 손익계산서</t>
    <phoneticPr fontId="2" type="noConversion"/>
  </si>
  <si>
    <t>출자금 등</t>
    <phoneticPr fontId="23" type="noConversion"/>
  </si>
  <si>
    <t>관계·종속기업투자주식</t>
    <phoneticPr fontId="23" type="noConversion"/>
  </si>
  <si>
    <t>대 출 채 권</t>
    <phoneticPr fontId="5" type="noConversion"/>
  </si>
  <si>
    <t>운용자산 계</t>
    <phoneticPr fontId="5" type="noConversion"/>
  </si>
  <si>
    <t>현·예금및예치금</t>
    <phoneticPr fontId="5" type="noConversion"/>
  </si>
  <si>
    <t>주  식</t>
    <phoneticPr fontId="23" type="noConversion"/>
  </si>
  <si>
    <t>채  권</t>
    <phoneticPr fontId="23" type="noConversion"/>
  </si>
  <si>
    <t xml:space="preserve"> - 국공채</t>
    <phoneticPr fontId="23" type="noConversion"/>
  </si>
  <si>
    <t xml:space="preserve"> - 특수채 및 금융채</t>
    <phoneticPr fontId="23" type="noConversion"/>
  </si>
  <si>
    <t xml:space="preserve"> - 회사채</t>
    <phoneticPr fontId="23" type="noConversion"/>
  </si>
  <si>
    <t>수익증권</t>
    <phoneticPr fontId="23" type="noConversion"/>
  </si>
  <si>
    <t>외화유가증권</t>
    <phoneticPr fontId="23" type="noConversion"/>
  </si>
  <si>
    <t xml:space="preserve"> - 채권</t>
    <phoneticPr fontId="27" type="noConversion"/>
  </si>
  <si>
    <t>부   동   산</t>
    <phoneticPr fontId="5" type="noConversion"/>
  </si>
  <si>
    <t>발생사고요소조정</t>
    <phoneticPr fontId="2" type="noConversion"/>
  </si>
  <si>
    <t>손실부담계약관련비용 (-)</t>
    <phoneticPr fontId="2" type="noConversion"/>
  </si>
  <si>
    <t>장    기 (신계약)</t>
    <phoneticPr fontId="2" type="noConversion"/>
  </si>
  <si>
    <t>QoQ</t>
    <phoneticPr fontId="2" type="noConversion"/>
  </si>
  <si>
    <t>2024. 12월 말</t>
    <phoneticPr fontId="11" type="noConversion"/>
  </si>
  <si>
    <t>YTD</t>
    <phoneticPr fontId="11" type="noConversion"/>
  </si>
  <si>
    <t>24.4Q</t>
    <phoneticPr fontId="2" type="noConversion"/>
  </si>
  <si>
    <t>YoY</t>
    <phoneticPr fontId="2" type="noConversion"/>
  </si>
  <si>
    <t>QoQ</t>
    <phoneticPr fontId="2" type="noConversion"/>
  </si>
  <si>
    <t>QoQ</t>
    <phoneticPr fontId="2" type="noConversion"/>
  </si>
  <si>
    <t>YoY</t>
    <phoneticPr fontId="2" type="noConversion"/>
  </si>
  <si>
    <t>YoY</t>
    <phoneticPr fontId="2" type="noConversion"/>
  </si>
  <si>
    <t>QoQ</t>
    <phoneticPr fontId="2" type="noConversion"/>
  </si>
  <si>
    <t>YoY</t>
    <phoneticPr fontId="2" type="noConversion"/>
  </si>
  <si>
    <t>25.3Q</t>
    <phoneticPr fontId="2" type="noConversion"/>
  </si>
  <si>
    <t>QoQ</t>
    <phoneticPr fontId="2" type="noConversion"/>
  </si>
  <si>
    <t>YoY</t>
    <phoneticPr fontId="2" type="noConversion"/>
  </si>
  <si>
    <t>YoY</t>
    <phoneticPr fontId="2" type="noConversion"/>
  </si>
  <si>
    <t>2025년 4분기</t>
    <phoneticPr fontId="11" type="noConversion"/>
  </si>
  <si>
    <t xml:space="preserve"> ※ 본 자료는 2025 년도 4분기 경영실적에 대한 외부 감사인의 감사보고서를 제공 받지 못한 상태에서 
    투자자의 편의를 위하여 작성된 자료입니다. 따라서 본 경영실적과 관련하여 자료 내용 중 
    일부는 회계감사 결과에 따라 달라질 수 있음을 양지하시기 바랍니다. </t>
    <phoneticPr fontId="2" type="noConversion"/>
  </si>
  <si>
    <t>25.4Q</t>
    <phoneticPr fontId="2" type="noConversion"/>
  </si>
  <si>
    <t>25.4Q
누계</t>
    <phoneticPr fontId="2" type="noConversion"/>
  </si>
  <si>
    <t>24.4Q
누계</t>
    <phoneticPr fontId="2" type="noConversion"/>
  </si>
  <si>
    <t>2025. 12월 말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</si>
</sst>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#,##0_ "/>
    <numFmt numFmtId="177" formatCode="0.0%"/>
    <numFmt numFmtId="178" formatCode="0_ ;[Red]\-0\ "/>
    <numFmt numFmtId="179" formatCode="#,##0_ ;[Red]\-#,##0\ "/>
    <numFmt numFmtId="180" formatCode="0.00%\p"/>
    <numFmt numFmtId="181" formatCode="0.0%\p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name val="뼻뮝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현대해상 고딕 Light"/>
      <family val="3"/>
      <charset val="129"/>
    </font>
    <font>
      <b/>
      <sz val="9"/>
      <name val="현대해상 고딕 Light"/>
      <family val="3"/>
      <charset val="129"/>
    </font>
    <font>
      <sz val="11"/>
      <color theme="1"/>
      <name val="현대해상 고딕 Light"/>
      <family val="3"/>
      <charset val="129"/>
    </font>
    <font>
      <sz val="10"/>
      <color indexed="12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3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name val="MS Sans Serif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9"/>
      <color theme="1"/>
      <name val="맑은 고딕"/>
      <family val="3"/>
      <charset val="129"/>
    </font>
    <font>
      <sz val="15"/>
      <name val="맑은 고딕"/>
      <family val="3"/>
      <charset val="129"/>
      <scheme val="minor"/>
    </font>
    <font>
      <b/>
      <i/>
      <sz val="47"/>
      <name val="맑은 고딕"/>
      <family val="3"/>
      <charset val="129"/>
      <scheme val="minor"/>
    </font>
    <font>
      <b/>
      <i/>
      <sz val="45"/>
      <name val="맑은 고딕"/>
      <family val="3"/>
      <charset val="129"/>
      <scheme val="minor"/>
    </font>
    <font>
      <b/>
      <i/>
      <sz val="4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.5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.5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u/>
      <sz val="1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18D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26" fillId="6" borderId="0"/>
    <xf numFmtId="9" fontId="3" fillId="0" borderId="0" applyFont="0" applyFill="0" applyBorder="0" applyAlignment="0" applyProtection="0"/>
    <xf numFmtId="0" fontId="28" fillId="0" borderId="0">
      <alignment vertical="center"/>
    </xf>
    <xf numFmtId="41" fontId="4" fillId="0" borderId="0" applyFont="0" applyFill="0" applyBorder="0" applyAlignment="0" applyProtection="0"/>
    <xf numFmtId="0" fontId="4" fillId="0" borderId="0"/>
  </cellStyleXfs>
  <cellXfs count="591">
    <xf numFmtId="0" fontId="0" fillId="0" borderId="0" xfId="0">
      <alignment vertical="center"/>
    </xf>
    <xf numFmtId="38" fontId="7" fillId="2" borderId="0" xfId="0" applyNumberFormat="1" applyFont="1" applyFill="1" applyBorder="1" applyAlignment="1">
      <alignment vertical="center"/>
    </xf>
    <xf numFmtId="177" fontId="7" fillId="2" borderId="0" xfId="0" applyNumberFormat="1" applyFont="1" applyFill="1" applyBorder="1" applyAlignment="1">
      <alignment vertical="center"/>
    </xf>
    <xf numFmtId="0" fontId="14" fillId="2" borderId="0" xfId="0" applyFont="1" applyFill="1" applyAlignment="1"/>
    <xf numFmtId="0" fontId="6" fillId="3" borderId="0" xfId="0" applyFont="1" applyFill="1">
      <alignment vertical="center"/>
    </xf>
    <xf numFmtId="177" fontId="12" fillId="3" borderId="13" xfId="2" applyNumberFormat="1" applyFont="1" applyFill="1" applyBorder="1">
      <alignment vertical="center"/>
    </xf>
    <xf numFmtId="38" fontId="7" fillId="3" borderId="0" xfId="0" applyNumberFormat="1" applyFont="1" applyFill="1" applyBorder="1" applyAlignment="1">
      <alignment vertical="center"/>
    </xf>
    <xf numFmtId="38" fontId="8" fillId="3" borderId="0" xfId="0" applyNumberFormat="1" applyFont="1" applyFill="1" applyBorder="1" applyAlignment="1">
      <alignment vertical="center"/>
    </xf>
    <xf numFmtId="38" fontId="9" fillId="3" borderId="0" xfId="0" applyNumberFormat="1" applyFont="1" applyFill="1" applyBorder="1" applyAlignment="1">
      <alignment vertical="center"/>
    </xf>
    <xf numFmtId="177" fontId="9" fillId="3" borderId="0" xfId="0" applyNumberFormat="1" applyFont="1" applyFill="1" applyBorder="1" applyAlignment="1">
      <alignment horizontal="center" vertical="center"/>
    </xf>
    <xf numFmtId="177" fontId="9" fillId="3" borderId="0" xfId="0" applyNumberFormat="1" applyFont="1" applyFill="1" applyBorder="1" applyAlignment="1">
      <alignment vertical="center"/>
    </xf>
    <xf numFmtId="38" fontId="15" fillId="3" borderId="0" xfId="0" applyNumberFormat="1" applyFont="1" applyFill="1" applyBorder="1" applyAlignment="1">
      <alignment vertical="center"/>
    </xf>
    <xf numFmtId="0" fontId="16" fillId="3" borderId="0" xfId="0" applyFont="1" applyFill="1">
      <alignment vertical="center"/>
    </xf>
    <xf numFmtId="0" fontId="0" fillId="3" borderId="0" xfId="0" applyFill="1">
      <alignment vertical="center"/>
    </xf>
    <xf numFmtId="177" fontId="7" fillId="3" borderId="0" xfId="0" applyNumberFormat="1" applyFont="1" applyFill="1" applyBorder="1" applyAlignment="1">
      <alignment vertical="center"/>
    </xf>
    <xf numFmtId="0" fontId="14" fillId="3" borderId="0" xfId="0" applyFont="1" applyFill="1" applyAlignment="1"/>
    <xf numFmtId="177" fontId="7" fillId="3" borderId="0" xfId="0" applyNumberFormat="1" applyFont="1" applyFill="1" applyBorder="1" applyAlignment="1">
      <alignment horizontal="right" vertical="center"/>
    </xf>
    <xf numFmtId="38" fontId="9" fillId="3" borderId="0" xfId="0" quotePrefix="1" applyNumberFormat="1" applyFont="1" applyFill="1" applyBorder="1" applyAlignment="1">
      <alignment vertical="center"/>
    </xf>
    <xf numFmtId="0" fontId="12" fillId="3" borderId="13" xfId="0" applyFont="1" applyFill="1" applyBorder="1">
      <alignment vertical="center"/>
    </xf>
    <xf numFmtId="0" fontId="12" fillId="3" borderId="36" xfId="0" applyFont="1" applyFill="1" applyBorder="1">
      <alignment vertical="center"/>
    </xf>
    <xf numFmtId="0" fontId="12" fillId="3" borderId="14" xfId="0" applyFont="1" applyFill="1" applyBorder="1">
      <alignment vertical="center"/>
    </xf>
    <xf numFmtId="0" fontId="12" fillId="3" borderId="17" xfId="0" applyFont="1" applyFill="1" applyBorder="1">
      <alignment vertical="center"/>
    </xf>
    <xf numFmtId="177" fontId="12" fillId="3" borderId="34" xfId="2" applyNumberFormat="1" applyFont="1" applyFill="1" applyBorder="1">
      <alignment vertical="center"/>
    </xf>
    <xf numFmtId="177" fontId="12" fillId="3" borderId="35" xfId="2" applyNumberFormat="1" applyFont="1" applyFill="1" applyBorder="1">
      <alignment vertical="center"/>
    </xf>
    <xf numFmtId="177" fontId="12" fillId="3" borderId="38" xfId="2" applyNumberFormat="1" applyFont="1" applyFill="1" applyBorder="1">
      <alignment vertical="center"/>
    </xf>
    <xf numFmtId="177" fontId="12" fillId="3" borderId="39" xfId="2" applyNumberFormat="1" applyFont="1" applyFill="1" applyBorder="1">
      <alignment vertical="center"/>
    </xf>
    <xf numFmtId="177" fontId="12" fillId="3" borderId="41" xfId="2" applyNumberFormat="1" applyFont="1" applyFill="1" applyBorder="1">
      <alignment vertical="center"/>
    </xf>
    <xf numFmtId="177" fontId="12" fillId="3" borderId="43" xfId="2" applyNumberFormat="1" applyFont="1" applyFill="1" applyBorder="1">
      <alignment vertical="center"/>
    </xf>
    <xf numFmtId="177" fontId="12" fillId="3" borderId="40" xfId="2" applyNumberFormat="1" applyFont="1" applyFill="1" applyBorder="1">
      <alignment vertical="center"/>
    </xf>
    <xf numFmtId="177" fontId="9" fillId="4" borderId="4" xfId="0" quotePrefix="1" applyNumberFormat="1" applyFont="1" applyFill="1" applyBorder="1" applyAlignment="1">
      <alignment horizontal="center" vertical="center"/>
    </xf>
    <xf numFmtId="177" fontId="9" fillId="4" borderId="4" xfId="0" applyNumberFormat="1" applyFont="1" applyFill="1" applyBorder="1" applyAlignment="1">
      <alignment horizontal="right" vertical="center"/>
    </xf>
    <xf numFmtId="177" fontId="7" fillId="4" borderId="33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 indent="1"/>
    </xf>
    <xf numFmtId="0" fontId="12" fillId="4" borderId="22" xfId="0" applyFont="1" applyFill="1" applyBorder="1" applyAlignment="1">
      <alignment horizontal="left" vertical="center" indent="1"/>
    </xf>
    <xf numFmtId="0" fontId="12" fillId="4" borderId="0" xfId="0" applyFont="1" applyFill="1" applyBorder="1" applyAlignment="1">
      <alignment horizontal="left" vertical="center" indent="1"/>
    </xf>
    <xf numFmtId="0" fontId="12" fillId="4" borderId="0" xfId="0" quotePrefix="1" applyFont="1" applyFill="1" applyBorder="1" applyAlignment="1">
      <alignment horizontal="left" vertical="center" indent="1"/>
    </xf>
    <xf numFmtId="0" fontId="12" fillId="4" borderId="22" xfId="0" quotePrefix="1" applyFont="1" applyFill="1" applyBorder="1" applyAlignment="1">
      <alignment horizontal="left" vertical="center" indent="1"/>
    </xf>
    <xf numFmtId="0" fontId="13" fillId="4" borderId="29" xfId="0" applyFont="1" applyFill="1" applyBorder="1" applyAlignment="1">
      <alignment horizontal="left" vertical="center" indent="1"/>
    </xf>
    <xf numFmtId="0" fontId="12" fillId="4" borderId="30" xfId="0" applyFont="1" applyFill="1" applyBorder="1" applyAlignment="1">
      <alignment horizontal="left" vertical="center" indent="1"/>
    </xf>
    <xf numFmtId="0" fontId="12" fillId="4" borderId="25" xfId="0" applyFont="1" applyFill="1" applyBorder="1" applyAlignment="1">
      <alignment horizontal="left" vertical="center" indent="1"/>
    </xf>
    <xf numFmtId="0" fontId="12" fillId="4" borderId="26" xfId="0" applyFont="1" applyFill="1" applyBorder="1" applyAlignment="1">
      <alignment horizontal="left" vertical="center" indent="2"/>
    </xf>
    <xf numFmtId="0" fontId="12" fillId="4" borderId="27" xfId="0" applyFont="1" applyFill="1" applyBorder="1" applyAlignment="1">
      <alignment horizontal="left" vertical="center" indent="2"/>
    </xf>
    <xf numFmtId="177" fontId="9" fillId="5" borderId="4" xfId="0" applyNumberFormat="1" applyFont="1" applyFill="1" applyBorder="1" applyAlignment="1">
      <alignment horizontal="center" vertical="center"/>
    </xf>
    <xf numFmtId="177" fontId="7" fillId="5" borderId="8" xfId="0" applyNumberFormat="1" applyFont="1" applyFill="1" applyBorder="1" applyAlignment="1">
      <alignment horizontal="center" vertical="center"/>
    </xf>
    <xf numFmtId="177" fontId="9" fillId="4" borderId="0" xfId="0" quotePrefix="1" applyNumberFormat="1" applyFont="1" applyFill="1" applyBorder="1" applyAlignment="1">
      <alignment horizontal="center" vertical="center"/>
    </xf>
    <xf numFmtId="177" fontId="9" fillId="4" borderId="0" xfId="0" applyNumberFormat="1" applyFont="1" applyFill="1" applyBorder="1" applyAlignment="1">
      <alignment horizontal="right" vertical="center"/>
    </xf>
    <xf numFmtId="177" fontId="7" fillId="4" borderId="8" xfId="0" applyNumberFormat="1" applyFont="1" applyFill="1" applyBorder="1" applyAlignment="1">
      <alignment horizontal="center" vertical="center"/>
    </xf>
    <xf numFmtId="177" fontId="12" fillId="3" borderId="36" xfId="2" applyNumberFormat="1" applyFont="1" applyFill="1" applyBorder="1">
      <alignment vertical="center"/>
    </xf>
    <xf numFmtId="179" fontId="12" fillId="3" borderId="0" xfId="1" applyNumberFormat="1" applyFont="1" applyFill="1">
      <alignment vertical="center"/>
    </xf>
    <xf numFmtId="179" fontId="12" fillId="3" borderId="29" xfId="1" applyNumberFormat="1" applyFont="1" applyFill="1" applyBorder="1">
      <alignment vertical="center"/>
    </xf>
    <xf numFmtId="179" fontId="12" fillId="3" borderId="37" xfId="1" applyNumberFormat="1" applyFont="1" applyFill="1" applyBorder="1">
      <alignment vertical="center"/>
    </xf>
    <xf numFmtId="179" fontId="12" fillId="3" borderId="0" xfId="1" applyNumberFormat="1" applyFont="1" applyFill="1" applyBorder="1">
      <alignment vertical="center"/>
    </xf>
    <xf numFmtId="179" fontId="12" fillId="3" borderId="42" xfId="1" applyNumberFormat="1" applyFont="1" applyFill="1" applyBorder="1">
      <alignment vertical="center"/>
    </xf>
    <xf numFmtId="179" fontId="12" fillId="3" borderId="31" xfId="1" applyNumberFormat="1" applyFont="1" applyFill="1" applyBorder="1">
      <alignment vertical="center"/>
    </xf>
    <xf numFmtId="177" fontId="12" fillId="3" borderId="14" xfId="2" applyNumberFormat="1" applyFont="1" applyFill="1" applyBorder="1">
      <alignment vertical="center"/>
    </xf>
    <xf numFmtId="0" fontId="12" fillId="4" borderId="27" xfId="0" applyFont="1" applyFill="1" applyBorder="1" applyAlignment="1">
      <alignment horizontal="left" vertical="center" indent="1"/>
    </xf>
    <xf numFmtId="177" fontId="12" fillId="3" borderId="17" xfId="2" applyNumberFormat="1" applyFont="1" applyFill="1" applyBorder="1">
      <alignment vertical="center"/>
    </xf>
    <xf numFmtId="0" fontId="12" fillId="4" borderId="1" xfId="0" quotePrefix="1" applyFont="1" applyFill="1" applyBorder="1" applyAlignment="1">
      <alignment horizontal="left" vertical="center" indent="1"/>
    </xf>
    <xf numFmtId="0" fontId="12" fillId="4" borderId="47" xfId="0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center" indent="1"/>
    </xf>
    <xf numFmtId="0" fontId="12" fillId="4" borderId="24" xfId="0" applyFont="1" applyFill="1" applyBorder="1" applyAlignment="1">
      <alignment horizontal="left" vertical="center" indent="1"/>
    </xf>
    <xf numFmtId="0" fontId="12" fillId="4" borderId="18" xfId="0" applyFont="1" applyFill="1" applyBorder="1" applyAlignment="1">
      <alignment horizontal="left" vertical="center" indent="1"/>
    </xf>
    <xf numFmtId="0" fontId="13" fillId="4" borderId="0" xfId="0" quotePrefix="1" applyFont="1" applyFill="1" applyBorder="1" applyAlignment="1">
      <alignment horizontal="left" vertical="center" indent="1"/>
    </xf>
    <xf numFmtId="0" fontId="12" fillId="4" borderId="53" xfId="0" applyFont="1" applyFill="1" applyBorder="1" applyAlignment="1">
      <alignment horizontal="left" vertical="center" indent="1"/>
    </xf>
    <xf numFmtId="0" fontId="12" fillId="4" borderId="10" xfId="0" applyFont="1" applyFill="1" applyBorder="1" applyAlignment="1">
      <alignment horizontal="left" vertical="center" indent="1"/>
    </xf>
    <xf numFmtId="0" fontId="7" fillId="3" borderId="0" xfId="0" applyFont="1" applyFill="1" applyAlignment="1"/>
    <xf numFmtId="3" fontId="7" fillId="0" borderId="0" xfId="0" applyNumberFormat="1" applyFont="1" applyFill="1" applyBorder="1" applyAlignment="1">
      <alignment vertical="center"/>
    </xf>
    <xf numFmtId="177" fontId="7" fillId="0" borderId="55" xfId="2" applyNumberFormat="1" applyFont="1" applyFill="1" applyBorder="1" applyAlignment="1">
      <alignment vertical="center"/>
    </xf>
    <xf numFmtId="179" fontId="12" fillId="3" borderId="21" xfId="1" applyNumberFormat="1" applyFont="1" applyFill="1" applyBorder="1">
      <alignment vertical="center"/>
    </xf>
    <xf numFmtId="179" fontId="12" fillId="3" borderId="56" xfId="1" applyNumberFormat="1" applyFont="1" applyFill="1" applyBorder="1">
      <alignment vertical="center"/>
    </xf>
    <xf numFmtId="179" fontId="12" fillId="3" borderId="57" xfId="1" applyNumberFormat="1" applyFont="1" applyFill="1" applyBorder="1">
      <alignment vertical="center"/>
    </xf>
    <xf numFmtId="179" fontId="12" fillId="3" borderId="15" xfId="2" applyNumberFormat="1" applyFont="1" applyFill="1" applyBorder="1">
      <alignment vertical="center"/>
    </xf>
    <xf numFmtId="179" fontId="12" fillId="3" borderId="16" xfId="2" applyNumberFormat="1" applyFont="1" applyFill="1" applyBorder="1">
      <alignment vertical="center"/>
    </xf>
    <xf numFmtId="179" fontId="12" fillId="3" borderId="58" xfId="1" applyNumberFormat="1" applyFont="1" applyFill="1" applyBorder="1">
      <alignment vertical="center"/>
    </xf>
    <xf numFmtId="38" fontId="7" fillId="4" borderId="0" xfId="0" quotePrefix="1" applyNumberFormat="1" applyFont="1" applyFill="1" applyBorder="1" applyAlignment="1">
      <alignment horizontal="left" vertical="center" indent="1"/>
    </xf>
    <xf numFmtId="38" fontId="9" fillId="4" borderId="75" xfId="0" applyNumberFormat="1" applyFont="1" applyFill="1" applyBorder="1" applyAlignment="1">
      <alignment horizontal="center" vertical="center"/>
    </xf>
    <xf numFmtId="177" fontId="12" fillId="3" borderId="13" xfId="2" applyNumberFormat="1" applyFont="1" applyFill="1" applyBorder="1" applyAlignment="1">
      <alignment vertical="center" shrinkToFit="1"/>
    </xf>
    <xf numFmtId="179" fontId="12" fillId="3" borderId="12" xfId="2" applyNumberFormat="1" applyFont="1" applyFill="1" applyBorder="1" applyAlignment="1">
      <alignment vertical="center" shrinkToFit="1"/>
    </xf>
    <xf numFmtId="179" fontId="12" fillId="3" borderId="21" xfId="1" applyNumberFormat="1" applyFont="1" applyFill="1" applyBorder="1" applyAlignment="1">
      <alignment vertical="center" shrinkToFit="1"/>
    </xf>
    <xf numFmtId="177" fontId="12" fillId="3" borderId="14" xfId="2" applyNumberFormat="1" applyFont="1" applyFill="1" applyBorder="1" applyAlignment="1">
      <alignment vertical="center" shrinkToFit="1"/>
    </xf>
    <xf numFmtId="179" fontId="12" fillId="3" borderId="15" xfId="2" applyNumberFormat="1" applyFont="1" applyFill="1" applyBorder="1" applyAlignment="1">
      <alignment vertical="center" shrinkToFit="1"/>
    </xf>
    <xf numFmtId="179" fontId="12" fillId="3" borderId="56" xfId="1" applyNumberFormat="1" applyFont="1" applyFill="1" applyBorder="1" applyAlignment="1">
      <alignment vertical="center" shrinkToFit="1"/>
    </xf>
    <xf numFmtId="177" fontId="12" fillId="3" borderId="17" xfId="2" applyNumberFormat="1" applyFont="1" applyFill="1" applyBorder="1" applyAlignment="1">
      <alignment vertical="center" shrinkToFit="1"/>
    </xf>
    <xf numFmtId="179" fontId="12" fillId="3" borderId="16" xfId="2" applyNumberFormat="1" applyFont="1" applyFill="1" applyBorder="1" applyAlignment="1">
      <alignment vertical="center" shrinkToFit="1"/>
    </xf>
    <xf numFmtId="179" fontId="12" fillId="3" borderId="57" xfId="1" applyNumberFormat="1" applyFont="1" applyFill="1" applyBorder="1" applyAlignment="1">
      <alignment vertical="center" shrinkToFit="1"/>
    </xf>
    <xf numFmtId="177" fontId="12" fillId="3" borderId="48" xfId="2" applyNumberFormat="1" applyFont="1" applyFill="1" applyBorder="1" applyAlignment="1">
      <alignment vertical="center" shrinkToFit="1"/>
    </xf>
    <xf numFmtId="179" fontId="12" fillId="3" borderId="49" xfId="2" applyNumberFormat="1" applyFont="1" applyFill="1" applyBorder="1" applyAlignment="1">
      <alignment vertical="center" shrinkToFit="1"/>
    </xf>
    <xf numFmtId="179" fontId="12" fillId="3" borderId="58" xfId="1" applyNumberFormat="1" applyFont="1" applyFill="1" applyBorder="1" applyAlignment="1">
      <alignment vertical="center" shrinkToFit="1"/>
    </xf>
    <xf numFmtId="177" fontId="12" fillId="3" borderId="54" xfId="2" applyNumberFormat="1" applyFont="1" applyFill="1" applyBorder="1" applyAlignment="1">
      <alignment vertical="center" shrinkToFit="1"/>
    </xf>
    <xf numFmtId="179" fontId="12" fillId="3" borderId="11" xfId="2" applyNumberFormat="1" applyFont="1" applyFill="1" applyBorder="1" applyAlignment="1">
      <alignment vertical="center" shrinkToFit="1"/>
    </xf>
    <xf numFmtId="179" fontId="12" fillId="3" borderId="46" xfId="1" applyNumberFormat="1" applyFont="1" applyFill="1" applyBorder="1" applyAlignment="1">
      <alignment vertical="center" shrinkToFit="1"/>
    </xf>
    <xf numFmtId="179" fontId="12" fillId="3" borderId="11" xfId="0" applyNumberFormat="1" applyFont="1" applyFill="1" applyBorder="1" applyAlignment="1">
      <alignment vertical="center" shrinkToFit="1"/>
    </xf>
    <xf numFmtId="177" fontId="12" fillId="3" borderId="18" xfId="2" applyNumberFormat="1" applyFont="1" applyFill="1" applyBorder="1" applyAlignment="1">
      <alignment vertical="center" shrinkToFit="1"/>
    </xf>
    <xf numFmtId="177" fontId="12" fillId="3" borderId="28" xfId="2" applyNumberFormat="1" applyFont="1" applyFill="1" applyBorder="1" applyAlignment="1">
      <alignment vertical="center" shrinkToFit="1"/>
    </xf>
    <xf numFmtId="38" fontId="9" fillId="4" borderId="74" xfId="0" applyNumberFormat="1" applyFont="1" applyFill="1" applyBorder="1" applyAlignment="1">
      <alignment horizontal="left" vertical="center" indent="1"/>
    </xf>
    <xf numFmtId="177" fontId="7" fillId="3" borderId="13" xfId="2" applyNumberFormat="1" applyFont="1" applyFill="1" applyBorder="1" applyAlignment="1">
      <alignment vertical="center"/>
    </xf>
    <xf numFmtId="0" fontId="12" fillId="4" borderId="26" xfId="0" applyFont="1" applyFill="1" applyBorder="1" applyAlignment="1">
      <alignment horizontal="left" vertical="center" indent="1"/>
    </xf>
    <xf numFmtId="177" fontId="7" fillId="3" borderId="17" xfId="2" applyNumberFormat="1" applyFont="1" applyFill="1" applyBorder="1" applyAlignment="1">
      <alignment vertical="center"/>
    </xf>
    <xf numFmtId="177" fontId="7" fillId="3" borderId="14" xfId="2" applyNumberFormat="1" applyFont="1" applyFill="1" applyBorder="1" applyAlignment="1">
      <alignment vertical="center"/>
    </xf>
    <xf numFmtId="179" fontId="12" fillId="3" borderId="0" xfId="1" applyNumberFormat="1" applyFont="1" applyFill="1" applyAlignment="1">
      <alignment vertical="center" shrinkToFit="1"/>
    </xf>
    <xf numFmtId="179" fontId="12" fillId="3" borderId="37" xfId="1" applyNumberFormat="1" applyFont="1" applyFill="1" applyBorder="1" applyAlignment="1">
      <alignment vertical="center" shrinkToFit="1"/>
    </xf>
    <xf numFmtId="179" fontId="12" fillId="3" borderId="0" xfId="1" applyNumberFormat="1" applyFont="1" applyFill="1" applyBorder="1" applyAlignment="1">
      <alignment vertical="center" shrinkToFit="1"/>
    </xf>
    <xf numFmtId="179" fontId="12" fillId="3" borderId="42" xfId="1" applyNumberFormat="1" applyFont="1" applyFill="1" applyBorder="1" applyAlignment="1">
      <alignment vertical="center" shrinkToFit="1"/>
    </xf>
    <xf numFmtId="179" fontId="12" fillId="3" borderId="1" xfId="1" applyNumberFormat="1" applyFont="1" applyFill="1" applyBorder="1" applyAlignment="1">
      <alignment vertical="center" shrinkToFit="1"/>
    </xf>
    <xf numFmtId="179" fontId="12" fillId="3" borderId="10" xfId="1" applyNumberFormat="1" applyFont="1" applyFill="1" applyBorder="1" applyAlignment="1">
      <alignment vertical="center" shrinkToFit="1"/>
    </xf>
    <xf numFmtId="179" fontId="9" fillId="3" borderId="76" xfId="0" applyNumberFormat="1" applyFont="1" applyFill="1" applyBorder="1" applyAlignment="1">
      <alignment horizontal="right" vertical="center"/>
    </xf>
    <xf numFmtId="179" fontId="9" fillId="3" borderId="74" xfId="0" applyNumberFormat="1" applyFont="1" applyFill="1" applyBorder="1" applyAlignment="1">
      <alignment horizontal="right" vertical="center"/>
    </xf>
    <xf numFmtId="179" fontId="9" fillId="3" borderId="76" xfId="0" quotePrefix="1" applyNumberFormat="1" applyFont="1" applyFill="1" applyBorder="1" applyAlignment="1">
      <alignment horizontal="right" vertical="center"/>
    </xf>
    <xf numFmtId="179" fontId="9" fillId="3" borderId="77" xfId="0" applyNumberFormat="1" applyFont="1" applyFill="1" applyBorder="1" applyAlignment="1">
      <alignment horizontal="right" vertical="center"/>
    </xf>
    <xf numFmtId="177" fontId="12" fillId="3" borderId="14" xfId="2" applyNumberFormat="1" applyFont="1" applyFill="1" applyBorder="1" applyAlignment="1">
      <alignment vertical="center"/>
    </xf>
    <xf numFmtId="177" fontId="12" fillId="3" borderId="13" xfId="2" applyNumberFormat="1" applyFont="1" applyFill="1" applyBorder="1" applyAlignment="1">
      <alignment vertical="center"/>
    </xf>
    <xf numFmtId="0" fontId="12" fillId="4" borderId="68" xfId="0" applyFont="1" applyFill="1" applyBorder="1" applyAlignment="1">
      <alignment horizontal="left" vertical="center" indent="1"/>
    </xf>
    <xf numFmtId="179" fontId="12" fillId="3" borderId="1" xfId="1" applyNumberFormat="1" applyFont="1" applyFill="1" applyBorder="1">
      <alignment vertical="center"/>
    </xf>
    <xf numFmtId="177" fontId="12" fillId="3" borderId="48" xfId="2" applyNumberFormat="1" applyFont="1" applyFill="1" applyBorder="1" applyAlignment="1">
      <alignment vertical="center"/>
    </xf>
    <xf numFmtId="0" fontId="12" fillId="3" borderId="0" xfId="0" applyFont="1" applyFill="1">
      <alignment vertical="center"/>
    </xf>
    <xf numFmtId="0" fontId="12" fillId="0" borderId="0" xfId="0" applyFont="1">
      <alignment vertical="center"/>
    </xf>
    <xf numFmtId="38" fontId="7" fillId="3" borderId="0" xfId="0" applyNumberFormat="1" applyFont="1" applyFill="1" applyBorder="1" applyAlignment="1">
      <alignment horizontal="right" vertical="center"/>
    </xf>
    <xf numFmtId="179" fontId="18" fillId="3" borderId="0" xfId="0" applyNumberFormat="1" applyFont="1" applyFill="1" applyBorder="1" applyAlignment="1">
      <alignment vertical="center"/>
    </xf>
    <xf numFmtId="0" fontId="13" fillId="4" borderId="74" xfId="0" applyFont="1" applyFill="1" applyBorder="1" applyAlignment="1">
      <alignment horizontal="left" vertical="center" indent="1"/>
    </xf>
    <xf numFmtId="0" fontId="16" fillId="3" borderId="0" xfId="0" applyFont="1" applyFill="1" applyBorder="1">
      <alignment vertical="center"/>
    </xf>
    <xf numFmtId="0" fontId="13" fillId="4" borderId="32" xfId="0" quotePrefix="1" applyFont="1" applyFill="1" applyBorder="1" applyAlignment="1">
      <alignment horizontal="left" vertical="center" indent="1"/>
    </xf>
    <xf numFmtId="0" fontId="13" fillId="4" borderId="4" xfId="0" quotePrefix="1" applyFont="1" applyFill="1" applyBorder="1" applyAlignment="1">
      <alignment horizontal="left" vertical="center" indent="1"/>
    </xf>
    <xf numFmtId="0" fontId="12" fillId="4" borderId="4" xfId="0" quotePrefix="1" applyFont="1" applyFill="1" applyBorder="1" applyAlignment="1">
      <alignment horizontal="left" vertical="center" indent="1"/>
    </xf>
    <xf numFmtId="0" fontId="13" fillId="4" borderId="82" xfId="0" applyFont="1" applyFill="1" applyBorder="1" applyAlignment="1">
      <alignment horizontal="left" vertical="center" indent="1"/>
    </xf>
    <xf numFmtId="0" fontId="13" fillId="4" borderId="32" xfId="0" applyFont="1" applyFill="1" applyBorder="1" applyAlignment="1">
      <alignment horizontal="left" vertical="center" indent="1"/>
    </xf>
    <xf numFmtId="179" fontId="13" fillId="3" borderId="74" xfId="1" applyNumberFormat="1" applyFont="1" applyFill="1" applyBorder="1" applyAlignment="1">
      <alignment vertical="center" shrinkToFit="1"/>
    </xf>
    <xf numFmtId="179" fontId="13" fillId="3" borderId="76" xfId="2" applyNumberFormat="1" applyFont="1" applyFill="1" applyBorder="1" applyAlignment="1">
      <alignment vertical="center" shrinkToFit="1"/>
    </xf>
    <xf numFmtId="177" fontId="9" fillId="0" borderId="55" xfId="2" applyNumberFormat="1" applyFont="1" applyFill="1" applyBorder="1" applyAlignment="1">
      <alignment vertical="center" shrinkToFit="1"/>
    </xf>
    <xf numFmtId="179" fontId="13" fillId="3" borderId="77" xfId="1" applyNumberFormat="1" applyFont="1" applyFill="1" applyBorder="1" applyAlignment="1">
      <alignment vertical="center" shrinkToFit="1"/>
    </xf>
    <xf numFmtId="179" fontId="13" fillId="3" borderId="0" xfId="1" applyNumberFormat="1" applyFont="1" applyFill="1" applyBorder="1" applyAlignment="1">
      <alignment vertical="center" shrinkToFit="1"/>
    </xf>
    <xf numFmtId="179" fontId="13" fillId="3" borderId="12" xfId="2" applyNumberFormat="1" applyFont="1" applyFill="1" applyBorder="1" applyAlignment="1">
      <alignment vertical="center" shrinkToFit="1"/>
    </xf>
    <xf numFmtId="177" fontId="13" fillId="3" borderId="13" xfId="2" applyNumberFormat="1" applyFont="1" applyFill="1" applyBorder="1" applyAlignment="1">
      <alignment vertical="center" shrinkToFit="1"/>
    </xf>
    <xf numFmtId="179" fontId="13" fillId="3" borderId="21" xfId="1" applyNumberFormat="1" applyFont="1" applyFill="1" applyBorder="1" applyAlignment="1">
      <alignment vertical="center" shrinkToFit="1"/>
    </xf>
    <xf numFmtId="179" fontId="13" fillId="3" borderId="29" xfId="1" applyNumberFormat="1" applyFont="1" applyFill="1" applyBorder="1" applyAlignment="1">
      <alignment vertical="center" shrinkToFit="1"/>
    </xf>
    <xf numFmtId="179" fontId="13" fillId="3" borderId="32" xfId="2" applyNumberFormat="1" applyFont="1" applyFill="1" applyBorder="1" applyAlignment="1">
      <alignment vertical="center" shrinkToFit="1"/>
    </xf>
    <xf numFmtId="177" fontId="13" fillId="3" borderId="36" xfId="2" applyNumberFormat="1" applyFont="1" applyFill="1" applyBorder="1" applyAlignment="1">
      <alignment vertical="center" shrinkToFit="1"/>
    </xf>
    <xf numFmtId="179" fontId="13" fillId="3" borderId="31" xfId="1" applyNumberFormat="1" applyFont="1" applyFill="1" applyBorder="1" applyAlignment="1">
      <alignment vertical="center" shrinkToFit="1"/>
    </xf>
    <xf numFmtId="179" fontId="13" fillId="3" borderId="4" xfId="1" applyNumberFormat="1" applyFont="1" applyFill="1" applyBorder="1" applyAlignment="1">
      <alignment vertical="center" shrinkToFit="1"/>
    </xf>
    <xf numFmtId="179" fontId="13" fillId="3" borderId="82" xfId="2" applyNumberFormat="1" applyFont="1" applyFill="1" applyBorder="1" applyAlignment="1">
      <alignment vertical="center" shrinkToFit="1"/>
    </xf>
    <xf numFmtId="177" fontId="13" fillId="3" borderId="78" xfId="2" applyNumberFormat="1" applyFont="1" applyFill="1" applyBorder="1" applyAlignment="1">
      <alignment vertical="center" shrinkToFit="1"/>
    </xf>
    <xf numFmtId="179" fontId="13" fillId="3" borderId="19" xfId="1" applyNumberFormat="1" applyFont="1" applyFill="1" applyBorder="1" applyAlignment="1">
      <alignment vertical="center" shrinkToFit="1"/>
    </xf>
    <xf numFmtId="179" fontId="13" fillId="3" borderId="32" xfId="0" applyNumberFormat="1" applyFont="1" applyFill="1" applyBorder="1" applyAlignment="1">
      <alignment vertical="center" shrinkToFit="1"/>
    </xf>
    <xf numFmtId="179" fontId="13" fillId="3" borderId="82" xfId="0" applyNumberFormat="1" applyFont="1" applyFill="1" applyBorder="1" applyAlignment="1">
      <alignment vertical="center" shrinkToFit="1"/>
    </xf>
    <xf numFmtId="179" fontId="13" fillId="3" borderId="12" xfId="0" applyNumberFormat="1" applyFont="1" applyFill="1" applyBorder="1" applyAlignment="1">
      <alignment vertical="center" shrinkToFit="1"/>
    </xf>
    <xf numFmtId="179" fontId="13" fillId="3" borderId="0" xfId="2" applyNumberFormat="1" applyFont="1" applyFill="1" applyBorder="1" applyAlignment="1">
      <alignment vertical="center" shrinkToFit="1"/>
    </xf>
    <xf numFmtId="179" fontId="13" fillId="3" borderId="29" xfId="2" applyNumberFormat="1" applyFont="1" applyFill="1" applyBorder="1" applyAlignment="1">
      <alignment vertical="center" shrinkToFit="1"/>
    </xf>
    <xf numFmtId="179" fontId="13" fillId="3" borderId="18" xfId="1" applyNumberFormat="1" applyFont="1" applyFill="1" applyBorder="1" applyAlignment="1">
      <alignment vertical="center" shrinkToFit="1"/>
    </xf>
    <xf numFmtId="41" fontId="13" fillId="3" borderId="28" xfId="1" applyFont="1" applyFill="1" applyBorder="1" applyAlignment="1">
      <alignment vertical="center" shrinkToFit="1"/>
    </xf>
    <xf numFmtId="177" fontId="13" fillId="3" borderId="52" xfId="2" applyNumberFormat="1" applyFont="1" applyFill="1" applyBorder="1" applyAlignment="1">
      <alignment vertical="center" shrinkToFit="1"/>
    </xf>
    <xf numFmtId="179" fontId="13" fillId="3" borderId="23" xfId="1" applyNumberFormat="1" applyFont="1" applyFill="1" applyBorder="1" applyAlignment="1">
      <alignment vertical="center" shrinkToFit="1"/>
    </xf>
    <xf numFmtId="179" fontId="13" fillId="3" borderId="28" xfId="0" applyNumberFormat="1" applyFont="1" applyFill="1" applyBorder="1" applyAlignment="1">
      <alignment vertical="center" shrinkToFit="1"/>
    </xf>
    <xf numFmtId="38" fontId="20" fillId="3" borderId="0" xfId="0" applyNumberFormat="1" applyFont="1" applyFill="1" applyBorder="1" applyAlignment="1">
      <alignment vertical="center"/>
    </xf>
    <xf numFmtId="0" fontId="13" fillId="4" borderId="22" xfId="0" applyFont="1" applyFill="1" applyBorder="1" applyAlignment="1">
      <alignment horizontal="left" vertical="center" indent="1"/>
    </xf>
    <xf numFmtId="179" fontId="13" fillId="3" borderId="0" xfId="1" applyNumberFormat="1" applyFont="1" applyFill="1" applyAlignment="1">
      <alignment vertical="center" shrinkToFit="1"/>
    </xf>
    <xf numFmtId="0" fontId="13" fillId="4" borderId="50" xfId="0" applyFont="1" applyFill="1" applyBorder="1" applyAlignment="1">
      <alignment horizontal="left" vertical="center" indent="1"/>
    </xf>
    <xf numFmtId="179" fontId="13" fillId="3" borderId="3" xfId="1" applyNumberFormat="1" applyFont="1" applyFill="1" applyBorder="1" applyAlignment="1">
      <alignment vertical="center" shrinkToFit="1"/>
    </xf>
    <xf numFmtId="179" fontId="13" fillId="3" borderId="2" xfId="2" applyNumberFormat="1" applyFont="1" applyFill="1" applyBorder="1" applyAlignment="1">
      <alignment vertical="center" shrinkToFit="1"/>
    </xf>
    <xf numFmtId="177" fontId="13" fillId="3" borderId="51" xfId="2" applyNumberFormat="1" applyFont="1" applyFill="1" applyBorder="1" applyAlignment="1">
      <alignment vertical="center" shrinkToFit="1"/>
    </xf>
    <xf numFmtId="179" fontId="13" fillId="3" borderId="59" xfId="1" applyNumberFormat="1" applyFont="1" applyFill="1" applyBorder="1" applyAlignment="1">
      <alignment vertical="center" shrinkToFit="1"/>
    </xf>
    <xf numFmtId="179" fontId="13" fillId="3" borderId="2" xfId="0" applyNumberFormat="1" applyFont="1" applyFill="1" applyBorder="1" applyAlignment="1">
      <alignment vertical="center" shrinkToFit="1"/>
    </xf>
    <xf numFmtId="0" fontId="13" fillId="4" borderId="29" xfId="0" quotePrefix="1" applyFont="1" applyFill="1" applyBorder="1" applyAlignment="1">
      <alignment horizontal="left" vertical="center" indent="1"/>
    </xf>
    <xf numFmtId="0" fontId="13" fillId="4" borderId="10" xfId="0" applyFont="1" applyFill="1" applyBorder="1" applyAlignment="1">
      <alignment horizontal="left" vertical="center" indent="1"/>
    </xf>
    <xf numFmtId="0" fontId="12" fillId="4" borderId="0" xfId="0" quotePrefix="1" applyFont="1" applyFill="1" applyBorder="1" applyAlignment="1">
      <alignment horizontal="left" vertical="center"/>
    </xf>
    <xf numFmtId="0" fontId="6" fillId="3" borderId="0" xfId="0" applyFont="1" applyFill="1" applyBorder="1">
      <alignment vertical="center"/>
    </xf>
    <xf numFmtId="0" fontId="13" fillId="3" borderId="0" xfId="0" quotePrefix="1" applyFont="1" applyFill="1" applyBorder="1" applyAlignment="1">
      <alignment horizontal="left" vertical="center" indent="1"/>
    </xf>
    <xf numFmtId="0" fontId="12" fillId="3" borderId="0" xfId="0" quotePrefix="1" applyFont="1" applyFill="1" applyBorder="1" applyAlignment="1">
      <alignment horizontal="left" vertical="center" indent="1"/>
    </xf>
    <xf numFmtId="177" fontId="13" fillId="3" borderId="0" xfId="2" applyNumberFormat="1" applyFont="1" applyFill="1" applyBorder="1" applyAlignment="1">
      <alignment vertical="center" shrinkToFit="1"/>
    </xf>
    <xf numFmtId="0" fontId="0" fillId="3" borderId="0" xfId="0" applyFill="1" applyBorder="1">
      <alignment vertical="center"/>
    </xf>
    <xf numFmtId="38" fontId="21" fillId="0" borderId="0" xfId="0" applyNumberFormat="1" applyFont="1" applyFill="1" applyBorder="1" applyAlignment="1">
      <alignment vertical="center"/>
    </xf>
    <xf numFmtId="0" fontId="13" fillId="4" borderId="1" xfId="0" quotePrefix="1" applyFont="1" applyFill="1" applyBorder="1" applyAlignment="1">
      <alignment horizontal="left" vertical="center" indent="1"/>
    </xf>
    <xf numFmtId="0" fontId="13" fillId="4" borderId="3" xfId="0" quotePrefix="1" applyFont="1" applyFill="1" applyBorder="1" applyAlignment="1">
      <alignment horizontal="left" vertical="center" indent="1"/>
    </xf>
    <xf numFmtId="177" fontId="12" fillId="3" borderId="51" xfId="2" applyNumberFormat="1" applyFont="1" applyFill="1" applyBorder="1" applyAlignment="1">
      <alignment vertical="center" shrinkToFit="1"/>
    </xf>
    <xf numFmtId="0" fontId="13" fillId="4" borderId="10" xfId="0" quotePrefix="1" applyFont="1" applyFill="1" applyBorder="1" applyAlignment="1">
      <alignment horizontal="left" vertical="center" indent="1"/>
    </xf>
    <xf numFmtId="177" fontId="12" fillId="3" borderId="36" xfId="2" applyNumberFormat="1" applyFont="1" applyFill="1" applyBorder="1" applyAlignment="1">
      <alignment vertical="center" shrinkToFit="1"/>
    </xf>
    <xf numFmtId="0" fontId="13" fillId="4" borderId="1" xfId="0" quotePrefix="1" applyFont="1" applyFill="1" applyBorder="1" applyAlignment="1">
      <alignment horizontal="left" vertical="center"/>
    </xf>
    <xf numFmtId="0" fontId="13" fillId="4" borderId="3" xfId="0" quotePrefix="1" applyFont="1" applyFill="1" applyBorder="1" applyAlignment="1">
      <alignment horizontal="left" vertical="center"/>
    </xf>
    <xf numFmtId="0" fontId="12" fillId="4" borderId="4" xfId="0" quotePrefix="1" applyFont="1" applyFill="1" applyBorder="1" applyAlignment="1">
      <alignment horizontal="left" vertical="center"/>
    </xf>
    <xf numFmtId="179" fontId="13" fillId="3" borderId="86" xfId="2" applyNumberFormat="1" applyFont="1" applyFill="1" applyBorder="1" applyAlignment="1">
      <alignment vertical="center" shrinkToFit="1"/>
    </xf>
    <xf numFmtId="179" fontId="12" fillId="3" borderId="4" xfId="1" applyNumberFormat="1" applyFont="1" applyFill="1" applyBorder="1" applyAlignment="1">
      <alignment vertical="center" shrinkToFit="1"/>
    </xf>
    <xf numFmtId="179" fontId="12" fillId="3" borderId="82" xfId="2" applyNumberFormat="1" applyFont="1" applyFill="1" applyBorder="1" applyAlignment="1">
      <alignment vertical="center" shrinkToFit="1"/>
    </xf>
    <xf numFmtId="177" fontId="12" fillId="3" borderId="78" xfId="2" applyNumberFormat="1" applyFont="1" applyFill="1" applyBorder="1" applyAlignment="1">
      <alignment vertical="center" shrinkToFit="1"/>
    </xf>
    <xf numFmtId="179" fontId="12" fillId="3" borderId="19" xfId="1" applyNumberFormat="1" applyFont="1" applyFill="1" applyBorder="1" applyAlignment="1">
      <alignment vertical="center" shrinkToFit="1"/>
    </xf>
    <xf numFmtId="38" fontId="20" fillId="0" borderId="0" xfId="0" applyNumberFormat="1" applyFont="1" applyFill="1" applyBorder="1" applyAlignment="1">
      <alignment vertical="center"/>
    </xf>
    <xf numFmtId="177" fontId="7" fillId="4" borderId="91" xfId="0" applyNumberFormat="1" applyFont="1" applyFill="1" applyBorder="1" applyAlignment="1">
      <alignment horizontal="center" vertical="center"/>
    </xf>
    <xf numFmtId="177" fontId="13" fillId="3" borderId="92" xfId="2" applyNumberFormat="1" applyFont="1" applyFill="1" applyBorder="1" applyAlignment="1">
      <alignment vertical="center" shrinkToFit="1"/>
    </xf>
    <xf numFmtId="177" fontId="12" fillId="3" borderId="92" xfId="2" applyNumberFormat="1" applyFont="1" applyFill="1" applyBorder="1" applyAlignment="1">
      <alignment vertical="center" shrinkToFit="1"/>
    </xf>
    <xf numFmtId="177" fontId="12" fillId="3" borderId="93" xfId="2" applyNumberFormat="1" applyFont="1" applyFill="1" applyBorder="1" applyAlignment="1">
      <alignment vertical="center" shrinkToFit="1"/>
    </xf>
    <xf numFmtId="177" fontId="12" fillId="3" borderId="94" xfId="2" applyNumberFormat="1" applyFont="1" applyFill="1" applyBorder="1" applyAlignment="1">
      <alignment vertical="center" shrinkToFit="1"/>
    </xf>
    <xf numFmtId="177" fontId="13" fillId="3" borderId="96" xfId="2" applyNumberFormat="1" applyFont="1" applyFill="1" applyBorder="1" applyAlignment="1">
      <alignment vertical="center" shrinkToFit="1"/>
    </xf>
    <xf numFmtId="177" fontId="13" fillId="3" borderId="98" xfId="2" applyNumberFormat="1" applyFont="1" applyFill="1" applyBorder="1" applyAlignment="1">
      <alignment vertical="center" shrinkToFit="1"/>
    </xf>
    <xf numFmtId="177" fontId="13" fillId="3" borderId="99" xfId="2" applyNumberFormat="1" applyFont="1" applyFill="1" applyBorder="1" applyAlignment="1">
      <alignment vertical="center" shrinkToFit="1"/>
    </xf>
    <xf numFmtId="177" fontId="13" fillId="3" borderId="89" xfId="2" applyNumberFormat="1" applyFont="1" applyFill="1" applyBorder="1" applyAlignment="1">
      <alignment vertical="center" shrinkToFit="1"/>
    </xf>
    <xf numFmtId="177" fontId="13" fillId="3" borderId="90" xfId="2" applyNumberFormat="1" applyFont="1" applyFill="1" applyBorder="1" applyAlignment="1">
      <alignment vertical="center" shrinkToFit="1"/>
    </xf>
    <xf numFmtId="0" fontId="13" fillId="4" borderId="84" xfId="0" quotePrefix="1" applyFont="1" applyFill="1" applyBorder="1" applyAlignment="1">
      <alignment horizontal="left" vertical="center" indent="1"/>
    </xf>
    <xf numFmtId="38" fontId="7" fillId="4" borderId="0" xfId="0" applyNumberFormat="1" applyFont="1" applyFill="1" applyBorder="1" applyAlignment="1">
      <alignment horizontal="left" vertical="center" indent="1"/>
    </xf>
    <xf numFmtId="179" fontId="12" fillId="4" borderId="4" xfId="2" applyNumberFormat="1" applyFont="1" applyFill="1" applyBorder="1" applyAlignment="1">
      <alignment vertical="center" shrinkToFit="1"/>
    </xf>
    <xf numFmtId="179" fontId="12" fillId="4" borderId="14" xfId="2" applyNumberFormat="1" applyFont="1" applyFill="1" applyBorder="1" applyAlignment="1">
      <alignment horizontal="center" vertical="center" shrinkToFit="1"/>
    </xf>
    <xf numFmtId="181" fontId="12" fillId="3" borderId="36" xfId="2" applyNumberFormat="1" applyFont="1" applyFill="1" applyBorder="1" applyAlignment="1">
      <alignment vertical="center" shrinkToFit="1"/>
    </xf>
    <xf numFmtId="179" fontId="13" fillId="3" borderId="1" xfId="1" applyNumberFormat="1" applyFont="1" applyFill="1" applyBorder="1" applyAlignment="1">
      <alignment vertical="center" shrinkToFit="1"/>
    </xf>
    <xf numFmtId="179" fontId="13" fillId="3" borderId="49" xfId="2" applyNumberFormat="1" applyFont="1" applyFill="1" applyBorder="1" applyAlignment="1">
      <alignment vertical="center" shrinkToFit="1"/>
    </xf>
    <xf numFmtId="177" fontId="13" fillId="3" borderId="48" xfId="2" applyNumberFormat="1" applyFont="1" applyFill="1" applyBorder="1" applyAlignment="1">
      <alignment vertical="center" shrinkToFit="1"/>
    </xf>
    <xf numFmtId="179" fontId="13" fillId="3" borderId="58" xfId="1" applyNumberFormat="1" applyFont="1" applyFill="1" applyBorder="1" applyAlignment="1">
      <alignment vertical="center" shrinkToFit="1"/>
    </xf>
    <xf numFmtId="179" fontId="12" fillId="3" borderId="86" xfId="2" applyNumberFormat="1" applyFont="1" applyFill="1" applyBorder="1" applyAlignment="1">
      <alignment vertical="center" shrinkToFit="1"/>
    </xf>
    <xf numFmtId="179" fontId="12" fillId="3" borderId="86" xfId="0" applyNumberFormat="1" applyFont="1" applyFill="1" applyBorder="1" applyAlignment="1">
      <alignment vertical="center" shrinkToFit="1"/>
    </xf>
    <xf numFmtId="179" fontId="13" fillId="3" borderId="86" xfId="0" applyNumberFormat="1" applyFont="1" applyFill="1" applyBorder="1" applyAlignment="1">
      <alignment vertical="center" shrinkToFit="1"/>
    </xf>
    <xf numFmtId="179" fontId="12" fillId="3" borderId="88" xfId="2" applyNumberFormat="1" applyFont="1" applyFill="1" applyBorder="1" applyAlignment="1">
      <alignment vertical="center" shrinkToFit="1"/>
    </xf>
    <xf numFmtId="179" fontId="12" fillId="3" borderId="88" xfId="0" applyNumberFormat="1" applyFont="1" applyFill="1" applyBorder="1" applyAlignment="1">
      <alignment vertical="center" shrinkToFit="1"/>
    </xf>
    <xf numFmtId="0" fontId="12" fillId="4" borderId="27" xfId="0" quotePrefix="1" applyFont="1" applyFill="1" applyBorder="1" applyAlignment="1">
      <alignment horizontal="left" vertical="center" indent="1"/>
    </xf>
    <xf numFmtId="177" fontId="12" fillId="3" borderId="89" xfId="2" applyNumberFormat="1" applyFont="1" applyFill="1" applyBorder="1" applyAlignment="1">
      <alignment vertical="center" shrinkToFit="1"/>
    </xf>
    <xf numFmtId="177" fontId="13" fillId="3" borderId="95" xfId="2" applyNumberFormat="1" applyFont="1" applyFill="1" applyBorder="1" applyAlignment="1">
      <alignment vertical="center" shrinkToFit="1"/>
    </xf>
    <xf numFmtId="181" fontId="12" fillId="3" borderId="89" xfId="2" applyNumberFormat="1" applyFont="1" applyFill="1" applyBorder="1" applyAlignment="1">
      <alignment vertical="center" shrinkToFit="1"/>
    </xf>
    <xf numFmtId="179" fontId="12" fillId="3" borderId="86" xfId="2" applyNumberFormat="1" applyFont="1" applyFill="1" applyBorder="1">
      <alignment vertical="center"/>
    </xf>
    <xf numFmtId="0" fontId="12" fillId="4" borderId="101" xfId="0" applyFont="1" applyFill="1" applyBorder="1" applyAlignment="1">
      <alignment horizontal="left" vertical="center" indent="1"/>
    </xf>
    <xf numFmtId="10" fontId="12" fillId="3" borderId="102" xfId="2" applyNumberFormat="1" applyFont="1" applyFill="1" applyBorder="1">
      <alignment vertical="center"/>
    </xf>
    <xf numFmtId="10" fontId="12" fillId="3" borderId="104" xfId="2" applyNumberFormat="1" applyFont="1" applyFill="1" applyBorder="1">
      <alignment vertical="center"/>
    </xf>
    <xf numFmtId="180" fontId="12" fillId="3" borderId="103" xfId="2" applyNumberFormat="1" applyFont="1" applyFill="1" applyBorder="1">
      <alignment vertical="center"/>
    </xf>
    <xf numFmtId="10" fontId="12" fillId="3" borderId="105" xfId="2" applyNumberFormat="1" applyFont="1" applyFill="1" applyBorder="1">
      <alignment vertical="center"/>
    </xf>
    <xf numFmtId="179" fontId="12" fillId="3" borderId="106" xfId="1" applyNumberFormat="1" applyFont="1" applyFill="1" applyBorder="1">
      <alignment vertical="center"/>
    </xf>
    <xf numFmtId="179" fontId="12" fillId="3" borderId="107" xfId="1" applyNumberFormat="1" applyFont="1" applyFill="1" applyBorder="1">
      <alignment vertical="center"/>
    </xf>
    <xf numFmtId="179" fontId="12" fillId="3" borderId="108" xfId="1" applyNumberFormat="1" applyFont="1" applyFill="1" applyBorder="1">
      <alignment vertical="center"/>
    </xf>
    <xf numFmtId="179" fontId="12" fillId="3" borderId="109" xfId="1" applyNumberFormat="1" applyFont="1" applyFill="1" applyBorder="1">
      <alignment vertical="center"/>
    </xf>
    <xf numFmtId="179" fontId="12" fillId="3" borderId="110" xfId="1" applyNumberFormat="1" applyFont="1" applyFill="1" applyBorder="1">
      <alignment vertical="center"/>
    </xf>
    <xf numFmtId="0" fontId="24" fillId="3" borderId="0" xfId="0" applyFont="1" applyFill="1">
      <alignment vertical="center"/>
    </xf>
    <xf numFmtId="41" fontId="13" fillId="3" borderId="0" xfId="1" applyFont="1" applyFill="1" applyBorder="1" applyAlignment="1">
      <alignment vertical="center" shrinkToFit="1"/>
    </xf>
    <xf numFmtId="179" fontId="13" fillId="3" borderId="0" xfId="0" applyNumberFormat="1" applyFont="1" applyFill="1" applyBorder="1" applyAlignment="1">
      <alignment vertical="center" shrinkToFit="1"/>
    </xf>
    <xf numFmtId="0" fontId="13" fillId="3" borderId="0" xfId="0" applyFont="1" applyFill="1" applyBorder="1" applyAlignment="1">
      <alignment horizontal="center" vertical="center"/>
    </xf>
    <xf numFmtId="181" fontId="12" fillId="3" borderId="99" xfId="2" applyNumberFormat="1" applyFont="1" applyFill="1" applyBorder="1" applyAlignment="1">
      <alignment vertical="center" shrinkToFit="1"/>
    </xf>
    <xf numFmtId="177" fontId="9" fillId="3" borderId="55" xfId="0" applyNumberFormat="1" applyFont="1" applyFill="1" applyBorder="1" applyAlignment="1">
      <alignment vertical="center"/>
    </xf>
    <xf numFmtId="0" fontId="13" fillId="4" borderId="84" xfId="0" applyFont="1" applyFill="1" applyBorder="1" applyAlignment="1">
      <alignment horizontal="left" vertical="center" indent="1"/>
    </xf>
    <xf numFmtId="179" fontId="12" fillId="3" borderId="83" xfId="2" applyNumberFormat="1" applyFont="1" applyFill="1" applyBorder="1" applyAlignment="1">
      <alignment vertical="center" shrinkToFit="1"/>
    </xf>
    <xf numFmtId="179" fontId="12" fillId="3" borderId="59" xfId="1" applyNumberFormat="1" applyFont="1" applyFill="1" applyBorder="1" applyAlignment="1">
      <alignment vertical="center" shrinkToFit="1"/>
    </xf>
    <xf numFmtId="0" fontId="12" fillId="4" borderId="112" xfId="0" applyFont="1" applyFill="1" applyBorder="1" applyAlignment="1">
      <alignment horizontal="left" vertical="center" indent="1"/>
    </xf>
    <xf numFmtId="179" fontId="12" fillId="3" borderId="113" xfId="1" applyNumberFormat="1" applyFont="1" applyFill="1" applyBorder="1">
      <alignment vertical="center"/>
    </xf>
    <xf numFmtId="177" fontId="12" fillId="3" borderId="114" xfId="2" applyNumberFormat="1" applyFont="1" applyFill="1" applyBorder="1">
      <alignment vertical="center"/>
    </xf>
    <xf numFmtId="177" fontId="12" fillId="3" borderId="111" xfId="2" applyNumberFormat="1" applyFont="1" applyFill="1" applyBorder="1">
      <alignment vertical="center"/>
    </xf>
    <xf numFmtId="179" fontId="12" fillId="3" borderId="115" xfId="1" applyNumberFormat="1" applyFont="1" applyFill="1" applyBorder="1">
      <alignment vertical="center"/>
    </xf>
    <xf numFmtId="0" fontId="12" fillId="3" borderId="111" xfId="0" applyFont="1" applyFill="1" applyBorder="1">
      <alignment vertical="center"/>
    </xf>
    <xf numFmtId="181" fontId="12" fillId="3" borderId="52" xfId="2" applyNumberFormat="1" applyFont="1" applyFill="1" applyBorder="1" applyAlignment="1">
      <alignment vertical="center" shrinkToFit="1"/>
    </xf>
    <xf numFmtId="177" fontId="12" fillId="3" borderId="23" xfId="2" applyNumberFormat="1" applyFont="1" applyFill="1" applyBorder="1" applyAlignment="1">
      <alignment vertical="center" shrinkToFit="1"/>
    </xf>
    <xf numFmtId="177" fontId="12" fillId="3" borderId="92" xfId="2" applyNumberFormat="1" applyFont="1" applyFill="1" applyBorder="1" applyAlignment="1">
      <alignment horizontal="right" vertical="center" shrinkToFit="1"/>
    </xf>
    <xf numFmtId="179" fontId="12" fillId="3" borderId="12" xfId="2" applyNumberFormat="1" applyFont="1" applyFill="1" applyBorder="1" applyAlignment="1">
      <alignment horizontal="right" vertical="center" shrinkToFit="1"/>
    </xf>
    <xf numFmtId="177" fontId="12" fillId="3" borderId="13" xfId="2" applyNumberFormat="1" applyFont="1" applyFill="1" applyBorder="1" applyAlignment="1">
      <alignment horizontal="right" vertical="center" shrinkToFit="1"/>
    </xf>
    <xf numFmtId="179" fontId="12" fillId="3" borderId="21" xfId="1" applyNumberFormat="1" applyFont="1" applyFill="1" applyBorder="1" applyAlignment="1">
      <alignment horizontal="right" vertical="center" shrinkToFit="1"/>
    </xf>
    <xf numFmtId="179" fontId="12" fillId="3" borderId="37" xfId="1" applyNumberFormat="1" applyFont="1" applyFill="1" applyBorder="1" applyAlignment="1">
      <alignment horizontal="right" vertical="center" shrinkToFit="1"/>
    </xf>
    <xf numFmtId="177" fontId="12" fillId="3" borderId="93" xfId="2" applyNumberFormat="1" applyFont="1" applyFill="1" applyBorder="1" applyAlignment="1">
      <alignment horizontal="right" vertical="center" shrinkToFit="1"/>
    </xf>
    <xf numFmtId="179" fontId="12" fillId="3" borderId="15" xfId="2" applyNumberFormat="1" applyFont="1" applyFill="1" applyBorder="1" applyAlignment="1">
      <alignment horizontal="right" vertical="center" shrinkToFit="1"/>
    </xf>
    <xf numFmtId="177" fontId="12" fillId="3" borderId="14" xfId="2" applyNumberFormat="1" applyFont="1" applyFill="1" applyBorder="1" applyAlignment="1">
      <alignment horizontal="right" vertical="center" shrinkToFit="1"/>
    </xf>
    <xf numFmtId="179" fontId="12" fillId="3" borderId="56" xfId="1" applyNumberFormat="1" applyFont="1" applyFill="1" applyBorder="1" applyAlignment="1">
      <alignment horizontal="right" vertical="center" shrinkToFit="1"/>
    </xf>
    <xf numFmtId="179" fontId="12" fillId="3" borderId="42" xfId="1" applyNumberFormat="1" applyFont="1" applyFill="1" applyBorder="1" applyAlignment="1">
      <alignment horizontal="right" vertical="center" shrinkToFit="1"/>
    </xf>
    <xf numFmtId="177" fontId="12" fillId="3" borderId="94" xfId="2" applyNumberFormat="1" applyFont="1" applyFill="1" applyBorder="1" applyAlignment="1">
      <alignment horizontal="right" vertical="center" shrinkToFit="1"/>
    </xf>
    <xf numFmtId="179" fontId="12" fillId="3" borderId="16" xfId="2" applyNumberFormat="1" applyFont="1" applyFill="1" applyBorder="1" applyAlignment="1">
      <alignment horizontal="right" vertical="center" shrinkToFit="1"/>
    </xf>
    <xf numFmtId="177" fontId="12" fillId="3" borderId="17" xfId="2" applyNumberFormat="1" applyFont="1" applyFill="1" applyBorder="1" applyAlignment="1">
      <alignment horizontal="right" vertical="center" shrinkToFit="1"/>
    </xf>
    <xf numFmtId="179" fontId="12" fillId="3" borderId="57" xfId="1" applyNumberFormat="1" applyFont="1" applyFill="1" applyBorder="1" applyAlignment="1">
      <alignment horizontal="right" vertical="center" shrinkToFit="1"/>
    </xf>
    <xf numFmtId="179" fontId="12" fillId="3" borderId="1" xfId="1" applyNumberFormat="1" applyFont="1" applyFill="1" applyBorder="1" applyAlignment="1">
      <alignment horizontal="right" vertical="center" shrinkToFit="1"/>
    </xf>
    <xf numFmtId="177" fontId="12" fillId="3" borderId="95" xfId="2" applyNumberFormat="1" applyFont="1" applyFill="1" applyBorder="1" applyAlignment="1">
      <alignment horizontal="right" vertical="center" shrinkToFit="1"/>
    </xf>
    <xf numFmtId="179" fontId="12" fillId="3" borderId="49" xfId="2" applyNumberFormat="1" applyFont="1" applyFill="1" applyBorder="1" applyAlignment="1">
      <alignment horizontal="right" vertical="center" shrinkToFit="1"/>
    </xf>
    <xf numFmtId="177" fontId="12" fillId="3" borderId="48" xfId="2" applyNumberFormat="1" applyFont="1" applyFill="1" applyBorder="1" applyAlignment="1">
      <alignment horizontal="right" vertical="center" shrinkToFit="1"/>
    </xf>
    <xf numFmtId="179" fontId="12" fillId="3" borderId="58" xfId="1" applyNumberFormat="1" applyFont="1" applyFill="1" applyBorder="1" applyAlignment="1">
      <alignment horizontal="right" vertical="center" shrinkToFit="1"/>
    </xf>
    <xf numFmtId="177" fontId="13" fillId="3" borderId="96" xfId="2" applyNumberFormat="1" applyFont="1" applyFill="1" applyBorder="1" applyAlignment="1">
      <alignment horizontal="right" vertical="center" shrinkToFit="1"/>
    </xf>
    <xf numFmtId="179" fontId="13" fillId="3" borderId="2" xfId="2" applyNumberFormat="1" applyFont="1" applyFill="1" applyBorder="1" applyAlignment="1">
      <alignment horizontal="right" vertical="center" shrinkToFit="1"/>
    </xf>
    <xf numFmtId="177" fontId="13" fillId="3" borderId="51" xfId="2" applyNumberFormat="1" applyFont="1" applyFill="1" applyBorder="1" applyAlignment="1">
      <alignment horizontal="right" vertical="center" shrinkToFit="1"/>
    </xf>
    <xf numFmtId="179" fontId="13" fillId="3" borderId="59" xfId="1" applyNumberFormat="1" applyFont="1" applyFill="1" applyBorder="1" applyAlignment="1">
      <alignment horizontal="right" vertical="center" shrinkToFit="1"/>
    </xf>
    <xf numFmtId="179" fontId="12" fillId="3" borderId="10" xfId="1" applyNumberFormat="1" applyFont="1" applyFill="1" applyBorder="1" applyAlignment="1">
      <alignment horizontal="right" vertical="center" shrinkToFit="1"/>
    </xf>
    <xf numFmtId="177" fontId="12" fillId="3" borderId="97" xfId="2" applyNumberFormat="1" applyFont="1" applyFill="1" applyBorder="1" applyAlignment="1">
      <alignment horizontal="right" vertical="center" shrinkToFit="1"/>
    </xf>
    <xf numFmtId="177" fontId="12" fillId="3" borderId="54" xfId="2" applyNumberFormat="1" applyFont="1" applyFill="1" applyBorder="1" applyAlignment="1">
      <alignment horizontal="right" vertical="center" shrinkToFit="1"/>
    </xf>
    <xf numFmtId="179" fontId="12" fillId="3" borderId="46" xfId="1" applyNumberFormat="1" applyFont="1" applyFill="1" applyBorder="1" applyAlignment="1">
      <alignment horizontal="right" vertical="center" shrinkToFit="1"/>
    </xf>
    <xf numFmtId="179" fontId="12" fillId="3" borderId="0" xfId="1" applyNumberFormat="1" applyFont="1" applyFill="1" applyBorder="1" applyAlignment="1">
      <alignment horizontal="right" vertical="center" shrinkToFit="1"/>
    </xf>
    <xf numFmtId="177" fontId="12" fillId="0" borderId="82" xfId="2" applyNumberFormat="1" applyFont="1" applyFill="1" applyBorder="1" applyAlignment="1">
      <alignment vertical="center" shrinkToFit="1"/>
    </xf>
    <xf numFmtId="177" fontId="12" fillId="0" borderId="32" xfId="2" applyNumberFormat="1" applyFont="1" applyFill="1" applyBorder="1" applyAlignment="1">
      <alignment vertical="center" shrinkToFit="1"/>
    </xf>
    <xf numFmtId="177" fontId="12" fillId="0" borderId="4" xfId="2" applyNumberFormat="1" applyFont="1" applyFill="1" applyBorder="1" applyAlignment="1">
      <alignment vertical="center" shrinkToFit="1"/>
    </xf>
    <xf numFmtId="177" fontId="12" fillId="0" borderId="29" xfId="2" applyNumberFormat="1" applyFont="1" applyFill="1" applyBorder="1" applyAlignment="1">
      <alignment vertical="center" shrinkToFit="1"/>
    </xf>
    <xf numFmtId="177" fontId="12" fillId="0" borderId="19" xfId="2" applyNumberFormat="1" applyFont="1" applyFill="1" applyBorder="1" applyAlignment="1">
      <alignment vertical="center" shrinkToFit="1"/>
    </xf>
    <xf numFmtId="177" fontId="12" fillId="0" borderId="31" xfId="2" applyNumberFormat="1" applyFont="1" applyFill="1" applyBorder="1" applyAlignment="1">
      <alignment vertical="center" shrinkToFit="1"/>
    </xf>
    <xf numFmtId="179" fontId="12" fillId="0" borderId="83" xfId="2" applyNumberFormat="1" applyFont="1" applyFill="1" applyBorder="1" applyAlignment="1">
      <alignment vertical="center" shrinkToFit="1"/>
    </xf>
    <xf numFmtId="179" fontId="13" fillId="3" borderId="84" xfId="1" applyNumberFormat="1" applyFont="1" applyFill="1" applyBorder="1" applyAlignment="1">
      <alignment horizontal="right" vertical="center" shrinkToFit="1"/>
    </xf>
    <xf numFmtId="179" fontId="13" fillId="3" borderId="29" xfId="1" applyNumberFormat="1" applyFont="1" applyFill="1" applyBorder="1" applyAlignment="1">
      <alignment horizontal="right" vertical="center" shrinkToFit="1"/>
    </xf>
    <xf numFmtId="177" fontId="13" fillId="3" borderId="99" xfId="2" applyNumberFormat="1" applyFont="1" applyFill="1" applyBorder="1" applyAlignment="1">
      <alignment horizontal="right" vertical="center" shrinkToFit="1"/>
    </xf>
    <xf numFmtId="179" fontId="13" fillId="3" borderId="32" xfId="2" applyNumberFormat="1" applyFont="1" applyFill="1" applyBorder="1" applyAlignment="1">
      <alignment horizontal="right" vertical="center" shrinkToFit="1"/>
    </xf>
    <xf numFmtId="177" fontId="13" fillId="3" borderId="36" xfId="2" applyNumberFormat="1" applyFont="1" applyFill="1" applyBorder="1" applyAlignment="1">
      <alignment horizontal="right" vertical="center" shrinkToFit="1"/>
    </xf>
    <xf numFmtId="179" fontId="13" fillId="3" borderId="31" xfId="1" applyNumberFormat="1" applyFont="1" applyFill="1" applyBorder="1" applyAlignment="1">
      <alignment horizontal="right" vertical="center" shrinkToFit="1"/>
    </xf>
    <xf numFmtId="179" fontId="13" fillId="3" borderId="4" xfId="1" applyNumberFormat="1" applyFont="1" applyFill="1" applyBorder="1" applyAlignment="1">
      <alignment horizontal="right" vertical="center" shrinkToFit="1"/>
    </xf>
    <xf numFmtId="177" fontId="13" fillId="3" borderId="89" xfId="2" applyNumberFormat="1" applyFont="1" applyFill="1" applyBorder="1" applyAlignment="1">
      <alignment horizontal="right" vertical="center" shrinkToFit="1"/>
    </xf>
    <xf numFmtId="179" fontId="13" fillId="3" borderId="82" xfId="2" applyNumberFormat="1" applyFont="1" applyFill="1" applyBorder="1" applyAlignment="1">
      <alignment horizontal="right" vertical="center" shrinkToFit="1"/>
    </xf>
    <xf numFmtId="177" fontId="13" fillId="3" borderId="78" xfId="2" applyNumberFormat="1" applyFont="1" applyFill="1" applyBorder="1" applyAlignment="1">
      <alignment horizontal="right" vertical="center" shrinkToFit="1"/>
    </xf>
    <xf numFmtId="179" fontId="13" fillId="3" borderId="19" xfId="1" applyNumberFormat="1" applyFont="1" applyFill="1" applyBorder="1" applyAlignment="1">
      <alignment horizontal="right" vertical="center" shrinkToFit="1"/>
    </xf>
    <xf numFmtId="179" fontId="12" fillId="3" borderId="85" xfId="2" applyNumberFormat="1" applyFont="1" applyFill="1" applyBorder="1" applyAlignment="1">
      <alignment horizontal="right" vertical="center" shrinkToFit="1"/>
    </xf>
    <xf numFmtId="38" fontId="29" fillId="0" borderId="0" xfId="5" applyNumberFormat="1" applyFont="1" applyFill="1" applyBorder="1" applyAlignment="1">
      <alignment vertical="center"/>
    </xf>
    <xf numFmtId="38" fontId="8" fillId="0" borderId="0" xfId="5" applyNumberFormat="1" applyFont="1" applyFill="1" applyBorder="1" applyAlignment="1">
      <alignment vertical="center"/>
    </xf>
    <xf numFmtId="38" fontId="19" fillId="0" borderId="0" xfId="5" applyNumberFormat="1" applyFont="1" applyFill="1" applyBorder="1" applyAlignment="1">
      <alignment vertical="center"/>
    </xf>
    <xf numFmtId="38" fontId="19" fillId="0" borderId="0" xfId="5" applyNumberFormat="1" applyFont="1" applyFill="1" applyBorder="1" applyAlignment="1">
      <alignment horizontal="center" vertical="center"/>
    </xf>
    <xf numFmtId="38" fontId="25" fillId="0" borderId="0" xfId="5" applyNumberFormat="1" applyFont="1" applyFill="1" applyBorder="1" applyAlignment="1">
      <alignment vertical="center"/>
    </xf>
    <xf numFmtId="38" fontId="25" fillId="0" borderId="0" xfId="5" quotePrefix="1" applyNumberFormat="1" applyFont="1" applyFill="1" applyBorder="1" applyAlignment="1">
      <alignment vertical="center"/>
    </xf>
    <xf numFmtId="38" fontId="22" fillId="8" borderId="0" xfId="5" applyNumberFormat="1" applyFont="1" applyFill="1" applyBorder="1" applyAlignment="1">
      <alignment vertical="center"/>
    </xf>
    <xf numFmtId="38" fontId="30" fillId="0" borderId="0" xfId="5" applyNumberFormat="1" applyFont="1" applyFill="1" applyBorder="1" applyAlignment="1">
      <alignment horizontal="centerContinuous" vertical="center"/>
    </xf>
    <xf numFmtId="38" fontId="31" fillId="0" borderId="0" xfId="5" applyNumberFormat="1" applyFont="1" applyFill="1" applyBorder="1" applyAlignment="1">
      <alignment horizontal="centerContinuous" vertical="center"/>
    </xf>
    <xf numFmtId="38" fontId="32" fillId="0" borderId="0" xfId="5" applyNumberFormat="1" applyFont="1" applyFill="1" applyBorder="1" applyAlignment="1">
      <alignment horizontal="centerContinuous" vertical="center"/>
    </xf>
    <xf numFmtId="38" fontId="33" fillId="0" borderId="0" xfId="5" quotePrefix="1" applyNumberFormat="1" applyFont="1" applyFill="1" applyBorder="1" applyAlignment="1">
      <alignment horizontal="centerContinuous" vertical="center"/>
    </xf>
    <xf numFmtId="38" fontId="25" fillId="0" borderId="0" xfId="5" applyNumberFormat="1" applyFont="1" applyFill="1" applyBorder="1" applyAlignment="1">
      <alignment horizontal="centerContinuous" vertical="center"/>
    </xf>
    <xf numFmtId="38" fontId="19" fillId="0" borderId="14" xfId="5" applyNumberFormat="1" applyFont="1" applyFill="1" applyBorder="1" applyAlignment="1">
      <alignment vertical="center"/>
    </xf>
    <xf numFmtId="38" fontId="19" fillId="0" borderId="37" xfId="5" applyNumberFormat="1" applyFont="1" applyFill="1" applyBorder="1" applyAlignment="1">
      <alignment vertical="center"/>
    </xf>
    <xf numFmtId="38" fontId="19" fillId="0" borderId="41" xfId="5" applyNumberFormat="1" applyFont="1" applyFill="1" applyBorder="1" applyAlignment="1">
      <alignment vertical="center"/>
    </xf>
    <xf numFmtId="38" fontId="19" fillId="0" borderId="13" xfId="5" applyNumberFormat="1" applyFont="1" applyFill="1" applyBorder="1" applyAlignment="1">
      <alignment vertical="center"/>
    </xf>
    <xf numFmtId="38" fontId="19" fillId="0" borderId="39" xfId="5" applyNumberFormat="1" applyFont="1" applyFill="1" applyBorder="1" applyAlignment="1">
      <alignment horizontal="center" vertical="center"/>
    </xf>
    <xf numFmtId="38" fontId="35" fillId="0" borderId="0" xfId="5" applyNumberFormat="1" applyFont="1" applyFill="1" applyBorder="1" applyAlignment="1">
      <alignment horizontal="center" vertical="center"/>
    </xf>
    <xf numFmtId="38" fontId="35" fillId="7" borderId="0" xfId="5" applyNumberFormat="1" applyFont="1" applyFill="1" applyBorder="1" applyAlignment="1">
      <alignment horizontal="center" vertical="center"/>
    </xf>
    <xf numFmtId="38" fontId="36" fillId="0" borderId="0" xfId="5" applyNumberFormat="1" applyFont="1" applyFill="1" applyBorder="1" applyAlignment="1">
      <alignment vertical="center"/>
    </xf>
    <xf numFmtId="38" fontId="37" fillId="0" borderId="0" xfId="5" applyNumberFormat="1" applyFont="1" applyFill="1" applyBorder="1" applyAlignment="1">
      <alignment horizontal="right" vertical="center"/>
    </xf>
    <xf numFmtId="38" fontId="38" fillId="0" borderId="0" xfId="5" applyNumberFormat="1" applyFont="1" applyFill="1" applyBorder="1" applyAlignment="1">
      <alignment vertical="center"/>
    </xf>
    <xf numFmtId="38" fontId="19" fillId="0" borderId="39" xfId="5" applyNumberFormat="1" applyFont="1" applyFill="1" applyBorder="1" applyAlignment="1">
      <alignment vertical="center"/>
    </xf>
    <xf numFmtId="38" fontId="25" fillId="0" borderId="13" xfId="5" applyNumberFormat="1" applyFont="1" applyFill="1" applyBorder="1" applyAlignment="1">
      <alignment vertical="center"/>
    </xf>
    <xf numFmtId="38" fontId="37" fillId="0" borderId="0" xfId="5" applyNumberFormat="1" applyFont="1" applyFill="1" applyBorder="1" applyAlignment="1">
      <alignment vertical="center"/>
    </xf>
    <xf numFmtId="38" fontId="25" fillId="0" borderId="39" xfId="5" applyNumberFormat="1" applyFont="1" applyFill="1" applyBorder="1" applyAlignment="1">
      <alignment vertical="center"/>
    </xf>
    <xf numFmtId="38" fontId="40" fillId="0" borderId="0" xfId="5" applyNumberFormat="1" applyFont="1" applyFill="1" applyBorder="1" applyAlignment="1">
      <alignment vertical="center"/>
    </xf>
    <xf numFmtId="38" fontId="41" fillId="0" borderId="13" xfId="5" applyNumberFormat="1" applyFont="1" applyFill="1" applyBorder="1" applyAlignment="1">
      <alignment vertical="center"/>
    </xf>
    <xf numFmtId="38" fontId="35" fillId="0" borderId="0" xfId="5" applyNumberFormat="1" applyFont="1" applyFill="1" applyBorder="1" applyAlignment="1">
      <alignment vertical="center"/>
    </xf>
    <xf numFmtId="38" fontId="25" fillId="0" borderId="17" xfId="5" quotePrefix="1" applyNumberFormat="1" applyFont="1" applyFill="1" applyBorder="1" applyAlignment="1">
      <alignment vertical="center"/>
    </xf>
    <xf numFmtId="38" fontId="37" fillId="0" borderId="42" xfId="5" applyNumberFormat="1" applyFont="1" applyFill="1" applyBorder="1" applyAlignment="1">
      <alignment vertical="center"/>
    </xf>
    <xf numFmtId="38" fontId="25" fillId="0" borderId="43" xfId="5" applyNumberFormat="1" applyFont="1" applyFill="1" applyBorder="1" applyAlignment="1">
      <alignment vertical="center"/>
    </xf>
    <xf numFmtId="38" fontId="21" fillId="0" borderId="18" xfId="0" applyNumberFormat="1" applyFont="1" applyFill="1" applyBorder="1" applyAlignment="1">
      <alignment vertical="center"/>
    </xf>
    <xf numFmtId="0" fontId="13" fillId="4" borderId="29" xfId="0" quotePrefix="1" applyFont="1" applyFill="1" applyBorder="1" applyAlignment="1">
      <alignment horizontal="left" vertical="center"/>
    </xf>
    <xf numFmtId="179" fontId="12" fillId="3" borderId="86" xfId="1" applyNumberFormat="1" applyFont="1" applyFill="1" applyBorder="1">
      <alignment vertical="center"/>
    </xf>
    <xf numFmtId="41" fontId="12" fillId="3" borderId="0" xfId="1" applyFont="1" applyFill="1">
      <alignment vertical="center"/>
    </xf>
    <xf numFmtId="41" fontId="24" fillId="3" borderId="0" xfId="1" applyFont="1" applyFill="1">
      <alignment vertical="center"/>
    </xf>
    <xf numFmtId="41" fontId="12" fillId="3" borderId="0" xfId="1" applyFont="1" applyFill="1" applyAlignment="1">
      <alignment vertical="center" shrinkToFit="1"/>
    </xf>
    <xf numFmtId="10" fontId="7" fillId="3" borderId="0" xfId="2" applyNumberFormat="1" applyFont="1" applyFill="1" applyBorder="1" applyAlignment="1">
      <alignment vertical="center"/>
    </xf>
    <xf numFmtId="40" fontId="7" fillId="3" borderId="0" xfId="0" applyNumberFormat="1" applyFont="1" applyFill="1" applyBorder="1" applyAlignment="1">
      <alignment vertical="center"/>
    </xf>
    <xf numFmtId="179" fontId="6" fillId="3" borderId="0" xfId="0" applyNumberFormat="1" applyFont="1" applyFill="1">
      <alignment vertical="center"/>
    </xf>
    <xf numFmtId="179" fontId="24" fillId="3" borderId="0" xfId="0" applyNumberFormat="1" applyFont="1" applyFill="1">
      <alignment vertical="center"/>
    </xf>
    <xf numFmtId="0" fontId="13" fillId="4" borderId="75" xfId="0" applyFont="1" applyFill="1" applyBorder="1" applyAlignment="1">
      <alignment horizontal="left" vertical="center" indent="1"/>
    </xf>
    <xf numFmtId="0" fontId="12" fillId="4" borderId="30" xfId="0" quotePrefix="1" applyFont="1" applyFill="1" applyBorder="1" applyAlignment="1">
      <alignment horizontal="left" vertical="center" indent="1"/>
    </xf>
    <xf numFmtId="0" fontId="12" fillId="4" borderId="5" xfId="0" quotePrefix="1" applyFont="1" applyFill="1" applyBorder="1" applyAlignment="1">
      <alignment horizontal="left" vertical="center" indent="1"/>
    </xf>
    <xf numFmtId="0" fontId="12" fillId="4" borderId="25" xfId="0" quotePrefix="1" applyFont="1" applyFill="1" applyBorder="1" applyAlignment="1">
      <alignment horizontal="left" vertical="center" indent="1"/>
    </xf>
    <xf numFmtId="0" fontId="12" fillId="4" borderId="26" xfId="0" quotePrefix="1" applyFont="1" applyFill="1" applyBorder="1" applyAlignment="1">
      <alignment horizontal="left" vertical="center" indent="1"/>
    </xf>
    <xf numFmtId="0" fontId="13" fillId="4" borderId="30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left" vertical="center" indent="1"/>
    </xf>
    <xf numFmtId="0" fontId="12" fillId="4" borderId="53" xfId="0" quotePrefix="1" applyFont="1" applyFill="1" applyBorder="1" applyAlignment="1">
      <alignment horizontal="left" vertical="center" indent="1"/>
    </xf>
    <xf numFmtId="0" fontId="12" fillId="4" borderId="50" xfId="0" quotePrefix="1" applyFont="1" applyFill="1" applyBorder="1" applyAlignment="1">
      <alignment horizontal="left" vertical="center" indent="1"/>
    </xf>
    <xf numFmtId="0" fontId="13" fillId="4" borderId="5" xfId="0" quotePrefix="1" applyFont="1" applyFill="1" applyBorder="1" applyAlignment="1">
      <alignment horizontal="left" vertical="center" indent="1"/>
    </xf>
    <xf numFmtId="0" fontId="13" fillId="4" borderId="30" xfId="0" quotePrefix="1" applyFont="1" applyFill="1" applyBorder="1" applyAlignment="1">
      <alignment horizontal="left" vertical="center" indent="1"/>
    </xf>
    <xf numFmtId="179" fontId="12" fillId="3" borderId="88" xfId="2" applyNumberFormat="1" applyFont="1" applyFill="1" applyBorder="1">
      <alignment vertical="center"/>
    </xf>
    <xf numFmtId="0" fontId="12" fillId="4" borderId="1" xfId="0" applyFont="1" applyFill="1" applyBorder="1" applyAlignment="1">
      <alignment horizontal="left" vertical="center" indent="1"/>
    </xf>
    <xf numFmtId="179" fontId="13" fillId="3" borderId="118" xfId="1" applyNumberFormat="1" applyFont="1" applyFill="1" applyBorder="1" applyAlignment="1">
      <alignment vertical="center" shrinkToFit="1"/>
    </xf>
    <xf numFmtId="179" fontId="12" fillId="3" borderId="118" xfId="1" applyNumberFormat="1" applyFont="1" applyFill="1" applyBorder="1" applyAlignment="1">
      <alignment vertical="center" shrinkToFit="1"/>
    </xf>
    <xf numFmtId="179" fontId="12" fillId="3" borderId="120" xfId="1" applyNumberFormat="1" applyFont="1" applyFill="1" applyBorder="1" applyAlignment="1">
      <alignment vertical="center" shrinkToFit="1"/>
    </xf>
    <xf numFmtId="179" fontId="12" fillId="3" borderId="121" xfId="1" applyNumberFormat="1" applyFont="1" applyFill="1" applyBorder="1" applyAlignment="1">
      <alignment vertical="center" shrinkToFit="1"/>
    </xf>
    <xf numFmtId="179" fontId="12" fillId="3" borderId="122" xfId="1" applyNumberFormat="1" applyFont="1" applyFill="1" applyBorder="1" applyAlignment="1">
      <alignment vertical="center" shrinkToFit="1"/>
    </xf>
    <xf numFmtId="179" fontId="13" fillId="3" borderId="123" xfId="1" applyNumberFormat="1" applyFont="1" applyFill="1" applyBorder="1" applyAlignment="1">
      <alignment vertical="center" shrinkToFit="1"/>
    </xf>
    <xf numFmtId="179" fontId="12" fillId="3" borderId="124" xfId="1" applyNumberFormat="1" applyFont="1" applyFill="1" applyBorder="1" applyAlignment="1">
      <alignment vertical="center" shrinkToFit="1"/>
    </xf>
    <xf numFmtId="177" fontId="12" fillId="3" borderId="125" xfId="2" applyNumberFormat="1" applyFont="1" applyFill="1" applyBorder="1" applyAlignment="1">
      <alignment vertical="center" shrinkToFit="1"/>
    </xf>
    <xf numFmtId="0" fontId="7" fillId="10" borderId="0" xfId="0" applyFont="1" applyFill="1" applyAlignment="1"/>
    <xf numFmtId="177" fontId="13" fillId="3" borderId="79" xfId="2" applyNumberFormat="1" applyFont="1" applyFill="1" applyBorder="1" applyAlignment="1">
      <alignment vertical="center" shrinkToFit="1"/>
    </xf>
    <xf numFmtId="177" fontId="12" fillId="3" borderId="87" xfId="2" applyNumberFormat="1" applyFont="1" applyFill="1" applyBorder="1" applyAlignment="1">
      <alignment vertical="center" shrinkToFit="1"/>
    </xf>
    <xf numFmtId="177" fontId="12" fillId="3" borderId="129" xfId="2" applyNumberFormat="1" applyFont="1" applyFill="1" applyBorder="1" applyAlignment="1">
      <alignment vertical="center" shrinkToFit="1"/>
    </xf>
    <xf numFmtId="177" fontId="12" fillId="3" borderId="130" xfId="2" applyNumberFormat="1" applyFont="1" applyFill="1" applyBorder="1" applyAlignment="1">
      <alignment vertical="center" shrinkToFit="1"/>
    </xf>
    <xf numFmtId="177" fontId="12" fillId="3" borderId="131" xfId="2" applyNumberFormat="1" applyFont="1" applyFill="1" applyBorder="1" applyAlignment="1">
      <alignment vertical="center" shrinkToFit="1"/>
    </xf>
    <xf numFmtId="177" fontId="13" fillId="3" borderId="87" xfId="2" applyNumberFormat="1" applyFont="1" applyFill="1" applyBorder="1" applyAlignment="1">
      <alignment vertical="center" shrinkToFit="1"/>
    </xf>
    <xf numFmtId="177" fontId="13" fillId="3" borderId="132" xfId="2" applyNumberFormat="1" applyFont="1" applyFill="1" applyBorder="1" applyAlignment="1">
      <alignment vertical="center" shrinkToFit="1"/>
    </xf>
    <xf numFmtId="177" fontId="12" fillId="3" borderId="133" xfId="2" applyNumberFormat="1" applyFont="1" applyFill="1" applyBorder="1" applyAlignment="1">
      <alignment vertical="center" shrinkToFit="1"/>
    </xf>
    <xf numFmtId="181" fontId="12" fillId="3" borderId="80" xfId="2" applyNumberFormat="1" applyFont="1" applyFill="1" applyBorder="1" applyAlignment="1">
      <alignment vertical="center" shrinkToFit="1"/>
    </xf>
    <xf numFmtId="177" fontId="13" fillId="3" borderId="134" xfId="2" applyNumberFormat="1" applyFont="1" applyFill="1" applyBorder="1" applyAlignment="1">
      <alignment vertical="center" shrinkToFit="1"/>
    </xf>
    <xf numFmtId="177" fontId="12" fillId="3" borderId="34" xfId="2" applyNumberFormat="1" applyFont="1" applyFill="1" applyBorder="1" applyAlignment="1">
      <alignment vertical="center" shrinkToFit="1"/>
    </xf>
    <xf numFmtId="177" fontId="12" fillId="3" borderId="127" xfId="2" applyNumberFormat="1" applyFont="1" applyFill="1" applyBorder="1" applyAlignment="1">
      <alignment vertical="center" shrinkToFit="1"/>
    </xf>
    <xf numFmtId="177" fontId="12" fillId="3" borderId="128" xfId="2" applyNumberFormat="1" applyFont="1" applyFill="1" applyBorder="1" applyAlignment="1">
      <alignment vertical="center" shrinkToFit="1"/>
    </xf>
    <xf numFmtId="177" fontId="12" fillId="3" borderId="67" xfId="2" applyNumberFormat="1" applyFont="1" applyFill="1" applyBorder="1" applyAlignment="1">
      <alignment vertical="center" shrinkToFit="1"/>
    </xf>
    <xf numFmtId="177" fontId="13" fillId="3" borderId="34" xfId="2" applyNumberFormat="1" applyFont="1" applyFill="1" applyBorder="1" applyAlignment="1">
      <alignment vertical="center" shrinkToFit="1"/>
    </xf>
    <xf numFmtId="177" fontId="13" fillId="3" borderId="65" xfId="2" applyNumberFormat="1" applyFont="1" applyFill="1" applyBorder="1" applyAlignment="1">
      <alignment vertical="center" shrinkToFit="1"/>
    </xf>
    <xf numFmtId="177" fontId="12" fillId="3" borderId="66" xfId="2" applyNumberFormat="1" applyFont="1" applyFill="1" applyBorder="1" applyAlignment="1">
      <alignment vertical="center" shrinkToFit="1"/>
    </xf>
    <xf numFmtId="181" fontId="12" fillId="3" borderId="62" xfId="2" applyNumberFormat="1" applyFont="1" applyFill="1" applyBorder="1" applyAlignment="1">
      <alignment vertical="center" shrinkToFit="1"/>
    </xf>
    <xf numFmtId="0" fontId="12" fillId="4" borderId="10" xfId="0" quotePrefix="1" applyFont="1" applyFill="1" applyBorder="1" applyAlignment="1">
      <alignment horizontal="left" vertical="center" indent="1"/>
    </xf>
    <xf numFmtId="0" fontId="12" fillId="4" borderId="84" xfId="0" quotePrefix="1" applyFont="1" applyFill="1" applyBorder="1" applyAlignment="1">
      <alignment horizontal="left" vertical="center" indent="1"/>
    </xf>
    <xf numFmtId="0" fontId="12" fillId="4" borderId="29" xfId="0" quotePrefix="1" applyFont="1" applyFill="1" applyBorder="1" applyAlignment="1">
      <alignment horizontal="left" vertical="center" indent="1"/>
    </xf>
    <xf numFmtId="179" fontId="12" fillId="3" borderId="118" xfId="1" applyNumberFormat="1" applyFont="1" applyFill="1" applyBorder="1" applyAlignment="1">
      <alignment horizontal="right" vertical="center" shrinkToFit="1"/>
    </xf>
    <xf numFmtId="179" fontId="12" fillId="3" borderId="120" xfId="1" applyNumberFormat="1" applyFont="1" applyFill="1" applyBorder="1" applyAlignment="1">
      <alignment horizontal="right" vertical="center" shrinkToFit="1"/>
    </xf>
    <xf numFmtId="179" fontId="13" fillId="3" borderId="123" xfId="1" applyNumberFormat="1" applyFont="1" applyFill="1" applyBorder="1" applyAlignment="1">
      <alignment horizontal="right" vertical="center" shrinkToFit="1"/>
    </xf>
    <xf numFmtId="179" fontId="13" fillId="3" borderId="136" xfId="1" applyNumberFormat="1" applyFont="1" applyFill="1" applyBorder="1" applyAlignment="1">
      <alignment horizontal="right" vertical="center" shrinkToFit="1"/>
    </xf>
    <xf numFmtId="0" fontId="12" fillId="4" borderId="14" xfId="0" quotePrefix="1" applyFont="1" applyFill="1" applyBorder="1" applyAlignment="1">
      <alignment horizontal="left" vertical="center" indent="1"/>
    </xf>
    <xf numFmtId="0" fontId="12" fillId="4" borderId="17" xfId="0" quotePrefix="1" applyFont="1" applyFill="1" applyBorder="1" applyAlignment="1">
      <alignment horizontal="left" vertical="center" indent="1"/>
    </xf>
    <xf numFmtId="179" fontId="13" fillId="3" borderId="117" xfId="1" applyNumberFormat="1" applyFont="1" applyFill="1" applyBorder="1" applyAlignment="1">
      <alignment horizontal="right" vertical="center" shrinkToFit="1"/>
    </xf>
    <xf numFmtId="179" fontId="12" fillId="3" borderId="121" xfId="1" applyNumberFormat="1" applyFont="1" applyFill="1" applyBorder="1" applyAlignment="1">
      <alignment horizontal="right" vertical="center" shrinkToFit="1"/>
    </xf>
    <xf numFmtId="179" fontId="12" fillId="3" borderId="122" xfId="1" applyNumberFormat="1" applyFont="1" applyFill="1" applyBorder="1" applyAlignment="1">
      <alignment horizontal="right" vertical="center" shrinkToFit="1"/>
    </xf>
    <xf numFmtId="179" fontId="12" fillId="3" borderId="124" xfId="1" applyNumberFormat="1" applyFont="1" applyFill="1" applyBorder="1" applyAlignment="1">
      <alignment horizontal="right" vertical="center" shrinkToFit="1"/>
    </xf>
    <xf numFmtId="179" fontId="12" fillId="3" borderId="117" xfId="1" applyNumberFormat="1" applyFont="1" applyFill="1" applyBorder="1" applyAlignment="1">
      <alignment vertical="center" shrinkToFit="1"/>
    </xf>
    <xf numFmtId="179" fontId="12" fillId="3" borderId="123" xfId="1" applyNumberFormat="1" applyFont="1" applyFill="1" applyBorder="1" applyAlignment="1">
      <alignment vertical="center" shrinkToFit="1"/>
    </xf>
    <xf numFmtId="177" fontId="12" fillId="3" borderId="34" xfId="2" applyNumberFormat="1" applyFont="1" applyFill="1" applyBorder="1" applyAlignment="1">
      <alignment horizontal="right" vertical="center" shrinkToFit="1"/>
    </xf>
    <xf numFmtId="177" fontId="12" fillId="3" borderId="127" xfId="2" applyNumberFormat="1" applyFont="1" applyFill="1" applyBorder="1" applyAlignment="1">
      <alignment horizontal="right" vertical="center" shrinkToFit="1"/>
    </xf>
    <xf numFmtId="177" fontId="13" fillId="3" borderId="65" xfId="2" applyNumberFormat="1" applyFont="1" applyFill="1" applyBorder="1" applyAlignment="1">
      <alignment horizontal="right" vertical="center" shrinkToFit="1"/>
    </xf>
    <xf numFmtId="177" fontId="13" fillId="3" borderId="35" xfId="2" applyNumberFormat="1" applyFont="1" applyFill="1" applyBorder="1" applyAlignment="1">
      <alignment horizontal="right" vertical="center" shrinkToFit="1"/>
    </xf>
    <xf numFmtId="177" fontId="13" fillId="3" borderId="137" xfId="2" applyNumberFormat="1" applyFont="1" applyFill="1" applyBorder="1" applyAlignment="1">
      <alignment horizontal="right" vertical="center" shrinkToFit="1"/>
    </xf>
    <xf numFmtId="177" fontId="12" fillId="3" borderId="128" xfId="2" applyNumberFormat="1" applyFont="1" applyFill="1" applyBorder="1" applyAlignment="1">
      <alignment horizontal="right" vertical="center" shrinkToFit="1"/>
    </xf>
    <xf numFmtId="177" fontId="12" fillId="3" borderId="67" xfId="2" applyNumberFormat="1" applyFont="1" applyFill="1" applyBorder="1" applyAlignment="1">
      <alignment horizontal="right" vertical="center" shrinkToFit="1"/>
    </xf>
    <xf numFmtId="177" fontId="12" fillId="3" borderId="66" xfId="2" applyNumberFormat="1" applyFont="1" applyFill="1" applyBorder="1" applyAlignment="1">
      <alignment horizontal="right" vertical="center" shrinkToFit="1"/>
    </xf>
    <xf numFmtId="179" fontId="13" fillId="3" borderId="135" xfId="1" applyNumberFormat="1" applyFont="1" applyFill="1" applyBorder="1" applyAlignment="1">
      <alignment vertical="center" shrinkToFit="1"/>
    </xf>
    <xf numFmtId="179" fontId="13" fillId="3" borderId="136" xfId="1" applyNumberFormat="1" applyFont="1" applyFill="1" applyBorder="1" applyAlignment="1">
      <alignment vertical="center" shrinkToFit="1"/>
    </xf>
    <xf numFmtId="179" fontId="13" fillId="3" borderId="122" xfId="1" applyNumberFormat="1" applyFont="1" applyFill="1" applyBorder="1" applyAlignment="1">
      <alignment vertical="center" shrinkToFit="1"/>
    </xf>
    <xf numFmtId="177" fontId="12" fillId="0" borderId="117" xfId="2" applyNumberFormat="1" applyFont="1" applyFill="1" applyBorder="1" applyAlignment="1">
      <alignment vertical="center" shrinkToFit="1"/>
    </xf>
    <xf numFmtId="177" fontId="12" fillId="0" borderId="136" xfId="2" applyNumberFormat="1" applyFont="1" applyFill="1" applyBorder="1" applyAlignment="1">
      <alignment vertical="center" shrinkToFit="1"/>
    </xf>
    <xf numFmtId="181" fontId="12" fillId="3" borderId="78" xfId="2" applyNumberFormat="1" applyFont="1" applyFill="1" applyBorder="1" applyAlignment="1">
      <alignment vertical="center" shrinkToFit="1"/>
    </xf>
    <xf numFmtId="179" fontId="13" fillId="3" borderId="117" xfId="1" applyNumberFormat="1" applyFont="1" applyFill="1" applyBorder="1" applyAlignment="1">
      <alignment vertical="center" shrinkToFit="1"/>
    </xf>
    <xf numFmtId="179" fontId="13" fillId="3" borderId="118" xfId="2" applyNumberFormat="1" applyFont="1" applyFill="1" applyBorder="1" applyAlignment="1">
      <alignment vertical="center" shrinkToFit="1"/>
    </xf>
    <xf numFmtId="179" fontId="13" fillId="3" borderId="136" xfId="2" applyNumberFormat="1" applyFont="1" applyFill="1" applyBorder="1" applyAlignment="1">
      <alignment vertical="center" shrinkToFit="1"/>
    </xf>
    <xf numFmtId="179" fontId="13" fillId="3" borderId="125" xfId="1" applyNumberFormat="1" applyFont="1" applyFill="1" applyBorder="1" applyAlignment="1">
      <alignment vertical="center" shrinkToFit="1"/>
    </xf>
    <xf numFmtId="177" fontId="13" fillId="3" borderId="35" xfId="2" applyNumberFormat="1" applyFont="1" applyFill="1" applyBorder="1" applyAlignment="1">
      <alignment vertical="center" shrinkToFit="1"/>
    </xf>
    <xf numFmtId="177" fontId="13" fillId="3" borderId="137" xfId="2" applyNumberFormat="1" applyFont="1" applyFill="1" applyBorder="1" applyAlignment="1">
      <alignment vertical="center" shrinkToFit="1"/>
    </xf>
    <xf numFmtId="177" fontId="13" fillId="3" borderId="62" xfId="2" applyNumberFormat="1" applyFont="1" applyFill="1" applyBorder="1" applyAlignment="1">
      <alignment vertical="center" shrinkToFit="1"/>
    </xf>
    <xf numFmtId="179" fontId="9" fillId="3" borderId="135" xfId="0" applyNumberFormat="1" applyFont="1" applyFill="1" applyBorder="1" applyAlignment="1">
      <alignment horizontal="right" vertical="center"/>
    </xf>
    <xf numFmtId="179" fontId="12" fillId="3" borderId="118" xfId="1" applyNumberFormat="1" applyFont="1" applyFill="1" applyBorder="1">
      <alignment vertical="center"/>
    </xf>
    <xf numFmtId="179" fontId="12" fillId="3" borderId="120" xfId="1" applyNumberFormat="1" applyFont="1" applyFill="1" applyBorder="1">
      <alignment vertical="center"/>
    </xf>
    <xf numFmtId="179" fontId="12" fillId="3" borderId="121" xfId="1" applyNumberFormat="1" applyFont="1" applyFill="1" applyBorder="1">
      <alignment vertical="center"/>
    </xf>
    <xf numFmtId="179" fontId="12" fillId="3" borderId="122" xfId="1" applyNumberFormat="1" applyFont="1" applyFill="1" applyBorder="1">
      <alignment vertical="center"/>
    </xf>
    <xf numFmtId="10" fontId="12" fillId="3" borderId="138" xfId="2" applyNumberFormat="1" applyFont="1" applyFill="1" applyBorder="1">
      <alignment vertical="center"/>
    </xf>
    <xf numFmtId="177" fontId="9" fillId="3" borderId="79" xfId="0" applyNumberFormat="1" applyFont="1" applyFill="1" applyBorder="1" applyAlignment="1">
      <alignment horizontal="right" vertical="center"/>
    </xf>
    <xf numFmtId="177" fontId="12" fillId="3" borderId="87" xfId="2" applyNumberFormat="1" applyFont="1" applyFill="1" applyBorder="1">
      <alignment vertical="center"/>
    </xf>
    <xf numFmtId="177" fontId="12" fillId="3" borderId="129" xfId="2" applyNumberFormat="1" applyFont="1" applyFill="1" applyBorder="1">
      <alignment vertical="center"/>
    </xf>
    <xf numFmtId="177" fontId="12" fillId="3" borderId="130" xfId="2" applyNumberFormat="1" applyFont="1" applyFill="1" applyBorder="1">
      <alignment vertical="center"/>
    </xf>
    <xf numFmtId="177" fontId="12" fillId="3" borderId="131" xfId="2" applyNumberFormat="1" applyFont="1" applyFill="1" applyBorder="1">
      <alignment vertical="center"/>
    </xf>
    <xf numFmtId="180" fontId="12" fillId="3" borderId="139" xfId="2" applyNumberFormat="1" applyFont="1" applyFill="1" applyBorder="1">
      <alignment vertical="center"/>
    </xf>
    <xf numFmtId="177" fontId="9" fillId="3" borderId="134" xfId="0" applyNumberFormat="1" applyFont="1" applyFill="1" applyBorder="1" applyAlignment="1">
      <alignment horizontal="right" vertical="center"/>
    </xf>
    <xf numFmtId="177" fontId="12" fillId="3" borderId="127" xfId="2" applyNumberFormat="1" applyFont="1" applyFill="1" applyBorder="1">
      <alignment vertical="center"/>
    </xf>
    <xf numFmtId="177" fontId="12" fillId="3" borderId="128" xfId="2" applyNumberFormat="1" applyFont="1" applyFill="1" applyBorder="1">
      <alignment vertical="center"/>
    </xf>
    <xf numFmtId="177" fontId="12" fillId="3" borderId="67" xfId="2" applyNumberFormat="1" applyFont="1" applyFill="1" applyBorder="1">
      <alignment vertical="center"/>
    </xf>
    <xf numFmtId="180" fontId="12" fillId="3" borderId="126" xfId="2" applyNumberFormat="1" applyFont="1" applyFill="1" applyBorder="1">
      <alignment vertical="center"/>
    </xf>
    <xf numFmtId="179" fontId="12" fillId="3" borderId="84" xfId="1" applyNumberFormat="1" applyFont="1" applyFill="1" applyBorder="1" applyAlignment="1">
      <alignment vertical="center" shrinkToFit="1"/>
    </xf>
    <xf numFmtId="38" fontId="9" fillId="4" borderId="60" xfId="0" applyNumberFormat="1" applyFont="1" applyFill="1" applyBorder="1" applyAlignment="1">
      <alignment vertical="center"/>
    </xf>
    <xf numFmtId="38" fontId="9" fillId="4" borderId="61" xfId="0" applyNumberFormat="1" applyFont="1" applyFill="1" applyBorder="1" applyAlignment="1">
      <alignment vertical="center"/>
    </xf>
    <xf numFmtId="38" fontId="9" fillId="4" borderId="1" xfId="0" applyNumberFormat="1" applyFont="1" applyFill="1" applyBorder="1" applyAlignment="1">
      <alignment vertical="center"/>
    </xf>
    <xf numFmtId="38" fontId="9" fillId="4" borderId="47" xfId="0" applyNumberFormat="1" applyFont="1" applyFill="1" applyBorder="1" applyAlignment="1">
      <alignment vertical="center"/>
    </xf>
    <xf numFmtId="38" fontId="9" fillId="4" borderId="0" xfId="0" applyNumberFormat="1" applyFont="1" applyFill="1" applyBorder="1" applyAlignment="1">
      <alignment vertical="center"/>
    </xf>
    <xf numFmtId="38" fontId="9" fillId="4" borderId="22" xfId="0" applyNumberFormat="1" applyFont="1" applyFill="1" applyBorder="1" applyAlignment="1">
      <alignment vertical="center"/>
    </xf>
    <xf numFmtId="38" fontId="9" fillId="4" borderId="10" xfId="0" applyNumberFormat="1" applyFont="1" applyFill="1" applyBorder="1" applyAlignment="1">
      <alignment vertical="center"/>
    </xf>
    <xf numFmtId="38" fontId="9" fillId="4" borderId="53" xfId="0" applyNumberFormat="1" applyFont="1" applyFill="1" applyBorder="1" applyAlignment="1">
      <alignment vertical="center"/>
    </xf>
    <xf numFmtId="38" fontId="7" fillId="4" borderId="0" xfId="0" applyNumberFormat="1" applyFont="1" applyFill="1" applyBorder="1" applyAlignment="1">
      <alignment vertical="center"/>
    </xf>
    <xf numFmtId="38" fontId="7" fillId="4" borderId="22" xfId="0" applyNumberFormat="1" applyFont="1" applyFill="1" applyBorder="1" applyAlignment="1">
      <alignment vertical="center"/>
    </xf>
    <xf numFmtId="38" fontId="7" fillId="4" borderId="1" xfId="0" applyNumberFormat="1" applyFont="1" applyFill="1" applyBorder="1" applyAlignment="1">
      <alignment vertical="center"/>
    </xf>
    <xf numFmtId="38" fontId="7" fillId="4" borderId="47" xfId="0" applyNumberFormat="1" applyFont="1" applyFill="1" applyBorder="1" applyAlignment="1">
      <alignment vertical="center"/>
    </xf>
    <xf numFmtId="38" fontId="7" fillId="4" borderId="10" xfId="0" applyNumberFormat="1" applyFont="1" applyFill="1" applyBorder="1" applyAlignment="1">
      <alignment vertical="center"/>
    </xf>
    <xf numFmtId="38" fontId="9" fillId="4" borderId="84" xfId="0" applyNumberFormat="1" applyFont="1" applyFill="1" applyBorder="1" applyAlignment="1">
      <alignment vertical="center"/>
    </xf>
    <xf numFmtId="38" fontId="9" fillId="4" borderId="50" xfId="0" applyNumberFormat="1" applyFont="1" applyFill="1" applyBorder="1" applyAlignment="1">
      <alignment vertical="center"/>
    </xf>
    <xf numFmtId="38" fontId="9" fillId="4" borderId="29" xfId="0" applyNumberFormat="1" applyFont="1" applyFill="1" applyBorder="1" applyAlignment="1">
      <alignment vertical="center"/>
    </xf>
    <xf numFmtId="38" fontId="9" fillId="4" borderId="30" xfId="0" applyNumberFormat="1" applyFont="1" applyFill="1" applyBorder="1" applyAlignment="1">
      <alignment vertical="center"/>
    </xf>
    <xf numFmtId="179" fontId="12" fillId="3" borderId="136" xfId="1" applyNumberFormat="1" applyFont="1" applyFill="1" applyBorder="1" applyAlignment="1">
      <alignment vertical="center" shrinkToFit="1"/>
    </xf>
    <xf numFmtId="179" fontId="12" fillId="3" borderId="29" xfId="1" applyNumberFormat="1" applyFont="1" applyFill="1" applyBorder="1" applyAlignment="1">
      <alignment vertical="center" shrinkToFit="1"/>
    </xf>
    <xf numFmtId="179" fontId="12" fillId="0" borderId="32" xfId="2" applyNumberFormat="1" applyFont="1" applyFill="1" applyBorder="1" applyAlignment="1">
      <alignment vertical="center" shrinkToFit="1"/>
    </xf>
    <xf numFmtId="179" fontId="12" fillId="3" borderId="31" xfId="1" applyNumberFormat="1" applyFont="1" applyFill="1" applyBorder="1" applyAlignment="1">
      <alignment vertical="center" shrinkToFit="1"/>
    </xf>
    <xf numFmtId="179" fontId="12" fillId="3" borderId="32" xfId="2" applyNumberFormat="1" applyFont="1" applyFill="1" applyBorder="1" applyAlignment="1">
      <alignment vertical="center" shrinkToFit="1"/>
    </xf>
    <xf numFmtId="38" fontId="25" fillId="0" borderId="0" xfId="5" applyNumberFormat="1" applyFont="1" applyFill="1" applyBorder="1" applyAlignment="1">
      <alignment vertical="center" wrapText="1"/>
    </xf>
    <xf numFmtId="179" fontId="12" fillId="3" borderId="135" xfId="1" applyNumberFormat="1" applyFont="1" applyFill="1" applyBorder="1" applyAlignment="1">
      <alignment horizontal="right" vertical="center" shrinkToFit="1"/>
    </xf>
    <xf numFmtId="179" fontId="12" fillId="3" borderId="74" xfId="1" applyNumberFormat="1" applyFont="1" applyFill="1" applyBorder="1" applyAlignment="1">
      <alignment horizontal="right" vertical="center" shrinkToFit="1"/>
    </xf>
    <xf numFmtId="177" fontId="12" fillId="3" borderId="134" xfId="2" applyNumberFormat="1" applyFont="1" applyFill="1" applyBorder="1" applyAlignment="1">
      <alignment horizontal="right" vertical="center" shrinkToFit="1"/>
    </xf>
    <xf numFmtId="177" fontId="12" fillId="3" borderId="98" xfId="2" applyNumberFormat="1" applyFont="1" applyFill="1" applyBorder="1" applyAlignment="1">
      <alignment horizontal="right" vertical="center" shrinkToFit="1"/>
    </xf>
    <xf numFmtId="179" fontId="12" fillId="3" borderId="76" xfId="2" applyNumberFormat="1" applyFont="1" applyFill="1" applyBorder="1" applyAlignment="1">
      <alignment horizontal="right" vertical="center" shrinkToFit="1"/>
    </xf>
    <xf numFmtId="177" fontId="7" fillId="0" borderId="55" xfId="2" applyNumberFormat="1" applyFont="1" applyFill="1" applyBorder="1" applyAlignment="1">
      <alignment horizontal="right" vertical="center" shrinkToFit="1"/>
    </xf>
    <xf numFmtId="179" fontId="12" fillId="3" borderId="77" xfId="1" applyNumberFormat="1" applyFont="1" applyFill="1" applyBorder="1" applyAlignment="1">
      <alignment horizontal="right" vertical="center" shrinkToFit="1"/>
    </xf>
    <xf numFmtId="179" fontId="12" fillId="3" borderId="136" xfId="1" applyNumberFormat="1" applyFont="1" applyFill="1" applyBorder="1" applyAlignment="1">
      <alignment horizontal="right" vertical="center" shrinkToFit="1"/>
    </xf>
    <xf numFmtId="179" fontId="12" fillId="3" borderId="29" xfId="1" applyNumberFormat="1" applyFont="1" applyFill="1" applyBorder="1" applyAlignment="1">
      <alignment horizontal="right" vertical="center" shrinkToFit="1"/>
    </xf>
    <xf numFmtId="177" fontId="12" fillId="3" borderId="35" xfId="2" applyNumberFormat="1" applyFont="1" applyFill="1" applyBorder="1" applyAlignment="1">
      <alignment horizontal="right" vertical="center" shrinkToFit="1"/>
    </xf>
    <xf numFmtId="177" fontId="12" fillId="3" borderId="99" xfId="2" applyNumberFormat="1" applyFont="1" applyFill="1" applyBorder="1" applyAlignment="1">
      <alignment horizontal="right" vertical="center" shrinkToFit="1"/>
    </xf>
    <xf numFmtId="179" fontId="12" fillId="3" borderId="32" xfId="2" applyNumberFormat="1" applyFont="1" applyFill="1" applyBorder="1" applyAlignment="1">
      <alignment horizontal="right" vertical="center" shrinkToFit="1"/>
    </xf>
    <xf numFmtId="177" fontId="12" fillId="3" borderId="36" xfId="2" applyNumberFormat="1" applyFont="1" applyFill="1" applyBorder="1" applyAlignment="1">
      <alignment horizontal="right" vertical="center" shrinkToFit="1"/>
    </xf>
    <xf numFmtId="179" fontId="12" fillId="3" borderId="31" xfId="1" applyNumberFormat="1" applyFont="1" applyFill="1" applyBorder="1" applyAlignment="1">
      <alignment horizontal="right" vertical="center" shrinkToFit="1"/>
    </xf>
    <xf numFmtId="177" fontId="9" fillId="3" borderId="140" xfId="0" applyNumberFormat="1" applyFont="1" applyFill="1" applyBorder="1" applyAlignment="1">
      <alignment vertical="center"/>
    </xf>
    <xf numFmtId="177" fontId="9" fillId="3" borderId="141" xfId="0" applyNumberFormat="1" applyFont="1" applyFill="1" applyBorder="1" applyAlignment="1">
      <alignment vertical="center"/>
    </xf>
    <xf numFmtId="177" fontId="9" fillId="3" borderId="64" xfId="0" applyNumberFormat="1" applyFont="1" applyFill="1" applyBorder="1" applyAlignment="1">
      <alignment horizontal="right" vertical="center"/>
    </xf>
    <xf numFmtId="177" fontId="9" fillId="3" borderId="34" xfId="0" applyNumberFormat="1" applyFont="1" applyFill="1" applyBorder="1" applyAlignment="1">
      <alignment vertical="center"/>
    </xf>
    <xf numFmtId="177" fontId="9" fillId="3" borderId="26" xfId="0" applyNumberFormat="1" applyFont="1" applyFill="1" applyBorder="1" applyAlignment="1">
      <alignment vertical="center"/>
    </xf>
    <xf numFmtId="177" fontId="9" fillId="3" borderId="13" xfId="0" applyNumberFormat="1" applyFont="1" applyFill="1" applyBorder="1" applyAlignment="1">
      <alignment horizontal="right" vertical="center"/>
    </xf>
    <xf numFmtId="177" fontId="9" fillId="3" borderId="65" xfId="0" applyNumberFormat="1" applyFont="1" applyFill="1" applyBorder="1" applyAlignment="1">
      <alignment vertical="center"/>
    </xf>
    <xf numFmtId="177" fontId="9" fillId="3" borderId="142" xfId="0" applyNumberFormat="1" applyFont="1" applyFill="1" applyBorder="1" applyAlignment="1">
      <alignment vertical="center"/>
    </xf>
    <xf numFmtId="177" fontId="9" fillId="3" borderId="51" xfId="0" applyNumberFormat="1" applyFont="1" applyFill="1" applyBorder="1" applyAlignment="1">
      <alignment horizontal="right" vertical="center"/>
    </xf>
    <xf numFmtId="177" fontId="7" fillId="3" borderId="34" xfId="0" applyNumberFormat="1" applyFont="1" applyFill="1" applyBorder="1" applyAlignment="1">
      <alignment vertical="center"/>
    </xf>
    <xf numFmtId="177" fontId="7" fillId="3" borderId="26" xfId="0" applyNumberFormat="1" applyFont="1" applyFill="1" applyBorder="1" applyAlignment="1">
      <alignment vertical="center"/>
    </xf>
    <xf numFmtId="177" fontId="7" fillId="3" borderId="13" xfId="0" applyNumberFormat="1" applyFont="1" applyFill="1" applyBorder="1" applyAlignment="1">
      <alignment horizontal="right" vertical="center"/>
    </xf>
    <xf numFmtId="177" fontId="9" fillId="3" borderId="66" xfId="0" applyNumberFormat="1" applyFont="1" applyFill="1" applyBorder="1" applyAlignment="1">
      <alignment vertical="center"/>
    </xf>
    <xf numFmtId="177" fontId="9" fillId="3" borderId="143" xfId="0" applyNumberFormat="1" applyFont="1" applyFill="1" applyBorder="1" applyAlignment="1">
      <alignment vertical="center"/>
    </xf>
    <xf numFmtId="177" fontId="9" fillId="3" borderId="54" xfId="0" applyNumberFormat="1" applyFont="1" applyFill="1" applyBorder="1" applyAlignment="1">
      <alignment horizontal="right" vertical="center"/>
    </xf>
    <xf numFmtId="177" fontId="7" fillId="3" borderId="67" xfId="0" applyNumberFormat="1" applyFont="1" applyFill="1" applyBorder="1" applyAlignment="1">
      <alignment vertical="center"/>
    </xf>
    <xf numFmtId="177" fontId="7" fillId="3" borderId="68" xfId="0" applyNumberFormat="1" applyFont="1" applyFill="1" applyBorder="1" applyAlignment="1">
      <alignment vertical="center"/>
    </xf>
    <xf numFmtId="177" fontId="7" fillId="3" borderId="48" xfId="0" applyNumberFormat="1" applyFont="1" applyFill="1" applyBorder="1" applyAlignment="1">
      <alignment horizontal="right" vertical="center"/>
    </xf>
    <xf numFmtId="177" fontId="9" fillId="3" borderId="62" xfId="0" applyNumberFormat="1" applyFont="1" applyFill="1" applyBorder="1" applyAlignment="1">
      <alignment vertical="center"/>
    </xf>
    <xf numFmtId="177" fontId="9" fillId="3" borderId="144" xfId="0" applyNumberFormat="1" applyFont="1" applyFill="1" applyBorder="1" applyAlignment="1">
      <alignment vertical="center"/>
    </xf>
    <xf numFmtId="177" fontId="9" fillId="3" borderId="52" xfId="0" applyNumberFormat="1" applyFont="1" applyFill="1" applyBorder="1" applyAlignment="1">
      <alignment horizontal="right" vertical="center"/>
    </xf>
    <xf numFmtId="179" fontId="12" fillId="3" borderId="135" xfId="1" applyNumberFormat="1" applyFont="1" applyFill="1" applyBorder="1" applyAlignment="1">
      <alignment vertical="center" shrinkToFit="1"/>
    </xf>
    <xf numFmtId="179" fontId="12" fillId="3" borderId="74" xfId="1" applyNumberFormat="1" applyFont="1" applyFill="1" applyBorder="1" applyAlignment="1">
      <alignment vertical="center" shrinkToFit="1"/>
    </xf>
    <xf numFmtId="177" fontId="12" fillId="3" borderId="55" xfId="2" applyNumberFormat="1" applyFont="1" applyFill="1" applyBorder="1" applyAlignment="1">
      <alignment vertical="center" shrinkToFit="1"/>
    </xf>
    <xf numFmtId="179" fontId="12" fillId="3" borderId="76" xfId="2" applyNumberFormat="1" applyFont="1" applyFill="1" applyBorder="1" applyAlignment="1">
      <alignment vertical="center" shrinkToFit="1"/>
    </xf>
    <xf numFmtId="177" fontId="7" fillId="0" borderId="55" xfId="2" applyNumberFormat="1" applyFont="1" applyFill="1" applyBorder="1" applyAlignment="1">
      <alignment vertical="center" shrinkToFit="1"/>
    </xf>
    <xf numFmtId="179" fontId="12" fillId="3" borderId="77" xfId="1" applyNumberFormat="1" applyFont="1" applyFill="1" applyBorder="1" applyAlignment="1">
      <alignment vertical="center" shrinkToFit="1"/>
    </xf>
    <xf numFmtId="177" fontId="9" fillId="4" borderId="5" xfId="0" applyNumberFormat="1" applyFont="1" applyFill="1" applyBorder="1" applyAlignment="1">
      <alignment horizontal="right" vertical="center"/>
    </xf>
    <xf numFmtId="177" fontId="7" fillId="4" borderId="146" xfId="0" applyNumberFormat="1" applyFont="1" applyFill="1" applyBorder="1" applyAlignment="1">
      <alignment horizontal="center" vertical="center"/>
    </xf>
    <xf numFmtId="38" fontId="25" fillId="9" borderId="0" xfId="5" applyNumberFormat="1" applyFont="1" applyFill="1" applyBorder="1" applyAlignment="1">
      <alignment horizontal="left" vertical="center" wrapText="1"/>
    </xf>
    <xf numFmtId="38" fontId="34" fillId="0" borderId="0" xfId="5" applyNumberFormat="1" applyFont="1" applyFill="1" applyBorder="1" applyAlignment="1">
      <alignment horizontal="center" vertical="center"/>
    </xf>
    <xf numFmtId="38" fontId="35" fillId="0" borderId="0" xfId="5" applyNumberFormat="1" applyFont="1" applyFill="1" applyBorder="1" applyAlignment="1">
      <alignment horizontal="center" vertical="center"/>
    </xf>
    <xf numFmtId="0" fontId="39" fillId="6" borderId="0" xfId="5" applyFont="1" applyAlignment="1">
      <alignment horizontal="left" vertical="center"/>
    </xf>
    <xf numFmtId="38" fontId="9" fillId="5" borderId="117" xfId="0" applyNumberFormat="1" applyFont="1" applyFill="1" applyBorder="1" applyAlignment="1">
      <alignment horizontal="center" vertical="center"/>
    </xf>
    <xf numFmtId="38" fontId="9" fillId="5" borderId="118" xfId="0" applyNumberFormat="1" applyFont="1" applyFill="1" applyBorder="1" applyAlignment="1">
      <alignment horizontal="center" vertical="center"/>
    </xf>
    <xf numFmtId="38" fontId="9" fillId="5" borderId="119" xfId="0" applyNumberFormat="1" applyFont="1" applyFill="1" applyBorder="1" applyAlignment="1">
      <alignment horizontal="center" vertical="center"/>
    </xf>
    <xf numFmtId="38" fontId="9" fillId="5" borderId="100" xfId="0" applyNumberFormat="1" applyFont="1" applyFill="1" applyBorder="1" applyAlignment="1">
      <alignment horizontal="center" vertical="center"/>
    </xf>
    <xf numFmtId="38" fontId="9" fillId="5" borderId="145" xfId="0" applyNumberFormat="1" applyFont="1" applyFill="1" applyBorder="1" applyAlignment="1">
      <alignment horizontal="center" vertical="center"/>
    </xf>
    <xf numFmtId="177" fontId="9" fillId="5" borderId="85" xfId="0" applyNumberFormat="1" applyFont="1" applyFill="1" applyBorder="1" applyAlignment="1">
      <alignment horizontal="center" vertical="center"/>
    </xf>
    <xf numFmtId="177" fontId="9" fillId="5" borderId="9" xfId="0" applyNumberFormat="1" applyFont="1" applyFill="1" applyBorder="1" applyAlignment="1">
      <alignment horizontal="center" vertical="center"/>
    </xf>
    <xf numFmtId="179" fontId="12" fillId="3" borderId="44" xfId="1" applyNumberFormat="1" applyFont="1" applyFill="1" applyBorder="1" applyAlignment="1">
      <alignment vertical="center" shrinkToFit="1"/>
    </xf>
    <xf numFmtId="179" fontId="12" fillId="3" borderId="45" xfId="1" applyNumberFormat="1" applyFont="1" applyFill="1" applyBorder="1" applyAlignment="1">
      <alignment vertical="center" shrinkToFit="1"/>
    </xf>
    <xf numFmtId="179" fontId="12" fillId="3" borderId="116" xfId="1" applyNumberFormat="1" applyFont="1" applyFill="1" applyBorder="1" applyAlignment="1">
      <alignment vertical="center" shrinkToFit="1"/>
    </xf>
    <xf numFmtId="179" fontId="12" fillId="3" borderId="4" xfId="2" applyNumberFormat="1" applyFont="1" applyFill="1" applyBorder="1" applyAlignment="1">
      <alignment vertical="center" shrinkToFit="1"/>
    </xf>
    <xf numFmtId="179" fontId="12" fillId="3" borderId="38" xfId="2" applyNumberFormat="1" applyFont="1" applyFill="1" applyBorder="1" applyAlignment="1">
      <alignment vertical="center" shrinkToFit="1"/>
    </xf>
    <xf numFmtId="178" fontId="9" fillId="4" borderId="44" xfId="0" applyNumberFormat="1" applyFont="1" applyFill="1" applyBorder="1" applyAlignment="1">
      <alignment horizontal="center" vertical="center"/>
    </xf>
    <xf numFmtId="178" fontId="9" fillId="4" borderId="45" xfId="0" applyNumberFormat="1" applyFont="1" applyFill="1" applyBorder="1" applyAlignment="1">
      <alignment horizontal="center" vertical="center"/>
    </xf>
    <xf numFmtId="178" fontId="9" fillId="4" borderId="116" xfId="0" applyNumberFormat="1" applyFont="1" applyFill="1" applyBorder="1" applyAlignment="1">
      <alignment horizontal="center" vertical="center"/>
    </xf>
    <xf numFmtId="178" fontId="9" fillId="5" borderId="44" xfId="0" applyNumberFormat="1" applyFont="1" applyFill="1" applyBorder="1" applyAlignment="1">
      <alignment horizontal="center" vertical="center"/>
    </xf>
    <xf numFmtId="178" fontId="9" fillId="5" borderId="45" xfId="0" applyNumberFormat="1" applyFont="1" applyFill="1" applyBorder="1" applyAlignment="1">
      <alignment horizontal="center" vertical="center"/>
    </xf>
    <xf numFmtId="38" fontId="9" fillId="4" borderId="46" xfId="0" applyNumberFormat="1" applyFont="1" applyFill="1" applyBorder="1" applyAlignment="1">
      <alignment horizontal="center" vertical="center"/>
    </xf>
    <xf numFmtId="38" fontId="9" fillId="4" borderId="20" xfId="0" applyNumberFormat="1" applyFont="1" applyFill="1" applyBorder="1" applyAlignment="1">
      <alignment horizontal="center" vertical="center"/>
    </xf>
    <xf numFmtId="177" fontId="9" fillId="4" borderId="85" xfId="0" quotePrefix="1" applyNumberFormat="1" applyFont="1" applyFill="1" applyBorder="1" applyAlignment="1">
      <alignment horizontal="center" vertical="center"/>
    </xf>
    <xf numFmtId="177" fontId="9" fillId="4" borderId="9" xfId="0" quotePrefix="1" applyNumberFormat="1" applyFont="1" applyFill="1" applyBorder="1" applyAlignment="1">
      <alignment horizontal="center" vertical="center"/>
    </xf>
    <xf numFmtId="179" fontId="13" fillId="5" borderId="4" xfId="1" applyNumberFormat="1" applyFont="1" applyFill="1" applyBorder="1" applyAlignment="1">
      <alignment horizontal="center" vertical="center" shrinkToFit="1"/>
    </xf>
    <xf numFmtId="179" fontId="13" fillId="5" borderId="5" xfId="1" applyNumberFormat="1" applyFont="1" applyFill="1" applyBorder="1" applyAlignment="1">
      <alignment horizontal="center" vertical="center" shrinkToFit="1"/>
    </xf>
    <xf numFmtId="179" fontId="13" fillId="5" borderId="18" xfId="1" applyNumberFormat="1" applyFont="1" applyFill="1" applyBorder="1" applyAlignment="1">
      <alignment horizontal="center" vertical="center" shrinkToFit="1"/>
    </xf>
    <xf numFmtId="179" fontId="13" fillId="5" borderId="24" xfId="1" applyNumberFormat="1" applyFont="1" applyFill="1" applyBorder="1" applyAlignment="1">
      <alignment horizontal="center" vertical="center" shrinkToFit="1"/>
    </xf>
    <xf numFmtId="179" fontId="13" fillId="4" borderId="4" xfId="2" applyNumberFormat="1" applyFont="1" applyFill="1" applyBorder="1" applyAlignment="1">
      <alignment horizontal="center" vertical="center" shrinkToFit="1"/>
    </xf>
    <xf numFmtId="179" fontId="13" fillId="4" borderId="18" xfId="2" applyNumberFormat="1" applyFont="1" applyFill="1" applyBorder="1" applyAlignment="1">
      <alignment horizontal="center" vertical="center" shrinkToFit="1"/>
    </xf>
    <xf numFmtId="0" fontId="13" fillId="4" borderId="84" xfId="0" quotePrefix="1" applyFont="1" applyFill="1" applyBorder="1" applyAlignment="1">
      <alignment horizontal="center" vertical="center"/>
    </xf>
    <xf numFmtId="0" fontId="13" fillId="4" borderId="50" xfId="0" quotePrefix="1" applyFont="1" applyFill="1" applyBorder="1" applyAlignment="1">
      <alignment horizontal="center" vertical="center"/>
    </xf>
    <xf numFmtId="0" fontId="13" fillId="4" borderId="29" xfId="0" quotePrefix="1" applyFont="1" applyFill="1" applyBorder="1" applyAlignment="1">
      <alignment horizontal="center" vertical="center"/>
    </xf>
    <xf numFmtId="0" fontId="13" fillId="4" borderId="30" xfId="0" quotePrefix="1" applyFont="1" applyFill="1" applyBorder="1" applyAlignment="1">
      <alignment horizontal="center" vertical="center"/>
    </xf>
    <xf numFmtId="38" fontId="9" fillId="4" borderId="4" xfId="0" applyNumberFormat="1" applyFont="1" applyFill="1" applyBorder="1" applyAlignment="1">
      <alignment horizontal="center" vertical="center"/>
    </xf>
    <xf numFmtId="38" fontId="9" fillId="4" borderId="5" xfId="0" applyNumberFormat="1" applyFont="1" applyFill="1" applyBorder="1" applyAlignment="1">
      <alignment horizontal="center" vertical="center"/>
    </xf>
    <xf numFmtId="38" fontId="9" fillId="4" borderId="0" xfId="0" applyNumberFormat="1" applyFont="1" applyFill="1" applyBorder="1" applyAlignment="1">
      <alignment horizontal="center" vertical="center"/>
    </xf>
    <xf numFmtId="38" fontId="9" fillId="4" borderId="22" xfId="0" applyNumberFormat="1" applyFont="1" applyFill="1" applyBorder="1" applyAlignment="1">
      <alignment horizontal="center" vertical="center"/>
    </xf>
    <xf numFmtId="38" fontId="9" fillId="4" borderId="6" xfId="0" applyNumberFormat="1" applyFont="1" applyFill="1" applyBorder="1" applyAlignment="1">
      <alignment horizontal="center" vertical="center"/>
    </xf>
    <xf numFmtId="38" fontId="9" fillId="4" borderId="7" xfId="0" applyNumberFormat="1" applyFont="1" applyFill="1" applyBorder="1" applyAlignment="1">
      <alignment horizontal="center" vertical="center"/>
    </xf>
    <xf numFmtId="0" fontId="13" fillId="4" borderId="4" xfId="0" quotePrefix="1" applyFont="1" applyFill="1" applyBorder="1" applyAlignment="1">
      <alignment horizontal="center" vertical="center"/>
    </xf>
    <xf numFmtId="0" fontId="13" fillId="4" borderId="5" xfId="0" quotePrefix="1" applyFont="1" applyFill="1" applyBorder="1" applyAlignment="1">
      <alignment horizontal="center" vertical="center"/>
    </xf>
    <xf numFmtId="0" fontId="13" fillId="4" borderId="18" xfId="0" quotePrefix="1" applyFont="1" applyFill="1" applyBorder="1" applyAlignment="1">
      <alignment horizontal="center" vertical="center"/>
    </xf>
    <xf numFmtId="0" fontId="13" fillId="4" borderId="24" xfId="0" quotePrefix="1" applyFont="1" applyFill="1" applyBorder="1" applyAlignment="1">
      <alignment horizontal="center" vertical="center"/>
    </xf>
    <xf numFmtId="0" fontId="13" fillId="4" borderId="45" xfId="0" quotePrefix="1" applyFont="1" applyFill="1" applyBorder="1" applyAlignment="1">
      <alignment horizontal="center" vertical="center"/>
    </xf>
    <xf numFmtId="0" fontId="13" fillId="4" borderId="116" xfId="0" quotePrefix="1" applyFont="1" applyFill="1" applyBorder="1" applyAlignment="1">
      <alignment horizontal="center" vertical="center"/>
    </xf>
    <xf numFmtId="177" fontId="12" fillId="3" borderId="31" xfId="2" applyNumberFormat="1" applyFont="1" applyFill="1" applyBorder="1" applyAlignment="1">
      <alignment vertical="center" shrinkToFit="1"/>
    </xf>
    <xf numFmtId="177" fontId="12" fillId="3" borderId="29" xfId="2" applyNumberFormat="1" applyFont="1" applyFill="1" applyBorder="1" applyAlignment="1">
      <alignment vertical="center" shrinkToFit="1"/>
    </xf>
    <xf numFmtId="177" fontId="12" fillId="3" borderId="30" xfId="2" applyNumberFormat="1" applyFont="1" applyFill="1" applyBorder="1" applyAlignment="1">
      <alignment vertical="center" shrinkToFit="1"/>
    </xf>
    <xf numFmtId="177" fontId="7" fillId="0" borderId="29" xfId="2" applyNumberFormat="1" applyFont="1" applyFill="1" applyBorder="1" applyAlignment="1">
      <alignment vertical="center" shrinkToFit="1"/>
    </xf>
    <xf numFmtId="177" fontId="7" fillId="0" borderId="40" xfId="2" applyNumberFormat="1" applyFont="1" applyFill="1" applyBorder="1" applyAlignment="1">
      <alignment vertical="center" shrinkToFit="1"/>
    </xf>
    <xf numFmtId="179" fontId="12" fillId="3" borderId="59" xfId="1" applyNumberFormat="1" applyFont="1" applyFill="1" applyBorder="1" applyAlignment="1">
      <alignment vertical="center" shrinkToFit="1"/>
    </xf>
    <xf numFmtId="179" fontId="12" fillId="3" borderId="84" xfId="1" applyNumberFormat="1" applyFont="1" applyFill="1" applyBorder="1" applyAlignment="1">
      <alignment vertical="center" shrinkToFit="1"/>
    </xf>
    <xf numFmtId="179" fontId="12" fillId="3" borderId="50" xfId="1" applyNumberFormat="1" applyFont="1" applyFill="1" applyBorder="1" applyAlignment="1">
      <alignment vertical="center" shrinkToFit="1"/>
    </xf>
    <xf numFmtId="179" fontId="12" fillId="3" borderId="84" xfId="2" applyNumberFormat="1" applyFont="1" applyFill="1" applyBorder="1" applyAlignment="1">
      <alignment vertical="center" shrinkToFit="1"/>
    </xf>
    <xf numFmtId="179" fontId="12" fillId="3" borderId="71" xfId="2" applyNumberFormat="1" applyFont="1" applyFill="1" applyBorder="1" applyAlignment="1">
      <alignment vertical="center" shrinkToFit="1"/>
    </xf>
    <xf numFmtId="179" fontId="12" fillId="3" borderId="59" xfId="2" applyNumberFormat="1" applyFont="1" applyFill="1" applyBorder="1" applyAlignment="1">
      <alignment vertical="center" shrinkToFit="1"/>
    </xf>
    <xf numFmtId="38" fontId="9" fillId="4" borderId="10" xfId="0" applyNumberFormat="1" applyFont="1" applyFill="1" applyBorder="1" applyAlignment="1">
      <alignment horizontal="center" vertical="center"/>
    </xf>
    <xf numFmtId="38" fontId="9" fillId="5" borderId="46" xfId="0" applyNumberFormat="1" applyFont="1" applyFill="1" applyBorder="1" applyAlignment="1">
      <alignment horizontal="center" vertical="center"/>
    </xf>
    <xf numFmtId="38" fontId="9" fillId="5" borderId="20" xfId="0" applyNumberFormat="1" applyFont="1" applyFill="1" applyBorder="1" applyAlignment="1">
      <alignment horizontal="center" vertical="center"/>
    </xf>
    <xf numFmtId="0" fontId="13" fillId="4" borderId="79" xfId="0" applyFont="1" applyFill="1" applyBorder="1" applyAlignment="1">
      <alignment horizontal="center" vertical="center"/>
    </xf>
    <xf numFmtId="0" fontId="13" fillId="4" borderId="87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0" fontId="13" fillId="4" borderId="81" xfId="0" quotePrefix="1" applyFont="1" applyFill="1" applyBorder="1" applyAlignment="1">
      <alignment horizontal="center" vertical="center"/>
    </xf>
    <xf numFmtId="0" fontId="13" fillId="4" borderId="87" xfId="0" quotePrefix="1" applyFont="1" applyFill="1" applyBorder="1" applyAlignment="1">
      <alignment horizontal="center" vertical="center"/>
    </xf>
    <xf numFmtId="0" fontId="13" fillId="4" borderId="80" xfId="0" quotePrefix="1" applyFont="1" applyFill="1" applyBorder="1" applyAlignment="1">
      <alignment horizontal="center" vertical="center"/>
    </xf>
    <xf numFmtId="0" fontId="13" fillId="4" borderId="81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176" fontId="9" fillId="3" borderId="59" xfId="0" applyNumberFormat="1" applyFont="1" applyFill="1" applyBorder="1" applyAlignment="1">
      <alignment horizontal="right" vertical="center"/>
    </xf>
    <xf numFmtId="176" fontId="9" fillId="3" borderId="84" xfId="0" applyNumberFormat="1" applyFont="1" applyFill="1" applyBorder="1" applyAlignment="1">
      <alignment horizontal="right" vertical="center"/>
    </xf>
    <xf numFmtId="176" fontId="9" fillId="3" borderId="71" xfId="0" applyNumberFormat="1" applyFont="1" applyFill="1" applyBorder="1" applyAlignment="1">
      <alignment horizontal="right" vertical="center"/>
    </xf>
    <xf numFmtId="176" fontId="9" fillId="3" borderId="59" xfId="0" applyNumberFormat="1" applyFont="1" applyFill="1" applyBorder="1" applyAlignment="1">
      <alignment vertical="center"/>
    </xf>
    <xf numFmtId="176" fontId="9" fillId="3" borderId="71" xfId="0" applyNumberFormat="1" applyFont="1" applyFill="1" applyBorder="1" applyAlignment="1">
      <alignment vertical="center"/>
    </xf>
    <xf numFmtId="176" fontId="9" fillId="3" borderId="46" xfId="0" applyNumberFormat="1" applyFont="1" applyFill="1" applyBorder="1" applyAlignment="1">
      <alignment horizontal="right" vertical="center"/>
    </xf>
    <xf numFmtId="176" fontId="9" fillId="3" borderId="10" xfId="0" applyNumberFormat="1" applyFont="1" applyFill="1" applyBorder="1" applyAlignment="1">
      <alignment horizontal="right" vertical="center"/>
    </xf>
    <xf numFmtId="176" fontId="9" fillId="3" borderId="72" xfId="0" applyNumberFormat="1" applyFont="1" applyFill="1" applyBorder="1" applyAlignment="1">
      <alignment horizontal="right" vertical="center"/>
    </xf>
    <xf numFmtId="176" fontId="9" fillId="3" borderId="46" xfId="0" applyNumberFormat="1" applyFont="1" applyFill="1" applyBorder="1" applyAlignment="1">
      <alignment vertical="center"/>
    </xf>
    <xf numFmtId="176" fontId="9" fillId="3" borderId="72" xfId="0" applyNumberFormat="1" applyFont="1" applyFill="1" applyBorder="1" applyAlignment="1">
      <alignment vertical="center"/>
    </xf>
    <xf numFmtId="176" fontId="7" fillId="3" borderId="21" xfId="0" applyNumberFormat="1" applyFont="1" applyFill="1" applyBorder="1" applyAlignment="1">
      <alignment horizontal="right" vertical="center"/>
    </xf>
    <xf numFmtId="176" fontId="7" fillId="3" borderId="0" xfId="0" applyNumberFormat="1" applyFont="1" applyFill="1" applyBorder="1" applyAlignment="1">
      <alignment horizontal="right" vertical="center"/>
    </xf>
    <xf numFmtId="176" fontId="7" fillId="3" borderId="39" xfId="0" applyNumberFormat="1" applyFont="1" applyFill="1" applyBorder="1" applyAlignment="1">
      <alignment horizontal="right" vertical="center"/>
    </xf>
    <xf numFmtId="176" fontId="7" fillId="3" borderId="58" xfId="0" applyNumberFormat="1" applyFon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right" vertical="center"/>
    </xf>
    <xf numFmtId="176" fontId="7" fillId="3" borderId="73" xfId="0" applyNumberFormat="1" applyFont="1" applyFill="1" applyBorder="1" applyAlignment="1">
      <alignment horizontal="right" vertical="center"/>
    </xf>
    <xf numFmtId="38" fontId="9" fillId="5" borderId="4" xfId="0" applyNumberFormat="1" applyFont="1" applyFill="1" applyBorder="1" applyAlignment="1">
      <alignment horizontal="center" vertical="center"/>
    </xf>
    <xf numFmtId="38" fontId="9" fillId="5" borderId="6" xfId="0" applyNumberFormat="1" applyFont="1" applyFill="1" applyBorder="1" applyAlignment="1">
      <alignment horizontal="center" vertical="center"/>
    </xf>
    <xf numFmtId="38" fontId="9" fillId="4" borderId="19" xfId="0" applyNumberFormat="1" applyFont="1" applyFill="1" applyBorder="1" applyAlignment="1">
      <alignment horizontal="center" vertical="center"/>
    </xf>
    <xf numFmtId="176" fontId="9" fillId="3" borderId="63" xfId="0" applyNumberFormat="1" applyFont="1" applyFill="1" applyBorder="1" applyAlignment="1">
      <alignment horizontal="right" vertical="center"/>
    </xf>
    <xf numFmtId="176" fontId="9" fillId="3" borderId="60" xfId="0" applyNumberFormat="1" applyFont="1" applyFill="1" applyBorder="1" applyAlignment="1">
      <alignment horizontal="right" vertical="center"/>
    </xf>
    <xf numFmtId="176" fontId="9" fillId="3" borderId="69" xfId="0" applyNumberFormat="1" applyFont="1" applyFill="1" applyBorder="1" applyAlignment="1">
      <alignment horizontal="right" vertical="center"/>
    </xf>
    <xf numFmtId="176" fontId="9" fillId="3" borderId="44" xfId="0" applyNumberFormat="1" applyFont="1" applyFill="1" applyBorder="1" applyAlignment="1">
      <alignment horizontal="right" vertical="center"/>
    </xf>
    <xf numFmtId="176" fontId="9" fillId="3" borderId="45" xfId="0" applyNumberFormat="1" applyFont="1" applyFill="1" applyBorder="1" applyAlignment="1">
      <alignment horizontal="right" vertical="center"/>
    </xf>
    <xf numFmtId="176" fontId="9" fillId="3" borderId="70" xfId="0" applyNumberFormat="1" applyFont="1" applyFill="1" applyBorder="1" applyAlignment="1">
      <alignment horizontal="right" vertical="center"/>
    </xf>
    <xf numFmtId="176" fontId="9" fillId="3" borderId="31" xfId="0" applyNumberFormat="1" applyFont="1" applyFill="1" applyBorder="1" applyAlignment="1">
      <alignment horizontal="right" vertical="center"/>
    </xf>
    <xf numFmtId="176" fontId="9" fillId="3" borderId="29" xfId="0" applyNumberFormat="1" applyFont="1" applyFill="1" applyBorder="1" applyAlignment="1">
      <alignment horizontal="right" vertical="center"/>
    </xf>
    <xf numFmtId="176" fontId="9" fillId="3" borderId="40" xfId="0" applyNumberFormat="1" applyFont="1" applyFill="1" applyBorder="1" applyAlignment="1">
      <alignment horizontal="right" vertical="center"/>
    </xf>
    <xf numFmtId="176" fontId="9" fillId="3" borderId="31" xfId="0" applyNumberFormat="1" applyFont="1" applyFill="1" applyBorder="1" applyAlignment="1">
      <alignment vertical="center"/>
    </xf>
    <xf numFmtId="176" fontId="9" fillId="3" borderId="40" xfId="0" applyNumberFormat="1" applyFont="1" applyFill="1" applyBorder="1" applyAlignment="1">
      <alignment vertical="center"/>
    </xf>
    <xf numFmtId="177" fontId="9" fillId="4" borderId="85" xfId="0" quotePrefix="1" applyNumberFormat="1" applyFont="1" applyFill="1" applyBorder="1" applyAlignment="1">
      <alignment horizontal="center" vertical="center" wrapText="1"/>
    </xf>
    <xf numFmtId="177" fontId="9" fillId="5" borderId="85" xfId="0" applyNumberFormat="1" applyFont="1" applyFill="1" applyBorder="1" applyAlignment="1">
      <alignment horizontal="center" vertical="center" wrapText="1"/>
    </xf>
    <xf numFmtId="38" fontId="9" fillId="5" borderId="19" xfId="0" applyNumberFormat="1" applyFont="1" applyFill="1" applyBorder="1" applyAlignment="1">
      <alignment horizontal="center" vertical="center"/>
    </xf>
  </cellXfs>
  <cellStyles count="10">
    <cellStyle name="백분율" xfId="2" builtinId="5"/>
    <cellStyle name="백분율 2" xfId="6"/>
    <cellStyle name="쉼표 [0]" xfId="1" builtinId="6"/>
    <cellStyle name="쉼표 [0] 2" xfId="8"/>
    <cellStyle name="표준" xfId="0" builtinId="0"/>
    <cellStyle name="표준 158" xfId="9"/>
    <cellStyle name="표준 18" xfId="7"/>
    <cellStyle name="표준 2" xfId="3"/>
    <cellStyle name="표준 2 3" xfId="4"/>
    <cellStyle name="표준 3" xfId="5"/>
  </cellStyles>
  <dxfs count="0"/>
  <tableStyles count="0" defaultTableStyle="TableStyleMedium2" defaultPivotStyle="PivotStyleLight16"/>
  <colors>
    <mruColors>
      <color rgb="FFC5D9F1"/>
      <color rgb="FFC5D9D6"/>
      <color rgb="FFFFFF00"/>
      <color rgb="FF0000FF"/>
      <color rgb="FF660066"/>
      <color rgb="FFCCFFFF"/>
      <color rgb="FFFF9900"/>
      <color rgb="FF99FF33"/>
      <color rgb="FF00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666749</xdr:colOff>
      <xdr:row>30</xdr:row>
      <xdr:rowOff>122465</xdr:rowOff>
    </xdr:from>
    <xdr:to>
      <xdr:col>6</xdr:col>
      <xdr:colOff>643600</xdr:colOff>
      <xdr:row>32</xdr:row>
      <xdr:rowOff>188119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178" y="8436429"/>
          <a:ext cx="1528065" cy="5282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.105\Documents%20and%20Settings\djookim\My%20Documents\&#44048;&#49324;\&#48516;&#48152;&#44592;&#44160;&#53664;\LG&#52852;&#46300;\2002&#45380;&#48152;&#44592;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312;&#51649;&#44288;&#47144;\31&#52264;&#50900;&#51060;&#49345;&#52628;&#51060;(&#53685;&#44228;&#48516;&#49437;&#44592;&#48277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.105\KSC\95KSC\&#44228;&#50557;&#45236;&#506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05.%20IR/A01_IR/02_Factsheet/2025/(2025.09)%20Factsheet_&#51089;&#50629;&#51473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05.%20IR/A01_IR/02_Factsheet/2025/(2025.06)%20Fact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공통가설"/>
      <sheetName val="C-A(취합)파리"/>
      <sheetName val="첨부1"/>
      <sheetName val="노무비"/>
      <sheetName val="시멘트"/>
      <sheetName val="인수기간별S"/>
      <sheetName val="본부유지율"/>
      <sheetName val="4-2물건누계"/>
      <sheetName val="자동차추정자료"/>
      <sheetName val="시산표"/>
      <sheetName val="간접"/>
      <sheetName val="집계표"/>
      <sheetName val="손익분석"/>
      <sheetName val="수입"/>
      <sheetName val="관로내역원"/>
      <sheetName val="SUMMARY"/>
      <sheetName val="PAINT"/>
      <sheetName val="손익"/>
      <sheetName val="현금흐름"/>
      <sheetName val="자바라1"/>
      <sheetName val="A4288"/>
      <sheetName val="CTEMCOST"/>
      <sheetName val="ELECTRIC"/>
      <sheetName val="SG"/>
      <sheetName val="수정시산표"/>
      <sheetName val="주택"/>
      <sheetName val="주택(백만원)"/>
      <sheetName val="COL"/>
      <sheetName val="손익기01"/>
      <sheetName val="Sheet1"/>
      <sheetName val="동선(을)"/>
      <sheetName val="신공항A-9(원가수정)"/>
      <sheetName val="KUNGDEVI"/>
      <sheetName val="전계가"/>
      <sheetName val="그래프"/>
      <sheetName val="GDP"/>
      <sheetName val="부문인원3"/>
      <sheetName val="5Traffic1"/>
      <sheetName val="원가계산서"/>
      <sheetName val="금액내역서"/>
      <sheetName val="인사자료총집계"/>
      <sheetName val="실행내역"/>
      <sheetName val="설계내역서"/>
      <sheetName val="예가표"/>
      <sheetName val="현장관리비"/>
      <sheetName val="호프"/>
      <sheetName val="공사개요"/>
      <sheetName val="감독1130"/>
      <sheetName val="data"/>
      <sheetName val="손해감소유형"/>
      <sheetName val="7"/>
      <sheetName val="항목"/>
      <sheetName val="Sheet4"/>
      <sheetName val="Prices"/>
      <sheetName val="ABUT수량-A1"/>
      <sheetName val="인원계획-미화"/>
      <sheetName val="ADR"/>
      <sheetName val="산근"/>
      <sheetName val="내역"/>
      <sheetName val="여흥"/>
      <sheetName val="APT"/>
      <sheetName val="b_balju (2)"/>
      <sheetName val="b_gunmul"/>
      <sheetName val="  한국 AMP ASP-23 판매가격  "/>
      <sheetName val="CC Down load 0716"/>
      <sheetName val="화물2팀"/>
      <sheetName val="변경실행(2차) 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갑지(추정)"/>
      <sheetName val="SCHEDULE"/>
      <sheetName val="금융"/>
      <sheetName val="결재인"/>
      <sheetName val="공사비집계"/>
      <sheetName val="시산표(매출조정전)"/>
      <sheetName val="8월차잔"/>
      <sheetName val="요약"/>
      <sheetName val="나.출고"/>
      <sheetName val="나.입고"/>
      <sheetName val="유동성사채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내역서"/>
      <sheetName val="Calen"/>
      <sheetName val="물량표"/>
      <sheetName val="추가예산"/>
      <sheetName val="장기대여금1"/>
      <sheetName val="表21 净利润调节表"/>
      <sheetName val="노임단가"/>
      <sheetName val="982월원안"/>
      <sheetName val="월말명세0912"/>
      <sheetName val="11.외화채무증권(AFS,HTM)08"/>
      <sheetName val="Hedge09"/>
      <sheetName val="13.감액TEST_08"/>
      <sheetName val="해외채권"/>
      <sheetName val="BS09"/>
      <sheetName val="상각스케쥴(조정)"/>
      <sheetName val="공통비총괄표"/>
      <sheetName val="Variables"/>
      <sheetName val="제조원가 원단위 분석"/>
      <sheetName val="종합표양식(품의 &amp; 입고)_2"/>
      <sheetName val="JUCKEYK"/>
      <sheetName val="원가관리 (동월대비)"/>
      <sheetName val="45,46"/>
      <sheetName val="방배동내역(리라)"/>
      <sheetName val="금융비용"/>
      <sheetName val="총괄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S&amp;R"/>
      <sheetName val="중기조종사 단위단가"/>
      <sheetName val="견적의뢰"/>
      <sheetName val="화의-현금흐름"/>
      <sheetName val="6PILE  (돌출)"/>
      <sheetName val="#REF"/>
      <sheetName val="기성청구 공문"/>
      <sheetName val="IW-LIST"/>
      <sheetName val="SO416"/>
      <sheetName val="개발비자산성검토"/>
      <sheetName val="가공MH"/>
      <sheetName val="08년(Form1)"/>
      <sheetName val="입찰내역서"/>
      <sheetName val="기계경비(시간당)"/>
      <sheetName val="램머"/>
      <sheetName val="유림골조"/>
      <sheetName val="SIL98"/>
      <sheetName val="재료"/>
      <sheetName val="예정(3)"/>
      <sheetName val="동원(3)"/>
      <sheetName val="역T형"/>
      <sheetName val="Sheet13"/>
      <sheetName val="Sheet14"/>
      <sheetName val="woo(mac)"/>
      <sheetName val="MIBK원단위"/>
      <sheetName val="RECIMAKE"/>
      <sheetName val="Proposal"/>
      <sheetName val="일위대가표"/>
      <sheetName val="MIJIBI"/>
      <sheetName val="실행철강하도"/>
      <sheetName val="기본DATA"/>
      <sheetName val="수주현황2월"/>
      <sheetName val="손익현황"/>
      <sheetName val="현황CODE"/>
      <sheetName val="Total"/>
      <sheetName val="지점장"/>
      <sheetName val="XZLC004_PART2"/>
      <sheetName val="XZLC003_PART1"/>
      <sheetName val="93"/>
      <sheetName val="토목검측서"/>
      <sheetName val="2-2.매출분석"/>
      <sheetName val="A-100전제"/>
      <sheetName val="몰드시스템 리스트"/>
      <sheetName val="정비손익"/>
      <sheetName val="200"/>
      <sheetName val="Borrower"/>
      <sheetName val="7 (2)"/>
      <sheetName val="원가(통신)"/>
      <sheetName val="중요02월25일"/>
      <sheetName val="정산표"/>
      <sheetName val="단가추이"/>
      <sheetName val="경유량추이"/>
      <sheetName val="단가산출"/>
      <sheetName val="Sheet1 (2)"/>
      <sheetName val="공통부대관리"/>
      <sheetName val="표지"/>
      <sheetName val="설비원가"/>
      <sheetName val="부서코드표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회사정보"/>
      <sheetName val="97년추정손익계산서"/>
      <sheetName val="SM1-09"/>
      <sheetName val="SM2-09"/>
      <sheetName val="BD-09"/>
      <sheetName val="12년 CF(9월)"/>
      <sheetName val="점수계산1-2"/>
      <sheetName val="일위대가"/>
      <sheetName val="대비표"/>
      <sheetName val="A-4"/>
      <sheetName val="골조시행"/>
      <sheetName val="업무연락"/>
      <sheetName val="Ethylene"/>
      <sheetName val="월별매출"/>
      <sheetName val="ChlorAlkali"/>
      <sheetName val="VXXXXXXX"/>
      <sheetName val="양식(직판용)"/>
      <sheetName val="미드수량"/>
      <sheetName val="참조"/>
      <sheetName val="DATE"/>
      <sheetName val="현장지지물물량"/>
      <sheetName val="部署名"/>
      <sheetName val="車両別燃費及び油類単価"/>
      <sheetName val="퇴충"/>
      <sheetName val="1_종합손익(도급)1"/>
      <sheetName val="총내역서"/>
      <sheetName val="CAUDIT"/>
      <sheetName val="단가표"/>
      <sheetName val="slipsumpR"/>
      <sheetName val="RE9604"/>
      <sheetName val="평가제외"/>
      <sheetName val="13월별BS"/>
      <sheetName val="집행내역"/>
      <sheetName val="하수급견적대비"/>
      <sheetName val="推移グラフ"/>
      <sheetName val="참조시트"/>
      <sheetName val="BAND(200)"/>
      <sheetName val="OUTER AREA(겹침없음)"/>
      <sheetName val="EG-09"/>
      <sheetName val="M3산출"/>
      <sheetName val="EL 표면적"/>
      <sheetName val="Year"/>
      <sheetName val="재고현황"/>
      <sheetName val="발행제기"/>
      <sheetName val="2.대외공문"/>
      <sheetName val="영동(D)"/>
      <sheetName val="조명시설"/>
      <sheetName val="BEST"/>
      <sheetName val="월별수입"/>
      <sheetName val="차수"/>
      <sheetName val="담보"/>
      <sheetName val="1유리"/>
      <sheetName val="예적금"/>
      <sheetName val="월별손익"/>
      <sheetName val="매출"/>
      <sheetName val="목록"/>
      <sheetName val="중기"/>
      <sheetName val="연돌일위집계"/>
      <sheetName val="원가계산하도"/>
      <sheetName val="LinerWt"/>
      <sheetName val="D-623D"/>
      <sheetName val="BQMPALOC"/>
      <sheetName val="세부내역서"/>
      <sheetName val="37개월"/>
      <sheetName val="주형"/>
      <sheetName val="sum1 (2)"/>
      <sheetName val="적격"/>
      <sheetName val="조경"/>
      <sheetName val="입찰보고"/>
      <sheetName val="월별예산"/>
      <sheetName val="3.바닥판설계"/>
      <sheetName val="통장출금액"/>
      <sheetName val="위탁매매_1103"/>
      <sheetName val="자기매매_1103"/>
      <sheetName val="위탁매매_1109"/>
      <sheetName val="자기매매_1109"/>
      <sheetName val="2.총괄표"/>
      <sheetName val="입찰내역 발주처 양식"/>
      <sheetName val="산출근거"/>
      <sheetName val="일위(토목)"/>
      <sheetName val="_x0018__x0000_"/>
      <sheetName val=""/>
      <sheetName val="실행간접비용"/>
      <sheetName val="물량표(신)"/>
      <sheetName val="대공종"/>
      <sheetName val="적용건축"/>
      <sheetName val="품셈TABLE"/>
      <sheetName val="原価センタ"/>
      <sheetName val="실적"/>
      <sheetName val="양식3"/>
      <sheetName val="카메라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감가상각비"/>
      <sheetName val="완제품3"/>
      <sheetName val="비가동-20"/>
      <sheetName val="FAB"/>
      <sheetName val="조정내역"/>
      <sheetName val="CF6"/>
      <sheetName val="P.M 별"/>
      <sheetName val="FRQ"/>
      <sheetName val="기준"/>
      <sheetName val="수지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Data Validation"/>
      <sheetName val="_x005f_x0018_"/>
      <sheetName val="1.차입금"/>
      <sheetName val="choose"/>
      <sheetName val="설산1.나"/>
      <sheetName val="본사S"/>
      <sheetName val="건축내역"/>
      <sheetName val="2-1.강사료,교통비 지급명세"/>
      <sheetName val="해외 기술훈련비 (합계)"/>
      <sheetName val="접대비"/>
      <sheetName val="품셈표"/>
      <sheetName val="갑근세납세필증명원"/>
      <sheetName val="요약PL"/>
      <sheetName val="슬래브"/>
      <sheetName val="최소가치(간편)-회계"/>
      <sheetName val="회사제시"/>
      <sheetName val="노동부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선급비용"/>
      <sheetName val="KAM설비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주현(해보)"/>
      <sheetName val="주현(영광)"/>
      <sheetName val="입출재고현황 (2)"/>
      <sheetName val="TRE TABLE"/>
      <sheetName val="C3"/>
      <sheetName val="자금추ȕ"/>
      <sheetName val="05년말(건재)"/>
      <sheetName val="단가(반정3교-원주)"/>
      <sheetName val="CC16-내역서"/>
      <sheetName val="신공"/>
      <sheetName val="Y-WORK"/>
      <sheetName val="INPUT"/>
      <sheetName val="설계명세서"/>
      <sheetName val="전신환매도율"/>
      <sheetName val="경비"/>
      <sheetName val="물량표S"/>
      <sheetName val="2.주요계수총괄"/>
      <sheetName val="원가서"/>
      <sheetName val="0001new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_한국_AMP_ASP-23_판매가격__"/>
      <sheetName val="b_balju_(2)"/>
      <sheetName val="Facility_Information"/>
      <sheetName val="제조원가_원단위_분석"/>
      <sheetName val="종합표양식(품의_&amp;_입고)_2"/>
      <sheetName val="원가관리_(동월대비)"/>
      <sheetName val="2-2_매출분석"/>
      <sheetName val="6PILE__(돌출)"/>
      <sheetName val="중기조종사_단위단가"/>
      <sheetName val="몰드시스템_리스트"/>
      <sheetName val="7_(2)"/>
      <sheetName val="11_외화채무증권(AFS,HTM)08"/>
      <sheetName val="13_감액TEST_08"/>
      <sheetName val="Sheet1_(2)"/>
      <sheetName val="表21_净利润调节表"/>
      <sheetName val="Utility Usage YTN TOWER"/>
      <sheetName val="118.세금과공과"/>
      <sheetName val="수선비"/>
      <sheetName val="부속동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주행"/>
      <sheetName val="일위대가(계측기설치)"/>
      <sheetName val="1_종합손익(도급)2"/>
      <sheetName val="변경실행(2차)_1"/>
      <sheetName val="CC_Down_load_07161"/>
      <sheetName val="나_출고1"/>
      <sheetName val="나_입고1"/>
      <sheetName val="09년_인건비(속리산)1"/>
      <sheetName val="합산목표(감가+57_5)1"/>
      <sheetName val="12년_CF(9월)"/>
      <sheetName val="기성청구_공문1"/>
      <sheetName val="2_대외공문"/>
      <sheetName val="sum1_(2)"/>
      <sheetName val="3_바닥판설계"/>
      <sheetName val="504전기실_동부하-L"/>
      <sheetName val="2_총괄표"/>
      <sheetName val="OUTER_AREA(겹침없음)"/>
      <sheetName val="EL_표면적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근거 및 가정"/>
      <sheetName val="2 카드채권(대출포함)"/>
      <sheetName val="공사비예산서(토목분)"/>
      <sheetName val="sheet6"/>
      <sheetName val="RAW"/>
      <sheetName val="교각계산"/>
      <sheetName val="공통비(전체)"/>
      <sheetName val="토목공사"/>
      <sheetName val="새공통(96임금인상기준)"/>
      <sheetName val="비교1"/>
      <sheetName val="유림총괄"/>
      <sheetName val="공사비증감"/>
      <sheetName val="현금"/>
      <sheetName val="정부노임단가"/>
      <sheetName val="Project Brief"/>
      <sheetName val="한강운반비"/>
      <sheetName val="동절기투입(자재)"/>
      <sheetName val="단면 (2)"/>
      <sheetName val="찍기"/>
      <sheetName val="단가일람"/>
      <sheetName val="단위량당중기"/>
      <sheetName val="수량집계표(舊)"/>
      <sheetName val="cp-e1"/>
      <sheetName val="MEMORY"/>
      <sheetName val="GAEYO"/>
      <sheetName val="내역표지"/>
      <sheetName val="약품공급2"/>
      <sheetName val="공정"/>
      <sheetName val="품목코드표"/>
      <sheetName val="입찰내역_발주처_양식"/>
      <sheetName val="Data_Validation"/>
      <sheetName val="B-1.기본정보"/>
      <sheetName val="일위(PN)"/>
      <sheetName val="1.본사계정별"/>
      <sheetName val="부서별집계표"/>
      <sheetName val="금년실적"/>
      <sheetName val="기초"/>
      <sheetName val="재무상태표"/>
      <sheetName val="Bond"/>
      <sheetName val="_x005f_x0018__x005f_x0000_"/>
      <sheetName val="본문"/>
      <sheetName val="95하U$가격"/>
      <sheetName val="Manual"/>
      <sheetName val="원본"/>
      <sheetName val="要員用master"/>
      <sheetName val="특외대"/>
      <sheetName val=" 견적서"/>
      <sheetName val="ETC"/>
      <sheetName val="3.6.2남양주택배"/>
      <sheetName val="구성비"/>
      <sheetName val="Back Data 1"/>
      <sheetName val="자금운용계획표"/>
      <sheetName val="__"/>
      <sheetName val="BOX-1510"/>
      <sheetName val="부대공"/>
      <sheetName val="경비2내역"/>
      <sheetName val="슬래԰"/>
      <sheetName val="슬래"/>
      <sheetName val="슬래렀"/>
      <sheetName val="슬래㰀"/>
      <sheetName val="총괄표"/>
      <sheetName val="PIPE"/>
      <sheetName val="FLANGE"/>
      <sheetName val="VALVE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슬래　"/>
      <sheetName val="1월 예산"/>
      <sheetName val="슬래尀"/>
      <sheetName val="슬래⠀"/>
      <sheetName val="_x0018_?"/>
      <sheetName val="Master"/>
      <sheetName val="Macro1"/>
      <sheetName val="설문 평가"/>
      <sheetName val="터파기및재료"/>
      <sheetName val="품목"/>
      <sheetName val="선택창"/>
      <sheetName val="외주현황.wq1"/>
      <sheetName val="TB"/>
      <sheetName val="PL"/>
      <sheetName val="CS"/>
      <sheetName val="예산계정INDEX"/>
      <sheetName val="환율change"/>
      <sheetName val="상가지급현황"/>
      <sheetName val="부하(성남)"/>
      <sheetName val="자재목록"/>
      <sheetName val="FB25JN"/>
      <sheetName val="도"/>
      <sheetName val="의정부문예회관변경내역"/>
      <sheetName val="내역(한신APT)"/>
      <sheetName val="분전함신설"/>
      <sheetName val="접지1종"/>
      <sheetName val="RE"/>
      <sheetName val="FP"/>
      <sheetName val="대투_보관자료 변경"/>
      <sheetName val="내수자재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공사내역"/>
      <sheetName val="1. 시공측량"/>
      <sheetName val="시화점실행"/>
      <sheetName val="납부내역총괄표 (수정)"/>
      <sheetName val="IS"/>
      <sheetName val="슬래"/>
      <sheetName val="슬래堌"/>
      <sheetName val="슬래䰀"/>
      <sheetName val="11월"/>
      <sheetName val="22철거수량"/>
      <sheetName val="슬래簀"/>
      <sheetName val="슬래瀀"/>
      <sheetName val="슬래퀀"/>
      <sheetName val="슬래鰀"/>
      <sheetName val="슬래뀀"/>
      <sheetName val="BD%_70s"/>
      <sheetName val="설계명세서(선로)"/>
      <sheetName val="전체철근집계"/>
      <sheetName val="건축2"/>
      <sheetName val="#1) 투자 구분"/>
      <sheetName val="설치원가"/>
      <sheetName val="P-산#1-1(WOWA1)"/>
      <sheetName val="3본사"/>
      <sheetName val="98지급계획"/>
      <sheetName val="125PIECE"/>
      <sheetName val="소총괄표"/>
      <sheetName val="아파트연면적비율(참고1)"/>
      <sheetName val="수종별수량 (2)"/>
      <sheetName val="구간별수량"/>
      <sheetName val="전선 및 전선관"/>
      <sheetName val="연습"/>
      <sheetName val="명단원자료(이전)"/>
      <sheetName val="코드관리"/>
      <sheetName val="합천내역"/>
      <sheetName val="전기단가조사서"/>
      <sheetName val="배수공"/>
      <sheetName val="오류항목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013.2월 연결대상"/>
      <sheetName val="BS_Package_내부거래"/>
      <sheetName val="PL_Package_내부거래"/>
      <sheetName val="요일 테이블"/>
      <sheetName val="요일테이블"/>
      <sheetName val="규"/>
      <sheetName val="규(3)"/>
      <sheetName val="소"/>
      <sheetName val="RE(2)"/>
      <sheetName val="4. Inj 투자상세내역"/>
      <sheetName val="3. Blow 투자 상세내역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97년"/>
      <sheetName val="????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Jul-Sep Actual cost (2)"/>
      <sheetName val="97실적"/>
      <sheetName val="을지"/>
      <sheetName val="npv"/>
      <sheetName val="13손익(실적)"/>
      <sheetName val="이름표시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2007전체투자세액공제_2008년처분"/>
      <sheetName val="득점현황"/>
      <sheetName val="#5"/>
      <sheetName val="#3"/>
      <sheetName val="Appendix(권장,단체)"/>
      <sheetName val="환율표"/>
      <sheetName val="FA-LISTING"/>
      <sheetName val="대투_보관자료_변경"/>
      <sheetName val="TO"/>
      <sheetName val="C2121"/>
      <sheetName val="C2123"/>
      <sheetName val="C2124"/>
      <sheetName val="C2125"/>
      <sheetName val="C2127"/>
      <sheetName val="C2122"/>
      <sheetName val="수량산출"/>
      <sheetName val="필요면적"/>
      <sheetName val="기초정보"/>
      <sheetName val="MAT"/>
      <sheetName val="선평원내역"/>
      <sheetName val="판가반영"/>
      <sheetName val="개산공사비"/>
      <sheetName val="BID"/>
      <sheetName val="식재품셈"/>
      <sheetName val="Weekly Progress(계장)"/>
      <sheetName val="기둥(원형)"/>
      <sheetName val="원가1"/>
      <sheetName val="원가2"/>
      <sheetName val="수량산출내역1115"/>
      <sheetName val="U_TYPE_1_"/>
      <sheetName val="소야공정계획표"/>
      <sheetName val="일반관리비"/>
      <sheetName val="보고서"/>
      <sheetName val="1_종합손익(도급)4"/>
      <sheetName val="종단계산"/>
      <sheetName val="산출근거(S4)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09~10년_매출계획"/>
      <sheetName val="97_사업추정(WEKI)"/>
      <sheetName val="6월_공정외주"/>
      <sheetName val="Tong_hop"/>
      <sheetName val="95_1_1이후취득자산(숨기기상태)"/>
      <sheetName val="1_MDF1공장"/>
      <sheetName val="최적단면"/>
      <sheetName val="compare2"/>
      <sheetName val="Krw"/>
      <sheetName val="BS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고정자산-회사제시"/>
      <sheetName val="해외_기술훈련비_(합계)"/>
      <sheetName val="118_세금과공과"/>
      <sheetName val="수량산출서 갑지"/>
      <sheetName val="I一般比"/>
      <sheetName val="1. 작성방식"/>
      <sheetName val="화전내"/>
      <sheetName val="表21_净利润夐#奜#"/>
      <sheetName val="4.1 월별 에너지 사용량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Index"/>
      <sheetName val="TYPE-1"/>
      <sheetName val="추정pl"/>
      <sheetName val="세액계산"/>
      <sheetName val="정보화기기매출"/>
      <sheetName val="실행기성 갑지"/>
      <sheetName val="Eq. Mobilization"/>
      <sheetName val="상품입력"/>
      <sheetName val="Exchange rate"/>
      <sheetName val="기본"/>
      <sheetName val="Rev. Recon 1"/>
      <sheetName val="1.고객불만건수"/>
      <sheetName val="1.변경범위"/>
      <sheetName val="97손익계획"/>
      <sheetName val="가정"/>
      <sheetName val="공시용PL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予算実績管理現況"/>
      <sheetName val="KEY CODE"/>
      <sheetName val="13.포장용역비표준"/>
      <sheetName val="9.가공부자재표준"/>
      <sheetName val="8.ROLL표준(TSW)"/>
      <sheetName val="4.톤당조관량표준"/>
      <sheetName val="5.조관부자재표준"/>
      <sheetName val="10월_vs_12월_채권잔액"/>
      <sheetName val="현용"/>
      <sheetName val="현장"/>
      <sheetName val="MH_생산"/>
      <sheetName val="구분List"/>
      <sheetName val="表21_净利润墨-닑⿕"/>
      <sheetName val="7.Utility Analysis"/>
      <sheetName val="Operational Activities"/>
      <sheetName val="월별자료"/>
      <sheetName val="공시용CF"/>
      <sheetName val="CF表示組替表"/>
      <sheetName val="数据有效性"/>
      <sheetName val="Worker List"/>
      <sheetName val="GB-IC Villingen GG"/>
      <sheetName val="MC&amp;다변화"/>
      <sheetName val="Library"/>
      <sheetName val="표시트"/>
      <sheetName val="그룹자료"/>
      <sheetName val="임율자료"/>
      <sheetName val="구조물공"/>
      <sheetName val="토공"/>
      <sheetName val="포장공"/>
      <sheetName val="C1.3.1"/>
      <sheetName val="부대공Ⅱ"/>
      <sheetName val="입찰내역 Ĉ_x0000__x0000_ᇆ"/>
      <sheetName val="입찰내역 Ĉ_x0000__x0000_ᇆ"/>
      <sheetName val="견적"/>
      <sheetName val="기계경비"/>
      <sheetName val="설치자재"/>
      <sheetName val="カテゴリ表"/>
      <sheetName val="카드채권(대출포함)"/>
      <sheetName val="공통"/>
      <sheetName val="T6-6(7)"/>
      <sheetName val="입찰내역_발주처_양식1"/>
      <sheetName val="Data_Validation1"/>
      <sheetName val="부대시행1_(2)"/>
      <sheetName val="근거_및_가정"/>
      <sheetName val="2_카드채권(대출포함)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pg15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support"/>
      <sheetName val="목록!"/>
      <sheetName val="마스터0919"/>
      <sheetName val="노임단가(공사)"/>
      <sheetName val="000000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RES"/>
      <sheetName val="BM_NEW2"/>
      <sheetName val="STANDARD"/>
      <sheetName val="한계원가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98수문일위"/>
      <sheetName val="기초정보 코드"/>
      <sheetName val="MTP"/>
      <sheetName val="euc"/>
      <sheetName val="M&amp;Q Lead"/>
      <sheetName val="진행 DATA (2)"/>
      <sheetName val="_x005f_x005f_x005f_x0000__x005f_x005f_x005f_x0000_"/>
      <sheetName val="Cntmrs"/>
      <sheetName val="月度設定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hiddenSheet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구분 Table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Basic Information"/>
      <sheetName val="견적 맵"/>
      <sheetName val="1월"/>
      <sheetName val="회사전체"/>
      <sheetName val="1_종합손익(도급)5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드롭다운"/>
      <sheetName val="대환취급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_x005f_x005f_x005f_x0000__x005f"/>
      <sheetName val="소주(苏州)"/>
      <sheetName val="10매출"/>
      <sheetName val="6월 공嚺㓶가"/>
      <sheetName val="단기차입금(200006)"/>
      <sheetName val="Month-Report"/>
      <sheetName val="Desal-E&amp;I"/>
      <sheetName val="작성양식"/>
      <sheetName val="有型区分分类"/>
      <sheetName val="업무 분류(Category)"/>
      <sheetName val="조도계산서 (도서)"/>
      <sheetName val="준검 내역서"/>
      <sheetName val="대전-교대(A1-A2)"/>
      <sheetName val="기계"/>
      <sheetName val="정화조"/>
      <sheetName val="토목"/>
      <sheetName val="F 월별기성수금현황 "/>
      <sheetName val="계좌정보"/>
      <sheetName val="안산기계장치"/>
      <sheetName val="배열수식"/>
      <sheetName val="견적을지"/>
      <sheetName val="FitOutConfCentre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갑지"/>
      <sheetName val="을-ATYPE"/>
      <sheetName val="CAT_5"/>
      <sheetName val="수목단가"/>
      <sheetName val="시설수량표"/>
      <sheetName val="식재수량표"/>
      <sheetName val="중기일위대가"/>
      <sheetName val="1월~9월"/>
      <sheetName val="부산제일극장"/>
      <sheetName val="분석가정"/>
      <sheetName val="sum_x0008__x0000__x000d__x0000__x0006__x0000_"/>
      <sheetName val="Ѐ܀ऀ܀؀਀؀Ԁ̀Ѐ̀Ѐࠀ܀ఀ؀܀"/>
      <sheetName val="숨김"/>
      <sheetName val="1"/>
      <sheetName val="EP0618"/>
      <sheetName val="6호기"/>
      <sheetName val="BATCH"/>
      <sheetName val="특수선일위대가"/>
      <sheetName val="전기자료"/>
      <sheetName val="Sheet10"/>
      <sheetName val="A(Rev.3)"/>
      <sheetName val="1-1"/>
      <sheetName val="일위대가(목록)"/>
      <sheetName val="재료비"/>
      <sheetName val="견적내역서"/>
      <sheetName val="wall"/>
      <sheetName val="시험장S자로가로등공사"/>
      <sheetName val="설비등록׃⼫"/>
      <sheetName val="설비등록_x0010__x0000_"/>
      <sheetName val="기성현황집계표"/>
      <sheetName val="호남본"/>
      <sheetName val="Sheet17"/>
      <sheetName val="일위대가목차"/>
      <sheetName val="001"/>
      <sheetName val="데이터유효성목록"/>
      <sheetName val="Assign"/>
      <sheetName val="합잔_역사"/>
      <sheetName val="01현금및현금성자산(ok)"/>
      <sheetName val="상불"/>
      <sheetName val="산자사 운전용품"/>
      <sheetName val="Diesel Price "/>
      <sheetName val="3.일반사상"/>
      <sheetName val="슬래_xd800_"/>
      <sheetName val="외부자료"/>
      <sheetName val="유효성검사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생산성(2차)"/>
      <sheetName val="요약(1차)"/>
      <sheetName val="관리자"/>
      <sheetName val="역T형옹벽(3.0)"/>
      <sheetName val="받을어음"/>
      <sheetName val="외상매출금현황-수정분 A2"/>
      <sheetName val="기준재고"/>
      <sheetName val="수액원료4"/>
      <sheetName val="네고14"/>
      <sheetName val="관리1"/>
      <sheetName val="기본일위"/>
      <sheetName val="TOWER 12TON"/>
      <sheetName val="TOWER 10TON"/>
      <sheetName val="JIB CRANE,HOIST"/>
      <sheetName val="노원열병합  건축공사기성내역서"/>
      <sheetName val="수정양식"/>
      <sheetName val="#1 Basic"/>
      <sheetName val="만기"/>
      <sheetName val="월별비교(물리)"/>
      <sheetName val="첨부#2.Cash Flow(현장작성)"/>
      <sheetName val="미계약2"/>
      <sheetName val="간접경상비"/>
      <sheetName val="전기요금 산출내역"/>
      <sheetName val="_x005f_x005f_x005f_x0018__x005f_x005f_x005f_x0000_"/>
      <sheetName val="_x005f_x0018_?"/>
      <sheetName val="지장물C"/>
      <sheetName val="XREF"/>
      <sheetName val="Asset9809CAK"/>
      <sheetName val="Sheet475"/>
      <sheetName val="공통부대비"/>
      <sheetName val="2.FM Fee_2차년도"/>
      <sheetName val="3.감가장비"/>
      <sheetName val="01_02월_성B_x0000_"/>
      <sheetName val="월간공정표(04월))"/>
      <sheetName val="NG Item"/>
      <sheetName val="입찰내역 Ĉ"/>
      <sheetName val="sum_x0008_"/>
      <sheetName val="산출"/>
      <sheetName val="master(ZH)"/>
      <sheetName val="체신주조서"/>
      <sheetName val="_x005f_x0018__"/>
      <sheetName val="6월_공嚺㓶가"/>
      <sheetName val="집계"/>
      <sheetName val="Ref. Spec Review 양식"/>
      <sheetName val="Ref. 시험항목 테이블"/>
      <sheetName val="Ref. Search Result 테이블"/>
      <sheetName val="1__작성방식"/>
      <sheetName val="표)CFT장_조직별_배분"/>
      <sheetName val="20180214_P&amp;T"/>
      <sheetName val="Ref__중점_추진_과제별_상세"/>
      <sheetName val="Bank_code"/>
      <sheetName val="Drop-down_RAW"/>
      <sheetName val="Basic_Information"/>
      <sheetName val="Exchange_rate"/>
      <sheetName val="견적서"/>
      <sheetName val="Project Count"/>
      <sheetName val="Index1"/>
      <sheetName val="STRAT_PLAN_WKSHT1"/>
      <sheetName val="Sales_Plan_&amp;_other1"/>
      <sheetName val="drop_downs"/>
      <sheetName val="손익계산서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Key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FAB별"/>
      <sheetName val="1.수인터널"/>
      <sheetName val="1공구산출내역서"/>
      <sheetName val="7_공사비집_x0000__x0000_Ā_x0000__x0005__x0000_翸_x0000_"/>
      <sheetName val="工완성공사율"/>
      <sheetName val="협가표"/>
      <sheetName val="아산추가1220"/>
      <sheetName val="가설공사내역"/>
      <sheetName val="401"/>
      <sheetName val="교량하부공"/>
      <sheetName val="1~9 하중계산"/>
      <sheetName val="정공공사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증감대비"/>
      <sheetName val="공종단가"/>
      <sheetName val="PAD_TR보호대기초1"/>
      <sheetName val="1__시공측량1"/>
      <sheetName val="납부내역총괄표_(수정)1"/>
      <sheetName val="수종별수량_(2)1"/>
      <sheetName val="Weekly_Progress(계장)1"/>
      <sheetName val="근거_및_가정1"/>
      <sheetName val="1_차입금1"/>
      <sheetName val="부대시행1_(2)1"/>
      <sheetName val="3_6_2남양주택배1"/>
      <sheetName val="설산1_나1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2_주요계수총괄2"/>
      <sheetName val="Project_Brief2"/>
      <sheetName val="P_M_별3"/>
      <sheetName val="단면_(2)2"/>
      <sheetName val="1_본사계정별2"/>
      <sheetName val="Facility_Information2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1_차입금2"/>
      <sheetName val="부대시행1_(2)2"/>
      <sheetName val="118_세금과공과2"/>
      <sheetName val="3_6_2남양주택배2"/>
      <sheetName val="설산1_나2"/>
      <sheetName val="2_실행ﶻĉ_x0000_"/>
      <sheetName val="2_실행䔭疖꜀"/>
      <sheetName val="2_실행ﶻ_x001e__x0000_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총괄집계표"/>
      <sheetName val="합계표"/>
      <sheetName val="Eq__Mobilization"/>
      <sheetName val="시스템 개요 유효값"/>
      <sheetName val="문의내용 카테고리 분류(수정X)"/>
      <sheetName val="대구은행"/>
      <sheetName val="원재료"/>
      <sheetName val="비품"/>
      <sheetName val="control sheet"/>
      <sheetName val="PF 현황(11년12월)"/>
      <sheetName val="640ꠌ᜹렀㣃씃"/>
      <sheetName val="640ꠏ᜹쀀씃"/>
      <sheetName val="OH _x000f_"/>
      <sheetName val="____"/>
      <sheetName val="_"/>
      <sheetName val="1TL종점(1)"/>
      <sheetName val="연체리스료"/>
      <sheetName val="이름표"/>
      <sheetName val="기성"/>
      <sheetName val="BQ"/>
      <sheetName val="Basic"/>
      <sheetName val="날개벽수량표"/>
      <sheetName val="main"/>
      <sheetName val="JT3.0견적-구1"/>
      <sheetName val="Dropbox 목록"/>
      <sheetName val="Back_Data_12"/>
      <sheetName val="1__작성방식1"/>
      <sheetName val="Utility_Usage_YTN_TOWER1"/>
      <sheetName val="표)CFT장_조직별_배분1"/>
      <sheetName val="20180214_P&amp;T1"/>
      <sheetName val="Ref__중점_추진_과제별_상세1"/>
      <sheetName val="Bank_code1"/>
      <sheetName val="해외_기술훈련비_(합계)2"/>
      <sheetName val="설문_평가1"/>
      <sheetName val="_견적서1"/>
      <sheetName val="B-1_기본정보1"/>
      <sheetName val="1월_예산1"/>
      <sheetName val="Drop-down_RAW1"/>
      <sheetName val="#1)_투자_구분1"/>
      <sheetName val="전선_및_전선관1"/>
      <sheetName val="대투_보관자료_변경1"/>
      <sheetName val="외주현황_wq11"/>
      <sheetName val="Basic_Information1"/>
      <sheetName val="Exchange_rate1"/>
      <sheetName val="실행기성_갑지1"/>
      <sheetName val="진행_DATA_(2)"/>
      <sheetName val="NG_Item"/>
      <sheetName val="Ref__Spec_Review_양식"/>
      <sheetName val="Ref__시험항목_테이블"/>
      <sheetName val="Ref__Search_Result_테이블"/>
      <sheetName val="C1_3_1"/>
      <sheetName val="2013_2월_연결대상1"/>
      <sheetName val="7_Utility_Analysis"/>
      <sheetName val="Operational_Activitie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2-1_강사료,교통비_지급명세1"/>
      <sheetName val="2-2_투자1"/>
      <sheetName val="Proj__Fin_1"/>
      <sheetName val="ITS_Assumptions"/>
      <sheetName val="Master_Data"/>
      <sheetName val="KEY_CODE1"/>
      <sheetName val="13_포장용역비표준1"/>
      <sheetName val="9_가공부자재표준1"/>
      <sheetName val="8_ROLL표준(TSW)1"/>
      <sheetName val="4_톤당조관량표준1"/>
      <sheetName val="5_조관부자재표준1"/>
      <sheetName val="Rev__Recon_1"/>
      <sheetName val="1_고객불만건수"/>
      <sheetName val="1_변경범위"/>
      <sheetName val="F_월별기성수금현황_"/>
      <sheetName val="준검_내역서"/>
      <sheetName val="수량산출서_갑지"/>
      <sheetName val="G_R300경비"/>
      <sheetName val="AS포장복구_"/>
      <sheetName val="설_계"/>
      <sheetName val="조도계산서_(도서)"/>
      <sheetName val="기초정보_코드"/>
      <sheetName val="날개수량1_5"/>
      <sheetName val="입찰내역_Ĉᇆ"/>
      <sheetName val="입찰내역_Ĉᇆ"/>
      <sheetName val="sum_x000a_"/>
      <sheetName val="2_6_三无_(2)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TOWER_12TON"/>
      <sheetName val="TOWER_10TON"/>
      <sheetName val="JIB_CRANE,HOIST"/>
      <sheetName val="Worker_List"/>
      <sheetName val="GB-IC_Villingen_GG"/>
      <sheetName val="M&amp;Q_Lead"/>
      <sheetName val="경영비율 "/>
      <sheetName val="07.01"/>
      <sheetName val="수량산출서 (2)"/>
      <sheetName val="설계내역양식"/>
      <sheetName val="Mot So Thuat Ngu EN-VI"/>
      <sheetName val="Mot_So_Thuat_Ngu_EN-VI"/>
      <sheetName val="참고3.DATA"/>
      <sheetName val="(참조)"/>
      <sheetName val="Investment Category"/>
      <sheetName val="gr_val"/>
      <sheetName val="gr_sum"/>
      <sheetName val="자금_제_x0000__x0000_Ԁ_x0000_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무형자산 LS11"/>
      <sheetName val="Global"/>
      <sheetName val="BSD (2)"/>
      <sheetName val="_Cash_Flow(자_x0000__x0000_"/>
      <sheetName val="설비등록"/>
      <sheetName val="A(Rev_3)"/>
      <sheetName val="OUTER_A՜_x0000_缀_x0000__x0000__x0000_尀빙끯"/>
      <sheetName val="C1ㅇ"/>
      <sheetName val="단가조정"/>
      <sheetName val="나_출_x0000__x0000_"/>
      <sheetName val="입찰내역_Ĉ"/>
      <sheetName val="1_수인터널"/>
      <sheetName val="부대내역"/>
      <sheetName val="DB"/>
      <sheetName val="_x005f_x0000___x0000__x0000__x0005__x0000_㴐ኰ"/>
      <sheetName val="_x005f_x0000___x0000__x0000__x0005__x0000_움ᕕ"/>
      <sheetName val="오스피셔스제사차"/>
      <sheetName val="공통비_x0000__x0000_ʯ"/>
      <sheetName val="공통비_x0000_í遘̩"/>
      <sheetName val="3.판관비명세서"/>
      <sheetName val="SS20"/>
      <sheetName val="SS10"/>
      <sheetName val="유리단가"/>
      <sheetName val="Sensitivity and GC Value"/>
      <sheetName val="부대공사총괄"/>
      <sheetName val="건축공사집계표"/>
      <sheetName val="방배동내역 (총괄)"/>
      <sheetName val="날개벽(시점좌측)"/>
      <sheetName val="철거산출근거"/>
      <sheetName val="지급어음"/>
      <sheetName val="파일의이용"/>
      <sheetName val="공종별집계"/>
      <sheetName val="항목(1)"/>
      <sheetName val="BOOK4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7_공사비집"/>
      <sheetName val="Menu_Link"/>
      <sheetName val="23기-3분기결산PL"/>
      <sheetName val="국내_x0000__x0000_"/>
      <sheetName val="운반"/>
      <sheetName val="자판실행"/>
      <sheetName val="tifico"/>
      <sheetName val="지급제한자"/>
      <sheetName val="생산"/>
      <sheetName val="단가조사표"/>
      <sheetName val="NCR_HEC_6 Opens"/>
      <sheetName val="NCR_HEC_4 Open &amp; Vendor_2 Opens"/>
      <sheetName val="건축갑지"/>
      <sheetName val="건축내역서"/>
      <sheetName val="견적보고서"/>
      <sheetName val="NKC (final)"/>
      <sheetName val="_x005f_x0000_"/>
      <sheetName val="기타수지&amp;특별손익_ﹴÕ"/>
      <sheetName val="물가대비표"/>
      <sheetName val="상반기손익차2총괄"/>
      <sheetName val="OUTER_A՜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첨부#2_Cash_Flow(현장작성)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__Dscljh_c_EXCEL________1_96__2"/>
      <sheetName val="토공(우물통,기타) "/>
      <sheetName val="7_Utility_Analysis1"/>
      <sheetName val="Operational_Activities1"/>
      <sheetName val="FORM4"/>
      <sheetName val="FORM1"/>
      <sheetName val="FORM2"/>
      <sheetName val="FORM3"/>
      <sheetName val="FORM5"/>
      <sheetName val="FORM10"/>
      <sheetName val="FORM15"/>
      <sheetName val="FORM16"/>
      <sheetName val="91"/>
      <sheetName val="생산1-2"/>
      <sheetName val="생산1-1"/>
      <sheetName val="매출계획"/>
      <sheetName val="품의서개정(갑)"/>
      <sheetName val="10.예산 및 원가 계획(02년)"/>
      <sheetName val="원가관리_(동월대-_x0000_Ԁ"/>
      <sheetName val="계정정보"/>
      <sheetName val="기준정보基准信息参考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B05"/>
      <sheetName val="B07"/>
      <sheetName val="A02"/>
      <sheetName val="A04"/>
      <sheetName val="A13"/>
      <sheetName val="B08"/>
      <sheetName val="B10"/>
      <sheetName val="Sheet16"/>
      <sheetName val="Planilha_relts??eos7"/>
      <sheetName val="SPT vs PHI"/>
      <sheetName val="공사비지급"/>
      <sheetName val="무역한도관리"/>
      <sheetName val="이자"/>
      <sheetName val="_x005f_x005f_x005f_x005f_x005f_x005f_x005f_x0018__x005f"/>
      <sheetName val="_x005f_x005f_x005f_x0018__"/>
      <sheetName val="간접비"/>
      <sheetName val="STRAT_PLAN_WKSHT2"/>
      <sheetName val="Sales_Plan_&amp;_other2"/>
      <sheetName val="drop_downs1"/>
      <sheetName val="산자사_운전용품"/>
      <sheetName val="업무_분류(Category)"/>
      <sheetName val="구분_Table"/>
      <sheetName val="역T형옹벽(3_0)"/>
      <sheetName val="외상매출금현황-수정분_A2"/>
      <sheetName val="3_일반사상"/>
      <sheetName val="Project_Count"/>
      <sheetName val="control_sheet"/>
      <sheetName val="PF_현황(11년12월)"/>
      <sheetName val="Diesel_Price_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사업단위"/>
      <sheetName val="504전기실_Ç_x0000_Ԁ_x0000_瀀"/>
      <sheetName val="504전기실_Ç_x0000_Ԁ_x0000_退"/>
      <sheetName val="504전기실_壇멿︀ⳕԯ"/>
      <sheetName val="입찰내역 _x0000__x0000__x0000__x0001_Ԁ_x0000_"/>
      <sheetName val="첨부1-2. 증감사유내역서(을)"/>
      <sheetName val="504전기실_x0000__x0000__x0001_Ԁ_x0000_"/>
      <sheetName val="공기연장현황"/>
      <sheetName val="6F8"/>
      <sheetName val="유효성 목록"/>
      <sheetName val="드롭다운(수정금지)"/>
      <sheetName val="합산목표(감가+5_x0000__x0000_Ԁ_x0000_䀀"/>
      <sheetName val="1.설계기준"/>
      <sheetName val="식재총괄"/>
      <sheetName val="20년 동일기간 소테마"/>
      <sheetName val="연결조정사항(2019)"/>
      <sheetName val="골조"/>
      <sheetName val="_x005f_x0000__"/>
      <sheetName val="공통비"/>
      <sheetName val="1.설계조건"/>
      <sheetName val=" Drop"/>
      <sheetName val="단가산출서"/>
      <sheetName val="증감내역서"/>
      <sheetName val="6PILE__(Y_x0000__x0000_"/>
      <sheetName val="총 원가계산"/>
      <sheetName val="4월25일실행"/>
      <sheetName val="경계석,골재외 (2)"/>
      <sheetName val="조도"/>
      <sheetName val="신당동집계표"/>
      <sheetName val="6PILE__(剙_x0010__x0000_"/>
      <sheetName val="단면치수"/>
      <sheetName val="ALK_Chi tiết công nợ"/>
      <sheetName val="Parem"/>
      <sheetName val="CHITIET VL-NC-TT1p"/>
      <sheetName val="TONGKE3p"/>
      <sheetName val="공사"/>
      <sheetName val="집계확_x0000_"/>
      <sheetName val="입찰내역 _x0000_⊍_x0000__x0000_∀的"/>
      <sheetName val="#1_Basic"/>
      <sheetName val="통က_x0000_"/>
      <sheetName val="경상직원"/>
      <sheetName val="원가관리_(동월대-"/>
      <sheetName val="자금_제"/>
      <sheetName val="P_M_별4"/>
      <sheetName val="Back_Data_13"/>
      <sheetName val="Facility_Information3"/>
      <sheetName val="1__작성방식2"/>
      <sheetName val="2_주요계수총괄3"/>
      <sheetName val="Project_Brief3"/>
      <sheetName val="Utility_Usage_YTN_TOWER2"/>
      <sheetName val="118_세금과공과3"/>
      <sheetName val="1_본사계정별3"/>
      <sheetName val="단면_(2)3"/>
      <sheetName val="표)CFT장_조직별_배분2"/>
      <sheetName val="20180214_P&amp;T2"/>
      <sheetName val="Ref__중점_추진_과제별_상세2"/>
      <sheetName val="Bank_code2"/>
      <sheetName val="B-1_기본정보2"/>
      <sheetName val="해외_기술훈련비_(합계)3"/>
      <sheetName val="_견적서2"/>
      <sheetName val="1월_예산2"/>
      <sheetName val="Drop-down_RAW2"/>
      <sheetName val="설문_평가2"/>
      <sheetName val="Basic_Information2"/>
      <sheetName val="외주현황_wq12"/>
      <sheetName val="대투_보관자료_변경2"/>
      <sheetName val="#1)_투자_구분2"/>
      <sheetName val="전선_및_전선관2"/>
      <sheetName val="Exchange_rate2"/>
      <sheetName val="실행기성_갑지2"/>
      <sheetName val="Eq__Mobilization1"/>
      <sheetName val="진행_DATA_(2)1"/>
      <sheetName val="Ref__Spec_Review_양식1"/>
      <sheetName val="Ref__시험항목_테이블1"/>
      <sheetName val="Ref__Search_Result_테이블1"/>
      <sheetName val="NG_Item1"/>
      <sheetName val="2013_2월_연결대상2"/>
      <sheetName val="Rev__Recon_11"/>
      <sheetName val="1_고객불만건수1"/>
      <sheetName val="1_변경범위1"/>
      <sheetName val="2-2_투자2"/>
      <sheetName val="Proj__Fin_2"/>
      <sheetName val="ITS_Assumptions1"/>
      <sheetName val="Master_Data1"/>
      <sheetName val="C1_3_1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2-1_강사료,교통비_지급명세2"/>
      <sheetName val="KEY_CODE2"/>
      <sheetName val="13_포장용역비표준2"/>
      <sheetName val="9_가공부자재표준2"/>
      <sheetName val="8_ROLL표준(TSW)2"/>
      <sheetName val="4_톤당조관량표준2"/>
      <sheetName val="5_조관부자재표준2"/>
      <sheetName val="F_월별기성수금현황_1"/>
      <sheetName val="준검_내역서1"/>
      <sheetName val="수량산출서_갑지1"/>
      <sheetName val="G_R300경비1"/>
      <sheetName val="AS포장복구_1"/>
      <sheetName val="설_계1"/>
      <sheetName val="조도계산서_(도서)1"/>
      <sheetName val="기초정보_코드1"/>
      <sheetName val="날개수량1_51"/>
      <sheetName val="6월_공嚺㓶가1"/>
      <sheetName val="2_6_三无_(2)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Worker_List1"/>
      <sheetName val="GB-IC_Villingen_GG1"/>
      <sheetName val="M&amp;Q_Lead1"/>
      <sheetName val="sum"/>
      <sheetName val="OH_"/>
      <sheetName val="경영비율_"/>
      <sheetName val="Dropbox_목록"/>
      <sheetName val="실행내역서 "/>
      <sheetName val="2.Consideration sheet"/>
      <sheetName val="3. Export"/>
      <sheetName val="504전기실"/>
      <sheetName val="类别"/>
      <sheetName val="(실사조정)총괄"/>
      <sheetName val="방배2E"/>
      <sheetName val="운영경비 세부작성근거"/>
      <sheetName val="F4-F7"/>
      <sheetName val="Supplement2"/>
      <sheetName val="기본사항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P-J"/>
      <sheetName val="PH 5"/>
      <sheetName val="bar chart-rev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단기대여금"/>
      <sheetName val="장기대여금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변동률산출"/>
      <sheetName val="품목리스트"/>
      <sheetName val="CIP"/>
      <sheetName val="퇴직사유"/>
      <sheetName val="카테고리 분류 (수정X)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⑤항목별2"/>
      <sheetName val="산출기준(파견전산실)"/>
      <sheetName val="보빈규격"/>
      <sheetName val="__한국_AMP_ASP-23_판매가격_롟"/>
      <sheetName val="기타코드"/>
      <sheetName val="T13(P68~72,78)"/>
      <sheetName val="책임준비금"/>
      <sheetName val="예산관리대장"/>
      <sheetName val="Xunit (단위환산)"/>
      <sheetName val="기준표"/>
      <sheetName val="완성차 미수금"/>
      <sheetName val="기본값"/>
      <sheetName val="07~08 PL"/>
      <sheetName val="Name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다목적갑"/>
      <sheetName val="Warranty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HERO01"/>
      <sheetName val="인건비"/>
      <sheetName val="04_4월말_합병시_지분변동차액"/>
      <sheetName val="2007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KPIs- TTP, PTP, People Turnover"/>
      <sheetName val="部门"/>
      <sheetName val="1월 목표"/>
      <sheetName val="FILIAL MINAS"/>
      <sheetName val="info for drop box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辅助表格"/>
      <sheetName val="10 麦汁CIP清洗标准水量"/>
      <sheetName val="BU"/>
      <sheetName val="Tipo Viaje"/>
      <sheetName val="Flota y Personal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3__Training_&amp;_travel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영업보증금"/>
      <sheetName val="가설전기별첨"/>
      <sheetName val="입찰내역 "/>
      <sheetName val="2014"/>
      <sheetName val="2018"/>
      <sheetName val="금액집계(리포트)"/>
      <sheetName val="GL"/>
      <sheetName val="2003FX"/>
      <sheetName val="4Q주석"/>
      <sheetName val="CERTIFICATE"/>
      <sheetName val="토지평가조서(발송용)"/>
      <sheetName val="1-1.교육 일정표(지점도약)"/>
      <sheetName val="전체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504전기실__x0000_Ԁ_x0000_"/>
      <sheetName val="504전기실__x0000_Ԁ_x0000_က"/>
      <sheetName val="직종부호"/>
      <sheetName val="철거공사1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504전기실_Ç"/>
      <sheetName val="Noncurrent assets"/>
      <sheetName val="2장(1사업부)ERP"/>
      <sheetName val="단독빌딩 총합계본"/>
      <sheetName val="목록구분"/>
      <sheetName val="1_종합손익(주택,绘ÿ헾⽊"/>
      <sheetName val="sum "/>
      <sheetName val="합산목표(감가+5"/>
      <sheetName val="A(Rev_3)1"/>
      <sheetName val="1~9_하중계산"/>
      <sheetName val="504전기실Ԁ"/>
      <sheetName val="BSD_(2)"/>
      <sheetName val="시스템_개요_유효값"/>
      <sheetName val="전기요금_산출내역"/>
      <sheetName val="_x005f_x0000__㴐ኰ"/>
      <sheetName val="_x005f_x0000__움ᕕ"/>
      <sheetName val="2_실행ﶻ"/>
      <sheetName val="97노임단가"/>
      <sheetName val="입력란"/>
      <sheetName val="L형옹벽"/>
      <sheetName val="물가정보"/>
      <sheetName val="정부노임"/>
      <sheetName val="ITB COST"/>
      <sheetName val="수량이동"/>
      <sheetName val="Ⅴ-2.공종별내역"/>
      <sheetName val="단양 00 아파트-세부내역"/>
      <sheetName val="암거날개벽"/>
      <sheetName val="토지조서(원본)"/>
      <sheetName val="ASALTOTA"/>
      <sheetName val="국민연금"/>
      <sheetName val="건축개요_"/>
      <sheetName val="Cash2"/>
      <sheetName val="Z"/>
      <sheetName val="@공통코드"/>
      <sheetName val="_x005f_x005f_x005f_x0018_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JT3_0견적-구1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NCR_HEC_6_Opens"/>
      <sheetName val="NCR_HEC_4_Open_&amp;_Vendor_2_Opens"/>
      <sheetName val="2_FM_Fee_2차년도"/>
      <sheetName val="3_감가장비"/>
      <sheetName val="Essbase"/>
      <sheetName val="선택옵션"/>
      <sheetName val="옵션"/>
      <sheetName val="CriteriaUpdate"/>
      <sheetName val="주간남10대순위1"/>
      <sheetName val="주간여30대순위1"/>
      <sheetName val="건강_미결"/>
      <sheetName val="CO"/>
      <sheetName val="유림콘도"/>
      <sheetName val="表21_净利润釘×㜀࠷"/>
      <sheetName val="2담당0113"/>
      <sheetName val="1담당0113"/>
      <sheetName val="부가가치"/>
      <sheetName val="2021 KPI_SD (대표이사)"/>
      <sheetName val="제조원가_원단_x0000_ǻ_x0000_"/>
      <sheetName val="▶ 일일출역 집계_20210819143316"/>
      <sheetName val="표준공사비-조명제외x10%up"/>
      <sheetName val="anaysis_sheet"/>
      <sheetName val="주관사업"/>
      <sheetName val="Process Li"/>
      <sheetName val="MTP1"/>
      <sheetName val="화기9901매출"/>
      <sheetName val="Act vs. budget"/>
      <sheetName val="장비명"/>
      <sheetName val="Ext. Stone-P"/>
      <sheetName val="북마크"/>
      <sheetName val="방법론선택및업로드"/>
      <sheetName val="범한여행"/>
      <sheetName val="a.연결정리"/>
      <sheetName val="loading"/>
      <sheetName val="연간점유"/>
      <sheetName val="업무계획1"/>
      <sheetName val="경영혁신본부"/>
      <sheetName val="견적 (2)"/>
      <sheetName val="Quantity"/>
      <sheetName val="Process Li 鸴"/>
      <sheetName val="DRUM"/>
      <sheetName val="입찰내역"/>
      <sheetName val="돈암사업"/>
      <sheetName val="Salary(해외)"/>
      <sheetName val="OH_Cost경비(배부呸2닑"/>
      <sheetName val="ENE-CAL"/>
      <sheetName val="제임스짐 예상매출 for 2023B"/>
      <sheetName val="자료입력"/>
      <sheetName val="sum_x0008__x0000_ _x0000__x0006__x0000_"/>
      <sheetName val="슬래?"/>
      <sheetName val="_x005f_x0000__x005f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Rate Analysis"/>
      <sheetName val="EE-PROP"/>
      <sheetName val="집계표(OPTION)"/>
      <sheetName val="일위"/>
      <sheetName val="통က"/>
      <sheetName val="계정code"/>
      <sheetName val="해외_기술훈련비_(합계)5"/>
      <sheetName val="P_M_별6"/>
      <sheetName val="근거_및_가정4"/>
      <sheetName val="Facility_Information5"/>
      <sheetName val="부대시행1_(2)4"/>
      <sheetName val="1_차입금4"/>
      <sheetName val="118_세금과공과5"/>
      <sheetName val="2_주요계수총괄5"/>
      <sheetName val="1_본사계정별5"/>
      <sheetName val="B-1_기본정보4"/>
      <sheetName val="Utility_Usage_YTN_TOWER4"/>
      <sheetName val="설산1_나4"/>
      <sheetName val="Project_Brief5"/>
      <sheetName val="단면_(2)5"/>
      <sheetName val="PAD_TR보호대기초4"/>
      <sheetName val="1__시공측량4"/>
      <sheetName val="3_6_2남양주택배4"/>
      <sheetName val="Back_Data_15"/>
      <sheetName val="1월_예산4"/>
      <sheetName val="수종별수량_(2)4"/>
      <sheetName val="전선_및_전선관4"/>
      <sheetName val="설문_평가4"/>
      <sheetName val="외주현황_wq14"/>
      <sheetName val="_견적서4"/>
      <sheetName val="대투_보관자료_변경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업무분장_1"/>
      <sheetName val="7300-1000_112"/>
      <sheetName val="PJT_현황1"/>
      <sheetName val="참고)_기준정보1"/>
      <sheetName val="Long_Term_Prices1"/>
      <sheetName val="기초정보_코드3"/>
      <sheetName val="STRAT_PLAN_WKSHT3"/>
      <sheetName val="Sales_Plan_&amp;_other3"/>
      <sheetName val="drop_downs2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구분_Table1"/>
      <sheetName val="Basic_Information4"/>
      <sheetName val="견적_맵1"/>
      <sheetName val="3_일반사상2"/>
      <sheetName val="Diesel_Price_1"/>
      <sheetName val="준검_내역서3"/>
      <sheetName val="6월_공嚺㓶가3"/>
      <sheetName val="조도계산서_(도서)3"/>
      <sheetName val="F_월별기성수금현황_3"/>
      <sheetName val="#1_Basic2"/>
      <sheetName val="첨부#2_Cash_Flow(현장작성)2"/>
      <sheetName val="TOWER_12TON3"/>
      <sheetName val="TOWER_10TON3"/>
      <sheetName val="JIB_CRANE,HOIST3"/>
      <sheetName val="Investment_Category1"/>
      <sheetName val="문의내용_카테고리_분류(수정X)1"/>
      <sheetName val="A(Rev_3)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입찰내역_Ĉ2"/>
      <sheetName val="시스템_개요_유효값1"/>
      <sheetName val="Mot_So_Thuat_Ngu_EN-VI2"/>
      <sheetName val="역T형옹벽(3_0)1"/>
      <sheetName val="외상매출금현황-수정분_A21"/>
      <sheetName val="전기요금_산출내역1"/>
      <sheetName val="노원열병합__건축공사기성내역서1"/>
      <sheetName val="control_sheet1"/>
      <sheetName val="Project_Count1"/>
      <sheetName val="PF_현황(11년12월)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운영경비_세부작성근거1"/>
      <sheetName val="20년_동일기간_소테마1"/>
      <sheetName val="JT3_0견적-구11"/>
      <sheetName val="Dropbox_목록2"/>
      <sheetName val="3_공통공사대비1"/>
      <sheetName val="현장관리비_산출내역1"/>
      <sheetName val="무형자산_LS111"/>
      <sheetName val="1~9_하중계산1"/>
      <sheetName val="10_예산_및_원가_계획(02년)1"/>
      <sheetName val="경영비율_2"/>
      <sheetName val="Sensitivity_and_GC_Value1"/>
      <sheetName val="07_011"/>
      <sheetName val="수량산출서_(2)1"/>
      <sheetName val="1_수인터널2"/>
      <sheetName val="2_FM_Fee_2차년도1"/>
      <sheetName val="3_감가장비1"/>
      <sheetName val="방배동내역_(총괄)1"/>
      <sheetName val="BSD_(2)1"/>
      <sheetName val="해외_기술훈련비_(합계)4"/>
      <sheetName val="P_M_별5"/>
      <sheetName val="근거_및_가정3"/>
      <sheetName val="Facility_Information4"/>
      <sheetName val="부대시행1_(2)3"/>
      <sheetName val="1_차입금3"/>
      <sheetName val="118_세금과공과4"/>
      <sheetName val="2_주요계수총괄4"/>
      <sheetName val="1_본사계정별4"/>
      <sheetName val="B-1_기본정보3"/>
      <sheetName val="Utility_Usage_YTN_TOWER3"/>
      <sheetName val="설산1_나3"/>
      <sheetName val="Project_Brief4"/>
      <sheetName val="단면_(2)4"/>
      <sheetName val="PAD_TR보호대기초3"/>
      <sheetName val="1__시공측량3"/>
      <sheetName val="3_6_2남양주택배3"/>
      <sheetName val="Back_Data_14"/>
      <sheetName val="1월_예산3"/>
      <sheetName val="수종별수량_(2)3"/>
      <sheetName val="전선_및_전선관3"/>
      <sheetName val="설문_평가3"/>
      <sheetName val="외주현황_wq13"/>
      <sheetName val="_견적서3"/>
      <sheetName val="대투_보관자료_변경3"/>
      <sheetName val="납부내역총괄표_(수정)3"/>
      <sheetName val="#1)_투자_구분3"/>
      <sheetName val="Rev__Recon_12"/>
      <sheetName val="1_고객불만건수2"/>
      <sheetName val="1_변경범위2"/>
      <sheetName val="Weekly_Progress(계장)3"/>
      <sheetName val="2013_2월_연결대상3"/>
      <sheetName val="Proj__Fin_3"/>
      <sheetName val="2-2_투자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2-1_강사료,교통비_지급명세3"/>
      <sheetName val="C1_3_12"/>
      <sheetName val="7_Utility_Analysis2"/>
      <sheetName val="Operational_Activities2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산자사_운전용품1"/>
      <sheetName val="1__작성방식3"/>
      <sheetName val="표)CFT장_조직별_배분3"/>
      <sheetName val="20180214_P&amp;T3"/>
      <sheetName val="Ref__중점_추진_과제별_상세3"/>
      <sheetName val="Bank_code3"/>
      <sheetName val="Drop-down_RAW3"/>
      <sheetName val="실행기성_갑지3"/>
      <sheetName val="Eq__Mobilization2"/>
      <sheetName val="날개수량1_5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Exchange_rate3"/>
      <sheetName val="업무_분류(Category)1"/>
      <sheetName val="진행_DATA_(2)2"/>
      <sheetName val="기초정보_코드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M&amp;Q_Lead2"/>
      <sheetName val="Basic_Information3"/>
      <sheetName val="3_일반사상1"/>
      <sheetName val="준검_내역서2"/>
      <sheetName val="6월_공嚺㓶가2"/>
      <sheetName val="조도계산서_(도서)2"/>
      <sheetName val="F_월별기성수금현황_2"/>
      <sheetName val="첨부#2_Cash_Flow(현장작성)1"/>
      <sheetName val="TOWER_12TON2"/>
      <sheetName val="TOWER_10TON2"/>
      <sheetName val="JIB_CRANE,HOIST2"/>
      <sheetName val="입찰내역_Ĉ1"/>
      <sheetName val="Mot_So_Thuat_Ngu_EN-VI1"/>
      <sheetName val="NG_Item2"/>
      <sheetName val="Ref__Spec_Review_양식2"/>
      <sheetName val="Ref__시험항목_테이블2"/>
      <sheetName val="Ref__Search_Result_테이블2"/>
      <sheetName val="SRS_월별_BS1"/>
      <sheetName val="평가&amp;선급_미지급1"/>
      <sheetName val="EXC_IND"/>
      <sheetName val="COLOR별_인쇄"/>
      <sheetName val="운영경비_세부작성근거"/>
      <sheetName val="20년_동일기간_소테마"/>
      <sheetName val="Dropbox_목록1"/>
      <sheetName val="3_공통공사대비"/>
      <sheetName val="현장관리비_산출내역"/>
      <sheetName val="무형자산_LS11"/>
      <sheetName val="10_예산_및_원가_계획(02년)"/>
      <sheetName val="경영비율_1"/>
      <sheetName val="07_01"/>
      <sheetName val="1_수인터널1"/>
      <sheetName val="방배동내역_(총괄)"/>
      <sheetName val="본사공가현황"/>
      <sheetName val="추정99"/>
      <sheetName val="종합표양식(품의좲_xdd02_쒥⠀쮎_x001d__x0000__x0000_"/>
      <sheetName val="8月水电燃使用表"/>
      <sheetName val="자산LIST"/>
      <sheetName val="해외출자현황(원본틀)"/>
      <sheetName val="기성및원가"/>
      <sheetName val="TEMP2"/>
      <sheetName val="PC%계산"/>
      <sheetName val="실행내역서_"/>
      <sheetName val="2_Consideration_sheet"/>
      <sheetName val="3__Export"/>
      <sheetName val="_손익기01.XL__DePara"/>
      <sheetName val="_손익기01_XL__DePara"/>
      <sheetName val="Ⅱ.추정종합"/>
      <sheetName val="SS215065"/>
      <sheetName val="backdata"/>
      <sheetName val="원형1호맨홀토공수량"/>
      <sheetName val="1-8"/>
      <sheetName val="HK1.83站合力改善 "/>
      <sheetName val="major"/>
      <sheetName val="argl(1)"/>
      <sheetName val="D"/>
      <sheetName val="act98"/>
      <sheetName val="건설중인"/>
      <sheetName val="대지급(한미)"/>
      <sheetName val="NOZZLE제작단가"/>
      <sheetName val="Electrical Load List"/>
      <sheetName val="월별"/>
      <sheetName val="매출내역"/>
      <sheetName val="제조원가_원단"/>
      <sheetName val="제조원가_원단_x0010_"/>
      <sheetName val="표지 (3)"/>
      <sheetName val="생계99ST"/>
      <sheetName val="SHAFT"/>
      <sheetName val="Spreadsheet Information"/>
      <sheetName val="종합"/>
      <sheetName val="리드14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총괄표_전체"/>
      <sheetName val="총괄표_기본"/>
      <sheetName val="총괄표_확장"/>
      <sheetName val="6PILE__(돌출_x0000_"/>
      <sheetName val="※유형구분분류 (2)"/>
      <sheetName val="Ref1"/>
      <sheetName val="下拉框选项"/>
      <sheetName val="Criteria List"/>
      <sheetName val="应收帐款(외상매출금)"/>
      <sheetName val="0405比较_查询"/>
      <sheetName val="12월시산표"/>
      <sheetName val="손익계산서(출력)"/>
      <sheetName val="매출원가"/>
      <sheetName val="제주환경순환센터"/>
      <sheetName val="8호선 원가 투입내역"/>
      <sheetName val="B"/>
      <sheetName val="96보완계획7.12"/>
      <sheetName val="감가상각비(2002)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DATA SHEET(절대삭제 금지)"/>
      <sheetName val="Tr.C 당일자금판"/>
      <sheetName val="내역서(토목)"/>
      <sheetName val="자본금99(수)"/>
      <sheetName val="VS P-Q"/>
      <sheetName val="품목코드"/>
      <sheetName val="member design"/>
      <sheetName val="design criteria"/>
      <sheetName val="working load at the btm ft."/>
      <sheetName val="plan&amp;section of foundation"/>
      <sheetName val="97 사업추정(W؀_x0001__x0000__x0000_"/>
      <sheetName val="KENworth"/>
      <sheetName val="8월현금흐름표"/>
      <sheetName val="TTL"/>
      <sheetName val="G2설비도급"/>
      <sheetName val="온라인 계수 기준표"/>
      <sheetName val="1.현금예금"/>
      <sheetName val="利润表"/>
      <sheetName val="정산표Y_E(10년-4Q)"/>
      <sheetName val="资产负债"/>
      <sheetName val="scoreY_E(10년-4Q)"/>
      <sheetName val="利润表FY10"/>
      <sheetName val="Sheet376"/>
      <sheetName val="1차)기초데이터_인건비월별추정"/>
      <sheetName val="목공사품의서"/>
      <sheetName val="STROPEZ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SPT_vs_PHI"/>
      <sheetName val="NKC_(final)1"/>
      <sheetName val="입찰내역_Ԁ"/>
      <sheetName val="입찰내역_⊍∀的"/>
      <sheetName val="참고3_DATA"/>
      <sheetName val="입찰내역_"/>
      <sheetName val="토공(우물통,기타)_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ALK_Chi_tiết_công_nợ"/>
      <sheetName val="CHITIET_VL-NC-TT1p"/>
      <sheetName val="Xunit_(단위환산)"/>
      <sheetName val="4월_매출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4b_Consolidated_PL"/>
      <sheetName val="TT_List"/>
      <sheetName val="#1_Basic3"/>
      <sheetName val="STRAT_PLAN_WKSHT4"/>
      <sheetName val="Sales_Plan_&amp;_other4"/>
      <sheetName val="drop_downs3"/>
      <sheetName val="견적_맵2"/>
      <sheetName val="7300-1000_113"/>
      <sheetName val="PJT_현황2"/>
      <sheetName val="참고)_기준정보2"/>
      <sheetName val="Long_Term_Prices2"/>
      <sheetName val="업무분장_2"/>
      <sheetName val="구분_Table2"/>
      <sheetName val="문의내용_카테고리_분류(수정X)2"/>
      <sheetName val="Diesel_Price_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Project_Count2"/>
      <sheetName val="역T형옹벽(3_0)2"/>
      <sheetName val="외상매출금현황-수정분_A22"/>
      <sheetName val="control_sheet2"/>
      <sheetName val="SPT_vs_PHI1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NKC_(final)2"/>
      <sheetName val="NCR_HEC_6_Opens1"/>
      <sheetName val="NCR_HEC_4_Open_&amp;_Vendor_2_Open1"/>
      <sheetName val="PF_현황(11년12월)2"/>
      <sheetName val="Sensitivity_and_GC_Value2"/>
      <sheetName val="참고3_DATA1"/>
      <sheetName val="입찰내역_1"/>
      <sheetName val="토공(우물통,기타)_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PH_51"/>
      <sheetName val="bar_chart-rev1"/>
      <sheetName val="Xunit_(단위환산)1"/>
      <sheetName val="4월_매출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_Drop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4b_Consolidated_PL1"/>
      <sheetName val="TT_List1"/>
      <sheetName val="총_원가계산"/>
      <sheetName val="첨부1-2__증감사유내역서(을)"/>
      <sheetName val="유효성_목록"/>
      <sheetName val="1_설계기준"/>
      <sheetName val="6PILE__(剙"/>
      <sheetName val="단독빌딩_총합계본"/>
      <sheetName val="3_판관비명세서"/>
      <sheetName val="경계석,골재외_(2)"/>
      <sheetName val="sum_"/>
      <sheetName val="카테고리_분류_(수정X)"/>
      <sheetName val="완성차_미수금"/>
      <sheetName val="참고(3)고정비"/>
      <sheetName val="Requirement(Work Crew)"/>
      <sheetName val="표건"/>
      <sheetName val="12"/>
      <sheetName val="1) MALL"/>
      <sheetName val="2)단가비교표"/>
      <sheetName val="SHEET"/>
      <sheetName val="설비등록ၒ_x0000_"/>
      <sheetName val="DHEQSUPT"/>
      <sheetName val="CAL1"/>
      <sheetName val="7_공사비집_x0000_跇˜_x0000__x0000__x0000_Ā_x0000_"/>
      <sheetName val="1-11조직표"/>
      <sheetName val="일위목차"/>
      <sheetName val="0226"/>
      <sheetName val="Ⅴ-2_공종별내역"/>
      <sheetName val="제조원가_원단༘֜"/>
      <sheetName val="▶_일일출역_집계_20210819143316"/>
      <sheetName val="UPA(Part_C,D,E,G,H)"/>
      <sheetName val="UPA(Part_F)"/>
      <sheetName val="일위대가_(Part_C,D,E,G,H)"/>
      <sheetName val="견적_(2)"/>
      <sheetName val="ITB_COST"/>
      <sheetName val="종합표양식(품의좲쒥⠀쮎"/>
      <sheetName val="Process_Li"/>
      <sheetName val="_㴐ኰ"/>
      <sheetName val="_움ᕕ"/>
      <sheetName val="단양_00_아파트-세부내역"/>
      <sheetName val="96보완계획7_12"/>
      <sheetName val="database"/>
      <sheetName val="DESBAST"/>
      <sheetName val="투입계획서(변경)"/>
      <sheetName val="기안"/>
      <sheetName val="지하시설물작성"/>
      <sheetName val="사다리"/>
      <sheetName val="_Cash_Flo_x0000__x0000__x0000__x0000__x0000_"/>
      <sheetName val="_x005f_x0000__x00_x0000__x0000__x0000_"/>
      <sheetName val="변경내역대비표(2)"/>
      <sheetName val="재고선1"/>
      <sheetName val="연차일수"/>
      <sheetName val="실토지와투자자12.6.30"/>
      <sheetName val="504전기실_"/>
      <sheetName val="GRACE"/>
      <sheetName val="일위대가목록"/>
      <sheetName val="중기단가목록"/>
      <sheetName val="MAIN_TABLE"/>
      <sheetName val="ACTIVITY CODE &amp; AREA LIST"/>
      <sheetName val="제조원가"/>
      <sheetName val="원료 CODE"/>
      <sheetName val="계열사현황종합"/>
      <sheetName val="REQUEST"/>
      <sheetName val="VC"/>
      <sheetName val="시설이용권명세서"/>
      <sheetName val="Data추가sheet"/>
      <sheetName val="NBCF"/>
      <sheetName val="INVDAYS"/>
      <sheetName val="Ma CV"/>
      <sheetName val="별제권_정리담보권"/>
      <sheetName val="Field"/>
      <sheetName val="주요지표"/>
      <sheetName val=" PL"/>
      <sheetName val="매출액명세"/>
      <sheetName val="매출원가명세"/>
      <sheetName val="매출이익명세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이자비용"/>
      <sheetName val="BS계정"/>
      <sheetName val="ROIC"/>
      <sheetName val=" Cash Flow"/>
      <sheetName val="Sensible Indicator"/>
      <sheetName val="계획대비 실적_조정후"/>
      <sheetName val="COVER-P"/>
      <sheetName val="분류기준"/>
      <sheetName val="콘크리트타설집계표"/>
      <sheetName val="TA10"/>
      <sheetName val="공정-일반MG"/>
      <sheetName val="아파트진행률"/>
      <sheetName val="운행일지"/>
      <sheetName val="상품보조수불"/>
      <sheetName val="업무연덽_(2)9"/>
      <sheetName val="단"/>
      <sheetName val="일위_파일"/>
      <sheetName val="NON SLIP"/>
      <sheetName val="2001Org"/>
      <sheetName val="1_종합손익(주택,&quot;_x0000__x0000__x0000_"/>
      <sheetName val="제조원가_원단_x0000_궰_x0000__x0000_"/>
      <sheetName val="제조원가_원단_x0000_聏_x0000__x0000_"/>
      <sheetName val="제조원가_원단샀_x000e__x0000__x0000_"/>
      <sheetName val="제조원가_원단뿰朮_x0000__x0000_"/>
      <sheetName val="제조원가_원단뽰_x0000__x0000_"/>
      <sheetName val="제조원가_원단뽀ᚔ_x0000__x0000_"/>
      <sheetName val="견적내역서(산출근거)"/>
      <sheetName val="공사직종별노임"/>
      <sheetName val="XL4Poppy"/>
      <sheetName val="_x0000_ "/>
      <sheetName val="_x0000__x0009_"/>
      <sheetName val="_REF"/>
      <sheetName val="H.P견적(참조)"/>
      <sheetName val="공사예산하조서(O.K)"/>
      <sheetName val="12년_CF౮_x0002_저殑"/>
      <sheetName val="6PILE__(_xddf4_ㆥ堀"/>
      <sheetName val="6PILE__(౮_x0002_저"/>
      <sheetName val="나_출؀_x0001_"/>
      <sheetName val="챤넬"/>
      <sheetName val="제작LIST"/>
      <sheetName val="3BL공동구 수량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Report"/>
      <sheetName val="로우프"/>
      <sheetName val="개산견적원본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변경전"/>
      <sheetName val="할증 "/>
      <sheetName val="다이꾸"/>
      <sheetName val="C.S.A"/>
      <sheetName val="Rate"/>
      <sheetName val="Sch.6"/>
      <sheetName val="12년_CF(9월_x0000_"/>
      <sheetName val="운반거리(0.7km)"/>
      <sheetName val="손익(11)_수출포_x0000_"/>
      <sheetName val="영업.일1"/>
      <sheetName val="제조원가계산"/>
      <sheetName val="품목별매출"/>
      <sheetName val="A-41"/>
      <sheetName val="7_공사비집_x0000__x0000__x0000__x0000_⽐ʇ_x0000_"/>
      <sheetName val="C&amp;C유형"/>
      <sheetName val="천마갑지"/>
      <sheetName val="07~08_PL"/>
      <sheetName val="_손익기01_XL_x005f_x0000__x005f_x005f_x0"/>
      <sheetName val="Ext__Stone-P"/>
      <sheetName val="개요"/>
      <sheetName val="동력"/>
      <sheetName val="변압기"/>
      <sheetName val="종합표양식(품의_&amp;¾_x0000__x0000__x0000__x0000_漁ן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5f_x0000__x005f_x0000_DePara14"/>
      <sheetName val="[손익기01_XL14"/>
      <sheetName val="Income_Stmt14"/>
      <sheetName val="Quarterly_LBO_Model14"/>
      <sheetName val="_손익기01_XL_x005f_x0000__x005f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5f_x005f_x0000__x005f_x005f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첨부#2_Cash_Flow(현장작성)3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Dropbox_목록3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5f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방배동내역_(총괄)2"/>
      <sheetName val="BSD_(2)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수량산출서_(2)2"/>
      <sheetName val="첨부1-2__증감사유내역서(을)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20년_동일기간_소테마2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완성차_미수금1"/>
      <sheetName val="Process_Li1"/>
      <sheetName val="sum_1"/>
      <sheetName val="운영경비_세부작성근거2"/>
      <sheetName val="카테고리_분류_(수정X)1"/>
      <sheetName val="▶_일일출역_집계_202108191433161"/>
      <sheetName val="Ⅴ-2_공종별내역1"/>
      <sheetName val="ITB_COST1"/>
      <sheetName val="견적_(2)1"/>
      <sheetName val="실행내역서_1"/>
      <sheetName val="Process_Li 鸴"/>
      <sheetName val="단양_00_아파트-세부내역1"/>
      <sheetName val="Rate_Analysis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입찰내역_Ĉ_x005f_x0000__x005f_x0000_ᇆ"/>
      <sheetName val="입찰내역_Ĉ_x005f_x0000__x005f_x0000_ᇆ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_손익기01_XL__DePara1"/>
      <sheetName val="Ⅱ_추정종합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말뚝지지력산정"/>
      <sheetName val="Notes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[손익기01_XL_x0000__x0000_DePara14"/>
      <sheetName val="_손익기01_XL_x0000__x0000_DePara14"/>
      <sheetName val="_손익기01_XL_x005f_x0000__11"/>
      <sheetName val="_손익기01_XL_x0000__x09"/>
      <sheetName val="6PILE__(?ㆥ堀"/>
      <sheetName val="전산품의"/>
      <sheetName val="H3500"/>
      <sheetName val="材料费"/>
      <sheetName val="재료집계"/>
      <sheetName val="K55수출"/>
      <sheetName val="은아수_05월 주간 및 요일별 평균매출"/>
      <sheetName val="총괄갑 "/>
      <sheetName val="플랜트 설치"/>
      <sheetName val="청산공사"/>
      <sheetName val="일위대가D"/>
      <sheetName val="중기사용료"/>
      <sheetName val="Utilities"/>
      <sheetName val="입찰내역서(통합)A3"/>
      <sheetName val="입찰내역서(기본)"/>
      <sheetName val="입찰내역서(확장)"/>
      <sheetName val="C021(SEAT ASSY) "/>
      <sheetName val="PCS"/>
      <sheetName val="试算平衡表"/>
      <sheetName val="Rev ORSO EXMPF"/>
      <sheetName val="ME EX_MPF"/>
      <sheetName val="ME MPF"/>
      <sheetName val="Rev 5%GF"/>
      <sheetName val="Rev Endowment-3P8"/>
      <sheetName val="Rev HNW"/>
      <sheetName val="Rev Others"/>
      <sheetName val="Rev Term"/>
      <sheetName val="Rev Traditional"/>
      <sheetName val="Rev Class C"/>
      <sheetName val="Rev Unit Linked"/>
      <sheetName val="Rev Single Premium"/>
      <sheetName val="Rev Variable Life"/>
      <sheetName val="Rev CGF"/>
      <sheetName val="Rev CPF"/>
      <sheetName val="Rev Class G"/>
      <sheetName val="Rev GPF"/>
      <sheetName val="Rev Class H"/>
      <sheetName val="Rev HSPF"/>
      <sheetName val="Rev Class I"/>
      <sheetName val="Rev MPF GF"/>
      <sheetName val="Rev Non_GF"/>
      <sheetName val="合并2"/>
      <sheetName val="Sep 18 Summary"/>
      <sheetName val="C101"/>
      <sheetName val="Aging-ARSum"/>
      <sheetName val="Inventory"/>
      <sheetName val="GG&amp;P Yield"/>
      <sheetName val="GuiHist"/>
      <sheetName val="Collateral"/>
      <sheetName val="Disposition"/>
      <sheetName val="GM Analysis"/>
      <sheetName val="Base Model"/>
      <sheetName val="Set-up"/>
      <sheetName val="BS MAY"/>
      <sheetName val="Occupancy 2004"/>
      <sheetName val="Share Prices"/>
      <sheetName val="07"/>
      <sheetName val="10"/>
      <sheetName val="09"/>
      <sheetName val="G301(01)"/>
      <sheetName val="Prepmt"/>
      <sheetName val="上年合并TB"/>
      <sheetName val="TRAFFIC-bud"/>
      <sheetName val="完"/>
      <sheetName val="资产负债表及损益表"/>
      <sheetName val="企业表一"/>
      <sheetName val="M-5C"/>
      <sheetName val="M-5A"/>
      <sheetName val="Disclosure"/>
      <sheetName val="固产04 old"/>
      <sheetName val="Balance #1"/>
      <sheetName val="Contents"/>
      <sheetName val="Inv_days #5"/>
      <sheetName val="Adjust #14"/>
      <sheetName val="FA_Dep #7"/>
      <sheetName val="detail"/>
      <sheetName val="FA Addition"/>
      <sheetName val="5201.2004"/>
      <sheetName val="索引"/>
      <sheetName val="R_Standalone"/>
      <sheetName val="PV of Stock Price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Sheet420"/>
      <sheetName val="수리결과"/>
      <sheetName val="ARP"/>
      <sheetName val="총괄집계 "/>
      <sheetName val="_x005f_x0000__x00_x0000__x0000_Ԁ"/>
      <sheetName val="타견적(을)"/>
      <sheetName val="Template"/>
      <sheetName val="합손"/>
      <sheetName val="Trans"/>
      <sheetName val="RD제품개발투자비(매가)"/>
      <sheetName val="3000P데이타"/>
      <sheetName val="상세 계산 내역"/>
      <sheetName val="계산 DATA 입력"/>
      <sheetName val="예산계획"/>
      <sheetName val="율표"/>
      <sheetName val="Tongke"/>
      <sheetName val="간접비 총괄표"/>
      <sheetName val="총제품수불"/>
      <sheetName val="2.하중산정"/>
      <sheetName val="기성내역"/>
      <sheetName val="TinhGiaNC"/>
      <sheetName val="Thiet Bi"/>
      <sheetName val="Arch"/>
      <sheetName val="주식"/>
      <sheetName val="Assumption List"/>
      <sheetName val="schbhn"/>
      <sheetName val="schalt"/>
      <sheetName val="schtng"/>
      <sheetName val="PSV2701F"/>
      <sheetName val="구의33고"/>
      <sheetName val="D1300 자삽"/>
      <sheetName val="Sheet⤖_x0000_崒"/>
      <sheetName val="C_d"/>
      <sheetName val="투자비 상세(180117_김인태+2F 리모델링 추가)"/>
      <sheetName val="대비"/>
      <sheetName val="차도부연장현황"/>
      <sheetName val="적용단가표 (2)"/>
      <sheetName val="일위대가1"/>
      <sheetName val="공사설계서"/>
      <sheetName val="직노"/>
      <sheetName val="익산"/>
      <sheetName val="95년12월말"/>
      <sheetName val="계림(함평)"/>
      <sheetName val="계림(장성)"/>
      <sheetName val="투찰가"/>
      <sheetName val="H_P견적(참조)"/>
      <sheetName val="공사예산하조서(O_K)"/>
      <sheetName val="인제내역"/>
      <sheetName val="OUTER_AREA(_x0000__x0000_Ԁ_x0000_ "/>
      <sheetName val="OUTER_AREA(_x0000__x0000_Ԁ_x0000_퀀"/>
      <sheetName val="OUTER_AREA(_x0000__x0000_Ԁ_x0000_ꀀ"/>
      <sheetName val="OUTER_AREA(_x0000__x0000_Ԁ_x0000_䀀"/>
      <sheetName val="기본자료"/>
      <sheetName val="수량집계"/>
      <sheetName val="개요DATA, 인건비 변경(화성비봉)"/>
      <sheetName val="단위세대 마감(용인역북)"/>
      <sheetName val="승강기 산출 data ( 화성비봉)"/>
      <sheetName val="특화 DATA(화성비봉"/>
      <sheetName val="경관심의 검토"/>
      <sheetName val="심의관련 추가"/>
      <sheetName val="광주용두-대비"/>
      <sheetName val="세대 (1단지)"/>
      <sheetName val="대비 (2)"/>
      <sheetName val="을"/>
      <sheetName val="원가계산"/>
      <sheetName val="신규단가 #1"/>
      <sheetName val="외장판넬 내역서"/>
      <sheetName val="이자율"/>
      <sheetName val="변동인Ã"/>
      <sheetName val="변동인´"/>
      <sheetName val="변동인Ý"/>
      <sheetName val="전체공정표"/>
      <sheetName val="anti-termite"/>
      <sheetName val="Manpower costs + data"/>
      <sheetName val="10.Linkway"/>
      <sheetName val="Project Name"/>
      <sheetName val="Deliver Date"/>
      <sheetName val="Staff"/>
      <sheetName val="Prelim"/>
      <sheetName val="_손익기01_XL_x005f_x0000__x005f_x005f_x1"/>
      <sheetName val="_손익기01_XL_x005f_x0000__x005f_x005f_x2"/>
      <sheetName val="_손익기01_XL_x005f_x0000__x005f_x005f_x3"/>
      <sheetName val="Planilha_relts?eos7"/>
      <sheetName val="_손익기01_XL_x005f_x0000__x005f_x005f_x4"/>
      <sheetName val="_손익기01_XL_x005f_x0000__x005f_x005f_x5"/>
      <sheetName val="_손익기01_XL_x005f_x0000__x005f_x005f_x6"/>
      <sheetName val="_손익기01_XL_x005f_x0000__x005f_x005f_x7"/>
      <sheetName val="_손익기01_XL_x005f_x0000__x005f_x005f_x8"/>
      <sheetName val="_손익기01_XL_x005f_x0000__x005f_x005f_x9"/>
      <sheetName val="_손익기01_XL_x005f_x0000__x005f_x005f_10"/>
      <sheetName val="SUMMARY(S)"/>
      <sheetName val="96.12"/>
      <sheetName val="가압장(토목)"/>
      <sheetName val="신규공종"/>
      <sheetName val="Ownership Interests"/>
      <sheetName val="Data Sheet"/>
      <sheetName val="LS"/>
      <sheetName val="Master DB"/>
      <sheetName val="NRD PD_Detailed result of Index"/>
      <sheetName val="ocean voyage"/>
      <sheetName val="소방"/>
      <sheetName val="back data"/>
      <sheetName val="검토사항"/>
      <sheetName val="Comments"/>
      <sheetName val="dongia (2)"/>
      <sheetName val="DD30"/>
      <sheetName val="FF20"/>
      <sheetName val="전체실적"/>
      <sheetName val="견적집계표"/>
      <sheetName val="거래처별"/>
      <sheetName val="Statement_20.12"/>
      <sheetName val="Deposit"/>
      <sheetName val="BASEINPUT"/>
      <sheetName val="10.31"/>
      <sheetName val="DUTY%"/>
      <sheetName val="안성 주기장 개발"/>
      <sheetName val="주식배당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b_balju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Facility_Information7"/>
      <sheetName val="表21_净利润调节表13"/>
      <sheetName val="11_외화채무증권(AFS,HTM)0814"/>
      <sheetName val="13_감액TEST_0814"/>
      <sheetName val="제조원가_원단위_분석14"/>
      <sheetName val="종합표양식(품의_&amp;_입고)_214"/>
      <sheetName val="원가관리_(동월대비)14"/>
      <sheetName val="중기조종사_단위단가14"/>
      <sheetName val="6PILE__(돌출)14"/>
      <sheetName val="기성청구_공문14"/>
      <sheetName val="2-2_매출분석14"/>
      <sheetName val="몰드시스템_리스트14"/>
      <sheetName val="7_(2)16"/>
      <sheetName val="Sheet1_(2)14"/>
      <sheetName val="12년_CF(9월)14"/>
      <sheetName val="OUTER_AREA(겹침없음)12"/>
      <sheetName val="EL_표면적12"/>
      <sheetName val="2_대외공문12"/>
      <sheetName val="sum1_(2)12"/>
      <sheetName val="3_바닥판설계12"/>
      <sheetName val="2_총괄표12"/>
      <sheetName val="입찰내역_발주처_양식12"/>
      <sheetName val="504전기실_동부하-L12"/>
      <sheetName val="P_M_별8"/>
      <sheetName val="부대시행1_(2)6"/>
      <sheetName val="1_차입금6"/>
      <sheetName val="설산1_나6"/>
      <sheetName val="2-1_강사료,교통비_지급명세6"/>
      <sheetName val="해외_기술훈련비_(합계)7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Process_List16"/>
      <sheetName val="제시_손익계산서16"/>
      <sheetName val="업무연락_(2)16"/>
      <sheetName val="M_7회차_담금_계획16"/>
      <sheetName val="01_02월_성과급17"/>
      <sheetName val="09~10년_매출계획14"/>
      <sheetName val="97_사업추정(WEKI)12"/>
      <sheetName val="팀별_실적16"/>
      <sheetName val="팀별_실적_(환산)16"/>
      <sheetName val="6월_공정외주12"/>
      <sheetName val="Tong_hop12"/>
      <sheetName val="95_1_1이후취득자산(숨기기상태)12"/>
      <sheetName val="1_MDF1공장14"/>
      <sheetName val="입출재고현황_(2)12"/>
      <sheetName val="TRE_TABLE12"/>
      <sheetName val="2_주요계수총괄7"/>
      <sheetName val="Utility_Usage_YTN_TOWER6"/>
      <sheetName val="118_세금과공과7"/>
      <sheetName val="근거_및_가정6"/>
      <sheetName val="2_카드채권(대출포함)13"/>
      <sheetName val="Project_Brief7"/>
      <sheetName val="단면_(2)7"/>
      <sheetName val="B-1_기본정보6"/>
      <sheetName val="1_본사계정별7"/>
      <sheetName val="_견적서6"/>
      <sheetName val="3_6_2남양주택배6"/>
      <sheetName val="Back_Data_17"/>
      <sheetName val="PAD_TR보호대기초6"/>
      <sheetName val="1월_예산6"/>
      <sheetName val="설문_평가6"/>
      <sheetName val="외주현황_wq16"/>
      <sheetName val="대투_보관자료_변경6"/>
      <sheetName val="1__시공측량6"/>
      <sheetName val="납부내역총괄표_(수정)6"/>
      <sheetName val="#1)_투자_구분6"/>
      <sheetName val="수종별수량_(2)6"/>
      <sheetName val="전선_및_전선관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2013_2월_연결대상6"/>
      <sheetName val="요일_테이블16"/>
      <sheetName val="4__Inj_투자상세내역16"/>
      <sheetName val="3__Blow_투자_상세내역16"/>
      <sheetName val="2-2_투자6"/>
      <sheetName val="Proj__Fin_6"/>
      <sheetName val="ITS_Assumptions5"/>
      <sheetName val="Master_Data5"/>
      <sheetName val="Jul-Sep_Actual_cost_(2)11"/>
      <sheetName val="요일_테이블_(2)15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3_ISo_YTD16"/>
      <sheetName val="E_法规NC16"/>
      <sheetName val="Données_LMU16"/>
      <sheetName val="Brazil_Sovereign16"/>
      <sheetName val="Resumen_Costo16"/>
      <sheetName val="Fixed_ZBB16"/>
      <sheetName val="5_116"/>
      <sheetName val="Extract_Loss16"/>
      <sheetName val="QA_跟踪记录表16"/>
      <sheetName val="RG_Depots16"/>
      <sheetName val="material_data16"/>
      <sheetName val="other_data16"/>
      <sheetName val="Como_Estamos16"/>
      <sheetName val="Database_(RUR)Mar_YTD16"/>
      <sheetName val="SKU_Mapping16"/>
      <sheetName val="Drop_Down16"/>
      <sheetName val="Raw_Data16"/>
      <sheetName val="EBM-2_GHQ16"/>
      <sheetName val="Base_PEF17"/>
      <sheetName val="Base_de_Dados16"/>
      <sheetName val="Testing_Template_Guidance16"/>
      <sheetName val="Test_Programs16"/>
      <sheetName val="Dados_BLP16"/>
      <sheetName val="Controls_data18"/>
      <sheetName val="FJJX_Bud_IB15"/>
      <sheetName val="look-up_data15"/>
      <sheetName val="JOB_PROFILE_-_LAS16"/>
      <sheetName val="ARdistr_(2)16"/>
      <sheetName val="Prd_Hierarchy(产品层级)15"/>
      <sheetName val="Com_(2PK)15"/>
      <sheetName val="Prd_Hierarchy(产品层次)15"/>
      <sheetName val="Project_Code15"/>
      <sheetName val="15년_BL_사계15"/>
      <sheetName val="_손익기01_XL15"/>
      <sheetName val="drop_down_list15"/>
      <sheetName val="[손익기01_XL_x005f_x0000__x005f_x0000_DePara15"/>
      <sheetName val="[손익기01_XL15"/>
      <sheetName val="Income_Stmt15"/>
      <sheetName val="Quarterly_LBO_Model15"/>
      <sheetName val="_손익기01_XL_x005f_x0000__x005f_x0000_DePara15"/>
      <sheetName val="Classification_分类14"/>
      <sheetName val="Figures_Report14"/>
      <sheetName val="Set_Up15"/>
      <sheetName val="Fare_prices14"/>
      <sheetName val="Hotel_prices14"/>
      <sheetName val="tab_STATUS_DO_PROCESSO_14"/>
      <sheetName val="Perf__Plan__Diário114"/>
      <sheetName val="In_(2)14"/>
      <sheetName val="slide_24_cat_A14"/>
      <sheetName val="slide_82_cat_b14"/>
      <sheetName val="Incident_유형구분표14"/>
      <sheetName val="CLASIFICACION_DE_AI14"/>
      <sheetName val="Base_da_Datos14"/>
      <sheetName val="Dados_dos_Produtos14"/>
      <sheetName val="DD_list14"/>
      <sheetName val="3YP2016-Bottom_up13"/>
      <sheetName val="MASTER_APP13"/>
      <sheetName val="Cond__Inseguros13"/>
      <sheetName val="Comp__Inseguros13"/>
      <sheetName val="Lista_de_datos13"/>
      <sheetName val="Base_de_Datos13"/>
      <sheetName val="_DD_List13"/>
      <sheetName val="Share_Price_200213"/>
      <sheetName val="Clasif_13"/>
      <sheetName val="Lista_CI13"/>
      <sheetName val="Farol_Acciones13"/>
      <sheetName val="Lista_de_Entrenamientos13"/>
      <sheetName val="Supply_Cost_Centers13"/>
      <sheetName val="BEP_加薪_KPI12"/>
      <sheetName val="Weekly_Progress(계장)6"/>
      <sheetName val="수량산출서_갑지5"/>
      <sheetName val="1__작성방식6"/>
      <sheetName val="4_1_월별_에너지_사용량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실행기성_갑지6"/>
      <sheetName val="Eq__Mobilization5"/>
      <sheetName val="Exchange_rate6"/>
      <sheetName val="Rev__Recon_15"/>
      <sheetName val="1_고객불만건수5"/>
      <sheetName val="1_변경범위5"/>
      <sheetName val="KEY_CODE6"/>
      <sheetName val="13_포장용역비표준6"/>
      <sheetName val="9_가공부자재표준6"/>
      <sheetName val="8_ROLL표준(TSW)6"/>
      <sheetName val="4_톤당조관량표준6"/>
      <sheetName val="5_조관부자재표준6"/>
      <sheetName val="7_Utility_Analysis5"/>
      <sheetName val="Operational_Activities5"/>
      <sheetName val="Worker_List5"/>
      <sheetName val="GB-IC_Villingen_GG5"/>
      <sheetName val="C1_3_15"/>
      <sheetName val="표)CFT장_조직별_배분6"/>
      <sheetName val="20180214_P&amp;T6"/>
      <sheetName val="Ref__중점_추진_과제별_상세6"/>
      <sheetName val="2_6_三无_(2)5"/>
      <sheetName val="G_R300경비5"/>
      <sheetName val="AS포장복구_5"/>
      <sheetName val="설_계5"/>
      <sheetName val="기초정보_코드5"/>
      <sheetName val="M&amp;Q_Lead5"/>
      <sheetName val="진행_DATA_(2)5"/>
      <sheetName val="업무분장_3"/>
      <sheetName val="7300-1000_114"/>
      <sheetName val="PJT_현황3"/>
      <sheetName val="참고)_기준정보3"/>
      <sheetName val="Long_Term_Prices3"/>
      <sheetName val="구분_Table3"/>
      <sheetName val="Bank_code6"/>
      <sheetName val="Drop-down_RAW6"/>
      <sheetName val="Basic_Information6"/>
      <sheetName val="견적_맵3"/>
      <sheetName val="STRAT_PLAN_WKSHT5"/>
      <sheetName val="Sales_Plan_&amp;_other5"/>
      <sheetName val="drop_downs4"/>
      <sheetName val="6월_공嚺㓶가5"/>
      <sheetName val="업무_분류(Category)4"/>
      <sheetName val="조도계산서_(도서)5"/>
      <sheetName val="준검_내역서5"/>
      <sheetName val="F_월별기성수금현황_5"/>
      <sheetName val="날개수량1_55"/>
      <sheetName val="A(Rev_3)4"/>
      <sheetName val="산자사_운전용품4"/>
      <sheetName val="Diesel_Price_3"/>
      <sheetName val="3_일반사상4"/>
      <sheetName val="부재료_비교(11년_vs_10년)10"/>
      <sheetName val="Dashboard_Prevención_Riesgos_12"/>
      <sheetName val="TOP_KPIs_MTM12"/>
      <sheetName val="PLAN_DE_ACCION12"/>
      <sheetName val="Faro_de_Indicadores12"/>
      <sheetName val="Unidades_SAC-REVENDA14"/>
      <sheetName val="FornecM_Check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Estratificación_AI12"/>
      <sheetName val="condicion_inseguras12"/>
      <sheetName val="Actos_Inseguros12"/>
      <sheetName val="Control_de_incidentes12"/>
      <sheetName val="Plan_de_Acción12"/>
      <sheetName val="_손익기01_XL_x005f_x005f_x005f_x0000__x005f_x005f_12"/>
      <sheetName val="Issues_List_Payments12"/>
      <sheetName val="turnover_reason퇴직사유12"/>
      <sheetName val="Grafica_Actos12"/>
      <sheetName val="POC_LIST12"/>
      <sheetName val="Condiciones_SyE12"/>
      <sheetName val="DETALLE_MENSUAL12"/>
      <sheetName val="do_not_delete12"/>
      <sheetName val="APAC_S12"/>
      <sheetName val="APAC_N12"/>
      <sheetName val="Slide_output12"/>
      <sheetName val="[손익기01_XL??DePara12"/>
      <sheetName val="Farol_Metas12"/>
      <sheetName val="Mod_Relac_12"/>
      <sheetName val="REALxMETA_-_CERVEJA14"/>
      <sheetName val="REALxMETA_-_REFRI14"/>
      <sheetName val="Directrices_de_Metas_201712"/>
      <sheetName val="SKU_Basic_Data12"/>
      <sheetName val="Entity_Target12"/>
      <sheetName val="VALIDACION_DE_DATOS11"/>
      <sheetName val="Drop-down_List11"/>
      <sheetName val="by_DD11"/>
      <sheetName val="Check_Qualidade10"/>
      <sheetName val="De_Para11"/>
      <sheetName val="Check_Aderencia10"/>
      <sheetName val="역T형옹벽(3_0)3"/>
      <sheetName val="외상매출금현황-수정분_A23"/>
      <sheetName val="TOWER_12TON5"/>
      <sheetName val="TOWER_10TON5"/>
      <sheetName val="JIB_CRANE,HOIST5"/>
      <sheetName val="노원열병합__건축공사기성내역서3"/>
      <sheetName val="#1_Basic4"/>
      <sheetName val="첨부#2_Cash_Flow(현장작성)4"/>
      <sheetName val="전기요금_산출내역3"/>
      <sheetName val="2_FM_Fee_2차년도3"/>
      <sheetName val="3_감가장비3"/>
      <sheetName val="NG_Item5"/>
      <sheetName val="입찰내역_Ĉ4"/>
      <sheetName val="Ref__Spec_Review_양식5"/>
      <sheetName val="Ref__시험항목_테이블5"/>
      <sheetName val="Ref__Search_Result_테이블5"/>
      <sheetName val="Project_Count3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_손익기01_XL_x005f_x0000__x010"/>
      <sheetName val="요일_테이블_10"/>
      <sheetName val="Nombre_de_SOP10"/>
      <sheetName val="_mngt_Pillar10"/>
      <sheetName val="2__Indicadores10"/>
      <sheetName val="Ta_10"/>
      <sheetName val="Sheet3_(2)10"/>
      <sheetName val="Lao_&amp;_Cam10"/>
      <sheetName val="Hoegaarden_201910"/>
      <sheetName val="Lao_&amp;_Cam_201910"/>
      <sheetName val="Malaysia_201910"/>
      <sheetName val="Singapore_201910"/>
      <sheetName val="Sheet2_(2)10"/>
      <sheetName val="Other_Listings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Pauta_RPS_Distribuição9"/>
      <sheetName val="Estoque_(2)9"/>
      <sheetName val="DATOS_DE_VALIDACIÓN9"/>
      <sheetName val="Datos_con9"/>
      <sheetName val="_Datos_Cond_9"/>
      <sheetName val="Comp_Inseguros9"/>
      <sheetName val="BNR_2012_в_ящике9"/>
      <sheetName val="INGRESO_(2)9"/>
      <sheetName val="PG-K1610_(UEN_Areas)MNG9"/>
      <sheetName val="DATOS_GEN_9"/>
      <sheetName val="NUEVOS_CRITERIOS9"/>
      <sheetName val="Condiciones_Agua9"/>
      <sheetName val="DO_NOT_MOVE9"/>
      <sheetName val="Dropdown_list8"/>
      <sheetName val="Control_de_Fallas8"/>
      <sheetName val="Setup_for_Templates8"/>
      <sheetName val="Datos_emp8"/>
      <sheetName val="Drop_list8"/>
      <sheetName val="FX_Rates8"/>
      <sheetName val="Proced_8"/>
      <sheetName val="Cut_Machine_Summary8"/>
      <sheetName val="Validation_lists8"/>
      <sheetName val="__한국_AMP_ASP-23_판㧤가격__8"/>
      <sheetName val="11_䡸화채무줝ⴌ(AFS,HTM)08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Vagas_x_Candidatos8"/>
      <sheetName val="Listas_y_equipos_a_evaluar8"/>
      <sheetName val="Data_Reporte8"/>
      <sheetName val="Read_me8"/>
      <sheetName val="Champions_List7"/>
      <sheetName val="NAZ_Strategy6"/>
      <sheetName val="Daily_Dashboard8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Customer_&amp;_SO6"/>
      <sheetName val="Session_Proposal6"/>
      <sheetName val="Dropdown_Menu4"/>
      <sheetName val="Análise_Tempos5"/>
      <sheetName val="Incentivo_Automóvil5"/>
      <sheetName val="PDA_BOP5"/>
      <sheetName val="Validação_de_Dados5"/>
      <sheetName val="No_llenar_5"/>
      <sheetName val="유류대_현황4"/>
      <sheetName val="1__템플릿4"/>
      <sheetName val="2__작성_참고사항4"/>
      <sheetName val="mapping_(2)4"/>
      <sheetName val="Ref_4"/>
      <sheetName val="Lista_de_Motivos5"/>
      <sheetName val="Ponto_Crítico_-_Resp__Plano5"/>
      <sheetName val="Lista_Funcionários_(2)5"/>
      <sheetName val="2_3_Projects_Status4"/>
      <sheetName val="PROCESS_MD5"/>
      <sheetName val="Consolidated_Project_List4"/>
      <sheetName val="Fixed_Cost4"/>
      <sheetName val="Project_List4"/>
      <sheetName val="Выпадающие_списки4"/>
      <sheetName val="Listas_desplegables4"/>
      <sheetName val="Resumen_General4"/>
      <sheetName val="Cátalogo_de_CI4"/>
      <sheetName val="Hoja2_(2)4"/>
      <sheetName val="Technology_check_list4"/>
      <sheetName val="Status_de_Usuario4"/>
      <sheetName val="Actos_y_Condiciones_4"/>
      <sheetName val="NO_BORRAR4"/>
      <sheetName val="Formato_checklist_Lab4"/>
      <sheetName val="SOP_Freshness3"/>
      <sheetName val="PAINEL_RECOLHA_CRÉDITO5"/>
      <sheetName val="Gráficos_-_CDD5"/>
      <sheetName val="3__Training_&amp;_travel6"/>
      <sheetName val="Dimension_IN_Sheet1!D19123"/>
      <sheetName val="Dimension_IN_19123"/>
      <sheetName val="Manage_to_Sustain3"/>
      <sheetName val="Meeting_List3"/>
      <sheetName val="Packages_Info3"/>
      <sheetName val="Preferred_Option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2020_MMR123"/>
      <sheetName val="Razão_Social3"/>
      <sheetName val="1_수인터널4"/>
      <sheetName val="1~9_하중계산3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시스템_개요_유효값3"/>
      <sheetName val="문의내용_카테고리_분류(수정X)3"/>
      <sheetName val="control_sheet3"/>
      <sheetName val="PF_현황(11년12월)3"/>
      <sheetName val="JT3_0견적-구13"/>
      <sheetName val="Dropbox_목록4"/>
      <sheetName val="경영비율_4"/>
      <sheetName val="07_013"/>
      <sheetName val="수량산출서_(2)3"/>
      <sheetName val="Mot_So_Thuat_Ngu_EN-VI4"/>
      <sheetName val="참고3_DATA2"/>
      <sheetName val="Investment_Category3"/>
      <sheetName val="3_공통공사대비3"/>
      <sheetName val="현장관리비_산출내역3"/>
      <sheetName val="무형자산_LS113"/>
      <sheetName val="BSD_(2)3"/>
      <sheetName val="3_판관비명세서2"/>
      <sheetName val="Sensitivity_and_GC_Value3"/>
      <sheetName val="방배동내역_(총괄)3"/>
      <sheetName val="SRS_월별_BS4"/>
      <sheetName val="평가&amp;선급_미지급4"/>
      <sheetName val="EXC_IND3"/>
      <sheetName val="COLOR별_인쇄3"/>
      <sheetName val="NCR_HEC_6_Opens3"/>
      <sheetName val="NCR_HEC_4_Open_&amp;_Vendor_2_Open3"/>
      <sheetName val="NKC_(final)3"/>
      <sheetName val="토공(우물통,기타)_2"/>
      <sheetName val="10_예산_및_원가_계획(02년)3"/>
      <sheetName val="4월_매출2"/>
      <sheetName val="SPT_vs_PHI2"/>
      <sheetName val="첨부1-2__증감사유내역서(을)2"/>
      <sheetName val="유효성_목록2"/>
      <sheetName val="1_설계기준2"/>
      <sheetName val="20년_동일기간_소테마3"/>
      <sheetName val="1_설계조건2"/>
      <sheetName val="_Drop2"/>
      <sheetName val="총_원가계산2"/>
      <sheetName val="경계석,골재외_(2)2"/>
      <sheetName val="ALK_Chi_tiết_công_nợ2"/>
      <sheetName val="CHITIET_VL-NC-TT1p2"/>
      <sheetName val="실행내역서_2"/>
      <sheetName val="2_Consideration_sheet2"/>
      <sheetName val="3__Export2"/>
      <sheetName val="운영경비_세부작성근거3"/>
      <sheetName val="Insight_MTD_QTD_YTD_DATA2"/>
      <sheetName val="Working_(PivotTable)2"/>
      <sheetName val="Essbase_(53_Weeks)2"/>
      <sheetName val="Essbase_(52_Weeks)2"/>
      <sheetName val="Store_Listing2"/>
      <sheetName val="COMP_Working2"/>
      <sheetName val="COMP_LLY_Working2"/>
      <sheetName val="PH_52"/>
      <sheetName val="bar_chart-rev2"/>
      <sheetName val="7__2_5"/>
      <sheetName val="Report_Setup4"/>
      <sheetName val="OWNER-1_(2)4"/>
      <sheetName val="고객만족도_향상2"/>
      <sheetName val="108_수선비2"/>
      <sheetName val="BS준비_XLS2"/>
      <sheetName val="BS%EC%A4%80%EB%B9%84_XLS2"/>
      <sheetName val="퇴직금추계(04_9_30)2"/>
      <sheetName val="1_경제설계2"/>
      <sheetName val="경수97_022"/>
      <sheetName val="1995년_섹터별_매출2"/>
      <sheetName val="44-2Q_주석_xlsx2"/>
      <sheetName val="팀_업체별_월기성실적2"/>
      <sheetName val="팀_업체별_시공의뢰2"/>
      <sheetName val="A_(3)2"/>
      <sheetName val="DL08_DF_모드2"/>
      <sheetName val="원지_수급가2"/>
      <sheetName val="2_상각보정명세2"/>
      <sheetName val="4b_Consolidated_PL2"/>
      <sheetName val="TT_List2"/>
      <sheetName val="카테고리_분류_(수정X)2"/>
      <sheetName val="목차_2"/>
      <sheetName val="0__물류비집계_rev12"/>
      <sheetName val="0__물류비_집계2"/>
      <sheetName val="(1-2)_국내_구간별_운송_견적_12"/>
      <sheetName val="(1-1)_국내_구간별_운송_실적__(2)2"/>
      <sheetName val="(1)_국내_사이트_상세_주소_2"/>
      <sheetName val="수입_건수_정리2"/>
      <sheetName val="(2-1)_수출_해상_(LCL)_2"/>
      <sheetName val="(2-2)_수출_항공_2"/>
      <sheetName val="(2-4)_수출_내륙_운송료2"/>
      <sheetName val="(3-1)_수입_해상_(FCL)2"/>
      <sheetName val="(3-2)_수입_해상_(LCL)_2"/>
      <sheetName val="(3-3)_수입_항공_2"/>
      <sheetName val="(3-5)_수입_내륙_운송료2"/>
      <sheetName val="운송내역_2"/>
      <sheetName val="Xunit_(단위환산)2"/>
      <sheetName val="완성차_미수금2"/>
      <sheetName val="07~08_PL1"/>
      <sheetName val="SAP_검증(평균환율)2"/>
      <sheetName val="SAP_검증(월말환율)2"/>
      <sheetName val="전분기말_정산표(PQE)2"/>
      <sheetName val="전년동기_정산표2"/>
      <sheetName val="전기말_정산표(PYE)2"/>
      <sheetName val="당기말_정산표(CPE)2"/>
      <sheetName val="A01-3_조정내역2"/>
      <sheetName val="A01-3_단순합산2"/>
      <sheetName val="매출채권_및_금융자산2"/>
      <sheetName val="A03-3_연결조정2"/>
      <sheetName val="A07__유형자산_차기이월,_미실현2"/>
      <sheetName val="A07__유형자산_감가상각2"/>
      <sheetName val="A08__연결_조정2"/>
      <sheetName val="A09__연결_조정2"/>
      <sheetName val="B01_연결_조정2"/>
      <sheetName val="B04_연결_조정2"/>
      <sheetName val="B05_연결_조정2"/>
      <sheetName val="납입자본(연결자본변동표_참조_작성)2"/>
      <sheetName val="이익잉여금(연결자본변동표_참조_작성)2"/>
      <sheetName val="기타포괄손익누계액(연결자본변동표_참조_작성)2"/>
      <sheetName val="D01_연결_조정2"/>
      <sheetName val="주당손익(개별파일_작성)2"/>
      <sheetName val="특수,항공_부서코드표5"/>
      <sheetName val="예산조정신청서_양식5"/>
      <sheetName val="96예산신청을_위한_양식및_공문5"/>
      <sheetName val="96예산신청을%20위한%20양식및%20공문_XLS3"/>
      <sheetName val="_손익기01_XL_x005f_x0000__x005f_x005f_x01"/>
      <sheetName val="KPIs-_TTP,_PTP,_People_Turnove1"/>
      <sheetName val="1월_목표1"/>
      <sheetName val="FILIAL_MINAS1"/>
      <sheetName val="info_for_drop_box1"/>
      <sheetName val="POCM_배송지1"/>
      <sheetName val="데이터_유효성_목록1"/>
      <sheetName val="Mapping_1"/>
      <sheetName val="WS_DB1"/>
      <sheetName val="Region_1"/>
      <sheetName val="SKU_DB1"/>
      <sheetName val="10_麦汁CIP清洗标准水量1"/>
      <sheetName val="Tipo_Viaje1"/>
      <sheetName val="Flota_y_Personal1"/>
      <sheetName val="SAP_info1"/>
      <sheetName val="Target_Book1"/>
      <sheetName val="Name_List1"/>
      <sheetName val="Ref_New_Contract_Model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입찰내역_2"/>
      <sheetName val="1-1_교육_일정표(지점도약)"/>
      <sheetName val="UPA(Part_C,D,E,G,H)2"/>
      <sheetName val="UPA(Part_F)2"/>
      <sheetName val="일위대가_(Part_C,D,E,G,H)2"/>
      <sheetName val="Noncurrent_assets1"/>
      <sheetName val="단독빌딩_총합계본1"/>
      <sheetName val="sum_2"/>
      <sheetName val="ITB_COST2"/>
      <sheetName val="Ⅴ-2_공종별내역2"/>
      <sheetName val="단양_00_아파트-세부내역2"/>
      <sheetName val="입찰내역_Ĉ_x005f_x0000__x005f_x0000_ᇆ1"/>
      <sheetName val="입찰내역_Ĉ_x005f_x0000__x005f_x0000_ᇆ1"/>
      <sheetName val="2021_KPI_SD_(대표이사)1"/>
      <sheetName val="▶_일일출역_집계_202108191433162"/>
      <sheetName val="Process_Li2"/>
      <sheetName val="Act_vs__budget1"/>
      <sheetName val="Ext__Stone-P1"/>
      <sheetName val="a_연결정리1"/>
      <sheetName val="견적_(2)2"/>
      <sheetName val="Process_Li 鸴1"/>
      <sheetName val="제임스짐_예상매출_for_2023B1"/>
      <sheetName val="Rate_Analysis1"/>
      <sheetName val="_손익기01_XL__DePara11"/>
      <sheetName val="Ⅱ_추정종합1"/>
      <sheetName val="HK1_83站合力改善_"/>
      <sheetName val="Electrical_Load_List1"/>
      <sheetName val="표지_(3)1"/>
      <sheetName val="Spreadsheet_Information1"/>
      <sheetName val="예산표_1"/>
      <sheetName val="PAINT_(2)1"/>
      <sheetName val="물량표_(2)1"/>
      <sheetName val="※유형구분분류_(2)"/>
      <sheetName val="Criteria_List1"/>
      <sheetName val="8호선_원가_투입내역1"/>
      <sheetName val="96보완계획7_122"/>
      <sheetName val="대출_상환액_산출표"/>
      <sheetName val="사외외주_9월_현황"/>
      <sheetName val="DATA_SHEET(절대삭제_금지)1"/>
      <sheetName val="Tr_C_당일자금판"/>
      <sheetName val="VS_P-Q1"/>
      <sheetName val="member_design1"/>
      <sheetName val="design_criteria1"/>
      <sheetName val="working_load_at_the_btm_ft_1"/>
      <sheetName val="plan&amp;section_of_foundation1"/>
      <sheetName val="온라인_계수_기준표"/>
      <sheetName val="1_현금예금"/>
      <sheetName val="Piping_Design_Data"/>
      <sheetName val="CHITIET_VL-NC-TT_-1p"/>
      <sheetName val="CHITIET_VL-NC-TT-3p"/>
      <sheetName val="TONG_HOP_VL-NC_TT"/>
      <sheetName val="KPVC-BD_"/>
      <sheetName val="Requirement(Work_Crew)1"/>
      <sheetName val="1)_MALL1"/>
      <sheetName val="실토지와투자자12_6_30"/>
      <sheetName val="ACTIVITY_CODE_&amp;_AREA_LIST1"/>
      <sheetName val="원료_CODE"/>
      <sheetName val="Ma_CV"/>
      <sheetName val="_PL"/>
      <sheetName val="기타&amp;특별수지_명세"/>
      <sheetName val="_Cash_Flow"/>
      <sheetName val="Sensible_Indicator"/>
      <sheetName val="계획대비_실적_조정후"/>
      <sheetName val="NON_SLIP1"/>
      <sheetName val="제조원가_원단샀"/>
      <sheetName val="_"/>
      <sheetName val="12년_CF౮저殑"/>
      <sheetName val="6PILE__(ㆥ堀"/>
      <sheetName val="6PILE__(౮저"/>
      <sheetName val="나_출؀"/>
      <sheetName val="3BL공동구_수량1"/>
      <sheetName val="실행간萹旄"/>
      <sheetName val="실행간"/>
      <sheetName val="1_종합손익("/>
      <sheetName val="할증_"/>
      <sheetName val="C_S_A"/>
      <sheetName val="Sch_6"/>
      <sheetName val="운반거리(0_7km)"/>
      <sheetName val="영업_일1"/>
      <sheetName val="종합표양식(품의좲?쒥⠀쮎"/>
      <sheetName val="은아수_05월_주간_및_요일별_평균매출"/>
      <sheetName val="플랜트_설치"/>
      <sheetName val="총괄갑_"/>
      <sheetName val="C021(SEAT_ASSY)_"/>
      <sheetName val="Rev_ORSO_EXMPF"/>
      <sheetName val="ME_EX_MPF"/>
      <sheetName val="ME_MPF"/>
      <sheetName val="Rev_5%GF"/>
      <sheetName val="Rev_Endowment-3P8"/>
      <sheetName val="Rev_HNW"/>
      <sheetName val="Rev_Others"/>
      <sheetName val="Rev_Term"/>
      <sheetName val="Rev_Traditional"/>
      <sheetName val="Rev_Class_C"/>
      <sheetName val="Rev_Unit_Linked"/>
      <sheetName val="Rev_Single_Premium"/>
      <sheetName val="Rev_Variable_Life"/>
      <sheetName val="Rev_CGF"/>
      <sheetName val="Rev_CPF"/>
      <sheetName val="Rev_Class_G"/>
      <sheetName val="Rev_GPF"/>
      <sheetName val="Rev_Class_H"/>
      <sheetName val="Rev_HSPF"/>
      <sheetName val="Rev_Class_I"/>
      <sheetName val="Rev_MPF_GF"/>
      <sheetName val="Rev_Non_GF"/>
      <sheetName val="Sep_18_Summary"/>
      <sheetName val="GG&amp;P_Yield"/>
      <sheetName val="GM_Analysis"/>
      <sheetName val="Base_Model"/>
      <sheetName val="BS_MAY"/>
      <sheetName val="Occupancy_2004"/>
      <sheetName val="Share_Prices"/>
      <sheetName val="固产04_old"/>
      <sheetName val="Balance_#1"/>
      <sheetName val="Inv_days_#5"/>
      <sheetName val="Adjust_#14"/>
      <sheetName val="FA_Dep_#7"/>
      <sheetName val="FA_Addition"/>
      <sheetName val="5201_2004"/>
      <sheetName val="PV_of_Stock_Price"/>
      <sheetName val="Attach_4-18"/>
      <sheetName val="총괄집계_"/>
      <sheetName val="21년_211109"/>
      <sheetName val="21년_220117"/>
      <sheetName val="Selection"/>
      <sheetName val="기성청구°_x0000__x0000__x0000_"/>
      <sheetName val="종현황"/>
      <sheetName val="단가비교표"/>
      <sheetName val="Lista AI"/>
      <sheetName val="Temp"/>
      <sheetName val="."/>
      <sheetName val="Data_validation11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YOY"/>
      <sheetName val="2017"/>
      <sheetName val="2019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  <sheetName val="CRITERIOS DE AI"/>
      <sheetName val="Áreas"/>
      <sheetName val="Nigeria &amp; Ghana"/>
      <sheetName val="Manual Database"/>
      <sheetName val="Data_validation1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Lista_AI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压滤机线糖化计划"/>
      <sheetName val="Target"/>
      <sheetName val="Check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Projeto"/>
      <sheetName val="DEX (2)"/>
      <sheetName val="判定-不能删"/>
      <sheetName val="WS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填写规则"/>
      <sheetName val="大组套餐名称"/>
      <sheetName val="费用概况"/>
      <sheetName val="对应表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NewProjectStatus"/>
      <sheetName val="ProjectStatus"/>
      <sheetName val="Tabelle1"/>
      <sheetName val="synthgraph"/>
      <sheetName val="辅助页"/>
      <sheetName val="NIUs"/>
      <sheetName val="IH跟踪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Plant assumptions"/>
      <sheetName val="Plant_assumptions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Daily_Dashboard9"/>
      <sheetName val="Customer_&amp;_SO7"/>
      <sheetName val="Session_Proposal7"/>
      <sheetName val="PDA_BOP6"/>
      <sheetName val="Incentivo_Automóvil6"/>
      <sheetName val="PROCESS_MD6"/>
      <sheetName val="Dropdown_Menu5"/>
      <sheetName val="Project_List5"/>
      <sheetName val="Выпадающие_списки5"/>
      <sheetName val="SOP_Freshness4"/>
      <sheetName val="Dimension_IN_Sheet1!D19124"/>
      <sheetName val="Dimension_IN_19124"/>
      <sheetName val="FILIAL_MINAS3"/>
      <sheetName val="_손익기01_XL_x005f_x0000__x005f_x005f_x03"/>
      <sheetName val="info_for_drop_box3"/>
      <sheetName val="KPIs-_TTP,_PTP,_People_Turnove3"/>
      <sheetName val="1월_목표3"/>
      <sheetName val="POCM_배송지3"/>
      <sheetName val="Lista_AI1"/>
      <sheetName val="COE_Scope_-_Strategic_Projects1"/>
      <sheetName val="SEGUIMIENTO_SEMANAL1"/>
      <sheetName val="TO_TTZ1"/>
      <sheetName val="CATÁLOGO_DE_PELIGROS1"/>
      <sheetName val="RyNV_detectados_1"/>
      <sheetName val="Curva_20211"/>
      <sheetName val="Por_PPR2"/>
      <sheetName val="_1"/>
      <sheetName val="Template_HN1"/>
      <sheetName val="Resumen_(hL_env)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1_종합손익탬됊혁酧"/>
      <sheetName val="1_종합손익훬酧"/>
      <sheetName val="종합표양식(품의_&amp;¾"/>
      <sheetName val=""/>
      <sheetName val="자재"/>
      <sheetName val="전체내역 (2)"/>
      <sheetName val="CONCRETE"/>
      <sheetName val="소상 &quot;1&quot;"/>
      <sheetName val="design load"/>
      <sheetName val="stability check"/>
      <sheetName val="남양시작동자105노65기1.3화1.2"/>
      <sheetName val="스테인리스 (일위대가)"/>
      <sheetName val="스테인리스 (일위대가) 요약"/>
      <sheetName val="인천제철"/>
      <sheetName val="7_공사비집记ଯ_x0000_ᤅ೟翷_x0000_"/>
      <sheetName val="샤워실위생"/>
      <sheetName val="자재 집계표"/>
      <sheetName val="表21_净利润_xdac0_㹛+"/>
      <sheetName val="통합ﶻ%"/>
      <sheetName val="통합৘"/>
      <sheetName val="장비 (2)"/>
      <sheetName val="____01_XL_x005f_x005f_x005f_x0000__x005f_x005f__2"/>
      <sheetName val="____01_XL_x005f_x005f_x005f_x0000__x005f_x005f__3"/>
      <sheetName val="____01_XL_x005f_x005f_x005f_x0000__x005f_x005f__4"/>
      <sheetName val="____01_XL_x005f_x005f_x005f_x0000__x005f_x005f__5"/>
      <sheetName val="____01_XL_x005f_x005f_x005f_x0000__x005f_x005f__6"/>
      <sheetName val="____01_XL_x005f_x005f_x005f_x0000__x005f_x005f__7"/>
      <sheetName val="U-TYPE(1)"/>
      <sheetName val="0000"/>
      <sheetName val="3. GROUNDING SYSTEM"/>
      <sheetName val="단가입력창"/>
      <sheetName val="Prime"/>
      <sheetName val="Subprime"/>
      <sheetName val="Auswahl"/>
      <sheetName val="AN-01"/>
      <sheetName val="토목내역"/>
      <sheetName val="공통자료"/>
      <sheetName val="입찰내역 ︀폕ԯ_x0000_缀_x0000_"/>
      <sheetName val="설계기준"/>
      <sheetName val="내역1"/>
      <sheetName val="FORM-0"/>
      <sheetName val="수량증감"/>
      <sheetName val="몰드시스_x0000__x0000_ɧ_x0000__x0000__x0000_"/>
      <sheetName val="시설유형"/>
      <sheetName val="b_balju_(2_x0000_"/>
      <sheetName val="b_balju_(2_xdc80_"/>
      <sheetName val="MOTOR"/>
      <sheetName val="※ 코드"/>
      <sheetName val="0201"/>
      <sheetName val="내역서(재노경)"/>
      <sheetName val="부하"/>
      <sheetName val="5_추정_x0000__x0000__x0000__x0000_"/>
      <sheetName val="Input Time"/>
      <sheetName val="eq_data"/>
      <sheetName val="영업소실적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 refreshError="1"/>
      <sheetData sheetId="2496" refreshError="1"/>
      <sheetData sheetId="2497"/>
      <sheetData sheetId="2498"/>
      <sheetData sheetId="2499"/>
      <sheetData sheetId="2500" refreshError="1"/>
      <sheetData sheetId="2501" refreshError="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 refreshError="1"/>
      <sheetData sheetId="2845" refreshError="1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/>
      <sheetData sheetId="4110"/>
      <sheetData sheetId="411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 refreshError="1"/>
      <sheetData sheetId="4312" refreshError="1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 refreshError="1"/>
      <sheetData sheetId="4416" refreshError="1"/>
      <sheetData sheetId="4417" refreshError="1"/>
      <sheetData sheetId="4418" refreshError="1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/>
      <sheetData sheetId="5162" refreshError="1"/>
      <sheetData sheetId="5163" refreshError="1"/>
      <sheetData sheetId="5164" refreshError="1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/>
      <sheetData sheetId="5255"/>
      <sheetData sheetId="5256"/>
      <sheetData sheetId="5257"/>
      <sheetData sheetId="5258"/>
      <sheetData sheetId="5259"/>
      <sheetData sheetId="5260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 refreshError="1"/>
      <sheetData sheetId="5404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/>
      <sheetData sheetId="5474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/>
      <sheetData sheetId="5490"/>
      <sheetData sheetId="5491" refreshError="1"/>
      <sheetData sheetId="5492" refreshError="1"/>
      <sheetData sheetId="5493" refreshError="1"/>
      <sheetData sheetId="5494"/>
      <sheetData sheetId="5495"/>
      <sheetData sheetId="5496"/>
      <sheetData sheetId="5497" refreshError="1"/>
      <sheetData sheetId="5498" refreshError="1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/>
      <sheetData sheetId="5534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/>
      <sheetData sheetId="5638" refreshError="1"/>
      <sheetData sheetId="5639" refreshError="1"/>
      <sheetData sheetId="5640" refreshError="1"/>
      <sheetData sheetId="5641" refreshError="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 refreshError="1"/>
      <sheetData sheetId="5941" refreshError="1"/>
      <sheetData sheetId="5942" refreshError="1"/>
      <sheetData sheetId="5943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/>
      <sheetData sheetId="6085"/>
      <sheetData sheetId="6086"/>
      <sheetData sheetId="6087"/>
      <sheetData sheetId="6088"/>
      <sheetData sheetId="6089"/>
      <sheetData sheetId="6090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 refreshError="1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/>
      <sheetData sheetId="6835"/>
      <sheetData sheetId="6836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 refreshError="1"/>
      <sheetData sheetId="6857" refreshError="1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 refreshError="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/>
      <sheetData sheetId="6932" refreshError="1"/>
      <sheetData sheetId="6933" refreshError="1"/>
      <sheetData sheetId="6934" refreshError="1"/>
      <sheetData sheetId="6935" refreshError="1"/>
      <sheetData sheetId="6936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 refreshError="1"/>
      <sheetData sheetId="7436" refreshError="1"/>
      <sheetData sheetId="7437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/>
      <sheetData sheetId="8546"/>
      <sheetData sheetId="8547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/>
      <sheetData sheetId="9565"/>
      <sheetData sheetId="9566"/>
      <sheetData sheetId="9567"/>
      <sheetData sheetId="9568"/>
      <sheetData sheetId="9569"/>
      <sheetData sheetId="9570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/>
      <sheetData sheetId="9717" refreshError="1"/>
      <sheetData sheetId="9718" refreshError="1"/>
      <sheetData sheetId="9719" refreshError="1"/>
      <sheetData sheetId="9720" refreshError="1"/>
      <sheetData sheetId="9721"/>
      <sheetData sheetId="9722"/>
      <sheetData sheetId="9723"/>
      <sheetData sheetId="9724" refreshError="1"/>
      <sheetData sheetId="9725" refreshError="1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/>
      <sheetData sheetId="10545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US Codes"/>
      <sheetName val="sap`04.7.14"/>
      <sheetName val="forecasted_BS"/>
      <sheetName val="forecasted_IS"/>
      <sheetName val="해외출자현황(원본틀)"/>
      <sheetName val="주택소유3"/>
      <sheetName val="L_200"/>
      <sheetName val="임차보증금현황04_6_30"/>
      <sheetName val="Sheet1"/>
      <sheetName val="10월판관"/>
      <sheetName val="A"/>
      <sheetName val="자료"/>
      <sheetName val="39.세전이익현황"/>
      <sheetName val="1월"/>
      <sheetName val="Ⅱ1-0타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생산량"/>
      <sheetName val="시산표"/>
      <sheetName val="1.2 (1)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(시트3) 금융회사코드 등"/>
      <sheetName val="5월"/>
      <sheetName val="1-2. 예산부서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추가자료3_1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대정예"/>
      <sheetName val="CN001_시계열"/>
      <sheetName val="00'미수"/>
      <sheetName val="보험료예실차"/>
      <sheetName val="수행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설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대합동데이타"/>
      <sheetName val="설계사"/>
      <sheetName val="(별첨)설가동"/>
      <sheetName val="설정착"/>
      <sheetName val="설정예"/>
      <sheetName val="대리점"/>
      <sheetName val="대가동"/>
      <sheetName val="대정착"/>
      <sheetName val="대정예"/>
      <sheetName val="Sheet3"/>
      <sheetName val="신계약(영관부)"/>
      <sheetName val="설계내역서"/>
      <sheetName val="4-2물건누계"/>
      <sheetName val="Master"/>
      <sheetName val="사고96"/>
      <sheetName val="인수기간별S"/>
      <sheetName val="담보별"/>
      <sheetName val="현재적용이율"/>
      <sheetName val="3"/>
      <sheetName val="본부유지율"/>
      <sheetName val="Sheet1"/>
      <sheetName val="신인유치기초"/>
      <sheetName val="장기"/>
      <sheetName val="내외국인총괄"/>
      <sheetName val="DATA"/>
      <sheetName val="Sheet4"/>
      <sheetName val="4-1물건1년"/>
      <sheetName val="D1"/>
      <sheetName val="대출유지.2"/>
      <sheetName val="주행"/>
      <sheetName val="p2-1"/>
      <sheetName val="#REF"/>
      <sheetName val="기안"/>
      <sheetName val="總DEP"/>
      <sheetName val="R&amp;D"/>
      <sheetName val="FOB현황"/>
      <sheetName val="신규DEP"/>
      <sheetName val="31차월이상추이(통계분석기법)"/>
      <sheetName val="원단위 1계 2계"/>
      <sheetName val="FO원단위"/>
      <sheetName val="원97"/>
      <sheetName val="원단위"/>
      <sheetName val="협조전"/>
      <sheetName val="11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대한생명"/>
      <sheetName val="리스트정리(대생)"/>
      <sheetName val="삼성생명"/>
      <sheetName val="일일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6">
          <cell r="B26">
            <v>1</v>
          </cell>
          <cell r="C26">
            <v>2</v>
          </cell>
          <cell r="D26">
            <v>3</v>
          </cell>
          <cell r="E26">
            <v>4</v>
          </cell>
          <cell r="F26">
            <v>5</v>
          </cell>
          <cell r="G26">
            <v>6</v>
          </cell>
          <cell r="H26">
            <v>7</v>
          </cell>
          <cell r="I26">
            <v>8</v>
          </cell>
          <cell r="J26">
            <v>9</v>
          </cell>
          <cell r="K26">
            <v>10</v>
          </cell>
          <cell r="L26">
            <v>11</v>
          </cell>
          <cell r="M26">
            <v>12</v>
          </cell>
          <cell r="N26">
            <v>13</v>
          </cell>
          <cell r="O26">
            <v>14</v>
          </cell>
          <cell r="P26">
            <v>15</v>
          </cell>
          <cell r="Q26">
            <v>16</v>
          </cell>
          <cell r="R26">
            <v>17</v>
          </cell>
          <cell r="S26">
            <v>18</v>
          </cell>
          <cell r="T26">
            <v>19</v>
          </cell>
          <cell r="U26">
            <v>20</v>
          </cell>
          <cell r="V26">
            <v>21</v>
          </cell>
        </row>
        <row r="27">
          <cell r="B27">
            <v>896</v>
          </cell>
          <cell r="C27">
            <v>843</v>
          </cell>
          <cell r="D27">
            <v>910</v>
          </cell>
          <cell r="E27">
            <v>880</v>
          </cell>
          <cell r="F27">
            <v>863</v>
          </cell>
          <cell r="G27">
            <v>819</v>
          </cell>
          <cell r="H27">
            <v>866</v>
          </cell>
          <cell r="I27">
            <v>813</v>
          </cell>
          <cell r="J27">
            <v>801</v>
          </cell>
          <cell r="K27">
            <v>816</v>
          </cell>
          <cell r="L27">
            <v>789</v>
          </cell>
          <cell r="M27">
            <v>830</v>
          </cell>
          <cell r="N27">
            <v>730</v>
          </cell>
          <cell r="O27">
            <v>708</v>
          </cell>
          <cell r="P27">
            <v>807</v>
          </cell>
          <cell r="Q27">
            <v>754</v>
          </cell>
          <cell r="R27">
            <v>762</v>
          </cell>
          <cell r="S27">
            <v>788</v>
          </cell>
          <cell r="T27">
            <v>857</v>
          </cell>
          <cell r="U27">
            <v>836</v>
          </cell>
          <cell r="V27">
            <v>882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IS_Analysis"/>
      <sheetName val="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금리분석"/>
      <sheetName val="J"/>
      <sheetName val="출금실적"/>
      <sheetName val="순위선정"/>
      <sheetName val="#REF"/>
      <sheetName val="관련부서"/>
      <sheetName val="COMPS"/>
      <sheetName val="2. 담보명세"/>
      <sheetName val="마케팅예산"/>
      <sheetName val="수정사항"/>
      <sheetName val="대상(22)"/>
      <sheetName val="환율"/>
      <sheetName val="추정PL_1안"/>
      <sheetName val="HR 8.PJ건강"/>
      <sheetName val="HR 1.PJ기본급"/>
      <sheetName val="HR 2.PJ상여"/>
      <sheetName val="5월"/>
      <sheetName val="분당임차변경"/>
      <sheetName val="LIST"/>
      <sheetName val="생산량"/>
      <sheetName val="연체대출_(2)"/>
      <sheetName val="6_취합중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유가증권의평가"/>
      <sheetName val="INFO"/>
      <sheetName val="조회총괄"/>
      <sheetName val="성과급테이블"/>
      <sheetName val="세금"/>
      <sheetName val="코드목록"/>
      <sheetName val="신규구입자산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00-03.익스포져"/>
      <sheetName val="3.판관비명세서"/>
      <sheetName val="____"/>
      <sheetName val="평산_v1.xlsx"/>
      <sheetName val="분개장"/>
      <sheetName val="COMBINED"/>
      <sheetName val="VALSTAT"/>
      <sheetName val="C(재고)"/>
      <sheetName val="예산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채권(하반기)"/>
      <sheetName val="BOD Plan"/>
      <sheetName val="2001Org"/>
      <sheetName val="US Codes"/>
      <sheetName val="전체내역"/>
      <sheetName val="자료"/>
      <sheetName val="상환익(2001년도)"/>
      <sheetName val="통합지보건전성(0201)"/>
      <sheetName val="유가증권현황"/>
      <sheetName val="기준"/>
      <sheetName val="무형자산명세"/>
      <sheetName val="WACC"/>
      <sheetName val="대출채권 Lead"/>
      <sheetName val="Sch9"/>
      <sheetName val="정의"/>
      <sheetName val="F45"/>
      <sheetName val="LeadSchedule"/>
      <sheetName val="ISB_Report"/>
      <sheetName val="내역서"/>
      <sheetName val="8월차잔"/>
      <sheetName val="99노임기준"/>
      <sheetName val="단가대비표"/>
      <sheetName val="일위대가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포장비"/>
      <sheetName val="CLAIM"/>
      <sheetName val="BSLA"/>
      <sheetName val="data"/>
      <sheetName val="Lead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전행순위"/>
      <sheetName val="11.경비실적(배부후)"/>
      <sheetName val="23.연간 이자비용"/>
      <sheetName val="14.2013년실적"/>
      <sheetName val="경리통보"/>
      <sheetName val="시험연구비상각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YHCODE"/>
      <sheetName val="実装LINE工程 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10K4"/>
      <sheetName val="발생집계"/>
      <sheetName val="BS(4)"/>
      <sheetName val="아파트 기성내역서"/>
      <sheetName val="2_지분법적용주식Leadsheet(회사제시)1"/>
      <sheetName val="Sheet87"/>
      <sheetName val="Sheet106"/>
      <sheetName val="Sheet752"/>
      <sheetName val="Sheet722"/>
      <sheetName val="sap`04.7.14"/>
      <sheetName val="회사정보"/>
      <sheetName val="은행"/>
      <sheetName val="개선안2"/>
      <sheetName val="개선안4"/>
      <sheetName val="배경"/>
      <sheetName val="목적"/>
      <sheetName val="TaxCalc"/>
      <sheetName val="1-1-2003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2_지분법적용주식Leadsheet(회사제시)2"/>
      <sheetName val="정공공사"/>
      <sheetName val="11월사업계획대실적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가격자료"/>
      <sheetName val="안산기계장치"/>
      <sheetName val="Project Table"/>
      <sheetName val="95월별매출"/>
      <sheetName val="기초코드"/>
      <sheetName val="목표세부명세"/>
      <sheetName val="카드"/>
      <sheetName val="Sheet110"/>
      <sheetName val="Sheet7522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기초자료"/>
      <sheetName val="감가상각LS (2)"/>
      <sheetName val="발전외"/>
      <sheetName val="임차보증금현황04.6.30"/>
      <sheetName val="(99)-상품제품수불 -본지점"/>
      <sheetName val="FORM01"/>
      <sheetName val="Carepaq"/>
      <sheetName val="OPT"/>
      <sheetName val="SV"/>
      <sheetName val="cash95"/>
      <sheetName val="Quarters"/>
      <sheetName val="oldSEG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Assumption"/>
      <sheetName val="Summary"/>
      <sheetName val="차주별 Cash Flow &amp; 차주별 낙찰대금(최종)"/>
      <sheetName val="I_3 상품및서비스위험"/>
      <sheetName val="I_2. 고객위험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Sheet113"/>
      <sheetName val="Sheet103"/>
      <sheetName val="신규건수2"/>
      <sheetName val="4월신규_new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9">
          <cell r="A9">
            <v>1010051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>
        <row r="9">
          <cell r="A9">
            <v>1010051</v>
          </cell>
        </row>
      </sheetData>
      <sheetData sheetId="585">
        <row r="9">
          <cell r="A9">
            <v>1010051</v>
          </cell>
        </row>
      </sheetData>
      <sheetData sheetId="586">
        <row r="9">
          <cell r="A9">
            <v>1010051</v>
          </cell>
        </row>
      </sheetData>
      <sheetData sheetId="587">
        <row r="9">
          <cell r="A9">
            <v>1010051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>
        <row r="9">
          <cell r="A9">
            <v>1010051</v>
          </cell>
        </row>
      </sheetData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>
        <row r="9">
          <cell r="A9">
            <v>1010051</v>
          </cell>
        </row>
      </sheetData>
      <sheetData sheetId="720">
        <row r="9">
          <cell r="A9">
            <v>1010051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 refreshError="1"/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>
        <row r="9">
          <cell r="A9">
            <v>1010051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>
        <row r="9">
          <cell r="A9">
            <v>1010051</v>
          </cell>
        </row>
      </sheetData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9">
          <cell r="A9">
            <v>1010051</v>
          </cell>
        </row>
      </sheetData>
      <sheetData sheetId="826"/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실사조정)총괄"/>
      <sheetName val="실사후분석(내역서단가기준)"/>
      <sheetName val="_실사조정_총괄"/>
      <sheetName val="KT국사간 전용단계"/>
      <sheetName val="재고list"/>
      <sheetName val="수정시산표"/>
      <sheetName val="연부97-1"/>
      <sheetName val="갑지1"/>
      <sheetName val="인부임"/>
      <sheetName val="비고"/>
      <sheetName val="계약내역"/>
      <sheetName val="계약내역.XLS"/>
      <sheetName val="LIS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  <sheetName val="대환취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) Highlights"/>
      <sheetName val="(2) Premium"/>
      <sheetName val="(3) UW Income"/>
      <sheetName val="(4) Investment"/>
      <sheetName val="(5) IS"/>
      <sheetName val="(6) BS"/>
      <sheetName val="메일첨부_영문"/>
      <sheetName val="메일첨부_국문"/>
      <sheetName val="cover_Q"/>
      <sheetName val="(1) Highlights_Q"/>
      <sheetName val="(2) Premium_Q"/>
      <sheetName val="(3) UW Income_Q"/>
      <sheetName val="(4) Investment_Q"/>
      <sheetName val="(5) IS_Q"/>
      <sheetName val="(6) BS_Q"/>
      <sheetName val="(7) ETC"/>
      <sheetName val="#Full BS (2509)_당월"/>
      <sheetName val="#Full IS (2509)_당월"/>
      <sheetName val="#사업실적표_AI672(2509)_17당월누계"/>
      <sheetName val="#사업실적표_AI672(2409)_17전년당월누계"/>
      <sheetName val="#AI059(2509)_당월누계(천원)"/>
      <sheetName val="#전년당월_Full BS (2409)"/>
      <sheetName val="#전년당월_Full IS (2409)"/>
      <sheetName val="$ Full BS (2412)_전년말"/>
      <sheetName val="$ Full IS (2412)_전년말"/>
      <sheetName val="$ Full BS (2312)"/>
      <sheetName val="(참고) 손해율_IFRS4기준"/>
      <sheetName val="공시율예실차"/>
      <sheetName val="영업일수 쿼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E5">
            <v>2025</v>
          </cell>
          <cell r="J5">
            <v>2024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0">
          <cell r="B20">
            <v>2118633755822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) Highlights"/>
      <sheetName val="(2) Premium"/>
      <sheetName val="(3) UW Income"/>
      <sheetName val="(4) Investment"/>
      <sheetName val="(5) IS"/>
      <sheetName val="(6) BS"/>
      <sheetName val="메일첨부_영문"/>
      <sheetName val="메일첨부_국문"/>
      <sheetName val="cover_Q"/>
      <sheetName val="(1) Highlights_Q"/>
      <sheetName val="(2) Premium_Q"/>
      <sheetName val="(3) UW Income_Q"/>
      <sheetName val="(4) Investment_Q"/>
      <sheetName val="(5) IS_Q"/>
      <sheetName val="(6) BS_Q"/>
      <sheetName val="(7) ETC"/>
      <sheetName val="#Full BS (2506)_당월"/>
      <sheetName val="#Full IS (2506)_당월"/>
      <sheetName val="#사업실적표_AI672(2506)_17당월누계"/>
      <sheetName val="#사업실적표_AI672(2406)_17전년당월누계"/>
      <sheetName val="#AI059(2506)_당월누계(천원)"/>
      <sheetName val="#전년당월_Full BS (2406)"/>
      <sheetName val="#전년당월_Full IS (2406)"/>
      <sheetName val="$ Full BS (2412)_전년말"/>
      <sheetName val="$ Full IS (2412)_전년말"/>
      <sheetName val="$ Full BS (2312)"/>
      <sheetName val="(참고) 손해율_IFRS4기준"/>
      <sheetName val="공시율예실차"/>
      <sheetName val="영업일수 쿼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F6" t="str">
            <v>25.2Q</v>
          </cell>
        </row>
      </sheetData>
      <sheetData sheetId="12"/>
      <sheetData sheetId="13">
        <row r="5">
          <cell r="D5" t="str">
            <v>25.1Q</v>
          </cell>
          <cell r="E5">
            <v>2025</v>
          </cell>
          <cell r="J5">
            <v>2024</v>
          </cell>
        </row>
      </sheetData>
      <sheetData sheetId="14">
        <row r="5">
          <cell r="D5" t="str">
            <v>2025. 6월 말</v>
          </cell>
        </row>
      </sheetData>
      <sheetData sheetId="15"/>
      <sheetData sheetId="16">
        <row r="20">
          <cell r="B20">
            <v>1393293469204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S34"/>
  <sheetViews>
    <sheetView showGridLines="0" tabSelected="1" view="pageBreakPreview" zoomScale="85" zoomScaleNormal="100" zoomScaleSheetLayoutView="85" workbookViewId="0"/>
  </sheetViews>
  <sheetFormatPr defaultRowHeight="16.5" customHeight="1"/>
  <cols>
    <col min="1" max="1" width="1.625" style="290" customWidth="1"/>
    <col min="2" max="3" width="8.125" style="290" customWidth="1"/>
    <col min="4" max="4" width="2.625" style="290" customWidth="1"/>
    <col min="5" max="8" width="10.125" style="290" customWidth="1"/>
    <col min="9" max="9" width="2.625" style="290" customWidth="1"/>
    <col min="10" max="11" width="8.125" style="290" customWidth="1"/>
    <col min="12" max="12" width="1.75" style="290" customWidth="1"/>
    <col min="13" max="13" width="9.5" style="290" customWidth="1"/>
    <col min="14" max="256" width="9" style="290"/>
    <col min="257" max="257" width="1.625" style="290" customWidth="1"/>
    <col min="258" max="259" width="8.125" style="290" customWidth="1"/>
    <col min="260" max="260" width="2.625" style="290" customWidth="1"/>
    <col min="261" max="264" width="10.125" style="290" customWidth="1"/>
    <col min="265" max="265" width="2.625" style="290" customWidth="1"/>
    <col min="266" max="267" width="8.125" style="290" customWidth="1"/>
    <col min="268" max="268" width="1.75" style="290" customWidth="1"/>
    <col min="269" max="269" width="9.5" style="290" customWidth="1"/>
    <col min="270" max="512" width="9" style="290"/>
    <col min="513" max="513" width="1.625" style="290" customWidth="1"/>
    <col min="514" max="515" width="8.125" style="290" customWidth="1"/>
    <col min="516" max="516" width="2.625" style="290" customWidth="1"/>
    <col min="517" max="520" width="10.125" style="290" customWidth="1"/>
    <col min="521" max="521" width="2.625" style="290" customWidth="1"/>
    <col min="522" max="523" width="8.125" style="290" customWidth="1"/>
    <col min="524" max="524" width="1.75" style="290" customWidth="1"/>
    <col min="525" max="525" width="9.5" style="290" customWidth="1"/>
    <col min="526" max="768" width="9" style="290"/>
    <col min="769" max="769" width="1.625" style="290" customWidth="1"/>
    <col min="770" max="771" width="8.125" style="290" customWidth="1"/>
    <col min="772" max="772" width="2.625" style="290" customWidth="1"/>
    <col min="773" max="776" width="10.125" style="290" customWidth="1"/>
    <col min="777" max="777" width="2.625" style="290" customWidth="1"/>
    <col min="778" max="779" width="8.125" style="290" customWidth="1"/>
    <col min="780" max="780" width="1.75" style="290" customWidth="1"/>
    <col min="781" max="781" width="9.5" style="290" customWidth="1"/>
    <col min="782" max="1024" width="9" style="290"/>
    <col min="1025" max="1025" width="1.625" style="290" customWidth="1"/>
    <col min="1026" max="1027" width="8.125" style="290" customWidth="1"/>
    <col min="1028" max="1028" width="2.625" style="290" customWidth="1"/>
    <col min="1029" max="1032" width="10.125" style="290" customWidth="1"/>
    <col min="1033" max="1033" width="2.625" style="290" customWidth="1"/>
    <col min="1034" max="1035" width="8.125" style="290" customWidth="1"/>
    <col min="1036" max="1036" width="1.75" style="290" customWidth="1"/>
    <col min="1037" max="1037" width="9.5" style="290" customWidth="1"/>
    <col min="1038" max="1280" width="9" style="290"/>
    <col min="1281" max="1281" width="1.625" style="290" customWidth="1"/>
    <col min="1282" max="1283" width="8.125" style="290" customWidth="1"/>
    <col min="1284" max="1284" width="2.625" style="290" customWidth="1"/>
    <col min="1285" max="1288" width="10.125" style="290" customWidth="1"/>
    <col min="1289" max="1289" width="2.625" style="290" customWidth="1"/>
    <col min="1290" max="1291" width="8.125" style="290" customWidth="1"/>
    <col min="1292" max="1292" width="1.75" style="290" customWidth="1"/>
    <col min="1293" max="1293" width="9.5" style="290" customWidth="1"/>
    <col min="1294" max="1536" width="9" style="290"/>
    <col min="1537" max="1537" width="1.625" style="290" customWidth="1"/>
    <col min="1538" max="1539" width="8.125" style="290" customWidth="1"/>
    <col min="1540" max="1540" width="2.625" style="290" customWidth="1"/>
    <col min="1541" max="1544" width="10.125" style="290" customWidth="1"/>
    <col min="1545" max="1545" width="2.625" style="290" customWidth="1"/>
    <col min="1546" max="1547" width="8.125" style="290" customWidth="1"/>
    <col min="1548" max="1548" width="1.75" style="290" customWidth="1"/>
    <col min="1549" max="1549" width="9.5" style="290" customWidth="1"/>
    <col min="1550" max="1792" width="9" style="290"/>
    <col min="1793" max="1793" width="1.625" style="290" customWidth="1"/>
    <col min="1794" max="1795" width="8.125" style="290" customWidth="1"/>
    <col min="1796" max="1796" width="2.625" style="290" customWidth="1"/>
    <col min="1797" max="1800" width="10.125" style="290" customWidth="1"/>
    <col min="1801" max="1801" width="2.625" style="290" customWidth="1"/>
    <col min="1802" max="1803" width="8.125" style="290" customWidth="1"/>
    <col min="1804" max="1804" width="1.75" style="290" customWidth="1"/>
    <col min="1805" max="1805" width="9.5" style="290" customWidth="1"/>
    <col min="1806" max="2048" width="9" style="290"/>
    <col min="2049" max="2049" width="1.625" style="290" customWidth="1"/>
    <col min="2050" max="2051" width="8.125" style="290" customWidth="1"/>
    <col min="2052" max="2052" width="2.625" style="290" customWidth="1"/>
    <col min="2053" max="2056" width="10.125" style="290" customWidth="1"/>
    <col min="2057" max="2057" width="2.625" style="290" customWidth="1"/>
    <col min="2058" max="2059" width="8.125" style="290" customWidth="1"/>
    <col min="2060" max="2060" width="1.75" style="290" customWidth="1"/>
    <col min="2061" max="2061" width="9.5" style="290" customWidth="1"/>
    <col min="2062" max="2304" width="9" style="290"/>
    <col min="2305" max="2305" width="1.625" style="290" customWidth="1"/>
    <col min="2306" max="2307" width="8.125" style="290" customWidth="1"/>
    <col min="2308" max="2308" width="2.625" style="290" customWidth="1"/>
    <col min="2309" max="2312" width="10.125" style="290" customWidth="1"/>
    <col min="2313" max="2313" width="2.625" style="290" customWidth="1"/>
    <col min="2314" max="2315" width="8.125" style="290" customWidth="1"/>
    <col min="2316" max="2316" width="1.75" style="290" customWidth="1"/>
    <col min="2317" max="2317" width="9.5" style="290" customWidth="1"/>
    <col min="2318" max="2560" width="9" style="290"/>
    <col min="2561" max="2561" width="1.625" style="290" customWidth="1"/>
    <col min="2562" max="2563" width="8.125" style="290" customWidth="1"/>
    <col min="2564" max="2564" width="2.625" style="290" customWidth="1"/>
    <col min="2565" max="2568" width="10.125" style="290" customWidth="1"/>
    <col min="2569" max="2569" width="2.625" style="290" customWidth="1"/>
    <col min="2570" max="2571" width="8.125" style="290" customWidth="1"/>
    <col min="2572" max="2572" width="1.75" style="290" customWidth="1"/>
    <col min="2573" max="2573" width="9.5" style="290" customWidth="1"/>
    <col min="2574" max="2816" width="9" style="290"/>
    <col min="2817" max="2817" width="1.625" style="290" customWidth="1"/>
    <col min="2818" max="2819" width="8.125" style="290" customWidth="1"/>
    <col min="2820" max="2820" width="2.625" style="290" customWidth="1"/>
    <col min="2821" max="2824" width="10.125" style="290" customWidth="1"/>
    <col min="2825" max="2825" width="2.625" style="290" customWidth="1"/>
    <col min="2826" max="2827" width="8.125" style="290" customWidth="1"/>
    <col min="2828" max="2828" width="1.75" style="290" customWidth="1"/>
    <col min="2829" max="2829" width="9.5" style="290" customWidth="1"/>
    <col min="2830" max="3072" width="9" style="290"/>
    <col min="3073" max="3073" width="1.625" style="290" customWidth="1"/>
    <col min="3074" max="3075" width="8.125" style="290" customWidth="1"/>
    <col min="3076" max="3076" width="2.625" style="290" customWidth="1"/>
    <col min="3077" max="3080" width="10.125" style="290" customWidth="1"/>
    <col min="3081" max="3081" width="2.625" style="290" customWidth="1"/>
    <col min="3082" max="3083" width="8.125" style="290" customWidth="1"/>
    <col min="3084" max="3084" width="1.75" style="290" customWidth="1"/>
    <col min="3085" max="3085" width="9.5" style="290" customWidth="1"/>
    <col min="3086" max="3328" width="9" style="290"/>
    <col min="3329" max="3329" width="1.625" style="290" customWidth="1"/>
    <col min="3330" max="3331" width="8.125" style="290" customWidth="1"/>
    <col min="3332" max="3332" width="2.625" style="290" customWidth="1"/>
    <col min="3333" max="3336" width="10.125" style="290" customWidth="1"/>
    <col min="3337" max="3337" width="2.625" style="290" customWidth="1"/>
    <col min="3338" max="3339" width="8.125" style="290" customWidth="1"/>
    <col min="3340" max="3340" width="1.75" style="290" customWidth="1"/>
    <col min="3341" max="3341" width="9.5" style="290" customWidth="1"/>
    <col min="3342" max="3584" width="9" style="290"/>
    <col min="3585" max="3585" width="1.625" style="290" customWidth="1"/>
    <col min="3586" max="3587" width="8.125" style="290" customWidth="1"/>
    <col min="3588" max="3588" width="2.625" style="290" customWidth="1"/>
    <col min="3589" max="3592" width="10.125" style="290" customWidth="1"/>
    <col min="3593" max="3593" width="2.625" style="290" customWidth="1"/>
    <col min="3594" max="3595" width="8.125" style="290" customWidth="1"/>
    <col min="3596" max="3596" width="1.75" style="290" customWidth="1"/>
    <col min="3597" max="3597" width="9.5" style="290" customWidth="1"/>
    <col min="3598" max="3840" width="9" style="290"/>
    <col min="3841" max="3841" width="1.625" style="290" customWidth="1"/>
    <col min="3842" max="3843" width="8.125" style="290" customWidth="1"/>
    <col min="3844" max="3844" width="2.625" style="290" customWidth="1"/>
    <col min="3845" max="3848" width="10.125" style="290" customWidth="1"/>
    <col min="3849" max="3849" width="2.625" style="290" customWidth="1"/>
    <col min="3850" max="3851" width="8.125" style="290" customWidth="1"/>
    <col min="3852" max="3852" width="1.75" style="290" customWidth="1"/>
    <col min="3853" max="3853" width="9.5" style="290" customWidth="1"/>
    <col min="3854" max="4096" width="9" style="290"/>
    <col min="4097" max="4097" width="1.625" style="290" customWidth="1"/>
    <col min="4098" max="4099" width="8.125" style="290" customWidth="1"/>
    <col min="4100" max="4100" width="2.625" style="290" customWidth="1"/>
    <col min="4101" max="4104" width="10.125" style="290" customWidth="1"/>
    <col min="4105" max="4105" width="2.625" style="290" customWidth="1"/>
    <col min="4106" max="4107" width="8.125" style="290" customWidth="1"/>
    <col min="4108" max="4108" width="1.75" style="290" customWidth="1"/>
    <col min="4109" max="4109" width="9.5" style="290" customWidth="1"/>
    <col min="4110" max="4352" width="9" style="290"/>
    <col min="4353" max="4353" width="1.625" style="290" customWidth="1"/>
    <col min="4354" max="4355" width="8.125" style="290" customWidth="1"/>
    <col min="4356" max="4356" width="2.625" style="290" customWidth="1"/>
    <col min="4357" max="4360" width="10.125" style="290" customWidth="1"/>
    <col min="4361" max="4361" width="2.625" style="290" customWidth="1"/>
    <col min="4362" max="4363" width="8.125" style="290" customWidth="1"/>
    <col min="4364" max="4364" width="1.75" style="290" customWidth="1"/>
    <col min="4365" max="4365" width="9.5" style="290" customWidth="1"/>
    <col min="4366" max="4608" width="9" style="290"/>
    <col min="4609" max="4609" width="1.625" style="290" customWidth="1"/>
    <col min="4610" max="4611" width="8.125" style="290" customWidth="1"/>
    <col min="4612" max="4612" width="2.625" style="290" customWidth="1"/>
    <col min="4613" max="4616" width="10.125" style="290" customWidth="1"/>
    <col min="4617" max="4617" width="2.625" style="290" customWidth="1"/>
    <col min="4618" max="4619" width="8.125" style="290" customWidth="1"/>
    <col min="4620" max="4620" width="1.75" style="290" customWidth="1"/>
    <col min="4621" max="4621" width="9.5" style="290" customWidth="1"/>
    <col min="4622" max="4864" width="9" style="290"/>
    <col min="4865" max="4865" width="1.625" style="290" customWidth="1"/>
    <col min="4866" max="4867" width="8.125" style="290" customWidth="1"/>
    <col min="4868" max="4868" width="2.625" style="290" customWidth="1"/>
    <col min="4869" max="4872" width="10.125" style="290" customWidth="1"/>
    <col min="4873" max="4873" width="2.625" style="290" customWidth="1"/>
    <col min="4874" max="4875" width="8.125" style="290" customWidth="1"/>
    <col min="4876" max="4876" width="1.75" style="290" customWidth="1"/>
    <col min="4877" max="4877" width="9.5" style="290" customWidth="1"/>
    <col min="4878" max="5120" width="9" style="290"/>
    <col min="5121" max="5121" width="1.625" style="290" customWidth="1"/>
    <col min="5122" max="5123" width="8.125" style="290" customWidth="1"/>
    <col min="5124" max="5124" width="2.625" style="290" customWidth="1"/>
    <col min="5125" max="5128" width="10.125" style="290" customWidth="1"/>
    <col min="5129" max="5129" width="2.625" style="290" customWidth="1"/>
    <col min="5130" max="5131" width="8.125" style="290" customWidth="1"/>
    <col min="5132" max="5132" width="1.75" style="290" customWidth="1"/>
    <col min="5133" max="5133" width="9.5" style="290" customWidth="1"/>
    <col min="5134" max="5376" width="9" style="290"/>
    <col min="5377" max="5377" width="1.625" style="290" customWidth="1"/>
    <col min="5378" max="5379" width="8.125" style="290" customWidth="1"/>
    <col min="5380" max="5380" width="2.625" style="290" customWidth="1"/>
    <col min="5381" max="5384" width="10.125" style="290" customWidth="1"/>
    <col min="5385" max="5385" width="2.625" style="290" customWidth="1"/>
    <col min="5386" max="5387" width="8.125" style="290" customWidth="1"/>
    <col min="5388" max="5388" width="1.75" style="290" customWidth="1"/>
    <col min="5389" max="5389" width="9.5" style="290" customWidth="1"/>
    <col min="5390" max="5632" width="9" style="290"/>
    <col min="5633" max="5633" width="1.625" style="290" customWidth="1"/>
    <col min="5634" max="5635" width="8.125" style="290" customWidth="1"/>
    <col min="5636" max="5636" width="2.625" style="290" customWidth="1"/>
    <col min="5637" max="5640" width="10.125" style="290" customWidth="1"/>
    <col min="5641" max="5641" width="2.625" style="290" customWidth="1"/>
    <col min="5642" max="5643" width="8.125" style="290" customWidth="1"/>
    <col min="5644" max="5644" width="1.75" style="290" customWidth="1"/>
    <col min="5645" max="5645" width="9.5" style="290" customWidth="1"/>
    <col min="5646" max="5888" width="9" style="290"/>
    <col min="5889" max="5889" width="1.625" style="290" customWidth="1"/>
    <col min="5890" max="5891" width="8.125" style="290" customWidth="1"/>
    <col min="5892" max="5892" width="2.625" style="290" customWidth="1"/>
    <col min="5893" max="5896" width="10.125" style="290" customWidth="1"/>
    <col min="5897" max="5897" width="2.625" style="290" customWidth="1"/>
    <col min="5898" max="5899" width="8.125" style="290" customWidth="1"/>
    <col min="5900" max="5900" width="1.75" style="290" customWidth="1"/>
    <col min="5901" max="5901" width="9.5" style="290" customWidth="1"/>
    <col min="5902" max="6144" width="9" style="290"/>
    <col min="6145" max="6145" width="1.625" style="290" customWidth="1"/>
    <col min="6146" max="6147" width="8.125" style="290" customWidth="1"/>
    <col min="6148" max="6148" width="2.625" style="290" customWidth="1"/>
    <col min="6149" max="6152" width="10.125" style="290" customWidth="1"/>
    <col min="6153" max="6153" width="2.625" style="290" customWidth="1"/>
    <col min="6154" max="6155" width="8.125" style="290" customWidth="1"/>
    <col min="6156" max="6156" width="1.75" style="290" customWidth="1"/>
    <col min="6157" max="6157" width="9.5" style="290" customWidth="1"/>
    <col min="6158" max="6400" width="9" style="290"/>
    <col min="6401" max="6401" width="1.625" style="290" customWidth="1"/>
    <col min="6402" max="6403" width="8.125" style="290" customWidth="1"/>
    <col min="6404" max="6404" width="2.625" style="290" customWidth="1"/>
    <col min="6405" max="6408" width="10.125" style="290" customWidth="1"/>
    <col min="6409" max="6409" width="2.625" style="290" customWidth="1"/>
    <col min="6410" max="6411" width="8.125" style="290" customWidth="1"/>
    <col min="6412" max="6412" width="1.75" style="290" customWidth="1"/>
    <col min="6413" max="6413" width="9.5" style="290" customWidth="1"/>
    <col min="6414" max="6656" width="9" style="290"/>
    <col min="6657" max="6657" width="1.625" style="290" customWidth="1"/>
    <col min="6658" max="6659" width="8.125" style="290" customWidth="1"/>
    <col min="6660" max="6660" width="2.625" style="290" customWidth="1"/>
    <col min="6661" max="6664" width="10.125" style="290" customWidth="1"/>
    <col min="6665" max="6665" width="2.625" style="290" customWidth="1"/>
    <col min="6666" max="6667" width="8.125" style="290" customWidth="1"/>
    <col min="6668" max="6668" width="1.75" style="290" customWidth="1"/>
    <col min="6669" max="6669" width="9.5" style="290" customWidth="1"/>
    <col min="6670" max="6912" width="9" style="290"/>
    <col min="6913" max="6913" width="1.625" style="290" customWidth="1"/>
    <col min="6914" max="6915" width="8.125" style="290" customWidth="1"/>
    <col min="6916" max="6916" width="2.625" style="290" customWidth="1"/>
    <col min="6917" max="6920" width="10.125" style="290" customWidth="1"/>
    <col min="6921" max="6921" width="2.625" style="290" customWidth="1"/>
    <col min="6922" max="6923" width="8.125" style="290" customWidth="1"/>
    <col min="6924" max="6924" width="1.75" style="290" customWidth="1"/>
    <col min="6925" max="6925" width="9.5" style="290" customWidth="1"/>
    <col min="6926" max="7168" width="9" style="290"/>
    <col min="7169" max="7169" width="1.625" style="290" customWidth="1"/>
    <col min="7170" max="7171" width="8.125" style="290" customWidth="1"/>
    <col min="7172" max="7172" width="2.625" style="290" customWidth="1"/>
    <col min="7173" max="7176" width="10.125" style="290" customWidth="1"/>
    <col min="7177" max="7177" width="2.625" style="290" customWidth="1"/>
    <col min="7178" max="7179" width="8.125" style="290" customWidth="1"/>
    <col min="7180" max="7180" width="1.75" style="290" customWidth="1"/>
    <col min="7181" max="7181" width="9.5" style="290" customWidth="1"/>
    <col min="7182" max="7424" width="9" style="290"/>
    <col min="7425" max="7425" width="1.625" style="290" customWidth="1"/>
    <col min="7426" max="7427" width="8.125" style="290" customWidth="1"/>
    <col min="7428" max="7428" width="2.625" style="290" customWidth="1"/>
    <col min="7429" max="7432" width="10.125" style="290" customWidth="1"/>
    <col min="7433" max="7433" width="2.625" style="290" customWidth="1"/>
    <col min="7434" max="7435" width="8.125" style="290" customWidth="1"/>
    <col min="7436" max="7436" width="1.75" style="290" customWidth="1"/>
    <col min="7437" max="7437" width="9.5" style="290" customWidth="1"/>
    <col min="7438" max="7680" width="9" style="290"/>
    <col min="7681" max="7681" width="1.625" style="290" customWidth="1"/>
    <col min="7682" max="7683" width="8.125" style="290" customWidth="1"/>
    <col min="7684" max="7684" width="2.625" style="290" customWidth="1"/>
    <col min="7685" max="7688" width="10.125" style="290" customWidth="1"/>
    <col min="7689" max="7689" width="2.625" style="290" customWidth="1"/>
    <col min="7690" max="7691" width="8.125" style="290" customWidth="1"/>
    <col min="7692" max="7692" width="1.75" style="290" customWidth="1"/>
    <col min="7693" max="7693" width="9.5" style="290" customWidth="1"/>
    <col min="7694" max="7936" width="9" style="290"/>
    <col min="7937" max="7937" width="1.625" style="290" customWidth="1"/>
    <col min="7938" max="7939" width="8.125" style="290" customWidth="1"/>
    <col min="7940" max="7940" width="2.625" style="290" customWidth="1"/>
    <col min="7941" max="7944" width="10.125" style="290" customWidth="1"/>
    <col min="7945" max="7945" width="2.625" style="290" customWidth="1"/>
    <col min="7946" max="7947" width="8.125" style="290" customWidth="1"/>
    <col min="7948" max="7948" width="1.75" style="290" customWidth="1"/>
    <col min="7949" max="7949" width="9.5" style="290" customWidth="1"/>
    <col min="7950" max="8192" width="9" style="290"/>
    <col min="8193" max="8193" width="1.625" style="290" customWidth="1"/>
    <col min="8194" max="8195" width="8.125" style="290" customWidth="1"/>
    <col min="8196" max="8196" width="2.625" style="290" customWidth="1"/>
    <col min="8197" max="8200" width="10.125" style="290" customWidth="1"/>
    <col min="8201" max="8201" width="2.625" style="290" customWidth="1"/>
    <col min="8202" max="8203" width="8.125" style="290" customWidth="1"/>
    <col min="8204" max="8204" width="1.75" style="290" customWidth="1"/>
    <col min="8205" max="8205" width="9.5" style="290" customWidth="1"/>
    <col min="8206" max="8448" width="9" style="290"/>
    <col min="8449" max="8449" width="1.625" style="290" customWidth="1"/>
    <col min="8450" max="8451" width="8.125" style="290" customWidth="1"/>
    <col min="8452" max="8452" width="2.625" style="290" customWidth="1"/>
    <col min="8453" max="8456" width="10.125" style="290" customWidth="1"/>
    <col min="8457" max="8457" width="2.625" style="290" customWidth="1"/>
    <col min="8458" max="8459" width="8.125" style="290" customWidth="1"/>
    <col min="8460" max="8460" width="1.75" style="290" customWidth="1"/>
    <col min="8461" max="8461" width="9.5" style="290" customWidth="1"/>
    <col min="8462" max="8704" width="9" style="290"/>
    <col min="8705" max="8705" width="1.625" style="290" customWidth="1"/>
    <col min="8706" max="8707" width="8.125" style="290" customWidth="1"/>
    <col min="8708" max="8708" width="2.625" style="290" customWidth="1"/>
    <col min="8709" max="8712" width="10.125" style="290" customWidth="1"/>
    <col min="8713" max="8713" width="2.625" style="290" customWidth="1"/>
    <col min="8714" max="8715" width="8.125" style="290" customWidth="1"/>
    <col min="8716" max="8716" width="1.75" style="290" customWidth="1"/>
    <col min="8717" max="8717" width="9.5" style="290" customWidth="1"/>
    <col min="8718" max="8960" width="9" style="290"/>
    <col min="8961" max="8961" width="1.625" style="290" customWidth="1"/>
    <col min="8962" max="8963" width="8.125" style="290" customWidth="1"/>
    <col min="8964" max="8964" width="2.625" style="290" customWidth="1"/>
    <col min="8965" max="8968" width="10.125" style="290" customWidth="1"/>
    <col min="8969" max="8969" width="2.625" style="290" customWidth="1"/>
    <col min="8970" max="8971" width="8.125" style="290" customWidth="1"/>
    <col min="8972" max="8972" width="1.75" style="290" customWidth="1"/>
    <col min="8973" max="8973" width="9.5" style="290" customWidth="1"/>
    <col min="8974" max="9216" width="9" style="290"/>
    <col min="9217" max="9217" width="1.625" style="290" customWidth="1"/>
    <col min="9218" max="9219" width="8.125" style="290" customWidth="1"/>
    <col min="9220" max="9220" width="2.625" style="290" customWidth="1"/>
    <col min="9221" max="9224" width="10.125" style="290" customWidth="1"/>
    <col min="9225" max="9225" width="2.625" style="290" customWidth="1"/>
    <col min="9226" max="9227" width="8.125" style="290" customWidth="1"/>
    <col min="9228" max="9228" width="1.75" style="290" customWidth="1"/>
    <col min="9229" max="9229" width="9.5" style="290" customWidth="1"/>
    <col min="9230" max="9472" width="9" style="290"/>
    <col min="9473" max="9473" width="1.625" style="290" customWidth="1"/>
    <col min="9474" max="9475" width="8.125" style="290" customWidth="1"/>
    <col min="9476" max="9476" width="2.625" style="290" customWidth="1"/>
    <col min="9477" max="9480" width="10.125" style="290" customWidth="1"/>
    <col min="9481" max="9481" width="2.625" style="290" customWidth="1"/>
    <col min="9482" max="9483" width="8.125" style="290" customWidth="1"/>
    <col min="9484" max="9484" width="1.75" style="290" customWidth="1"/>
    <col min="9485" max="9485" width="9.5" style="290" customWidth="1"/>
    <col min="9486" max="9728" width="9" style="290"/>
    <col min="9729" max="9729" width="1.625" style="290" customWidth="1"/>
    <col min="9730" max="9731" width="8.125" style="290" customWidth="1"/>
    <col min="9732" max="9732" width="2.625" style="290" customWidth="1"/>
    <col min="9733" max="9736" width="10.125" style="290" customWidth="1"/>
    <col min="9737" max="9737" width="2.625" style="290" customWidth="1"/>
    <col min="9738" max="9739" width="8.125" style="290" customWidth="1"/>
    <col min="9740" max="9740" width="1.75" style="290" customWidth="1"/>
    <col min="9741" max="9741" width="9.5" style="290" customWidth="1"/>
    <col min="9742" max="9984" width="9" style="290"/>
    <col min="9985" max="9985" width="1.625" style="290" customWidth="1"/>
    <col min="9986" max="9987" width="8.125" style="290" customWidth="1"/>
    <col min="9988" max="9988" width="2.625" style="290" customWidth="1"/>
    <col min="9989" max="9992" width="10.125" style="290" customWidth="1"/>
    <col min="9993" max="9993" width="2.625" style="290" customWidth="1"/>
    <col min="9994" max="9995" width="8.125" style="290" customWidth="1"/>
    <col min="9996" max="9996" width="1.75" style="290" customWidth="1"/>
    <col min="9997" max="9997" width="9.5" style="290" customWidth="1"/>
    <col min="9998" max="10240" width="9" style="290"/>
    <col min="10241" max="10241" width="1.625" style="290" customWidth="1"/>
    <col min="10242" max="10243" width="8.125" style="290" customWidth="1"/>
    <col min="10244" max="10244" width="2.625" style="290" customWidth="1"/>
    <col min="10245" max="10248" width="10.125" style="290" customWidth="1"/>
    <col min="10249" max="10249" width="2.625" style="290" customWidth="1"/>
    <col min="10250" max="10251" width="8.125" style="290" customWidth="1"/>
    <col min="10252" max="10252" width="1.75" style="290" customWidth="1"/>
    <col min="10253" max="10253" width="9.5" style="290" customWidth="1"/>
    <col min="10254" max="10496" width="9" style="290"/>
    <col min="10497" max="10497" width="1.625" style="290" customWidth="1"/>
    <col min="10498" max="10499" width="8.125" style="290" customWidth="1"/>
    <col min="10500" max="10500" width="2.625" style="290" customWidth="1"/>
    <col min="10501" max="10504" width="10.125" style="290" customWidth="1"/>
    <col min="10505" max="10505" width="2.625" style="290" customWidth="1"/>
    <col min="10506" max="10507" width="8.125" style="290" customWidth="1"/>
    <col min="10508" max="10508" width="1.75" style="290" customWidth="1"/>
    <col min="10509" max="10509" width="9.5" style="290" customWidth="1"/>
    <col min="10510" max="10752" width="9" style="290"/>
    <col min="10753" max="10753" width="1.625" style="290" customWidth="1"/>
    <col min="10754" max="10755" width="8.125" style="290" customWidth="1"/>
    <col min="10756" max="10756" width="2.625" style="290" customWidth="1"/>
    <col min="10757" max="10760" width="10.125" style="290" customWidth="1"/>
    <col min="10761" max="10761" width="2.625" style="290" customWidth="1"/>
    <col min="10762" max="10763" width="8.125" style="290" customWidth="1"/>
    <col min="10764" max="10764" width="1.75" style="290" customWidth="1"/>
    <col min="10765" max="10765" width="9.5" style="290" customWidth="1"/>
    <col min="10766" max="11008" width="9" style="290"/>
    <col min="11009" max="11009" width="1.625" style="290" customWidth="1"/>
    <col min="11010" max="11011" width="8.125" style="290" customWidth="1"/>
    <col min="11012" max="11012" width="2.625" style="290" customWidth="1"/>
    <col min="11013" max="11016" width="10.125" style="290" customWidth="1"/>
    <col min="11017" max="11017" width="2.625" style="290" customWidth="1"/>
    <col min="11018" max="11019" width="8.125" style="290" customWidth="1"/>
    <col min="11020" max="11020" width="1.75" style="290" customWidth="1"/>
    <col min="11021" max="11021" width="9.5" style="290" customWidth="1"/>
    <col min="11022" max="11264" width="9" style="290"/>
    <col min="11265" max="11265" width="1.625" style="290" customWidth="1"/>
    <col min="11266" max="11267" width="8.125" style="290" customWidth="1"/>
    <col min="11268" max="11268" width="2.625" style="290" customWidth="1"/>
    <col min="11269" max="11272" width="10.125" style="290" customWidth="1"/>
    <col min="11273" max="11273" width="2.625" style="290" customWidth="1"/>
    <col min="11274" max="11275" width="8.125" style="290" customWidth="1"/>
    <col min="11276" max="11276" width="1.75" style="290" customWidth="1"/>
    <col min="11277" max="11277" width="9.5" style="290" customWidth="1"/>
    <col min="11278" max="11520" width="9" style="290"/>
    <col min="11521" max="11521" width="1.625" style="290" customWidth="1"/>
    <col min="11522" max="11523" width="8.125" style="290" customWidth="1"/>
    <col min="11524" max="11524" width="2.625" style="290" customWidth="1"/>
    <col min="11525" max="11528" width="10.125" style="290" customWidth="1"/>
    <col min="11529" max="11529" width="2.625" style="290" customWidth="1"/>
    <col min="11530" max="11531" width="8.125" style="290" customWidth="1"/>
    <col min="11532" max="11532" width="1.75" style="290" customWidth="1"/>
    <col min="11533" max="11533" width="9.5" style="290" customWidth="1"/>
    <col min="11534" max="11776" width="9" style="290"/>
    <col min="11777" max="11777" width="1.625" style="290" customWidth="1"/>
    <col min="11778" max="11779" width="8.125" style="290" customWidth="1"/>
    <col min="11780" max="11780" width="2.625" style="290" customWidth="1"/>
    <col min="11781" max="11784" width="10.125" style="290" customWidth="1"/>
    <col min="11785" max="11785" width="2.625" style="290" customWidth="1"/>
    <col min="11786" max="11787" width="8.125" style="290" customWidth="1"/>
    <col min="11788" max="11788" width="1.75" style="290" customWidth="1"/>
    <col min="11789" max="11789" width="9.5" style="290" customWidth="1"/>
    <col min="11790" max="12032" width="9" style="290"/>
    <col min="12033" max="12033" width="1.625" style="290" customWidth="1"/>
    <col min="12034" max="12035" width="8.125" style="290" customWidth="1"/>
    <col min="12036" max="12036" width="2.625" style="290" customWidth="1"/>
    <col min="12037" max="12040" width="10.125" style="290" customWidth="1"/>
    <col min="12041" max="12041" width="2.625" style="290" customWidth="1"/>
    <col min="12042" max="12043" width="8.125" style="290" customWidth="1"/>
    <col min="12044" max="12044" width="1.75" style="290" customWidth="1"/>
    <col min="12045" max="12045" width="9.5" style="290" customWidth="1"/>
    <col min="12046" max="12288" width="9" style="290"/>
    <col min="12289" max="12289" width="1.625" style="290" customWidth="1"/>
    <col min="12290" max="12291" width="8.125" style="290" customWidth="1"/>
    <col min="12292" max="12292" width="2.625" style="290" customWidth="1"/>
    <col min="12293" max="12296" width="10.125" style="290" customWidth="1"/>
    <col min="12297" max="12297" width="2.625" style="290" customWidth="1"/>
    <col min="12298" max="12299" width="8.125" style="290" customWidth="1"/>
    <col min="12300" max="12300" width="1.75" style="290" customWidth="1"/>
    <col min="12301" max="12301" width="9.5" style="290" customWidth="1"/>
    <col min="12302" max="12544" width="9" style="290"/>
    <col min="12545" max="12545" width="1.625" style="290" customWidth="1"/>
    <col min="12546" max="12547" width="8.125" style="290" customWidth="1"/>
    <col min="12548" max="12548" width="2.625" style="290" customWidth="1"/>
    <col min="12549" max="12552" width="10.125" style="290" customWidth="1"/>
    <col min="12553" max="12553" width="2.625" style="290" customWidth="1"/>
    <col min="12554" max="12555" width="8.125" style="290" customWidth="1"/>
    <col min="12556" max="12556" width="1.75" style="290" customWidth="1"/>
    <col min="12557" max="12557" width="9.5" style="290" customWidth="1"/>
    <col min="12558" max="12800" width="9" style="290"/>
    <col min="12801" max="12801" width="1.625" style="290" customWidth="1"/>
    <col min="12802" max="12803" width="8.125" style="290" customWidth="1"/>
    <col min="12804" max="12804" width="2.625" style="290" customWidth="1"/>
    <col min="12805" max="12808" width="10.125" style="290" customWidth="1"/>
    <col min="12809" max="12809" width="2.625" style="290" customWidth="1"/>
    <col min="12810" max="12811" width="8.125" style="290" customWidth="1"/>
    <col min="12812" max="12812" width="1.75" style="290" customWidth="1"/>
    <col min="12813" max="12813" width="9.5" style="290" customWidth="1"/>
    <col min="12814" max="13056" width="9" style="290"/>
    <col min="13057" max="13057" width="1.625" style="290" customWidth="1"/>
    <col min="13058" max="13059" width="8.125" style="290" customWidth="1"/>
    <col min="13060" max="13060" width="2.625" style="290" customWidth="1"/>
    <col min="13061" max="13064" width="10.125" style="290" customWidth="1"/>
    <col min="13065" max="13065" width="2.625" style="290" customWidth="1"/>
    <col min="13066" max="13067" width="8.125" style="290" customWidth="1"/>
    <col min="13068" max="13068" width="1.75" style="290" customWidth="1"/>
    <col min="13069" max="13069" width="9.5" style="290" customWidth="1"/>
    <col min="13070" max="13312" width="9" style="290"/>
    <col min="13313" max="13313" width="1.625" style="290" customWidth="1"/>
    <col min="13314" max="13315" width="8.125" style="290" customWidth="1"/>
    <col min="13316" max="13316" width="2.625" style="290" customWidth="1"/>
    <col min="13317" max="13320" width="10.125" style="290" customWidth="1"/>
    <col min="13321" max="13321" width="2.625" style="290" customWidth="1"/>
    <col min="13322" max="13323" width="8.125" style="290" customWidth="1"/>
    <col min="13324" max="13324" width="1.75" style="290" customWidth="1"/>
    <col min="13325" max="13325" width="9.5" style="290" customWidth="1"/>
    <col min="13326" max="13568" width="9" style="290"/>
    <col min="13569" max="13569" width="1.625" style="290" customWidth="1"/>
    <col min="13570" max="13571" width="8.125" style="290" customWidth="1"/>
    <col min="13572" max="13572" width="2.625" style="290" customWidth="1"/>
    <col min="13573" max="13576" width="10.125" style="290" customWidth="1"/>
    <col min="13577" max="13577" width="2.625" style="290" customWidth="1"/>
    <col min="13578" max="13579" width="8.125" style="290" customWidth="1"/>
    <col min="13580" max="13580" width="1.75" style="290" customWidth="1"/>
    <col min="13581" max="13581" width="9.5" style="290" customWidth="1"/>
    <col min="13582" max="13824" width="9" style="290"/>
    <col min="13825" max="13825" width="1.625" style="290" customWidth="1"/>
    <col min="13826" max="13827" width="8.125" style="290" customWidth="1"/>
    <col min="13828" max="13828" width="2.625" style="290" customWidth="1"/>
    <col min="13829" max="13832" width="10.125" style="290" customWidth="1"/>
    <col min="13833" max="13833" width="2.625" style="290" customWidth="1"/>
    <col min="13834" max="13835" width="8.125" style="290" customWidth="1"/>
    <col min="13836" max="13836" width="1.75" style="290" customWidth="1"/>
    <col min="13837" max="13837" width="9.5" style="290" customWidth="1"/>
    <col min="13838" max="14080" width="9" style="290"/>
    <col min="14081" max="14081" width="1.625" style="290" customWidth="1"/>
    <col min="14082" max="14083" width="8.125" style="290" customWidth="1"/>
    <col min="14084" max="14084" width="2.625" style="290" customWidth="1"/>
    <col min="14085" max="14088" width="10.125" style="290" customWidth="1"/>
    <col min="14089" max="14089" width="2.625" style="290" customWidth="1"/>
    <col min="14090" max="14091" width="8.125" style="290" customWidth="1"/>
    <col min="14092" max="14092" width="1.75" style="290" customWidth="1"/>
    <col min="14093" max="14093" width="9.5" style="290" customWidth="1"/>
    <col min="14094" max="14336" width="9" style="290"/>
    <col min="14337" max="14337" width="1.625" style="290" customWidth="1"/>
    <col min="14338" max="14339" width="8.125" style="290" customWidth="1"/>
    <col min="14340" max="14340" width="2.625" style="290" customWidth="1"/>
    <col min="14341" max="14344" width="10.125" style="290" customWidth="1"/>
    <col min="14345" max="14345" width="2.625" style="290" customWidth="1"/>
    <col min="14346" max="14347" width="8.125" style="290" customWidth="1"/>
    <col min="14348" max="14348" width="1.75" style="290" customWidth="1"/>
    <col min="14349" max="14349" width="9.5" style="290" customWidth="1"/>
    <col min="14350" max="14592" width="9" style="290"/>
    <col min="14593" max="14593" width="1.625" style="290" customWidth="1"/>
    <col min="14594" max="14595" width="8.125" style="290" customWidth="1"/>
    <col min="14596" max="14596" width="2.625" style="290" customWidth="1"/>
    <col min="14597" max="14600" width="10.125" style="290" customWidth="1"/>
    <col min="14601" max="14601" width="2.625" style="290" customWidth="1"/>
    <col min="14602" max="14603" width="8.125" style="290" customWidth="1"/>
    <col min="14604" max="14604" width="1.75" style="290" customWidth="1"/>
    <col min="14605" max="14605" width="9.5" style="290" customWidth="1"/>
    <col min="14606" max="14848" width="9" style="290"/>
    <col min="14849" max="14849" width="1.625" style="290" customWidth="1"/>
    <col min="14850" max="14851" width="8.125" style="290" customWidth="1"/>
    <col min="14852" max="14852" width="2.625" style="290" customWidth="1"/>
    <col min="14853" max="14856" width="10.125" style="290" customWidth="1"/>
    <col min="14857" max="14857" width="2.625" style="290" customWidth="1"/>
    <col min="14858" max="14859" width="8.125" style="290" customWidth="1"/>
    <col min="14860" max="14860" width="1.75" style="290" customWidth="1"/>
    <col min="14861" max="14861" width="9.5" style="290" customWidth="1"/>
    <col min="14862" max="15104" width="9" style="290"/>
    <col min="15105" max="15105" width="1.625" style="290" customWidth="1"/>
    <col min="15106" max="15107" width="8.125" style="290" customWidth="1"/>
    <col min="15108" max="15108" width="2.625" style="290" customWidth="1"/>
    <col min="15109" max="15112" width="10.125" style="290" customWidth="1"/>
    <col min="15113" max="15113" width="2.625" style="290" customWidth="1"/>
    <col min="15114" max="15115" width="8.125" style="290" customWidth="1"/>
    <col min="15116" max="15116" width="1.75" style="290" customWidth="1"/>
    <col min="15117" max="15117" width="9.5" style="290" customWidth="1"/>
    <col min="15118" max="15360" width="9" style="290"/>
    <col min="15361" max="15361" width="1.625" style="290" customWidth="1"/>
    <col min="15362" max="15363" width="8.125" style="290" customWidth="1"/>
    <col min="15364" max="15364" width="2.625" style="290" customWidth="1"/>
    <col min="15365" max="15368" width="10.125" style="290" customWidth="1"/>
    <col min="15369" max="15369" width="2.625" style="290" customWidth="1"/>
    <col min="15370" max="15371" width="8.125" style="290" customWidth="1"/>
    <col min="15372" max="15372" width="1.75" style="290" customWidth="1"/>
    <col min="15373" max="15373" width="9.5" style="290" customWidth="1"/>
    <col min="15374" max="15616" width="9" style="290"/>
    <col min="15617" max="15617" width="1.625" style="290" customWidth="1"/>
    <col min="15618" max="15619" width="8.125" style="290" customWidth="1"/>
    <col min="15620" max="15620" width="2.625" style="290" customWidth="1"/>
    <col min="15621" max="15624" width="10.125" style="290" customWidth="1"/>
    <col min="15625" max="15625" width="2.625" style="290" customWidth="1"/>
    <col min="15626" max="15627" width="8.125" style="290" customWidth="1"/>
    <col min="15628" max="15628" width="1.75" style="290" customWidth="1"/>
    <col min="15629" max="15629" width="9.5" style="290" customWidth="1"/>
    <col min="15630" max="15872" width="9" style="290"/>
    <col min="15873" max="15873" width="1.625" style="290" customWidth="1"/>
    <col min="15874" max="15875" width="8.125" style="290" customWidth="1"/>
    <col min="15876" max="15876" width="2.625" style="290" customWidth="1"/>
    <col min="15877" max="15880" width="10.125" style="290" customWidth="1"/>
    <col min="15881" max="15881" width="2.625" style="290" customWidth="1"/>
    <col min="15882" max="15883" width="8.125" style="290" customWidth="1"/>
    <col min="15884" max="15884" width="1.75" style="290" customWidth="1"/>
    <col min="15885" max="15885" width="9.5" style="290" customWidth="1"/>
    <col min="15886" max="16128" width="9" style="290"/>
    <col min="16129" max="16129" width="1.625" style="290" customWidth="1"/>
    <col min="16130" max="16131" width="8.125" style="290" customWidth="1"/>
    <col min="16132" max="16132" width="2.625" style="290" customWidth="1"/>
    <col min="16133" max="16136" width="10.125" style="290" customWidth="1"/>
    <col min="16137" max="16137" width="2.625" style="290" customWidth="1"/>
    <col min="16138" max="16139" width="8.125" style="290" customWidth="1"/>
    <col min="16140" max="16140" width="1.75" style="290" customWidth="1"/>
    <col min="16141" max="16141" width="9.5" style="290" customWidth="1"/>
    <col min="16142" max="16384" width="9" style="290"/>
  </cols>
  <sheetData>
    <row r="1" spans="1:19" s="288" customFormat="1" ht="18" customHeight="1">
      <c r="A1" s="286"/>
      <c r="B1" s="287"/>
      <c r="F1" s="289"/>
    </row>
    <row r="2" spans="1:19" s="288" customFormat="1" ht="18" customHeight="1">
      <c r="B2" s="287"/>
    </row>
    <row r="3" spans="1:19" ht="15" customHeight="1">
      <c r="B3" s="291"/>
      <c r="C3" s="291"/>
      <c r="D3" s="291"/>
    </row>
    <row r="4" spans="1:19" ht="3.95" customHeight="1">
      <c r="B4" s="291"/>
      <c r="C4" s="292"/>
      <c r="D4" s="292"/>
      <c r="E4" s="292"/>
      <c r="F4" s="292"/>
      <c r="G4" s="292"/>
      <c r="H4" s="292"/>
      <c r="I4" s="292"/>
      <c r="J4" s="292"/>
    </row>
    <row r="5" spans="1:19" ht="81.75" customHeight="1">
      <c r="B5" s="293" t="s">
        <v>134</v>
      </c>
      <c r="C5" s="294"/>
      <c r="D5" s="294"/>
      <c r="E5" s="295"/>
      <c r="F5" s="295"/>
      <c r="G5" s="295"/>
      <c r="H5" s="295"/>
      <c r="I5" s="295"/>
      <c r="J5" s="295"/>
      <c r="K5" s="295"/>
    </row>
    <row r="6" spans="1:19" ht="3.95" customHeight="1">
      <c r="B6" s="291"/>
      <c r="C6" s="292"/>
      <c r="D6" s="292"/>
      <c r="E6" s="292"/>
      <c r="F6" s="292"/>
      <c r="G6" s="292"/>
      <c r="H6" s="292"/>
      <c r="I6" s="292"/>
      <c r="J6" s="292"/>
    </row>
    <row r="7" spans="1:19" ht="18" customHeight="1">
      <c r="B7" s="291"/>
      <c r="C7" s="291"/>
      <c r="D7" s="291"/>
    </row>
    <row r="8" spans="1:19" s="288" customFormat="1" ht="18" customHeight="1"/>
    <row r="9" spans="1:19" s="288" customFormat="1" ht="33.75">
      <c r="C9" s="296" t="s">
        <v>181</v>
      </c>
      <c r="D9" s="296"/>
      <c r="E9" s="297"/>
      <c r="F9" s="297"/>
      <c r="G9" s="297"/>
      <c r="H9" s="297"/>
      <c r="I9" s="297"/>
      <c r="J9" s="297"/>
    </row>
    <row r="10" spans="1:19" ht="15" customHeight="1">
      <c r="B10" s="288"/>
      <c r="C10" s="489"/>
      <c r="D10" s="489"/>
      <c r="E10" s="489"/>
      <c r="F10" s="489"/>
      <c r="G10" s="489"/>
      <c r="H10" s="489"/>
      <c r="I10" s="489"/>
      <c r="J10" s="489"/>
      <c r="K10" s="288"/>
    </row>
    <row r="11" spans="1:19" ht="15" customHeight="1">
      <c r="B11" s="288"/>
      <c r="C11" s="489"/>
      <c r="D11" s="489"/>
      <c r="E11" s="489"/>
      <c r="F11" s="489"/>
      <c r="G11" s="489"/>
      <c r="H11" s="489"/>
      <c r="I11" s="489"/>
      <c r="J11" s="489"/>
      <c r="K11" s="288"/>
    </row>
    <row r="12" spans="1:19" ht="15" customHeight="1">
      <c r="B12" s="288"/>
      <c r="C12" s="288"/>
      <c r="D12" s="298"/>
      <c r="E12" s="299"/>
      <c r="F12" s="299"/>
      <c r="G12" s="299"/>
      <c r="H12" s="299"/>
      <c r="I12" s="300"/>
      <c r="J12" s="288"/>
      <c r="K12" s="288"/>
    </row>
    <row r="13" spans="1:19" ht="24.95" customHeight="1">
      <c r="B13" s="288"/>
      <c r="C13" s="288"/>
      <c r="D13" s="301"/>
      <c r="E13" s="490" t="s">
        <v>135</v>
      </c>
      <c r="F13" s="490"/>
      <c r="G13" s="490"/>
      <c r="H13" s="490"/>
      <c r="I13" s="302"/>
      <c r="J13" s="288"/>
      <c r="K13" s="288"/>
    </row>
    <row r="14" spans="1:19" ht="1.5" customHeight="1">
      <c r="B14" s="288"/>
      <c r="C14" s="288"/>
      <c r="D14" s="301"/>
      <c r="E14" s="303"/>
      <c r="F14" s="304"/>
      <c r="G14" s="304"/>
      <c r="H14" s="303"/>
      <c r="I14" s="302"/>
      <c r="J14" s="288"/>
      <c r="K14" s="288"/>
    </row>
    <row r="15" spans="1:19" ht="24.95" customHeight="1">
      <c r="B15" s="288"/>
      <c r="C15" s="288"/>
      <c r="D15" s="301"/>
      <c r="E15" s="305"/>
      <c r="F15" s="306"/>
      <c r="G15" s="306"/>
      <c r="H15" s="307"/>
      <c r="I15" s="308"/>
      <c r="J15" s="288"/>
      <c r="K15" s="288"/>
    </row>
    <row r="16" spans="1:19" ht="23.25" customHeight="1">
      <c r="D16" s="309"/>
      <c r="E16" s="491" t="s">
        <v>141</v>
      </c>
      <c r="F16" s="491"/>
      <c r="G16" s="491"/>
      <c r="H16" s="491"/>
      <c r="I16" s="311"/>
      <c r="S16" s="312"/>
    </row>
    <row r="17" spans="1:19" ht="23.25" customHeight="1">
      <c r="D17" s="313"/>
      <c r="E17" s="491" t="s">
        <v>142</v>
      </c>
      <c r="F17" s="491"/>
      <c r="G17" s="491"/>
      <c r="H17" s="491"/>
      <c r="I17" s="311"/>
      <c r="S17" s="312"/>
    </row>
    <row r="18" spans="1:19" ht="23.25" customHeight="1">
      <c r="D18" s="313"/>
      <c r="E18" s="491" t="s">
        <v>143</v>
      </c>
      <c r="F18" s="491"/>
      <c r="G18" s="491"/>
      <c r="H18" s="491"/>
      <c r="I18" s="311"/>
      <c r="S18" s="312"/>
    </row>
    <row r="19" spans="1:19" ht="23.25" customHeight="1">
      <c r="D19" s="309"/>
      <c r="E19" s="491" t="s">
        <v>144</v>
      </c>
      <c r="F19" s="491"/>
      <c r="G19" s="491"/>
      <c r="H19" s="491"/>
      <c r="I19" s="311"/>
      <c r="S19" s="314"/>
    </row>
    <row r="20" spans="1:19" ht="23.25" customHeight="1">
      <c r="D20" s="309"/>
      <c r="E20" s="491" t="s">
        <v>145</v>
      </c>
      <c r="F20" s="491"/>
      <c r="G20" s="491"/>
      <c r="H20" s="491"/>
      <c r="I20" s="311"/>
      <c r="S20" s="314"/>
    </row>
    <row r="21" spans="1:19" ht="23.25" customHeight="1">
      <c r="A21" s="291"/>
      <c r="D21" s="309"/>
      <c r="E21" s="491" t="s">
        <v>146</v>
      </c>
      <c r="F21" s="491"/>
      <c r="G21" s="491"/>
      <c r="H21" s="491"/>
      <c r="I21" s="311"/>
      <c r="S21" s="314"/>
    </row>
    <row r="22" spans="1:19" ht="23.25" customHeight="1">
      <c r="D22" s="309"/>
      <c r="E22" s="491" t="s">
        <v>147</v>
      </c>
      <c r="F22" s="491"/>
      <c r="G22" s="491"/>
      <c r="H22" s="491"/>
      <c r="I22" s="311"/>
      <c r="S22" s="314"/>
    </row>
    <row r="23" spans="1:19" ht="23.25" customHeight="1">
      <c r="D23" s="309"/>
      <c r="E23" s="491" t="s">
        <v>148</v>
      </c>
      <c r="F23" s="491"/>
      <c r="G23" s="491"/>
      <c r="H23" s="491"/>
      <c r="I23" s="311"/>
      <c r="S23" s="314"/>
    </row>
    <row r="24" spans="1:19" ht="15" customHeight="1">
      <c r="B24" s="291"/>
      <c r="C24" s="291"/>
      <c r="D24" s="315"/>
      <c r="E24" s="316"/>
      <c r="F24" s="316"/>
      <c r="G24" s="316"/>
      <c r="H24" s="316"/>
      <c r="I24" s="317"/>
    </row>
    <row r="25" spans="1:19" ht="15" customHeight="1">
      <c r="B25" s="291"/>
      <c r="E25" s="310"/>
      <c r="F25" s="310"/>
      <c r="G25" s="310"/>
      <c r="H25" s="310"/>
    </row>
    <row r="26" spans="1:19" ht="15" customHeight="1">
      <c r="B26" s="291"/>
      <c r="E26" s="310"/>
      <c r="F26" s="310"/>
      <c r="G26" s="310"/>
      <c r="H26" s="310"/>
    </row>
    <row r="27" spans="1:19" ht="54" customHeight="1">
      <c r="B27" s="488" t="s">
        <v>182</v>
      </c>
      <c r="C27" s="488"/>
      <c r="D27" s="488"/>
      <c r="E27" s="488"/>
      <c r="F27" s="488"/>
      <c r="G27" s="488"/>
      <c r="H27" s="488"/>
      <c r="I27" s="488"/>
      <c r="J27" s="488"/>
      <c r="K27" s="488"/>
    </row>
    <row r="28" spans="1:19" ht="24.95" customHeight="1">
      <c r="B28" s="444"/>
      <c r="C28" s="444"/>
      <c r="D28" s="444"/>
      <c r="E28" s="444"/>
      <c r="F28" s="444"/>
      <c r="G28" s="444"/>
      <c r="H28" s="444"/>
      <c r="I28" s="444"/>
      <c r="J28" s="444"/>
      <c r="K28" s="444"/>
    </row>
    <row r="29" spans="1:19" ht="24.95" customHeight="1">
      <c r="B29" s="444"/>
      <c r="C29" s="444"/>
      <c r="D29" s="444"/>
      <c r="E29" s="444"/>
      <c r="F29" s="444"/>
      <c r="G29" s="444"/>
      <c r="H29" s="444"/>
      <c r="I29" s="444"/>
      <c r="J29" s="444"/>
      <c r="K29" s="444"/>
    </row>
    <row r="30" spans="1:19" ht="10.5" customHeight="1">
      <c r="B30" s="444"/>
      <c r="C30" s="444"/>
      <c r="D30" s="444"/>
      <c r="E30" s="444"/>
      <c r="F30" s="444"/>
      <c r="G30" s="444"/>
      <c r="H30" s="444"/>
      <c r="I30" s="444"/>
      <c r="J30" s="444"/>
      <c r="K30" s="444"/>
    </row>
    <row r="31" spans="1:19" ht="18" customHeight="1"/>
    <row r="32" spans="1:19" ht="18" customHeight="1">
      <c r="B32" s="288"/>
      <c r="C32" s="288"/>
      <c r="D32" s="288"/>
      <c r="E32" s="288"/>
      <c r="F32" s="288"/>
      <c r="G32" s="288"/>
      <c r="H32" s="288"/>
      <c r="I32" s="288"/>
      <c r="J32" s="288"/>
      <c r="K32" s="288"/>
    </row>
    <row r="33" ht="20.100000000000001" customHeight="1"/>
    <row r="34" ht="20.100000000000001" customHeight="1"/>
  </sheetData>
  <mergeCells count="12">
    <mergeCell ref="B27:K27"/>
    <mergeCell ref="C10:J10"/>
    <mergeCell ref="C11:J11"/>
    <mergeCell ref="E13:H13"/>
    <mergeCell ref="E16:H16"/>
    <mergeCell ref="E17:H17"/>
    <mergeCell ref="E23:H23"/>
    <mergeCell ref="E18:H18"/>
    <mergeCell ref="E19:H19"/>
    <mergeCell ref="E20:H20"/>
    <mergeCell ref="E21:H21"/>
    <mergeCell ref="E22:H22"/>
  </mergeCells>
  <phoneticPr fontId="2" type="noConversion"/>
  <hyperlinks>
    <hyperlink ref="E16:H16" location="'(1) Highlights'!A1" display=" I. 경영실적 Highlights"/>
    <hyperlink ref="E17:H17" location="'(2) Premium'!A1" display="Ⅱ. 보험료 및 유지율 현황"/>
    <hyperlink ref="E18:H18" location="'(3) Efficiency'!A1" display="Ⅲ. 종목별 보험손익"/>
    <hyperlink ref="E19:H19" location="'(4) Investment'!A1" display="Ⅳ. 운용자산 포트폴리오 및 투자손익"/>
    <hyperlink ref="E20:H20" location="'(5) IS'!A1" display="Ⅴ. 요약 손익계산서"/>
    <hyperlink ref="E21:H21" location="'(6) BS'!A1" display="Ⅵ. 요약 재무상태표"/>
    <hyperlink ref="E22:H22" location="'#Full BS (2303)'!A1" display="※ 재무상태표"/>
    <hyperlink ref="E23:H23" location="'#Full IS (2303)'!A1" display="※ 포괄 손익계산서"/>
  </hyperlinks>
  <printOptions horizontalCentered="1"/>
  <pageMargins left="0.59055118110236227" right="0.59055118110236227" top="0.59055118110236227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41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3.125" style="4" customWidth="1"/>
    <col min="3" max="3" width="15.625" style="4" customWidth="1"/>
    <col min="4" max="5" width="9.125" style="4" customWidth="1"/>
    <col min="6" max="7" width="6.625" style="4" customWidth="1"/>
    <col min="8" max="8" width="9.125" style="4" customWidth="1"/>
    <col min="9" max="9" width="6.625" style="4" customWidth="1"/>
    <col min="10" max="11" width="9.125" style="4" customWidth="1"/>
    <col min="12" max="12" width="1.625" style="12" customWidth="1"/>
    <col min="13" max="16384" width="9" style="13"/>
  </cols>
  <sheetData>
    <row r="1" spans="1:12" ht="24.95" customHeight="1">
      <c r="A1" s="6"/>
      <c r="B1" s="151" t="s">
        <v>80</v>
      </c>
      <c r="C1" s="7"/>
      <c r="D1" s="8"/>
      <c r="E1" s="8"/>
      <c r="F1" s="9"/>
      <c r="G1" s="9"/>
      <c r="H1" s="9"/>
      <c r="I1" s="10"/>
      <c r="J1" s="8"/>
      <c r="K1" s="10"/>
      <c r="L1" s="11"/>
    </row>
    <row r="2" spans="1:12" customFormat="1" ht="3" customHeight="1">
      <c r="A2" s="1"/>
      <c r="B2" s="1"/>
      <c r="C2" s="1"/>
      <c r="D2" s="1"/>
      <c r="E2" s="1"/>
      <c r="F2" s="2"/>
      <c r="G2" s="2"/>
      <c r="H2" s="2"/>
      <c r="I2" s="2"/>
      <c r="J2" s="1"/>
      <c r="K2" s="2"/>
      <c r="L2" s="3"/>
    </row>
    <row r="3" spans="1:12" ht="15" customHeight="1">
      <c r="A3" s="6"/>
      <c r="B3" s="6"/>
      <c r="C3" s="6"/>
      <c r="D3" s="6"/>
      <c r="E3" s="6"/>
      <c r="F3" s="14"/>
      <c r="G3" s="14"/>
      <c r="H3" s="14"/>
      <c r="I3" s="14"/>
      <c r="J3" s="6"/>
      <c r="K3" s="14"/>
      <c r="L3" s="15"/>
    </row>
    <row r="4" spans="1:12" ht="15" customHeight="1">
      <c r="A4" s="6"/>
      <c r="B4" s="182" t="s">
        <v>125</v>
      </c>
      <c r="C4" s="6"/>
      <c r="D4" s="6"/>
      <c r="E4" s="6"/>
      <c r="F4" s="14"/>
      <c r="G4" s="14"/>
      <c r="H4" s="14"/>
      <c r="I4" s="14"/>
      <c r="J4" s="6"/>
      <c r="K4" s="14"/>
      <c r="L4" s="15"/>
    </row>
    <row r="5" spans="1:12" ht="15" customHeight="1" thickBot="1">
      <c r="A5" s="6"/>
      <c r="B5" s="8"/>
      <c r="C5" s="8"/>
      <c r="D5" s="6"/>
      <c r="E5" s="6"/>
      <c r="F5" s="14"/>
      <c r="G5" s="14"/>
      <c r="H5" s="14"/>
      <c r="I5" s="14"/>
      <c r="J5" s="6"/>
      <c r="K5" s="16" t="s">
        <v>1</v>
      </c>
      <c r="L5" s="15"/>
    </row>
    <row r="6" spans="1:12" ht="21" customHeight="1">
      <c r="A6" s="8"/>
      <c r="B6" s="523" t="s">
        <v>4</v>
      </c>
      <c r="C6" s="524"/>
      <c r="D6" s="492" t="str">
        <f>'(5) IS'!D5</f>
        <v>25.3Q</v>
      </c>
      <c r="E6" s="504">
        <f>'[9](5) IS_Q'!E5:I5</f>
        <v>2025</v>
      </c>
      <c r="F6" s="505"/>
      <c r="G6" s="505"/>
      <c r="H6" s="505"/>
      <c r="I6" s="506"/>
      <c r="J6" s="507">
        <f>'[9](5) IS_Q'!J5:K5</f>
        <v>2024</v>
      </c>
      <c r="K6" s="508"/>
      <c r="L6" s="11"/>
    </row>
    <row r="7" spans="1:12" ht="21" customHeight="1">
      <c r="A7" s="8"/>
      <c r="B7" s="525"/>
      <c r="C7" s="526"/>
      <c r="D7" s="493"/>
      <c r="E7" s="509" t="str">
        <f>'(5) IS'!E6</f>
        <v>25.4Q</v>
      </c>
      <c r="F7" s="44"/>
      <c r="G7" s="44"/>
      <c r="H7" s="511" t="str">
        <f>'(5) IS'!H6</f>
        <v>25.4Q
누계</v>
      </c>
      <c r="I7" s="45"/>
      <c r="J7" s="495" t="str">
        <f>'(5) IS'!J6</f>
        <v>24.4Q</v>
      </c>
      <c r="K7" s="497" t="str">
        <f>'(5) IS'!K6</f>
        <v>24.4Q
누계</v>
      </c>
      <c r="L7" s="11"/>
    </row>
    <row r="8" spans="1:12" ht="21" customHeight="1" thickBot="1">
      <c r="A8" s="17"/>
      <c r="B8" s="527"/>
      <c r="C8" s="528"/>
      <c r="D8" s="494"/>
      <c r="E8" s="510"/>
      <c r="F8" s="46" t="s">
        <v>178</v>
      </c>
      <c r="G8" s="183" t="s">
        <v>179</v>
      </c>
      <c r="H8" s="512"/>
      <c r="I8" s="46" t="s">
        <v>180</v>
      </c>
      <c r="J8" s="496"/>
      <c r="K8" s="498"/>
      <c r="L8" s="11"/>
    </row>
    <row r="9" spans="1:12" ht="21" customHeight="1" thickTop="1">
      <c r="B9" s="118" t="s">
        <v>65</v>
      </c>
      <c r="C9" s="328"/>
      <c r="D9" s="445">
        <v>458053.08599999989</v>
      </c>
      <c r="E9" s="446">
        <v>484293.57300000009</v>
      </c>
      <c r="F9" s="447">
        <v>5.7286999699419638E-2</v>
      </c>
      <c r="G9" s="448">
        <v>1.2223937756368208E-2</v>
      </c>
      <c r="H9" s="449">
        <v>2095742.58</v>
      </c>
      <c r="I9" s="450">
        <v>5.5032137054666697E-2</v>
      </c>
      <c r="J9" s="451">
        <v>478445.09000000008</v>
      </c>
      <c r="K9" s="449">
        <v>1986425.348</v>
      </c>
    </row>
    <row r="10" spans="1:12" ht="21" customHeight="1">
      <c r="B10" s="161" t="s">
        <v>165</v>
      </c>
      <c r="C10" s="335"/>
      <c r="D10" s="380">
        <v>32186.77900000001</v>
      </c>
      <c r="E10" s="262">
        <v>33935.764999999985</v>
      </c>
      <c r="F10" s="390">
        <v>5.4338646311890226E-2</v>
      </c>
      <c r="G10" s="263">
        <v>-6.1609823146128839E-2</v>
      </c>
      <c r="H10" s="285">
        <v>132673.54399999999</v>
      </c>
      <c r="I10" s="264">
        <v>-0.1053272029484964</v>
      </c>
      <c r="J10" s="265">
        <v>36163.811000000016</v>
      </c>
      <c r="K10" s="285">
        <v>148292.81100000002</v>
      </c>
    </row>
    <row r="11" spans="1:12" ht="21" customHeight="1">
      <c r="B11" s="35"/>
      <c r="C11" s="39" t="s">
        <v>140</v>
      </c>
      <c r="D11" s="372">
        <v>28675</v>
      </c>
      <c r="E11" s="243">
        <v>30478</v>
      </c>
      <c r="F11" s="384">
        <v>6.2877070619006048E-2</v>
      </c>
      <c r="G11" s="244">
        <v>-4.511560874741527E-2</v>
      </c>
      <c r="H11" s="245">
        <v>117203</v>
      </c>
      <c r="I11" s="246">
        <v>-9.29192238930725E-2</v>
      </c>
      <c r="J11" s="247">
        <v>31918</v>
      </c>
      <c r="K11" s="245">
        <v>129209</v>
      </c>
    </row>
    <row r="12" spans="1:12" ht="21" customHeight="1" thickBot="1">
      <c r="B12" s="37" t="s">
        <v>64</v>
      </c>
      <c r="C12" s="38"/>
      <c r="D12" s="452">
        <v>1001249.892</v>
      </c>
      <c r="E12" s="453">
        <v>996435.89399999985</v>
      </c>
      <c r="F12" s="454">
        <v>-4.807988533595875E-3</v>
      </c>
      <c r="G12" s="455">
        <v>-5.3719092027325055E-2</v>
      </c>
      <c r="H12" s="456">
        <v>4022503.8879999998</v>
      </c>
      <c r="I12" s="457">
        <v>-6.2509636098135091E-2</v>
      </c>
      <c r="J12" s="458">
        <v>1053002.2170000002</v>
      </c>
      <c r="K12" s="456">
        <v>4290714.9160000002</v>
      </c>
    </row>
    <row r="13" spans="1:12" ht="15" customHeight="1">
      <c r="B13" s="114"/>
    </row>
    <row r="14" spans="1:12" s="167" customFormat="1" ht="15" customHeight="1">
      <c r="A14" s="163"/>
      <c r="B14" s="164"/>
      <c r="C14" s="165"/>
      <c r="D14" s="129"/>
      <c r="E14" s="129"/>
      <c r="F14" s="166"/>
      <c r="G14" s="166"/>
      <c r="H14" s="144"/>
      <c r="I14" s="166"/>
      <c r="J14" s="129"/>
      <c r="K14" s="144"/>
      <c r="L14" s="119"/>
    </row>
    <row r="15" spans="1:12" ht="15" customHeight="1">
      <c r="A15" s="6"/>
      <c r="B15" s="182" t="s">
        <v>83</v>
      </c>
      <c r="C15" s="6"/>
      <c r="D15" s="6"/>
      <c r="E15" s="6"/>
      <c r="F15" s="14"/>
      <c r="G15" s="14"/>
      <c r="H15" s="14"/>
      <c r="I15" s="14"/>
      <c r="J15" s="6"/>
      <c r="K15" s="14"/>
      <c r="L15" s="15"/>
    </row>
    <row r="16" spans="1:12" ht="15" customHeight="1" thickBot="1">
      <c r="A16" s="6"/>
      <c r="B16" s="8"/>
      <c r="C16" s="8"/>
      <c r="D16" s="6"/>
      <c r="E16" s="6"/>
      <c r="F16" s="14"/>
      <c r="G16" s="14"/>
      <c r="H16" s="14"/>
      <c r="I16" s="14"/>
      <c r="J16" s="6"/>
      <c r="K16" s="16" t="s">
        <v>1</v>
      </c>
      <c r="L16" s="15"/>
    </row>
    <row r="17" spans="1:12" ht="21" customHeight="1">
      <c r="A17" s="8"/>
      <c r="B17" s="523" t="s">
        <v>4</v>
      </c>
      <c r="C17" s="523"/>
      <c r="D17" s="492" t="str">
        <f>D6</f>
        <v>25.3Q</v>
      </c>
      <c r="E17" s="504">
        <f>E6</f>
        <v>2025</v>
      </c>
      <c r="F17" s="505"/>
      <c r="G17" s="505"/>
      <c r="H17" s="505"/>
      <c r="I17" s="506"/>
      <c r="J17" s="507">
        <f>J6</f>
        <v>2024</v>
      </c>
      <c r="K17" s="508"/>
      <c r="L17" s="11"/>
    </row>
    <row r="18" spans="1:12" ht="21" customHeight="1">
      <c r="A18" s="8"/>
      <c r="B18" s="525"/>
      <c r="C18" s="525"/>
      <c r="D18" s="493"/>
      <c r="E18" s="509" t="str">
        <f>E7</f>
        <v>25.4Q</v>
      </c>
      <c r="F18" s="44"/>
      <c r="G18" s="44"/>
      <c r="H18" s="511" t="str">
        <f>H7</f>
        <v>25.4Q
누계</v>
      </c>
      <c r="I18" s="45"/>
      <c r="J18" s="495" t="str">
        <f>J7</f>
        <v>24.4Q</v>
      </c>
      <c r="K18" s="497" t="str">
        <f>K7</f>
        <v>24.4Q
누계</v>
      </c>
      <c r="L18" s="11"/>
    </row>
    <row r="19" spans="1:12" ht="21" customHeight="1" thickBot="1">
      <c r="A19" s="17"/>
      <c r="B19" s="527"/>
      <c r="C19" s="527"/>
      <c r="D19" s="494"/>
      <c r="E19" s="510"/>
      <c r="F19" s="46" t="s">
        <v>166</v>
      </c>
      <c r="G19" s="183" t="s">
        <v>35</v>
      </c>
      <c r="H19" s="512"/>
      <c r="I19" s="46" t="s">
        <v>170</v>
      </c>
      <c r="J19" s="496"/>
      <c r="K19" s="498"/>
      <c r="L19" s="11"/>
    </row>
    <row r="20" spans="1:12" ht="21" customHeight="1" thickTop="1">
      <c r="B20" s="121" t="s">
        <v>123</v>
      </c>
      <c r="C20" s="122"/>
      <c r="D20" s="377">
        <v>161429.99710000062</v>
      </c>
      <c r="E20" s="280">
        <v>-153894.86357799999</v>
      </c>
      <c r="F20" s="387" t="s">
        <v>139</v>
      </c>
      <c r="G20" s="281" t="s">
        <v>139</v>
      </c>
      <c r="H20" s="282">
        <v>396111.30419400043</v>
      </c>
      <c r="I20" s="283">
        <v>-0.62025665075021874</v>
      </c>
      <c r="J20" s="284">
        <v>-47761.651390999963</v>
      </c>
      <c r="K20" s="282">
        <v>1043102.6770490004</v>
      </c>
    </row>
    <row r="21" spans="1:12" ht="21" customHeight="1">
      <c r="B21" s="35" t="s">
        <v>90</v>
      </c>
      <c r="C21" s="34"/>
      <c r="D21" s="371">
        <v>35219.680065000081</v>
      </c>
      <c r="E21" s="266">
        <v>40082.154239999887</v>
      </c>
      <c r="F21" s="383">
        <v>0.13806128181817123</v>
      </c>
      <c r="G21" s="239">
        <v>2.5950438319646052E-2</v>
      </c>
      <c r="H21" s="240">
        <v>148847.07016499992</v>
      </c>
      <c r="I21" s="241">
        <v>-6.1291743769567586E-2</v>
      </c>
      <c r="J21" s="242">
        <v>39068.314358000061</v>
      </c>
      <c r="K21" s="240">
        <v>158565.847458</v>
      </c>
    </row>
    <row r="22" spans="1:12" ht="21" customHeight="1">
      <c r="B22" s="35" t="s">
        <v>91</v>
      </c>
      <c r="C22" s="35"/>
      <c r="D22" s="371">
        <v>181543.63912300055</v>
      </c>
      <c r="E22" s="266">
        <v>-141874.40410599974</v>
      </c>
      <c r="F22" s="383" t="s">
        <v>139</v>
      </c>
      <c r="G22" s="239" t="s">
        <v>139</v>
      </c>
      <c r="H22" s="240">
        <v>338106.63827900065</v>
      </c>
      <c r="I22" s="241">
        <v>-0.60927369177861079</v>
      </c>
      <c r="J22" s="242">
        <v>-10376.958401000011</v>
      </c>
      <c r="K22" s="240">
        <v>865328.57185400021</v>
      </c>
    </row>
    <row r="23" spans="1:12" ht="21" customHeight="1">
      <c r="B23" s="35"/>
      <c r="C23" s="375" t="s">
        <v>104</v>
      </c>
      <c r="D23" s="372">
        <v>245727.370987</v>
      </c>
      <c r="E23" s="243">
        <v>231488.03888699994</v>
      </c>
      <c r="F23" s="384">
        <v>-5.794768422746599E-2</v>
      </c>
      <c r="G23" s="244">
        <v>7.0812154662281079E-2</v>
      </c>
      <c r="H23" s="245">
        <v>950944.08915699995</v>
      </c>
      <c r="I23" s="246">
        <v>1.941355449718718E-2</v>
      </c>
      <c r="J23" s="247">
        <v>216179.87606799998</v>
      </c>
      <c r="K23" s="245">
        <v>932834.45659700001</v>
      </c>
    </row>
    <row r="24" spans="1:12" ht="21" customHeight="1">
      <c r="B24" s="35"/>
      <c r="C24" s="376" t="s">
        <v>107</v>
      </c>
      <c r="D24" s="378">
        <v>36527.979033999996</v>
      </c>
      <c r="E24" s="248">
        <v>36026.049245000002</v>
      </c>
      <c r="F24" s="388">
        <v>-1.3740967944949833E-2</v>
      </c>
      <c r="G24" s="249">
        <v>6.2527783628711475E-2</v>
      </c>
      <c r="H24" s="250">
        <v>136224.48756400001</v>
      </c>
      <c r="I24" s="251">
        <v>2.8465338772046822E-2</v>
      </c>
      <c r="J24" s="252">
        <v>33905.983260000008</v>
      </c>
      <c r="K24" s="250">
        <v>132454.13571900001</v>
      </c>
    </row>
    <row r="25" spans="1:12" ht="21" customHeight="1">
      <c r="B25" s="35" t="s">
        <v>89</v>
      </c>
      <c r="C25" s="340"/>
      <c r="D25" s="379">
        <v>-55333.322088000015</v>
      </c>
      <c r="E25" s="253">
        <v>-52102.613712000137</v>
      </c>
      <c r="F25" s="389" t="s">
        <v>139</v>
      </c>
      <c r="G25" s="254" t="s">
        <v>139</v>
      </c>
      <c r="H25" s="255">
        <v>-90842.404250000138</v>
      </c>
      <c r="I25" s="256" t="s">
        <v>139</v>
      </c>
      <c r="J25" s="257">
        <v>-76453.007348000014</v>
      </c>
      <c r="K25" s="255">
        <v>19208.257737000124</v>
      </c>
    </row>
    <row r="26" spans="1:12" ht="21" customHeight="1">
      <c r="B26" s="193" t="s">
        <v>124</v>
      </c>
      <c r="C26" s="369"/>
      <c r="D26" s="373">
        <v>89393.952968999743</v>
      </c>
      <c r="E26" s="274">
        <v>4452.2331000000704</v>
      </c>
      <c r="F26" s="385">
        <v>-0.95019536610553479</v>
      </c>
      <c r="G26" s="258">
        <v>-0.88524707245070433</v>
      </c>
      <c r="H26" s="259">
        <v>330285.65815299982</v>
      </c>
      <c r="I26" s="260">
        <v>-6.1832396381158672E-2</v>
      </c>
      <c r="J26" s="261">
        <v>38798.427151999902</v>
      </c>
      <c r="K26" s="259">
        <v>352054.00066999998</v>
      </c>
    </row>
    <row r="27" spans="1:12" ht="21" customHeight="1">
      <c r="B27" s="193" t="s">
        <v>31</v>
      </c>
      <c r="C27" s="368"/>
      <c r="D27" s="380">
        <v>-6043.5001130000019</v>
      </c>
      <c r="E27" s="262">
        <v>-5932.8463899999988</v>
      </c>
      <c r="F27" s="390" t="s">
        <v>139</v>
      </c>
      <c r="G27" s="263" t="s">
        <v>139</v>
      </c>
      <c r="H27" s="285">
        <v>-32119.242753999999</v>
      </c>
      <c r="I27" s="264" t="s">
        <v>139</v>
      </c>
      <c r="J27" s="265">
        <v>-8528.8481969999993</v>
      </c>
      <c r="K27" s="285">
        <v>-28721.062855</v>
      </c>
    </row>
    <row r="28" spans="1:12" ht="21" customHeight="1" thickBot="1">
      <c r="B28" s="160" t="s">
        <v>93</v>
      </c>
      <c r="C28" s="370"/>
      <c r="D28" s="374">
        <v>183181.16889899806</v>
      </c>
      <c r="E28" s="275">
        <v>-73040.176851999015</v>
      </c>
      <c r="F28" s="386" t="s">
        <v>139</v>
      </c>
      <c r="G28" s="276" t="s">
        <v>139</v>
      </c>
      <c r="H28" s="277">
        <v>561106.40750699851</v>
      </c>
      <c r="I28" s="278">
        <v>-0.45559818669992491</v>
      </c>
      <c r="J28" s="279">
        <v>-15735.693279999308</v>
      </c>
      <c r="K28" s="277">
        <v>1030684.3103729999</v>
      </c>
    </row>
    <row r="29" spans="1:12" s="167" customFormat="1" ht="15" customHeight="1">
      <c r="A29" s="163"/>
      <c r="B29" s="164"/>
      <c r="C29" s="165"/>
      <c r="D29" s="129"/>
      <c r="E29" s="129"/>
      <c r="F29" s="166"/>
      <c r="G29" s="166"/>
      <c r="H29" s="144"/>
      <c r="I29" s="166"/>
      <c r="J29" s="129"/>
      <c r="K29" s="144"/>
      <c r="L29" s="119"/>
    </row>
    <row r="30" spans="1:12" ht="15" customHeight="1">
      <c r="A30" s="6"/>
      <c r="B30" s="151" t="s">
        <v>115</v>
      </c>
      <c r="C30" s="6"/>
      <c r="D30" s="6"/>
      <c r="E30" s="6"/>
      <c r="F30" s="14"/>
      <c r="G30" s="14"/>
      <c r="H30" s="14"/>
      <c r="I30" s="14"/>
      <c r="J30" s="6"/>
      <c r="K30" s="14"/>
      <c r="L30" s="15"/>
    </row>
    <row r="31" spans="1:12" ht="15" customHeight="1" thickBot="1">
      <c r="A31" s="6"/>
      <c r="B31" s="182"/>
      <c r="C31" s="6"/>
      <c r="D31" s="6"/>
      <c r="E31" s="6"/>
      <c r="F31" s="14"/>
      <c r="G31" s="14"/>
      <c r="H31" s="14"/>
      <c r="I31" s="14"/>
      <c r="J31" s="6"/>
      <c r="K31" s="16" t="s">
        <v>1</v>
      </c>
      <c r="L31" s="15"/>
    </row>
    <row r="32" spans="1:12" ht="19.5" customHeight="1">
      <c r="B32" s="529" t="s">
        <v>4</v>
      </c>
      <c r="C32" s="529"/>
      <c r="D32" s="530"/>
      <c r="E32" s="513" t="str">
        <f>'(6) BS'!$G$5</f>
        <v>2024. 12월 말</v>
      </c>
      <c r="F32" s="513"/>
      <c r="G32" s="514"/>
      <c r="H32" s="517" t="str">
        <f>'(6) BS'!$D$5</f>
        <v>2025. 12월 말</v>
      </c>
      <c r="I32" s="517"/>
      <c r="J32" s="517"/>
      <c r="K32" s="195"/>
    </row>
    <row r="33" spans="1:12" ht="19.5" customHeight="1" thickBot="1">
      <c r="B33" s="531"/>
      <c r="C33" s="531"/>
      <c r="D33" s="532"/>
      <c r="E33" s="515"/>
      <c r="F33" s="515"/>
      <c r="G33" s="516"/>
      <c r="H33" s="518"/>
      <c r="I33" s="518"/>
      <c r="J33" s="518"/>
      <c r="K33" s="196" t="s">
        <v>92</v>
      </c>
    </row>
    <row r="34" spans="1:12" ht="21.75" customHeight="1">
      <c r="B34" s="533" t="s">
        <v>86</v>
      </c>
      <c r="C34" s="533"/>
      <c r="D34" s="534"/>
      <c r="E34" s="499">
        <v>47977678.781769007</v>
      </c>
      <c r="F34" s="500"/>
      <c r="G34" s="501"/>
      <c r="H34" s="502">
        <v>49645874.619980998</v>
      </c>
      <c r="I34" s="502"/>
      <c r="J34" s="503"/>
      <c r="K34" s="180">
        <f>H34/E34-1</f>
        <v>3.477024901100223E-2</v>
      </c>
    </row>
    <row r="35" spans="1:12" ht="21.75" customHeight="1">
      <c r="B35" s="519" t="s">
        <v>122</v>
      </c>
      <c r="C35" s="519"/>
      <c r="D35" s="520"/>
      <c r="E35" s="540">
        <v>8247672.7077620002</v>
      </c>
      <c r="F35" s="541"/>
      <c r="G35" s="542"/>
      <c r="H35" s="545">
        <v>8901703.7486680001</v>
      </c>
      <c r="I35" s="543"/>
      <c r="J35" s="544"/>
      <c r="K35" s="171">
        <f>H35/E35-1</f>
        <v>7.9298859700201563E-2</v>
      </c>
    </row>
    <row r="36" spans="1:12" ht="21.75" customHeight="1">
      <c r="B36" s="519" t="s">
        <v>87</v>
      </c>
      <c r="C36" s="519"/>
      <c r="D36" s="520"/>
      <c r="E36" s="540">
        <v>4927149.0534100002</v>
      </c>
      <c r="F36" s="541"/>
      <c r="G36" s="542"/>
      <c r="H36" s="543">
        <v>4883487.4665219998</v>
      </c>
      <c r="I36" s="543"/>
      <c r="J36" s="544"/>
      <c r="K36" s="171">
        <f>H36/E36-1</f>
        <v>-8.8614300916638467E-3</v>
      </c>
    </row>
    <row r="37" spans="1:12" ht="21.75" customHeight="1" thickBot="1">
      <c r="B37" s="521" t="s">
        <v>88</v>
      </c>
      <c r="C37" s="521"/>
      <c r="D37" s="522"/>
      <c r="E37" s="535">
        <v>1.57</v>
      </c>
      <c r="F37" s="536"/>
      <c r="G37" s="537"/>
      <c r="H37" s="538">
        <v>1.9014877514496615</v>
      </c>
      <c r="I37" s="538"/>
      <c r="J37" s="539"/>
      <c r="K37" s="197">
        <f>H37-E37</f>
        <v>0.33148775144966147</v>
      </c>
    </row>
    <row r="38" spans="1:12" ht="15" customHeight="1">
      <c r="B38" s="114" t="s">
        <v>120</v>
      </c>
    </row>
    <row r="39" spans="1:12" ht="15" customHeight="1">
      <c r="B39" s="114"/>
    </row>
    <row r="40" spans="1:12" ht="15" customHeight="1">
      <c r="B40" s="222"/>
    </row>
    <row r="41" spans="1:12" ht="3" customHeight="1">
      <c r="A41" s="1"/>
      <c r="B41" s="1"/>
      <c r="C41" s="1"/>
      <c r="D41" s="1"/>
      <c r="E41" s="1"/>
      <c r="F41" s="2"/>
      <c r="G41" s="2"/>
      <c r="H41" s="2"/>
      <c r="I41" s="2"/>
      <c r="J41" s="1"/>
      <c r="K41" s="2"/>
      <c r="L41" s="3"/>
    </row>
  </sheetData>
  <mergeCells count="31">
    <mergeCell ref="B35:D35"/>
    <mergeCell ref="B36:D36"/>
    <mergeCell ref="B37:D37"/>
    <mergeCell ref="B6:C8"/>
    <mergeCell ref="E6:I6"/>
    <mergeCell ref="B17:C19"/>
    <mergeCell ref="B32:D33"/>
    <mergeCell ref="B34:D34"/>
    <mergeCell ref="E37:G37"/>
    <mergeCell ref="H37:J37"/>
    <mergeCell ref="E36:G36"/>
    <mergeCell ref="H36:J36"/>
    <mergeCell ref="E35:G35"/>
    <mergeCell ref="H35:J35"/>
    <mergeCell ref="J6:K6"/>
    <mergeCell ref="E7:E8"/>
    <mergeCell ref="D17:D19"/>
    <mergeCell ref="D6:D8"/>
    <mergeCell ref="J7:J8"/>
    <mergeCell ref="K7:K8"/>
    <mergeCell ref="E34:G34"/>
    <mergeCell ref="H34:J34"/>
    <mergeCell ref="E17:I17"/>
    <mergeCell ref="J17:K17"/>
    <mergeCell ref="E18:E19"/>
    <mergeCell ref="K18:K19"/>
    <mergeCell ref="H7:H8"/>
    <mergeCell ref="H18:H19"/>
    <mergeCell ref="E32:G33"/>
    <mergeCell ref="H32:J33"/>
    <mergeCell ref="J18:J19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&amp;C- 1 -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N39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3" width="3.125" style="4" customWidth="1"/>
    <col min="4" max="6" width="8.625" style="4" customWidth="1"/>
    <col min="7" max="8" width="7.625" style="4" customWidth="1"/>
    <col min="9" max="9" width="8.625" style="4" customWidth="1"/>
    <col min="10" max="11" width="7.625" style="4" customWidth="1"/>
    <col min="12" max="13" width="8.625" style="4" customWidth="1"/>
    <col min="14" max="14" width="1.625" style="12" customWidth="1"/>
    <col min="15" max="15" width="20.625" style="13" customWidth="1"/>
    <col min="16" max="16384" width="9" style="13"/>
  </cols>
  <sheetData>
    <row r="1" spans="1:14" ht="24.95" customHeight="1">
      <c r="A1" s="6"/>
      <c r="B1" s="151" t="s">
        <v>126</v>
      </c>
      <c r="C1" s="151"/>
      <c r="D1" s="7"/>
      <c r="E1" s="8"/>
      <c r="F1" s="8"/>
      <c r="G1" s="9"/>
      <c r="H1" s="9"/>
      <c r="I1" s="9"/>
      <c r="J1" s="9"/>
      <c r="K1" s="10"/>
      <c r="L1" s="8"/>
      <c r="M1" s="10"/>
      <c r="N1" s="11"/>
    </row>
    <row r="2" spans="1:14" customFormat="1" ht="3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1"/>
      <c r="M2" s="2"/>
      <c r="N2" s="3"/>
    </row>
    <row r="3" spans="1:14" ht="15" customHeight="1">
      <c r="A3" s="6"/>
      <c r="B3" s="6"/>
      <c r="C3" s="6"/>
      <c r="D3" s="6"/>
      <c r="E3" s="6"/>
      <c r="F3" s="6"/>
      <c r="G3" s="14"/>
      <c r="H3" s="14"/>
      <c r="I3" s="14"/>
      <c r="J3" s="14"/>
      <c r="K3" s="14"/>
      <c r="L3" s="6"/>
      <c r="M3" s="14"/>
      <c r="N3" s="15"/>
    </row>
    <row r="4" spans="1:14" ht="15" customHeight="1" thickBot="1">
      <c r="A4" s="6"/>
      <c r="B4" s="8"/>
      <c r="C4" s="8"/>
      <c r="D4" s="8"/>
      <c r="E4" s="6"/>
      <c r="F4" s="6"/>
      <c r="G4" s="14"/>
      <c r="H4" s="14"/>
      <c r="I4" s="14"/>
      <c r="J4" s="14"/>
      <c r="K4" s="14"/>
      <c r="L4" s="6"/>
      <c r="M4" s="16" t="s">
        <v>1</v>
      </c>
      <c r="N4" s="15"/>
    </row>
    <row r="5" spans="1:14" ht="21" customHeight="1">
      <c r="A5" s="8"/>
      <c r="B5" s="523" t="s">
        <v>4</v>
      </c>
      <c r="C5" s="523"/>
      <c r="D5" s="524"/>
      <c r="E5" s="492" t="str">
        <f>'(5) IS'!D5:D7</f>
        <v>25.3Q</v>
      </c>
      <c r="F5" s="505">
        <v>2025</v>
      </c>
      <c r="G5" s="505"/>
      <c r="H5" s="505"/>
      <c r="I5" s="505"/>
      <c r="J5" s="505"/>
      <c r="K5" s="505"/>
      <c r="L5" s="507">
        <v>2024</v>
      </c>
      <c r="M5" s="508"/>
      <c r="N5" s="11"/>
    </row>
    <row r="6" spans="1:14" ht="21" customHeight="1">
      <c r="A6" s="8"/>
      <c r="B6" s="525"/>
      <c r="C6" s="525"/>
      <c r="D6" s="526"/>
      <c r="E6" s="493"/>
      <c r="F6" s="546" t="str">
        <f>'(5) IS'!E6:E7</f>
        <v>25.4Q</v>
      </c>
      <c r="G6" s="44"/>
      <c r="H6" s="44"/>
      <c r="I6" s="511" t="str">
        <f>'(5) IS'!H6:H7</f>
        <v>25.4Q
누계</v>
      </c>
      <c r="J6" s="44"/>
      <c r="K6" s="45"/>
      <c r="L6" s="547" t="str">
        <f>'(5) IS'!J6:J7</f>
        <v>24.4Q</v>
      </c>
      <c r="M6" s="497" t="str">
        <f>'(5) IS'!K6:K7</f>
        <v>24.4Q
누계</v>
      </c>
      <c r="N6" s="11"/>
    </row>
    <row r="7" spans="1:14" ht="21" customHeight="1" thickBot="1">
      <c r="A7" s="17"/>
      <c r="B7" s="527"/>
      <c r="C7" s="527"/>
      <c r="D7" s="528"/>
      <c r="E7" s="494"/>
      <c r="F7" s="527"/>
      <c r="G7" s="46" t="s">
        <v>171</v>
      </c>
      <c r="H7" s="46" t="s">
        <v>35</v>
      </c>
      <c r="I7" s="512"/>
      <c r="J7" s="46" t="s">
        <v>63</v>
      </c>
      <c r="K7" s="46" t="s">
        <v>35</v>
      </c>
      <c r="L7" s="548"/>
      <c r="M7" s="498"/>
      <c r="N7" s="11"/>
    </row>
    <row r="8" spans="1:14" ht="36.75" customHeight="1" thickTop="1">
      <c r="B8" s="118" t="s">
        <v>65</v>
      </c>
      <c r="C8" s="118"/>
      <c r="D8" s="328"/>
      <c r="E8" s="480">
        <v>458053.08599999989</v>
      </c>
      <c r="F8" s="481">
        <v>484293.57300000009</v>
      </c>
      <c r="G8" s="482">
        <v>5.7286999699419638E-2</v>
      </c>
      <c r="H8" s="482">
        <v>1.2223937756368208E-2</v>
      </c>
      <c r="I8" s="483">
        <v>2095742.58</v>
      </c>
      <c r="J8" s="484">
        <v>0.11958584568314344</v>
      </c>
      <c r="K8" s="484">
        <v>5.5032137054666697E-2</v>
      </c>
      <c r="L8" s="485">
        <v>478445.09000000008</v>
      </c>
      <c r="M8" s="483">
        <v>1986425.348</v>
      </c>
    </row>
    <row r="9" spans="1:14" ht="36.75" customHeight="1">
      <c r="B9" s="228" t="s">
        <v>165</v>
      </c>
      <c r="C9" s="228"/>
      <c r="D9" s="336"/>
      <c r="E9" s="382">
        <v>32186.77900000001</v>
      </c>
      <c r="F9" s="421">
        <v>33935.764999999985</v>
      </c>
      <c r="G9" s="171">
        <v>5.4338646311890226E-2</v>
      </c>
      <c r="H9" s="171">
        <v>-6.1609823146128839E-2</v>
      </c>
      <c r="I9" s="273">
        <v>132673.54399999999</v>
      </c>
      <c r="J9" s="171">
        <v>7.5705280364250366E-3</v>
      </c>
      <c r="K9" s="171">
        <v>-0.1053272029484964</v>
      </c>
      <c r="L9" s="230">
        <v>36163.811000000016</v>
      </c>
      <c r="M9" s="229">
        <v>148292.81100000002</v>
      </c>
    </row>
    <row r="10" spans="1:14" ht="36.75" customHeight="1" thickBot="1">
      <c r="B10" s="37" t="s">
        <v>64</v>
      </c>
      <c r="C10" s="37"/>
      <c r="D10" s="38"/>
      <c r="E10" s="439">
        <v>1001249.892</v>
      </c>
      <c r="F10" s="440">
        <v>996435.89399999985</v>
      </c>
      <c r="G10" s="173">
        <v>-4.807988533595875E-3</v>
      </c>
      <c r="H10" s="173">
        <v>-5.3719092027325055E-2</v>
      </c>
      <c r="I10" s="441">
        <v>4022503.8879999998</v>
      </c>
      <c r="J10" s="173">
        <v>0.22952939631078759</v>
      </c>
      <c r="K10" s="173">
        <v>-6.2509636098135091E-2</v>
      </c>
      <c r="L10" s="442">
        <v>1053002.2170000002</v>
      </c>
      <c r="M10" s="443">
        <v>4290714.9160000002</v>
      </c>
    </row>
    <row r="11" spans="1:14" s="167" customFormat="1" ht="15" customHeight="1">
      <c r="A11" s="163"/>
      <c r="B11" s="114"/>
      <c r="C11" s="164"/>
      <c r="D11" s="165"/>
      <c r="E11" s="129"/>
      <c r="F11" s="129"/>
      <c r="G11" s="166"/>
      <c r="H11" s="166"/>
      <c r="I11" s="144"/>
      <c r="J11" s="166"/>
      <c r="K11" s="166"/>
      <c r="L11" s="129"/>
      <c r="M11" s="144"/>
      <c r="N11" s="119"/>
    </row>
    <row r="12" spans="1:14" s="167" customFormat="1" ht="20.100000000000001" customHeight="1" thickBot="1">
      <c r="A12" s="163"/>
      <c r="B12" s="318" t="s">
        <v>137</v>
      </c>
      <c r="C12" s="168"/>
      <c r="D12" s="165"/>
      <c r="E12" s="129"/>
      <c r="F12" s="129"/>
      <c r="G12" s="166"/>
      <c r="H12" s="166"/>
      <c r="I12" s="144"/>
      <c r="J12" s="166"/>
      <c r="K12" s="166"/>
      <c r="L12" s="129"/>
      <c r="M12" s="144"/>
      <c r="N12" s="119"/>
    </row>
    <row r="13" spans="1:14" ht="36.75" customHeight="1">
      <c r="B13" s="122"/>
      <c r="C13" s="176" t="s">
        <v>66</v>
      </c>
      <c r="D13" s="330"/>
      <c r="E13" s="381">
        <v>19624</v>
      </c>
      <c r="F13" s="178">
        <v>17592</v>
      </c>
      <c r="G13" s="180">
        <v>-0.10354667753770896</v>
      </c>
      <c r="H13" s="208">
        <v>-0.12281226626776365</v>
      </c>
      <c r="I13" s="179">
        <v>77514</v>
      </c>
      <c r="J13" s="180">
        <v>0.60418566584824041</v>
      </c>
      <c r="K13" s="180">
        <v>-5.5755198499226499E-2</v>
      </c>
      <c r="L13" s="181">
        <v>20055</v>
      </c>
      <c r="M13" s="179">
        <v>82091</v>
      </c>
    </row>
    <row r="14" spans="1:14" ht="36.75" customHeight="1">
      <c r="B14" s="35"/>
      <c r="C14" s="162" t="s">
        <v>67</v>
      </c>
      <c r="D14" s="33"/>
      <c r="E14" s="342">
        <v>3032</v>
      </c>
      <c r="F14" s="101">
        <v>6268</v>
      </c>
      <c r="G14" s="76">
        <v>1.0672823218997363</v>
      </c>
      <c r="H14" s="185">
        <v>0.81051415366839974</v>
      </c>
      <c r="I14" s="77">
        <v>15100</v>
      </c>
      <c r="J14" s="76">
        <v>0.11769749405666628</v>
      </c>
      <c r="K14" s="76">
        <v>7.7955454026270798E-2</v>
      </c>
      <c r="L14" s="78">
        <v>3462</v>
      </c>
      <c r="M14" s="77">
        <v>14008</v>
      </c>
    </row>
    <row r="15" spans="1:14" ht="36.75" customHeight="1">
      <c r="B15" s="35"/>
      <c r="C15" s="162" t="s">
        <v>68</v>
      </c>
      <c r="D15" s="36"/>
      <c r="E15" s="342">
        <v>6019</v>
      </c>
      <c r="F15" s="101">
        <v>6618</v>
      </c>
      <c r="G15" s="76">
        <v>9.951819239076265E-2</v>
      </c>
      <c r="H15" s="185">
        <v>-0.21223663849541718</v>
      </c>
      <c r="I15" s="77">
        <v>24589</v>
      </c>
      <c r="J15" s="76">
        <v>0.1916598464476402</v>
      </c>
      <c r="K15" s="76">
        <v>-0.2573542736333434</v>
      </c>
      <c r="L15" s="78">
        <v>8401</v>
      </c>
      <c r="M15" s="77">
        <v>33110</v>
      </c>
    </row>
    <row r="16" spans="1:14" ht="36.75" customHeight="1">
      <c r="B16" s="169"/>
      <c r="C16" s="174" t="s">
        <v>69</v>
      </c>
      <c r="D16" s="58"/>
      <c r="E16" s="393">
        <v>28675</v>
      </c>
      <c r="F16" s="198">
        <v>30478</v>
      </c>
      <c r="G16" s="200">
        <v>6.2877070619006048E-2</v>
      </c>
      <c r="H16" s="209">
        <v>-4.511560874741527E-2</v>
      </c>
      <c r="I16" s="199">
        <v>117203</v>
      </c>
      <c r="J16" s="200">
        <v>0.91354300635254682</v>
      </c>
      <c r="K16" s="200">
        <v>-9.29192238930725E-2</v>
      </c>
      <c r="L16" s="201">
        <v>31918</v>
      </c>
      <c r="M16" s="199">
        <v>129209</v>
      </c>
    </row>
    <row r="17" spans="1:14" ht="36.75" customHeight="1">
      <c r="B17" s="35"/>
      <c r="C17" s="162" t="s">
        <v>70</v>
      </c>
      <c r="D17" s="36"/>
      <c r="E17" s="342">
        <v>2325</v>
      </c>
      <c r="F17" s="101">
        <v>2304</v>
      </c>
      <c r="G17" s="76">
        <v>-9.0322580645161299E-3</v>
      </c>
      <c r="H17" s="185">
        <v>-0.19327731092436973</v>
      </c>
      <c r="I17" s="77">
        <v>10100</v>
      </c>
      <c r="J17" s="76">
        <v>7.8724813905452273E-2</v>
      </c>
      <c r="K17" s="76">
        <v>-0.12250217202432667</v>
      </c>
      <c r="L17" s="78">
        <v>2856</v>
      </c>
      <c r="M17" s="77">
        <v>11510</v>
      </c>
    </row>
    <row r="18" spans="1:14" ht="36.75" customHeight="1">
      <c r="B18" s="170"/>
      <c r="C18" s="175" t="s">
        <v>71</v>
      </c>
      <c r="D18" s="336"/>
      <c r="E18" s="346">
        <v>31000</v>
      </c>
      <c r="F18" s="155">
        <v>32782</v>
      </c>
      <c r="G18" s="157">
        <v>5.7483870967741879E-2</v>
      </c>
      <c r="H18" s="188">
        <v>-5.7284177834013961E-2</v>
      </c>
      <c r="I18" s="156">
        <v>127303</v>
      </c>
      <c r="J18" s="157">
        <v>0.99226782025799909</v>
      </c>
      <c r="K18" s="157">
        <v>-9.5338937883299391E-2</v>
      </c>
      <c r="L18" s="158">
        <v>34774</v>
      </c>
      <c r="M18" s="156">
        <v>140719</v>
      </c>
    </row>
    <row r="19" spans="1:14" ht="36.75" customHeight="1">
      <c r="B19" s="35"/>
      <c r="C19" s="162" t="s">
        <v>72</v>
      </c>
      <c r="D19" s="36"/>
      <c r="E19" s="342">
        <v>56</v>
      </c>
      <c r="F19" s="101">
        <v>48</v>
      </c>
      <c r="G19" s="76">
        <v>-0.1428571428571429</v>
      </c>
      <c r="H19" s="185">
        <v>-0.8651685393258427</v>
      </c>
      <c r="I19" s="77">
        <v>283</v>
      </c>
      <c r="J19" s="76">
        <v>2.2058536965587124E-3</v>
      </c>
      <c r="K19" s="76">
        <v>-0.60419580419580421</v>
      </c>
      <c r="L19" s="78">
        <v>356</v>
      </c>
      <c r="M19" s="77">
        <v>715</v>
      </c>
    </row>
    <row r="20" spans="1:14" ht="36.75" customHeight="1">
      <c r="B20" s="35"/>
      <c r="C20" s="162" t="s">
        <v>73</v>
      </c>
      <c r="D20" s="36"/>
      <c r="E20" s="342">
        <v>129</v>
      </c>
      <c r="F20" s="101">
        <v>154</v>
      </c>
      <c r="G20" s="76">
        <v>0.193798449612403</v>
      </c>
      <c r="H20" s="185">
        <v>3.3557046979865834E-2</v>
      </c>
      <c r="I20" s="77">
        <v>709</v>
      </c>
      <c r="J20" s="76">
        <v>5.5263260454421446E-3</v>
      </c>
      <c r="K20" s="76">
        <v>-0.1648998822143698</v>
      </c>
      <c r="L20" s="78">
        <v>149</v>
      </c>
      <c r="M20" s="77">
        <v>849</v>
      </c>
    </row>
    <row r="21" spans="1:14" ht="36.75" customHeight="1">
      <c r="B21" s="170"/>
      <c r="C21" s="175" t="s">
        <v>74</v>
      </c>
      <c r="D21" s="336"/>
      <c r="E21" s="346">
        <v>185</v>
      </c>
      <c r="F21" s="155">
        <v>202</v>
      </c>
      <c r="G21" s="157">
        <v>9.1891891891891841E-2</v>
      </c>
      <c r="H21" s="188">
        <v>-0.6</v>
      </c>
      <c r="I21" s="156">
        <v>992</v>
      </c>
      <c r="J21" s="157">
        <v>7.7321797420008571E-3</v>
      </c>
      <c r="K21" s="157">
        <v>-0.36532309660908513</v>
      </c>
      <c r="L21" s="158">
        <v>505</v>
      </c>
      <c r="M21" s="156">
        <v>1563</v>
      </c>
    </row>
    <row r="22" spans="1:14" ht="36.75" customHeight="1" thickBot="1">
      <c r="B22" s="160"/>
      <c r="C22" s="319" t="s">
        <v>138</v>
      </c>
      <c r="D22" s="329"/>
      <c r="E22" s="392">
        <v>31185</v>
      </c>
      <c r="F22" s="133">
        <v>32984</v>
      </c>
      <c r="G22" s="135">
        <v>5.7687991021324381E-2</v>
      </c>
      <c r="H22" s="190">
        <v>-6.5052864310212843E-2</v>
      </c>
      <c r="I22" s="134">
        <v>128295</v>
      </c>
      <c r="J22" s="135">
        <v>1</v>
      </c>
      <c r="K22" s="135">
        <v>-9.8304775024247615E-2</v>
      </c>
      <c r="L22" s="136">
        <v>35279</v>
      </c>
      <c r="M22" s="134">
        <v>142282</v>
      </c>
    </row>
    <row r="23" spans="1:14" s="167" customFormat="1" ht="15" customHeight="1" thickBot="1">
      <c r="A23" s="163"/>
      <c r="B23" s="164"/>
      <c r="C23" s="164"/>
      <c r="D23" s="165"/>
      <c r="E23" s="129"/>
      <c r="F23" s="129"/>
      <c r="G23" s="131"/>
      <c r="H23" s="166"/>
      <c r="I23" s="144"/>
      <c r="J23" s="166"/>
      <c r="K23" s="166"/>
      <c r="L23" s="129"/>
      <c r="M23" s="144"/>
      <c r="N23" s="119"/>
    </row>
    <row r="24" spans="1:14" ht="36.75" customHeight="1">
      <c r="B24" s="121" t="s">
        <v>78</v>
      </c>
      <c r="C24" s="121"/>
      <c r="D24" s="337"/>
      <c r="E24" s="394">
        <v>0.87064069064145955</v>
      </c>
      <c r="F24" s="269">
        <v>0.86271964610198038</v>
      </c>
      <c r="G24" s="396"/>
      <c r="H24" s="210">
        <v>-3.9803538980196507E-3</v>
      </c>
      <c r="I24" s="267">
        <v>0.86594830858410654</v>
      </c>
      <c r="J24" s="180"/>
      <c r="K24" s="210">
        <v>-5.9516914158934675E-3</v>
      </c>
      <c r="L24" s="271">
        <v>0.86670000000000003</v>
      </c>
      <c r="M24" s="267">
        <v>0.87190000000000001</v>
      </c>
    </row>
    <row r="25" spans="1:14" ht="36.75" customHeight="1" thickBot="1">
      <c r="B25" s="160" t="s">
        <v>79</v>
      </c>
      <c r="C25" s="160"/>
      <c r="D25" s="338"/>
      <c r="E25" s="395">
        <v>0.7430601965410909</v>
      </c>
      <c r="F25" s="270">
        <v>0.72927530122964845</v>
      </c>
      <c r="G25" s="197"/>
      <c r="H25" s="226">
        <v>5.7530122964843944E-4</v>
      </c>
      <c r="I25" s="268">
        <v>0.73421571461341339</v>
      </c>
      <c r="J25" s="173"/>
      <c r="K25" s="226">
        <v>8.1571461341334306E-4</v>
      </c>
      <c r="L25" s="272">
        <v>0.72870000000000001</v>
      </c>
      <c r="M25" s="268">
        <v>0.73340000000000005</v>
      </c>
    </row>
    <row r="26" spans="1:14" ht="15" customHeight="1"/>
    <row r="27" spans="1:14" ht="3" customHeight="1">
      <c r="A27" s="1"/>
      <c r="B27" s="1"/>
      <c r="C27" s="1"/>
      <c r="D27" s="1"/>
      <c r="E27" s="1"/>
      <c r="F27" s="1"/>
      <c r="G27" s="2"/>
      <c r="H27" s="2"/>
      <c r="I27" s="2"/>
      <c r="J27" s="2"/>
      <c r="K27" s="2"/>
      <c r="L27" s="1"/>
      <c r="M27" s="2"/>
      <c r="N27" s="3"/>
    </row>
    <row r="29" spans="1:14">
      <c r="C29" s="114"/>
      <c r="D29" s="114"/>
      <c r="E29" s="321"/>
      <c r="F29" s="321"/>
      <c r="I29" s="321"/>
      <c r="L29" s="321"/>
      <c r="M29" s="322"/>
    </row>
    <row r="30" spans="1:14">
      <c r="C30" s="114"/>
      <c r="D30" s="114"/>
      <c r="E30" s="321"/>
      <c r="F30" s="321"/>
      <c r="I30" s="321"/>
      <c r="L30" s="321"/>
      <c r="M30" s="321"/>
    </row>
    <row r="31" spans="1:14">
      <c r="D31" s="114"/>
      <c r="I31" s="323"/>
      <c r="M31" s="323"/>
    </row>
    <row r="32" spans="1:14">
      <c r="D32" s="114"/>
      <c r="I32" s="323"/>
      <c r="M32" s="323"/>
    </row>
    <row r="33" spans="4:13">
      <c r="D33" s="114"/>
      <c r="I33" s="323"/>
      <c r="M33" s="323"/>
    </row>
    <row r="34" spans="4:13">
      <c r="D34" s="114"/>
      <c r="I34" s="323"/>
      <c r="M34" s="323"/>
    </row>
    <row r="35" spans="4:13">
      <c r="D35" s="114"/>
      <c r="I35" s="323"/>
      <c r="M35" s="323"/>
    </row>
    <row r="36" spans="4:13">
      <c r="D36" s="114"/>
      <c r="I36" s="323"/>
      <c r="M36" s="323"/>
    </row>
    <row r="37" spans="4:13">
      <c r="D37" s="114"/>
      <c r="I37" s="323"/>
      <c r="M37" s="323"/>
    </row>
    <row r="38" spans="4:13">
      <c r="D38" s="114"/>
    </row>
    <row r="39" spans="4:13">
      <c r="D39" s="114"/>
      <c r="I39" s="323"/>
      <c r="M39" s="323"/>
    </row>
  </sheetData>
  <mergeCells count="8">
    <mergeCell ref="B5:D7"/>
    <mergeCell ref="F5:K5"/>
    <mergeCell ref="L5:M5"/>
    <mergeCell ref="F6:F7"/>
    <mergeCell ref="L6:L7"/>
    <mergeCell ref="I6:I7"/>
    <mergeCell ref="M6:M7"/>
    <mergeCell ref="E5:E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scale="95" orientation="portrait" r:id="rId1"/>
  <headerFooter>
    <oddFooter>&amp;C-  2 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N37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5.625" style="4" customWidth="1"/>
    <col min="3" max="3" width="2.625" style="4" customWidth="1"/>
    <col min="4" max="4" width="17.125" style="4" customWidth="1"/>
    <col min="5" max="6" width="8.625" style="4" customWidth="1"/>
    <col min="7" max="8" width="6.625" style="4" customWidth="1"/>
    <col min="9" max="9" width="8.625" style="4" customWidth="1"/>
    <col min="10" max="10" width="6.625" style="4" customWidth="1"/>
    <col min="11" max="12" width="8.625" style="4" customWidth="1"/>
    <col min="13" max="13" width="1.625" style="12" customWidth="1"/>
    <col min="14" max="14" width="20.625" style="13" customWidth="1"/>
    <col min="15" max="16384" width="9" style="13"/>
  </cols>
  <sheetData>
    <row r="1" spans="1:13" ht="24.95" customHeight="1">
      <c r="A1" s="6"/>
      <c r="B1" s="7" t="s">
        <v>119</v>
      </c>
      <c r="C1" s="7"/>
      <c r="D1" s="7"/>
      <c r="E1" s="8"/>
      <c r="F1" s="8"/>
      <c r="G1" s="9"/>
      <c r="H1" s="9"/>
      <c r="I1" s="9"/>
      <c r="J1" s="10"/>
      <c r="K1" s="8"/>
      <c r="L1" s="10"/>
      <c r="M1" s="11"/>
    </row>
    <row r="2" spans="1:13" customFormat="1" ht="3" customHeight="1">
      <c r="A2" s="1"/>
      <c r="B2" s="1"/>
      <c r="C2" s="1"/>
      <c r="D2" s="1"/>
      <c r="E2" s="1"/>
      <c r="F2" s="1"/>
      <c r="G2" s="2"/>
      <c r="H2" s="2"/>
      <c r="I2" s="2"/>
      <c r="J2" s="2"/>
      <c r="K2" s="1"/>
      <c r="L2" s="2"/>
      <c r="M2" s="3"/>
    </row>
    <row r="3" spans="1:13" ht="15" customHeight="1">
      <c r="A3" s="6"/>
      <c r="B3" s="6"/>
      <c r="C3" s="6"/>
      <c r="D3" s="6"/>
      <c r="E3" s="6"/>
      <c r="F3" s="6"/>
      <c r="G3" s="14"/>
      <c r="H3" s="14"/>
      <c r="I3" s="14"/>
      <c r="J3" s="14"/>
      <c r="K3" s="6"/>
      <c r="L3" s="14"/>
      <c r="M3" s="15"/>
    </row>
    <row r="4" spans="1:13" ht="15" customHeight="1" thickBot="1">
      <c r="A4" s="6"/>
      <c r="B4" s="8"/>
      <c r="C4" s="8"/>
      <c r="D4" s="8"/>
      <c r="E4" s="6"/>
      <c r="F4" s="6"/>
      <c r="G4" s="14"/>
      <c r="H4" s="14"/>
      <c r="I4" s="14"/>
      <c r="J4" s="14"/>
      <c r="K4" s="6"/>
      <c r="L4" s="16" t="s">
        <v>1</v>
      </c>
      <c r="M4" s="15"/>
    </row>
    <row r="5" spans="1:13" ht="15.95" customHeight="1">
      <c r="A5" s="8"/>
      <c r="B5" s="523" t="s">
        <v>4</v>
      </c>
      <c r="C5" s="523"/>
      <c r="D5" s="524"/>
      <c r="E5" s="492" t="str">
        <f>'(2) Premium'!E5:E7</f>
        <v>25.3Q</v>
      </c>
      <c r="F5" s="505">
        <f>'[10](5) IS_Q'!E5</f>
        <v>2025</v>
      </c>
      <c r="G5" s="505"/>
      <c r="H5" s="505"/>
      <c r="I5" s="505"/>
      <c r="J5" s="505"/>
      <c r="K5" s="507">
        <f>'[10](5) IS_Q'!J5</f>
        <v>2024</v>
      </c>
      <c r="L5" s="508"/>
      <c r="M5" s="11"/>
    </row>
    <row r="6" spans="1:13" ht="15.95" customHeight="1">
      <c r="A6" s="8"/>
      <c r="B6" s="525"/>
      <c r="C6" s="525"/>
      <c r="D6" s="526"/>
      <c r="E6" s="493"/>
      <c r="F6" s="546" t="str">
        <f>'(2) Premium'!F6:F7</f>
        <v>25.4Q</v>
      </c>
      <c r="G6" s="44"/>
      <c r="H6" s="44"/>
      <c r="I6" s="511" t="str">
        <f>'(2) Premium'!I6:I7</f>
        <v>25.4Q
누계</v>
      </c>
      <c r="J6" s="45"/>
      <c r="K6" s="547" t="str">
        <f>'(2) Premium'!L6:L7</f>
        <v>24.4Q</v>
      </c>
      <c r="L6" s="497" t="str">
        <f>'(2) Premium'!M6:M7</f>
        <v>24.4Q
누계</v>
      </c>
      <c r="M6" s="11"/>
    </row>
    <row r="7" spans="1:13" ht="15.95" customHeight="1" thickBot="1">
      <c r="A7" s="17"/>
      <c r="B7" s="527"/>
      <c r="C7" s="527"/>
      <c r="D7" s="528"/>
      <c r="E7" s="494"/>
      <c r="F7" s="527"/>
      <c r="G7" s="46" t="s">
        <v>172</v>
      </c>
      <c r="H7" s="183" t="s">
        <v>173</v>
      </c>
      <c r="I7" s="512"/>
      <c r="J7" s="46" t="s">
        <v>35</v>
      </c>
      <c r="K7" s="548"/>
      <c r="L7" s="498"/>
      <c r="M7" s="11"/>
    </row>
    <row r="8" spans="1:13" ht="26.1" customHeight="1" thickTop="1">
      <c r="B8" s="549" t="s">
        <v>60</v>
      </c>
      <c r="C8" s="118" t="s">
        <v>54</v>
      </c>
      <c r="D8" s="328"/>
      <c r="E8" s="391">
        <v>291379.62414600002</v>
      </c>
      <c r="F8" s="125">
        <v>296695.25320399995</v>
      </c>
      <c r="G8" s="359">
        <v>1.8242967652866593E-2</v>
      </c>
      <c r="H8" s="189">
        <v>5.8659950407454309E-2</v>
      </c>
      <c r="I8" s="126">
        <v>1129831.937342</v>
      </c>
      <c r="J8" s="127">
        <v>4.091810269960372E-2</v>
      </c>
      <c r="K8" s="128">
        <v>280255.48061000009</v>
      </c>
      <c r="L8" s="126">
        <v>1085418.664938</v>
      </c>
    </row>
    <row r="9" spans="1:13" ht="26.1" customHeight="1">
      <c r="B9" s="550"/>
      <c r="C9" s="62" t="s">
        <v>55</v>
      </c>
      <c r="D9" s="36"/>
      <c r="E9" s="341">
        <v>173588.52548099996</v>
      </c>
      <c r="F9" s="129">
        <v>177462.45694200002</v>
      </c>
      <c r="G9" s="364">
        <v>2.2316748473239834E-2</v>
      </c>
      <c r="H9" s="184">
        <v>9.8402477893316131E-2</v>
      </c>
      <c r="I9" s="130">
        <v>646360.087803</v>
      </c>
      <c r="J9" s="131">
        <v>8.1393416015504982E-2</v>
      </c>
      <c r="K9" s="132">
        <v>161564.14475899999</v>
      </c>
      <c r="L9" s="130">
        <v>597710.39681800001</v>
      </c>
    </row>
    <row r="10" spans="1:13" ht="26.1" customHeight="1">
      <c r="B10" s="550"/>
      <c r="C10" s="62" t="s">
        <v>56</v>
      </c>
      <c r="D10" s="36"/>
      <c r="E10" s="341">
        <v>82571.418599999975</v>
      </c>
      <c r="F10" s="129">
        <v>79150.642022000044</v>
      </c>
      <c r="G10" s="364">
        <v>-4.1428095047890245E-2</v>
      </c>
      <c r="H10" s="184">
        <v>-5.9326996406625643E-3</v>
      </c>
      <c r="I10" s="130">
        <v>334624.77937400003</v>
      </c>
      <c r="J10" s="131">
        <v>1.6656493869654954E-2</v>
      </c>
      <c r="K10" s="132">
        <v>79623.021493000037</v>
      </c>
      <c r="L10" s="130">
        <v>329142.42066200002</v>
      </c>
    </row>
    <row r="11" spans="1:13" ht="26.1" customHeight="1" thickBot="1">
      <c r="B11" s="551"/>
      <c r="C11" s="120" t="s">
        <v>116</v>
      </c>
      <c r="D11" s="329"/>
      <c r="E11" s="392">
        <v>35219.680065000081</v>
      </c>
      <c r="F11" s="133">
        <v>40082.154239999887</v>
      </c>
      <c r="G11" s="401">
        <v>0.13806128181817123</v>
      </c>
      <c r="H11" s="190">
        <v>2.5950438319646052E-2</v>
      </c>
      <c r="I11" s="134">
        <v>148847.07016499992</v>
      </c>
      <c r="J11" s="135">
        <v>-6.1291743769567586E-2</v>
      </c>
      <c r="K11" s="136">
        <v>39068.314358000061</v>
      </c>
      <c r="L11" s="134">
        <v>158565.847458</v>
      </c>
      <c r="M11" s="119"/>
    </row>
    <row r="12" spans="1:13" ht="26.1" customHeight="1">
      <c r="B12" s="552" t="s">
        <v>61</v>
      </c>
      <c r="C12" s="121" t="s">
        <v>105</v>
      </c>
      <c r="D12" s="330"/>
      <c r="E12" s="397">
        <v>245727.370987</v>
      </c>
      <c r="F12" s="137">
        <v>231488.03888699994</v>
      </c>
      <c r="G12" s="402">
        <v>-5.794768422746599E-2</v>
      </c>
      <c r="H12" s="191">
        <v>7.0812154662281079E-2</v>
      </c>
      <c r="I12" s="138">
        <v>950944.08915699995</v>
      </c>
      <c r="J12" s="139">
        <v>1.941355449718718E-2</v>
      </c>
      <c r="K12" s="140">
        <v>216179.87606799998</v>
      </c>
      <c r="L12" s="138">
        <v>932834.45659700001</v>
      </c>
    </row>
    <row r="13" spans="1:13" ht="26.1" customHeight="1">
      <c r="B13" s="553"/>
      <c r="C13" s="62" t="s">
        <v>106</v>
      </c>
      <c r="D13" s="36"/>
      <c r="E13" s="341">
        <v>36527.979033999996</v>
      </c>
      <c r="F13" s="129">
        <v>36026.049245000002</v>
      </c>
      <c r="G13" s="364">
        <v>-1.3740967944949833E-2</v>
      </c>
      <c r="H13" s="184">
        <v>6.2527783628711475E-2</v>
      </c>
      <c r="I13" s="130">
        <v>136224.48756400001</v>
      </c>
      <c r="J13" s="131">
        <v>2.8465338772046822E-2</v>
      </c>
      <c r="K13" s="132">
        <v>33905.983260000008</v>
      </c>
      <c r="L13" s="130">
        <v>132454.13571900001</v>
      </c>
    </row>
    <row r="14" spans="1:13" ht="26.1" customHeight="1">
      <c r="B14" s="553"/>
      <c r="C14" s="62" t="s">
        <v>108</v>
      </c>
      <c r="D14" s="36"/>
      <c r="E14" s="341">
        <v>-67652.993424999469</v>
      </c>
      <c r="F14" s="129">
        <v>-93720.396194999645</v>
      </c>
      <c r="G14" s="364" t="s">
        <v>139</v>
      </c>
      <c r="H14" s="184" t="s">
        <v>139</v>
      </c>
      <c r="I14" s="130">
        <v>-306114.09923999931</v>
      </c>
      <c r="J14" s="131" t="s">
        <v>139</v>
      </c>
      <c r="K14" s="132">
        <v>-98507.070426000078</v>
      </c>
      <c r="L14" s="130">
        <v>-212362.8601989999</v>
      </c>
    </row>
    <row r="15" spans="1:13" ht="26.1" customHeight="1">
      <c r="B15" s="553"/>
      <c r="C15" s="35" t="s">
        <v>109</v>
      </c>
      <c r="D15" s="33"/>
      <c r="E15" s="342">
        <v>-90533.914059999428</v>
      </c>
      <c r="F15" s="101">
        <v>-115161.06112799974</v>
      </c>
      <c r="G15" s="360" t="s">
        <v>139</v>
      </c>
      <c r="H15" s="185" t="s">
        <v>139</v>
      </c>
      <c r="I15" s="77">
        <v>-349811.0289159994</v>
      </c>
      <c r="J15" s="76" t="s">
        <v>139</v>
      </c>
      <c r="K15" s="78">
        <v>-110595.39718000009</v>
      </c>
      <c r="L15" s="77">
        <v>-188292.37199499991</v>
      </c>
    </row>
    <row r="16" spans="1:13" ht="26.1" customHeight="1">
      <c r="B16" s="553"/>
      <c r="C16" s="35"/>
      <c r="D16" s="331" t="s">
        <v>57</v>
      </c>
      <c r="E16" s="343">
        <v>1435046.983515</v>
      </c>
      <c r="F16" s="100">
        <v>1393060.4344570003</v>
      </c>
      <c r="G16" s="361">
        <v>-2.9257961265601096E-2</v>
      </c>
      <c r="H16" s="186">
        <v>5.3675596190590369E-2</v>
      </c>
      <c r="I16" s="80">
        <v>5478673.8742070002</v>
      </c>
      <c r="J16" s="79">
        <v>7.6677226145362765E-2</v>
      </c>
      <c r="K16" s="81">
        <v>1322096.1361290002</v>
      </c>
      <c r="L16" s="80">
        <v>5088501.6801380003</v>
      </c>
    </row>
    <row r="17" spans="2:14" ht="26.1" customHeight="1">
      <c r="B17" s="553"/>
      <c r="C17" s="35"/>
      <c r="D17" s="332" t="s">
        <v>121</v>
      </c>
      <c r="E17" s="342">
        <v>1563807.8106169994</v>
      </c>
      <c r="F17" s="101">
        <v>1588251.9324030001</v>
      </c>
      <c r="G17" s="360">
        <v>1.5631154685406212E-2</v>
      </c>
      <c r="H17" s="185">
        <v>0.10023948337633248</v>
      </c>
      <c r="I17" s="202">
        <v>6043377.2300159996</v>
      </c>
      <c r="J17" s="76">
        <v>0.1031669040078258</v>
      </c>
      <c r="K17" s="78">
        <v>1443551.1144620003</v>
      </c>
      <c r="L17" s="202">
        <v>5478207.5206030002</v>
      </c>
    </row>
    <row r="18" spans="2:14" ht="26.1" customHeight="1">
      <c r="B18" s="553"/>
      <c r="C18" s="35"/>
      <c r="D18" s="207" t="s">
        <v>163</v>
      </c>
      <c r="E18" s="344">
        <v>-38226.913042</v>
      </c>
      <c r="F18" s="102">
        <v>-80030.436817999987</v>
      </c>
      <c r="G18" s="362" t="s">
        <v>139</v>
      </c>
      <c r="H18" s="187" t="s">
        <v>139</v>
      </c>
      <c r="I18" s="83">
        <v>-214892.32689299999</v>
      </c>
      <c r="J18" s="82" t="s">
        <v>139</v>
      </c>
      <c r="K18" s="84">
        <v>-10859.581153000006</v>
      </c>
      <c r="L18" s="83">
        <v>-201413.46846999999</v>
      </c>
      <c r="M18" s="119"/>
      <c r="N18" s="167"/>
    </row>
    <row r="19" spans="2:14" ht="26.1" customHeight="1">
      <c r="B19" s="553"/>
      <c r="C19" s="35" t="s">
        <v>110</v>
      </c>
      <c r="D19" s="36"/>
      <c r="E19" s="342">
        <v>22880.920634999951</v>
      </c>
      <c r="F19" s="101">
        <v>21440.664933000091</v>
      </c>
      <c r="G19" s="360">
        <v>-6.2945705943176278E-2</v>
      </c>
      <c r="H19" s="185">
        <v>0.77366689115227749</v>
      </c>
      <c r="I19" s="77">
        <v>43696.92967600008</v>
      </c>
      <c r="J19" s="76" t="s">
        <v>139</v>
      </c>
      <c r="K19" s="78">
        <v>12088.326754000005</v>
      </c>
      <c r="L19" s="77">
        <v>-24070.488203999987</v>
      </c>
    </row>
    <row r="20" spans="2:14" ht="26.1" customHeight="1">
      <c r="B20" s="553"/>
      <c r="C20" s="35"/>
      <c r="D20" s="331" t="s">
        <v>58</v>
      </c>
      <c r="E20" s="343">
        <v>169266.23820699996</v>
      </c>
      <c r="F20" s="100">
        <v>173030.00848300004</v>
      </c>
      <c r="G20" s="361">
        <v>2.223580033365713E-2</v>
      </c>
      <c r="H20" s="186">
        <v>5.6263321128082522E-2</v>
      </c>
      <c r="I20" s="80">
        <v>677337.30651000002</v>
      </c>
      <c r="J20" s="79">
        <v>5.4060301049374093E-2</v>
      </c>
      <c r="K20" s="81">
        <v>163813.32667899999</v>
      </c>
      <c r="L20" s="80">
        <v>642598.25157600001</v>
      </c>
    </row>
    <row r="21" spans="2:14" ht="26.1" customHeight="1">
      <c r="B21" s="553"/>
      <c r="C21" s="35"/>
      <c r="D21" s="332" t="s">
        <v>59</v>
      </c>
      <c r="E21" s="342">
        <v>150912.09716800001</v>
      </c>
      <c r="F21" s="101">
        <v>151695.91549299995</v>
      </c>
      <c r="G21" s="360">
        <v>5.1938733852952002E-3</v>
      </c>
      <c r="H21" s="185">
        <v>3.7612293603239699E-4</v>
      </c>
      <c r="I21" s="77">
        <v>629217.92816699995</v>
      </c>
      <c r="J21" s="76">
        <v>-2.4621451176586207E-2</v>
      </c>
      <c r="K21" s="78">
        <v>151638.88063199999</v>
      </c>
      <c r="L21" s="77">
        <v>645101.257277</v>
      </c>
    </row>
    <row r="22" spans="2:14" ht="26.1" customHeight="1">
      <c r="B22" s="553"/>
      <c r="C22" s="35"/>
      <c r="D22" s="207" t="s">
        <v>77</v>
      </c>
      <c r="E22" s="344">
        <v>-4526.7795960000003</v>
      </c>
      <c r="F22" s="102">
        <v>-106.57194299999992</v>
      </c>
      <c r="G22" s="362" t="s">
        <v>139</v>
      </c>
      <c r="H22" s="187" t="s">
        <v>139</v>
      </c>
      <c r="I22" s="83">
        <v>4422.4486669999997</v>
      </c>
      <c r="J22" s="82">
        <v>-0.79494831321250192</v>
      </c>
      <c r="K22" s="84">
        <v>86.119292999999743</v>
      </c>
      <c r="L22" s="83">
        <v>21567.482502999999</v>
      </c>
    </row>
    <row r="23" spans="2:14" ht="26.1" customHeight="1">
      <c r="B23" s="553"/>
      <c r="C23" s="62" t="s">
        <v>76</v>
      </c>
      <c r="D23" s="36"/>
      <c r="E23" s="341">
        <v>-568.69068600000014</v>
      </c>
      <c r="F23" s="129">
        <v>-4919.3752409999997</v>
      </c>
      <c r="G23" s="364" t="s">
        <v>139</v>
      </c>
      <c r="H23" s="184" t="s">
        <v>139</v>
      </c>
      <c r="I23" s="130">
        <v>-6965.8402260000003</v>
      </c>
      <c r="J23" s="131" t="s">
        <v>139</v>
      </c>
      <c r="K23" s="132">
        <v>-2368.5496370000001</v>
      </c>
      <c r="L23" s="130">
        <v>-8195.2868859999999</v>
      </c>
    </row>
    <row r="24" spans="2:14" ht="26.1" customHeight="1">
      <c r="B24" s="553"/>
      <c r="C24" s="62" t="s">
        <v>164</v>
      </c>
      <c r="D24" s="36"/>
      <c r="E24" s="341">
        <v>18508.918770000004</v>
      </c>
      <c r="F24" s="129">
        <v>296347.06889400003</v>
      </c>
      <c r="G24" s="364">
        <v>15.011041626825399</v>
      </c>
      <c r="H24" s="184">
        <v>0.97650805054319134</v>
      </c>
      <c r="I24" s="177">
        <v>380616.09874500002</v>
      </c>
      <c r="J24" s="131" t="s">
        <v>139</v>
      </c>
      <c r="K24" s="132">
        <v>149934.66321199998</v>
      </c>
      <c r="L24" s="177">
        <v>-51899.389746000001</v>
      </c>
    </row>
    <row r="25" spans="2:14" ht="26.1" customHeight="1">
      <c r="B25" s="553"/>
      <c r="C25" s="62" t="s">
        <v>75</v>
      </c>
      <c r="D25" s="36"/>
      <c r="E25" s="341">
        <v>13981.108016999999</v>
      </c>
      <c r="F25" s="129">
        <v>14401.651908</v>
      </c>
      <c r="G25" s="364">
        <v>3.0079439375523709E-2</v>
      </c>
      <c r="H25" s="184">
        <v>0.49200730405390791</v>
      </c>
      <c r="I25" s="130">
        <v>55365.900231</v>
      </c>
      <c r="J25" s="131">
        <v>0.76880722076411767</v>
      </c>
      <c r="K25" s="132">
        <v>9652.5344540000006</v>
      </c>
      <c r="L25" s="130">
        <v>31301.263123000001</v>
      </c>
    </row>
    <row r="26" spans="2:14" ht="26.1" customHeight="1" thickBot="1">
      <c r="B26" s="554"/>
      <c r="C26" s="124" t="s">
        <v>116</v>
      </c>
      <c r="D26" s="333"/>
      <c r="E26" s="392">
        <v>181543.63912300055</v>
      </c>
      <c r="F26" s="133">
        <v>-141874.40410599971</v>
      </c>
      <c r="G26" s="401" t="s">
        <v>139</v>
      </c>
      <c r="H26" s="190" t="s">
        <v>139</v>
      </c>
      <c r="I26" s="134">
        <v>338106.63827900065</v>
      </c>
      <c r="J26" s="135">
        <v>-0.60927369177861079</v>
      </c>
      <c r="K26" s="136">
        <v>-10376.958401000069</v>
      </c>
      <c r="L26" s="141">
        <v>865328.57185400021</v>
      </c>
    </row>
    <row r="27" spans="2:14" ht="26.1" customHeight="1">
      <c r="B27" s="555" t="s">
        <v>62</v>
      </c>
      <c r="C27" s="123" t="s">
        <v>54</v>
      </c>
      <c r="D27" s="334"/>
      <c r="E27" s="397">
        <v>972612.29987099976</v>
      </c>
      <c r="F27" s="137">
        <v>961763.15995700005</v>
      </c>
      <c r="G27" s="402">
        <v>-1.1154639845124992E-2</v>
      </c>
      <c r="H27" s="191">
        <v>-6.218918109480065E-2</v>
      </c>
      <c r="I27" s="138">
        <v>3894031.1539099999</v>
      </c>
      <c r="J27" s="139">
        <v>-6.6526630620557525E-2</v>
      </c>
      <c r="K27" s="140">
        <v>1025540.6960220002</v>
      </c>
      <c r="L27" s="142">
        <v>4171550.3426720002</v>
      </c>
    </row>
    <row r="28" spans="2:14" ht="26.1" customHeight="1">
      <c r="B28" s="550"/>
      <c r="C28" s="62" t="s">
        <v>55</v>
      </c>
      <c r="D28" s="33"/>
      <c r="E28" s="341">
        <v>883122.79663399979</v>
      </c>
      <c r="F28" s="129">
        <v>867568.75946900016</v>
      </c>
      <c r="G28" s="364">
        <v>-1.7612541794055692E-2</v>
      </c>
      <c r="H28" s="184">
        <v>-8.8545828022171702E-2</v>
      </c>
      <c r="I28" s="130">
        <v>3373692.910741</v>
      </c>
      <c r="J28" s="131">
        <v>-3.5353514688692633E-2</v>
      </c>
      <c r="K28" s="132">
        <v>951851.21330500022</v>
      </c>
      <c r="L28" s="143">
        <v>3497336.0315020001</v>
      </c>
    </row>
    <row r="29" spans="2:14" ht="26.1" customHeight="1">
      <c r="B29" s="550"/>
      <c r="C29" s="62" t="s">
        <v>56</v>
      </c>
      <c r="D29" s="33"/>
      <c r="E29" s="398">
        <v>144822.82532499998</v>
      </c>
      <c r="F29" s="144">
        <v>146297.01420000003</v>
      </c>
      <c r="G29" s="364">
        <v>1.0179257804781683E-2</v>
      </c>
      <c r="H29" s="184">
        <v>-2.5612175895944778E-2</v>
      </c>
      <c r="I29" s="130">
        <v>611180.64741900004</v>
      </c>
      <c r="J29" s="131">
        <v>-6.6908398455714169E-2</v>
      </c>
      <c r="K29" s="132">
        <v>150142.49006499996</v>
      </c>
      <c r="L29" s="143">
        <v>655006.05343299999</v>
      </c>
    </row>
    <row r="30" spans="2:14" ht="26.1" customHeight="1" thickBot="1">
      <c r="B30" s="551"/>
      <c r="C30" s="124" t="s">
        <v>116</v>
      </c>
      <c r="D30" s="38"/>
      <c r="E30" s="399">
        <v>-55333.322088000015</v>
      </c>
      <c r="F30" s="145">
        <v>-52102.613712000137</v>
      </c>
      <c r="G30" s="401" t="s">
        <v>139</v>
      </c>
      <c r="H30" s="190" t="s">
        <v>139</v>
      </c>
      <c r="I30" s="134">
        <v>-90842.404250000138</v>
      </c>
      <c r="J30" s="135" t="s">
        <v>139</v>
      </c>
      <c r="K30" s="136">
        <v>-76453.007348000014</v>
      </c>
      <c r="L30" s="141">
        <v>19208.257737000124</v>
      </c>
    </row>
    <row r="31" spans="2:14" ht="26.1" customHeight="1" thickBot="1">
      <c r="B31" s="556" t="s">
        <v>117</v>
      </c>
      <c r="C31" s="556"/>
      <c r="D31" s="557"/>
      <c r="E31" s="400">
        <v>161429.99710000062</v>
      </c>
      <c r="F31" s="146">
        <v>-153894.86357799996</v>
      </c>
      <c r="G31" s="403" t="s">
        <v>139</v>
      </c>
      <c r="H31" s="192" t="s">
        <v>139</v>
      </c>
      <c r="I31" s="147">
        <v>396111.30419400043</v>
      </c>
      <c r="J31" s="148">
        <v>-0.62025665075021863</v>
      </c>
      <c r="K31" s="149">
        <v>-47761.651391000021</v>
      </c>
      <c r="L31" s="150">
        <v>1043102.6770490003</v>
      </c>
    </row>
    <row r="32" spans="2:14" ht="15" customHeight="1">
      <c r="B32" s="114"/>
      <c r="C32" s="225"/>
      <c r="D32" s="225"/>
      <c r="E32" s="129"/>
      <c r="F32" s="129"/>
      <c r="G32" s="166"/>
      <c r="H32" s="166"/>
      <c r="I32" s="223"/>
      <c r="J32" s="166"/>
      <c r="K32" s="129"/>
      <c r="L32" s="224"/>
    </row>
    <row r="33" spans="1:13" ht="15" customHeight="1"/>
    <row r="34" spans="1:13" ht="3" customHeight="1">
      <c r="A34" s="1"/>
      <c r="B34" s="1"/>
      <c r="C34" s="1"/>
      <c r="D34" s="1"/>
      <c r="E34" s="1"/>
      <c r="F34" s="1"/>
      <c r="G34" s="2"/>
      <c r="H34" s="2"/>
      <c r="I34" s="2"/>
      <c r="J34" s="2"/>
      <c r="K34" s="1"/>
      <c r="L34" s="2"/>
      <c r="M34" s="3"/>
    </row>
    <row r="36" spans="1:13">
      <c r="D36" s="114"/>
    </row>
    <row r="37" spans="1:13">
      <c r="D37" s="114"/>
    </row>
  </sheetData>
  <mergeCells count="12">
    <mergeCell ref="L6:L7"/>
    <mergeCell ref="B5:D7"/>
    <mergeCell ref="F5:J5"/>
    <mergeCell ref="K5:L5"/>
    <mergeCell ref="F6:F7"/>
    <mergeCell ref="K6:K7"/>
    <mergeCell ref="B8:B11"/>
    <mergeCell ref="B12:B26"/>
    <mergeCell ref="B27:B30"/>
    <mergeCell ref="B31:D31"/>
    <mergeCell ref="I6:I7"/>
    <mergeCell ref="E5:E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scale="95" orientation="portrait" r:id="rId1"/>
  <headerFooter>
    <oddFooter>&amp;C-  3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55"/>
  <sheetViews>
    <sheetView showGridLines="0"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2.625" style="4" customWidth="1"/>
    <col min="3" max="3" width="20.625" style="4" customWidth="1"/>
    <col min="4" max="5" width="8.625" style="4" customWidth="1"/>
    <col min="6" max="7" width="7.625" style="4" customWidth="1"/>
    <col min="8" max="8" width="8.625" style="4" customWidth="1"/>
    <col min="9" max="9" width="7.625" style="4" customWidth="1"/>
    <col min="10" max="11" width="8.625" style="4" customWidth="1"/>
    <col min="12" max="12" width="1.625" style="12" customWidth="1"/>
    <col min="13" max="13" width="20.625" style="13" customWidth="1"/>
    <col min="14" max="16384" width="9" style="13"/>
  </cols>
  <sheetData>
    <row r="1" spans="1:12" ht="24.95" customHeight="1">
      <c r="A1" s="6"/>
      <c r="B1" s="7" t="s">
        <v>114</v>
      </c>
      <c r="C1" s="7"/>
      <c r="D1" s="8"/>
      <c r="E1" s="8"/>
      <c r="F1" s="8"/>
      <c r="G1" s="9"/>
      <c r="H1" s="9"/>
      <c r="I1" s="10"/>
      <c r="J1" s="8"/>
      <c r="K1" s="10"/>
      <c r="L1" s="11"/>
    </row>
    <row r="2" spans="1:12" customFormat="1" ht="3" customHeight="1">
      <c r="A2" s="1"/>
      <c r="B2" s="1"/>
      <c r="C2" s="1"/>
      <c r="D2" s="1"/>
      <c r="E2" s="1"/>
      <c r="F2" s="1"/>
      <c r="G2" s="2"/>
      <c r="H2" s="2"/>
      <c r="I2" s="2"/>
      <c r="J2" s="1"/>
      <c r="K2" s="2"/>
      <c r="L2" s="3"/>
    </row>
    <row r="3" spans="1:12" ht="15" customHeight="1">
      <c r="A3" s="6"/>
      <c r="B3" s="6"/>
      <c r="C3" s="6"/>
      <c r="D3" s="6"/>
      <c r="E3" s="6"/>
      <c r="F3" s="6"/>
      <c r="G3" s="14"/>
      <c r="H3" s="14"/>
      <c r="I3" s="14"/>
      <c r="J3" s="6"/>
      <c r="K3" s="14"/>
      <c r="L3" s="15"/>
    </row>
    <row r="4" spans="1:12" ht="15" customHeight="1" thickBot="1">
      <c r="A4" s="6"/>
      <c r="B4" s="8"/>
      <c r="C4" s="8"/>
      <c r="D4" s="6"/>
      <c r="E4" s="6"/>
      <c r="F4" s="6"/>
      <c r="G4" s="14"/>
      <c r="H4" s="14"/>
      <c r="I4" s="14"/>
      <c r="J4" s="6"/>
      <c r="K4" s="16" t="s">
        <v>1</v>
      </c>
      <c r="L4" s="15"/>
    </row>
    <row r="5" spans="1:12" ht="15.95" customHeight="1">
      <c r="A5" s="6"/>
      <c r="B5" s="523" t="s">
        <v>4</v>
      </c>
      <c r="C5" s="524"/>
      <c r="D5" s="576" t="str">
        <f>'(6) BS'!D5:D6</f>
        <v>2025. 12월 말</v>
      </c>
      <c r="E5" s="523"/>
      <c r="F5" s="523"/>
      <c r="G5" s="29"/>
      <c r="H5" s="486"/>
      <c r="I5" s="574" t="str">
        <f>'(6) BS'!G5:G6</f>
        <v>2024. 12월 말</v>
      </c>
      <c r="J5" s="574"/>
      <c r="K5" s="42"/>
      <c r="L5" s="15"/>
    </row>
    <row r="6" spans="1:12" ht="15.95" customHeight="1" thickBot="1">
      <c r="A6" s="6"/>
      <c r="B6" s="527"/>
      <c r="C6" s="528"/>
      <c r="D6" s="510"/>
      <c r="E6" s="527"/>
      <c r="F6" s="527"/>
      <c r="G6" s="31" t="s">
        <v>2</v>
      </c>
      <c r="H6" s="487" t="s">
        <v>3</v>
      </c>
      <c r="I6" s="575"/>
      <c r="J6" s="575"/>
      <c r="K6" s="43" t="s">
        <v>2</v>
      </c>
      <c r="L6" s="15"/>
    </row>
    <row r="7" spans="1:12" ht="18.600000000000001" customHeight="1" thickTop="1" thickBot="1">
      <c r="A7" s="6"/>
      <c r="B7" s="422"/>
      <c r="C7" s="423" t="s">
        <v>152</v>
      </c>
      <c r="D7" s="577">
        <v>47015756.674845003</v>
      </c>
      <c r="E7" s="578"/>
      <c r="F7" s="579"/>
      <c r="G7" s="459">
        <f>D7/$D$7</f>
        <v>1</v>
      </c>
      <c r="H7" s="460">
        <f t="shared" ref="H7:H21" si="0">IF(D7*I7&gt;0,D7/I7-1,"")</f>
        <v>2.6833641683172038E-2</v>
      </c>
      <c r="I7" s="577">
        <v>45787121.463782005</v>
      </c>
      <c r="J7" s="579"/>
      <c r="K7" s="461">
        <f>I7/$I$7</f>
        <v>1</v>
      </c>
      <c r="L7" s="15"/>
    </row>
    <row r="8" spans="1:12" ht="18.600000000000001" customHeight="1">
      <c r="A8" s="6"/>
      <c r="B8" s="424"/>
      <c r="C8" s="425" t="s">
        <v>153</v>
      </c>
      <c r="D8" s="580">
        <v>1647260.3804609999</v>
      </c>
      <c r="E8" s="581"/>
      <c r="F8" s="582"/>
      <c r="G8" s="462">
        <f t="shared" ref="G8:G21" si="1">D8/$D$7</f>
        <v>3.5036347321882814E-2</v>
      </c>
      <c r="H8" s="463">
        <f t="shared" si="0"/>
        <v>-0.22248931608196432</v>
      </c>
      <c r="I8" s="580">
        <v>2118633.7558220001</v>
      </c>
      <c r="J8" s="582"/>
      <c r="K8" s="464">
        <f t="shared" ref="K8:K21" si="2">I8/$I$7</f>
        <v>4.6271390034812669E-2</v>
      </c>
      <c r="L8" s="15"/>
    </row>
    <row r="9" spans="1:12" ht="18.600000000000001" customHeight="1">
      <c r="A9" s="6"/>
      <c r="B9" s="426"/>
      <c r="C9" s="427" t="s">
        <v>154</v>
      </c>
      <c r="D9" s="558">
        <v>188349.62556099999</v>
      </c>
      <c r="E9" s="559"/>
      <c r="F9" s="560"/>
      <c r="G9" s="465">
        <f t="shared" si="1"/>
        <v>4.0060958045108593E-3</v>
      </c>
      <c r="H9" s="466">
        <f t="shared" si="0"/>
        <v>0.18103024086363528</v>
      </c>
      <c r="I9" s="558">
        <v>159479.087871</v>
      </c>
      <c r="J9" s="560"/>
      <c r="K9" s="467">
        <f t="shared" si="2"/>
        <v>3.4830555573830795E-3</v>
      </c>
      <c r="L9" s="15"/>
    </row>
    <row r="10" spans="1:12" ht="18.600000000000001" customHeight="1">
      <c r="A10" s="6"/>
      <c r="B10" s="428"/>
      <c r="C10" s="429" t="s">
        <v>155</v>
      </c>
      <c r="D10" s="563">
        <v>20213818.572788</v>
      </c>
      <c r="E10" s="564"/>
      <c r="F10" s="565"/>
      <c r="G10" s="462">
        <f t="shared" si="1"/>
        <v>0.42993711050072425</v>
      </c>
      <c r="H10" s="463">
        <f t="shared" si="0"/>
        <v>0.15144807842142005</v>
      </c>
      <c r="I10" s="563">
        <v>17555128.148288</v>
      </c>
      <c r="J10" s="565"/>
      <c r="K10" s="464">
        <f t="shared" si="2"/>
        <v>0.38340755188496078</v>
      </c>
      <c r="L10" s="15"/>
    </row>
    <row r="11" spans="1:12" ht="18.600000000000001" customHeight="1">
      <c r="A11" s="6"/>
      <c r="B11" s="430"/>
      <c r="C11" s="431" t="s">
        <v>156</v>
      </c>
      <c r="D11" s="568">
        <v>11491840.533570001</v>
      </c>
      <c r="E11" s="569"/>
      <c r="F11" s="570"/>
      <c r="G11" s="468">
        <f t="shared" si="1"/>
        <v>0.24442530220338915</v>
      </c>
      <c r="H11" s="469">
        <f t="shared" si="0"/>
        <v>0.23714328608065838</v>
      </c>
      <c r="I11" s="568">
        <v>9289013.3769199997</v>
      </c>
      <c r="J11" s="570"/>
      <c r="K11" s="470">
        <f t="shared" si="2"/>
        <v>0.20287393223152686</v>
      </c>
      <c r="L11" s="15"/>
    </row>
    <row r="12" spans="1:12" ht="18.600000000000001" customHeight="1">
      <c r="A12" s="6"/>
      <c r="B12" s="430"/>
      <c r="C12" s="431" t="s">
        <v>157</v>
      </c>
      <c r="D12" s="568">
        <v>6245001.3776860004</v>
      </c>
      <c r="E12" s="569"/>
      <c r="F12" s="570"/>
      <c r="G12" s="468">
        <f t="shared" si="1"/>
        <v>0.13282783941723275</v>
      </c>
      <c r="H12" s="469">
        <f t="shared" si="0"/>
        <v>8.9383271164625411E-2</v>
      </c>
      <c r="I12" s="568">
        <v>5732602.6046000002</v>
      </c>
      <c r="J12" s="570"/>
      <c r="K12" s="470">
        <f t="shared" si="2"/>
        <v>0.12520120115291669</v>
      </c>
      <c r="L12" s="15"/>
    </row>
    <row r="13" spans="1:12" ht="18.600000000000001" customHeight="1">
      <c r="A13" s="6"/>
      <c r="B13" s="432"/>
      <c r="C13" s="433" t="s">
        <v>158</v>
      </c>
      <c r="D13" s="571">
        <v>2476976.6615320002</v>
      </c>
      <c r="E13" s="572"/>
      <c r="F13" s="573"/>
      <c r="G13" s="468">
        <f t="shared" si="1"/>
        <v>5.2683968880102384E-2</v>
      </c>
      <c r="H13" s="469">
        <f t="shared" si="0"/>
        <v>-2.2315071534912745E-2</v>
      </c>
      <c r="I13" s="571">
        <v>2533512.166768</v>
      </c>
      <c r="J13" s="573"/>
      <c r="K13" s="470">
        <f t="shared" si="2"/>
        <v>5.5332418500517205E-2</v>
      </c>
      <c r="L13" s="15"/>
    </row>
    <row r="14" spans="1:12" ht="18.600000000000001" customHeight="1">
      <c r="A14" s="6"/>
      <c r="B14" s="430"/>
      <c r="C14" s="427" t="s">
        <v>159</v>
      </c>
      <c r="D14" s="563">
        <v>6045080.4526739996</v>
      </c>
      <c r="E14" s="564"/>
      <c r="F14" s="565"/>
      <c r="G14" s="471">
        <f t="shared" si="1"/>
        <v>0.12857562826184013</v>
      </c>
      <c r="H14" s="472">
        <f t="shared" si="0"/>
        <v>3.7186644010556158E-4</v>
      </c>
      <c r="I14" s="566">
        <v>6042833.3257569997</v>
      </c>
      <c r="J14" s="567"/>
      <c r="K14" s="473">
        <f t="shared" si="2"/>
        <v>0.13197670289312532</v>
      </c>
      <c r="L14" s="15"/>
    </row>
    <row r="15" spans="1:12" ht="18.600000000000001" customHeight="1">
      <c r="A15" s="6"/>
      <c r="B15" s="434"/>
      <c r="C15" s="429" t="s">
        <v>160</v>
      </c>
      <c r="D15" s="563">
        <v>6929956.4563440001</v>
      </c>
      <c r="E15" s="564"/>
      <c r="F15" s="565"/>
      <c r="G15" s="471">
        <f t="shared" si="1"/>
        <v>0.14739646761979602</v>
      </c>
      <c r="H15" s="472">
        <f t="shared" si="0"/>
        <v>-5.0953640666246969E-3</v>
      </c>
      <c r="I15" s="566">
        <v>6965447.9495339999</v>
      </c>
      <c r="J15" s="567"/>
      <c r="K15" s="473">
        <f t="shared" si="2"/>
        <v>0.15212679301195484</v>
      </c>
      <c r="L15" s="15"/>
    </row>
    <row r="16" spans="1:12" ht="18.600000000000001" customHeight="1">
      <c r="A16" s="6"/>
      <c r="B16" s="430"/>
      <c r="C16" s="431" t="s">
        <v>161</v>
      </c>
      <c r="D16" s="568">
        <v>5837923.3711780002</v>
      </c>
      <c r="E16" s="569"/>
      <c r="F16" s="570"/>
      <c r="G16" s="468">
        <f t="shared" si="1"/>
        <v>0.12416950792799819</v>
      </c>
      <c r="H16" s="469">
        <f t="shared" si="0"/>
        <v>1.9451939859118639E-3</v>
      </c>
      <c r="I16" s="568">
        <v>5826589.5242769998</v>
      </c>
      <c r="J16" s="570"/>
      <c r="K16" s="470">
        <f t="shared" si="2"/>
        <v>0.12725389450144581</v>
      </c>
      <c r="L16" s="15"/>
    </row>
    <row r="17" spans="1:12" ht="18.600000000000001" customHeight="1">
      <c r="A17" s="6"/>
      <c r="B17" s="432"/>
      <c r="C17" s="433" t="s">
        <v>133</v>
      </c>
      <c r="D17" s="571">
        <v>1092033.0851659998</v>
      </c>
      <c r="E17" s="572"/>
      <c r="F17" s="573"/>
      <c r="G17" s="474">
        <f t="shared" si="1"/>
        <v>2.3226959691797833E-2</v>
      </c>
      <c r="H17" s="475">
        <f t="shared" si="0"/>
        <v>-4.1116032557280802E-2</v>
      </c>
      <c r="I17" s="571">
        <v>1138858.4252570001</v>
      </c>
      <c r="J17" s="573"/>
      <c r="K17" s="476">
        <f t="shared" si="2"/>
        <v>2.4872898510509046E-2</v>
      </c>
      <c r="L17" s="15"/>
    </row>
    <row r="18" spans="1:12" ht="18.600000000000001" customHeight="1">
      <c r="A18" s="6"/>
      <c r="B18" s="424"/>
      <c r="C18" s="425" t="s">
        <v>149</v>
      </c>
      <c r="D18" s="558">
        <v>389415.08155</v>
      </c>
      <c r="E18" s="559"/>
      <c r="F18" s="560"/>
      <c r="G18" s="465">
        <f t="shared" si="1"/>
        <v>8.2826505216781945E-3</v>
      </c>
      <c r="H18" s="466">
        <f t="shared" si="0"/>
        <v>-2.9601781805128069E-2</v>
      </c>
      <c r="I18" s="561">
        <v>401294.10199699999</v>
      </c>
      <c r="J18" s="562"/>
      <c r="K18" s="467">
        <f t="shared" si="2"/>
        <v>8.7643444088186893E-3</v>
      </c>
      <c r="L18" s="15"/>
    </row>
    <row r="19" spans="1:12" ht="18.600000000000001" customHeight="1">
      <c r="A19" s="6"/>
      <c r="B19" s="435"/>
      <c r="C19" s="436" t="s">
        <v>150</v>
      </c>
      <c r="D19" s="558">
        <v>829086.84282100003</v>
      </c>
      <c r="E19" s="559"/>
      <c r="F19" s="560"/>
      <c r="G19" s="462">
        <f t="shared" si="1"/>
        <v>1.7634233743271627E-2</v>
      </c>
      <c r="H19" s="463">
        <f t="shared" si="0"/>
        <v>-0.2214039086628169</v>
      </c>
      <c r="I19" s="561">
        <v>1064848.4522919999</v>
      </c>
      <c r="J19" s="562"/>
      <c r="K19" s="464">
        <f t="shared" si="2"/>
        <v>2.3256505721468076E-2</v>
      </c>
      <c r="L19" s="15"/>
    </row>
    <row r="20" spans="1:12" ht="18.600000000000001" customHeight="1">
      <c r="A20" s="6"/>
      <c r="B20" s="426"/>
      <c r="C20" s="427" t="s">
        <v>151</v>
      </c>
      <c r="D20" s="558">
        <v>9568273.3875619993</v>
      </c>
      <c r="E20" s="559"/>
      <c r="F20" s="560"/>
      <c r="G20" s="465">
        <f t="shared" si="1"/>
        <v>0.20351205774980846</v>
      </c>
      <c r="H20" s="466">
        <f t="shared" si="0"/>
        <v>-6.610511334201763E-2</v>
      </c>
      <c r="I20" s="561">
        <v>10245557.100973999</v>
      </c>
      <c r="J20" s="562"/>
      <c r="K20" s="467">
        <f t="shared" si="2"/>
        <v>0.22376504076759487</v>
      </c>
      <c r="L20" s="15"/>
    </row>
    <row r="21" spans="1:12" ht="18.600000000000001" customHeight="1" thickBot="1">
      <c r="A21" s="6"/>
      <c r="B21" s="437"/>
      <c r="C21" s="438" t="s">
        <v>162</v>
      </c>
      <c r="D21" s="583">
        <v>1204515.8750839999</v>
      </c>
      <c r="E21" s="584"/>
      <c r="F21" s="585"/>
      <c r="G21" s="477">
        <f t="shared" si="1"/>
        <v>2.5619408476487544E-2</v>
      </c>
      <c r="H21" s="478">
        <f t="shared" si="0"/>
        <v>-2.3813661631889693E-2</v>
      </c>
      <c r="I21" s="586">
        <v>1233899.541247</v>
      </c>
      <c r="J21" s="587"/>
      <c r="K21" s="479">
        <f t="shared" si="2"/>
        <v>2.6948615719881514E-2</v>
      </c>
      <c r="L21" s="15"/>
    </row>
    <row r="22" spans="1:12" ht="15" customHeight="1">
      <c r="A22" s="6"/>
      <c r="B22" s="8"/>
      <c r="C22" s="8"/>
      <c r="D22" s="6"/>
      <c r="E22" s="6"/>
      <c r="F22" s="6"/>
      <c r="G22" s="14"/>
      <c r="H22" s="14"/>
      <c r="I22" s="14"/>
      <c r="J22" s="6"/>
      <c r="K22" s="16"/>
      <c r="L22" s="15"/>
    </row>
    <row r="23" spans="1:12" ht="15" customHeight="1" thickBot="1">
      <c r="A23" s="6"/>
      <c r="B23" s="8"/>
      <c r="C23" s="8"/>
      <c r="D23" s="6"/>
      <c r="E23" s="6"/>
      <c r="F23" s="6"/>
      <c r="G23" s="14"/>
      <c r="H23" s="14"/>
      <c r="I23" s="14"/>
      <c r="J23" s="6"/>
      <c r="K23" s="16" t="s">
        <v>1</v>
      </c>
      <c r="L23" s="15"/>
    </row>
    <row r="24" spans="1:12" ht="15.95" customHeight="1">
      <c r="A24" s="8"/>
      <c r="B24" s="523" t="s">
        <v>4</v>
      </c>
      <c r="C24" s="524"/>
      <c r="D24" s="492" t="str">
        <f>'(5) IS'!D5</f>
        <v>25.3Q</v>
      </c>
      <c r="E24" s="505">
        <f>'[10](5) IS_Q'!E5:I5</f>
        <v>2025</v>
      </c>
      <c r="F24" s="505"/>
      <c r="G24" s="505"/>
      <c r="H24" s="505"/>
      <c r="I24" s="505"/>
      <c r="J24" s="507">
        <f>'[10](5) IS_Q'!J5:K5</f>
        <v>2024</v>
      </c>
      <c r="K24" s="508"/>
      <c r="L24" s="11"/>
    </row>
    <row r="25" spans="1:12" ht="15.95" customHeight="1">
      <c r="A25" s="8"/>
      <c r="B25" s="525"/>
      <c r="C25" s="526"/>
      <c r="D25" s="493"/>
      <c r="E25" s="546" t="str">
        <f>'(5) IS'!E6</f>
        <v>25.4Q</v>
      </c>
      <c r="F25" s="44"/>
      <c r="G25" s="44"/>
      <c r="H25" s="511" t="str">
        <f>'(5) IS'!H6</f>
        <v>25.4Q
누계</v>
      </c>
      <c r="I25" s="45"/>
      <c r="J25" s="547" t="str">
        <f>'(5) IS'!J6</f>
        <v>24.4Q</v>
      </c>
      <c r="K25" s="497" t="str">
        <f>'(5) IS'!K6</f>
        <v>24.4Q
누계</v>
      </c>
      <c r="L25" s="11"/>
    </row>
    <row r="26" spans="1:12" ht="15.95" customHeight="1" thickBot="1">
      <c r="A26" s="17"/>
      <c r="B26" s="527"/>
      <c r="C26" s="528"/>
      <c r="D26" s="494"/>
      <c r="E26" s="527"/>
      <c r="F26" s="46" t="s">
        <v>171</v>
      </c>
      <c r="G26" s="183" t="s">
        <v>174</v>
      </c>
      <c r="H26" s="512"/>
      <c r="I26" s="46" t="s">
        <v>174</v>
      </c>
      <c r="J26" s="548"/>
      <c r="K26" s="498"/>
      <c r="L26" s="11"/>
    </row>
    <row r="27" spans="1:12" ht="18.600000000000001" customHeight="1" thickTop="1">
      <c r="A27" s="17"/>
      <c r="B27" s="94" t="s">
        <v>131</v>
      </c>
      <c r="C27" s="75"/>
      <c r="D27" s="404">
        <v>89393.952968999511</v>
      </c>
      <c r="E27" s="106">
        <v>4452.2331000007107</v>
      </c>
      <c r="F27" s="416">
        <v>-0.95019536610552757</v>
      </c>
      <c r="G27" s="410">
        <v>-0.88524707245068779</v>
      </c>
      <c r="H27" s="107">
        <v>330285.65815299982</v>
      </c>
      <c r="I27" s="227">
        <v>-6.1832396381158672E-2</v>
      </c>
      <c r="J27" s="108">
        <v>38798.427151999902</v>
      </c>
      <c r="K27" s="105">
        <v>352054.00066999998</v>
      </c>
      <c r="L27" s="11"/>
    </row>
    <row r="28" spans="1:12" ht="18.600000000000001" customHeight="1">
      <c r="B28" s="74" t="s">
        <v>94</v>
      </c>
      <c r="C28" s="33"/>
      <c r="D28" s="405">
        <v>606922.47156899958</v>
      </c>
      <c r="E28" s="51">
        <v>510758.98140500061</v>
      </c>
      <c r="F28" s="22">
        <v>-0.15844443840644051</v>
      </c>
      <c r="G28" s="411">
        <v>-0.58145923188020276</v>
      </c>
      <c r="H28" s="211">
        <v>2847519.468444</v>
      </c>
      <c r="I28" s="95">
        <v>-9.4757162754137036E-2</v>
      </c>
      <c r="J28" s="68">
        <v>1220332.6899300001</v>
      </c>
      <c r="K28" s="211">
        <v>3145586.3015800002</v>
      </c>
    </row>
    <row r="29" spans="1:12" ht="18.600000000000001" customHeight="1">
      <c r="B29" s="74"/>
      <c r="C29" s="39" t="s">
        <v>111</v>
      </c>
      <c r="D29" s="406">
        <v>14992.662166000009</v>
      </c>
      <c r="E29" s="50">
        <v>29888.114118999991</v>
      </c>
      <c r="F29" s="417">
        <v>0.99351614730434745</v>
      </c>
      <c r="G29" s="412">
        <v>-0.36525874803282188</v>
      </c>
      <c r="H29" s="71">
        <v>122245.74669099999</v>
      </c>
      <c r="I29" s="98">
        <v>3.1880773914557681E-2</v>
      </c>
      <c r="J29" s="69">
        <v>47087.083163999996</v>
      </c>
      <c r="K29" s="71">
        <v>118468.86751</v>
      </c>
    </row>
    <row r="30" spans="1:12" ht="18.600000000000001" customHeight="1">
      <c r="B30" s="35"/>
      <c r="C30" s="96" t="s">
        <v>44</v>
      </c>
      <c r="D30" s="405">
        <v>669915.81897999998</v>
      </c>
      <c r="E30" s="51">
        <v>442842.00422700006</v>
      </c>
      <c r="F30" s="22">
        <v>-0.33895872932025672</v>
      </c>
      <c r="G30" s="411">
        <v>7.315519744689003E-2</v>
      </c>
      <c r="H30" s="211">
        <v>1942241.9815</v>
      </c>
      <c r="I30" s="110">
        <v>0.11800126069149486</v>
      </c>
      <c r="J30" s="68">
        <v>412654.20442499989</v>
      </c>
      <c r="K30" s="211">
        <v>1737244.893891</v>
      </c>
    </row>
    <row r="31" spans="1:12" ht="18.600000000000001" customHeight="1">
      <c r="B31" s="35"/>
      <c r="C31" s="96" t="s">
        <v>41</v>
      </c>
      <c r="D31" s="405">
        <v>55471.95782500002</v>
      </c>
      <c r="E31" s="51">
        <v>31726.674770999991</v>
      </c>
      <c r="F31" s="22">
        <v>-0.42805922100154437</v>
      </c>
      <c r="G31" s="411">
        <v>-0.30490862835775556</v>
      </c>
      <c r="H31" s="211">
        <v>268278.92598</v>
      </c>
      <c r="I31" s="95">
        <v>8.2398565138633861E-2</v>
      </c>
      <c r="J31" s="68">
        <v>45643.89095500001</v>
      </c>
      <c r="K31" s="211">
        <v>247855.951237</v>
      </c>
    </row>
    <row r="32" spans="1:12" ht="18.600000000000001" customHeight="1">
      <c r="B32" s="35"/>
      <c r="C32" s="96" t="s">
        <v>42</v>
      </c>
      <c r="D32" s="405">
        <v>-154021.94880599994</v>
      </c>
      <c r="E32" s="51">
        <v>-5193.0446660000016</v>
      </c>
      <c r="F32" s="22" t="s">
        <v>139</v>
      </c>
      <c r="G32" s="411" t="s">
        <v>139</v>
      </c>
      <c r="H32" s="211">
        <v>459709.62262600003</v>
      </c>
      <c r="I32" s="110">
        <v>-0.54150874203329247</v>
      </c>
      <c r="J32" s="68">
        <v>703274.27349000005</v>
      </c>
      <c r="K32" s="211">
        <v>1002657.334547</v>
      </c>
    </row>
    <row r="33" spans="1:12" ht="18.600000000000001" customHeight="1">
      <c r="B33" s="35"/>
      <c r="C33" s="55" t="s">
        <v>43</v>
      </c>
      <c r="D33" s="407">
        <v>20563.981403999496</v>
      </c>
      <c r="E33" s="52">
        <v>11495.232954000589</v>
      </c>
      <c r="F33" s="418">
        <v>-0.44100158776817044</v>
      </c>
      <c r="G33" s="413">
        <v>-1.5248977497552052E-2</v>
      </c>
      <c r="H33" s="72">
        <v>55043.191647000145</v>
      </c>
      <c r="I33" s="97">
        <v>0.39848156407130308</v>
      </c>
      <c r="J33" s="70">
        <v>11673.237896000268</v>
      </c>
      <c r="K33" s="72">
        <v>39359.254395000171</v>
      </c>
    </row>
    <row r="34" spans="1:12" ht="18.600000000000001" customHeight="1">
      <c r="B34" s="35" t="s">
        <v>95</v>
      </c>
      <c r="C34" s="33"/>
      <c r="D34" s="405">
        <v>517528.51860000007</v>
      </c>
      <c r="E34" s="51">
        <v>506306.7483049999</v>
      </c>
      <c r="F34" s="22">
        <v>-2.1683385343394979E-2</v>
      </c>
      <c r="G34" s="411">
        <v>-0.57148365116845501</v>
      </c>
      <c r="H34" s="211">
        <v>2517233.8102910002</v>
      </c>
      <c r="I34" s="110">
        <v>-9.8906495739818356E-2</v>
      </c>
      <c r="J34" s="68">
        <v>1181534.2627780002</v>
      </c>
      <c r="K34" s="211">
        <v>2793532.3009100002</v>
      </c>
    </row>
    <row r="35" spans="1:12" ht="18.600000000000001" customHeight="1">
      <c r="B35" s="35"/>
      <c r="C35" s="39" t="s">
        <v>112</v>
      </c>
      <c r="D35" s="406">
        <v>217142.12682299997</v>
      </c>
      <c r="E35" s="50">
        <v>318907.02018900006</v>
      </c>
      <c r="F35" s="417">
        <v>0.46865569042230182</v>
      </c>
      <c r="G35" s="412">
        <v>0.11233985891450571</v>
      </c>
      <c r="H35" s="71">
        <v>1010349.052001</v>
      </c>
      <c r="I35" s="109">
        <v>3.6421074102443329E-2</v>
      </c>
      <c r="J35" s="69">
        <v>286699.26518700004</v>
      </c>
      <c r="K35" s="71">
        <v>974844.17988700001</v>
      </c>
    </row>
    <row r="36" spans="1:12" ht="18.600000000000001" customHeight="1">
      <c r="B36" s="35"/>
      <c r="C36" s="96" t="s">
        <v>46</v>
      </c>
      <c r="D36" s="405">
        <v>319718.96525200002</v>
      </c>
      <c r="E36" s="51">
        <v>61828.831552000018</v>
      </c>
      <c r="F36" s="22">
        <v>-0.80661506425411145</v>
      </c>
      <c r="G36" s="411">
        <v>-0.36347969456545492</v>
      </c>
      <c r="H36" s="211">
        <v>541382.28475500003</v>
      </c>
      <c r="I36" s="95">
        <v>0.22729549084050515</v>
      </c>
      <c r="J36" s="68">
        <v>97135.678192999971</v>
      </c>
      <c r="K36" s="211">
        <v>441118.124197</v>
      </c>
    </row>
    <row r="37" spans="1:12" ht="18.600000000000001" customHeight="1">
      <c r="B37" s="35"/>
      <c r="C37" s="96" t="s">
        <v>42</v>
      </c>
      <c r="D37" s="405">
        <v>-114118.29805700004</v>
      </c>
      <c r="E37" s="51">
        <v>30019.666653999942</v>
      </c>
      <c r="F37" s="22" t="s">
        <v>139</v>
      </c>
      <c r="G37" s="411">
        <v>-0.95849144301113343</v>
      </c>
      <c r="H37" s="211">
        <v>598081.79965199996</v>
      </c>
      <c r="I37" s="110">
        <v>-0.4572732503721918</v>
      </c>
      <c r="J37" s="68">
        <v>723216.33975500008</v>
      </c>
      <c r="K37" s="211">
        <v>1101994.3278310001</v>
      </c>
    </row>
    <row r="38" spans="1:12" ht="18.600000000000001" customHeight="1">
      <c r="B38" s="35"/>
      <c r="C38" s="96" t="s">
        <v>45</v>
      </c>
      <c r="D38" s="405">
        <v>2447.8666670000002</v>
      </c>
      <c r="E38" s="51">
        <v>2715.323061000001</v>
      </c>
      <c r="F38" s="22">
        <v>0.10926101392923648</v>
      </c>
      <c r="G38" s="411">
        <v>0.4457635345506914</v>
      </c>
      <c r="H38" s="211">
        <v>10222.374417000001</v>
      </c>
      <c r="I38" s="95">
        <v>0.21879944999720147</v>
      </c>
      <c r="J38" s="68">
        <v>1878.1239089999999</v>
      </c>
      <c r="K38" s="211">
        <v>8387.2489580000001</v>
      </c>
    </row>
    <row r="39" spans="1:12" ht="18.600000000000001" customHeight="1">
      <c r="B39" s="57"/>
      <c r="C39" s="111" t="s">
        <v>43</v>
      </c>
      <c r="D39" s="408">
        <v>92337.857915000059</v>
      </c>
      <c r="E39" s="112">
        <v>92835.906848999904</v>
      </c>
      <c r="F39" s="419">
        <v>5.3937674670589963E-3</v>
      </c>
      <c r="G39" s="414">
        <v>0.27864597912183386</v>
      </c>
      <c r="H39" s="339">
        <v>357198.29946599994</v>
      </c>
      <c r="I39" s="113">
        <v>0.33687792089393498</v>
      </c>
      <c r="J39" s="73">
        <v>72604.855733999982</v>
      </c>
      <c r="K39" s="339">
        <v>267188.42003699997</v>
      </c>
    </row>
    <row r="40" spans="1:12" ht="18.600000000000001" customHeight="1">
      <c r="B40" s="194" t="s">
        <v>132</v>
      </c>
      <c r="C40" s="33"/>
      <c r="D40" s="405">
        <v>291543.41762599966</v>
      </c>
      <c r="E40" s="51">
        <v>293471.13917000033</v>
      </c>
      <c r="F40" s="22">
        <v>6.6121250813955257E-3</v>
      </c>
      <c r="G40" s="411">
        <v>5.4094669882116087E-2</v>
      </c>
      <c r="H40" s="211">
        <v>1218388.963463</v>
      </c>
      <c r="I40" s="95">
        <v>8.2418146501985756E-3</v>
      </c>
      <c r="J40" s="68">
        <v>278410.60917499987</v>
      </c>
      <c r="K40" s="211">
        <v>1208429.313047</v>
      </c>
    </row>
    <row r="41" spans="1:12" ht="18.600000000000001" customHeight="1" thickBot="1">
      <c r="B41" s="61"/>
      <c r="C41" s="212" t="s">
        <v>130</v>
      </c>
      <c r="D41" s="409">
        <v>2.47450675321076E-2</v>
      </c>
      <c r="E41" s="213">
        <v>2.4948514335303647E-2</v>
      </c>
      <c r="F41" s="420">
        <v>2.0344680319604735E-4</v>
      </c>
      <c r="G41" s="415">
        <v>7.732262633494344E-5</v>
      </c>
      <c r="H41" s="214">
        <v>2.6606884515842321E-2</v>
      </c>
      <c r="I41" s="215">
        <v>-1.470586167124345E-3</v>
      </c>
      <c r="J41" s="216">
        <v>2.4871191708968704E-2</v>
      </c>
      <c r="K41" s="214">
        <v>2.8077470682966666E-2</v>
      </c>
    </row>
    <row r="42" spans="1:12" ht="15" customHeight="1"/>
    <row r="43" spans="1:12" ht="3" customHeight="1">
      <c r="A43" s="1"/>
      <c r="B43" s="1"/>
      <c r="C43" s="1"/>
      <c r="D43" s="1"/>
      <c r="E43" s="1"/>
      <c r="F43" s="1"/>
      <c r="G43" s="2"/>
      <c r="H43" s="2"/>
      <c r="I43" s="2"/>
      <c r="J43" s="1"/>
      <c r="K43" s="2"/>
      <c r="L43" s="3"/>
    </row>
    <row r="45" spans="1:12">
      <c r="C45" s="6"/>
      <c r="D45" s="6"/>
      <c r="E45" s="6"/>
      <c r="F45" s="6"/>
      <c r="G45" s="6"/>
      <c r="H45" s="6"/>
      <c r="I45" s="6"/>
      <c r="J45" s="6"/>
      <c r="K45" s="6"/>
    </row>
    <row r="46" spans="1:12">
      <c r="C46" s="6"/>
      <c r="D46" s="6"/>
      <c r="E46" s="6"/>
      <c r="F46" s="6"/>
      <c r="H46" s="6"/>
      <c r="J46" s="6"/>
      <c r="K46" s="6"/>
    </row>
    <row r="47" spans="1:12" s="12" customFormat="1">
      <c r="A47" s="4"/>
      <c r="B47" s="4"/>
      <c r="C47" s="6"/>
      <c r="D47" s="6"/>
      <c r="E47" s="6"/>
      <c r="F47" s="6"/>
      <c r="G47" s="4"/>
      <c r="H47" s="6"/>
      <c r="I47" s="4"/>
      <c r="J47" s="6"/>
      <c r="K47" s="6"/>
    </row>
    <row r="48" spans="1:12">
      <c r="C48" s="6"/>
      <c r="D48" s="324"/>
      <c r="E48" s="324"/>
      <c r="F48" s="324"/>
      <c r="H48" s="324"/>
      <c r="J48" s="324"/>
      <c r="K48" s="324"/>
    </row>
    <row r="50" spans="3:11">
      <c r="C50" s="6"/>
      <c r="D50" s="325"/>
      <c r="E50" s="325"/>
      <c r="F50" s="325"/>
      <c r="H50" s="325"/>
      <c r="J50" s="325"/>
      <c r="K50" s="325"/>
    </row>
    <row r="51" spans="3:11">
      <c r="C51" s="6"/>
      <c r="D51" s="325"/>
      <c r="E51" s="325"/>
      <c r="F51" s="325"/>
      <c r="H51" s="325"/>
      <c r="J51" s="325"/>
      <c r="K51" s="325"/>
    </row>
    <row r="54" spans="3:11">
      <c r="C54" s="6"/>
      <c r="H54" s="6"/>
      <c r="K54" s="6"/>
    </row>
    <row r="55" spans="3:11">
      <c r="C55" s="6"/>
      <c r="H55" s="6"/>
      <c r="K55" s="6"/>
    </row>
  </sheetData>
  <mergeCells count="41">
    <mergeCell ref="E24:I24"/>
    <mergeCell ref="J24:K24"/>
    <mergeCell ref="D20:F20"/>
    <mergeCell ref="I20:J20"/>
    <mergeCell ref="D21:F21"/>
    <mergeCell ref="I21:J21"/>
    <mergeCell ref="D24:D26"/>
    <mergeCell ref="K25:K26"/>
    <mergeCell ref="I5:J6"/>
    <mergeCell ref="D5:F6"/>
    <mergeCell ref="D7:F7"/>
    <mergeCell ref="I7:J7"/>
    <mergeCell ref="D8:F8"/>
    <mergeCell ref="I8:J8"/>
    <mergeCell ref="D9:F9"/>
    <mergeCell ref="I9:J9"/>
    <mergeCell ref="D10:F10"/>
    <mergeCell ref="I10:J10"/>
    <mergeCell ref="D11:F11"/>
    <mergeCell ref="I11:J11"/>
    <mergeCell ref="I17:J17"/>
    <mergeCell ref="D18:F18"/>
    <mergeCell ref="I18:J18"/>
    <mergeCell ref="D13:F13"/>
    <mergeCell ref="I13:J13"/>
    <mergeCell ref="B5:C6"/>
    <mergeCell ref="B24:C26"/>
    <mergeCell ref="E25:E26"/>
    <mergeCell ref="J25:J26"/>
    <mergeCell ref="H25:H26"/>
    <mergeCell ref="D19:F19"/>
    <mergeCell ref="I19:J19"/>
    <mergeCell ref="D14:F14"/>
    <mergeCell ref="I14:J14"/>
    <mergeCell ref="D15:F15"/>
    <mergeCell ref="I15:J15"/>
    <mergeCell ref="D16:F16"/>
    <mergeCell ref="I16:J16"/>
    <mergeCell ref="D12:F12"/>
    <mergeCell ref="I12:J12"/>
    <mergeCell ref="D17:F17"/>
  </mergeCells>
  <phoneticPr fontId="23" type="noConversion"/>
  <pageMargins left="0.39370078740157483" right="0.39370078740157483" top="0.59055118110236227" bottom="0.39370078740157483" header="0.31496062992125984" footer="0.31496062992125984"/>
  <pageSetup paperSize="9" scale="94" orientation="portrait" r:id="rId1"/>
  <headerFooter>
    <oddFooter>&amp;C-  4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36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2.625" style="4" customWidth="1"/>
    <col min="3" max="3" width="22.625" style="4" customWidth="1"/>
    <col min="4" max="5" width="8.625" style="4" customWidth="1"/>
    <col min="6" max="7" width="5.625" style="4" customWidth="1"/>
    <col min="8" max="8" width="8.625" style="4" customWidth="1"/>
    <col min="9" max="9" width="5.625" style="4" customWidth="1"/>
    <col min="10" max="11" width="8.625" style="12" customWidth="1"/>
    <col min="12" max="12" width="10.625" style="13" customWidth="1"/>
    <col min="13" max="16384" width="9" style="13"/>
  </cols>
  <sheetData>
    <row r="1" spans="1:12" ht="24.95" customHeight="1">
      <c r="A1" s="6"/>
      <c r="B1" s="7" t="s">
        <v>81</v>
      </c>
      <c r="C1" s="7"/>
      <c r="D1" s="8"/>
      <c r="E1" s="9"/>
      <c r="F1" s="9"/>
      <c r="G1" s="10"/>
      <c r="H1" s="8"/>
      <c r="I1" s="10"/>
      <c r="J1" s="11"/>
      <c r="K1" s="8"/>
    </row>
    <row r="2" spans="1:12" customFormat="1" ht="3" customHeight="1">
      <c r="A2" s="1"/>
      <c r="B2" s="1"/>
      <c r="C2" s="1"/>
      <c r="D2" s="1"/>
      <c r="E2" s="2"/>
      <c r="F2" s="2"/>
      <c r="G2" s="2"/>
      <c r="H2" s="1"/>
      <c r="I2" s="2"/>
      <c r="J2" s="3"/>
      <c r="K2" s="349"/>
    </row>
    <row r="3" spans="1:12" ht="15" customHeight="1">
      <c r="A3" s="6"/>
      <c r="B3" s="6"/>
      <c r="C3" s="6"/>
      <c r="D3" s="6"/>
      <c r="E3" s="14"/>
      <c r="F3" s="14"/>
      <c r="G3" s="14"/>
      <c r="H3" s="6"/>
      <c r="I3" s="14"/>
      <c r="J3" s="15"/>
      <c r="K3" s="65"/>
    </row>
    <row r="4" spans="1:12" ht="15" customHeight="1" thickBot="1">
      <c r="A4" s="6"/>
      <c r="B4" s="8"/>
      <c r="C4" s="8"/>
      <c r="D4" s="6"/>
      <c r="E4" s="14"/>
      <c r="F4" s="14"/>
      <c r="G4" s="14"/>
      <c r="H4" s="6"/>
      <c r="I4" s="16"/>
      <c r="J4" s="15"/>
      <c r="K4" s="16" t="s">
        <v>84</v>
      </c>
    </row>
    <row r="5" spans="1:12" ht="15.95" customHeight="1">
      <c r="A5" s="8"/>
      <c r="B5" s="523" t="s">
        <v>4</v>
      </c>
      <c r="C5" s="524"/>
      <c r="D5" s="492" t="s">
        <v>177</v>
      </c>
      <c r="E5" s="505">
        <v>2025</v>
      </c>
      <c r="F5" s="505"/>
      <c r="G5" s="505"/>
      <c r="H5" s="505"/>
      <c r="I5" s="505"/>
      <c r="J5" s="507">
        <v>2024</v>
      </c>
      <c r="K5" s="508"/>
      <c r="L5" s="11"/>
    </row>
    <row r="6" spans="1:12" ht="15.95" customHeight="1">
      <c r="A6" s="8"/>
      <c r="B6" s="525"/>
      <c r="C6" s="526"/>
      <c r="D6" s="493"/>
      <c r="E6" s="546" t="s">
        <v>183</v>
      </c>
      <c r="F6" s="44"/>
      <c r="G6" s="44"/>
      <c r="H6" s="588" t="s">
        <v>184</v>
      </c>
      <c r="I6" s="45"/>
      <c r="J6" s="547" t="s">
        <v>169</v>
      </c>
      <c r="K6" s="589" t="s">
        <v>185</v>
      </c>
      <c r="L6" s="11"/>
    </row>
    <row r="7" spans="1:12" ht="15.95" customHeight="1" thickBot="1">
      <c r="A7" s="17"/>
      <c r="B7" s="527"/>
      <c r="C7" s="528"/>
      <c r="D7" s="494"/>
      <c r="E7" s="527"/>
      <c r="F7" s="46" t="s">
        <v>175</v>
      </c>
      <c r="G7" s="183" t="s">
        <v>174</v>
      </c>
      <c r="H7" s="512"/>
      <c r="I7" s="46" t="s">
        <v>176</v>
      </c>
      <c r="J7" s="548"/>
      <c r="K7" s="498"/>
      <c r="L7" s="11"/>
    </row>
    <row r="8" spans="1:12" ht="26.1" customHeight="1" thickTop="1">
      <c r="B8" s="32" t="s">
        <v>32</v>
      </c>
      <c r="C8" s="152"/>
      <c r="D8" s="341">
        <v>161429.99709999899</v>
      </c>
      <c r="E8" s="153">
        <v>-153894.86357799935</v>
      </c>
      <c r="F8" s="359" t="s">
        <v>139</v>
      </c>
      <c r="G8" s="350" t="s">
        <v>139</v>
      </c>
      <c r="H8" s="130">
        <v>396111.30419399863</v>
      </c>
      <c r="I8" s="127">
        <v>-0.62025665075022018</v>
      </c>
      <c r="J8" s="132">
        <v>-47761.651391000167</v>
      </c>
      <c r="K8" s="130">
        <v>1043102.6770489998</v>
      </c>
      <c r="L8" s="12"/>
    </row>
    <row r="9" spans="1:12" ht="26.1" customHeight="1">
      <c r="B9" s="35" t="s">
        <v>36</v>
      </c>
      <c r="C9" s="33"/>
      <c r="D9" s="342">
        <v>3609167.6378989997</v>
      </c>
      <c r="E9" s="99">
        <v>3594738.460101</v>
      </c>
      <c r="F9" s="360">
        <v>-3.997923966313599E-3</v>
      </c>
      <c r="G9" s="351">
        <v>3.1697767912644448E-2</v>
      </c>
      <c r="H9" s="77">
        <v>14144825.954009999</v>
      </c>
      <c r="I9" s="76">
        <v>3.1339086011491712E-2</v>
      </c>
      <c r="J9" s="78">
        <v>3484294.1139380001</v>
      </c>
      <c r="K9" s="77">
        <v>13715010.073663</v>
      </c>
      <c r="L9" s="12"/>
    </row>
    <row r="10" spans="1:12" ht="26.1" customHeight="1">
      <c r="B10" s="34"/>
      <c r="C10" s="39" t="s">
        <v>98</v>
      </c>
      <c r="D10" s="343">
        <v>2086752.19227</v>
      </c>
      <c r="E10" s="100">
        <v>2065262.4688229999</v>
      </c>
      <c r="F10" s="361">
        <v>-1.0298167423331339E-2</v>
      </c>
      <c r="G10" s="352">
        <v>7.388702009167547E-2</v>
      </c>
      <c r="H10" s="80">
        <v>8068372.3838839997</v>
      </c>
      <c r="I10" s="79">
        <v>7.8458401253790777E-2</v>
      </c>
      <c r="J10" s="81">
        <v>1923165.5008239998</v>
      </c>
      <c r="K10" s="80">
        <v>7481394.1590179997</v>
      </c>
      <c r="L10" s="12"/>
    </row>
    <row r="11" spans="1:12" ht="26.1" customHeight="1">
      <c r="B11" s="35"/>
      <c r="C11" s="207" t="s">
        <v>103</v>
      </c>
      <c r="D11" s="344">
        <v>1522415.4456289997</v>
      </c>
      <c r="E11" s="102">
        <v>1529475.9912780002</v>
      </c>
      <c r="F11" s="362">
        <v>4.6377259697882867E-3</v>
      </c>
      <c r="G11" s="353">
        <v>-2.0275473506863873E-2</v>
      </c>
      <c r="H11" s="83">
        <v>6076453.5701259999</v>
      </c>
      <c r="I11" s="82">
        <v>-2.5212067389293269E-2</v>
      </c>
      <c r="J11" s="84">
        <v>1561128.6131140003</v>
      </c>
      <c r="K11" s="83">
        <v>6233615.9146450004</v>
      </c>
      <c r="L11" s="12"/>
    </row>
    <row r="12" spans="1:12" ht="26.1" customHeight="1">
      <c r="B12" s="35" t="s">
        <v>37</v>
      </c>
      <c r="C12" s="33"/>
      <c r="D12" s="342">
        <v>3225549.0623670006</v>
      </c>
      <c r="E12" s="99">
        <v>3547241.9956319993</v>
      </c>
      <c r="F12" s="360">
        <v>9.973276705607792E-2</v>
      </c>
      <c r="G12" s="351">
        <v>6.0065061453351998E-2</v>
      </c>
      <c r="H12" s="77">
        <v>13141518.358871</v>
      </c>
      <c r="I12" s="76">
        <v>9.8981568797271713E-2</v>
      </c>
      <c r="J12" s="78">
        <v>3346249.3243280002</v>
      </c>
      <c r="K12" s="77">
        <v>11957906.057745</v>
      </c>
      <c r="L12" s="12"/>
    </row>
    <row r="13" spans="1:12" ht="26.1" customHeight="1">
      <c r="B13" s="34"/>
      <c r="C13" s="39" t="s">
        <v>98</v>
      </c>
      <c r="D13" s="343">
        <v>1887314.2228230005</v>
      </c>
      <c r="E13" s="100">
        <v>2194517.2363989996</v>
      </c>
      <c r="F13" s="361">
        <v>0.16277258437468456</v>
      </c>
      <c r="G13" s="352">
        <v>0.14323134656381531</v>
      </c>
      <c r="H13" s="80">
        <v>7658667.087878</v>
      </c>
      <c r="I13" s="79">
        <v>0.16739188718219844</v>
      </c>
      <c r="J13" s="81">
        <v>1919574.0590869999</v>
      </c>
      <c r="K13" s="80">
        <v>6560493.6713789999</v>
      </c>
      <c r="L13" s="12"/>
    </row>
    <row r="14" spans="1:12" ht="26.1" customHeight="1">
      <c r="B14" s="35"/>
      <c r="C14" s="207" t="s">
        <v>99</v>
      </c>
      <c r="D14" s="344">
        <v>1338234.8395440001</v>
      </c>
      <c r="E14" s="102">
        <v>1352724.7592329998</v>
      </c>
      <c r="F14" s="362">
        <v>1.0827635973023275E-2</v>
      </c>
      <c r="G14" s="353">
        <v>-5.1834154421614986E-2</v>
      </c>
      <c r="H14" s="83">
        <v>5482851.2709929999</v>
      </c>
      <c r="I14" s="82">
        <v>1.5829601021930539E-2</v>
      </c>
      <c r="J14" s="84">
        <v>1426675.2652410003</v>
      </c>
      <c r="K14" s="83">
        <v>5397412.3863660004</v>
      </c>
      <c r="L14" s="12"/>
    </row>
    <row r="15" spans="1:12" ht="26.1" customHeight="1">
      <c r="B15" s="35" t="s">
        <v>38</v>
      </c>
      <c r="C15" s="36"/>
      <c r="D15" s="342">
        <v>70336.827064999947</v>
      </c>
      <c r="E15" s="99">
        <v>105910.46108899997</v>
      </c>
      <c r="F15" s="360">
        <v>0.505761142610621</v>
      </c>
      <c r="G15" s="351">
        <v>0.12218062844166511</v>
      </c>
      <c r="H15" s="77">
        <v>583953.49138399994</v>
      </c>
      <c r="I15" s="76">
        <v>0.62736410728071235</v>
      </c>
      <c r="J15" s="78">
        <v>94379.156443000014</v>
      </c>
      <c r="K15" s="77">
        <v>358833.95041799999</v>
      </c>
      <c r="L15" s="12"/>
    </row>
    <row r="16" spans="1:12" ht="26.1" customHeight="1">
      <c r="B16" s="34"/>
      <c r="C16" s="39" t="s">
        <v>100</v>
      </c>
      <c r="D16" s="343">
        <v>5220.437179999999</v>
      </c>
      <c r="E16" s="100">
        <v>14680.818434000001</v>
      </c>
      <c r="F16" s="361">
        <v>1.8121818016015285</v>
      </c>
      <c r="G16" s="352">
        <v>1.5518215154106216</v>
      </c>
      <c r="H16" s="80">
        <v>22057.692634999999</v>
      </c>
      <c r="I16" s="79">
        <v>0.23647660932104886</v>
      </c>
      <c r="J16" s="81">
        <v>5753.0741650000018</v>
      </c>
      <c r="K16" s="80">
        <v>17839.150752000001</v>
      </c>
      <c r="L16" s="12"/>
    </row>
    <row r="17" spans="2:12" ht="26.1" customHeight="1">
      <c r="B17" s="35"/>
      <c r="C17" s="207" t="s">
        <v>99</v>
      </c>
      <c r="D17" s="344">
        <v>65116.389884999953</v>
      </c>
      <c r="E17" s="102">
        <v>91229.642654999974</v>
      </c>
      <c r="F17" s="362">
        <v>0.40102427078831959</v>
      </c>
      <c r="G17" s="353">
        <v>2.9376909258305828E-2</v>
      </c>
      <c r="H17" s="83">
        <v>561895.79874899995</v>
      </c>
      <c r="I17" s="82">
        <v>0.64781339568629681</v>
      </c>
      <c r="J17" s="84">
        <v>88626.082278000016</v>
      </c>
      <c r="K17" s="83">
        <v>340994.79966600001</v>
      </c>
      <c r="L17" s="12"/>
    </row>
    <row r="18" spans="2:12" ht="26.1" customHeight="1">
      <c r="B18" s="35" t="s">
        <v>39</v>
      </c>
      <c r="C18" s="33"/>
      <c r="D18" s="342">
        <v>267648.88873200008</v>
      </c>
      <c r="E18" s="99">
        <v>283916.08745000005</v>
      </c>
      <c r="F18" s="360">
        <v>6.0778129119334778E-2</v>
      </c>
      <c r="G18" s="351">
        <v>6.9763997339692851E-2</v>
      </c>
      <c r="H18" s="77">
        <v>1094644.5684500001</v>
      </c>
      <c r="I18" s="76">
        <v>7.5209112047918802E-2</v>
      </c>
      <c r="J18" s="78">
        <v>265400.67543500004</v>
      </c>
      <c r="K18" s="77">
        <v>1018075.978137</v>
      </c>
      <c r="L18" s="12"/>
    </row>
    <row r="19" spans="2:12" ht="26.1" customHeight="1">
      <c r="B19" s="34"/>
      <c r="C19" s="39" t="s">
        <v>101</v>
      </c>
      <c r="D19" s="343">
        <v>8633.2902809999996</v>
      </c>
      <c r="E19" s="100">
        <v>6680.7902500000018</v>
      </c>
      <c r="F19" s="361">
        <v>-0.22615943255111293</v>
      </c>
      <c r="G19" s="352">
        <v>-6.3157020065767067E-2</v>
      </c>
      <c r="H19" s="80">
        <v>29764.862504000001</v>
      </c>
      <c r="I19" s="79">
        <v>3.4129441419006756E-2</v>
      </c>
      <c r="J19" s="81">
        <v>7131.173945999999</v>
      </c>
      <c r="K19" s="80">
        <v>28782.530804999999</v>
      </c>
      <c r="L19" s="12"/>
    </row>
    <row r="20" spans="2:12" ht="26.1" customHeight="1">
      <c r="B20" s="35"/>
      <c r="C20" s="207" t="s">
        <v>102</v>
      </c>
      <c r="D20" s="344">
        <v>259015.59845100006</v>
      </c>
      <c r="E20" s="102">
        <v>277235.29720000003</v>
      </c>
      <c r="F20" s="362">
        <v>7.0342090815996627E-2</v>
      </c>
      <c r="G20" s="353">
        <v>7.3434128310375657E-2</v>
      </c>
      <c r="H20" s="83">
        <v>1064879.7059460001</v>
      </c>
      <c r="I20" s="82">
        <v>7.6404285116662418E-2</v>
      </c>
      <c r="J20" s="84">
        <v>258269.50148900005</v>
      </c>
      <c r="K20" s="83">
        <v>989293.44733200001</v>
      </c>
      <c r="L20" s="12"/>
    </row>
    <row r="21" spans="2:12" ht="26.1" customHeight="1">
      <c r="B21" s="57" t="s">
        <v>40</v>
      </c>
      <c r="C21" s="58"/>
      <c r="D21" s="345">
        <v>24876.516765</v>
      </c>
      <c r="E21" s="103">
        <v>23385.701686</v>
      </c>
      <c r="F21" s="363">
        <v>-5.992861030678942E-2</v>
      </c>
      <c r="G21" s="354">
        <v>0.58172641504395228</v>
      </c>
      <c r="H21" s="86">
        <v>96505.213879000003</v>
      </c>
      <c r="I21" s="85">
        <v>0.76235259086161822</v>
      </c>
      <c r="J21" s="87">
        <v>14784.922009000002</v>
      </c>
      <c r="K21" s="86">
        <v>54759.311150000001</v>
      </c>
      <c r="L21" s="12"/>
    </row>
    <row r="22" spans="2:12" ht="26.1" customHeight="1">
      <c r="B22" s="32" t="s">
        <v>33</v>
      </c>
      <c r="C22" s="152"/>
      <c r="D22" s="341">
        <v>89393.952968999743</v>
      </c>
      <c r="E22" s="153">
        <v>4452.2331000000704</v>
      </c>
      <c r="F22" s="364">
        <v>-0.95019536610553479</v>
      </c>
      <c r="G22" s="355">
        <v>-0.88524707245070433</v>
      </c>
      <c r="H22" s="130">
        <v>330285.65815299982</v>
      </c>
      <c r="I22" s="131">
        <v>-6.1832396381158672E-2</v>
      </c>
      <c r="J22" s="132">
        <v>38798.427151999902</v>
      </c>
      <c r="K22" s="130">
        <v>352054.00066999998</v>
      </c>
      <c r="L22" s="12"/>
    </row>
    <row r="23" spans="2:12" ht="26.1" customHeight="1">
      <c r="B23" s="35" t="s">
        <v>94</v>
      </c>
      <c r="C23" s="33"/>
      <c r="D23" s="342">
        <v>606922.47156899981</v>
      </c>
      <c r="E23" s="99">
        <v>510758.9814050002</v>
      </c>
      <c r="F23" s="360">
        <v>-0.15844443840644151</v>
      </c>
      <c r="G23" s="351">
        <v>-0.5814592318802031</v>
      </c>
      <c r="H23" s="77">
        <v>2847519.468444</v>
      </c>
      <c r="I23" s="76">
        <v>-9.4757162754137036E-2</v>
      </c>
      <c r="J23" s="78">
        <v>1220332.6899300001</v>
      </c>
      <c r="K23" s="77">
        <v>3145586.3015800002</v>
      </c>
      <c r="L23" s="12"/>
    </row>
    <row r="24" spans="2:12" ht="26.1" customHeight="1">
      <c r="B24" s="35" t="s">
        <v>95</v>
      </c>
      <c r="C24" s="33"/>
      <c r="D24" s="342">
        <v>517528.51860000007</v>
      </c>
      <c r="E24" s="99">
        <v>506306.74830500013</v>
      </c>
      <c r="F24" s="360">
        <v>-2.1683385343394534E-2</v>
      </c>
      <c r="G24" s="351">
        <v>-0.57148365116845479</v>
      </c>
      <c r="H24" s="77">
        <v>2517233.8102910002</v>
      </c>
      <c r="I24" s="76">
        <v>-9.8906495739818356E-2</v>
      </c>
      <c r="J24" s="78">
        <v>1181534.2627780002</v>
      </c>
      <c r="K24" s="77">
        <v>2793532.3009100002</v>
      </c>
      <c r="L24" s="12"/>
    </row>
    <row r="25" spans="2:12" ht="26.1" customHeight="1">
      <c r="B25" s="59" t="s">
        <v>34</v>
      </c>
      <c r="C25" s="154"/>
      <c r="D25" s="346">
        <v>250823.95006899873</v>
      </c>
      <c r="E25" s="155">
        <v>-149442.63047799928</v>
      </c>
      <c r="F25" s="365" t="s">
        <v>139</v>
      </c>
      <c r="G25" s="356" t="s">
        <v>139</v>
      </c>
      <c r="H25" s="156">
        <v>726396.96234699851</v>
      </c>
      <c r="I25" s="157">
        <v>-0.47934380851431302</v>
      </c>
      <c r="J25" s="158">
        <v>-8963.2242390002648</v>
      </c>
      <c r="K25" s="159">
        <v>1395156.6777189998</v>
      </c>
      <c r="L25" s="12"/>
    </row>
    <row r="26" spans="2:12" ht="26.1" customHeight="1">
      <c r="B26" s="64" t="s">
        <v>31</v>
      </c>
      <c r="C26" s="63"/>
      <c r="D26" s="347">
        <v>-6043.5001130000019</v>
      </c>
      <c r="E26" s="104">
        <v>-5932.8463899999988</v>
      </c>
      <c r="F26" s="366" t="s">
        <v>139</v>
      </c>
      <c r="G26" s="357" t="s">
        <v>139</v>
      </c>
      <c r="H26" s="89">
        <v>-32119.242753999999</v>
      </c>
      <c r="I26" s="88" t="s">
        <v>139</v>
      </c>
      <c r="J26" s="90">
        <v>-8528.8481969999993</v>
      </c>
      <c r="K26" s="91">
        <v>-28721.062855</v>
      </c>
      <c r="L26" s="12"/>
    </row>
    <row r="27" spans="2:12" ht="26.1" customHeight="1">
      <c r="B27" s="34" t="s">
        <v>96</v>
      </c>
      <c r="C27" s="33"/>
      <c r="D27" s="342">
        <v>244780.44995599875</v>
      </c>
      <c r="E27" s="101">
        <v>-155375.47686799927</v>
      </c>
      <c r="F27" s="360" t="s">
        <v>139</v>
      </c>
      <c r="G27" s="351" t="s">
        <v>139</v>
      </c>
      <c r="H27" s="202">
        <v>694277.7195929985</v>
      </c>
      <c r="I27" s="76">
        <v>-0.49190601295758873</v>
      </c>
      <c r="J27" s="78">
        <v>-17492.072436000264</v>
      </c>
      <c r="K27" s="203">
        <v>1366435.6148639999</v>
      </c>
      <c r="L27" s="12"/>
    </row>
    <row r="28" spans="2:12" ht="26.1" customHeight="1">
      <c r="B28" s="34" t="s">
        <v>97</v>
      </c>
      <c r="C28" s="58"/>
      <c r="D28" s="345">
        <v>61599.281057000015</v>
      </c>
      <c r="E28" s="103">
        <v>-82335.300016000023</v>
      </c>
      <c r="F28" s="363" t="s">
        <v>139</v>
      </c>
      <c r="G28" s="354" t="s">
        <v>139</v>
      </c>
      <c r="H28" s="205">
        <v>133171.31208599999</v>
      </c>
      <c r="I28" s="85">
        <v>-0.60336323253341306</v>
      </c>
      <c r="J28" s="87">
        <v>-1756.3791559999809</v>
      </c>
      <c r="K28" s="206">
        <v>335751.30449100002</v>
      </c>
      <c r="L28" s="12"/>
    </row>
    <row r="29" spans="2:12" ht="26.1" customHeight="1">
      <c r="B29" s="172" t="s">
        <v>118</v>
      </c>
      <c r="C29" s="152"/>
      <c r="D29" s="341">
        <v>183181.16889899873</v>
      </c>
      <c r="E29" s="153">
        <v>-73040.176851999247</v>
      </c>
      <c r="F29" s="364" t="s">
        <v>139</v>
      </c>
      <c r="G29" s="355" t="s">
        <v>139</v>
      </c>
      <c r="H29" s="177">
        <v>561106.40750699851</v>
      </c>
      <c r="I29" s="131">
        <v>-0.45559818669992491</v>
      </c>
      <c r="J29" s="132">
        <v>-15735.693280000283</v>
      </c>
      <c r="K29" s="204">
        <v>1030684.3103729999</v>
      </c>
      <c r="L29" s="12"/>
    </row>
    <row r="30" spans="2:12" ht="26.1" customHeight="1" thickBot="1">
      <c r="B30" s="61" t="s">
        <v>30</v>
      </c>
      <c r="C30" s="60"/>
      <c r="D30" s="348">
        <v>0.15658820357465447</v>
      </c>
      <c r="E30" s="92">
        <v>-5.9860033580805626E-2</v>
      </c>
      <c r="F30" s="367" t="s">
        <v>139</v>
      </c>
      <c r="G30" s="358">
        <v>-4.7724348742309186E-2</v>
      </c>
      <c r="H30" s="93">
        <v>0.12132646754741795</v>
      </c>
      <c r="I30" s="237">
        <v>-8.4531266323340973E-2</v>
      </c>
      <c r="J30" s="238">
        <v>-1.2135684838496441E-2</v>
      </c>
      <c r="K30" s="93">
        <v>0.20585773387075892</v>
      </c>
      <c r="L30" s="12"/>
    </row>
    <row r="31" spans="2:12" ht="15" customHeight="1">
      <c r="B31" s="66" t="s">
        <v>136</v>
      </c>
    </row>
    <row r="32" spans="2:12" ht="15" customHeight="1"/>
    <row r="33" spans="1:11" ht="3" customHeight="1">
      <c r="A33" s="1"/>
      <c r="B33" s="1"/>
      <c r="C33" s="1"/>
      <c r="D33" s="1"/>
      <c r="E33" s="2"/>
      <c r="F33" s="2"/>
      <c r="G33" s="2"/>
      <c r="H33" s="1"/>
      <c r="I33" s="2"/>
      <c r="J33" s="3"/>
      <c r="K33" s="3"/>
    </row>
    <row r="36" spans="1:11">
      <c r="F36" s="326"/>
    </row>
  </sheetData>
  <mergeCells count="8">
    <mergeCell ref="B5:C7"/>
    <mergeCell ref="J5:K5"/>
    <mergeCell ref="E6:E7"/>
    <mergeCell ref="J6:J7"/>
    <mergeCell ref="H6:H7"/>
    <mergeCell ref="K6:K7"/>
    <mergeCell ref="E5:I5"/>
    <mergeCell ref="D5:D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 5 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J49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3.125" style="4" customWidth="1"/>
    <col min="3" max="3" width="25.625" style="4" customWidth="1"/>
    <col min="4" max="4" width="16.125" style="4" customWidth="1"/>
    <col min="5" max="6" width="7.625" style="4" customWidth="1"/>
    <col min="7" max="7" width="16.125" style="4" customWidth="1"/>
    <col min="8" max="8" width="7.625" style="4" customWidth="1"/>
    <col min="9" max="9" width="1.625" style="12" customWidth="1"/>
    <col min="10" max="10" width="20.625" style="114" customWidth="1"/>
    <col min="11" max="16384" width="9" style="13"/>
  </cols>
  <sheetData>
    <row r="1" spans="1:10" ht="24.95" customHeight="1">
      <c r="A1" s="6"/>
      <c r="B1" s="7" t="s">
        <v>82</v>
      </c>
      <c r="C1" s="7"/>
      <c r="D1" s="8"/>
      <c r="E1" s="9"/>
      <c r="F1" s="10"/>
      <c r="G1" s="8"/>
      <c r="H1" s="10"/>
      <c r="I1" s="11"/>
    </row>
    <row r="2" spans="1:10" customFormat="1" ht="3" customHeight="1">
      <c r="A2" s="1"/>
      <c r="B2" s="1"/>
      <c r="C2" s="1"/>
      <c r="D2" s="1"/>
      <c r="E2" s="2"/>
      <c r="F2" s="2"/>
      <c r="G2" s="1"/>
      <c r="H2" s="2"/>
      <c r="I2" s="3"/>
      <c r="J2" s="115"/>
    </row>
    <row r="3" spans="1:10" ht="15" customHeight="1">
      <c r="A3" s="6"/>
      <c r="B3" s="6"/>
      <c r="C3" s="6"/>
      <c r="D3" s="6"/>
      <c r="E3" s="14"/>
      <c r="F3" s="14"/>
      <c r="G3" s="6"/>
      <c r="H3" s="14"/>
      <c r="I3" s="15"/>
    </row>
    <row r="4" spans="1:10" ht="15" customHeight="1" thickBot="1">
      <c r="A4" s="6"/>
      <c r="B4" s="8"/>
      <c r="C4" s="8"/>
      <c r="D4" s="6"/>
      <c r="E4" s="14"/>
      <c r="F4" s="14"/>
      <c r="G4" s="6"/>
      <c r="H4" s="16" t="s">
        <v>85</v>
      </c>
      <c r="I4" s="15"/>
    </row>
    <row r="5" spans="1:10" ht="19.5" customHeight="1">
      <c r="A5" s="8"/>
      <c r="B5" s="523" t="s">
        <v>4</v>
      </c>
      <c r="C5" s="524"/>
      <c r="D5" s="576" t="s">
        <v>186</v>
      </c>
      <c r="E5" s="29"/>
      <c r="F5" s="30"/>
      <c r="G5" s="590" t="s">
        <v>167</v>
      </c>
      <c r="H5" s="42"/>
      <c r="I5" s="11"/>
      <c r="J5" s="8"/>
    </row>
    <row r="6" spans="1:10" ht="19.5" customHeight="1" thickBot="1">
      <c r="A6" s="17"/>
      <c r="B6" s="527"/>
      <c r="C6" s="528"/>
      <c r="D6" s="510"/>
      <c r="E6" s="31" t="s">
        <v>2</v>
      </c>
      <c r="F6" s="46" t="s">
        <v>168</v>
      </c>
      <c r="G6" s="548"/>
      <c r="H6" s="43" t="s">
        <v>2</v>
      </c>
      <c r="I6" s="11"/>
      <c r="J6" s="116"/>
    </row>
    <row r="7" spans="1:10" ht="19.5" customHeight="1" thickTop="1">
      <c r="B7" s="32" t="s">
        <v>5</v>
      </c>
      <c r="C7" s="33"/>
      <c r="D7" s="48">
        <v>47015756.674844995</v>
      </c>
      <c r="E7" s="5">
        <v>1</v>
      </c>
      <c r="F7" s="67">
        <v>2.6833641683171816E-2</v>
      </c>
      <c r="G7" s="68">
        <v>45787121.463782005</v>
      </c>
      <c r="H7" s="5">
        <v>1</v>
      </c>
      <c r="J7" s="117"/>
    </row>
    <row r="8" spans="1:10" ht="19.5" customHeight="1">
      <c r="B8" s="34" t="s">
        <v>6</v>
      </c>
      <c r="C8" s="33"/>
      <c r="D8" s="48">
        <v>1647260.3804609999</v>
      </c>
      <c r="E8" s="22">
        <v>3.5036347321882821E-2</v>
      </c>
      <c r="F8" s="5">
        <v>-0.22248931608196432</v>
      </c>
      <c r="G8" s="68">
        <v>2118633.7558220001</v>
      </c>
      <c r="H8" s="5">
        <v>4.6271390034812669E-2</v>
      </c>
      <c r="J8" s="117"/>
    </row>
    <row r="9" spans="1:10" ht="19.5" customHeight="1">
      <c r="B9" s="34" t="s">
        <v>7</v>
      </c>
      <c r="C9" s="33"/>
      <c r="D9" s="320">
        <v>34595707.031737998</v>
      </c>
      <c r="E9" s="22">
        <v>0.73583218645182114</v>
      </c>
      <c r="F9" s="5">
        <v>7.4766959001775879E-2</v>
      </c>
      <c r="G9" s="68">
        <v>32189031.065738998</v>
      </c>
      <c r="H9" s="5">
        <v>0.70301495347771081</v>
      </c>
      <c r="J9" s="117"/>
    </row>
    <row r="10" spans="1:10" ht="19.5" customHeight="1">
      <c r="B10" s="35" t="s">
        <v>50</v>
      </c>
      <c r="C10" s="36"/>
      <c r="D10" s="48">
        <v>8425527.9486449994</v>
      </c>
      <c r="E10" s="22">
        <v>0.17920647341517612</v>
      </c>
      <c r="F10" s="5">
        <v>-3.2237669124985935E-3</v>
      </c>
      <c r="G10" s="68">
        <v>8452777.7338219993</v>
      </c>
      <c r="H10" s="5">
        <v>0.18461037653367698</v>
      </c>
      <c r="J10" s="117"/>
    </row>
    <row r="11" spans="1:10" ht="19.5" customHeight="1">
      <c r="B11" s="35" t="s">
        <v>51</v>
      </c>
      <c r="C11" s="36"/>
      <c r="D11" s="48">
        <v>25341092.240272</v>
      </c>
      <c r="E11" s="22">
        <v>0.53899147929337343</v>
      </c>
      <c r="F11" s="5">
        <v>0.11775570922145517</v>
      </c>
      <c r="G11" s="68">
        <v>22671404.879625</v>
      </c>
      <c r="H11" s="5">
        <v>0.49514807122256571</v>
      </c>
      <c r="J11" s="117"/>
    </row>
    <row r="12" spans="1:10" ht="21.75" hidden="1" customHeight="1">
      <c r="B12" s="35" t="s">
        <v>52</v>
      </c>
      <c r="C12" s="36"/>
      <c r="D12" s="48">
        <v>0</v>
      </c>
      <c r="E12" s="22">
        <v>0</v>
      </c>
      <c r="F12" s="5" t="s">
        <v>139</v>
      </c>
      <c r="G12" s="68">
        <v>0</v>
      </c>
      <c r="H12" s="5">
        <v>0</v>
      </c>
      <c r="J12" s="117"/>
    </row>
    <row r="13" spans="1:10" ht="21.75" hidden="1" customHeight="1">
      <c r="B13" s="35" t="s">
        <v>129</v>
      </c>
      <c r="C13" s="36"/>
      <c r="D13" s="48"/>
      <c r="E13" s="22">
        <v>0</v>
      </c>
      <c r="F13" s="5" t="s">
        <v>139</v>
      </c>
      <c r="G13" s="68"/>
      <c r="H13" s="5">
        <v>0</v>
      </c>
      <c r="J13" s="117"/>
    </row>
    <row r="14" spans="1:10" ht="21.75" hidden="1" customHeight="1">
      <c r="B14" s="35" t="s">
        <v>127</v>
      </c>
      <c r="C14" s="36"/>
      <c r="D14" s="48"/>
      <c r="E14" s="22">
        <v>0</v>
      </c>
      <c r="F14" s="5" t="s">
        <v>139</v>
      </c>
      <c r="G14" s="68"/>
      <c r="H14" s="5">
        <v>0</v>
      </c>
      <c r="J14" s="117"/>
    </row>
    <row r="15" spans="1:10" ht="21.75" hidden="1" customHeight="1">
      <c r="B15" s="35" t="s">
        <v>128</v>
      </c>
      <c r="C15" s="36"/>
      <c r="D15" s="48"/>
      <c r="E15" s="22">
        <v>0</v>
      </c>
      <c r="F15" s="5" t="s">
        <v>139</v>
      </c>
      <c r="G15" s="68">
        <v>0</v>
      </c>
      <c r="H15" s="5">
        <v>0</v>
      </c>
      <c r="J15" s="117"/>
    </row>
    <row r="16" spans="1:10" ht="19.5" customHeight="1">
      <c r="B16" s="35" t="s">
        <v>53</v>
      </c>
      <c r="C16" s="36"/>
      <c r="D16" s="48">
        <v>829086.84282100003</v>
      </c>
      <c r="E16" s="22">
        <v>1.7634233743271631E-2</v>
      </c>
      <c r="F16" s="5">
        <v>-0.2214039086628169</v>
      </c>
      <c r="G16" s="68">
        <v>1064848.4522919999</v>
      </c>
      <c r="H16" s="5">
        <v>2.3256505721468076E-2</v>
      </c>
      <c r="J16" s="117"/>
    </row>
    <row r="17" spans="2:10" ht="19.5" customHeight="1">
      <c r="B17" s="34" t="s">
        <v>8</v>
      </c>
      <c r="C17" s="33"/>
      <c r="D17" s="48">
        <v>9568273.3875619993</v>
      </c>
      <c r="E17" s="22">
        <v>0.20351205774980852</v>
      </c>
      <c r="F17" s="5">
        <v>-6.610511334201763E-2</v>
      </c>
      <c r="G17" s="68">
        <v>10245557.100973999</v>
      </c>
      <c r="H17" s="5">
        <v>0.22376504076759487</v>
      </c>
      <c r="J17" s="117"/>
    </row>
    <row r="18" spans="2:10" ht="19.5" customHeight="1">
      <c r="B18" s="34" t="s">
        <v>9</v>
      </c>
      <c r="C18" s="33"/>
      <c r="D18" s="48">
        <v>1204515.8750839999</v>
      </c>
      <c r="E18" s="22">
        <v>2.5619408476487551E-2</v>
      </c>
      <c r="F18" s="5">
        <v>-2.3813661631889693E-2</v>
      </c>
      <c r="G18" s="68">
        <v>1233899.541247</v>
      </c>
      <c r="H18" s="5">
        <v>2.6948615719881514E-2</v>
      </c>
      <c r="J18" s="117"/>
    </row>
    <row r="19" spans="2:10" ht="19.5" customHeight="1">
      <c r="B19" s="32" t="s">
        <v>10</v>
      </c>
      <c r="C19" s="33"/>
      <c r="D19" s="48">
        <v>2595939.8551309998</v>
      </c>
      <c r="E19" s="22"/>
      <c r="F19" s="5">
        <v>0.19743006168659583</v>
      </c>
      <c r="G19" s="68">
        <v>2167926.0761790001</v>
      </c>
      <c r="H19" s="18"/>
      <c r="J19" s="117"/>
    </row>
    <row r="20" spans="2:10" ht="19.5" customHeight="1">
      <c r="B20" s="34" t="s">
        <v>11</v>
      </c>
      <c r="C20" s="33"/>
      <c r="D20" s="48">
        <v>34178.090004999998</v>
      </c>
      <c r="E20" s="22"/>
      <c r="F20" s="5">
        <v>0.51021717212699591</v>
      </c>
      <c r="G20" s="68">
        <v>22631.241807999999</v>
      </c>
      <c r="H20" s="18"/>
      <c r="J20" s="117"/>
    </row>
    <row r="21" spans="2:10" ht="19.5" customHeight="1" thickBot="1">
      <c r="B21" s="37" t="s">
        <v>12</v>
      </c>
      <c r="C21" s="38"/>
      <c r="D21" s="49">
        <v>49645874.619980998</v>
      </c>
      <c r="E21" s="23"/>
      <c r="F21" s="47">
        <v>3.477024901100223E-2</v>
      </c>
      <c r="G21" s="53">
        <v>47977678.781769007</v>
      </c>
      <c r="H21" s="19"/>
      <c r="J21" s="117"/>
    </row>
    <row r="22" spans="2:10" ht="19.5" customHeight="1">
      <c r="B22" s="34" t="s">
        <v>13</v>
      </c>
      <c r="C22" s="33"/>
      <c r="D22" s="217">
        <v>39451773.359394997</v>
      </c>
      <c r="E22" s="24"/>
      <c r="F22" s="5">
        <v>3.0031911245593124E-2</v>
      </c>
      <c r="G22" s="68">
        <v>38301505.932653002</v>
      </c>
      <c r="H22" s="18"/>
      <c r="J22" s="117"/>
    </row>
    <row r="23" spans="2:10" ht="19.5" customHeight="1">
      <c r="B23" s="35" t="s">
        <v>47</v>
      </c>
      <c r="C23" s="36"/>
      <c r="D23" s="218">
        <v>34852924.404988997</v>
      </c>
      <c r="E23" s="25"/>
      <c r="F23" s="5">
        <v>1.464938576108743E-3</v>
      </c>
      <c r="G23" s="68">
        <v>34801941.698072001</v>
      </c>
      <c r="H23" s="18"/>
      <c r="J23" s="117"/>
    </row>
    <row r="24" spans="2:10" ht="19.5" customHeight="1">
      <c r="B24" s="34"/>
      <c r="C24" s="39" t="s">
        <v>23</v>
      </c>
      <c r="D24" s="219">
        <v>29865165.489262</v>
      </c>
      <c r="E24" s="26"/>
      <c r="F24" s="54">
        <v>-9.9618334339267589E-3</v>
      </c>
      <c r="G24" s="69">
        <v>30165670.877971001</v>
      </c>
      <c r="H24" s="20"/>
      <c r="J24" s="117"/>
    </row>
    <row r="25" spans="2:10" ht="19.5" customHeight="1">
      <c r="B25" s="34"/>
      <c r="C25" s="40" t="s">
        <v>24</v>
      </c>
      <c r="D25" s="218">
        <v>15522151.900821</v>
      </c>
      <c r="E25" s="25"/>
      <c r="F25" s="5">
        <v>-5.709479469343326E-2</v>
      </c>
      <c r="G25" s="68">
        <v>16462049.221347</v>
      </c>
      <c r="H25" s="18"/>
      <c r="J25" s="117"/>
    </row>
    <row r="26" spans="2:10" ht="19.5" customHeight="1">
      <c r="B26" s="34"/>
      <c r="C26" s="40" t="s">
        <v>25</v>
      </c>
      <c r="D26" s="218">
        <v>1887969.8396139999</v>
      </c>
      <c r="E26" s="25"/>
      <c r="F26" s="5">
        <v>-1.0409960336669744E-2</v>
      </c>
      <c r="G26" s="68">
        <v>1907830.277128</v>
      </c>
      <c r="H26" s="18"/>
      <c r="J26" s="117"/>
    </row>
    <row r="27" spans="2:10" ht="19.5" customHeight="1">
      <c r="B27" s="34"/>
      <c r="C27" s="40" t="s">
        <v>26</v>
      </c>
      <c r="D27" s="218">
        <v>8977842.0693219993</v>
      </c>
      <c r="E27" s="25"/>
      <c r="F27" s="5">
        <v>8.0953083953638538E-2</v>
      </c>
      <c r="G27" s="68">
        <v>8305487.2617459996</v>
      </c>
      <c r="H27" s="18"/>
      <c r="J27" s="117"/>
    </row>
    <row r="28" spans="2:10" ht="19.5" customHeight="1">
      <c r="B28" s="34"/>
      <c r="C28" s="41" t="s">
        <v>27</v>
      </c>
      <c r="D28" s="220">
        <v>3477201.6795049999</v>
      </c>
      <c r="E28" s="27"/>
      <c r="F28" s="56">
        <v>-3.7539531808611359E-3</v>
      </c>
      <c r="G28" s="70">
        <v>3490304.1177500002</v>
      </c>
      <c r="H28" s="21"/>
      <c r="J28" s="117"/>
    </row>
    <row r="29" spans="2:10" ht="19.5" customHeight="1">
      <c r="B29" s="34"/>
      <c r="C29" s="231" t="s">
        <v>28</v>
      </c>
      <c r="D29" s="232">
        <v>4987758.9157269998</v>
      </c>
      <c r="E29" s="233"/>
      <c r="F29" s="234">
        <v>7.5812675588770251E-2</v>
      </c>
      <c r="G29" s="235">
        <v>4636270.8201010004</v>
      </c>
      <c r="H29" s="236"/>
      <c r="J29" s="117"/>
    </row>
    <row r="30" spans="2:10" ht="19.5" customHeight="1">
      <c r="B30" s="35" t="s">
        <v>48</v>
      </c>
      <c r="C30" s="33"/>
      <c r="D30" s="218">
        <v>0</v>
      </c>
      <c r="E30" s="25"/>
      <c r="F30" s="5" t="s">
        <v>139</v>
      </c>
      <c r="G30" s="68">
        <v>0</v>
      </c>
      <c r="H30" s="18"/>
      <c r="J30" s="117"/>
    </row>
    <row r="31" spans="2:10" ht="19.5" customHeight="1">
      <c r="B31" s="35" t="s">
        <v>49</v>
      </c>
      <c r="C31" s="33"/>
      <c r="D31" s="218">
        <v>4598848.9544059997</v>
      </c>
      <c r="E31" s="25"/>
      <c r="F31" s="5">
        <v>0.3141204579022725</v>
      </c>
      <c r="G31" s="68">
        <v>3499564.2345810002</v>
      </c>
      <c r="H31" s="18"/>
      <c r="J31" s="117"/>
    </row>
    <row r="32" spans="2:10" ht="19.5" customHeight="1">
      <c r="B32" s="34" t="s">
        <v>113</v>
      </c>
      <c r="C32" s="33"/>
      <c r="D32" s="218">
        <v>0</v>
      </c>
      <c r="E32" s="25"/>
      <c r="F32" s="5"/>
      <c r="G32" s="68">
        <v>0</v>
      </c>
      <c r="H32" s="18"/>
      <c r="J32" s="117"/>
    </row>
    <row r="33" spans="1:10" ht="19.5" customHeight="1">
      <c r="B33" s="34" t="s">
        <v>14</v>
      </c>
      <c r="C33" s="33"/>
      <c r="D33" s="218">
        <v>5275807.0111819999</v>
      </c>
      <c r="E33" s="25"/>
      <c r="F33" s="5">
        <v>0.11601741853676772</v>
      </c>
      <c r="G33" s="68">
        <v>4727351.8527149996</v>
      </c>
      <c r="H33" s="18"/>
      <c r="J33" s="117"/>
    </row>
    <row r="34" spans="1:10" ht="19.5" customHeight="1">
      <c r="B34" s="34" t="s">
        <v>0</v>
      </c>
      <c r="C34" s="33"/>
      <c r="D34" s="218">
        <v>34806.782882</v>
      </c>
      <c r="E34" s="25"/>
      <c r="F34" s="5">
        <v>0.60607578639601822</v>
      </c>
      <c r="G34" s="68">
        <v>21671.942991</v>
      </c>
      <c r="H34" s="18"/>
      <c r="J34" s="117"/>
    </row>
    <row r="35" spans="1:10" ht="19.5" customHeight="1" thickBot="1">
      <c r="B35" s="37" t="s">
        <v>15</v>
      </c>
      <c r="C35" s="38"/>
      <c r="D35" s="221">
        <v>44762387.153458998</v>
      </c>
      <c r="E35" s="28"/>
      <c r="F35" s="47">
        <v>3.9763910825290738E-2</v>
      </c>
      <c r="G35" s="53">
        <v>43050529.728358999</v>
      </c>
      <c r="H35" s="19"/>
      <c r="J35" s="117"/>
    </row>
    <row r="36" spans="1:10" ht="19.5" customHeight="1">
      <c r="B36" s="34" t="s">
        <v>16</v>
      </c>
      <c r="C36" s="33"/>
      <c r="D36" s="218">
        <v>44700</v>
      </c>
      <c r="E36" s="25"/>
      <c r="F36" s="5">
        <v>0</v>
      </c>
      <c r="G36" s="68">
        <v>44700</v>
      </c>
      <c r="H36" s="18"/>
      <c r="J36" s="117"/>
    </row>
    <row r="37" spans="1:10" ht="19.5" customHeight="1">
      <c r="B37" s="34" t="s">
        <v>17</v>
      </c>
      <c r="C37" s="33"/>
      <c r="D37" s="218">
        <v>113152.05093700001</v>
      </c>
      <c r="E37" s="25"/>
      <c r="F37" s="5">
        <v>0</v>
      </c>
      <c r="G37" s="68">
        <v>113152.05093700001</v>
      </c>
      <c r="H37" s="18"/>
      <c r="J37" s="117"/>
    </row>
    <row r="38" spans="1:10" ht="19.5" customHeight="1">
      <c r="B38" s="34" t="s">
        <v>18</v>
      </c>
      <c r="C38" s="33"/>
      <c r="D38" s="218">
        <v>0</v>
      </c>
      <c r="E38" s="25"/>
      <c r="F38" s="5" t="s">
        <v>139</v>
      </c>
      <c r="G38" s="68">
        <v>0</v>
      </c>
      <c r="H38" s="18"/>
      <c r="J38" s="117"/>
    </row>
    <row r="39" spans="1:10" ht="19.5" customHeight="1">
      <c r="B39" s="34" t="s">
        <v>19</v>
      </c>
      <c r="C39" s="33"/>
      <c r="D39" s="218">
        <v>7952651.8553809999</v>
      </c>
      <c r="E39" s="25"/>
      <c r="F39" s="5">
        <v>7.5936450570933678E-2</v>
      </c>
      <c r="G39" s="68">
        <v>7391376.9267330002</v>
      </c>
      <c r="H39" s="18"/>
      <c r="J39" s="117"/>
    </row>
    <row r="40" spans="1:10" ht="19.5" customHeight="1">
      <c r="B40" s="35" t="s">
        <v>29</v>
      </c>
      <c r="C40" s="33"/>
      <c r="D40" s="218">
        <v>3916614.5889099999</v>
      </c>
      <c r="E40" s="25"/>
      <c r="F40" s="5">
        <v>-2.5314503282083622E-2</v>
      </c>
      <c r="G40" s="68">
        <v>4018336.788737</v>
      </c>
      <c r="H40" s="18"/>
      <c r="J40" s="117"/>
    </row>
    <row r="41" spans="1:10" ht="19.5" customHeight="1">
      <c r="B41" s="34" t="s">
        <v>20</v>
      </c>
      <c r="C41" s="33"/>
      <c r="D41" s="218">
        <v>-67686.436939000007</v>
      </c>
      <c r="E41" s="25"/>
      <c r="F41" s="5" t="s">
        <v>139</v>
      </c>
      <c r="G41" s="68">
        <v>-67686.436939000007</v>
      </c>
      <c r="H41" s="18"/>
      <c r="J41" s="117"/>
    </row>
    <row r="42" spans="1:10" ht="19.5" customHeight="1">
      <c r="B42" s="34" t="s">
        <v>21</v>
      </c>
      <c r="C42" s="33"/>
      <c r="D42" s="218">
        <v>-3159330.0028570001</v>
      </c>
      <c r="E42" s="25"/>
      <c r="F42" s="5" t="s">
        <v>139</v>
      </c>
      <c r="G42" s="68">
        <v>-2554393.4873210001</v>
      </c>
      <c r="H42" s="18"/>
      <c r="J42" s="117"/>
    </row>
    <row r="43" spans="1:10" ht="19.5" customHeight="1" thickBot="1">
      <c r="B43" s="37" t="s">
        <v>22</v>
      </c>
      <c r="C43" s="38"/>
      <c r="D43" s="221">
        <v>4883487.4665219998</v>
      </c>
      <c r="E43" s="28"/>
      <c r="F43" s="47">
        <v>-8.8614300916638467E-3</v>
      </c>
      <c r="G43" s="53">
        <v>4927149.0534100002</v>
      </c>
      <c r="H43" s="19"/>
      <c r="J43" s="117"/>
    </row>
    <row r="44" spans="1:10" ht="15" customHeight="1"/>
    <row r="45" spans="1:10" ht="3" customHeight="1">
      <c r="A45" s="1"/>
      <c r="B45" s="1"/>
      <c r="C45" s="1"/>
      <c r="D45" s="1"/>
      <c r="E45" s="2"/>
      <c r="F45" s="2"/>
      <c r="G45" s="1"/>
      <c r="H45" s="2"/>
      <c r="I45" s="3"/>
    </row>
    <row r="47" spans="1:10">
      <c r="C47" s="222"/>
      <c r="D47" s="327"/>
      <c r="G47" s="327"/>
    </row>
    <row r="48" spans="1:10">
      <c r="C48" s="222"/>
      <c r="D48" s="327"/>
      <c r="G48" s="327"/>
    </row>
    <row r="49" spans="3:7">
      <c r="C49" s="222"/>
      <c r="D49" s="327"/>
      <c r="G49" s="327"/>
    </row>
  </sheetData>
  <mergeCells count="3">
    <mergeCell ref="B5:C6"/>
    <mergeCell ref="D5:D6"/>
    <mergeCell ref="G5:G6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 6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7</vt:i4>
      </vt:variant>
    </vt:vector>
  </HeadingPairs>
  <TitlesOfParts>
    <vt:vector size="14" baseType="lpstr">
      <vt:lpstr>cover_Q</vt:lpstr>
      <vt:lpstr>(1) Highlights</vt:lpstr>
      <vt:lpstr>(2) Premium</vt:lpstr>
      <vt:lpstr>(3) UW Income</vt:lpstr>
      <vt:lpstr>(4) Investment</vt:lpstr>
      <vt:lpstr>(5) IS</vt:lpstr>
      <vt:lpstr>(6) BS</vt:lpstr>
      <vt:lpstr>'(1) Highlights'!Print_Area</vt:lpstr>
      <vt:lpstr>'(2) Premium'!Print_Area</vt:lpstr>
      <vt:lpstr>'(3) UW Income'!Print_Area</vt:lpstr>
      <vt:lpstr>'(4) Investment'!Print_Area</vt:lpstr>
      <vt:lpstr>'(5) IS'!Print_Area</vt:lpstr>
      <vt:lpstr>'(6) BS'!Print_Area</vt:lpstr>
      <vt:lpstr>cover_Q!Print_Area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박수빈</cp:lastModifiedBy>
  <cp:lastPrinted>2026-01-30T08:53:56Z</cp:lastPrinted>
  <dcterms:created xsi:type="dcterms:W3CDTF">2023-03-29T01:19:29Z</dcterms:created>
  <dcterms:modified xsi:type="dcterms:W3CDTF">2026-02-10T07:03:07Z</dcterms:modified>
</cp:coreProperties>
</file>